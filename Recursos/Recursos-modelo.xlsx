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drawing1.xml" ContentType="application/vnd.openxmlformats-officedocument.drawing+xml"/>
  <Override PartName="/xl/drawings/vmlDrawing4.vml" ContentType="application/vnd.openxmlformats-officedocument.vmlDrawing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Pessoas" sheetId="2" state="visible" r:id="rId4"/>
    <sheet name="Infraestrutura" sheetId="3" state="visible" r:id="rId5"/>
    <sheet name="Manutenções" sheetId="4" state="visible" r:id="rId6"/>
    <sheet name="Ambiente" sheetId="5" state="visible" r:id="rId7"/>
    <sheet name="Painel" sheetId="6" state="visible" r:id="rId8"/>
    <sheet name="Checklist" sheetId="7" state="visible" r:id="rId9"/>
    <sheet name="Exemplo 1 - Pizzaria" sheetId="8" state="visible" r:id="rId10"/>
    <sheet name="Exemplo 2 - Indústria" sheetId="9" state="visible" r:id="rId11"/>
  </sheets>
  <definedNames>
    <definedName function="false" hidden="false" localSheetId="4" name="_xlnm.Print_Area" vbProcedure="false">Ambiente!$B$1:$N$41</definedName>
    <definedName function="false" hidden="false" localSheetId="6" name="_xlnm.Print_Area" vbProcedure="false">Checklist!$B$1:$E$24</definedName>
    <definedName function="false" hidden="false" localSheetId="7" name="_xlnm.Print_Area" vbProcedure="false">'Exemplo 1 - Pizzaria'!$B$1:$Q$60</definedName>
    <definedName function="false" hidden="false" localSheetId="8" name="_xlnm.Print_Area" vbProcedure="false">'Exemplo 2 - Indústria'!$B$1:$Q$61</definedName>
    <definedName function="false" hidden="false" localSheetId="2" name="_xlnm.Print_Area" vbProcedure="false">Infraestrutura!$B$1:$Q$55</definedName>
    <definedName function="false" hidden="false" localSheetId="0" name="_xlnm.Print_Area" vbProcedure="false">Instruções!$B$1:$C$47</definedName>
    <definedName function="false" hidden="false" localSheetId="3" name="_xlnm.Print_Area" vbProcedure="false">Manutenções!$B$1:$M$91</definedName>
    <definedName function="false" hidden="false" localSheetId="5" name="_xlnm.Print_Area" vbProcedure="false">Painel!$B$1:$F$45</definedName>
    <definedName function="false" hidden="false" localSheetId="1" name="_xlnm.Print_Area" vbProcedure="false">Pessoas!$B$1:$M$41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4" authorId="0">
      <text>
        <r>
          <rPr>
            <sz val="10"/>
            <rFont val="Arial"/>
            <family val="2"/>
          </rPr>
          <t xml:space="preserve">A maior demanda numa hora ou num turno, medida e não estimada: pedidos por hora no pico, máquinas em operação no turno.</t>
        </r>
      </text>
    </comment>
    <comment ref="G4" authorId="0">
      <text>
        <r>
          <rPr>
            <sz val="10"/>
            <rFont val="Arial"/>
            <family val="2"/>
          </rPr>
          <t xml:space="preserve">Quanto uma pessoa faz, bem feito, na mesma unidade e no mesmo tempo da demanda. Para máquinas, quantas uma pessoa opera.</t>
        </r>
      </text>
    </comment>
    <comment ref="J4" authorId="0">
      <text>
        <r>
          <rPr>
            <sz val="10"/>
            <rFont val="Arial"/>
            <family val="2"/>
          </rPr>
          <t xml:space="preserve">Das pessoas escaladas, quantas sabem fazer o trabalho sozinhas. A matriz de competências dá esse número.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J8" authorId="0">
      <text>
        <r>
          <rPr>
            <sz val="10"/>
            <rFont val="Arial"/>
            <family val="2"/>
          </rPr>
          <t xml:space="preserve">Para a criticidade alta: o que fazer quando o item parar, escrito antes. Equipamento reserva, caminho manual, terceiro.</t>
        </r>
      </text>
    </comment>
    <comment ref="K8" authorId="0">
      <text>
        <r>
          <rPr>
            <sz val="10"/>
            <rFont val="Arial"/>
            <family val="2"/>
          </rPr>
          <t xml:space="preserve">As horas em que o item deveria estar disponível no período: dias de trabalho × horas por dia. Em branco para itens sem horário, como um sistema.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4" authorId="0">
      <text>
        <r>
          <rPr>
            <sz val="10"/>
            <rFont val="Arial"/>
            <family val="2"/>
          </rPr>
          <t xml:space="preserve">As horas em que o item ficou parado dentro das horas programadas. Na preventiva, informe o tempo também, mesmo que seja zero.</t>
        </r>
      </text>
    </comment>
    <comment ref="K4" authorId="0">
      <text>
        <r>
          <rPr>
            <sz val="10"/>
            <rFont val="Arial"/>
            <family val="2"/>
          </rPr>
          <t xml:space="preserve">Na corretiva: o produto feito durante a falha, ou o que estava no equipamento, foi afetado? Se sim, escreva o que se fez com ele.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F4" authorId="0">
      <text>
        <r>
          <rPr>
            <sz val="10"/>
            <rFont val="Arial"/>
            <family val="2"/>
          </rPr>
          <t xml:space="preserve">Só entram os fatores que afetam o produto ou o serviço. Escreva a ligação numa frase: acima de 28 °C, a tinta seca no anilox.</t>
        </r>
      </text>
    </comment>
    <comment ref="H4" authorId="0">
      <text>
        <r>
          <rPr>
            <sz val="10"/>
            <rFont val="Arial"/>
            <family val="2"/>
          </rPr>
          <t xml:space="preserve">Preencha o mínimo, o máximo ou os dois, na unidade da coluna G.</t>
        </r>
      </text>
    </comment>
  </commentList>
</comments>
</file>

<file path=xl/sharedStrings.xml><?xml version="1.0" encoding="utf-8"?>
<sst xmlns="http://schemas.openxmlformats.org/spreadsheetml/2006/main" count="756" uniqueCount="417">
  <si>
    <t xml:space="preserve">Recursos, infraestrutura e ambiente — Como usar esta planilha</t>
  </si>
  <si>
    <t xml:space="preserve">Modelo para dimensionar as pessoas no pico, controlar a manutenção da infraestrutura e acompanhar o ambiente dos processos.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</si>
  <si>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</si>
  <si>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</si>
  <si>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</si>
  <si>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</si>
  <si>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(necessárias, próxima preventiva, quebras, disponibilidade, situações, conferências).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</si>
  <si>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</si>
  <si>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</si>
  <si>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</si>
  <si>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Tipo, criticidade, código do item, tipo de manutenção, produto afetado, tipo de fator e checklist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</si>
  <si>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</si>
  <si>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</si>
  <si>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As regras de cálculo</t>
  </si>
  <si>
    <t xml:space="preserve">Pessoas necessárias</t>
  </si>
  <si>
    <t xml:space="preserve">A demanda do pico dividida pela produtividade de uma pessoa, arredondada para cima.</t>
  </si>
  <si>
    <t xml:space="preserve">Folga</t>
  </si>
  <si>
    <t xml:space="preserve">As pessoas escaladas menos as necessárias. Negativa: falta gente. Zero: justo. Positiva: com folga.</t>
  </si>
  <si>
    <t xml:space="preserve">Próxima preventiva</t>
  </si>
  <si>
    <t xml:space="preserve">A última preventiva mais o intervalo, em meses.</t>
  </si>
  <si>
    <t xml:space="preserve">Em dia</t>
  </si>
  <si>
    <t xml:space="preserve">A próxima preventiva está a mais de 7 dias do fim do período.</t>
  </si>
  <si>
    <t xml:space="preserve">Vence em 7 dias</t>
  </si>
  <si>
    <t xml:space="preserve">A próxima preventiva está a 7 dias ou menos.</t>
  </si>
  <si>
    <t xml:space="preserve">Atrasada</t>
  </si>
  <si>
    <t xml:space="preserve">A data já passou, ou há intervalo e nenhuma preventiva registrada.</t>
  </si>
  <si>
    <t xml:space="preserve">Sem plano</t>
  </si>
  <si>
    <t xml:space="preserve">O item não tem intervalo de preventiva. Aceito só na criticidade baixa.</t>
  </si>
  <si>
    <t xml:space="preserve">Quebras e horas paradas</t>
  </si>
  <si>
    <t xml:space="preserve">Só as corretivas da aba Manutenções, com data dentro do período.</t>
  </si>
  <si>
    <t xml:space="preserve">Disponibilidade</t>
  </si>
  <si>
    <t xml:space="preserve">Horas programadas menos horas paradas, divididas pelas horas programadas. A preventiva é planejada e não entra na conta.</t>
  </si>
  <si>
    <t xml:space="preserve">Ambiente</t>
  </si>
  <si>
    <t xml:space="preserve">Fora quando a medição fica abaixo do mínimo ou acima do máximo. Sem medição quando não há medição.</t>
  </si>
  <si>
    <t xml:space="preserve">Ordem recomendada de preenchimento</t>
  </si>
  <si>
    <t xml:space="preserve">Passo 1</t>
  </si>
  <si>
    <t xml:space="preserve">Aba Pessoas: cada função no período de maior movimento, com a demanda do pico, a produtividade, as escaladas e as qualificadas.</t>
  </si>
  <si>
    <t xml:space="preserve">Passo 2</t>
  </si>
  <si>
    <t xml:space="preserve">Aba Infraestrutura: informe o início e o fim do período e a meta de disponibilidade.</t>
  </si>
  <si>
    <t xml:space="preserve">Passo 3</t>
  </si>
  <si>
    <t xml:space="preserve">Aba Infraestrutura: cadastre os itens, com tipo, criticidade, preventiva, contingência e horas programadas no período.</t>
  </si>
  <si>
    <t xml:space="preserve">Passo 4</t>
  </si>
  <si>
    <t xml:space="preserve">Aba Manutenções: lance as preventivas e as corretivas, com o tempo parado, a causa, a ação e o produto afetado.</t>
  </si>
  <si>
    <t xml:space="preserve">Passo 5</t>
  </si>
  <si>
    <t xml:space="preserve">Aba Ambiente: os fatores que afetam o produto, com o limite, o controle e a última medição.</t>
  </si>
  <si>
    <t xml:space="preserve">Passo 6</t>
  </si>
  <si>
    <t xml:space="preserve">Aba Painel: leia os avisos. Depois, valide na aba Checklist.</t>
  </si>
  <si>
    <t xml:space="preserve">Abas da planilha</t>
  </si>
  <si>
    <t xml:space="preserve">Pessoas</t>
  </si>
  <si>
    <t xml:space="preserve">Até 30 funções e períodos. Calcula as necessárias, a folga, a situação e a conferência.</t>
  </si>
  <si>
    <t xml:space="preserve">Infraestrutura</t>
  </si>
  <si>
    <t xml:space="preserve">Até 40 itens. Calcula a próxima preventiva, a situação, as quebras, as horas paradas, a disponibilidade e a conferência.</t>
  </si>
  <si>
    <t xml:space="preserve">Manutenções</t>
  </si>
  <si>
    <t xml:space="preserve">Até 80 registros de preventivas e corretivas. Traz o nome do item e calcula a conferência.</t>
  </si>
  <si>
    <t xml:space="preserve">Até 30 fatores. Calcula a situação e a conferência.</t>
  </si>
  <si>
    <t xml:space="preserve">Painel</t>
  </si>
  <si>
    <t xml:space="preserve">Os números das quatro abas, o gráfico das preventivas e o aviso.</t>
  </si>
  <si>
    <t xml:space="preserve">Checklist</t>
  </si>
  <si>
    <t xml:space="preserve">Doze verificações dos recursos, da infraestrutura e do ambiente, com percentual de conclusão.</t>
  </si>
  <si>
    <t xml:space="preserve">Exemplo 1 - Pizzaria</t>
  </si>
  <si>
    <t xml:space="preserve">A loja em abril de 2027.</t>
  </si>
  <si>
    <t xml:space="preserve">Exemplo 2 - Indústria</t>
  </si>
  <si>
    <t xml:space="preserve">A fábrica em julho de 2027.</t>
  </si>
  <si>
    <t xml:space="preserve">Regras e premissas do modelo</t>
  </si>
  <si>
    <t xml:space="preserve">Demanda do pico</t>
  </si>
  <si>
    <t xml:space="preserve">A maior demanda numa hora ou num turno, medida no sistema. A média esconde o problema.</t>
  </si>
  <si>
    <t xml:space="preserve">Criticidade</t>
  </si>
  <si>
    <t xml:space="preserve">Alta: se parar, o produto ou a entrega param. Média: atrapalha, mas há como seguir. Baixa: há reserva, ou a falta não afeta o produto.</t>
  </si>
  <si>
    <t xml:space="preserve">Contingência</t>
  </si>
  <si>
    <t xml:space="preserve">Obrigatória para a criticidade alta: o que fazer quando o item parar, escrito antes.</t>
  </si>
  <si>
    <t xml:space="preserve">Horas programadas</t>
  </si>
  <si>
    <t xml:space="preserve">As horas em que o item deveria estar disponível no período. Deixe em branco para itens sem horário, como um sistema.</t>
  </si>
  <si>
    <t xml:space="preserve">Exemplos</t>
  </si>
  <si>
    <t xml:space="preserve">Os dados das abas de exemplo são ilustrativos, criados para este material.</t>
  </si>
  <si>
    <t xml:space="preserve">Pessoas no pico</t>
  </si>
  <si>
    <t xml:space="preserve">Uma função por período por linha. As pessoas necessárias vêm da demanda do pico e da produtividade.</t>
  </si>
  <si>
    <t xml:space="preserve">#</t>
  </si>
  <si>
    <t xml:space="preserve">Função</t>
  </si>
  <si>
    <t xml:space="preserve">Período</t>
  </si>
  <si>
    <t xml:space="preserve">Unidade da demanda</t>
  </si>
  <si>
    <t xml:space="preserve">Demanda no pico</t>
  </si>
  <si>
    <t xml:space="preserve">Produtividade por pessoa</t>
  </si>
  <si>
    <t xml:space="preserve">Necessárias</t>
  </si>
  <si>
    <t xml:space="preserve">Escaladas</t>
  </si>
  <si>
    <t xml:space="preserve">Qualificadas</t>
  </si>
  <si>
    <t xml:space="preserve">Situação</t>
  </si>
  <si>
    <t xml:space="preserve">Conferência</t>
  </si>
  <si>
    <t xml:space="preserve">Dia e horário</t>
  </si>
  <si>
    <t xml:space="preserve">pedidos por hora</t>
  </si>
  <si>
    <t xml:space="preserve">Número</t>
  </si>
  <si>
    <t xml:space="preserve">Na mesma unidade</t>
  </si>
  <si>
    <t xml:space="preserve">Calculada</t>
  </si>
  <si>
    <t xml:space="preserve">Das escaladas</t>
  </si>
  <si>
    <t xml:space="preserve">Ex.</t>
  </si>
  <si>
    <t xml:space="preserve">Entregador</t>
  </si>
  <si>
    <t xml:space="preserve">Sexta, 20h às 22h</t>
  </si>
  <si>
    <t xml:space="preserve">entregas por hora</t>
  </si>
  <si>
    <t xml:space="preserve">Falta gente</t>
  </si>
  <si>
    <t xml:space="preserve">Faltam 2 pessoas</t>
  </si>
  <si>
    <t xml:space="preserve">Resumo automático</t>
  </si>
  <si>
    <t xml:space="preserve">Funções e períodos</t>
  </si>
  <si>
    <t xml:space="preserve">Com falta de gente</t>
  </si>
  <si>
    <t xml:space="preserve">Aviso</t>
  </si>
  <si>
    <t xml:space="preserve">Um item por linha: criticidade, preventiva, contingência e o que as quebras do período custaram.</t>
  </si>
  <si>
    <t xml:space="preserve">Início do período</t>
  </si>
  <si>
    <t xml:space="preserve">As quebras e as horas paradas contam só as corretivas com data entre o início e o fim.</t>
  </si>
  <si>
    <t xml:space="preserve">Fim do período</t>
  </si>
  <si>
    <t xml:space="preserve">Também é a data da leitura: a situação da preventiva é calculada nela.</t>
  </si>
  <si>
    <t xml:space="preserve">Meta de disponibilidade</t>
  </si>
  <si>
    <t xml:space="preserve">A disponibilidade mínima aceita para os itens com horas programadas.</t>
  </si>
  <si>
    <t xml:space="preserve">Código</t>
  </si>
  <si>
    <t xml:space="preserve">Item</t>
  </si>
  <si>
    <t xml:space="preserve">Tipo</t>
  </si>
  <si>
    <t xml:space="preserve">Local</t>
  </si>
  <si>
    <t xml:space="preserve">Preventiva (meses)</t>
  </si>
  <si>
    <t xml:space="preserve">Última preventiva</t>
  </si>
  <si>
    <t xml:space="preserve">Próxima</t>
  </si>
  <si>
    <t xml:space="preserve">Quebras</t>
  </si>
  <si>
    <t xml:space="preserve">Horas paradas</t>
  </si>
  <si>
    <t xml:space="preserve">Disponib.</t>
  </si>
  <si>
    <t xml:space="preserve">FOR-01</t>
  </si>
  <si>
    <t xml:space="preserve">Lista</t>
  </si>
  <si>
    <t xml:space="preserve">Data</t>
  </si>
  <si>
    <t xml:space="preserve">O que fazer se parar</t>
  </si>
  <si>
    <t xml:space="preserve">No período</t>
  </si>
  <si>
    <t xml:space="preserve">Itens cadastrados</t>
  </si>
  <si>
    <t xml:space="preserve">Preventivas</t>
  </si>
  <si>
    <t xml:space="preserve">Quebras no período</t>
  </si>
  <si>
    <t xml:space="preserve">Uma preventiva ou uma corretiva por linha. As corretivas alimentam as quebras e a disponibilidade da aba Infraestrutura.</t>
  </si>
  <si>
    <t xml:space="preserve">O que aconteceu</t>
  </si>
  <si>
    <t xml:space="preserve">Causa</t>
  </si>
  <si>
    <t xml:space="preserve">Ação</t>
  </si>
  <si>
    <t xml:space="preserve">Afetou o produto?</t>
  </si>
  <si>
    <t xml:space="preserve">Tratamento do produto</t>
  </si>
  <si>
    <t xml:space="preserve">Vem do cadastro</t>
  </si>
  <si>
    <t xml:space="preserve">Na corretiva</t>
  </si>
  <si>
    <t xml:space="preserve">Se afetou</t>
  </si>
  <si>
    <t xml:space="preserve">MOT-02</t>
  </si>
  <si>
    <t xml:space="preserve">Moto de entrega 2</t>
  </si>
  <si>
    <t xml:space="preserve">Corretiva</t>
  </si>
  <si>
    <t xml:space="preserve">Corrente partiu na entrega</t>
  </si>
  <si>
    <t xml:space="preserve">Corrente gasta</t>
  </si>
  <si>
    <t xml:space="preserve">Corrente trocada</t>
  </si>
  <si>
    <t xml:space="preserve">Sim</t>
  </si>
  <si>
    <t xml:space="preserve">Desconto ao cliente</t>
  </si>
  <si>
    <t xml:space="preserve">OK</t>
  </si>
  <si>
    <t xml:space="preserve">Registros</t>
  </si>
  <si>
    <t xml:space="preserve">Por tipo</t>
  </si>
  <si>
    <t xml:space="preserve">Ambiente dos processos</t>
  </si>
  <si>
    <t xml:space="preserve">Um fator por linha: por que afeta o produto, o limite, como é controlado e a última medição.</t>
  </si>
  <si>
    <t xml:space="preserve">Fator</t>
  </si>
  <si>
    <t xml:space="preserve">Por que afeta o produto</t>
  </si>
  <si>
    <t xml:space="preserve">Unidade</t>
  </si>
  <si>
    <t xml:space="preserve">Mínimo</t>
  </si>
  <si>
    <t xml:space="preserve">Máximo</t>
  </si>
  <si>
    <t xml:space="preserve">Como é controlado</t>
  </si>
  <si>
    <t xml:space="preserve">Última medição</t>
  </si>
  <si>
    <t xml:space="preserve">Ação, se fora</t>
  </si>
  <si>
    <t xml:space="preserve">Numa frase</t>
  </si>
  <si>
    <t xml:space="preserve">°C, %, lux</t>
  </si>
  <si>
    <t xml:space="preserve">Como, quem, quando</t>
  </si>
  <si>
    <t xml:space="preserve">Temperatura da cozinha</t>
  </si>
  <si>
    <t xml:space="preserve">Físico</t>
  </si>
  <si>
    <t xml:space="preserve">Cozinha</t>
  </si>
  <si>
    <t xml:space="preserve">Acima de 32 °C, a massa passa do ponto</t>
  </si>
  <si>
    <t xml:space="preserve">°C</t>
  </si>
  <si>
    <t xml:space="preserve">Termômetro de parede, às 21h</t>
  </si>
  <si>
    <t xml:space="preserve">Segundo ventilador</t>
  </si>
  <si>
    <t xml:space="preserve">Fora</t>
  </si>
  <si>
    <t xml:space="preserve">Fatores</t>
  </si>
  <si>
    <t xml:space="preserve">Painel dos recursos</t>
  </si>
  <si>
    <t xml:space="preserve">Nada a preencher: tudo vem das outras abas.</t>
  </si>
  <si>
    <t xml:space="preserve">Período: início e fim</t>
  </si>
  <si>
    <t xml:space="preserve">Indicador</t>
  </si>
  <si>
    <t xml:space="preserve">Resultado</t>
  </si>
  <si>
    <t xml:space="preserve">Como se lê</t>
  </si>
  <si>
    <t xml:space="preserve">PESSOAS</t>
  </si>
  <si>
    <t xml:space="preserve">Da aba Pessoas.</t>
  </si>
  <si>
    <t xml:space="preserve">As escaladas não cobrem o pico.</t>
  </si>
  <si>
    <t xml:space="preserve">Pessoas a menos no pico</t>
  </si>
  <si>
    <t xml:space="preserve">A soma das faltas.</t>
  </si>
  <si>
    <t xml:space="preserve">Sem pessoa qualificada</t>
  </si>
  <si>
    <t xml:space="preserve">Ninguém na escala sabe fazer sozinho.</t>
  </si>
  <si>
    <t xml:space="preserve">INFRAESTRUTURA</t>
  </si>
  <si>
    <t xml:space="preserve">Da aba Infraestrutura.</t>
  </si>
  <si>
    <t xml:space="preserve">Itens críticos</t>
  </si>
  <si>
    <t xml:space="preserve">Criticidade alta.</t>
  </si>
  <si>
    <t xml:space="preserve">Preventivas atrasadas: fazer antes de tudo.</t>
  </si>
  <si>
    <t xml:space="preserve">Confirmar a data, as peças e quem faz.</t>
  </si>
  <si>
    <t xml:space="preserve">Críticos sem contingência</t>
  </si>
  <si>
    <t xml:space="preserve">Ninguém sabe o que fazer se parar.</t>
  </si>
  <si>
    <t xml:space="preserve">Abaixo da meta de disponibilidade</t>
  </si>
  <si>
    <t xml:space="preserve">Ler as causas das quebras.</t>
  </si>
  <si>
    <t xml:space="preserve">Só as corretivas dentro do período.</t>
  </si>
  <si>
    <t xml:space="preserve">Horas paradas no período</t>
  </si>
  <si>
    <t xml:space="preserve">Nas corretivas.</t>
  </si>
  <si>
    <t xml:space="preserve">MANUTENÇÕES E AMBIENTE</t>
  </si>
  <si>
    <t xml:space="preserve">Corretivas com produto afetado</t>
  </si>
  <si>
    <t xml:space="preserve">No período.</t>
  </si>
  <si>
    <t xml:space="preserve">Produto afetado sem tratamento</t>
  </si>
  <si>
    <t xml:space="preserve">Tratar como não conforme.</t>
  </si>
  <si>
    <t xml:space="preserve">Fatores do ambiente fora do limite</t>
  </si>
  <si>
    <t xml:space="preserve">Com ou sem ação.</t>
  </si>
  <si>
    <t xml:space="preserve">Fora do limite sem ação</t>
  </si>
  <si>
    <t xml:space="preserve">Ninguém decidiu nada.</t>
  </si>
  <si>
    <t xml:space="preserve">Fatores sem medição</t>
  </si>
  <si>
    <t xml:space="preserve">Limite sem medição não controla.</t>
  </si>
  <si>
    <t xml:space="preserve">Linhas a completar</t>
  </si>
  <si>
    <t xml:space="preserve">Conferências diferentes de OK nas quatro abas.</t>
  </si>
  <si>
    <t xml:space="preserve">Preventivas por situação</t>
  </si>
  <si>
    <t xml:space="preserve">Checklist dos recursos, da infraestrutura e do ambiente</t>
  </si>
  <si>
    <t xml:space="preserve">Escolha o status de cada item na lista suspensa (coluna em amarelo-claro).</t>
  </si>
  <si>
    <t xml:space="preserve">Item de verificação</t>
  </si>
  <si>
    <t xml:space="preserve">Status</t>
  </si>
  <si>
    <t xml:space="preserve">Observações</t>
  </si>
  <si>
    <t xml:space="preserve">As pessoas de cada processo estão dimensionadas pela demanda do pico, e não pelo costume.</t>
  </si>
  <si>
    <t xml:space="preserve">Cada função e turno tem ao menos uma pessoa qualificada na escala.</t>
  </si>
  <si>
    <t xml:space="preserve">Há um plano para as ausências: férias, faltas e afastamentos.</t>
  </si>
  <si>
    <t xml:space="preserve">A infraestrutura que afeta o produto está listada, com a criticidade de cada item.</t>
  </si>
  <si>
    <t xml:space="preserve">Cada item crítico tem manutenção preventiva com intervalo, feita no prazo.</t>
  </si>
  <si>
    <t xml:space="preserve">Cada item crítico tem uma contingência escrita para quando parar.</t>
  </si>
  <si>
    <t xml:space="preserve">As paradas são registradas com o tempo parado, a causa e a ação.</t>
  </si>
  <si>
    <t xml:space="preserve">A disponibilidade dos itens críticos é acompanhada contra uma meta.</t>
  </si>
  <si>
    <t xml:space="preserve">Quando uma parada afeta o produto, ele é avaliado e tratado como não conforme.</t>
  </si>
  <si>
    <t xml:space="preserve">Os sistemas de informação têm cópia de segurança, e a restauração é testada.</t>
  </si>
  <si>
    <t xml:space="preserve">Os fatores do ambiente que afetam o produto estão definidos, físicos, sociais e psicológicos, com limite e controle.</t>
  </si>
  <si>
    <t xml:space="preserve">O ambiente é medido, e o que está fora do limite tem ação.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</si>
  <si>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</si>
  <si>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</si>
  <si>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</si>
  <si>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</si>
  <si>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</si>
  <si>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Recursos, infraestrutura e ambiente</t>
  </si>
  <si>
    <t xml:space="preserve">Exemplo preenchido, para consulta. Use as abas de entrada para a sua organização.</t>
  </si>
  <si>
    <t xml:space="preserve">Organização</t>
  </si>
  <si>
    <t xml:space="preserve">Pizzaria (loja com salão e delivery)</t>
  </si>
  <si>
    <t xml:space="preserve">Responsável</t>
  </si>
  <si>
    <t xml:space="preserve">Gerente da loja, com o pizzaiolo líder</t>
  </si>
  <si>
    <t xml:space="preserve">Loja aberta das 18h à meia-noite: 180 horas no mês. Câmara fria e sistema ligados o tempo todo.</t>
  </si>
  <si>
    <t xml:space="preserve">Origem</t>
  </si>
  <si>
    <t xml:space="preserve">Requisitos 7.1.1, 7.1.3 e 7.1.4 atendidos no diagnóstico de 2026, mas a escala de pico era feita de cabeça, e a quebra da câmara fria em abril mostrou que não havia plano para ela parar.</t>
  </si>
  <si>
    <t xml:space="preserve">Demanda</t>
  </si>
  <si>
    <t xml:space="preserve">Produtiv.</t>
  </si>
  <si>
    <t xml:space="preserve">Atendimento</t>
  </si>
  <si>
    <t xml:space="preserve">Sexta, 19h às 23h</t>
  </si>
  <si>
    <t xml:space="preserve">Sábado, 19h às 23h</t>
  </si>
  <si>
    <t xml:space="preserve">Pizzaiolo</t>
  </si>
  <si>
    <t xml:space="preserve">pizzas por hora</t>
  </si>
  <si>
    <t xml:space="preserve">Forneiro</t>
  </si>
  <si>
    <t xml:space="preserve">Expedição</t>
  </si>
  <si>
    <t xml:space="preserve">Terça, 19h às 22h</t>
  </si>
  <si>
    <t xml:space="preserve">Salão</t>
  </si>
  <si>
    <t xml:space="preserve">clientes por hora</t>
  </si>
  <si>
    <t xml:space="preserve">Meses</t>
  </si>
  <si>
    <t xml:space="preserve">Última</t>
  </si>
  <si>
    <t xml:space="preserve">Horas prog.</t>
  </si>
  <si>
    <t xml:space="preserve">Forno de lastro a gás</t>
  </si>
  <si>
    <t xml:space="preserve">Equipamento</t>
  </si>
  <si>
    <t xml:space="preserve">Alta</t>
  </si>
  <si>
    <t xml:space="preserve">Forno elétrico reserva, com metade da capacidade, e cardápio reduzido.</t>
  </si>
  <si>
    <t xml:space="preserve">CAM-01</t>
  </si>
  <si>
    <t xml:space="preserve">Câmara fria</t>
  </si>
  <si>
    <t xml:space="preserve">Estoque</t>
  </si>
  <si>
    <t xml:space="preserve">Freezer reserva e caixas térmicas com gelo. Acima de 5 °C, medir cada item com o TER-01.</t>
  </si>
  <si>
    <t xml:space="preserve">MAS-01</t>
  </si>
  <si>
    <t xml:space="preserve">Masseira</t>
  </si>
  <si>
    <t xml:space="preserve">Produção</t>
  </si>
  <si>
    <t xml:space="preserve">Média</t>
  </si>
  <si>
    <t xml:space="preserve">MOT-01</t>
  </si>
  <si>
    <t xml:space="preserve">Moto de entrega 1</t>
  </si>
  <si>
    <t xml:space="preserve">Transporte</t>
  </si>
  <si>
    <t xml:space="preserve">Entregador extra com moto própria, chamado pelo grupo.</t>
  </si>
  <si>
    <t xml:space="preserve">MOT-03</t>
  </si>
  <si>
    <t xml:space="preserve">Moto de entrega 3</t>
  </si>
  <si>
    <t xml:space="preserve">SIS-01</t>
  </si>
  <si>
    <t xml:space="preserve">Sistema de pedidos</t>
  </si>
  <si>
    <t xml:space="preserve">TI e software</t>
  </si>
  <si>
    <t xml:space="preserve">Bloco de pedidos em papel e telefone fixo.</t>
  </si>
  <si>
    <t xml:space="preserve">EXA-01</t>
  </si>
  <si>
    <t xml:space="preserve">Coifa e exaustão</t>
  </si>
  <si>
    <t xml:space="preserve">Edifício e instalações</t>
  </si>
  <si>
    <t xml:space="preserve">SEL-01</t>
  </si>
  <si>
    <t xml:space="preserve">Seladora de embalagens</t>
  </si>
  <si>
    <t xml:space="preserve">Baixa</t>
  </si>
  <si>
    <t xml:space="preserve">Preventiva</t>
  </si>
  <si>
    <t xml:space="preserve">Atualização do sistema e cópia de segurança testada.</t>
  </si>
  <si>
    <t xml:space="preserve">Limpeza dos queimadores e teste da válvula de segurança.</t>
  </si>
  <si>
    <t xml:space="preserve">Revisão mensal: óleo, freios, pneus e luzes.</t>
  </si>
  <si>
    <t xml:space="preserve">Compressor parado. Câmara a 11 °C na abertura da cozinha.</t>
  </si>
  <si>
    <t xml:space="preserve">Capacitor do compressor queimado. A revisão de 10/04 não tinha sido feita.</t>
  </si>
  <si>
    <t xml:space="preserve">Capacitor trocado. Alarme de temperatura instalado, contingência escrita e revisão marcada para 05/05.</t>
  </si>
  <si>
    <t xml:space="preserve">18 kg de mussarela e molho descartados (RNC 2027-27).</t>
  </si>
  <si>
    <t xml:space="preserve">Sistema fora do ar na sexta, das 20h às 21h30.</t>
  </si>
  <si>
    <t xml:space="preserve">Atualização automática disparada no horário de pico.</t>
  </si>
  <si>
    <t xml:space="preserve">Atualização automática desligada. Atualizar só às segundas, de manhã.</t>
  </si>
  <si>
    <t xml:space="preserve">Não</t>
  </si>
  <si>
    <t xml:space="preserve">Corrente da transmissão partiu durante uma entrega.</t>
  </si>
  <si>
    <t xml:space="preserve">Corrente gasta, que a revisão não confere.</t>
  </si>
  <si>
    <t xml:space="preserve">Corrente trocada e incluída no roteiro da revisão mensal.</t>
  </si>
  <si>
    <t xml:space="preserve">1 pedido entregue com 50 minutos de atraso. Desconto dado ao cliente.</t>
  </si>
  <si>
    <t xml:space="preserve">Chama apagando no lastro do fundo.</t>
  </si>
  <si>
    <t xml:space="preserve">Medição</t>
  </si>
  <si>
    <t xml:space="preserve">Acima de 32 °C, a massa passa do ponto e o pizzaiolo perde o ritmo.</t>
  </si>
  <si>
    <t xml:space="preserve">Termômetro de parede, lido às 21h, todo dia</t>
  </si>
  <si>
    <t xml:space="preserve">Coifa limpa em 22/04. Segundo ventilador pedido para maio.</t>
  </si>
  <si>
    <t xml:space="preserve">Temperatura da câmara fria</t>
  </si>
  <si>
    <t xml:space="preserve">Acima de 5 °C, os insumos estragam.</t>
  </si>
  <si>
    <t xml:space="preserve">Visor lido na abertura e no fechamento. Alarme desde 13/04</t>
  </si>
  <si>
    <t xml:space="preserve">Limpeza da bancada e dos utensílios</t>
  </si>
  <si>
    <t xml:space="preserve">Bancada suja contamina a massa e o recheio.</t>
  </si>
  <si>
    <t xml:space="preserve">% do checklist</t>
  </si>
  <si>
    <t xml:space="preserve">Checklist de limpeza no fechamento, conferido pelo gerente</t>
  </si>
  <si>
    <t xml:space="preserve">Iluminação da expedição</t>
  </si>
  <si>
    <t xml:space="preserve">Com pouca luz, o pedido sai com o sabor trocado.</t>
  </si>
  <si>
    <t xml:space="preserve">lux</t>
  </si>
  <si>
    <t xml:space="preserve">Medição com luxímetro a cada 6 meses</t>
  </si>
  <si>
    <t xml:space="preserve">Pizzas por pizzaiolo no pico</t>
  </si>
  <si>
    <t xml:space="preserve">Psicológico</t>
  </si>
  <si>
    <t xml:space="preserve">Acima de 20 por hora, a montagem perde o padrão.</t>
  </si>
  <si>
    <t xml:space="preserve">pizzas/h</t>
  </si>
  <si>
    <t xml:space="preserve">Pedidos do sistema divididos pelos pizzaiolos, toda sexta</t>
  </si>
  <si>
    <t xml:space="preserve">Rever a escala da sexta em maio, com a demanda de abril.</t>
  </si>
  <si>
    <t xml:space="preserve">Horas extras por pessoa na semana</t>
  </si>
  <si>
    <t xml:space="preserve">Social</t>
  </si>
  <si>
    <t xml:space="preserve">Loja</t>
  </si>
  <si>
    <t xml:space="preserve">Equipe cansada erra mais e falta mais.</t>
  </si>
  <si>
    <t xml:space="preserve">h</t>
  </si>
  <si>
    <t xml:space="preserve">Folha de ponto, toda semana</t>
  </si>
  <si>
    <t xml:space="preserve">Indústria de embalagens plásticas</t>
  </si>
  <si>
    <t xml:space="preserve">Supervisor de manutenção, com o gerente industrial</t>
  </si>
  <si>
    <t xml:space="preserve">Três turnos, todos os dias: 744 horas no mês. A impressora trabalha em dois turnos: 496 horas.</t>
  </si>
  <si>
    <t xml:space="preserve">Análise crítica do semestre: as paradas da extrusora 3 foram a segunda causa dos atrasos, e o turno da noite trabalha com gente a menos desde as férias de junho.</t>
  </si>
  <si>
    <t xml:space="preserve">Operador de extrusão</t>
  </si>
  <si>
    <t xml:space="preserve">Turno A</t>
  </si>
  <si>
    <t xml:space="preserve">extrusoras em operação</t>
  </si>
  <si>
    <t xml:space="preserve">Turno B</t>
  </si>
  <si>
    <t xml:space="preserve">Turno C</t>
  </si>
  <si>
    <t xml:space="preserve">Impressor</t>
  </si>
  <si>
    <t xml:space="preserve">impressoras em operação</t>
  </si>
  <si>
    <t xml:space="preserve">Rebobinador</t>
  </si>
  <si>
    <t xml:space="preserve">bobinas por hora</t>
  </si>
  <si>
    <t xml:space="preserve">Técnico de laboratório</t>
  </si>
  <si>
    <t xml:space="preserve">ensaios por hora</t>
  </si>
  <si>
    <t xml:space="preserve">cargas por hora</t>
  </si>
  <si>
    <t xml:space="preserve">EXT-01</t>
  </si>
  <si>
    <t xml:space="preserve">Extrusora 1</t>
  </si>
  <si>
    <t xml:space="preserve">Extrusão</t>
  </si>
  <si>
    <t xml:space="preserve">Pedidos urgentes passam para a extrusora 2.</t>
  </si>
  <si>
    <t xml:space="preserve">EXT-03</t>
  </si>
  <si>
    <t xml:space="preserve">Extrusora 3</t>
  </si>
  <si>
    <t xml:space="preserve">Pedidos redistribuídos entre as extrusoras 1 e 2, com hora extra.</t>
  </si>
  <si>
    <t xml:space="preserve">IMP-01</t>
  </si>
  <si>
    <t xml:space="preserve">Impressora flexográfica</t>
  </si>
  <si>
    <t xml:space="preserve">Impressão</t>
  </si>
  <si>
    <t xml:space="preserve">Impressão de pedidos urgentes em terceiro homologado.</t>
  </si>
  <si>
    <t xml:space="preserve">REB-01</t>
  </si>
  <si>
    <t xml:space="preserve">Rebobinadeira</t>
  </si>
  <si>
    <t xml:space="preserve">Rebobinamento</t>
  </si>
  <si>
    <t xml:space="preserve">CMP-01</t>
  </si>
  <si>
    <t xml:space="preserve">Compressor de ar</t>
  </si>
  <si>
    <t xml:space="preserve">Utilidades</t>
  </si>
  <si>
    <t xml:space="preserve">CHI-01</t>
  </si>
  <si>
    <t xml:space="preserve">Chiller de água gelada</t>
  </si>
  <si>
    <t xml:space="preserve">Água da torre de resfriamento, com as extrusoras em velocidade reduzida.</t>
  </si>
  <si>
    <t xml:space="preserve">EMP-01</t>
  </si>
  <si>
    <t xml:space="preserve">Empilhadeira</t>
  </si>
  <si>
    <t xml:space="preserve">ERP-01</t>
  </si>
  <si>
    <t xml:space="preserve">Sistema de gestão (ERP)</t>
  </si>
  <si>
    <t xml:space="preserve">Escritório</t>
  </si>
  <si>
    <t xml:space="preserve">Cópia diária fora da fábrica. Pedidos em planilha por até um dia.</t>
  </si>
  <si>
    <t xml:space="preserve">EXS-01</t>
  </si>
  <si>
    <t xml:space="preserve">Exaustão de solventes da impressão</t>
  </si>
  <si>
    <t xml:space="preserve">Seladora manual</t>
  </si>
  <si>
    <t xml:space="preserve">Resistência da zona 2 queimou.</t>
  </si>
  <si>
    <t xml:space="preserve">Resistência no fim da vida útil.</t>
  </si>
  <si>
    <t xml:space="preserve">Resistência trocada.</t>
  </si>
  <si>
    <t xml:space="preserve">Teste de restauração da cópia de segurança: dados recuperados em 40 minutos.</t>
  </si>
  <si>
    <t xml:space="preserve">Resistência da zona 3 queimou.</t>
  </si>
  <si>
    <t xml:space="preserve">Resistência no fim da vida útil. A troca estava prevista na preventiva de junho, adiada.</t>
  </si>
  <si>
    <t xml:space="preserve">Resistência trocada. Preventiva remarcada para 07/08, com os pedidos redistribuídos.</t>
  </si>
  <si>
    <t xml:space="preserve">Bobina em produção segregada e moída (RNC 2027-29).</t>
  </si>
  <si>
    <t xml:space="preserve">Anilox entupido: falha na cor.</t>
  </si>
  <si>
    <t xml:space="preserve">Limpeza do anilox esquecida na troca do turno C.</t>
  </si>
  <si>
    <t xml:space="preserve">Limpeza do anilox incluída no roteiro da troca de turno.</t>
  </si>
  <si>
    <t xml:space="preserve">Espessura variando ao longo da bobina.</t>
  </si>
  <si>
    <t xml:space="preserve">Rosca desgastada. O desgaste só é medido na preventiva, que está atrasada.</t>
  </si>
  <si>
    <t xml:space="preserve">Rosca recuperada. Medição da rosca antecipada para a preventiva de 07/08.</t>
  </si>
  <si>
    <t xml:space="preserve">6 bobinas com espessura fora segregadas (RNC 2027-30).</t>
  </si>
  <si>
    <t xml:space="preserve">Troca das facas e limpeza geral.</t>
  </si>
  <si>
    <t xml:space="preserve">Vazamento de gás refrigerante: água acima de 18 °C.</t>
  </si>
  <si>
    <t xml:space="preserve">Conexão trincada por vibração.</t>
  </si>
  <si>
    <t xml:space="preserve">Conexão trocada e suporte antivibração instalado.</t>
  </si>
  <si>
    <t xml:space="preserve">Leitura instável da temperatura da zona 3.</t>
  </si>
  <si>
    <t xml:space="preserve">Cabo do termopar danificado pela vibração.</t>
  </si>
  <si>
    <t xml:space="preserve">Cabo trocado e termopar TER-Z3 verificado contra o padrão PAD-01.</t>
  </si>
  <si>
    <t xml:space="preserve">Temperatura do salão de impressão</t>
  </si>
  <si>
    <t xml:space="preserve">Acima de 28 °C, a tinta seca no anilox e a cor varia.</t>
  </si>
  <si>
    <t xml:space="preserve">Termo-higrômetro lido a cada turno</t>
  </si>
  <si>
    <t xml:space="preserve">Ventilação forçada no turno A. Climatização no orçamento de 2028.</t>
  </si>
  <si>
    <t xml:space="preserve">Umidade do salão de impressão</t>
  </si>
  <si>
    <t xml:space="preserve">Abaixo de 40 %, a eletricidade estática atrai pó para o filme.</t>
  </si>
  <si>
    <t xml:space="preserve">%</t>
  </si>
  <si>
    <t xml:space="preserve">Ruído na extrusão</t>
  </si>
  <si>
    <t xml:space="preserve">Acima de 85 dB(A), o operador não ouve o alarme da extrusora.</t>
  </si>
  <si>
    <t xml:space="preserve">dB(A)</t>
  </si>
  <si>
    <t xml:space="preserve">Medição a cada 6 meses</t>
  </si>
  <si>
    <t xml:space="preserve">Alarme luminoso instalado nas três extrusoras. Protetor auricular obrigatório.</t>
  </si>
  <si>
    <t xml:space="preserve">Limpeza da área de rebobinamento</t>
  </si>
  <si>
    <t xml:space="preserve">Pó sobre o filme vira reclamação de sujeira.</t>
  </si>
  <si>
    <t xml:space="preserve">Checklist de limpeza a cada turno</t>
  </si>
  <si>
    <t xml:space="preserve">Horas extras por operador no mês</t>
  </si>
  <si>
    <t xml:space="preserve">Turno com gente a menos, e cansada, erra a regulagem.</t>
  </si>
  <si>
    <t xml:space="preserve">Folha de ponto, todo mês</t>
  </si>
  <si>
    <t xml:space="preserve">Pausas cumpridas no turno da noite</t>
  </si>
  <si>
    <t xml:space="preserve">Sem pausa, a atenção cai de madrugada, quando os ajustes errados se concentram.</t>
  </si>
  <si>
    <t xml:space="preserve">% das pausas</t>
  </si>
  <si>
    <t xml:space="preserve">Registro de pausas no posto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</si>
</sst>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##"/>
    <numFmt numFmtId="166" formatCode="General"/>
    <numFmt numFmtId="167" formatCode="dd/mm/yyyy"/>
    <numFmt numFmtId="168" formatCode="0%"/>
    <numFmt numFmtId="169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b val="true"/>
      <sz val="9"/>
      <color rgb="FF16242E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b val="true"/>
      <sz val="9"/>
      <color rgb="FF5B6B76"/>
      <name val="Arial"/>
      <family val="0"/>
      <charset val="1"/>
    </font>
    <font>
      <sz val="9"/>
      <color rgb="FF5B6B76"/>
      <name val="Arial"/>
      <family val="0"/>
      <charset val="1"/>
    </font>
    <font>
      <sz val="10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FFF9DB"/>
      </patternFill>
    </fill>
    <fill>
      <patternFill patternType="solid">
        <fgColor rgb="FFFFF9DB"/>
        <bgColor rgb="FFF8EBCB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A96A12"/>
        <bgColor rgb="FFB0413E"/>
      </patternFill>
    </fill>
    <fill>
      <patternFill patternType="solid">
        <fgColor rgb="FF1E7B73"/>
        <bgColor rgb="FF008080"/>
      </patternFill>
    </fill>
    <fill>
      <patternFill patternType="solid">
        <fgColor rgb="FF7A4A9A"/>
        <bgColor rgb="FF5B6B7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13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9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6D9D7"/>
        </patternFill>
      </fill>
    </dxf>
    <dxf>
      <fill>
        <patternFill>
          <bgColor rgb="FFF8EBCB"/>
        </patternFill>
      </fill>
    </dxf>
    <dxf>
      <fill>
        <patternFill>
          <bgColor rgb="FFD8EFDD"/>
        </patternFill>
      </fill>
    </dxf>
    <dxf>
      <fill>
        <patternFill>
          <bgColor rgb="FFFBEBC8"/>
        </patternFill>
      </fill>
    </dxf>
    <dxf>
      <fill>
        <patternFill>
          <bgColor rgb="FFEEF1F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B0413E"/>
      <rgbColor rgb="FFFFF9DB"/>
      <rgbColor rgb="FFEEF1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3DBE0"/>
      <rgbColor rgb="FFD8EFDD"/>
      <rgbColor rgb="FFFBEBC8"/>
      <rgbColor rgb="FFF8EBCB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7A4A9A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"Itens"</c:f>
              <c:strCache>
                <c:ptCount val="1"/>
                <c:pt idx="0">
                  <c:v>Itens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Painel!$B$31:$B$34</c:f>
              <c:strCache>
                <c:ptCount val="4"/>
                <c:pt idx="0">
                  <c:v>Em dia</c:v>
                </c:pt>
                <c:pt idx="1">
                  <c:v>Vence em 7 dias</c:v>
                </c:pt>
                <c:pt idx="2">
                  <c:v>Atrasada</c:v>
                </c:pt>
                <c:pt idx="3">
                  <c:v>Sem plano</c:v>
                </c:pt>
              </c:strCache>
            </c:strRef>
          </c:cat>
          <c:val>
            <c:numRef>
              <c:f>Painel!$C$31:$C$34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70"/>
        <c:overlap val="0"/>
        <c:axId val="65922747"/>
        <c:axId val="87911050"/>
      </c:barChart>
      <c:catAx>
        <c:axId val="659227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911050"/>
        <c:crosses val="autoZero"/>
        <c:auto val="1"/>
        <c:lblAlgn val="ctr"/>
        <c:lblOffset val="100"/>
        <c:noMultiLvlLbl val="0"/>
      </c:catAx>
      <c:valAx>
        <c:axId val="8791105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922747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29</xdr:row>
      <xdr:rowOff>0</xdr:rowOff>
    </xdr:from>
    <xdr:to>
      <xdr:col>5</xdr:col>
      <xdr:colOff>2346120</xdr:colOff>
      <xdr:row>42</xdr:row>
      <xdr:rowOff>43200</xdr:rowOff>
    </xdr:to>
    <xdr:graphicFrame>
      <xdr:nvGraphicFramePr>
        <xdr:cNvPr id="0" name="Chart 1"/>
        <xdr:cNvGraphicFramePr/>
      </xdr:nvGraphicFramePr>
      <xdr:xfrm>
        <a:off x="3806280" y="784872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90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31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31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31.5" hidden="false" customHeight="true" outlineLevel="0" collapsed="false">
      <c r="B13" s="4" t="s">
        <v>16</v>
      </c>
      <c r="C13" s="7" t="s">
        <v>17</v>
      </c>
    </row>
    <row r="14" customFormat="false" ht="19.5" hidden="false" customHeight="true" outlineLevel="0" collapsed="false">
      <c r="B14" s="4" t="s">
        <v>18</v>
      </c>
      <c r="C14" s="7" t="s">
        <v>19</v>
      </c>
    </row>
    <row r="15" customFormat="false" ht="19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7" customFormat="false" ht="19.5" hidden="false" customHeight="true" outlineLevel="0" collapsed="false">
      <c r="B17" s="4" t="s">
        <v>24</v>
      </c>
      <c r="C17" s="7" t="s">
        <v>25</v>
      </c>
    </row>
    <row r="18" customFormat="false" ht="19.5" hidden="false" customHeight="true" outlineLevel="0" collapsed="false">
      <c r="B18" s="4" t="s">
        <v>26</v>
      </c>
      <c r="C18" s="7" t="s">
        <v>27</v>
      </c>
    </row>
    <row r="19" customFormat="false" ht="19.5" hidden="false" customHeight="true" outlineLevel="0" collapsed="false">
      <c r="B19" s="4" t="s">
        <v>28</v>
      </c>
      <c r="C19" s="7" t="s">
        <v>29</v>
      </c>
    </row>
    <row r="20" customFormat="false" ht="31.5" hidden="false" customHeight="true" outlineLevel="0" collapsed="false">
      <c r="B20" s="4" t="s">
        <v>30</v>
      </c>
      <c r="C20" s="7" t="s">
        <v>31</v>
      </c>
    </row>
    <row r="21" customFormat="false" ht="31.5" hidden="false" customHeight="true" outlineLevel="0" collapsed="false">
      <c r="B21" s="4" t="s">
        <v>32</v>
      </c>
      <c r="C21" s="7" t="s">
        <v>33</v>
      </c>
    </row>
    <row r="23" customFormat="false" ht="21.75" hidden="false" customHeight="true" outlineLevel="0" collapsed="false">
      <c r="B23" s="3" t="s">
        <v>34</v>
      </c>
      <c r="C23" s="3"/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19.5" hidden="false" customHeight="true" outlineLevel="0" collapsed="false">
      <c r="B25" s="4" t="s">
        <v>37</v>
      </c>
      <c r="C25" s="7" t="s">
        <v>38</v>
      </c>
    </row>
    <row r="26" customFormat="false" ht="31.5" hidden="false" customHeight="true" outlineLevel="0" collapsed="false">
      <c r="B26" s="4" t="s">
        <v>39</v>
      </c>
      <c r="C26" s="7" t="s">
        <v>40</v>
      </c>
    </row>
    <row r="27" customFormat="false" ht="31.5" hidden="false" customHeight="true" outlineLevel="0" collapsed="false">
      <c r="B27" s="4" t="s">
        <v>41</v>
      </c>
      <c r="C27" s="7" t="s">
        <v>42</v>
      </c>
    </row>
    <row r="28" customFormat="false" ht="19.5" hidden="false" customHeight="true" outlineLevel="0" collapsed="false">
      <c r="B28" s="4" t="s">
        <v>43</v>
      </c>
      <c r="C28" s="7" t="s">
        <v>44</v>
      </c>
    </row>
    <row r="29" customFormat="false" ht="19.5" hidden="false" customHeight="true" outlineLevel="0" collapsed="false">
      <c r="B29" s="4" t="s">
        <v>45</v>
      </c>
      <c r="C29" s="7" t="s">
        <v>46</v>
      </c>
    </row>
    <row r="31" customFormat="false" ht="21.75" hidden="false" customHeight="true" outlineLevel="0" collapsed="false">
      <c r="B31" s="3" t="s">
        <v>47</v>
      </c>
      <c r="C31" s="3"/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31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32</v>
      </c>
      <c r="C35" s="7" t="s">
        <v>54</v>
      </c>
    </row>
    <row r="36" customFormat="false" ht="19.5" hidden="false" customHeight="true" outlineLevel="0" collapsed="false">
      <c r="B36" s="4" t="s">
        <v>55</v>
      </c>
      <c r="C36" s="7" t="s">
        <v>56</v>
      </c>
    </row>
    <row r="37" customFormat="false" ht="19.5" hidden="false" customHeight="true" outlineLevel="0" collapsed="false">
      <c r="B37" s="4" t="s">
        <v>57</v>
      </c>
      <c r="C37" s="7" t="s">
        <v>58</v>
      </c>
    </row>
    <row r="38" customFormat="false" ht="19.5" hidden="false" customHeight="true" outlineLevel="0" collapsed="false">
      <c r="B38" s="4" t="s">
        <v>59</v>
      </c>
      <c r="C38" s="7" t="s">
        <v>60</v>
      </c>
    </row>
    <row r="39" customFormat="false" ht="19.5" hidden="false" customHeight="true" outlineLevel="0" collapsed="false">
      <c r="B39" s="4" t="s">
        <v>61</v>
      </c>
      <c r="C39" s="7" t="s">
        <v>62</v>
      </c>
    </row>
    <row r="41" customFormat="false" ht="21.75" hidden="false" customHeight="true" outlineLevel="0" collapsed="false">
      <c r="B41" s="3" t="s">
        <v>63</v>
      </c>
      <c r="C41" s="3"/>
    </row>
    <row r="42" customFormat="false" ht="19.5" hidden="false" customHeight="true" outlineLevel="0" collapsed="false">
      <c r="B42" s="4" t="s">
        <v>64</v>
      </c>
      <c r="C42" s="7" t="s">
        <v>65</v>
      </c>
    </row>
    <row r="43" customFormat="false" ht="31.5" hidden="false" customHeight="true" outlineLevel="0" collapsed="false">
      <c r="B43" s="4" t="s">
        <v>66</v>
      </c>
      <c r="C43" s="7" t="s">
        <v>67</v>
      </c>
    </row>
    <row r="44" customFormat="false" ht="19.5" hidden="false" customHeight="true" outlineLevel="0" collapsed="false">
      <c r="B44" s="4" t="s">
        <v>68</v>
      </c>
      <c r="C44" s="7" t="s">
        <v>69</v>
      </c>
    </row>
    <row r="45" customFormat="false" ht="31.5" hidden="false" customHeight="true" outlineLevel="0" collapsed="false">
      <c r="B45" s="4" t="s">
        <v>70</v>
      </c>
      <c r="C45" s="7" t="s">
        <v>71</v>
      </c>
    </row>
    <row r="46" customFormat="false" ht="19.5" hidden="false" customHeight="true" outlineLevel="0" collapsed="false">
      <c r="B46" s="4" t="s">
        <v>72</v>
      </c>
      <c r="C46" s="7" t="s">
        <v>73</v>
      </c>
    </row>
  </sheetData>
  <mergeCells count="7">
    <mergeCell ref="B1:C1"/>
    <mergeCell ref="B2:C2"/>
    <mergeCell ref="B4:C4"/>
    <mergeCell ref="B11:C11"/>
    <mergeCell ref="B23:C23"/>
    <mergeCell ref="B31:C31"/>
    <mergeCell ref="B41:C41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M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5" min="4" style="0" width="20"/>
    <col collapsed="false" customWidth="true" hidden="false" outlineLevel="0" max="6" min="6" style="0" width="11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13"/>
    <col collapsed="false" customWidth="true" hidden="false" outlineLevel="0" max="13" min="13" style="0" width="32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74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75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3" hidden="false" customHeight="true" outlineLevel="0" collapsed="false">
      <c r="B4" s="8" t="s">
        <v>76</v>
      </c>
      <c r="C4" s="8" t="s">
        <v>77</v>
      </c>
      <c r="D4" s="8" t="s">
        <v>78</v>
      </c>
      <c r="E4" s="8" t="s">
        <v>79</v>
      </c>
      <c r="F4" s="8" t="s">
        <v>80</v>
      </c>
      <c r="G4" s="8" t="s">
        <v>81</v>
      </c>
      <c r="H4" s="8" t="s">
        <v>82</v>
      </c>
      <c r="I4" s="8" t="s">
        <v>83</v>
      </c>
      <c r="J4" s="8" t="s">
        <v>84</v>
      </c>
      <c r="K4" s="8" t="s">
        <v>16</v>
      </c>
      <c r="L4" s="8" t="s">
        <v>85</v>
      </c>
      <c r="M4" s="8" t="s">
        <v>86</v>
      </c>
    </row>
    <row r="5" customFormat="false" ht="30" hidden="false" customHeight="true" outlineLevel="0" collapsed="false">
      <c r="B5" s="9"/>
      <c r="C5" s="9"/>
      <c r="D5" s="9" t="s">
        <v>87</v>
      </c>
      <c r="E5" s="9" t="s">
        <v>88</v>
      </c>
      <c r="F5" s="9" t="s">
        <v>89</v>
      </c>
      <c r="G5" s="9" t="s">
        <v>90</v>
      </c>
      <c r="H5" s="9" t="s">
        <v>91</v>
      </c>
      <c r="I5" s="9" t="s">
        <v>89</v>
      </c>
      <c r="J5" s="9" t="s">
        <v>92</v>
      </c>
      <c r="K5" s="9" t="s">
        <v>91</v>
      </c>
      <c r="L5" s="9" t="s">
        <v>91</v>
      </c>
      <c r="M5" s="9" t="s">
        <v>91</v>
      </c>
    </row>
    <row r="6" customFormat="false" ht="21.75" hidden="false" customHeight="true" outlineLevel="0" collapsed="false">
      <c r="B6" s="9" t="s">
        <v>93</v>
      </c>
      <c r="C6" s="10" t="s">
        <v>94</v>
      </c>
      <c r="D6" s="10" t="s">
        <v>95</v>
      </c>
      <c r="E6" s="10" t="s">
        <v>96</v>
      </c>
      <c r="F6" s="9" t="n">
        <v>29</v>
      </c>
      <c r="G6" s="9" t="n">
        <v>3</v>
      </c>
      <c r="H6" s="9" t="n">
        <v>10</v>
      </c>
      <c r="I6" s="9" t="n">
        <v>8</v>
      </c>
      <c r="J6" s="9" t="n">
        <v>8</v>
      </c>
      <c r="K6" s="9" t="n">
        <v>-2</v>
      </c>
      <c r="L6" s="9" t="s">
        <v>97</v>
      </c>
      <c r="M6" s="9" t="s">
        <v>98</v>
      </c>
    </row>
    <row r="7" customFormat="false" ht="21.75" hidden="false" customHeight="true" outlineLevel="0" collapsed="false">
      <c r="B7" s="11" t="n">
        <v>1</v>
      </c>
      <c r="C7" s="5"/>
      <c r="D7" s="5"/>
      <c r="E7" s="5"/>
      <c r="F7" s="12"/>
      <c r="G7" s="12"/>
      <c r="H7" s="13" t="str">
        <f aca="false">IF(OR(N(F7)=0,N(G7)=0),"",ROUNDUP(F7/G7,0))</f>
        <v/>
      </c>
      <c r="I7" s="12"/>
      <c r="J7" s="12"/>
      <c r="K7" s="14" t="str">
        <f aca="false">IF(OR(H7="",I7=""),"",I7-H7)</f>
        <v/>
      </c>
      <c r="L7" s="15" t="str">
        <f aca="false">IF(K7="","",IF(K7&lt;0,"Falta gente",IF(K7=0,"Justo","Com folga")))</f>
        <v/>
      </c>
      <c r="M7" s="16" t="str">
        <f aca="false">IF(C7="","",IF(N(F7)=0,"Falta a demanda",IF(N(G7)=0,"Falta a produtividade",IF(I7="","Falta o número escalado",IF(J7="","Falta o número de qualificados",IF(J7&gt;I7,"Mais qualificados que escalados",IF(K7&lt;0,IF(K7=-1,"Falta 1 pessoa","Faltam "&amp;-K7&amp;" pessoas"),IF(J7=0,"Sem pessoa qualificada na escala","OK"))))))))</f>
        <v/>
      </c>
    </row>
    <row r="8" customFormat="false" ht="21.75" hidden="false" customHeight="true" outlineLevel="0" collapsed="false">
      <c r="B8" s="11" t="n">
        <v>2</v>
      </c>
      <c r="C8" s="5"/>
      <c r="D8" s="5"/>
      <c r="E8" s="5"/>
      <c r="F8" s="12"/>
      <c r="G8" s="12"/>
      <c r="H8" s="13" t="str">
        <f aca="false">IF(OR(N(F8)=0,N(G8)=0),"",ROUNDUP(F8/G8,0))</f>
        <v/>
      </c>
      <c r="I8" s="12"/>
      <c r="J8" s="12"/>
      <c r="K8" s="14" t="str">
        <f aca="false">IF(OR(H8="",I8=""),"",I8-H8)</f>
        <v/>
      </c>
      <c r="L8" s="15" t="str">
        <f aca="false">IF(K8="","",IF(K8&lt;0,"Falta gente",IF(K8=0,"Justo","Com folga")))</f>
        <v/>
      </c>
      <c r="M8" s="16" t="str">
        <f aca="false">IF(C8="","",IF(N(F8)=0,"Falta a demanda",IF(N(G8)=0,"Falta a produtividade",IF(I8="","Falta o número escalado",IF(J8="","Falta o número de qualificados",IF(J8&gt;I8,"Mais qualificados que escalados",IF(K8&lt;0,IF(K8=-1,"Falta 1 pessoa","Faltam "&amp;-K8&amp;" pessoas"),IF(J8=0,"Sem pessoa qualificada na escala","OK"))))))))</f>
        <v/>
      </c>
    </row>
    <row r="9" customFormat="false" ht="21.75" hidden="false" customHeight="true" outlineLevel="0" collapsed="false">
      <c r="B9" s="11" t="n">
        <v>3</v>
      </c>
      <c r="C9" s="5"/>
      <c r="D9" s="5"/>
      <c r="E9" s="5"/>
      <c r="F9" s="12"/>
      <c r="G9" s="12"/>
      <c r="H9" s="13" t="str">
        <f aca="false">IF(OR(N(F9)=0,N(G9)=0),"",ROUNDUP(F9/G9,0))</f>
        <v/>
      </c>
      <c r="I9" s="12"/>
      <c r="J9" s="12"/>
      <c r="K9" s="14" t="str">
        <f aca="false">IF(OR(H9="",I9=""),"",I9-H9)</f>
        <v/>
      </c>
      <c r="L9" s="15" t="str">
        <f aca="false">IF(K9="","",IF(K9&lt;0,"Falta gente",IF(K9=0,"Justo","Com folga")))</f>
        <v/>
      </c>
      <c r="M9" s="16" t="str">
        <f aca="false">IF(C9="","",IF(N(F9)=0,"Falta a demanda",IF(N(G9)=0,"Falta a produtividade",IF(I9="","Falta o número escalado",IF(J9="","Falta o número de qualificados",IF(J9&gt;I9,"Mais qualificados que escalados",IF(K9&lt;0,IF(K9=-1,"Falta 1 pessoa","Faltam "&amp;-K9&amp;" pessoas"),IF(J9=0,"Sem pessoa qualificada na escala","OK"))))))))</f>
        <v/>
      </c>
    </row>
    <row r="10" customFormat="false" ht="21.75" hidden="false" customHeight="true" outlineLevel="0" collapsed="false">
      <c r="B10" s="11" t="n">
        <v>4</v>
      </c>
      <c r="C10" s="5"/>
      <c r="D10" s="5"/>
      <c r="E10" s="5"/>
      <c r="F10" s="12"/>
      <c r="G10" s="12"/>
      <c r="H10" s="13" t="str">
        <f aca="false">IF(OR(N(F10)=0,N(G10)=0),"",ROUNDUP(F10/G10,0))</f>
        <v/>
      </c>
      <c r="I10" s="12"/>
      <c r="J10" s="12"/>
      <c r="K10" s="14" t="str">
        <f aca="false">IF(OR(H10="",I10=""),"",I10-H10)</f>
        <v/>
      </c>
      <c r="L10" s="15" t="str">
        <f aca="false">IF(K10="","",IF(K10&lt;0,"Falta gente",IF(K10=0,"Justo","Com folga")))</f>
        <v/>
      </c>
      <c r="M10" s="16" t="str">
        <f aca="false">IF(C10="","",IF(N(F10)=0,"Falta a demanda",IF(N(G10)=0,"Falta a produtividade",IF(I10="","Falta o número escalado",IF(J10="","Falta o número de qualificados",IF(J10&gt;I10,"Mais qualificados que escalados",IF(K10&lt;0,IF(K10=-1,"Falta 1 pessoa","Faltam "&amp;-K10&amp;" pessoas"),IF(J10=0,"Sem pessoa qualificada na escala","OK"))))))))</f>
        <v/>
      </c>
    </row>
    <row r="11" customFormat="false" ht="21.75" hidden="false" customHeight="true" outlineLevel="0" collapsed="false">
      <c r="B11" s="11" t="n">
        <v>5</v>
      </c>
      <c r="C11" s="5"/>
      <c r="D11" s="5"/>
      <c r="E11" s="5"/>
      <c r="F11" s="12"/>
      <c r="G11" s="12"/>
      <c r="H11" s="13" t="str">
        <f aca="false">IF(OR(N(F11)=0,N(G11)=0),"",ROUNDUP(F11/G11,0))</f>
        <v/>
      </c>
      <c r="I11" s="12"/>
      <c r="J11" s="12"/>
      <c r="K11" s="14" t="str">
        <f aca="false">IF(OR(H11="",I11=""),"",I11-H11)</f>
        <v/>
      </c>
      <c r="L11" s="15" t="str">
        <f aca="false">IF(K11="","",IF(K11&lt;0,"Falta gente",IF(K11=0,"Justo","Com folga")))</f>
        <v/>
      </c>
      <c r="M11" s="16" t="str">
        <f aca="false">IF(C11="","",IF(N(F11)=0,"Falta a demanda",IF(N(G11)=0,"Falta a produtividade",IF(I11="","Falta o número escalado",IF(J11="","Falta o número de qualificados",IF(J11&gt;I11,"Mais qualificados que escalados",IF(K11&lt;0,IF(K11=-1,"Falta 1 pessoa","Faltam "&amp;-K11&amp;" pessoas"),IF(J11=0,"Sem pessoa qualificada na escala","OK"))))))))</f>
        <v/>
      </c>
    </row>
    <row r="12" customFormat="false" ht="21.75" hidden="false" customHeight="true" outlineLevel="0" collapsed="false">
      <c r="B12" s="11" t="n">
        <v>6</v>
      </c>
      <c r="C12" s="5"/>
      <c r="D12" s="5"/>
      <c r="E12" s="5"/>
      <c r="F12" s="12"/>
      <c r="G12" s="12"/>
      <c r="H12" s="13" t="str">
        <f aca="false">IF(OR(N(F12)=0,N(G12)=0),"",ROUNDUP(F12/G12,0))</f>
        <v/>
      </c>
      <c r="I12" s="12"/>
      <c r="J12" s="12"/>
      <c r="K12" s="14" t="str">
        <f aca="false">IF(OR(H12="",I12=""),"",I12-H12)</f>
        <v/>
      </c>
      <c r="L12" s="15" t="str">
        <f aca="false">IF(K12="","",IF(K12&lt;0,"Falta gente",IF(K12=0,"Justo","Com folga")))</f>
        <v/>
      </c>
      <c r="M12" s="16" t="str">
        <f aca="false">IF(C12="","",IF(N(F12)=0,"Falta a demanda",IF(N(G12)=0,"Falta a produtividade",IF(I12="","Falta o número escalado",IF(J12="","Falta o número de qualificados",IF(J12&gt;I12,"Mais qualificados que escalados",IF(K12&lt;0,IF(K12=-1,"Falta 1 pessoa","Faltam "&amp;-K12&amp;" pessoas"),IF(J12=0,"Sem pessoa qualificada na escala","OK"))))))))</f>
        <v/>
      </c>
    </row>
    <row r="13" customFormat="false" ht="21.75" hidden="false" customHeight="true" outlineLevel="0" collapsed="false">
      <c r="B13" s="11" t="n">
        <v>7</v>
      </c>
      <c r="C13" s="5"/>
      <c r="D13" s="5"/>
      <c r="E13" s="5"/>
      <c r="F13" s="12"/>
      <c r="G13" s="12"/>
      <c r="H13" s="13" t="str">
        <f aca="false">IF(OR(N(F13)=0,N(G13)=0),"",ROUNDUP(F13/G13,0))</f>
        <v/>
      </c>
      <c r="I13" s="12"/>
      <c r="J13" s="12"/>
      <c r="K13" s="14" t="str">
        <f aca="false">IF(OR(H13="",I13=""),"",I13-H13)</f>
        <v/>
      </c>
      <c r="L13" s="15" t="str">
        <f aca="false">IF(K13="","",IF(K13&lt;0,"Falta gente",IF(K13=0,"Justo","Com folga")))</f>
        <v/>
      </c>
      <c r="M13" s="16" t="str">
        <f aca="false">IF(C13="","",IF(N(F13)=0,"Falta a demanda",IF(N(G13)=0,"Falta a produtividade",IF(I13="","Falta o número escalado",IF(J13="","Falta o número de qualificados",IF(J13&gt;I13,"Mais qualificados que escalados",IF(K13&lt;0,IF(K13=-1,"Falta 1 pessoa","Faltam "&amp;-K13&amp;" pessoas"),IF(J13=0,"Sem pessoa qualificada na escala","OK"))))))))</f>
        <v/>
      </c>
    </row>
    <row r="14" customFormat="false" ht="21.75" hidden="false" customHeight="true" outlineLevel="0" collapsed="false">
      <c r="B14" s="11" t="n">
        <v>8</v>
      </c>
      <c r="C14" s="5"/>
      <c r="D14" s="5"/>
      <c r="E14" s="5"/>
      <c r="F14" s="12"/>
      <c r="G14" s="12"/>
      <c r="H14" s="13" t="str">
        <f aca="false">IF(OR(N(F14)=0,N(G14)=0),"",ROUNDUP(F14/G14,0))</f>
        <v/>
      </c>
      <c r="I14" s="12"/>
      <c r="J14" s="12"/>
      <c r="K14" s="14" t="str">
        <f aca="false">IF(OR(H14="",I14=""),"",I14-H14)</f>
        <v/>
      </c>
      <c r="L14" s="15" t="str">
        <f aca="false">IF(K14="","",IF(K14&lt;0,"Falta gente",IF(K14=0,"Justo","Com folga")))</f>
        <v/>
      </c>
      <c r="M14" s="16" t="str">
        <f aca="false">IF(C14="","",IF(N(F14)=0,"Falta a demanda",IF(N(G14)=0,"Falta a produtividade",IF(I14="","Falta o número escalado",IF(J14="","Falta o número de qualificados",IF(J14&gt;I14,"Mais qualificados que escalados",IF(K14&lt;0,IF(K14=-1,"Falta 1 pessoa","Faltam "&amp;-K14&amp;" pessoas"),IF(J14=0,"Sem pessoa qualificada na escala","OK"))))))))</f>
        <v/>
      </c>
    </row>
    <row r="15" customFormat="false" ht="21.75" hidden="false" customHeight="true" outlineLevel="0" collapsed="false">
      <c r="B15" s="11" t="n">
        <v>9</v>
      </c>
      <c r="C15" s="5"/>
      <c r="D15" s="5"/>
      <c r="E15" s="5"/>
      <c r="F15" s="12"/>
      <c r="G15" s="12"/>
      <c r="H15" s="13" t="str">
        <f aca="false">IF(OR(N(F15)=0,N(G15)=0),"",ROUNDUP(F15/G15,0))</f>
        <v/>
      </c>
      <c r="I15" s="12"/>
      <c r="J15" s="12"/>
      <c r="K15" s="14" t="str">
        <f aca="false">IF(OR(H15="",I15=""),"",I15-H15)</f>
        <v/>
      </c>
      <c r="L15" s="15" t="str">
        <f aca="false">IF(K15="","",IF(K15&lt;0,"Falta gente",IF(K15=0,"Justo","Com folga")))</f>
        <v/>
      </c>
      <c r="M15" s="16" t="str">
        <f aca="false">IF(C15="","",IF(N(F15)=0,"Falta a demanda",IF(N(G15)=0,"Falta a produtividade",IF(I15="","Falta o número escalado",IF(J15="","Falta o número de qualificados",IF(J15&gt;I15,"Mais qualificados que escalados",IF(K15&lt;0,IF(K15=-1,"Falta 1 pessoa","Faltam "&amp;-K15&amp;" pessoas"),IF(J15=0,"Sem pessoa qualificada na escala","OK"))))))))</f>
        <v/>
      </c>
    </row>
    <row r="16" customFormat="false" ht="21.75" hidden="false" customHeight="true" outlineLevel="0" collapsed="false">
      <c r="B16" s="11" t="n">
        <v>10</v>
      </c>
      <c r="C16" s="5"/>
      <c r="D16" s="5"/>
      <c r="E16" s="5"/>
      <c r="F16" s="12"/>
      <c r="G16" s="12"/>
      <c r="H16" s="13" t="str">
        <f aca="false">IF(OR(N(F16)=0,N(G16)=0),"",ROUNDUP(F16/G16,0))</f>
        <v/>
      </c>
      <c r="I16" s="12"/>
      <c r="J16" s="12"/>
      <c r="K16" s="14" t="str">
        <f aca="false">IF(OR(H16="",I16=""),"",I16-H16)</f>
        <v/>
      </c>
      <c r="L16" s="15" t="str">
        <f aca="false">IF(K16="","",IF(K16&lt;0,"Falta gente",IF(K16=0,"Justo","Com folga")))</f>
        <v/>
      </c>
      <c r="M16" s="16" t="str">
        <f aca="false">IF(C16="","",IF(N(F16)=0,"Falta a demanda",IF(N(G16)=0,"Falta a produtividade",IF(I16="","Falta o número escalado",IF(J16="","Falta o número de qualificados",IF(J16&gt;I16,"Mais qualificados que escalados",IF(K16&lt;0,IF(K16=-1,"Falta 1 pessoa","Faltam "&amp;-K16&amp;" pessoas"),IF(J16=0,"Sem pessoa qualificada na escala","OK"))))))))</f>
        <v/>
      </c>
    </row>
    <row r="17" customFormat="false" ht="21.75" hidden="false" customHeight="true" outlineLevel="0" collapsed="false">
      <c r="B17" s="11" t="n">
        <v>11</v>
      </c>
      <c r="C17" s="5"/>
      <c r="D17" s="5"/>
      <c r="E17" s="5"/>
      <c r="F17" s="12"/>
      <c r="G17" s="12"/>
      <c r="H17" s="13" t="str">
        <f aca="false">IF(OR(N(F17)=0,N(G17)=0),"",ROUNDUP(F17/G17,0))</f>
        <v/>
      </c>
      <c r="I17" s="12"/>
      <c r="J17" s="12"/>
      <c r="K17" s="14" t="str">
        <f aca="false">IF(OR(H17="",I17=""),"",I17-H17)</f>
        <v/>
      </c>
      <c r="L17" s="15" t="str">
        <f aca="false">IF(K17="","",IF(K17&lt;0,"Falta gente",IF(K17=0,"Justo","Com folga")))</f>
        <v/>
      </c>
      <c r="M17" s="16" t="str">
        <f aca="false">IF(C17="","",IF(N(F17)=0,"Falta a demanda",IF(N(G17)=0,"Falta a produtividade",IF(I17="","Falta o número escalado",IF(J17="","Falta o número de qualificados",IF(J17&gt;I17,"Mais qualificados que escalados",IF(K17&lt;0,IF(K17=-1,"Falta 1 pessoa","Faltam "&amp;-K17&amp;" pessoas"),IF(J17=0,"Sem pessoa qualificada na escala","OK"))))))))</f>
        <v/>
      </c>
    </row>
    <row r="18" customFormat="false" ht="21.75" hidden="false" customHeight="true" outlineLevel="0" collapsed="false">
      <c r="B18" s="11" t="n">
        <v>12</v>
      </c>
      <c r="C18" s="5"/>
      <c r="D18" s="5"/>
      <c r="E18" s="5"/>
      <c r="F18" s="12"/>
      <c r="G18" s="12"/>
      <c r="H18" s="13" t="str">
        <f aca="false">IF(OR(N(F18)=0,N(G18)=0),"",ROUNDUP(F18/G18,0))</f>
        <v/>
      </c>
      <c r="I18" s="12"/>
      <c r="J18" s="12"/>
      <c r="K18" s="14" t="str">
        <f aca="false">IF(OR(H18="",I18=""),"",I18-H18)</f>
        <v/>
      </c>
      <c r="L18" s="15" t="str">
        <f aca="false">IF(K18="","",IF(K18&lt;0,"Falta gente",IF(K18=0,"Justo","Com folga")))</f>
        <v/>
      </c>
      <c r="M18" s="16" t="str">
        <f aca="false">IF(C18="","",IF(N(F18)=0,"Falta a demanda",IF(N(G18)=0,"Falta a produtividade",IF(I18="","Falta o número escalado",IF(J18="","Falta o número de qualificados",IF(J18&gt;I18,"Mais qualificados que escalados",IF(K18&lt;0,IF(K18=-1,"Falta 1 pessoa","Faltam "&amp;-K18&amp;" pessoas"),IF(J18=0,"Sem pessoa qualificada na escala","OK"))))))))</f>
        <v/>
      </c>
    </row>
    <row r="19" customFormat="false" ht="21.75" hidden="false" customHeight="true" outlineLevel="0" collapsed="false">
      <c r="B19" s="11" t="n">
        <v>13</v>
      </c>
      <c r="C19" s="5"/>
      <c r="D19" s="5"/>
      <c r="E19" s="5"/>
      <c r="F19" s="12"/>
      <c r="G19" s="12"/>
      <c r="H19" s="13" t="str">
        <f aca="false">IF(OR(N(F19)=0,N(G19)=0),"",ROUNDUP(F19/G19,0))</f>
        <v/>
      </c>
      <c r="I19" s="12"/>
      <c r="J19" s="12"/>
      <c r="K19" s="14" t="str">
        <f aca="false">IF(OR(H19="",I19=""),"",I19-H19)</f>
        <v/>
      </c>
      <c r="L19" s="15" t="str">
        <f aca="false">IF(K19="","",IF(K19&lt;0,"Falta gente",IF(K19=0,"Justo","Com folga")))</f>
        <v/>
      </c>
      <c r="M19" s="16" t="str">
        <f aca="false">IF(C19="","",IF(N(F19)=0,"Falta a demanda",IF(N(G19)=0,"Falta a produtividade",IF(I19="","Falta o número escalado",IF(J19="","Falta o número de qualificados",IF(J19&gt;I19,"Mais qualificados que escalados",IF(K19&lt;0,IF(K19=-1,"Falta 1 pessoa","Faltam "&amp;-K19&amp;" pessoas"),IF(J19=0,"Sem pessoa qualificada na escala","OK"))))))))</f>
        <v/>
      </c>
    </row>
    <row r="20" customFormat="false" ht="21.75" hidden="false" customHeight="true" outlineLevel="0" collapsed="false">
      <c r="B20" s="11" t="n">
        <v>14</v>
      </c>
      <c r="C20" s="5"/>
      <c r="D20" s="5"/>
      <c r="E20" s="5"/>
      <c r="F20" s="12"/>
      <c r="G20" s="12"/>
      <c r="H20" s="13" t="str">
        <f aca="false">IF(OR(N(F20)=0,N(G20)=0),"",ROUNDUP(F20/G20,0))</f>
        <v/>
      </c>
      <c r="I20" s="12"/>
      <c r="J20" s="12"/>
      <c r="K20" s="14" t="str">
        <f aca="false">IF(OR(H20="",I20=""),"",I20-H20)</f>
        <v/>
      </c>
      <c r="L20" s="15" t="str">
        <f aca="false">IF(K20="","",IF(K20&lt;0,"Falta gente",IF(K20=0,"Justo","Com folga")))</f>
        <v/>
      </c>
      <c r="M20" s="16" t="str">
        <f aca="false">IF(C20="","",IF(N(F20)=0,"Falta a demanda",IF(N(G20)=0,"Falta a produtividade",IF(I20="","Falta o número escalado",IF(J20="","Falta o número de qualificados",IF(J20&gt;I20,"Mais qualificados que escalados",IF(K20&lt;0,IF(K20=-1,"Falta 1 pessoa","Faltam "&amp;-K20&amp;" pessoas"),IF(J20=0,"Sem pessoa qualificada na escala","OK"))))))))</f>
        <v/>
      </c>
    </row>
    <row r="21" customFormat="false" ht="21.75" hidden="false" customHeight="true" outlineLevel="0" collapsed="false">
      <c r="B21" s="11" t="n">
        <v>15</v>
      </c>
      <c r="C21" s="5"/>
      <c r="D21" s="5"/>
      <c r="E21" s="5"/>
      <c r="F21" s="12"/>
      <c r="G21" s="12"/>
      <c r="H21" s="13" t="str">
        <f aca="false">IF(OR(N(F21)=0,N(G21)=0),"",ROUNDUP(F21/G21,0))</f>
        <v/>
      </c>
      <c r="I21" s="12"/>
      <c r="J21" s="12"/>
      <c r="K21" s="14" t="str">
        <f aca="false">IF(OR(H21="",I21=""),"",I21-H21)</f>
        <v/>
      </c>
      <c r="L21" s="15" t="str">
        <f aca="false">IF(K21="","",IF(K21&lt;0,"Falta gente",IF(K21=0,"Justo","Com folga")))</f>
        <v/>
      </c>
      <c r="M21" s="16" t="str">
        <f aca="false">IF(C21="","",IF(N(F21)=0,"Falta a demanda",IF(N(G21)=0,"Falta a produtividade",IF(I21="","Falta o número escalado",IF(J21="","Falta o número de qualificados",IF(J21&gt;I21,"Mais qualificados que escalados",IF(K21&lt;0,IF(K21=-1,"Falta 1 pessoa","Faltam "&amp;-K21&amp;" pessoas"),IF(J21=0,"Sem pessoa qualificada na escala","OK"))))))))</f>
        <v/>
      </c>
    </row>
    <row r="22" customFormat="false" ht="21.75" hidden="false" customHeight="true" outlineLevel="0" collapsed="false">
      <c r="B22" s="11" t="n">
        <v>16</v>
      </c>
      <c r="C22" s="5"/>
      <c r="D22" s="5"/>
      <c r="E22" s="5"/>
      <c r="F22" s="12"/>
      <c r="G22" s="12"/>
      <c r="H22" s="13" t="str">
        <f aca="false">IF(OR(N(F22)=0,N(G22)=0),"",ROUNDUP(F22/G22,0))</f>
        <v/>
      </c>
      <c r="I22" s="12"/>
      <c r="J22" s="12"/>
      <c r="K22" s="14" t="str">
        <f aca="false">IF(OR(H22="",I22=""),"",I22-H22)</f>
        <v/>
      </c>
      <c r="L22" s="15" t="str">
        <f aca="false">IF(K22="","",IF(K22&lt;0,"Falta gente",IF(K22=0,"Justo","Com folga")))</f>
        <v/>
      </c>
      <c r="M22" s="16" t="str">
        <f aca="false">IF(C22="","",IF(N(F22)=0,"Falta a demanda",IF(N(G22)=0,"Falta a produtividade",IF(I22="","Falta o número escalado",IF(J22="","Falta o número de qualificados",IF(J22&gt;I22,"Mais qualificados que escalados",IF(K22&lt;0,IF(K22=-1,"Falta 1 pessoa","Faltam "&amp;-K22&amp;" pessoas"),IF(J22=0,"Sem pessoa qualificada na escala","OK"))))))))</f>
        <v/>
      </c>
    </row>
    <row r="23" customFormat="false" ht="21.75" hidden="false" customHeight="true" outlineLevel="0" collapsed="false">
      <c r="B23" s="11" t="n">
        <v>17</v>
      </c>
      <c r="C23" s="5"/>
      <c r="D23" s="5"/>
      <c r="E23" s="5"/>
      <c r="F23" s="12"/>
      <c r="G23" s="12"/>
      <c r="H23" s="13" t="str">
        <f aca="false">IF(OR(N(F23)=0,N(G23)=0),"",ROUNDUP(F23/G23,0))</f>
        <v/>
      </c>
      <c r="I23" s="12"/>
      <c r="J23" s="12"/>
      <c r="K23" s="14" t="str">
        <f aca="false">IF(OR(H23="",I23=""),"",I23-H23)</f>
        <v/>
      </c>
      <c r="L23" s="15" t="str">
        <f aca="false">IF(K23="","",IF(K23&lt;0,"Falta gente",IF(K23=0,"Justo","Com folga")))</f>
        <v/>
      </c>
      <c r="M23" s="16" t="str">
        <f aca="false">IF(C23="","",IF(N(F23)=0,"Falta a demanda",IF(N(G23)=0,"Falta a produtividade",IF(I23="","Falta o número escalado",IF(J23="","Falta o número de qualificados",IF(J23&gt;I23,"Mais qualificados que escalados",IF(K23&lt;0,IF(K23=-1,"Falta 1 pessoa","Faltam "&amp;-K23&amp;" pessoas"),IF(J23=0,"Sem pessoa qualificada na escala","OK"))))))))</f>
        <v/>
      </c>
    </row>
    <row r="24" customFormat="false" ht="21.75" hidden="false" customHeight="true" outlineLevel="0" collapsed="false">
      <c r="B24" s="11" t="n">
        <v>18</v>
      </c>
      <c r="C24" s="5"/>
      <c r="D24" s="5"/>
      <c r="E24" s="5"/>
      <c r="F24" s="12"/>
      <c r="G24" s="12"/>
      <c r="H24" s="13" t="str">
        <f aca="false">IF(OR(N(F24)=0,N(G24)=0),"",ROUNDUP(F24/G24,0))</f>
        <v/>
      </c>
      <c r="I24" s="12"/>
      <c r="J24" s="12"/>
      <c r="K24" s="14" t="str">
        <f aca="false">IF(OR(H24="",I24=""),"",I24-H24)</f>
        <v/>
      </c>
      <c r="L24" s="15" t="str">
        <f aca="false">IF(K24="","",IF(K24&lt;0,"Falta gente",IF(K24=0,"Justo","Com folga")))</f>
        <v/>
      </c>
      <c r="M24" s="16" t="str">
        <f aca="false">IF(C24="","",IF(N(F24)=0,"Falta a demanda",IF(N(G24)=0,"Falta a produtividade",IF(I24="","Falta o número escalado",IF(J24="","Falta o número de qualificados",IF(J24&gt;I24,"Mais qualificados que escalados",IF(K24&lt;0,IF(K24=-1,"Falta 1 pessoa","Faltam "&amp;-K24&amp;" pessoas"),IF(J24=0,"Sem pessoa qualificada na escala","OK"))))))))</f>
        <v/>
      </c>
    </row>
    <row r="25" customFormat="false" ht="21.75" hidden="false" customHeight="true" outlineLevel="0" collapsed="false">
      <c r="B25" s="11" t="n">
        <v>19</v>
      </c>
      <c r="C25" s="5"/>
      <c r="D25" s="5"/>
      <c r="E25" s="5"/>
      <c r="F25" s="12"/>
      <c r="G25" s="12"/>
      <c r="H25" s="13" t="str">
        <f aca="false">IF(OR(N(F25)=0,N(G25)=0),"",ROUNDUP(F25/G25,0))</f>
        <v/>
      </c>
      <c r="I25" s="12"/>
      <c r="J25" s="12"/>
      <c r="K25" s="14" t="str">
        <f aca="false">IF(OR(H25="",I25=""),"",I25-H25)</f>
        <v/>
      </c>
      <c r="L25" s="15" t="str">
        <f aca="false">IF(K25="","",IF(K25&lt;0,"Falta gente",IF(K25=0,"Justo","Com folga")))</f>
        <v/>
      </c>
      <c r="M25" s="16" t="str">
        <f aca="false">IF(C25="","",IF(N(F25)=0,"Falta a demanda",IF(N(G25)=0,"Falta a produtividade",IF(I25="","Falta o número escalado",IF(J25="","Falta o número de qualificados",IF(J25&gt;I25,"Mais qualificados que escalados",IF(K25&lt;0,IF(K25=-1,"Falta 1 pessoa","Faltam "&amp;-K25&amp;" pessoas"),IF(J25=0,"Sem pessoa qualificada na escala","OK"))))))))</f>
        <v/>
      </c>
    </row>
    <row r="26" customFormat="false" ht="21.75" hidden="false" customHeight="true" outlineLevel="0" collapsed="false">
      <c r="B26" s="11" t="n">
        <v>20</v>
      </c>
      <c r="C26" s="5"/>
      <c r="D26" s="5"/>
      <c r="E26" s="5"/>
      <c r="F26" s="12"/>
      <c r="G26" s="12"/>
      <c r="H26" s="13" t="str">
        <f aca="false">IF(OR(N(F26)=0,N(G26)=0),"",ROUNDUP(F26/G26,0))</f>
        <v/>
      </c>
      <c r="I26" s="12"/>
      <c r="J26" s="12"/>
      <c r="K26" s="14" t="str">
        <f aca="false">IF(OR(H26="",I26=""),"",I26-H26)</f>
        <v/>
      </c>
      <c r="L26" s="15" t="str">
        <f aca="false">IF(K26="","",IF(K26&lt;0,"Falta gente",IF(K26=0,"Justo","Com folga")))</f>
        <v/>
      </c>
      <c r="M26" s="16" t="str">
        <f aca="false">IF(C26="","",IF(N(F26)=0,"Falta a demanda",IF(N(G26)=0,"Falta a produtividade",IF(I26="","Falta o número escalado",IF(J26="","Falta o número de qualificados",IF(J26&gt;I26,"Mais qualificados que escalados",IF(K26&lt;0,IF(K26=-1,"Falta 1 pessoa","Faltam "&amp;-K26&amp;" pessoas"),IF(J26=0,"Sem pessoa qualificada na escala","OK"))))))))</f>
        <v/>
      </c>
    </row>
    <row r="27" customFormat="false" ht="21.75" hidden="false" customHeight="true" outlineLevel="0" collapsed="false">
      <c r="B27" s="11" t="n">
        <v>21</v>
      </c>
      <c r="C27" s="5"/>
      <c r="D27" s="5"/>
      <c r="E27" s="5"/>
      <c r="F27" s="12"/>
      <c r="G27" s="12"/>
      <c r="H27" s="13" t="str">
        <f aca="false">IF(OR(N(F27)=0,N(G27)=0),"",ROUNDUP(F27/G27,0))</f>
        <v/>
      </c>
      <c r="I27" s="12"/>
      <c r="J27" s="12"/>
      <c r="K27" s="14" t="str">
        <f aca="false">IF(OR(H27="",I27=""),"",I27-H27)</f>
        <v/>
      </c>
      <c r="L27" s="15" t="str">
        <f aca="false">IF(K27="","",IF(K27&lt;0,"Falta gente",IF(K27=0,"Justo","Com folga")))</f>
        <v/>
      </c>
      <c r="M27" s="16" t="str">
        <f aca="false">IF(C27="","",IF(N(F27)=0,"Falta a demanda",IF(N(G27)=0,"Falta a produtividade",IF(I27="","Falta o número escalado",IF(J27="","Falta o número de qualificados",IF(J27&gt;I27,"Mais qualificados que escalados",IF(K27&lt;0,IF(K27=-1,"Falta 1 pessoa","Faltam "&amp;-K27&amp;" pessoas"),IF(J27=0,"Sem pessoa qualificada na escala","OK"))))))))</f>
        <v/>
      </c>
    </row>
    <row r="28" customFormat="false" ht="21.75" hidden="false" customHeight="true" outlineLevel="0" collapsed="false">
      <c r="B28" s="11" t="n">
        <v>22</v>
      </c>
      <c r="C28" s="5"/>
      <c r="D28" s="5"/>
      <c r="E28" s="5"/>
      <c r="F28" s="12"/>
      <c r="G28" s="12"/>
      <c r="H28" s="13" t="str">
        <f aca="false">IF(OR(N(F28)=0,N(G28)=0),"",ROUNDUP(F28/G28,0))</f>
        <v/>
      </c>
      <c r="I28" s="12"/>
      <c r="J28" s="12"/>
      <c r="K28" s="14" t="str">
        <f aca="false">IF(OR(H28="",I28=""),"",I28-H28)</f>
        <v/>
      </c>
      <c r="L28" s="15" t="str">
        <f aca="false">IF(K28="","",IF(K28&lt;0,"Falta gente",IF(K28=0,"Justo","Com folga")))</f>
        <v/>
      </c>
      <c r="M28" s="16" t="str">
        <f aca="false">IF(C28="","",IF(N(F28)=0,"Falta a demanda",IF(N(G28)=0,"Falta a produtividade",IF(I28="","Falta o número escalado",IF(J28="","Falta o número de qualificados",IF(J28&gt;I28,"Mais qualificados que escalados",IF(K28&lt;0,IF(K28=-1,"Falta 1 pessoa","Faltam "&amp;-K28&amp;" pessoas"),IF(J28=0,"Sem pessoa qualificada na escala","OK"))))))))</f>
        <v/>
      </c>
    </row>
    <row r="29" customFormat="false" ht="21.75" hidden="false" customHeight="true" outlineLevel="0" collapsed="false">
      <c r="B29" s="11" t="n">
        <v>23</v>
      </c>
      <c r="C29" s="5"/>
      <c r="D29" s="5"/>
      <c r="E29" s="5"/>
      <c r="F29" s="12"/>
      <c r="G29" s="12"/>
      <c r="H29" s="13" t="str">
        <f aca="false">IF(OR(N(F29)=0,N(G29)=0),"",ROUNDUP(F29/G29,0))</f>
        <v/>
      </c>
      <c r="I29" s="12"/>
      <c r="J29" s="12"/>
      <c r="K29" s="14" t="str">
        <f aca="false">IF(OR(H29="",I29=""),"",I29-H29)</f>
        <v/>
      </c>
      <c r="L29" s="15" t="str">
        <f aca="false">IF(K29="","",IF(K29&lt;0,"Falta gente",IF(K29=0,"Justo","Com folga")))</f>
        <v/>
      </c>
      <c r="M29" s="16" t="str">
        <f aca="false">IF(C29="","",IF(N(F29)=0,"Falta a demanda",IF(N(G29)=0,"Falta a produtividade",IF(I29="","Falta o número escalado",IF(J29="","Falta o número de qualificados",IF(J29&gt;I29,"Mais qualificados que escalados",IF(K29&lt;0,IF(K29=-1,"Falta 1 pessoa","Faltam "&amp;-K29&amp;" pessoas"),IF(J29=0,"Sem pessoa qualificada na escala","OK"))))))))</f>
        <v/>
      </c>
    </row>
    <row r="30" customFormat="false" ht="21.75" hidden="false" customHeight="true" outlineLevel="0" collapsed="false">
      <c r="B30" s="11" t="n">
        <v>24</v>
      </c>
      <c r="C30" s="5"/>
      <c r="D30" s="5"/>
      <c r="E30" s="5"/>
      <c r="F30" s="12"/>
      <c r="G30" s="12"/>
      <c r="H30" s="13" t="str">
        <f aca="false">IF(OR(N(F30)=0,N(G30)=0),"",ROUNDUP(F30/G30,0))</f>
        <v/>
      </c>
      <c r="I30" s="12"/>
      <c r="J30" s="12"/>
      <c r="K30" s="14" t="str">
        <f aca="false">IF(OR(H30="",I30=""),"",I30-H30)</f>
        <v/>
      </c>
      <c r="L30" s="15" t="str">
        <f aca="false">IF(K30="","",IF(K30&lt;0,"Falta gente",IF(K30=0,"Justo","Com folga")))</f>
        <v/>
      </c>
      <c r="M30" s="16" t="str">
        <f aca="false">IF(C30="","",IF(N(F30)=0,"Falta a demanda",IF(N(G30)=0,"Falta a produtividade",IF(I30="","Falta o número escalado",IF(J30="","Falta o número de qualificados",IF(J30&gt;I30,"Mais qualificados que escalados",IF(K30&lt;0,IF(K30=-1,"Falta 1 pessoa","Faltam "&amp;-K30&amp;" pessoas"),IF(J30=0,"Sem pessoa qualificada na escala","OK"))))))))</f>
        <v/>
      </c>
    </row>
    <row r="31" customFormat="false" ht="21.75" hidden="false" customHeight="true" outlineLevel="0" collapsed="false">
      <c r="B31" s="11" t="n">
        <v>25</v>
      </c>
      <c r="C31" s="5"/>
      <c r="D31" s="5"/>
      <c r="E31" s="5"/>
      <c r="F31" s="12"/>
      <c r="G31" s="12"/>
      <c r="H31" s="13" t="str">
        <f aca="false">IF(OR(N(F31)=0,N(G31)=0),"",ROUNDUP(F31/G31,0))</f>
        <v/>
      </c>
      <c r="I31" s="12"/>
      <c r="J31" s="12"/>
      <c r="K31" s="14" t="str">
        <f aca="false">IF(OR(H31="",I31=""),"",I31-H31)</f>
        <v/>
      </c>
      <c r="L31" s="15" t="str">
        <f aca="false">IF(K31="","",IF(K31&lt;0,"Falta gente",IF(K31=0,"Justo","Com folga")))</f>
        <v/>
      </c>
      <c r="M31" s="16" t="str">
        <f aca="false">IF(C31="","",IF(N(F31)=0,"Falta a demanda",IF(N(G31)=0,"Falta a produtividade",IF(I31="","Falta o número escalado",IF(J31="","Falta o número de qualificados",IF(J31&gt;I31,"Mais qualificados que escalados",IF(K31&lt;0,IF(K31=-1,"Falta 1 pessoa","Faltam "&amp;-K31&amp;" pessoas"),IF(J31=0,"Sem pessoa qualificada na escala","OK"))))))))</f>
        <v/>
      </c>
    </row>
    <row r="32" customFormat="false" ht="21.75" hidden="false" customHeight="true" outlineLevel="0" collapsed="false">
      <c r="B32" s="11" t="n">
        <v>26</v>
      </c>
      <c r="C32" s="5"/>
      <c r="D32" s="5"/>
      <c r="E32" s="5"/>
      <c r="F32" s="12"/>
      <c r="G32" s="12"/>
      <c r="H32" s="13" t="str">
        <f aca="false">IF(OR(N(F32)=0,N(G32)=0),"",ROUNDUP(F32/G32,0))</f>
        <v/>
      </c>
      <c r="I32" s="12"/>
      <c r="J32" s="12"/>
      <c r="K32" s="14" t="str">
        <f aca="false">IF(OR(H32="",I32=""),"",I32-H32)</f>
        <v/>
      </c>
      <c r="L32" s="15" t="str">
        <f aca="false">IF(K32="","",IF(K32&lt;0,"Falta gente",IF(K32=0,"Justo","Com folga")))</f>
        <v/>
      </c>
      <c r="M32" s="16" t="str">
        <f aca="false">IF(C32="","",IF(N(F32)=0,"Falta a demanda",IF(N(G32)=0,"Falta a produtividade",IF(I32="","Falta o número escalado",IF(J32="","Falta o número de qualificados",IF(J32&gt;I32,"Mais qualificados que escalados",IF(K32&lt;0,IF(K32=-1,"Falta 1 pessoa","Faltam "&amp;-K32&amp;" pessoas"),IF(J32=0,"Sem pessoa qualificada na escala","OK"))))))))</f>
        <v/>
      </c>
    </row>
    <row r="33" customFormat="false" ht="21.75" hidden="false" customHeight="true" outlineLevel="0" collapsed="false">
      <c r="B33" s="11" t="n">
        <v>27</v>
      </c>
      <c r="C33" s="5"/>
      <c r="D33" s="5"/>
      <c r="E33" s="5"/>
      <c r="F33" s="12"/>
      <c r="G33" s="12"/>
      <c r="H33" s="13" t="str">
        <f aca="false">IF(OR(N(F33)=0,N(G33)=0),"",ROUNDUP(F33/G33,0))</f>
        <v/>
      </c>
      <c r="I33" s="12"/>
      <c r="J33" s="12"/>
      <c r="K33" s="14" t="str">
        <f aca="false">IF(OR(H33="",I33=""),"",I33-H33)</f>
        <v/>
      </c>
      <c r="L33" s="15" t="str">
        <f aca="false">IF(K33="","",IF(K33&lt;0,"Falta gente",IF(K33=0,"Justo","Com folga")))</f>
        <v/>
      </c>
      <c r="M33" s="16" t="str">
        <f aca="false">IF(C33="","",IF(N(F33)=0,"Falta a demanda",IF(N(G33)=0,"Falta a produtividade",IF(I33="","Falta o número escalado",IF(J33="","Falta o número de qualificados",IF(J33&gt;I33,"Mais qualificados que escalados",IF(K33&lt;0,IF(K33=-1,"Falta 1 pessoa","Faltam "&amp;-K33&amp;" pessoas"),IF(J33=0,"Sem pessoa qualificada na escala","OK"))))))))</f>
        <v/>
      </c>
    </row>
    <row r="34" customFormat="false" ht="21.75" hidden="false" customHeight="true" outlineLevel="0" collapsed="false">
      <c r="B34" s="11" t="n">
        <v>28</v>
      </c>
      <c r="C34" s="5"/>
      <c r="D34" s="5"/>
      <c r="E34" s="5"/>
      <c r="F34" s="12"/>
      <c r="G34" s="12"/>
      <c r="H34" s="13" t="str">
        <f aca="false">IF(OR(N(F34)=0,N(G34)=0),"",ROUNDUP(F34/G34,0))</f>
        <v/>
      </c>
      <c r="I34" s="12"/>
      <c r="J34" s="12"/>
      <c r="K34" s="14" t="str">
        <f aca="false">IF(OR(H34="",I34=""),"",I34-H34)</f>
        <v/>
      </c>
      <c r="L34" s="15" t="str">
        <f aca="false">IF(K34="","",IF(K34&lt;0,"Falta gente",IF(K34=0,"Justo","Com folga")))</f>
        <v/>
      </c>
      <c r="M34" s="16" t="str">
        <f aca="false">IF(C34="","",IF(N(F34)=0,"Falta a demanda",IF(N(G34)=0,"Falta a produtividade",IF(I34="","Falta o número escalado",IF(J34="","Falta o número de qualificados",IF(J34&gt;I34,"Mais qualificados que escalados",IF(K34&lt;0,IF(K34=-1,"Falta 1 pessoa","Faltam "&amp;-K34&amp;" pessoas"),IF(J34=0,"Sem pessoa qualificada na escala","OK"))))))))</f>
        <v/>
      </c>
    </row>
    <row r="35" customFormat="false" ht="21.75" hidden="false" customHeight="true" outlineLevel="0" collapsed="false">
      <c r="B35" s="11" t="n">
        <v>29</v>
      </c>
      <c r="C35" s="5"/>
      <c r="D35" s="5"/>
      <c r="E35" s="5"/>
      <c r="F35" s="12"/>
      <c r="G35" s="12"/>
      <c r="H35" s="13" t="str">
        <f aca="false">IF(OR(N(F35)=0,N(G35)=0),"",ROUNDUP(F35/G35,0))</f>
        <v/>
      </c>
      <c r="I35" s="12"/>
      <c r="J35" s="12"/>
      <c r="K35" s="14" t="str">
        <f aca="false">IF(OR(H35="",I35=""),"",I35-H35)</f>
        <v/>
      </c>
      <c r="L35" s="15" t="str">
        <f aca="false">IF(K35="","",IF(K35&lt;0,"Falta gente",IF(K35=0,"Justo","Com folga")))</f>
        <v/>
      </c>
      <c r="M35" s="16" t="str">
        <f aca="false">IF(C35="","",IF(N(F35)=0,"Falta a demanda",IF(N(G35)=0,"Falta a produtividade",IF(I35="","Falta o número escalado",IF(J35="","Falta o número de qualificados",IF(J35&gt;I35,"Mais qualificados que escalados",IF(K35&lt;0,IF(K35=-1,"Falta 1 pessoa","Faltam "&amp;-K35&amp;" pessoas"),IF(J35=0,"Sem pessoa qualificada na escala","OK"))))))))</f>
        <v/>
      </c>
    </row>
    <row r="36" customFormat="false" ht="21.75" hidden="false" customHeight="true" outlineLevel="0" collapsed="false">
      <c r="B36" s="11" t="n">
        <v>30</v>
      </c>
      <c r="C36" s="5"/>
      <c r="D36" s="5"/>
      <c r="E36" s="5"/>
      <c r="F36" s="12"/>
      <c r="G36" s="12"/>
      <c r="H36" s="13" t="str">
        <f aca="false">IF(OR(N(F36)=0,N(G36)=0),"",ROUNDUP(F36/G36,0))</f>
        <v/>
      </c>
      <c r="I36" s="12"/>
      <c r="J36" s="12"/>
      <c r="K36" s="14" t="str">
        <f aca="false">IF(OR(H36="",I36=""),"",I36-H36)</f>
        <v/>
      </c>
      <c r="L36" s="15" t="str">
        <f aca="false">IF(K36="","",IF(K36&lt;0,"Falta gente",IF(K36=0,"Justo","Com folga")))</f>
        <v/>
      </c>
      <c r="M36" s="16" t="str">
        <f aca="false">IF(C36="","",IF(N(F36)=0,"Falta a demanda",IF(N(G36)=0,"Falta a produtividade",IF(I36="","Falta o número escalado",IF(J36="","Falta o número de qualificados",IF(J36&gt;I36,"Mais qualificados que escalados",IF(K36&lt;0,IF(K36=-1,"Falta 1 pessoa","Faltam "&amp;-K36&amp;" pessoas"),IF(J36=0,"Sem pessoa qualificada na escala","OK"))))))))</f>
        <v/>
      </c>
    </row>
    <row r="38" customFormat="false" ht="21.75" hidden="false" customHeight="true" outlineLevel="0" collapsed="false">
      <c r="B38" s="17" t="s">
        <v>99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</row>
    <row r="39" customFormat="false" ht="21.75" hidden="false" customHeight="true" outlineLevel="0" collapsed="false">
      <c r="B39" s="18" t="s">
        <v>100</v>
      </c>
      <c r="C39" s="18"/>
      <c r="D39" s="18"/>
      <c r="E39" s="19" t="n">
        <f aca="false">COUNTA(C7:C36)</f>
        <v>0</v>
      </c>
      <c r="F39" s="19"/>
      <c r="G39" s="19"/>
      <c r="H39" s="19"/>
      <c r="I39" s="19"/>
      <c r="J39" s="19"/>
      <c r="K39" s="19"/>
      <c r="L39" s="19"/>
      <c r="M39" s="19"/>
    </row>
    <row r="40" customFormat="false" ht="21.75" hidden="false" customHeight="true" outlineLevel="0" collapsed="false">
      <c r="B40" s="18" t="s">
        <v>101</v>
      </c>
      <c r="C40" s="18"/>
      <c r="D40" s="18"/>
      <c r="E40" s="19" t="str">
        <f aca="false">COUNTIF(L7:L36,"Falta gente")&amp;" linhas, "&amp;-SUMIF(K7:K36,"&lt;0")&amp;" pessoas a menos no pico"</f>
        <v>0 linhas, 0 pessoas a menos no pico</v>
      </c>
      <c r="F40" s="19"/>
      <c r="G40" s="19"/>
      <c r="H40" s="19"/>
      <c r="I40" s="19"/>
      <c r="J40" s="19"/>
      <c r="K40" s="19"/>
      <c r="L40" s="19"/>
      <c r="M40" s="19"/>
    </row>
    <row r="41" customFormat="false" ht="21.75" hidden="false" customHeight="true" outlineLevel="0" collapsed="false">
      <c r="B41" s="18" t="s">
        <v>102</v>
      </c>
      <c r="C41" s="18"/>
      <c r="D41" s="18"/>
      <c r="E41" s="20" t="str">
        <f aca="false">IF(E39=0,"Liste as funções e os períodos",IF(COUNTIF(L7:L36,"Falta gente")&gt;0,"Há função com falta de gente no pico",IF(COUNTIF(M7:M36,"Sem pessoa qualificada na escala")&gt;0,"Há função sem pessoa qualificada na escala",IF(SUMPRODUCT((M7:M36&lt;&gt;"")*(M7:M36&lt;&gt;"OK"))&gt;0,"Há linha a completar: veja a coluna Conferência","OK"))))</f>
        <v>Liste as funções e os períodos</v>
      </c>
      <c r="F41" s="20"/>
      <c r="G41" s="20"/>
      <c r="H41" s="20"/>
      <c r="I41" s="20"/>
      <c r="J41" s="20"/>
      <c r="K41" s="20"/>
      <c r="L41" s="20"/>
      <c r="M41" s="20"/>
    </row>
  </sheetData>
  <mergeCells count="9">
    <mergeCell ref="B1:M1"/>
    <mergeCell ref="B2:M2"/>
    <mergeCell ref="B38:M38"/>
    <mergeCell ref="B39:D39"/>
    <mergeCell ref="E39:M39"/>
    <mergeCell ref="B40:D40"/>
    <mergeCell ref="E40:M40"/>
    <mergeCell ref="B41:D41"/>
    <mergeCell ref="E41:M41"/>
  </mergeCells>
  <conditionalFormatting sqref="L7:L36">
    <cfRule type="expression" priority="2" aboveAverage="0" equalAverage="0" bottom="0" percent="0" rank="0" text="" dxfId="0">
      <formula>L7="Falta gente"</formula>
    </cfRule>
    <cfRule type="expression" priority="3" aboveAverage="0" equalAverage="0" bottom="0" percent="0" rank="0" text="" dxfId="1">
      <formula>L7="Justo"</formula>
    </cfRule>
    <cfRule type="expression" priority="4" aboveAverage="0" equalAverage="0" bottom="0" percent="0" rank="0" text="" dxfId="2">
      <formula>L7="Com folga"</formula>
    </cfRule>
  </conditionalFormatting>
  <conditionalFormatting sqref="M7:M36">
    <cfRule type="expression" priority="5" aboveAverage="0" equalAverage="0" bottom="0" percent="0" rank="0" text="" dxfId="2">
      <formula>OR(M7="OK")</formula>
    </cfRule>
    <cfRule type="expression" priority="6" aboveAverage="0" equalAverage="0" bottom="0" percent="0" rank="0" text="" dxfId="3">
      <formula>AND(LEN(M7)&gt;0,NOT(OR(M7="OK")))</formula>
    </cfRule>
  </conditionalFormatting>
  <conditionalFormatting sqref="E41:M41">
    <cfRule type="expression" priority="7" aboveAverage="0" equalAverage="0" bottom="0" percent="0" rank="0" text="" dxfId="2">
      <formula>OR(E41="OK")</formula>
    </cfRule>
    <cfRule type="expression" priority="8" aboveAverage="0" equalAverage="0" bottom="0" percent="0" rank="0" text="" dxfId="3">
      <formula>AND(LEN(E41)&gt;0,NOT(OR(E41="OK")))</formula>
    </cfRule>
  </conditionalFormatting>
  <dataValidations count="2">
    <dataValidation allowBlank="true" error="Digite apenas o número, sem texto nem unidade." errorStyle="stop" errorTitle="Valor inválido" operator="between" showDropDown="false" showErrorMessage="true" showInputMessage="false" sqref="F7:G3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I7:J3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Q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9" topLeftCell="E10" activePane="bottomRight" state="frozen"/>
      <selection pane="topLeft" activeCell="A1" activeCellId="0" sqref="A1"/>
      <selection pane="topRight" activeCell="E1" activeCellId="0" sqref="E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0"/>
    <col collapsed="false" customWidth="true" hidden="false" outlineLevel="0" max="4" min="4" style="0" width="26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8" min="7" style="0" width="11"/>
    <col collapsed="false" customWidth="true" hidden="false" outlineLevel="0" max="9" min="9" style="0" width="12"/>
    <col collapsed="false" customWidth="true" hidden="false" outlineLevel="0" max="10" min="10" style="0" width="34"/>
    <col collapsed="false" customWidth="true" hidden="false" outlineLevel="0" max="12" min="11" style="0" width="12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50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103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5" hidden="false" customHeight="true" outlineLevel="0" collapsed="false">
      <c r="B4" s="4" t="s">
        <v>104</v>
      </c>
      <c r="C4" s="4"/>
      <c r="D4" s="4"/>
      <c r="E4" s="21"/>
      <c r="F4" s="10" t="s">
        <v>105</v>
      </c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</row>
    <row r="5" customFormat="false" ht="15" hidden="false" customHeight="true" outlineLevel="0" collapsed="false">
      <c r="B5" s="4" t="s">
        <v>106</v>
      </c>
      <c r="C5" s="4"/>
      <c r="D5" s="4"/>
      <c r="E5" s="21"/>
      <c r="F5" s="10" t="s">
        <v>107</v>
      </c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</row>
    <row r="6" customFormat="false" ht="15" hidden="false" customHeight="true" outlineLevel="0" collapsed="false">
      <c r="B6" s="4" t="s">
        <v>108</v>
      </c>
      <c r="C6" s="4"/>
      <c r="D6" s="4"/>
      <c r="E6" s="22"/>
      <c r="F6" s="10" t="s">
        <v>109</v>
      </c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</row>
    <row r="8" customFormat="false" ht="33" hidden="false" customHeight="true" outlineLevel="0" collapsed="false">
      <c r="B8" s="8" t="s">
        <v>76</v>
      </c>
      <c r="C8" s="8" t="s">
        <v>110</v>
      </c>
      <c r="D8" s="8" t="s">
        <v>111</v>
      </c>
      <c r="E8" s="8" t="s">
        <v>112</v>
      </c>
      <c r="F8" s="8" t="s">
        <v>113</v>
      </c>
      <c r="G8" s="8" t="s">
        <v>66</v>
      </c>
      <c r="H8" s="8" t="s">
        <v>114</v>
      </c>
      <c r="I8" s="8" t="s">
        <v>115</v>
      </c>
      <c r="J8" s="8" t="s">
        <v>68</v>
      </c>
      <c r="K8" s="8" t="s">
        <v>70</v>
      </c>
      <c r="L8" s="8" t="s">
        <v>116</v>
      </c>
      <c r="M8" s="8" t="s">
        <v>85</v>
      </c>
      <c r="N8" s="8" t="s">
        <v>117</v>
      </c>
      <c r="O8" s="8" t="s">
        <v>118</v>
      </c>
      <c r="P8" s="8" t="s">
        <v>119</v>
      </c>
      <c r="Q8" s="8" t="s">
        <v>86</v>
      </c>
    </row>
    <row r="9" customFormat="false" ht="30" hidden="false" customHeight="true" outlineLevel="0" collapsed="false">
      <c r="B9" s="9"/>
      <c r="C9" s="9" t="s">
        <v>120</v>
      </c>
      <c r="D9" s="9"/>
      <c r="E9" s="9" t="s">
        <v>121</v>
      </c>
      <c r="F9" s="9"/>
      <c r="G9" s="9" t="s">
        <v>121</v>
      </c>
      <c r="H9" s="9" t="s">
        <v>89</v>
      </c>
      <c r="I9" s="9" t="s">
        <v>122</v>
      </c>
      <c r="J9" s="9" t="s">
        <v>123</v>
      </c>
      <c r="K9" s="9" t="s">
        <v>124</v>
      </c>
      <c r="L9" s="9" t="s">
        <v>91</v>
      </c>
      <c r="M9" s="9" t="s">
        <v>91</v>
      </c>
      <c r="N9" s="9" t="s">
        <v>91</v>
      </c>
      <c r="O9" s="9" t="s">
        <v>91</v>
      </c>
      <c r="P9" s="9" t="s">
        <v>91</v>
      </c>
      <c r="Q9" s="9" t="s">
        <v>91</v>
      </c>
    </row>
    <row r="10" customFormat="false" ht="30" hidden="false" customHeight="true" outlineLevel="0" collapsed="false">
      <c r="B10" s="11" t="n">
        <v>1</v>
      </c>
      <c r="C10" s="23"/>
      <c r="D10" s="5"/>
      <c r="E10" s="23"/>
      <c r="F10" s="5"/>
      <c r="G10" s="23"/>
      <c r="H10" s="12"/>
      <c r="I10" s="21"/>
      <c r="J10" s="5"/>
      <c r="K10" s="12"/>
      <c r="L10" s="24" t="str">
        <f aca="false">IF(OR(I10="",H10=""),"",EDATE(I10,H10))</f>
        <v/>
      </c>
      <c r="M10" s="15" t="str">
        <f aca="false">IF(C10="","",IF(H10="","Sem plano",IF(I10="","Atrasada",IF(AND(ISNUMBER($E$5),L10&lt;$E$5),"Atrasada",IF(AND(ISNUMBER($E$5),L10-$E$5&lt;=7),"Vence em 7 dias","Em dia")))))</f>
        <v/>
      </c>
      <c r="N10" s="14" t="str">
        <f aca="false">IF(OR(C10="",$E$4="",$E$5=""),"",COUNTIFS(Manutenções!$D$7:$D$86,C10,Manutenções!$F$7:$F$86,"Corretiva",Manutenções!$C$7:$C$86,"&gt;="&amp;$E$4,Manutenções!$C$7:$C$86,"&lt;="&amp;$E$5))</f>
        <v/>
      </c>
      <c r="O10" s="25" t="str">
        <f aca="false">IF(OR(C10="",$E$4="",$E$5=""),"",SUMIFS(Manutenções!$G$7:$G$86,Manutenções!$D$7:$D$86,C10,Manutenções!$F$7:$F$86,"Corretiva",Manutenções!$C$7:$C$86,"&gt;="&amp;$E$4,Manutenções!$C$7:$C$86,"&lt;="&amp;$E$5))</f>
        <v/>
      </c>
      <c r="P10" s="26" t="str">
        <f aca="false">IF(OR(N(K10)=0,O10=""),"",(K10-O10)/K10)</f>
        <v/>
      </c>
      <c r="Q10" s="16" t="str">
        <f aca="false">IF(C10="","",IF(E10="","Falta o tipo",IF(G10="","Falta a criticidade",IF(AND(OR(G10="Alta",G10="Média"),H10=""),"Sem plano de preventiva",IF(M10="Atrasada","Preventiva atrasada",IF(AND(G10="Alta",J10=""),"Crítico sem contingência",IF(AND(ISNUMBER(P10),ISNUMBER($E$6)),IF(P10&lt;$E$6-0.000000001,"Disponibilidade abaixo da meta","OK"),"OK")))))))</f>
        <v/>
      </c>
    </row>
    <row r="11" customFormat="false" ht="30" hidden="false" customHeight="true" outlineLevel="0" collapsed="false">
      <c r="B11" s="11" t="n">
        <v>2</v>
      </c>
      <c r="C11" s="23"/>
      <c r="D11" s="5"/>
      <c r="E11" s="23"/>
      <c r="F11" s="5"/>
      <c r="G11" s="23"/>
      <c r="H11" s="12"/>
      <c r="I11" s="21"/>
      <c r="J11" s="5"/>
      <c r="K11" s="12"/>
      <c r="L11" s="24" t="str">
        <f aca="false">IF(OR(I11="",H11=""),"",EDATE(I11,H11))</f>
        <v/>
      </c>
      <c r="M11" s="15" t="str">
        <f aca="false">IF(C11="","",IF(H11="","Sem plano",IF(I11="","Atrasada",IF(AND(ISNUMBER($E$5),L11&lt;$E$5),"Atrasada",IF(AND(ISNUMBER($E$5),L11-$E$5&lt;=7),"Vence em 7 dias","Em dia")))))</f>
        <v/>
      </c>
      <c r="N11" s="14" t="str">
        <f aca="false">IF(OR(C11="",$E$4="",$E$5=""),"",COUNTIFS(Manutenções!$D$7:$D$86,C11,Manutenções!$F$7:$F$86,"Corretiva",Manutenções!$C$7:$C$86,"&gt;="&amp;$E$4,Manutenções!$C$7:$C$86,"&lt;="&amp;$E$5))</f>
        <v/>
      </c>
      <c r="O11" s="25" t="str">
        <f aca="false">IF(OR(C11="",$E$4="",$E$5=""),"",SUMIFS(Manutenções!$G$7:$G$86,Manutenções!$D$7:$D$86,C11,Manutenções!$F$7:$F$86,"Corretiva",Manutenções!$C$7:$C$86,"&gt;="&amp;$E$4,Manutenções!$C$7:$C$86,"&lt;="&amp;$E$5))</f>
        <v/>
      </c>
      <c r="P11" s="26" t="str">
        <f aca="false">IF(OR(N(K11)=0,O11=""),"",(K11-O11)/K11)</f>
        <v/>
      </c>
      <c r="Q11" s="16" t="str">
        <f aca="false">IF(C11="","",IF(E11="","Falta o tipo",IF(G11="","Falta a criticidade",IF(AND(OR(G11="Alta",G11="Média"),H11=""),"Sem plano de preventiva",IF(M11="Atrasada","Preventiva atrasada",IF(AND(G11="Alta",J11=""),"Crítico sem contingência",IF(AND(ISNUMBER(P11),ISNUMBER($E$6)),IF(P11&lt;$E$6-0.000000001,"Disponibilidade abaixo da meta","OK"),"OK")))))))</f>
        <v/>
      </c>
    </row>
    <row r="12" customFormat="false" ht="30" hidden="false" customHeight="true" outlineLevel="0" collapsed="false">
      <c r="B12" s="11" t="n">
        <v>3</v>
      </c>
      <c r="C12" s="23"/>
      <c r="D12" s="5"/>
      <c r="E12" s="23"/>
      <c r="F12" s="5"/>
      <c r="G12" s="23"/>
      <c r="H12" s="12"/>
      <c r="I12" s="21"/>
      <c r="J12" s="5"/>
      <c r="K12" s="12"/>
      <c r="L12" s="24" t="str">
        <f aca="false">IF(OR(I12="",H12=""),"",EDATE(I12,H12))</f>
        <v/>
      </c>
      <c r="M12" s="15" t="str">
        <f aca="false">IF(C12="","",IF(H12="","Sem plano",IF(I12="","Atrasada",IF(AND(ISNUMBER($E$5),L12&lt;$E$5),"Atrasada",IF(AND(ISNUMBER($E$5),L12-$E$5&lt;=7),"Vence em 7 dias","Em dia")))))</f>
        <v/>
      </c>
      <c r="N12" s="14" t="str">
        <f aca="false">IF(OR(C12="",$E$4="",$E$5=""),"",COUNTIFS(Manutenções!$D$7:$D$86,C12,Manutenções!$F$7:$F$86,"Corretiva",Manutenções!$C$7:$C$86,"&gt;="&amp;$E$4,Manutenções!$C$7:$C$86,"&lt;="&amp;$E$5))</f>
        <v/>
      </c>
      <c r="O12" s="25" t="str">
        <f aca="false">IF(OR(C12="",$E$4="",$E$5=""),"",SUMIFS(Manutenções!$G$7:$G$86,Manutenções!$D$7:$D$86,C12,Manutenções!$F$7:$F$86,"Corretiva",Manutenções!$C$7:$C$86,"&gt;="&amp;$E$4,Manutenções!$C$7:$C$86,"&lt;="&amp;$E$5))</f>
        <v/>
      </c>
      <c r="P12" s="26" t="str">
        <f aca="false">IF(OR(N(K12)=0,O12=""),"",(K12-O12)/K12)</f>
        <v/>
      </c>
      <c r="Q12" s="16" t="str">
        <f aca="false">IF(C12="","",IF(E12="","Falta o tipo",IF(G12="","Falta a criticidade",IF(AND(OR(G12="Alta",G12="Média"),H12=""),"Sem plano de preventiva",IF(M12="Atrasada","Preventiva atrasada",IF(AND(G12="Alta",J12=""),"Crítico sem contingência",IF(AND(ISNUMBER(P12),ISNUMBER($E$6)),IF(P12&lt;$E$6-0.000000001,"Disponibilidade abaixo da meta","OK"),"OK")))))))</f>
        <v/>
      </c>
    </row>
    <row r="13" customFormat="false" ht="30" hidden="false" customHeight="true" outlineLevel="0" collapsed="false">
      <c r="B13" s="11" t="n">
        <v>4</v>
      </c>
      <c r="C13" s="23"/>
      <c r="D13" s="5"/>
      <c r="E13" s="23"/>
      <c r="F13" s="5"/>
      <c r="G13" s="23"/>
      <c r="H13" s="12"/>
      <c r="I13" s="21"/>
      <c r="J13" s="5"/>
      <c r="K13" s="12"/>
      <c r="L13" s="24" t="str">
        <f aca="false">IF(OR(I13="",H13=""),"",EDATE(I13,H13))</f>
        <v/>
      </c>
      <c r="M13" s="15" t="str">
        <f aca="false">IF(C13="","",IF(H13="","Sem plano",IF(I13="","Atrasada",IF(AND(ISNUMBER($E$5),L13&lt;$E$5),"Atrasada",IF(AND(ISNUMBER($E$5),L13-$E$5&lt;=7),"Vence em 7 dias","Em dia")))))</f>
        <v/>
      </c>
      <c r="N13" s="14" t="str">
        <f aca="false">IF(OR(C13="",$E$4="",$E$5=""),"",COUNTIFS(Manutenções!$D$7:$D$86,C13,Manutenções!$F$7:$F$86,"Corretiva",Manutenções!$C$7:$C$86,"&gt;="&amp;$E$4,Manutenções!$C$7:$C$86,"&lt;="&amp;$E$5))</f>
        <v/>
      </c>
      <c r="O13" s="25" t="str">
        <f aca="false">IF(OR(C13="",$E$4="",$E$5=""),"",SUMIFS(Manutenções!$G$7:$G$86,Manutenções!$D$7:$D$86,C13,Manutenções!$F$7:$F$86,"Corretiva",Manutenções!$C$7:$C$86,"&gt;="&amp;$E$4,Manutenções!$C$7:$C$86,"&lt;="&amp;$E$5))</f>
        <v/>
      </c>
      <c r="P13" s="26" t="str">
        <f aca="false">IF(OR(N(K13)=0,O13=""),"",(K13-O13)/K13)</f>
        <v/>
      </c>
      <c r="Q13" s="16" t="str">
        <f aca="false">IF(C13="","",IF(E13="","Falta o tipo",IF(G13="","Falta a criticidade",IF(AND(OR(G13="Alta",G13="Média"),H13=""),"Sem plano de preventiva",IF(M13="Atrasada","Preventiva atrasada",IF(AND(G13="Alta",J13=""),"Crítico sem contingência",IF(AND(ISNUMBER(P13),ISNUMBER($E$6)),IF(P13&lt;$E$6-0.000000001,"Disponibilidade abaixo da meta","OK"),"OK")))))))</f>
        <v/>
      </c>
    </row>
    <row r="14" customFormat="false" ht="30" hidden="false" customHeight="true" outlineLevel="0" collapsed="false">
      <c r="B14" s="11" t="n">
        <v>5</v>
      </c>
      <c r="C14" s="23"/>
      <c r="D14" s="5"/>
      <c r="E14" s="23"/>
      <c r="F14" s="5"/>
      <c r="G14" s="23"/>
      <c r="H14" s="12"/>
      <c r="I14" s="21"/>
      <c r="J14" s="5"/>
      <c r="K14" s="12"/>
      <c r="L14" s="24" t="str">
        <f aca="false">IF(OR(I14="",H14=""),"",EDATE(I14,H14))</f>
        <v/>
      </c>
      <c r="M14" s="15" t="str">
        <f aca="false">IF(C14="","",IF(H14="","Sem plano",IF(I14="","Atrasada",IF(AND(ISNUMBER($E$5),L14&lt;$E$5),"Atrasada",IF(AND(ISNUMBER($E$5),L14-$E$5&lt;=7),"Vence em 7 dias","Em dia")))))</f>
        <v/>
      </c>
      <c r="N14" s="14" t="str">
        <f aca="false">IF(OR(C14="",$E$4="",$E$5=""),"",COUNTIFS(Manutenções!$D$7:$D$86,C14,Manutenções!$F$7:$F$86,"Corretiva",Manutenções!$C$7:$C$86,"&gt;="&amp;$E$4,Manutenções!$C$7:$C$86,"&lt;="&amp;$E$5))</f>
        <v/>
      </c>
      <c r="O14" s="25" t="str">
        <f aca="false">IF(OR(C14="",$E$4="",$E$5=""),"",SUMIFS(Manutenções!$G$7:$G$86,Manutenções!$D$7:$D$86,C14,Manutenções!$F$7:$F$86,"Corretiva",Manutenções!$C$7:$C$86,"&gt;="&amp;$E$4,Manutenções!$C$7:$C$86,"&lt;="&amp;$E$5))</f>
        <v/>
      </c>
      <c r="P14" s="26" t="str">
        <f aca="false">IF(OR(N(K14)=0,O14=""),"",(K14-O14)/K14)</f>
        <v/>
      </c>
      <c r="Q14" s="16" t="str">
        <f aca="false">IF(C14="","",IF(E14="","Falta o tipo",IF(G14="","Falta a criticidade",IF(AND(OR(G14="Alta",G14="Média"),H14=""),"Sem plano de preventiva",IF(M14="Atrasada","Preventiva atrasada",IF(AND(G14="Alta",J14=""),"Crítico sem contingência",IF(AND(ISNUMBER(P14),ISNUMBER($E$6)),IF(P14&lt;$E$6-0.000000001,"Disponibilidade abaixo da meta","OK"),"OK")))))))</f>
        <v/>
      </c>
    </row>
    <row r="15" customFormat="false" ht="30" hidden="false" customHeight="true" outlineLevel="0" collapsed="false">
      <c r="B15" s="11" t="n">
        <v>6</v>
      </c>
      <c r="C15" s="23"/>
      <c r="D15" s="5"/>
      <c r="E15" s="23"/>
      <c r="F15" s="5"/>
      <c r="G15" s="23"/>
      <c r="H15" s="12"/>
      <c r="I15" s="21"/>
      <c r="J15" s="5"/>
      <c r="K15" s="12"/>
      <c r="L15" s="24" t="str">
        <f aca="false">IF(OR(I15="",H15=""),"",EDATE(I15,H15))</f>
        <v/>
      </c>
      <c r="M15" s="15" t="str">
        <f aca="false">IF(C15="","",IF(H15="","Sem plano",IF(I15="","Atrasada",IF(AND(ISNUMBER($E$5),L15&lt;$E$5),"Atrasada",IF(AND(ISNUMBER($E$5),L15-$E$5&lt;=7),"Vence em 7 dias","Em dia")))))</f>
        <v/>
      </c>
      <c r="N15" s="14" t="str">
        <f aca="false">IF(OR(C15="",$E$4="",$E$5=""),"",COUNTIFS(Manutenções!$D$7:$D$86,C15,Manutenções!$F$7:$F$86,"Corretiva",Manutenções!$C$7:$C$86,"&gt;="&amp;$E$4,Manutenções!$C$7:$C$86,"&lt;="&amp;$E$5))</f>
        <v/>
      </c>
      <c r="O15" s="25" t="str">
        <f aca="false">IF(OR(C15="",$E$4="",$E$5=""),"",SUMIFS(Manutenções!$G$7:$G$86,Manutenções!$D$7:$D$86,C15,Manutenções!$F$7:$F$86,"Corretiva",Manutenções!$C$7:$C$86,"&gt;="&amp;$E$4,Manutenções!$C$7:$C$86,"&lt;="&amp;$E$5))</f>
        <v/>
      </c>
      <c r="P15" s="26" t="str">
        <f aca="false">IF(OR(N(K15)=0,O15=""),"",(K15-O15)/K15)</f>
        <v/>
      </c>
      <c r="Q15" s="16" t="str">
        <f aca="false">IF(C15="","",IF(E15="","Falta o tipo",IF(G15="","Falta a criticidade",IF(AND(OR(G15="Alta",G15="Média"),H15=""),"Sem plano de preventiva",IF(M15="Atrasada","Preventiva atrasada",IF(AND(G15="Alta",J15=""),"Crítico sem contingência",IF(AND(ISNUMBER(P15),ISNUMBER($E$6)),IF(P15&lt;$E$6-0.000000001,"Disponibilidade abaixo da meta","OK"),"OK")))))))</f>
        <v/>
      </c>
    </row>
    <row r="16" customFormat="false" ht="30" hidden="false" customHeight="true" outlineLevel="0" collapsed="false">
      <c r="B16" s="11" t="n">
        <v>7</v>
      </c>
      <c r="C16" s="23"/>
      <c r="D16" s="5"/>
      <c r="E16" s="23"/>
      <c r="F16" s="5"/>
      <c r="G16" s="23"/>
      <c r="H16" s="12"/>
      <c r="I16" s="21"/>
      <c r="J16" s="5"/>
      <c r="K16" s="12"/>
      <c r="L16" s="24" t="str">
        <f aca="false">IF(OR(I16="",H16=""),"",EDATE(I16,H16))</f>
        <v/>
      </c>
      <c r="M16" s="15" t="str">
        <f aca="false">IF(C16="","",IF(H16="","Sem plano",IF(I16="","Atrasada",IF(AND(ISNUMBER($E$5),L16&lt;$E$5),"Atrasada",IF(AND(ISNUMBER($E$5),L16-$E$5&lt;=7),"Vence em 7 dias","Em dia")))))</f>
        <v/>
      </c>
      <c r="N16" s="14" t="str">
        <f aca="false">IF(OR(C16="",$E$4="",$E$5=""),"",COUNTIFS(Manutenções!$D$7:$D$86,C16,Manutenções!$F$7:$F$86,"Corretiva",Manutenções!$C$7:$C$86,"&gt;="&amp;$E$4,Manutenções!$C$7:$C$86,"&lt;="&amp;$E$5))</f>
        <v/>
      </c>
      <c r="O16" s="25" t="str">
        <f aca="false">IF(OR(C16="",$E$4="",$E$5=""),"",SUMIFS(Manutenções!$G$7:$G$86,Manutenções!$D$7:$D$86,C16,Manutenções!$F$7:$F$86,"Corretiva",Manutenções!$C$7:$C$86,"&gt;="&amp;$E$4,Manutenções!$C$7:$C$86,"&lt;="&amp;$E$5))</f>
        <v/>
      </c>
      <c r="P16" s="26" t="str">
        <f aca="false">IF(OR(N(K16)=0,O16=""),"",(K16-O16)/K16)</f>
        <v/>
      </c>
      <c r="Q16" s="16" t="str">
        <f aca="false">IF(C16="","",IF(E16="","Falta o tipo",IF(G16="","Falta a criticidade",IF(AND(OR(G16="Alta",G16="Média"),H16=""),"Sem plano de preventiva",IF(M16="Atrasada","Preventiva atrasada",IF(AND(G16="Alta",J16=""),"Crítico sem contingência",IF(AND(ISNUMBER(P16),ISNUMBER($E$6)),IF(P16&lt;$E$6-0.000000001,"Disponibilidade abaixo da meta","OK"),"OK")))))))</f>
        <v/>
      </c>
    </row>
    <row r="17" customFormat="false" ht="30" hidden="false" customHeight="true" outlineLevel="0" collapsed="false">
      <c r="B17" s="11" t="n">
        <v>8</v>
      </c>
      <c r="C17" s="23"/>
      <c r="D17" s="5"/>
      <c r="E17" s="23"/>
      <c r="F17" s="5"/>
      <c r="G17" s="23"/>
      <c r="H17" s="12"/>
      <c r="I17" s="21"/>
      <c r="J17" s="5"/>
      <c r="K17" s="12"/>
      <c r="L17" s="24" t="str">
        <f aca="false">IF(OR(I17="",H17=""),"",EDATE(I17,H17))</f>
        <v/>
      </c>
      <c r="M17" s="15" t="str">
        <f aca="false">IF(C17="","",IF(H17="","Sem plano",IF(I17="","Atrasada",IF(AND(ISNUMBER($E$5),L17&lt;$E$5),"Atrasada",IF(AND(ISNUMBER($E$5),L17-$E$5&lt;=7),"Vence em 7 dias","Em dia")))))</f>
        <v/>
      </c>
      <c r="N17" s="14" t="str">
        <f aca="false">IF(OR(C17="",$E$4="",$E$5=""),"",COUNTIFS(Manutenções!$D$7:$D$86,C17,Manutenções!$F$7:$F$86,"Corretiva",Manutenções!$C$7:$C$86,"&gt;="&amp;$E$4,Manutenções!$C$7:$C$86,"&lt;="&amp;$E$5))</f>
        <v/>
      </c>
      <c r="O17" s="25" t="str">
        <f aca="false">IF(OR(C17="",$E$4="",$E$5=""),"",SUMIFS(Manutenções!$G$7:$G$86,Manutenções!$D$7:$D$86,C17,Manutenções!$F$7:$F$86,"Corretiva",Manutenções!$C$7:$C$86,"&gt;="&amp;$E$4,Manutenções!$C$7:$C$86,"&lt;="&amp;$E$5))</f>
        <v/>
      </c>
      <c r="P17" s="26" t="str">
        <f aca="false">IF(OR(N(K17)=0,O17=""),"",(K17-O17)/K17)</f>
        <v/>
      </c>
      <c r="Q17" s="16" t="str">
        <f aca="false">IF(C17="","",IF(E17="","Falta o tipo",IF(G17="","Falta a criticidade",IF(AND(OR(G17="Alta",G17="Média"),H17=""),"Sem plano de preventiva",IF(M17="Atrasada","Preventiva atrasada",IF(AND(G17="Alta",J17=""),"Crítico sem contingência",IF(AND(ISNUMBER(P17),ISNUMBER($E$6)),IF(P17&lt;$E$6-0.000000001,"Disponibilidade abaixo da meta","OK"),"OK")))))))</f>
        <v/>
      </c>
    </row>
    <row r="18" customFormat="false" ht="30" hidden="false" customHeight="true" outlineLevel="0" collapsed="false">
      <c r="B18" s="11" t="n">
        <v>9</v>
      </c>
      <c r="C18" s="23"/>
      <c r="D18" s="5"/>
      <c r="E18" s="23"/>
      <c r="F18" s="5"/>
      <c r="G18" s="23"/>
      <c r="H18" s="12"/>
      <c r="I18" s="21"/>
      <c r="J18" s="5"/>
      <c r="K18" s="12"/>
      <c r="L18" s="24" t="str">
        <f aca="false">IF(OR(I18="",H18=""),"",EDATE(I18,H18))</f>
        <v/>
      </c>
      <c r="M18" s="15" t="str">
        <f aca="false">IF(C18="","",IF(H18="","Sem plano",IF(I18="","Atrasada",IF(AND(ISNUMBER($E$5),L18&lt;$E$5),"Atrasada",IF(AND(ISNUMBER($E$5),L18-$E$5&lt;=7),"Vence em 7 dias","Em dia")))))</f>
        <v/>
      </c>
      <c r="N18" s="14" t="str">
        <f aca="false">IF(OR(C18="",$E$4="",$E$5=""),"",COUNTIFS(Manutenções!$D$7:$D$86,C18,Manutenções!$F$7:$F$86,"Corretiva",Manutenções!$C$7:$C$86,"&gt;="&amp;$E$4,Manutenções!$C$7:$C$86,"&lt;="&amp;$E$5))</f>
        <v/>
      </c>
      <c r="O18" s="25" t="str">
        <f aca="false">IF(OR(C18="",$E$4="",$E$5=""),"",SUMIFS(Manutenções!$G$7:$G$86,Manutenções!$D$7:$D$86,C18,Manutenções!$F$7:$F$86,"Corretiva",Manutenções!$C$7:$C$86,"&gt;="&amp;$E$4,Manutenções!$C$7:$C$86,"&lt;="&amp;$E$5))</f>
        <v/>
      </c>
      <c r="P18" s="26" t="str">
        <f aca="false">IF(OR(N(K18)=0,O18=""),"",(K18-O18)/K18)</f>
        <v/>
      </c>
      <c r="Q18" s="16" t="str">
        <f aca="false">IF(C18="","",IF(E18="","Falta o tipo",IF(G18="","Falta a criticidade",IF(AND(OR(G18="Alta",G18="Média"),H18=""),"Sem plano de preventiva",IF(M18="Atrasada","Preventiva atrasada",IF(AND(G18="Alta",J18=""),"Crítico sem contingência",IF(AND(ISNUMBER(P18),ISNUMBER($E$6)),IF(P18&lt;$E$6-0.000000001,"Disponibilidade abaixo da meta","OK"),"OK")))))))</f>
        <v/>
      </c>
    </row>
    <row r="19" customFormat="false" ht="30" hidden="false" customHeight="true" outlineLevel="0" collapsed="false">
      <c r="B19" s="11" t="n">
        <v>10</v>
      </c>
      <c r="C19" s="23"/>
      <c r="D19" s="5"/>
      <c r="E19" s="23"/>
      <c r="F19" s="5"/>
      <c r="G19" s="23"/>
      <c r="H19" s="12"/>
      <c r="I19" s="21"/>
      <c r="J19" s="5"/>
      <c r="K19" s="12"/>
      <c r="L19" s="24" t="str">
        <f aca="false">IF(OR(I19="",H19=""),"",EDATE(I19,H19))</f>
        <v/>
      </c>
      <c r="M19" s="15" t="str">
        <f aca="false">IF(C19="","",IF(H19="","Sem plano",IF(I19="","Atrasada",IF(AND(ISNUMBER($E$5),L19&lt;$E$5),"Atrasada",IF(AND(ISNUMBER($E$5),L19-$E$5&lt;=7),"Vence em 7 dias","Em dia")))))</f>
        <v/>
      </c>
      <c r="N19" s="14" t="str">
        <f aca="false">IF(OR(C19="",$E$4="",$E$5=""),"",COUNTIFS(Manutenções!$D$7:$D$86,C19,Manutenções!$F$7:$F$86,"Corretiva",Manutenções!$C$7:$C$86,"&gt;="&amp;$E$4,Manutenções!$C$7:$C$86,"&lt;="&amp;$E$5))</f>
        <v/>
      </c>
      <c r="O19" s="25" t="str">
        <f aca="false">IF(OR(C19="",$E$4="",$E$5=""),"",SUMIFS(Manutenções!$G$7:$G$86,Manutenções!$D$7:$D$86,C19,Manutenções!$F$7:$F$86,"Corretiva",Manutenções!$C$7:$C$86,"&gt;="&amp;$E$4,Manutenções!$C$7:$C$86,"&lt;="&amp;$E$5))</f>
        <v/>
      </c>
      <c r="P19" s="26" t="str">
        <f aca="false">IF(OR(N(K19)=0,O19=""),"",(K19-O19)/K19)</f>
        <v/>
      </c>
      <c r="Q19" s="16" t="str">
        <f aca="false">IF(C19="","",IF(E19="","Falta o tipo",IF(G19="","Falta a criticidade",IF(AND(OR(G19="Alta",G19="Média"),H19=""),"Sem plano de preventiva",IF(M19="Atrasada","Preventiva atrasada",IF(AND(G19="Alta",J19=""),"Crítico sem contingência",IF(AND(ISNUMBER(P19),ISNUMBER($E$6)),IF(P19&lt;$E$6-0.000000001,"Disponibilidade abaixo da meta","OK"),"OK")))))))</f>
        <v/>
      </c>
    </row>
    <row r="20" customFormat="false" ht="30" hidden="false" customHeight="true" outlineLevel="0" collapsed="false">
      <c r="B20" s="11" t="n">
        <v>11</v>
      </c>
      <c r="C20" s="23"/>
      <c r="D20" s="5"/>
      <c r="E20" s="23"/>
      <c r="F20" s="5"/>
      <c r="G20" s="23"/>
      <c r="H20" s="12"/>
      <c r="I20" s="21"/>
      <c r="J20" s="5"/>
      <c r="K20" s="12"/>
      <c r="L20" s="24" t="str">
        <f aca="false">IF(OR(I20="",H20=""),"",EDATE(I20,H20))</f>
        <v/>
      </c>
      <c r="M20" s="15" t="str">
        <f aca="false">IF(C20="","",IF(H20="","Sem plano",IF(I20="","Atrasada",IF(AND(ISNUMBER($E$5),L20&lt;$E$5),"Atrasada",IF(AND(ISNUMBER($E$5),L20-$E$5&lt;=7),"Vence em 7 dias","Em dia")))))</f>
        <v/>
      </c>
      <c r="N20" s="14" t="str">
        <f aca="false">IF(OR(C20="",$E$4="",$E$5=""),"",COUNTIFS(Manutenções!$D$7:$D$86,C20,Manutenções!$F$7:$F$86,"Corretiva",Manutenções!$C$7:$C$86,"&gt;="&amp;$E$4,Manutenções!$C$7:$C$86,"&lt;="&amp;$E$5))</f>
        <v/>
      </c>
      <c r="O20" s="25" t="str">
        <f aca="false">IF(OR(C20="",$E$4="",$E$5=""),"",SUMIFS(Manutenções!$G$7:$G$86,Manutenções!$D$7:$D$86,C20,Manutenções!$F$7:$F$86,"Corretiva",Manutenções!$C$7:$C$86,"&gt;="&amp;$E$4,Manutenções!$C$7:$C$86,"&lt;="&amp;$E$5))</f>
        <v/>
      </c>
      <c r="P20" s="26" t="str">
        <f aca="false">IF(OR(N(K20)=0,O20=""),"",(K20-O20)/K20)</f>
        <v/>
      </c>
      <c r="Q20" s="16" t="str">
        <f aca="false">IF(C20="","",IF(E20="","Falta o tipo",IF(G20="","Falta a criticidade",IF(AND(OR(G20="Alta",G20="Média"),H20=""),"Sem plano de preventiva",IF(M20="Atrasada","Preventiva atrasada",IF(AND(G20="Alta",J20=""),"Crítico sem contingência",IF(AND(ISNUMBER(P20),ISNUMBER($E$6)),IF(P20&lt;$E$6-0.000000001,"Disponibilidade abaixo da meta","OK"),"OK")))))))</f>
        <v/>
      </c>
    </row>
    <row r="21" customFormat="false" ht="30" hidden="false" customHeight="true" outlineLevel="0" collapsed="false">
      <c r="B21" s="11" t="n">
        <v>12</v>
      </c>
      <c r="C21" s="23"/>
      <c r="D21" s="5"/>
      <c r="E21" s="23"/>
      <c r="F21" s="5"/>
      <c r="G21" s="23"/>
      <c r="H21" s="12"/>
      <c r="I21" s="21"/>
      <c r="J21" s="5"/>
      <c r="K21" s="12"/>
      <c r="L21" s="24" t="str">
        <f aca="false">IF(OR(I21="",H21=""),"",EDATE(I21,H21))</f>
        <v/>
      </c>
      <c r="M21" s="15" t="str">
        <f aca="false">IF(C21="","",IF(H21="","Sem plano",IF(I21="","Atrasada",IF(AND(ISNUMBER($E$5),L21&lt;$E$5),"Atrasada",IF(AND(ISNUMBER($E$5),L21-$E$5&lt;=7),"Vence em 7 dias","Em dia")))))</f>
        <v/>
      </c>
      <c r="N21" s="14" t="str">
        <f aca="false">IF(OR(C21="",$E$4="",$E$5=""),"",COUNTIFS(Manutenções!$D$7:$D$86,C21,Manutenções!$F$7:$F$86,"Corretiva",Manutenções!$C$7:$C$86,"&gt;="&amp;$E$4,Manutenções!$C$7:$C$86,"&lt;="&amp;$E$5))</f>
        <v/>
      </c>
      <c r="O21" s="25" t="str">
        <f aca="false">IF(OR(C21="",$E$4="",$E$5=""),"",SUMIFS(Manutenções!$G$7:$G$86,Manutenções!$D$7:$D$86,C21,Manutenções!$F$7:$F$86,"Corretiva",Manutenções!$C$7:$C$86,"&gt;="&amp;$E$4,Manutenções!$C$7:$C$86,"&lt;="&amp;$E$5))</f>
        <v/>
      </c>
      <c r="P21" s="26" t="str">
        <f aca="false">IF(OR(N(K21)=0,O21=""),"",(K21-O21)/K21)</f>
        <v/>
      </c>
      <c r="Q21" s="16" t="str">
        <f aca="false">IF(C21="","",IF(E21="","Falta o tipo",IF(G21="","Falta a criticidade",IF(AND(OR(G21="Alta",G21="Média"),H21=""),"Sem plano de preventiva",IF(M21="Atrasada","Preventiva atrasada",IF(AND(G21="Alta",J21=""),"Crítico sem contingência",IF(AND(ISNUMBER(P21),ISNUMBER($E$6)),IF(P21&lt;$E$6-0.000000001,"Disponibilidade abaixo da meta","OK"),"OK")))))))</f>
        <v/>
      </c>
    </row>
    <row r="22" customFormat="false" ht="30" hidden="false" customHeight="true" outlineLevel="0" collapsed="false">
      <c r="B22" s="11" t="n">
        <v>13</v>
      </c>
      <c r="C22" s="23"/>
      <c r="D22" s="5"/>
      <c r="E22" s="23"/>
      <c r="F22" s="5"/>
      <c r="G22" s="23"/>
      <c r="H22" s="12"/>
      <c r="I22" s="21"/>
      <c r="J22" s="5"/>
      <c r="K22" s="12"/>
      <c r="L22" s="24" t="str">
        <f aca="false">IF(OR(I22="",H22=""),"",EDATE(I22,H22))</f>
        <v/>
      </c>
      <c r="M22" s="15" t="str">
        <f aca="false">IF(C22="","",IF(H22="","Sem plano",IF(I22="","Atrasada",IF(AND(ISNUMBER($E$5),L22&lt;$E$5),"Atrasada",IF(AND(ISNUMBER($E$5),L22-$E$5&lt;=7),"Vence em 7 dias","Em dia")))))</f>
        <v/>
      </c>
      <c r="N22" s="14" t="str">
        <f aca="false">IF(OR(C22="",$E$4="",$E$5=""),"",COUNTIFS(Manutenções!$D$7:$D$86,C22,Manutenções!$F$7:$F$86,"Corretiva",Manutenções!$C$7:$C$86,"&gt;="&amp;$E$4,Manutenções!$C$7:$C$86,"&lt;="&amp;$E$5))</f>
        <v/>
      </c>
      <c r="O22" s="25" t="str">
        <f aca="false">IF(OR(C22="",$E$4="",$E$5=""),"",SUMIFS(Manutenções!$G$7:$G$86,Manutenções!$D$7:$D$86,C22,Manutenções!$F$7:$F$86,"Corretiva",Manutenções!$C$7:$C$86,"&gt;="&amp;$E$4,Manutenções!$C$7:$C$86,"&lt;="&amp;$E$5))</f>
        <v/>
      </c>
      <c r="P22" s="26" t="str">
        <f aca="false">IF(OR(N(K22)=0,O22=""),"",(K22-O22)/K22)</f>
        <v/>
      </c>
      <c r="Q22" s="16" t="str">
        <f aca="false">IF(C22="","",IF(E22="","Falta o tipo",IF(G22="","Falta a criticidade",IF(AND(OR(G22="Alta",G22="Média"),H22=""),"Sem plano de preventiva",IF(M22="Atrasada","Preventiva atrasada",IF(AND(G22="Alta",J22=""),"Crítico sem contingência",IF(AND(ISNUMBER(P22),ISNUMBER($E$6)),IF(P22&lt;$E$6-0.000000001,"Disponibilidade abaixo da meta","OK"),"OK")))))))</f>
        <v/>
      </c>
    </row>
    <row r="23" customFormat="false" ht="30" hidden="false" customHeight="true" outlineLevel="0" collapsed="false">
      <c r="B23" s="11" t="n">
        <v>14</v>
      </c>
      <c r="C23" s="23"/>
      <c r="D23" s="5"/>
      <c r="E23" s="23"/>
      <c r="F23" s="5"/>
      <c r="G23" s="23"/>
      <c r="H23" s="12"/>
      <c r="I23" s="21"/>
      <c r="J23" s="5"/>
      <c r="K23" s="12"/>
      <c r="L23" s="24" t="str">
        <f aca="false">IF(OR(I23="",H23=""),"",EDATE(I23,H23))</f>
        <v/>
      </c>
      <c r="M23" s="15" t="str">
        <f aca="false">IF(C23="","",IF(H23="","Sem plano",IF(I23="","Atrasada",IF(AND(ISNUMBER($E$5),L23&lt;$E$5),"Atrasada",IF(AND(ISNUMBER($E$5),L23-$E$5&lt;=7),"Vence em 7 dias","Em dia")))))</f>
        <v/>
      </c>
      <c r="N23" s="14" t="str">
        <f aca="false">IF(OR(C23="",$E$4="",$E$5=""),"",COUNTIFS(Manutenções!$D$7:$D$86,C23,Manutenções!$F$7:$F$86,"Corretiva",Manutenções!$C$7:$C$86,"&gt;="&amp;$E$4,Manutenções!$C$7:$C$86,"&lt;="&amp;$E$5))</f>
        <v/>
      </c>
      <c r="O23" s="25" t="str">
        <f aca="false">IF(OR(C23="",$E$4="",$E$5=""),"",SUMIFS(Manutenções!$G$7:$G$86,Manutenções!$D$7:$D$86,C23,Manutenções!$F$7:$F$86,"Corretiva",Manutenções!$C$7:$C$86,"&gt;="&amp;$E$4,Manutenções!$C$7:$C$86,"&lt;="&amp;$E$5))</f>
        <v/>
      </c>
      <c r="P23" s="26" t="str">
        <f aca="false">IF(OR(N(K23)=0,O23=""),"",(K23-O23)/K23)</f>
        <v/>
      </c>
      <c r="Q23" s="16" t="str">
        <f aca="false">IF(C23="","",IF(E23="","Falta o tipo",IF(G23="","Falta a criticidade",IF(AND(OR(G23="Alta",G23="Média"),H23=""),"Sem plano de preventiva",IF(M23="Atrasada","Preventiva atrasada",IF(AND(G23="Alta",J23=""),"Crítico sem contingência",IF(AND(ISNUMBER(P23),ISNUMBER($E$6)),IF(P23&lt;$E$6-0.000000001,"Disponibilidade abaixo da meta","OK"),"OK")))))))</f>
        <v/>
      </c>
    </row>
    <row r="24" customFormat="false" ht="30" hidden="false" customHeight="true" outlineLevel="0" collapsed="false">
      <c r="B24" s="11" t="n">
        <v>15</v>
      </c>
      <c r="C24" s="23"/>
      <c r="D24" s="5"/>
      <c r="E24" s="23"/>
      <c r="F24" s="5"/>
      <c r="G24" s="23"/>
      <c r="H24" s="12"/>
      <c r="I24" s="21"/>
      <c r="J24" s="5"/>
      <c r="K24" s="12"/>
      <c r="L24" s="24" t="str">
        <f aca="false">IF(OR(I24="",H24=""),"",EDATE(I24,H24))</f>
        <v/>
      </c>
      <c r="M24" s="15" t="str">
        <f aca="false">IF(C24="","",IF(H24="","Sem plano",IF(I24="","Atrasada",IF(AND(ISNUMBER($E$5),L24&lt;$E$5),"Atrasada",IF(AND(ISNUMBER($E$5),L24-$E$5&lt;=7),"Vence em 7 dias","Em dia")))))</f>
        <v/>
      </c>
      <c r="N24" s="14" t="str">
        <f aca="false">IF(OR(C24="",$E$4="",$E$5=""),"",COUNTIFS(Manutenções!$D$7:$D$86,C24,Manutenções!$F$7:$F$86,"Corretiva",Manutenções!$C$7:$C$86,"&gt;="&amp;$E$4,Manutenções!$C$7:$C$86,"&lt;="&amp;$E$5))</f>
        <v/>
      </c>
      <c r="O24" s="25" t="str">
        <f aca="false">IF(OR(C24="",$E$4="",$E$5=""),"",SUMIFS(Manutenções!$G$7:$G$86,Manutenções!$D$7:$D$86,C24,Manutenções!$F$7:$F$86,"Corretiva",Manutenções!$C$7:$C$86,"&gt;="&amp;$E$4,Manutenções!$C$7:$C$86,"&lt;="&amp;$E$5))</f>
        <v/>
      </c>
      <c r="P24" s="26" t="str">
        <f aca="false">IF(OR(N(K24)=0,O24=""),"",(K24-O24)/K24)</f>
        <v/>
      </c>
      <c r="Q24" s="16" t="str">
        <f aca="false">IF(C24="","",IF(E24="","Falta o tipo",IF(G24="","Falta a criticidade",IF(AND(OR(G24="Alta",G24="Média"),H24=""),"Sem plano de preventiva",IF(M24="Atrasada","Preventiva atrasada",IF(AND(G24="Alta",J24=""),"Crítico sem contingência",IF(AND(ISNUMBER(P24),ISNUMBER($E$6)),IF(P24&lt;$E$6-0.000000001,"Disponibilidade abaixo da meta","OK"),"OK")))))))</f>
        <v/>
      </c>
    </row>
    <row r="25" customFormat="false" ht="30" hidden="false" customHeight="true" outlineLevel="0" collapsed="false">
      <c r="B25" s="11" t="n">
        <v>16</v>
      </c>
      <c r="C25" s="23"/>
      <c r="D25" s="5"/>
      <c r="E25" s="23"/>
      <c r="F25" s="5"/>
      <c r="G25" s="23"/>
      <c r="H25" s="12"/>
      <c r="I25" s="21"/>
      <c r="J25" s="5"/>
      <c r="K25" s="12"/>
      <c r="L25" s="24" t="str">
        <f aca="false">IF(OR(I25="",H25=""),"",EDATE(I25,H25))</f>
        <v/>
      </c>
      <c r="M25" s="15" t="str">
        <f aca="false">IF(C25="","",IF(H25="","Sem plano",IF(I25="","Atrasada",IF(AND(ISNUMBER($E$5),L25&lt;$E$5),"Atrasada",IF(AND(ISNUMBER($E$5),L25-$E$5&lt;=7),"Vence em 7 dias","Em dia")))))</f>
        <v/>
      </c>
      <c r="N25" s="14" t="str">
        <f aca="false">IF(OR(C25="",$E$4="",$E$5=""),"",COUNTIFS(Manutenções!$D$7:$D$86,C25,Manutenções!$F$7:$F$86,"Corretiva",Manutenções!$C$7:$C$86,"&gt;="&amp;$E$4,Manutenções!$C$7:$C$86,"&lt;="&amp;$E$5))</f>
        <v/>
      </c>
      <c r="O25" s="25" t="str">
        <f aca="false">IF(OR(C25="",$E$4="",$E$5=""),"",SUMIFS(Manutenções!$G$7:$G$86,Manutenções!$D$7:$D$86,C25,Manutenções!$F$7:$F$86,"Corretiva",Manutenções!$C$7:$C$86,"&gt;="&amp;$E$4,Manutenções!$C$7:$C$86,"&lt;="&amp;$E$5))</f>
        <v/>
      </c>
      <c r="P25" s="26" t="str">
        <f aca="false">IF(OR(N(K25)=0,O25=""),"",(K25-O25)/K25)</f>
        <v/>
      </c>
      <c r="Q25" s="16" t="str">
        <f aca="false">IF(C25="","",IF(E25="","Falta o tipo",IF(G25="","Falta a criticidade",IF(AND(OR(G25="Alta",G25="Média"),H25=""),"Sem plano de preventiva",IF(M25="Atrasada","Preventiva atrasada",IF(AND(G25="Alta",J25=""),"Crítico sem contingência",IF(AND(ISNUMBER(P25),ISNUMBER($E$6)),IF(P25&lt;$E$6-0.000000001,"Disponibilidade abaixo da meta","OK"),"OK")))))))</f>
        <v/>
      </c>
    </row>
    <row r="26" customFormat="false" ht="30" hidden="false" customHeight="true" outlineLevel="0" collapsed="false">
      <c r="B26" s="11" t="n">
        <v>17</v>
      </c>
      <c r="C26" s="23"/>
      <c r="D26" s="5"/>
      <c r="E26" s="23"/>
      <c r="F26" s="5"/>
      <c r="G26" s="23"/>
      <c r="H26" s="12"/>
      <c r="I26" s="21"/>
      <c r="J26" s="5"/>
      <c r="K26" s="12"/>
      <c r="L26" s="24" t="str">
        <f aca="false">IF(OR(I26="",H26=""),"",EDATE(I26,H26))</f>
        <v/>
      </c>
      <c r="M26" s="15" t="str">
        <f aca="false">IF(C26="","",IF(H26="","Sem plano",IF(I26="","Atrasada",IF(AND(ISNUMBER($E$5),L26&lt;$E$5),"Atrasada",IF(AND(ISNUMBER($E$5),L26-$E$5&lt;=7),"Vence em 7 dias","Em dia")))))</f>
        <v/>
      </c>
      <c r="N26" s="14" t="str">
        <f aca="false">IF(OR(C26="",$E$4="",$E$5=""),"",COUNTIFS(Manutenções!$D$7:$D$86,C26,Manutenções!$F$7:$F$86,"Corretiva",Manutenções!$C$7:$C$86,"&gt;="&amp;$E$4,Manutenções!$C$7:$C$86,"&lt;="&amp;$E$5))</f>
        <v/>
      </c>
      <c r="O26" s="25" t="str">
        <f aca="false">IF(OR(C26="",$E$4="",$E$5=""),"",SUMIFS(Manutenções!$G$7:$G$86,Manutenções!$D$7:$D$86,C26,Manutenções!$F$7:$F$86,"Corretiva",Manutenções!$C$7:$C$86,"&gt;="&amp;$E$4,Manutenções!$C$7:$C$86,"&lt;="&amp;$E$5))</f>
        <v/>
      </c>
      <c r="P26" s="26" t="str">
        <f aca="false">IF(OR(N(K26)=0,O26=""),"",(K26-O26)/K26)</f>
        <v/>
      </c>
      <c r="Q26" s="16" t="str">
        <f aca="false">IF(C26="","",IF(E26="","Falta o tipo",IF(G26="","Falta a criticidade",IF(AND(OR(G26="Alta",G26="Média"),H26=""),"Sem plano de preventiva",IF(M26="Atrasada","Preventiva atrasada",IF(AND(G26="Alta",J26=""),"Crítico sem contingência",IF(AND(ISNUMBER(P26),ISNUMBER($E$6)),IF(P26&lt;$E$6-0.000000001,"Disponibilidade abaixo da meta","OK"),"OK")))))))</f>
        <v/>
      </c>
    </row>
    <row r="27" customFormat="false" ht="30" hidden="false" customHeight="true" outlineLevel="0" collapsed="false">
      <c r="B27" s="11" t="n">
        <v>18</v>
      </c>
      <c r="C27" s="23"/>
      <c r="D27" s="5"/>
      <c r="E27" s="23"/>
      <c r="F27" s="5"/>
      <c r="G27" s="23"/>
      <c r="H27" s="12"/>
      <c r="I27" s="21"/>
      <c r="J27" s="5"/>
      <c r="K27" s="12"/>
      <c r="L27" s="24" t="str">
        <f aca="false">IF(OR(I27="",H27=""),"",EDATE(I27,H27))</f>
        <v/>
      </c>
      <c r="M27" s="15" t="str">
        <f aca="false">IF(C27="","",IF(H27="","Sem plano",IF(I27="","Atrasada",IF(AND(ISNUMBER($E$5),L27&lt;$E$5),"Atrasada",IF(AND(ISNUMBER($E$5),L27-$E$5&lt;=7),"Vence em 7 dias","Em dia")))))</f>
        <v/>
      </c>
      <c r="N27" s="14" t="str">
        <f aca="false">IF(OR(C27="",$E$4="",$E$5=""),"",COUNTIFS(Manutenções!$D$7:$D$86,C27,Manutenções!$F$7:$F$86,"Corretiva",Manutenções!$C$7:$C$86,"&gt;="&amp;$E$4,Manutenções!$C$7:$C$86,"&lt;="&amp;$E$5))</f>
        <v/>
      </c>
      <c r="O27" s="25" t="str">
        <f aca="false">IF(OR(C27="",$E$4="",$E$5=""),"",SUMIFS(Manutenções!$G$7:$G$86,Manutenções!$D$7:$D$86,C27,Manutenções!$F$7:$F$86,"Corretiva",Manutenções!$C$7:$C$86,"&gt;="&amp;$E$4,Manutenções!$C$7:$C$86,"&lt;="&amp;$E$5))</f>
        <v/>
      </c>
      <c r="P27" s="26" t="str">
        <f aca="false">IF(OR(N(K27)=0,O27=""),"",(K27-O27)/K27)</f>
        <v/>
      </c>
      <c r="Q27" s="16" t="str">
        <f aca="false">IF(C27="","",IF(E27="","Falta o tipo",IF(G27="","Falta a criticidade",IF(AND(OR(G27="Alta",G27="Média"),H27=""),"Sem plano de preventiva",IF(M27="Atrasada","Preventiva atrasada",IF(AND(G27="Alta",J27=""),"Crítico sem contingência",IF(AND(ISNUMBER(P27),ISNUMBER($E$6)),IF(P27&lt;$E$6-0.000000001,"Disponibilidade abaixo da meta","OK"),"OK")))))))</f>
        <v/>
      </c>
    </row>
    <row r="28" customFormat="false" ht="30" hidden="false" customHeight="true" outlineLevel="0" collapsed="false">
      <c r="B28" s="11" t="n">
        <v>19</v>
      </c>
      <c r="C28" s="23"/>
      <c r="D28" s="5"/>
      <c r="E28" s="23"/>
      <c r="F28" s="5"/>
      <c r="G28" s="23"/>
      <c r="H28" s="12"/>
      <c r="I28" s="21"/>
      <c r="J28" s="5"/>
      <c r="K28" s="12"/>
      <c r="L28" s="24" t="str">
        <f aca="false">IF(OR(I28="",H28=""),"",EDATE(I28,H28))</f>
        <v/>
      </c>
      <c r="M28" s="15" t="str">
        <f aca="false">IF(C28="","",IF(H28="","Sem plano",IF(I28="","Atrasada",IF(AND(ISNUMBER($E$5),L28&lt;$E$5),"Atrasada",IF(AND(ISNUMBER($E$5),L28-$E$5&lt;=7),"Vence em 7 dias","Em dia")))))</f>
        <v/>
      </c>
      <c r="N28" s="14" t="str">
        <f aca="false">IF(OR(C28="",$E$4="",$E$5=""),"",COUNTIFS(Manutenções!$D$7:$D$86,C28,Manutenções!$F$7:$F$86,"Corretiva",Manutenções!$C$7:$C$86,"&gt;="&amp;$E$4,Manutenções!$C$7:$C$86,"&lt;="&amp;$E$5))</f>
        <v/>
      </c>
      <c r="O28" s="25" t="str">
        <f aca="false">IF(OR(C28="",$E$4="",$E$5=""),"",SUMIFS(Manutenções!$G$7:$G$86,Manutenções!$D$7:$D$86,C28,Manutenções!$F$7:$F$86,"Corretiva",Manutenções!$C$7:$C$86,"&gt;="&amp;$E$4,Manutenções!$C$7:$C$86,"&lt;="&amp;$E$5))</f>
        <v/>
      </c>
      <c r="P28" s="26" t="str">
        <f aca="false">IF(OR(N(K28)=0,O28=""),"",(K28-O28)/K28)</f>
        <v/>
      </c>
      <c r="Q28" s="16" t="str">
        <f aca="false">IF(C28="","",IF(E28="","Falta o tipo",IF(G28="","Falta a criticidade",IF(AND(OR(G28="Alta",G28="Média"),H28=""),"Sem plano de preventiva",IF(M28="Atrasada","Preventiva atrasada",IF(AND(G28="Alta",J28=""),"Crítico sem contingência",IF(AND(ISNUMBER(P28),ISNUMBER($E$6)),IF(P28&lt;$E$6-0.000000001,"Disponibilidade abaixo da meta","OK"),"OK")))))))</f>
        <v/>
      </c>
    </row>
    <row r="29" customFormat="false" ht="30" hidden="false" customHeight="true" outlineLevel="0" collapsed="false">
      <c r="B29" s="11" t="n">
        <v>20</v>
      </c>
      <c r="C29" s="23"/>
      <c r="D29" s="5"/>
      <c r="E29" s="23"/>
      <c r="F29" s="5"/>
      <c r="G29" s="23"/>
      <c r="H29" s="12"/>
      <c r="I29" s="21"/>
      <c r="J29" s="5"/>
      <c r="K29" s="12"/>
      <c r="L29" s="24" t="str">
        <f aca="false">IF(OR(I29="",H29=""),"",EDATE(I29,H29))</f>
        <v/>
      </c>
      <c r="M29" s="15" t="str">
        <f aca="false">IF(C29="","",IF(H29="","Sem plano",IF(I29="","Atrasada",IF(AND(ISNUMBER($E$5),L29&lt;$E$5),"Atrasada",IF(AND(ISNUMBER($E$5),L29-$E$5&lt;=7),"Vence em 7 dias","Em dia")))))</f>
        <v/>
      </c>
      <c r="N29" s="14" t="str">
        <f aca="false">IF(OR(C29="",$E$4="",$E$5=""),"",COUNTIFS(Manutenções!$D$7:$D$86,C29,Manutenções!$F$7:$F$86,"Corretiva",Manutenções!$C$7:$C$86,"&gt;="&amp;$E$4,Manutenções!$C$7:$C$86,"&lt;="&amp;$E$5))</f>
        <v/>
      </c>
      <c r="O29" s="25" t="str">
        <f aca="false">IF(OR(C29="",$E$4="",$E$5=""),"",SUMIFS(Manutenções!$G$7:$G$86,Manutenções!$D$7:$D$86,C29,Manutenções!$F$7:$F$86,"Corretiva",Manutenções!$C$7:$C$86,"&gt;="&amp;$E$4,Manutenções!$C$7:$C$86,"&lt;="&amp;$E$5))</f>
        <v/>
      </c>
      <c r="P29" s="26" t="str">
        <f aca="false">IF(OR(N(K29)=0,O29=""),"",(K29-O29)/K29)</f>
        <v/>
      </c>
      <c r="Q29" s="16" t="str">
        <f aca="false">IF(C29="","",IF(E29="","Falta o tipo",IF(G29="","Falta a criticidade",IF(AND(OR(G29="Alta",G29="Média"),H29=""),"Sem plano de preventiva",IF(M29="Atrasada","Preventiva atrasada",IF(AND(G29="Alta",J29=""),"Crítico sem contingência",IF(AND(ISNUMBER(P29),ISNUMBER($E$6)),IF(P29&lt;$E$6-0.000000001,"Disponibilidade abaixo da meta","OK"),"OK")))))))</f>
        <v/>
      </c>
    </row>
    <row r="30" customFormat="false" ht="30" hidden="false" customHeight="true" outlineLevel="0" collapsed="false">
      <c r="B30" s="11" t="n">
        <v>21</v>
      </c>
      <c r="C30" s="23"/>
      <c r="D30" s="5"/>
      <c r="E30" s="23"/>
      <c r="F30" s="5"/>
      <c r="G30" s="23"/>
      <c r="H30" s="12"/>
      <c r="I30" s="21"/>
      <c r="J30" s="5"/>
      <c r="K30" s="12"/>
      <c r="L30" s="24" t="str">
        <f aca="false">IF(OR(I30="",H30=""),"",EDATE(I30,H30))</f>
        <v/>
      </c>
      <c r="M30" s="15" t="str">
        <f aca="false">IF(C30="","",IF(H30="","Sem plano",IF(I30="","Atrasada",IF(AND(ISNUMBER($E$5),L30&lt;$E$5),"Atrasada",IF(AND(ISNUMBER($E$5),L30-$E$5&lt;=7),"Vence em 7 dias","Em dia")))))</f>
        <v/>
      </c>
      <c r="N30" s="14" t="str">
        <f aca="false">IF(OR(C30="",$E$4="",$E$5=""),"",COUNTIFS(Manutenções!$D$7:$D$86,C30,Manutenções!$F$7:$F$86,"Corretiva",Manutenções!$C$7:$C$86,"&gt;="&amp;$E$4,Manutenções!$C$7:$C$86,"&lt;="&amp;$E$5))</f>
        <v/>
      </c>
      <c r="O30" s="25" t="str">
        <f aca="false">IF(OR(C30="",$E$4="",$E$5=""),"",SUMIFS(Manutenções!$G$7:$G$86,Manutenções!$D$7:$D$86,C30,Manutenções!$F$7:$F$86,"Corretiva",Manutenções!$C$7:$C$86,"&gt;="&amp;$E$4,Manutenções!$C$7:$C$86,"&lt;="&amp;$E$5))</f>
        <v/>
      </c>
      <c r="P30" s="26" t="str">
        <f aca="false">IF(OR(N(K30)=0,O30=""),"",(K30-O30)/K30)</f>
        <v/>
      </c>
      <c r="Q30" s="16" t="str">
        <f aca="false">IF(C30="","",IF(E30="","Falta o tipo",IF(G30="","Falta a criticidade",IF(AND(OR(G30="Alta",G30="Média"),H30=""),"Sem plano de preventiva",IF(M30="Atrasada","Preventiva atrasada",IF(AND(G30="Alta",J30=""),"Crítico sem contingência",IF(AND(ISNUMBER(P30),ISNUMBER($E$6)),IF(P30&lt;$E$6-0.000000001,"Disponibilidade abaixo da meta","OK"),"OK")))))))</f>
        <v/>
      </c>
    </row>
    <row r="31" customFormat="false" ht="30" hidden="false" customHeight="true" outlineLevel="0" collapsed="false">
      <c r="B31" s="11" t="n">
        <v>22</v>
      </c>
      <c r="C31" s="23"/>
      <c r="D31" s="5"/>
      <c r="E31" s="23"/>
      <c r="F31" s="5"/>
      <c r="G31" s="23"/>
      <c r="H31" s="12"/>
      <c r="I31" s="21"/>
      <c r="J31" s="5"/>
      <c r="K31" s="12"/>
      <c r="L31" s="24" t="str">
        <f aca="false">IF(OR(I31="",H31=""),"",EDATE(I31,H31))</f>
        <v/>
      </c>
      <c r="M31" s="15" t="str">
        <f aca="false">IF(C31="","",IF(H31="","Sem plano",IF(I31="","Atrasada",IF(AND(ISNUMBER($E$5),L31&lt;$E$5),"Atrasada",IF(AND(ISNUMBER($E$5),L31-$E$5&lt;=7),"Vence em 7 dias","Em dia")))))</f>
        <v/>
      </c>
      <c r="N31" s="14" t="str">
        <f aca="false">IF(OR(C31="",$E$4="",$E$5=""),"",COUNTIFS(Manutenções!$D$7:$D$86,C31,Manutenções!$F$7:$F$86,"Corretiva",Manutenções!$C$7:$C$86,"&gt;="&amp;$E$4,Manutenções!$C$7:$C$86,"&lt;="&amp;$E$5))</f>
        <v/>
      </c>
      <c r="O31" s="25" t="str">
        <f aca="false">IF(OR(C31="",$E$4="",$E$5=""),"",SUMIFS(Manutenções!$G$7:$G$86,Manutenções!$D$7:$D$86,C31,Manutenções!$F$7:$F$86,"Corretiva",Manutenções!$C$7:$C$86,"&gt;="&amp;$E$4,Manutenções!$C$7:$C$86,"&lt;="&amp;$E$5))</f>
        <v/>
      </c>
      <c r="P31" s="26" t="str">
        <f aca="false">IF(OR(N(K31)=0,O31=""),"",(K31-O31)/K31)</f>
        <v/>
      </c>
      <c r="Q31" s="16" t="str">
        <f aca="false">IF(C31="","",IF(E31="","Falta o tipo",IF(G31="","Falta a criticidade",IF(AND(OR(G31="Alta",G31="Média"),H31=""),"Sem plano de preventiva",IF(M31="Atrasada","Preventiva atrasada",IF(AND(G31="Alta",J31=""),"Crítico sem contingência",IF(AND(ISNUMBER(P31),ISNUMBER($E$6)),IF(P31&lt;$E$6-0.000000001,"Disponibilidade abaixo da meta","OK"),"OK")))))))</f>
        <v/>
      </c>
    </row>
    <row r="32" customFormat="false" ht="30" hidden="false" customHeight="true" outlineLevel="0" collapsed="false">
      <c r="B32" s="11" t="n">
        <v>23</v>
      </c>
      <c r="C32" s="23"/>
      <c r="D32" s="5"/>
      <c r="E32" s="23"/>
      <c r="F32" s="5"/>
      <c r="G32" s="23"/>
      <c r="H32" s="12"/>
      <c r="I32" s="21"/>
      <c r="J32" s="5"/>
      <c r="K32" s="12"/>
      <c r="L32" s="24" t="str">
        <f aca="false">IF(OR(I32="",H32=""),"",EDATE(I32,H32))</f>
        <v/>
      </c>
      <c r="M32" s="15" t="str">
        <f aca="false">IF(C32="","",IF(H32="","Sem plano",IF(I32="","Atrasada",IF(AND(ISNUMBER($E$5),L32&lt;$E$5),"Atrasada",IF(AND(ISNUMBER($E$5),L32-$E$5&lt;=7),"Vence em 7 dias","Em dia")))))</f>
        <v/>
      </c>
      <c r="N32" s="14" t="str">
        <f aca="false">IF(OR(C32="",$E$4="",$E$5=""),"",COUNTIFS(Manutenções!$D$7:$D$86,C32,Manutenções!$F$7:$F$86,"Corretiva",Manutenções!$C$7:$C$86,"&gt;="&amp;$E$4,Manutenções!$C$7:$C$86,"&lt;="&amp;$E$5))</f>
        <v/>
      </c>
      <c r="O32" s="25" t="str">
        <f aca="false">IF(OR(C32="",$E$4="",$E$5=""),"",SUMIFS(Manutenções!$G$7:$G$86,Manutenções!$D$7:$D$86,C32,Manutenções!$F$7:$F$86,"Corretiva",Manutenções!$C$7:$C$86,"&gt;="&amp;$E$4,Manutenções!$C$7:$C$86,"&lt;="&amp;$E$5))</f>
        <v/>
      </c>
      <c r="P32" s="26" t="str">
        <f aca="false">IF(OR(N(K32)=0,O32=""),"",(K32-O32)/K32)</f>
        <v/>
      </c>
      <c r="Q32" s="16" t="str">
        <f aca="false">IF(C32="","",IF(E32="","Falta o tipo",IF(G32="","Falta a criticidade",IF(AND(OR(G32="Alta",G32="Média"),H32=""),"Sem plano de preventiva",IF(M32="Atrasada","Preventiva atrasada",IF(AND(G32="Alta",J32=""),"Crítico sem contingência",IF(AND(ISNUMBER(P32),ISNUMBER($E$6)),IF(P32&lt;$E$6-0.000000001,"Disponibilidade abaixo da meta","OK"),"OK")))))))</f>
        <v/>
      </c>
    </row>
    <row r="33" customFormat="false" ht="30" hidden="false" customHeight="true" outlineLevel="0" collapsed="false">
      <c r="B33" s="11" t="n">
        <v>24</v>
      </c>
      <c r="C33" s="23"/>
      <c r="D33" s="5"/>
      <c r="E33" s="23"/>
      <c r="F33" s="5"/>
      <c r="G33" s="23"/>
      <c r="H33" s="12"/>
      <c r="I33" s="21"/>
      <c r="J33" s="5"/>
      <c r="K33" s="12"/>
      <c r="L33" s="24" t="str">
        <f aca="false">IF(OR(I33="",H33=""),"",EDATE(I33,H33))</f>
        <v/>
      </c>
      <c r="M33" s="15" t="str">
        <f aca="false">IF(C33="","",IF(H33="","Sem plano",IF(I33="","Atrasada",IF(AND(ISNUMBER($E$5),L33&lt;$E$5),"Atrasada",IF(AND(ISNUMBER($E$5),L33-$E$5&lt;=7),"Vence em 7 dias","Em dia")))))</f>
        <v/>
      </c>
      <c r="N33" s="14" t="str">
        <f aca="false">IF(OR(C33="",$E$4="",$E$5=""),"",COUNTIFS(Manutenções!$D$7:$D$86,C33,Manutenções!$F$7:$F$86,"Corretiva",Manutenções!$C$7:$C$86,"&gt;="&amp;$E$4,Manutenções!$C$7:$C$86,"&lt;="&amp;$E$5))</f>
        <v/>
      </c>
      <c r="O33" s="25" t="str">
        <f aca="false">IF(OR(C33="",$E$4="",$E$5=""),"",SUMIFS(Manutenções!$G$7:$G$86,Manutenções!$D$7:$D$86,C33,Manutenções!$F$7:$F$86,"Corretiva",Manutenções!$C$7:$C$86,"&gt;="&amp;$E$4,Manutenções!$C$7:$C$86,"&lt;="&amp;$E$5))</f>
        <v/>
      </c>
      <c r="P33" s="26" t="str">
        <f aca="false">IF(OR(N(K33)=0,O33=""),"",(K33-O33)/K33)</f>
        <v/>
      </c>
      <c r="Q33" s="16" t="str">
        <f aca="false">IF(C33="","",IF(E33="","Falta o tipo",IF(G33="","Falta a criticidade",IF(AND(OR(G33="Alta",G33="Média"),H33=""),"Sem plano de preventiva",IF(M33="Atrasada","Preventiva atrasada",IF(AND(G33="Alta",J33=""),"Crítico sem contingência",IF(AND(ISNUMBER(P33),ISNUMBER($E$6)),IF(P33&lt;$E$6-0.000000001,"Disponibilidade abaixo da meta","OK"),"OK")))))))</f>
        <v/>
      </c>
    </row>
    <row r="34" customFormat="false" ht="30" hidden="false" customHeight="true" outlineLevel="0" collapsed="false">
      <c r="B34" s="11" t="n">
        <v>25</v>
      </c>
      <c r="C34" s="23"/>
      <c r="D34" s="5"/>
      <c r="E34" s="23"/>
      <c r="F34" s="5"/>
      <c r="G34" s="23"/>
      <c r="H34" s="12"/>
      <c r="I34" s="21"/>
      <c r="J34" s="5"/>
      <c r="K34" s="12"/>
      <c r="L34" s="24" t="str">
        <f aca="false">IF(OR(I34="",H34=""),"",EDATE(I34,H34))</f>
        <v/>
      </c>
      <c r="M34" s="15" t="str">
        <f aca="false">IF(C34="","",IF(H34="","Sem plano",IF(I34="","Atrasada",IF(AND(ISNUMBER($E$5),L34&lt;$E$5),"Atrasada",IF(AND(ISNUMBER($E$5),L34-$E$5&lt;=7),"Vence em 7 dias","Em dia")))))</f>
        <v/>
      </c>
      <c r="N34" s="14" t="str">
        <f aca="false">IF(OR(C34="",$E$4="",$E$5=""),"",COUNTIFS(Manutenções!$D$7:$D$86,C34,Manutenções!$F$7:$F$86,"Corretiva",Manutenções!$C$7:$C$86,"&gt;="&amp;$E$4,Manutenções!$C$7:$C$86,"&lt;="&amp;$E$5))</f>
        <v/>
      </c>
      <c r="O34" s="25" t="str">
        <f aca="false">IF(OR(C34="",$E$4="",$E$5=""),"",SUMIFS(Manutenções!$G$7:$G$86,Manutenções!$D$7:$D$86,C34,Manutenções!$F$7:$F$86,"Corretiva",Manutenções!$C$7:$C$86,"&gt;="&amp;$E$4,Manutenções!$C$7:$C$86,"&lt;="&amp;$E$5))</f>
        <v/>
      </c>
      <c r="P34" s="26" t="str">
        <f aca="false">IF(OR(N(K34)=0,O34=""),"",(K34-O34)/K34)</f>
        <v/>
      </c>
      <c r="Q34" s="16" t="str">
        <f aca="false">IF(C34="","",IF(E34="","Falta o tipo",IF(G34="","Falta a criticidade",IF(AND(OR(G34="Alta",G34="Média"),H34=""),"Sem plano de preventiva",IF(M34="Atrasada","Preventiva atrasada",IF(AND(G34="Alta",J34=""),"Crítico sem contingência",IF(AND(ISNUMBER(P34),ISNUMBER($E$6)),IF(P34&lt;$E$6-0.000000001,"Disponibilidade abaixo da meta","OK"),"OK")))))))</f>
        <v/>
      </c>
    </row>
    <row r="35" customFormat="false" ht="30" hidden="false" customHeight="true" outlineLevel="0" collapsed="false">
      <c r="B35" s="11" t="n">
        <v>26</v>
      </c>
      <c r="C35" s="23"/>
      <c r="D35" s="5"/>
      <c r="E35" s="23"/>
      <c r="F35" s="5"/>
      <c r="G35" s="23"/>
      <c r="H35" s="12"/>
      <c r="I35" s="21"/>
      <c r="J35" s="5"/>
      <c r="K35" s="12"/>
      <c r="L35" s="24" t="str">
        <f aca="false">IF(OR(I35="",H35=""),"",EDATE(I35,H35))</f>
        <v/>
      </c>
      <c r="M35" s="15" t="str">
        <f aca="false">IF(C35="","",IF(H35="","Sem plano",IF(I35="","Atrasada",IF(AND(ISNUMBER($E$5),L35&lt;$E$5),"Atrasada",IF(AND(ISNUMBER($E$5),L35-$E$5&lt;=7),"Vence em 7 dias","Em dia")))))</f>
        <v/>
      </c>
      <c r="N35" s="14" t="str">
        <f aca="false">IF(OR(C35="",$E$4="",$E$5=""),"",COUNTIFS(Manutenções!$D$7:$D$86,C35,Manutenções!$F$7:$F$86,"Corretiva",Manutenções!$C$7:$C$86,"&gt;="&amp;$E$4,Manutenções!$C$7:$C$86,"&lt;="&amp;$E$5))</f>
        <v/>
      </c>
      <c r="O35" s="25" t="str">
        <f aca="false">IF(OR(C35="",$E$4="",$E$5=""),"",SUMIFS(Manutenções!$G$7:$G$86,Manutenções!$D$7:$D$86,C35,Manutenções!$F$7:$F$86,"Corretiva",Manutenções!$C$7:$C$86,"&gt;="&amp;$E$4,Manutenções!$C$7:$C$86,"&lt;="&amp;$E$5))</f>
        <v/>
      </c>
      <c r="P35" s="26" t="str">
        <f aca="false">IF(OR(N(K35)=0,O35=""),"",(K35-O35)/K35)</f>
        <v/>
      </c>
      <c r="Q35" s="16" t="str">
        <f aca="false">IF(C35="","",IF(E35="","Falta o tipo",IF(G35="","Falta a criticidade",IF(AND(OR(G35="Alta",G35="Média"),H35=""),"Sem plano de preventiva",IF(M35="Atrasada","Preventiva atrasada",IF(AND(G35="Alta",J35=""),"Crítico sem contingência",IF(AND(ISNUMBER(P35),ISNUMBER($E$6)),IF(P35&lt;$E$6-0.000000001,"Disponibilidade abaixo da meta","OK"),"OK")))))))</f>
        <v/>
      </c>
    </row>
    <row r="36" customFormat="false" ht="30" hidden="false" customHeight="true" outlineLevel="0" collapsed="false">
      <c r="B36" s="11" t="n">
        <v>27</v>
      </c>
      <c r="C36" s="23"/>
      <c r="D36" s="5"/>
      <c r="E36" s="23"/>
      <c r="F36" s="5"/>
      <c r="G36" s="23"/>
      <c r="H36" s="12"/>
      <c r="I36" s="21"/>
      <c r="J36" s="5"/>
      <c r="K36" s="12"/>
      <c r="L36" s="24" t="str">
        <f aca="false">IF(OR(I36="",H36=""),"",EDATE(I36,H36))</f>
        <v/>
      </c>
      <c r="M36" s="15" t="str">
        <f aca="false">IF(C36="","",IF(H36="","Sem plano",IF(I36="","Atrasada",IF(AND(ISNUMBER($E$5),L36&lt;$E$5),"Atrasada",IF(AND(ISNUMBER($E$5),L36-$E$5&lt;=7),"Vence em 7 dias","Em dia")))))</f>
        <v/>
      </c>
      <c r="N36" s="14" t="str">
        <f aca="false">IF(OR(C36="",$E$4="",$E$5=""),"",COUNTIFS(Manutenções!$D$7:$D$86,C36,Manutenções!$F$7:$F$86,"Corretiva",Manutenções!$C$7:$C$86,"&gt;="&amp;$E$4,Manutenções!$C$7:$C$86,"&lt;="&amp;$E$5))</f>
        <v/>
      </c>
      <c r="O36" s="25" t="str">
        <f aca="false">IF(OR(C36="",$E$4="",$E$5=""),"",SUMIFS(Manutenções!$G$7:$G$86,Manutenções!$D$7:$D$86,C36,Manutenções!$F$7:$F$86,"Corretiva",Manutenções!$C$7:$C$86,"&gt;="&amp;$E$4,Manutenções!$C$7:$C$86,"&lt;="&amp;$E$5))</f>
        <v/>
      </c>
      <c r="P36" s="26" t="str">
        <f aca="false">IF(OR(N(K36)=0,O36=""),"",(K36-O36)/K36)</f>
        <v/>
      </c>
      <c r="Q36" s="16" t="str">
        <f aca="false">IF(C36="","",IF(E36="","Falta o tipo",IF(G36="","Falta a criticidade",IF(AND(OR(G36="Alta",G36="Média"),H36=""),"Sem plano de preventiva",IF(M36="Atrasada","Preventiva atrasada",IF(AND(G36="Alta",J36=""),"Crítico sem contingência",IF(AND(ISNUMBER(P36),ISNUMBER($E$6)),IF(P36&lt;$E$6-0.000000001,"Disponibilidade abaixo da meta","OK"),"OK")))))))</f>
        <v/>
      </c>
    </row>
    <row r="37" customFormat="false" ht="30" hidden="false" customHeight="true" outlineLevel="0" collapsed="false">
      <c r="B37" s="11" t="n">
        <v>28</v>
      </c>
      <c r="C37" s="23"/>
      <c r="D37" s="5"/>
      <c r="E37" s="23"/>
      <c r="F37" s="5"/>
      <c r="G37" s="23"/>
      <c r="H37" s="12"/>
      <c r="I37" s="21"/>
      <c r="J37" s="5"/>
      <c r="K37" s="12"/>
      <c r="L37" s="24" t="str">
        <f aca="false">IF(OR(I37="",H37=""),"",EDATE(I37,H37))</f>
        <v/>
      </c>
      <c r="M37" s="15" t="str">
        <f aca="false">IF(C37="","",IF(H37="","Sem plano",IF(I37="","Atrasada",IF(AND(ISNUMBER($E$5),L37&lt;$E$5),"Atrasada",IF(AND(ISNUMBER($E$5),L37-$E$5&lt;=7),"Vence em 7 dias","Em dia")))))</f>
        <v/>
      </c>
      <c r="N37" s="14" t="str">
        <f aca="false">IF(OR(C37="",$E$4="",$E$5=""),"",COUNTIFS(Manutenções!$D$7:$D$86,C37,Manutenções!$F$7:$F$86,"Corretiva",Manutenções!$C$7:$C$86,"&gt;="&amp;$E$4,Manutenções!$C$7:$C$86,"&lt;="&amp;$E$5))</f>
        <v/>
      </c>
      <c r="O37" s="25" t="str">
        <f aca="false">IF(OR(C37="",$E$4="",$E$5=""),"",SUMIFS(Manutenções!$G$7:$G$86,Manutenções!$D$7:$D$86,C37,Manutenções!$F$7:$F$86,"Corretiva",Manutenções!$C$7:$C$86,"&gt;="&amp;$E$4,Manutenções!$C$7:$C$86,"&lt;="&amp;$E$5))</f>
        <v/>
      </c>
      <c r="P37" s="26" t="str">
        <f aca="false">IF(OR(N(K37)=0,O37=""),"",(K37-O37)/K37)</f>
        <v/>
      </c>
      <c r="Q37" s="16" t="str">
        <f aca="false">IF(C37="","",IF(E37="","Falta o tipo",IF(G37="","Falta a criticidade",IF(AND(OR(G37="Alta",G37="Média"),H37=""),"Sem plano de preventiva",IF(M37="Atrasada","Preventiva atrasada",IF(AND(G37="Alta",J37=""),"Crítico sem contingência",IF(AND(ISNUMBER(P37),ISNUMBER($E$6)),IF(P37&lt;$E$6-0.000000001,"Disponibilidade abaixo da meta","OK"),"OK")))))))</f>
        <v/>
      </c>
    </row>
    <row r="38" customFormat="false" ht="30" hidden="false" customHeight="true" outlineLevel="0" collapsed="false">
      <c r="B38" s="11" t="n">
        <v>29</v>
      </c>
      <c r="C38" s="23"/>
      <c r="D38" s="5"/>
      <c r="E38" s="23"/>
      <c r="F38" s="5"/>
      <c r="G38" s="23"/>
      <c r="H38" s="12"/>
      <c r="I38" s="21"/>
      <c r="J38" s="5"/>
      <c r="K38" s="12"/>
      <c r="L38" s="24" t="str">
        <f aca="false">IF(OR(I38="",H38=""),"",EDATE(I38,H38))</f>
        <v/>
      </c>
      <c r="M38" s="15" t="str">
        <f aca="false">IF(C38="","",IF(H38="","Sem plano",IF(I38="","Atrasada",IF(AND(ISNUMBER($E$5),L38&lt;$E$5),"Atrasada",IF(AND(ISNUMBER($E$5),L38-$E$5&lt;=7),"Vence em 7 dias","Em dia")))))</f>
        <v/>
      </c>
      <c r="N38" s="14" t="str">
        <f aca="false">IF(OR(C38="",$E$4="",$E$5=""),"",COUNTIFS(Manutenções!$D$7:$D$86,C38,Manutenções!$F$7:$F$86,"Corretiva",Manutenções!$C$7:$C$86,"&gt;="&amp;$E$4,Manutenções!$C$7:$C$86,"&lt;="&amp;$E$5))</f>
        <v/>
      </c>
      <c r="O38" s="25" t="str">
        <f aca="false">IF(OR(C38="",$E$4="",$E$5=""),"",SUMIFS(Manutenções!$G$7:$G$86,Manutenções!$D$7:$D$86,C38,Manutenções!$F$7:$F$86,"Corretiva",Manutenções!$C$7:$C$86,"&gt;="&amp;$E$4,Manutenções!$C$7:$C$86,"&lt;="&amp;$E$5))</f>
        <v/>
      </c>
      <c r="P38" s="26" t="str">
        <f aca="false">IF(OR(N(K38)=0,O38=""),"",(K38-O38)/K38)</f>
        <v/>
      </c>
      <c r="Q38" s="16" t="str">
        <f aca="false">IF(C38="","",IF(E38="","Falta o tipo",IF(G38="","Falta a criticidade",IF(AND(OR(G38="Alta",G38="Média"),H38=""),"Sem plano de preventiva",IF(M38="Atrasada","Preventiva atrasada",IF(AND(G38="Alta",J38=""),"Crítico sem contingência",IF(AND(ISNUMBER(P38),ISNUMBER($E$6)),IF(P38&lt;$E$6-0.000000001,"Disponibilidade abaixo da meta","OK"),"OK")))))))</f>
        <v/>
      </c>
    </row>
    <row r="39" customFormat="false" ht="30" hidden="false" customHeight="true" outlineLevel="0" collapsed="false">
      <c r="B39" s="11" t="n">
        <v>30</v>
      </c>
      <c r="C39" s="23"/>
      <c r="D39" s="5"/>
      <c r="E39" s="23"/>
      <c r="F39" s="5"/>
      <c r="G39" s="23"/>
      <c r="H39" s="12"/>
      <c r="I39" s="21"/>
      <c r="J39" s="5"/>
      <c r="K39" s="12"/>
      <c r="L39" s="24" t="str">
        <f aca="false">IF(OR(I39="",H39=""),"",EDATE(I39,H39))</f>
        <v/>
      </c>
      <c r="M39" s="15" t="str">
        <f aca="false">IF(C39="","",IF(H39="","Sem plano",IF(I39="","Atrasada",IF(AND(ISNUMBER($E$5),L39&lt;$E$5),"Atrasada",IF(AND(ISNUMBER($E$5),L39-$E$5&lt;=7),"Vence em 7 dias","Em dia")))))</f>
        <v/>
      </c>
      <c r="N39" s="14" t="str">
        <f aca="false">IF(OR(C39="",$E$4="",$E$5=""),"",COUNTIFS(Manutenções!$D$7:$D$86,C39,Manutenções!$F$7:$F$86,"Corretiva",Manutenções!$C$7:$C$86,"&gt;="&amp;$E$4,Manutenções!$C$7:$C$86,"&lt;="&amp;$E$5))</f>
        <v/>
      </c>
      <c r="O39" s="25" t="str">
        <f aca="false">IF(OR(C39="",$E$4="",$E$5=""),"",SUMIFS(Manutenções!$G$7:$G$86,Manutenções!$D$7:$D$86,C39,Manutenções!$F$7:$F$86,"Corretiva",Manutenções!$C$7:$C$86,"&gt;="&amp;$E$4,Manutenções!$C$7:$C$86,"&lt;="&amp;$E$5))</f>
        <v/>
      </c>
      <c r="P39" s="26" t="str">
        <f aca="false">IF(OR(N(K39)=0,O39=""),"",(K39-O39)/K39)</f>
        <v/>
      </c>
      <c r="Q39" s="16" t="str">
        <f aca="false">IF(C39="","",IF(E39="","Falta o tipo",IF(G39="","Falta a criticidade",IF(AND(OR(G39="Alta",G39="Média"),H39=""),"Sem plano de preventiva",IF(M39="Atrasada","Preventiva atrasada",IF(AND(G39="Alta",J39=""),"Crítico sem contingência",IF(AND(ISNUMBER(P39),ISNUMBER($E$6)),IF(P39&lt;$E$6-0.000000001,"Disponibilidade abaixo da meta","OK"),"OK")))))))</f>
        <v/>
      </c>
    </row>
    <row r="40" customFormat="false" ht="30" hidden="false" customHeight="true" outlineLevel="0" collapsed="false">
      <c r="B40" s="11" t="n">
        <v>31</v>
      </c>
      <c r="C40" s="23"/>
      <c r="D40" s="5"/>
      <c r="E40" s="23"/>
      <c r="F40" s="5"/>
      <c r="G40" s="23"/>
      <c r="H40" s="12"/>
      <c r="I40" s="21"/>
      <c r="J40" s="5"/>
      <c r="K40" s="12"/>
      <c r="L40" s="24" t="str">
        <f aca="false">IF(OR(I40="",H40=""),"",EDATE(I40,H40))</f>
        <v/>
      </c>
      <c r="M40" s="15" t="str">
        <f aca="false">IF(C40="","",IF(H40="","Sem plano",IF(I40="","Atrasada",IF(AND(ISNUMBER($E$5),L40&lt;$E$5),"Atrasada",IF(AND(ISNUMBER($E$5),L40-$E$5&lt;=7),"Vence em 7 dias","Em dia")))))</f>
        <v/>
      </c>
      <c r="N40" s="14" t="str">
        <f aca="false">IF(OR(C40="",$E$4="",$E$5=""),"",COUNTIFS(Manutenções!$D$7:$D$86,C40,Manutenções!$F$7:$F$86,"Corretiva",Manutenções!$C$7:$C$86,"&gt;="&amp;$E$4,Manutenções!$C$7:$C$86,"&lt;="&amp;$E$5))</f>
        <v/>
      </c>
      <c r="O40" s="25" t="str">
        <f aca="false">IF(OR(C40="",$E$4="",$E$5=""),"",SUMIFS(Manutenções!$G$7:$G$86,Manutenções!$D$7:$D$86,C40,Manutenções!$F$7:$F$86,"Corretiva",Manutenções!$C$7:$C$86,"&gt;="&amp;$E$4,Manutenções!$C$7:$C$86,"&lt;="&amp;$E$5))</f>
        <v/>
      </c>
      <c r="P40" s="26" t="str">
        <f aca="false">IF(OR(N(K40)=0,O40=""),"",(K40-O40)/K40)</f>
        <v/>
      </c>
      <c r="Q40" s="16" t="str">
        <f aca="false">IF(C40="","",IF(E40="","Falta o tipo",IF(G40="","Falta a criticidade",IF(AND(OR(G40="Alta",G40="Média"),H40=""),"Sem plano de preventiva",IF(M40="Atrasada","Preventiva atrasada",IF(AND(G40="Alta",J40=""),"Crítico sem contingência",IF(AND(ISNUMBER(P40),ISNUMBER($E$6)),IF(P40&lt;$E$6-0.000000001,"Disponibilidade abaixo da meta","OK"),"OK")))))))</f>
        <v/>
      </c>
    </row>
    <row r="41" customFormat="false" ht="30" hidden="false" customHeight="true" outlineLevel="0" collapsed="false">
      <c r="B41" s="11" t="n">
        <v>32</v>
      </c>
      <c r="C41" s="23"/>
      <c r="D41" s="5"/>
      <c r="E41" s="23"/>
      <c r="F41" s="5"/>
      <c r="G41" s="23"/>
      <c r="H41" s="12"/>
      <c r="I41" s="21"/>
      <c r="J41" s="5"/>
      <c r="K41" s="12"/>
      <c r="L41" s="24" t="str">
        <f aca="false">IF(OR(I41="",H41=""),"",EDATE(I41,H41))</f>
        <v/>
      </c>
      <c r="M41" s="15" t="str">
        <f aca="false">IF(C41="","",IF(H41="","Sem plano",IF(I41="","Atrasada",IF(AND(ISNUMBER($E$5),L41&lt;$E$5),"Atrasada",IF(AND(ISNUMBER($E$5),L41-$E$5&lt;=7),"Vence em 7 dias","Em dia")))))</f>
        <v/>
      </c>
      <c r="N41" s="14" t="str">
        <f aca="false">IF(OR(C41="",$E$4="",$E$5=""),"",COUNTIFS(Manutenções!$D$7:$D$86,C41,Manutenções!$F$7:$F$86,"Corretiva",Manutenções!$C$7:$C$86,"&gt;="&amp;$E$4,Manutenções!$C$7:$C$86,"&lt;="&amp;$E$5))</f>
        <v/>
      </c>
      <c r="O41" s="25" t="str">
        <f aca="false">IF(OR(C41="",$E$4="",$E$5=""),"",SUMIFS(Manutenções!$G$7:$G$86,Manutenções!$D$7:$D$86,C41,Manutenções!$F$7:$F$86,"Corretiva",Manutenções!$C$7:$C$86,"&gt;="&amp;$E$4,Manutenções!$C$7:$C$86,"&lt;="&amp;$E$5))</f>
        <v/>
      </c>
      <c r="P41" s="26" t="str">
        <f aca="false">IF(OR(N(K41)=0,O41=""),"",(K41-O41)/K41)</f>
        <v/>
      </c>
      <c r="Q41" s="16" t="str">
        <f aca="false">IF(C41="","",IF(E41="","Falta o tipo",IF(G41="","Falta a criticidade",IF(AND(OR(G41="Alta",G41="Média"),H41=""),"Sem plano de preventiva",IF(M41="Atrasada","Preventiva atrasada",IF(AND(G41="Alta",J41=""),"Crítico sem contingência",IF(AND(ISNUMBER(P41),ISNUMBER($E$6)),IF(P41&lt;$E$6-0.000000001,"Disponibilidade abaixo da meta","OK"),"OK")))))))</f>
        <v/>
      </c>
    </row>
    <row r="42" customFormat="false" ht="30" hidden="false" customHeight="true" outlineLevel="0" collapsed="false">
      <c r="B42" s="11" t="n">
        <v>33</v>
      </c>
      <c r="C42" s="23"/>
      <c r="D42" s="5"/>
      <c r="E42" s="23"/>
      <c r="F42" s="5"/>
      <c r="G42" s="23"/>
      <c r="H42" s="12"/>
      <c r="I42" s="21"/>
      <c r="J42" s="5"/>
      <c r="K42" s="12"/>
      <c r="L42" s="24" t="str">
        <f aca="false">IF(OR(I42="",H42=""),"",EDATE(I42,H42))</f>
        <v/>
      </c>
      <c r="M42" s="15" t="str">
        <f aca="false">IF(C42="","",IF(H42="","Sem plano",IF(I42="","Atrasada",IF(AND(ISNUMBER($E$5),L42&lt;$E$5),"Atrasada",IF(AND(ISNUMBER($E$5),L42-$E$5&lt;=7),"Vence em 7 dias","Em dia")))))</f>
        <v/>
      </c>
      <c r="N42" s="14" t="str">
        <f aca="false">IF(OR(C42="",$E$4="",$E$5=""),"",COUNTIFS(Manutenções!$D$7:$D$86,C42,Manutenções!$F$7:$F$86,"Corretiva",Manutenções!$C$7:$C$86,"&gt;="&amp;$E$4,Manutenções!$C$7:$C$86,"&lt;="&amp;$E$5))</f>
        <v/>
      </c>
      <c r="O42" s="25" t="str">
        <f aca="false">IF(OR(C42="",$E$4="",$E$5=""),"",SUMIFS(Manutenções!$G$7:$G$86,Manutenções!$D$7:$D$86,C42,Manutenções!$F$7:$F$86,"Corretiva",Manutenções!$C$7:$C$86,"&gt;="&amp;$E$4,Manutenções!$C$7:$C$86,"&lt;="&amp;$E$5))</f>
        <v/>
      </c>
      <c r="P42" s="26" t="str">
        <f aca="false">IF(OR(N(K42)=0,O42=""),"",(K42-O42)/K42)</f>
        <v/>
      </c>
      <c r="Q42" s="16" t="str">
        <f aca="false">IF(C42="","",IF(E42="","Falta o tipo",IF(G42="","Falta a criticidade",IF(AND(OR(G42="Alta",G42="Média"),H42=""),"Sem plano de preventiva",IF(M42="Atrasada","Preventiva atrasada",IF(AND(G42="Alta",J42=""),"Crítico sem contingência",IF(AND(ISNUMBER(P42),ISNUMBER($E$6)),IF(P42&lt;$E$6-0.000000001,"Disponibilidade abaixo da meta","OK"),"OK")))))))</f>
        <v/>
      </c>
    </row>
    <row r="43" customFormat="false" ht="30" hidden="false" customHeight="true" outlineLevel="0" collapsed="false">
      <c r="B43" s="11" t="n">
        <v>34</v>
      </c>
      <c r="C43" s="23"/>
      <c r="D43" s="5"/>
      <c r="E43" s="23"/>
      <c r="F43" s="5"/>
      <c r="G43" s="23"/>
      <c r="H43" s="12"/>
      <c r="I43" s="21"/>
      <c r="J43" s="5"/>
      <c r="K43" s="12"/>
      <c r="L43" s="24" t="str">
        <f aca="false">IF(OR(I43="",H43=""),"",EDATE(I43,H43))</f>
        <v/>
      </c>
      <c r="M43" s="15" t="str">
        <f aca="false">IF(C43="","",IF(H43="","Sem plano",IF(I43="","Atrasada",IF(AND(ISNUMBER($E$5),L43&lt;$E$5),"Atrasada",IF(AND(ISNUMBER($E$5),L43-$E$5&lt;=7),"Vence em 7 dias","Em dia")))))</f>
        <v/>
      </c>
      <c r="N43" s="14" t="str">
        <f aca="false">IF(OR(C43="",$E$4="",$E$5=""),"",COUNTIFS(Manutenções!$D$7:$D$86,C43,Manutenções!$F$7:$F$86,"Corretiva",Manutenções!$C$7:$C$86,"&gt;="&amp;$E$4,Manutenções!$C$7:$C$86,"&lt;="&amp;$E$5))</f>
        <v/>
      </c>
      <c r="O43" s="25" t="str">
        <f aca="false">IF(OR(C43="",$E$4="",$E$5=""),"",SUMIFS(Manutenções!$G$7:$G$86,Manutenções!$D$7:$D$86,C43,Manutenções!$F$7:$F$86,"Corretiva",Manutenções!$C$7:$C$86,"&gt;="&amp;$E$4,Manutenções!$C$7:$C$86,"&lt;="&amp;$E$5))</f>
        <v/>
      </c>
      <c r="P43" s="26" t="str">
        <f aca="false">IF(OR(N(K43)=0,O43=""),"",(K43-O43)/K43)</f>
        <v/>
      </c>
      <c r="Q43" s="16" t="str">
        <f aca="false">IF(C43="","",IF(E43="","Falta o tipo",IF(G43="","Falta a criticidade",IF(AND(OR(G43="Alta",G43="Média"),H43=""),"Sem plano de preventiva",IF(M43="Atrasada","Preventiva atrasada",IF(AND(G43="Alta",J43=""),"Crítico sem contingência",IF(AND(ISNUMBER(P43),ISNUMBER($E$6)),IF(P43&lt;$E$6-0.000000001,"Disponibilidade abaixo da meta","OK"),"OK")))))))</f>
        <v/>
      </c>
    </row>
    <row r="44" customFormat="false" ht="30" hidden="false" customHeight="true" outlineLevel="0" collapsed="false">
      <c r="B44" s="11" t="n">
        <v>35</v>
      </c>
      <c r="C44" s="23"/>
      <c r="D44" s="5"/>
      <c r="E44" s="23"/>
      <c r="F44" s="5"/>
      <c r="G44" s="23"/>
      <c r="H44" s="12"/>
      <c r="I44" s="21"/>
      <c r="J44" s="5"/>
      <c r="K44" s="12"/>
      <c r="L44" s="24" t="str">
        <f aca="false">IF(OR(I44="",H44=""),"",EDATE(I44,H44))</f>
        <v/>
      </c>
      <c r="M44" s="15" t="str">
        <f aca="false">IF(C44="","",IF(H44="","Sem plano",IF(I44="","Atrasada",IF(AND(ISNUMBER($E$5),L44&lt;$E$5),"Atrasada",IF(AND(ISNUMBER($E$5),L44-$E$5&lt;=7),"Vence em 7 dias","Em dia")))))</f>
        <v/>
      </c>
      <c r="N44" s="14" t="str">
        <f aca="false">IF(OR(C44="",$E$4="",$E$5=""),"",COUNTIFS(Manutenções!$D$7:$D$86,C44,Manutenções!$F$7:$F$86,"Corretiva",Manutenções!$C$7:$C$86,"&gt;="&amp;$E$4,Manutenções!$C$7:$C$86,"&lt;="&amp;$E$5))</f>
        <v/>
      </c>
      <c r="O44" s="25" t="str">
        <f aca="false">IF(OR(C44="",$E$4="",$E$5=""),"",SUMIFS(Manutenções!$G$7:$G$86,Manutenções!$D$7:$D$86,C44,Manutenções!$F$7:$F$86,"Corretiva",Manutenções!$C$7:$C$86,"&gt;="&amp;$E$4,Manutenções!$C$7:$C$86,"&lt;="&amp;$E$5))</f>
        <v/>
      </c>
      <c r="P44" s="26" t="str">
        <f aca="false">IF(OR(N(K44)=0,O44=""),"",(K44-O44)/K44)</f>
        <v/>
      </c>
      <c r="Q44" s="16" t="str">
        <f aca="false">IF(C44="","",IF(E44="","Falta o tipo",IF(G44="","Falta a criticidade",IF(AND(OR(G44="Alta",G44="Média"),H44=""),"Sem plano de preventiva",IF(M44="Atrasada","Preventiva atrasada",IF(AND(G44="Alta",J44=""),"Crítico sem contingência",IF(AND(ISNUMBER(P44),ISNUMBER($E$6)),IF(P44&lt;$E$6-0.000000001,"Disponibilidade abaixo da meta","OK"),"OK")))))))</f>
        <v/>
      </c>
    </row>
    <row r="45" customFormat="false" ht="30" hidden="false" customHeight="true" outlineLevel="0" collapsed="false">
      <c r="B45" s="11" t="n">
        <v>36</v>
      </c>
      <c r="C45" s="23"/>
      <c r="D45" s="5"/>
      <c r="E45" s="23"/>
      <c r="F45" s="5"/>
      <c r="G45" s="23"/>
      <c r="H45" s="12"/>
      <c r="I45" s="21"/>
      <c r="J45" s="5"/>
      <c r="K45" s="12"/>
      <c r="L45" s="24" t="str">
        <f aca="false">IF(OR(I45="",H45=""),"",EDATE(I45,H45))</f>
        <v/>
      </c>
      <c r="M45" s="15" t="str">
        <f aca="false">IF(C45="","",IF(H45="","Sem plano",IF(I45="","Atrasada",IF(AND(ISNUMBER($E$5),L45&lt;$E$5),"Atrasada",IF(AND(ISNUMBER($E$5),L45-$E$5&lt;=7),"Vence em 7 dias","Em dia")))))</f>
        <v/>
      </c>
      <c r="N45" s="14" t="str">
        <f aca="false">IF(OR(C45="",$E$4="",$E$5=""),"",COUNTIFS(Manutenções!$D$7:$D$86,C45,Manutenções!$F$7:$F$86,"Corretiva",Manutenções!$C$7:$C$86,"&gt;="&amp;$E$4,Manutenções!$C$7:$C$86,"&lt;="&amp;$E$5))</f>
        <v/>
      </c>
      <c r="O45" s="25" t="str">
        <f aca="false">IF(OR(C45="",$E$4="",$E$5=""),"",SUMIFS(Manutenções!$G$7:$G$86,Manutenções!$D$7:$D$86,C45,Manutenções!$F$7:$F$86,"Corretiva",Manutenções!$C$7:$C$86,"&gt;="&amp;$E$4,Manutenções!$C$7:$C$86,"&lt;="&amp;$E$5))</f>
        <v/>
      </c>
      <c r="P45" s="26" t="str">
        <f aca="false">IF(OR(N(K45)=0,O45=""),"",(K45-O45)/K45)</f>
        <v/>
      </c>
      <c r="Q45" s="16" t="str">
        <f aca="false">IF(C45="","",IF(E45="","Falta o tipo",IF(G45="","Falta a criticidade",IF(AND(OR(G45="Alta",G45="Média"),H45=""),"Sem plano de preventiva",IF(M45="Atrasada","Preventiva atrasada",IF(AND(G45="Alta",J45=""),"Crítico sem contingência",IF(AND(ISNUMBER(P45),ISNUMBER($E$6)),IF(P45&lt;$E$6-0.000000001,"Disponibilidade abaixo da meta","OK"),"OK")))))))</f>
        <v/>
      </c>
    </row>
    <row r="46" customFormat="false" ht="30" hidden="false" customHeight="true" outlineLevel="0" collapsed="false">
      <c r="B46" s="11" t="n">
        <v>37</v>
      </c>
      <c r="C46" s="23"/>
      <c r="D46" s="5"/>
      <c r="E46" s="23"/>
      <c r="F46" s="5"/>
      <c r="G46" s="23"/>
      <c r="H46" s="12"/>
      <c r="I46" s="21"/>
      <c r="J46" s="5"/>
      <c r="K46" s="12"/>
      <c r="L46" s="24" t="str">
        <f aca="false">IF(OR(I46="",H46=""),"",EDATE(I46,H46))</f>
        <v/>
      </c>
      <c r="M46" s="15" t="str">
        <f aca="false">IF(C46="","",IF(H46="","Sem plano",IF(I46="","Atrasada",IF(AND(ISNUMBER($E$5),L46&lt;$E$5),"Atrasada",IF(AND(ISNUMBER($E$5),L46-$E$5&lt;=7),"Vence em 7 dias","Em dia")))))</f>
        <v/>
      </c>
      <c r="N46" s="14" t="str">
        <f aca="false">IF(OR(C46="",$E$4="",$E$5=""),"",COUNTIFS(Manutenções!$D$7:$D$86,C46,Manutenções!$F$7:$F$86,"Corretiva",Manutenções!$C$7:$C$86,"&gt;="&amp;$E$4,Manutenções!$C$7:$C$86,"&lt;="&amp;$E$5))</f>
        <v/>
      </c>
      <c r="O46" s="25" t="str">
        <f aca="false">IF(OR(C46="",$E$4="",$E$5=""),"",SUMIFS(Manutenções!$G$7:$G$86,Manutenções!$D$7:$D$86,C46,Manutenções!$F$7:$F$86,"Corretiva",Manutenções!$C$7:$C$86,"&gt;="&amp;$E$4,Manutenções!$C$7:$C$86,"&lt;="&amp;$E$5))</f>
        <v/>
      </c>
      <c r="P46" s="26" t="str">
        <f aca="false">IF(OR(N(K46)=0,O46=""),"",(K46-O46)/K46)</f>
        <v/>
      </c>
      <c r="Q46" s="16" t="str">
        <f aca="false">IF(C46="","",IF(E46="","Falta o tipo",IF(G46="","Falta a criticidade",IF(AND(OR(G46="Alta",G46="Média"),H46=""),"Sem plano de preventiva",IF(M46="Atrasada","Preventiva atrasada",IF(AND(G46="Alta",J46=""),"Crítico sem contingência",IF(AND(ISNUMBER(P46),ISNUMBER($E$6)),IF(P46&lt;$E$6-0.000000001,"Disponibilidade abaixo da meta","OK"),"OK")))))))</f>
        <v/>
      </c>
    </row>
    <row r="47" customFormat="false" ht="30" hidden="false" customHeight="true" outlineLevel="0" collapsed="false">
      <c r="B47" s="11" t="n">
        <v>38</v>
      </c>
      <c r="C47" s="23"/>
      <c r="D47" s="5"/>
      <c r="E47" s="23"/>
      <c r="F47" s="5"/>
      <c r="G47" s="23"/>
      <c r="H47" s="12"/>
      <c r="I47" s="21"/>
      <c r="J47" s="5"/>
      <c r="K47" s="12"/>
      <c r="L47" s="24" t="str">
        <f aca="false">IF(OR(I47="",H47=""),"",EDATE(I47,H47))</f>
        <v/>
      </c>
      <c r="M47" s="15" t="str">
        <f aca="false">IF(C47="","",IF(H47="","Sem plano",IF(I47="","Atrasada",IF(AND(ISNUMBER($E$5),L47&lt;$E$5),"Atrasada",IF(AND(ISNUMBER($E$5),L47-$E$5&lt;=7),"Vence em 7 dias","Em dia")))))</f>
        <v/>
      </c>
      <c r="N47" s="14" t="str">
        <f aca="false">IF(OR(C47="",$E$4="",$E$5=""),"",COUNTIFS(Manutenções!$D$7:$D$86,C47,Manutenções!$F$7:$F$86,"Corretiva",Manutenções!$C$7:$C$86,"&gt;="&amp;$E$4,Manutenções!$C$7:$C$86,"&lt;="&amp;$E$5))</f>
        <v/>
      </c>
      <c r="O47" s="25" t="str">
        <f aca="false">IF(OR(C47="",$E$4="",$E$5=""),"",SUMIFS(Manutenções!$G$7:$G$86,Manutenções!$D$7:$D$86,C47,Manutenções!$F$7:$F$86,"Corretiva",Manutenções!$C$7:$C$86,"&gt;="&amp;$E$4,Manutenções!$C$7:$C$86,"&lt;="&amp;$E$5))</f>
        <v/>
      </c>
      <c r="P47" s="26" t="str">
        <f aca="false">IF(OR(N(K47)=0,O47=""),"",(K47-O47)/K47)</f>
        <v/>
      </c>
      <c r="Q47" s="16" t="str">
        <f aca="false">IF(C47="","",IF(E47="","Falta o tipo",IF(G47="","Falta a criticidade",IF(AND(OR(G47="Alta",G47="Média"),H47=""),"Sem plano de preventiva",IF(M47="Atrasada","Preventiva atrasada",IF(AND(G47="Alta",J47=""),"Crítico sem contingência",IF(AND(ISNUMBER(P47),ISNUMBER($E$6)),IF(P47&lt;$E$6-0.000000001,"Disponibilidade abaixo da meta","OK"),"OK")))))))</f>
        <v/>
      </c>
    </row>
    <row r="48" customFormat="false" ht="30" hidden="false" customHeight="true" outlineLevel="0" collapsed="false">
      <c r="B48" s="11" t="n">
        <v>39</v>
      </c>
      <c r="C48" s="23"/>
      <c r="D48" s="5"/>
      <c r="E48" s="23"/>
      <c r="F48" s="5"/>
      <c r="G48" s="23"/>
      <c r="H48" s="12"/>
      <c r="I48" s="21"/>
      <c r="J48" s="5"/>
      <c r="K48" s="12"/>
      <c r="L48" s="24" t="str">
        <f aca="false">IF(OR(I48="",H48=""),"",EDATE(I48,H48))</f>
        <v/>
      </c>
      <c r="M48" s="15" t="str">
        <f aca="false">IF(C48="","",IF(H48="","Sem plano",IF(I48="","Atrasada",IF(AND(ISNUMBER($E$5),L48&lt;$E$5),"Atrasada",IF(AND(ISNUMBER($E$5),L48-$E$5&lt;=7),"Vence em 7 dias","Em dia")))))</f>
        <v/>
      </c>
      <c r="N48" s="14" t="str">
        <f aca="false">IF(OR(C48="",$E$4="",$E$5=""),"",COUNTIFS(Manutenções!$D$7:$D$86,C48,Manutenções!$F$7:$F$86,"Corretiva",Manutenções!$C$7:$C$86,"&gt;="&amp;$E$4,Manutenções!$C$7:$C$86,"&lt;="&amp;$E$5))</f>
        <v/>
      </c>
      <c r="O48" s="25" t="str">
        <f aca="false">IF(OR(C48="",$E$4="",$E$5=""),"",SUMIFS(Manutenções!$G$7:$G$86,Manutenções!$D$7:$D$86,C48,Manutenções!$F$7:$F$86,"Corretiva",Manutenções!$C$7:$C$86,"&gt;="&amp;$E$4,Manutenções!$C$7:$C$86,"&lt;="&amp;$E$5))</f>
        <v/>
      </c>
      <c r="P48" s="26" t="str">
        <f aca="false">IF(OR(N(K48)=0,O48=""),"",(K48-O48)/K48)</f>
        <v/>
      </c>
      <c r="Q48" s="16" t="str">
        <f aca="false">IF(C48="","",IF(E48="","Falta o tipo",IF(G48="","Falta a criticidade",IF(AND(OR(G48="Alta",G48="Média"),H48=""),"Sem plano de preventiva",IF(M48="Atrasada","Preventiva atrasada",IF(AND(G48="Alta",J48=""),"Crítico sem contingência",IF(AND(ISNUMBER(P48),ISNUMBER($E$6)),IF(P48&lt;$E$6-0.000000001,"Disponibilidade abaixo da meta","OK"),"OK")))))))</f>
        <v/>
      </c>
    </row>
    <row r="49" customFormat="false" ht="30" hidden="false" customHeight="true" outlineLevel="0" collapsed="false">
      <c r="B49" s="11" t="n">
        <v>40</v>
      </c>
      <c r="C49" s="23"/>
      <c r="D49" s="5"/>
      <c r="E49" s="23"/>
      <c r="F49" s="5"/>
      <c r="G49" s="23"/>
      <c r="H49" s="12"/>
      <c r="I49" s="21"/>
      <c r="J49" s="5"/>
      <c r="K49" s="12"/>
      <c r="L49" s="24" t="str">
        <f aca="false">IF(OR(I49="",H49=""),"",EDATE(I49,H49))</f>
        <v/>
      </c>
      <c r="M49" s="15" t="str">
        <f aca="false">IF(C49="","",IF(H49="","Sem plano",IF(I49="","Atrasada",IF(AND(ISNUMBER($E$5),L49&lt;$E$5),"Atrasada",IF(AND(ISNUMBER($E$5),L49-$E$5&lt;=7),"Vence em 7 dias","Em dia")))))</f>
        <v/>
      </c>
      <c r="N49" s="14" t="str">
        <f aca="false">IF(OR(C49="",$E$4="",$E$5=""),"",COUNTIFS(Manutenções!$D$7:$D$86,C49,Manutenções!$F$7:$F$86,"Corretiva",Manutenções!$C$7:$C$86,"&gt;="&amp;$E$4,Manutenções!$C$7:$C$86,"&lt;="&amp;$E$5))</f>
        <v/>
      </c>
      <c r="O49" s="25" t="str">
        <f aca="false">IF(OR(C49="",$E$4="",$E$5=""),"",SUMIFS(Manutenções!$G$7:$G$86,Manutenções!$D$7:$D$86,C49,Manutenções!$F$7:$F$86,"Corretiva",Manutenções!$C$7:$C$86,"&gt;="&amp;$E$4,Manutenções!$C$7:$C$86,"&lt;="&amp;$E$5))</f>
        <v/>
      </c>
      <c r="P49" s="26" t="str">
        <f aca="false">IF(OR(N(K49)=0,O49=""),"",(K49-O49)/K49)</f>
        <v/>
      </c>
      <c r="Q49" s="16" t="str">
        <f aca="false">IF(C49="","",IF(E49="","Falta o tipo",IF(G49="","Falta a criticidade",IF(AND(OR(G49="Alta",G49="Média"),H49=""),"Sem plano de preventiva",IF(M49="Atrasada","Preventiva atrasada",IF(AND(G49="Alta",J49=""),"Crítico sem contingência",IF(AND(ISNUMBER(P49),ISNUMBER($E$6)),IF(P49&lt;$E$6-0.000000001,"Disponibilidade abaixo da meta","OK"),"OK")))))))</f>
        <v/>
      </c>
    </row>
    <row r="51" customFormat="false" ht="21.75" hidden="false" customHeight="true" outlineLevel="0" collapsed="false">
      <c r="B51" s="17" t="s">
        <v>99</v>
      </c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</row>
    <row r="52" customFormat="false" ht="21.75" hidden="false" customHeight="true" outlineLevel="0" collapsed="false">
      <c r="B52" s="18" t="s">
        <v>125</v>
      </c>
      <c r="C52" s="18"/>
      <c r="D52" s="18"/>
      <c r="E52" s="19" t="str">
        <f aca="false">COUNTA(C10:C49)&amp;" itens, "&amp;COUNTIF(G10:G49,"Alta")&amp;" críticos"</f>
        <v>0 itens, 0 críticos</v>
      </c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</row>
    <row r="53" customFormat="false" ht="21.75" hidden="false" customHeight="true" outlineLevel="0" collapsed="false">
      <c r="B53" s="18" t="s">
        <v>126</v>
      </c>
      <c r="C53" s="18"/>
      <c r="D53" s="18"/>
      <c r="E53" s="19" t="str">
        <f aca="false">COUNTIF(M10:M49,"Em dia")&amp;" em dia"&amp;", "&amp;COUNTIF(M10:M49,"Vence em 7 dias")&amp;" vence em 7 dias"&amp;", "&amp;COUNTIF(M10:M49,"Atrasada")&amp;" atrasada"&amp;", "&amp;COUNTIF(M10:M49,"Sem plano")&amp;" sem plano"</f>
        <v>0 em dia, 0 vence em 7 dias, 0 atrasada, 0 sem plano</v>
      </c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</row>
    <row r="54" customFormat="false" ht="21.75" hidden="false" customHeight="true" outlineLevel="0" collapsed="false">
      <c r="B54" s="18" t="s">
        <v>127</v>
      </c>
      <c r="C54" s="18"/>
      <c r="D54" s="18"/>
      <c r="E54" s="19" t="str">
        <f aca="false">SUM(N10:N49)&amp;" corretivas, "&amp;SUM(O10:O49)&amp;" horas paradas"</f>
        <v>0 corretivas, 0 horas paradas</v>
      </c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</row>
    <row r="55" customFormat="false" ht="21.75" hidden="false" customHeight="true" outlineLevel="0" collapsed="false">
      <c r="B55" s="18" t="s">
        <v>102</v>
      </c>
      <c r="C55" s="18"/>
      <c r="D55" s="18"/>
      <c r="E55" s="20" t="str">
        <f aca="false">IF(COUNTA(C10:C49)=0,"Cadastre os itens",IF(OR(E4="",E5=""),"Informe o início e o fim do período",IF(COUNTIF(M10:M49,"Atrasada")&gt;0,"Há preventiva atrasada",IF(SUMPRODUCT((G10:G49="Alta")*(J10:J49=""))&gt;0,"Há item crítico sem contingência",IF(AND(ISNUMBER(E6),COUNTIF(P10:P49,"&lt;"&amp;(E6-0.000000001))&gt;0),"Há item abaixo da meta de disponibilidade",IF(SUMPRODUCT((Q10:Q49&lt;&gt;"")*(Q10:Q49&lt;&gt;"OK"))&gt;0,"Há item a completar: veja a coluna Conferência",IF(COUNTIF(M10:M49,"Vence em 7 dias")&gt;0,"Há preventiva que vence em 7 dias: confirme","OK")))))))</f>
        <v>Cadastre os itens</v>
      </c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</row>
  </sheetData>
  <mergeCells count="17">
    <mergeCell ref="B1:Q1"/>
    <mergeCell ref="B2:Q2"/>
    <mergeCell ref="B4:D4"/>
    <mergeCell ref="F4:Q4"/>
    <mergeCell ref="B5:D5"/>
    <mergeCell ref="F5:Q5"/>
    <mergeCell ref="B6:D6"/>
    <mergeCell ref="F6:Q6"/>
    <mergeCell ref="B51:Q51"/>
    <mergeCell ref="B52:D52"/>
    <mergeCell ref="E52:Q52"/>
    <mergeCell ref="B53:D53"/>
    <mergeCell ref="E53:Q53"/>
    <mergeCell ref="B54:D54"/>
    <mergeCell ref="E54:Q54"/>
    <mergeCell ref="B55:D55"/>
    <mergeCell ref="E55:Q55"/>
  </mergeCells>
  <conditionalFormatting sqref="M10:M49">
    <cfRule type="expression" priority="2" aboveAverage="0" equalAverage="0" bottom="0" percent="0" rank="0" text="" dxfId="2">
      <formula>M10="Em dia"</formula>
    </cfRule>
    <cfRule type="expression" priority="3" aboveAverage="0" equalAverage="0" bottom="0" percent="0" rank="0" text="" dxfId="1">
      <formula>M10="Vence em 7 dias"</formula>
    </cfRule>
    <cfRule type="expression" priority="4" aboveAverage="0" equalAverage="0" bottom="0" percent="0" rank="0" text="" dxfId="0">
      <formula>M10="Atrasada"</formula>
    </cfRule>
    <cfRule type="expression" priority="5" aboveAverage="0" equalAverage="0" bottom="0" percent="0" rank="0" text="" dxfId="4">
      <formula>M10="Sem plano"</formula>
    </cfRule>
  </conditionalFormatting>
  <conditionalFormatting sqref="P10:P49">
    <cfRule type="expression" priority="6" aboveAverage="0" equalAverage="0" bottom="0" percent="0" rank="0" text="" dxfId="0">
      <formula>AND(ISNUMBER(P10),ISNUMBER($E$6),P10&lt;$E$6-0.000000001)</formula>
    </cfRule>
  </conditionalFormatting>
  <conditionalFormatting sqref="Q10:Q49">
    <cfRule type="expression" priority="7" aboveAverage="0" equalAverage="0" bottom="0" percent="0" rank="0" text="" dxfId="2">
      <formula>OR(Q10="OK")</formula>
    </cfRule>
    <cfRule type="expression" priority="8" aboveAverage="0" equalAverage="0" bottom="0" percent="0" rank="0" text="" dxfId="3">
      <formula>AND(LEN(Q10)&gt;0,NOT(OR(Q10="OK")))</formula>
    </cfRule>
  </conditionalFormatting>
  <conditionalFormatting sqref="E55:Q55">
    <cfRule type="expression" priority="9" aboveAverage="0" equalAverage="0" bottom="0" percent="0" rank="0" text="" dxfId="2">
      <formula>OR(E55="OK")</formula>
    </cfRule>
    <cfRule type="expression" priority="10" aboveAverage="0" equalAverage="0" bottom="0" percent="0" rank="0" text="" dxfId="3">
      <formula>AND(LEN(E55)&gt;0,NOT(OR(E55="OK")))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E4:E5 I10:I49" type="date">
      <formula1>36526</formula1>
      <formula2>0</formula2>
    </dataValidation>
    <dataValidation allowBlank="true" error="Digite um percentual entre 0% e 100%." errorStyle="stop" errorTitle="Valor inválido" operator="between" showDropDown="false" showErrorMessage="true" showInputMessage="false" sqref="E6" type="decimal">
      <formula1>0</formula1>
      <formula2>1</formula2>
    </dataValidation>
    <dataValidation allowBlank="true" error="Escolha uma das opções da lista." errorStyle="stop" errorTitle="Valor inválido" operator="between" prompt="Edifício e instalações, equipamento, transporte ou TI e software" promptTitle="Opções" showDropDown="false" showErrorMessage="true" showInputMessage="true" sqref="E10:E49" type="list">
      <formula1>"Edifício e instalações,Equipamento,Transporte,TI e software"</formula1>
      <formula2>0</formula2>
    </dataValidation>
    <dataValidation allowBlank="true" error="Escolha uma das opções da lista." errorStyle="stop" errorTitle="Valor inválido" operator="between" prompt="Alta: se parar, o produto ou a entrega param. Média: atrapalha. Baixa: há reserva" promptTitle="Opções" showDropDown="false" showErrorMessage="true" showInputMessage="true" sqref="G10:G49" type="list">
      <formula1>"Alta,Média,Baixa"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10:H49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K10:K49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M9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5" ySplit="6" topLeftCell="F7" activePane="bottomRight" state="frozen"/>
      <selection pane="topLeft" activeCell="A1" activeCellId="0" sqref="A1"/>
      <selection pane="topRight" activeCell="F1" activeCellId="0" sqref="F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30"/>
    <col collapsed="false" customWidth="true" hidden="false" outlineLevel="0" max="10" min="10" style="0" width="32"/>
    <col collapsed="false" customWidth="true" hidden="false" outlineLevel="0" max="11" min="11" style="0" width="10"/>
    <col collapsed="false" customWidth="true" hidden="false" outlineLevel="0" max="13" min="12" style="0" width="30"/>
    <col collapsed="false" customWidth="true" hidden="false" outlineLevel="0" max="14" min="14" style="0" width="2"/>
  </cols>
  <sheetData>
    <row r="1" customFormat="false" ht="31.5" hidden="false" customHeight="true" outlineLevel="0" collapsed="false">
      <c r="B1" s="1" t="s">
        <v>52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9.5" hidden="false" customHeight="true" outlineLevel="0" collapsed="false">
      <c r="B2" s="2" t="s">
        <v>128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3" hidden="false" customHeight="true" outlineLevel="0" collapsed="false">
      <c r="B4" s="8" t="s">
        <v>76</v>
      </c>
      <c r="C4" s="8" t="s">
        <v>122</v>
      </c>
      <c r="D4" s="8" t="s">
        <v>110</v>
      </c>
      <c r="E4" s="8" t="s">
        <v>111</v>
      </c>
      <c r="F4" s="8" t="s">
        <v>112</v>
      </c>
      <c r="G4" s="8" t="s">
        <v>118</v>
      </c>
      <c r="H4" s="8" t="s">
        <v>129</v>
      </c>
      <c r="I4" s="8" t="s">
        <v>130</v>
      </c>
      <c r="J4" s="8" t="s">
        <v>131</v>
      </c>
      <c r="K4" s="8" t="s">
        <v>132</v>
      </c>
      <c r="L4" s="8" t="s">
        <v>133</v>
      </c>
      <c r="M4" s="8" t="s">
        <v>86</v>
      </c>
    </row>
    <row r="5" customFormat="false" ht="30" hidden="false" customHeight="true" outlineLevel="0" collapsed="false">
      <c r="B5" s="9"/>
      <c r="C5" s="9" t="s">
        <v>122</v>
      </c>
      <c r="D5" s="9" t="s">
        <v>121</v>
      </c>
      <c r="E5" s="9" t="s">
        <v>134</v>
      </c>
      <c r="F5" s="9" t="s">
        <v>121</v>
      </c>
      <c r="G5" s="9" t="s">
        <v>89</v>
      </c>
      <c r="H5" s="9"/>
      <c r="I5" s="9" t="s">
        <v>135</v>
      </c>
      <c r="J5" s="9" t="s">
        <v>135</v>
      </c>
      <c r="K5" s="9" t="s">
        <v>121</v>
      </c>
      <c r="L5" s="9" t="s">
        <v>136</v>
      </c>
      <c r="M5" s="9" t="s">
        <v>91</v>
      </c>
    </row>
    <row r="6" customFormat="false" ht="21.75" hidden="false" customHeight="true" outlineLevel="0" collapsed="false">
      <c r="B6" s="9" t="s">
        <v>93</v>
      </c>
      <c r="C6" s="27" t="n">
        <v>46496</v>
      </c>
      <c r="D6" s="9" t="s">
        <v>137</v>
      </c>
      <c r="E6" s="10" t="s">
        <v>138</v>
      </c>
      <c r="F6" s="9" t="s">
        <v>139</v>
      </c>
      <c r="G6" s="9" t="n">
        <v>12</v>
      </c>
      <c r="H6" s="10" t="s">
        <v>140</v>
      </c>
      <c r="I6" s="10" t="s">
        <v>141</v>
      </c>
      <c r="J6" s="10" t="s">
        <v>142</v>
      </c>
      <c r="K6" s="9" t="s">
        <v>143</v>
      </c>
      <c r="L6" s="10" t="s">
        <v>144</v>
      </c>
      <c r="M6" s="9" t="s">
        <v>145</v>
      </c>
    </row>
    <row r="7" customFormat="false" ht="30" hidden="false" customHeight="true" outlineLevel="0" collapsed="false">
      <c r="B7" s="11" t="n">
        <v>1</v>
      </c>
      <c r="C7" s="21"/>
      <c r="D7" s="23"/>
      <c r="E7" s="20" t="str">
        <f aca="false">IF(D7="","",IFERROR(INDEX(Infraestrutura!$D$10:$D$49,MATCH(D7,Infraestrutura!$C$10:$C$49,0))&amp;"",""))</f>
        <v/>
      </c>
      <c r="F7" s="23"/>
      <c r="G7" s="12"/>
      <c r="H7" s="5"/>
      <c r="I7" s="5"/>
      <c r="J7" s="5"/>
      <c r="K7" s="23"/>
      <c r="L7" s="5"/>
      <c r="M7" s="16" t="str">
        <f aca="false">IF(D7="",IF(COUNTA(C7,F7:L7)&gt;0,"Falta o item",""),IF(ISNA(MATCH(D7,Infraestrutura!$C$10:$C$49,0)),"Item não cadastrado",IF(C7="","Falta a data",IF(F7="","Falta o tipo",IF(G7="","Falta o tempo parado",IF(F7="Corretiva",IF(I7="","Falta a causa",IF(J7="","Falta a ação",IF(K7="","Falta dizer se afetou o produto",IF(AND(K7="Sim",L7=""),"Produto afetado sem tratamento","OK")))),"OK"))))))</f>
        <v/>
      </c>
    </row>
    <row r="8" customFormat="false" ht="30" hidden="false" customHeight="true" outlineLevel="0" collapsed="false">
      <c r="B8" s="11" t="n">
        <v>2</v>
      </c>
      <c r="C8" s="21"/>
      <c r="D8" s="23"/>
      <c r="E8" s="20" t="str">
        <f aca="false">IF(D8="","",IFERROR(INDEX(Infraestrutura!$D$10:$D$49,MATCH(D8,Infraestrutura!$C$10:$C$49,0))&amp;"",""))</f>
        <v/>
      </c>
      <c r="F8" s="23"/>
      <c r="G8" s="12"/>
      <c r="H8" s="5"/>
      <c r="I8" s="5"/>
      <c r="J8" s="5"/>
      <c r="K8" s="23"/>
      <c r="L8" s="5"/>
      <c r="M8" s="16" t="str">
        <f aca="false">IF(D8="",IF(COUNTA(C8,F8:L8)&gt;0,"Falta o item",""),IF(ISNA(MATCH(D8,Infraestrutura!$C$10:$C$49,0)),"Item não cadastrado",IF(C8="","Falta a data",IF(F8="","Falta o tipo",IF(G8="","Falta o tempo parado",IF(F8="Corretiva",IF(I8="","Falta a causa",IF(J8="","Falta a ação",IF(K8="","Falta dizer se afetou o produto",IF(AND(K8="Sim",L8=""),"Produto afetado sem tratamento","OK")))),"OK"))))))</f>
        <v/>
      </c>
    </row>
    <row r="9" customFormat="false" ht="30" hidden="false" customHeight="true" outlineLevel="0" collapsed="false">
      <c r="B9" s="11" t="n">
        <v>3</v>
      </c>
      <c r="C9" s="21"/>
      <c r="D9" s="23"/>
      <c r="E9" s="20" t="str">
        <f aca="false">IF(D9="","",IFERROR(INDEX(Infraestrutura!$D$10:$D$49,MATCH(D9,Infraestrutura!$C$10:$C$49,0))&amp;"",""))</f>
        <v/>
      </c>
      <c r="F9" s="23"/>
      <c r="G9" s="12"/>
      <c r="H9" s="5"/>
      <c r="I9" s="5"/>
      <c r="J9" s="5"/>
      <c r="K9" s="23"/>
      <c r="L9" s="5"/>
      <c r="M9" s="16" t="str">
        <f aca="false">IF(D9="",IF(COUNTA(C9,F9:L9)&gt;0,"Falta o item",""),IF(ISNA(MATCH(D9,Infraestrutura!$C$10:$C$49,0)),"Item não cadastrado",IF(C9="","Falta a data",IF(F9="","Falta o tipo",IF(G9="","Falta o tempo parado",IF(F9="Corretiva",IF(I9="","Falta a causa",IF(J9="","Falta a ação",IF(K9="","Falta dizer se afetou o produto",IF(AND(K9="Sim",L9=""),"Produto afetado sem tratamento","OK")))),"OK"))))))</f>
        <v/>
      </c>
    </row>
    <row r="10" customFormat="false" ht="30" hidden="false" customHeight="true" outlineLevel="0" collapsed="false">
      <c r="B10" s="11" t="n">
        <v>4</v>
      </c>
      <c r="C10" s="21"/>
      <c r="D10" s="23"/>
      <c r="E10" s="20" t="str">
        <f aca="false">IF(D10="","",IFERROR(INDEX(Infraestrutura!$D$10:$D$49,MATCH(D10,Infraestrutura!$C$10:$C$49,0))&amp;"",""))</f>
        <v/>
      </c>
      <c r="F10" s="23"/>
      <c r="G10" s="12"/>
      <c r="H10" s="5"/>
      <c r="I10" s="5"/>
      <c r="J10" s="5"/>
      <c r="K10" s="23"/>
      <c r="L10" s="5"/>
      <c r="M10" s="16" t="str">
        <f aca="false">IF(D10="",IF(COUNTA(C10,F10:L10)&gt;0,"Falta o item",""),IF(ISNA(MATCH(D10,Infraestrutura!$C$10:$C$49,0)),"Item não cadastrado",IF(C10="","Falta a data",IF(F10="","Falta o tipo",IF(G10="","Falta o tempo parado",IF(F10="Corretiva",IF(I10="","Falta a causa",IF(J10="","Falta a ação",IF(K10="","Falta dizer se afetou o produto",IF(AND(K10="Sim",L10=""),"Produto afetado sem tratamento","OK")))),"OK"))))))</f>
        <v/>
      </c>
    </row>
    <row r="11" customFormat="false" ht="30" hidden="false" customHeight="true" outlineLevel="0" collapsed="false">
      <c r="B11" s="11" t="n">
        <v>5</v>
      </c>
      <c r="C11" s="21"/>
      <c r="D11" s="23"/>
      <c r="E11" s="20" t="str">
        <f aca="false">IF(D11="","",IFERROR(INDEX(Infraestrutura!$D$10:$D$49,MATCH(D11,Infraestrutura!$C$10:$C$49,0))&amp;"",""))</f>
        <v/>
      </c>
      <c r="F11" s="23"/>
      <c r="G11" s="12"/>
      <c r="H11" s="5"/>
      <c r="I11" s="5"/>
      <c r="J11" s="5"/>
      <c r="K11" s="23"/>
      <c r="L11" s="5"/>
      <c r="M11" s="16" t="str">
        <f aca="false">IF(D11="",IF(COUNTA(C11,F11:L11)&gt;0,"Falta o item",""),IF(ISNA(MATCH(D11,Infraestrutura!$C$10:$C$49,0)),"Item não cadastrado",IF(C11="","Falta a data",IF(F11="","Falta o tipo",IF(G11="","Falta o tempo parado",IF(F11="Corretiva",IF(I11="","Falta a causa",IF(J11="","Falta a ação",IF(K11="","Falta dizer se afetou o produto",IF(AND(K11="Sim",L11=""),"Produto afetado sem tratamento","OK")))),"OK"))))))</f>
        <v/>
      </c>
    </row>
    <row r="12" customFormat="false" ht="30" hidden="false" customHeight="true" outlineLevel="0" collapsed="false">
      <c r="B12" s="11" t="n">
        <v>6</v>
      </c>
      <c r="C12" s="21"/>
      <c r="D12" s="23"/>
      <c r="E12" s="20" t="str">
        <f aca="false">IF(D12="","",IFERROR(INDEX(Infraestrutura!$D$10:$D$49,MATCH(D12,Infraestrutura!$C$10:$C$49,0))&amp;"",""))</f>
        <v/>
      </c>
      <c r="F12" s="23"/>
      <c r="G12" s="12"/>
      <c r="H12" s="5"/>
      <c r="I12" s="5"/>
      <c r="J12" s="5"/>
      <c r="K12" s="23"/>
      <c r="L12" s="5"/>
      <c r="M12" s="16" t="str">
        <f aca="false">IF(D12="",IF(COUNTA(C12,F12:L12)&gt;0,"Falta o item",""),IF(ISNA(MATCH(D12,Infraestrutura!$C$10:$C$49,0)),"Item não cadastrado",IF(C12="","Falta a data",IF(F12="","Falta o tipo",IF(G12="","Falta o tempo parado",IF(F12="Corretiva",IF(I12="","Falta a causa",IF(J12="","Falta a ação",IF(K12="","Falta dizer se afetou o produto",IF(AND(K12="Sim",L12=""),"Produto afetado sem tratamento","OK")))),"OK"))))))</f>
        <v/>
      </c>
    </row>
    <row r="13" customFormat="false" ht="30" hidden="false" customHeight="true" outlineLevel="0" collapsed="false">
      <c r="B13" s="11" t="n">
        <v>7</v>
      </c>
      <c r="C13" s="21"/>
      <c r="D13" s="23"/>
      <c r="E13" s="20" t="str">
        <f aca="false">IF(D13="","",IFERROR(INDEX(Infraestrutura!$D$10:$D$49,MATCH(D13,Infraestrutura!$C$10:$C$49,0))&amp;"",""))</f>
        <v/>
      </c>
      <c r="F13" s="23"/>
      <c r="G13" s="12"/>
      <c r="H13" s="5"/>
      <c r="I13" s="5"/>
      <c r="J13" s="5"/>
      <c r="K13" s="23"/>
      <c r="L13" s="5"/>
      <c r="M13" s="16" t="str">
        <f aca="false">IF(D13="",IF(COUNTA(C13,F13:L13)&gt;0,"Falta o item",""),IF(ISNA(MATCH(D13,Infraestrutura!$C$10:$C$49,0)),"Item não cadastrado",IF(C13="","Falta a data",IF(F13="","Falta o tipo",IF(G13="","Falta o tempo parado",IF(F13="Corretiva",IF(I13="","Falta a causa",IF(J13="","Falta a ação",IF(K13="","Falta dizer se afetou o produto",IF(AND(K13="Sim",L13=""),"Produto afetado sem tratamento","OK")))),"OK"))))))</f>
        <v/>
      </c>
    </row>
    <row r="14" customFormat="false" ht="30" hidden="false" customHeight="true" outlineLevel="0" collapsed="false">
      <c r="B14" s="11" t="n">
        <v>8</v>
      </c>
      <c r="C14" s="21"/>
      <c r="D14" s="23"/>
      <c r="E14" s="20" t="str">
        <f aca="false">IF(D14="","",IFERROR(INDEX(Infraestrutura!$D$10:$D$49,MATCH(D14,Infraestrutura!$C$10:$C$49,0))&amp;"",""))</f>
        <v/>
      </c>
      <c r="F14" s="23"/>
      <c r="G14" s="12"/>
      <c r="H14" s="5"/>
      <c r="I14" s="5"/>
      <c r="J14" s="5"/>
      <c r="K14" s="23"/>
      <c r="L14" s="5"/>
      <c r="M14" s="16" t="str">
        <f aca="false">IF(D14="",IF(COUNTA(C14,F14:L14)&gt;0,"Falta o item",""),IF(ISNA(MATCH(D14,Infraestrutura!$C$10:$C$49,0)),"Item não cadastrado",IF(C14="","Falta a data",IF(F14="","Falta o tipo",IF(G14="","Falta o tempo parado",IF(F14="Corretiva",IF(I14="","Falta a causa",IF(J14="","Falta a ação",IF(K14="","Falta dizer se afetou o produto",IF(AND(K14="Sim",L14=""),"Produto afetado sem tratamento","OK")))),"OK"))))))</f>
        <v/>
      </c>
    </row>
    <row r="15" customFormat="false" ht="30" hidden="false" customHeight="true" outlineLevel="0" collapsed="false">
      <c r="B15" s="11" t="n">
        <v>9</v>
      </c>
      <c r="C15" s="21"/>
      <c r="D15" s="23"/>
      <c r="E15" s="20" t="str">
        <f aca="false">IF(D15="","",IFERROR(INDEX(Infraestrutura!$D$10:$D$49,MATCH(D15,Infraestrutura!$C$10:$C$49,0))&amp;"",""))</f>
        <v/>
      </c>
      <c r="F15" s="23"/>
      <c r="G15" s="12"/>
      <c r="H15" s="5"/>
      <c r="I15" s="5"/>
      <c r="J15" s="5"/>
      <c r="K15" s="23"/>
      <c r="L15" s="5"/>
      <c r="M15" s="16" t="str">
        <f aca="false">IF(D15="",IF(COUNTA(C15,F15:L15)&gt;0,"Falta o item",""),IF(ISNA(MATCH(D15,Infraestrutura!$C$10:$C$49,0)),"Item não cadastrado",IF(C15="","Falta a data",IF(F15="","Falta o tipo",IF(G15="","Falta o tempo parado",IF(F15="Corretiva",IF(I15="","Falta a causa",IF(J15="","Falta a ação",IF(K15="","Falta dizer se afetou o produto",IF(AND(K15="Sim",L15=""),"Produto afetado sem tratamento","OK")))),"OK"))))))</f>
        <v/>
      </c>
    </row>
    <row r="16" customFormat="false" ht="30" hidden="false" customHeight="true" outlineLevel="0" collapsed="false">
      <c r="B16" s="11" t="n">
        <v>10</v>
      </c>
      <c r="C16" s="21"/>
      <c r="D16" s="23"/>
      <c r="E16" s="20" t="str">
        <f aca="false">IF(D16="","",IFERROR(INDEX(Infraestrutura!$D$10:$D$49,MATCH(D16,Infraestrutura!$C$10:$C$49,0))&amp;"",""))</f>
        <v/>
      </c>
      <c r="F16" s="23"/>
      <c r="G16" s="12"/>
      <c r="H16" s="5"/>
      <c r="I16" s="5"/>
      <c r="J16" s="5"/>
      <c r="K16" s="23"/>
      <c r="L16" s="5"/>
      <c r="M16" s="16" t="str">
        <f aca="false">IF(D16="",IF(COUNTA(C16,F16:L16)&gt;0,"Falta o item",""),IF(ISNA(MATCH(D16,Infraestrutura!$C$10:$C$49,0)),"Item não cadastrado",IF(C16="","Falta a data",IF(F16="","Falta o tipo",IF(G16="","Falta o tempo parado",IF(F16="Corretiva",IF(I16="","Falta a causa",IF(J16="","Falta a ação",IF(K16="","Falta dizer se afetou o produto",IF(AND(K16="Sim",L16=""),"Produto afetado sem tratamento","OK")))),"OK"))))))</f>
        <v/>
      </c>
    </row>
    <row r="17" customFormat="false" ht="30" hidden="false" customHeight="true" outlineLevel="0" collapsed="false">
      <c r="B17" s="11" t="n">
        <v>11</v>
      </c>
      <c r="C17" s="21"/>
      <c r="D17" s="23"/>
      <c r="E17" s="20" t="str">
        <f aca="false">IF(D17="","",IFERROR(INDEX(Infraestrutura!$D$10:$D$49,MATCH(D17,Infraestrutura!$C$10:$C$49,0))&amp;"",""))</f>
        <v/>
      </c>
      <c r="F17" s="23"/>
      <c r="G17" s="12"/>
      <c r="H17" s="5"/>
      <c r="I17" s="5"/>
      <c r="J17" s="5"/>
      <c r="K17" s="23"/>
      <c r="L17" s="5"/>
      <c r="M17" s="16" t="str">
        <f aca="false">IF(D17="",IF(COUNTA(C17,F17:L17)&gt;0,"Falta o item",""),IF(ISNA(MATCH(D17,Infraestrutura!$C$10:$C$49,0)),"Item não cadastrado",IF(C17="","Falta a data",IF(F17="","Falta o tipo",IF(G17="","Falta o tempo parado",IF(F17="Corretiva",IF(I17="","Falta a causa",IF(J17="","Falta a ação",IF(K17="","Falta dizer se afetou o produto",IF(AND(K17="Sim",L17=""),"Produto afetado sem tratamento","OK")))),"OK"))))))</f>
        <v/>
      </c>
    </row>
    <row r="18" customFormat="false" ht="30" hidden="false" customHeight="true" outlineLevel="0" collapsed="false">
      <c r="B18" s="11" t="n">
        <v>12</v>
      </c>
      <c r="C18" s="21"/>
      <c r="D18" s="23"/>
      <c r="E18" s="20" t="str">
        <f aca="false">IF(D18="","",IFERROR(INDEX(Infraestrutura!$D$10:$D$49,MATCH(D18,Infraestrutura!$C$10:$C$49,0))&amp;"",""))</f>
        <v/>
      </c>
      <c r="F18" s="23"/>
      <c r="G18" s="12"/>
      <c r="H18" s="5"/>
      <c r="I18" s="5"/>
      <c r="J18" s="5"/>
      <c r="K18" s="23"/>
      <c r="L18" s="5"/>
      <c r="M18" s="16" t="str">
        <f aca="false">IF(D18="",IF(COUNTA(C18,F18:L18)&gt;0,"Falta o item",""),IF(ISNA(MATCH(D18,Infraestrutura!$C$10:$C$49,0)),"Item não cadastrado",IF(C18="","Falta a data",IF(F18="","Falta o tipo",IF(G18="","Falta o tempo parado",IF(F18="Corretiva",IF(I18="","Falta a causa",IF(J18="","Falta a ação",IF(K18="","Falta dizer se afetou o produto",IF(AND(K18="Sim",L18=""),"Produto afetado sem tratamento","OK")))),"OK"))))))</f>
        <v/>
      </c>
    </row>
    <row r="19" customFormat="false" ht="30" hidden="false" customHeight="true" outlineLevel="0" collapsed="false">
      <c r="B19" s="11" t="n">
        <v>13</v>
      </c>
      <c r="C19" s="21"/>
      <c r="D19" s="23"/>
      <c r="E19" s="20" t="str">
        <f aca="false">IF(D19="","",IFERROR(INDEX(Infraestrutura!$D$10:$D$49,MATCH(D19,Infraestrutura!$C$10:$C$49,0))&amp;"",""))</f>
        <v/>
      </c>
      <c r="F19" s="23"/>
      <c r="G19" s="12"/>
      <c r="H19" s="5"/>
      <c r="I19" s="5"/>
      <c r="J19" s="5"/>
      <c r="K19" s="23"/>
      <c r="L19" s="5"/>
      <c r="M19" s="16" t="str">
        <f aca="false">IF(D19="",IF(COUNTA(C19,F19:L19)&gt;0,"Falta o item",""),IF(ISNA(MATCH(D19,Infraestrutura!$C$10:$C$49,0)),"Item não cadastrado",IF(C19="","Falta a data",IF(F19="","Falta o tipo",IF(G19="","Falta o tempo parado",IF(F19="Corretiva",IF(I19="","Falta a causa",IF(J19="","Falta a ação",IF(K19="","Falta dizer se afetou o produto",IF(AND(K19="Sim",L19=""),"Produto afetado sem tratamento","OK")))),"OK"))))))</f>
        <v/>
      </c>
    </row>
    <row r="20" customFormat="false" ht="30" hidden="false" customHeight="true" outlineLevel="0" collapsed="false">
      <c r="B20" s="11" t="n">
        <v>14</v>
      </c>
      <c r="C20" s="21"/>
      <c r="D20" s="23"/>
      <c r="E20" s="20" t="str">
        <f aca="false">IF(D20="","",IFERROR(INDEX(Infraestrutura!$D$10:$D$49,MATCH(D20,Infraestrutura!$C$10:$C$49,0))&amp;"",""))</f>
        <v/>
      </c>
      <c r="F20" s="23"/>
      <c r="G20" s="12"/>
      <c r="H20" s="5"/>
      <c r="I20" s="5"/>
      <c r="J20" s="5"/>
      <c r="K20" s="23"/>
      <c r="L20" s="5"/>
      <c r="M20" s="16" t="str">
        <f aca="false">IF(D20="",IF(COUNTA(C20,F20:L20)&gt;0,"Falta o item",""),IF(ISNA(MATCH(D20,Infraestrutura!$C$10:$C$49,0)),"Item não cadastrado",IF(C20="","Falta a data",IF(F20="","Falta o tipo",IF(G20="","Falta o tempo parado",IF(F20="Corretiva",IF(I20="","Falta a causa",IF(J20="","Falta a ação",IF(K20="","Falta dizer se afetou o produto",IF(AND(K20="Sim",L20=""),"Produto afetado sem tratamento","OK")))),"OK"))))))</f>
        <v/>
      </c>
    </row>
    <row r="21" customFormat="false" ht="30" hidden="false" customHeight="true" outlineLevel="0" collapsed="false">
      <c r="B21" s="11" t="n">
        <v>15</v>
      </c>
      <c r="C21" s="21"/>
      <c r="D21" s="23"/>
      <c r="E21" s="20" t="str">
        <f aca="false">IF(D21="","",IFERROR(INDEX(Infraestrutura!$D$10:$D$49,MATCH(D21,Infraestrutura!$C$10:$C$49,0))&amp;"",""))</f>
        <v/>
      </c>
      <c r="F21" s="23"/>
      <c r="G21" s="12"/>
      <c r="H21" s="5"/>
      <c r="I21" s="5"/>
      <c r="J21" s="5"/>
      <c r="K21" s="23"/>
      <c r="L21" s="5"/>
      <c r="M21" s="16" t="str">
        <f aca="false">IF(D21="",IF(COUNTA(C21,F21:L21)&gt;0,"Falta o item",""),IF(ISNA(MATCH(D21,Infraestrutura!$C$10:$C$49,0)),"Item não cadastrado",IF(C21="","Falta a data",IF(F21="","Falta o tipo",IF(G21="","Falta o tempo parado",IF(F21="Corretiva",IF(I21="","Falta a causa",IF(J21="","Falta a ação",IF(K21="","Falta dizer se afetou o produto",IF(AND(K21="Sim",L21=""),"Produto afetado sem tratamento","OK")))),"OK"))))))</f>
        <v/>
      </c>
    </row>
    <row r="22" customFormat="false" ht="30" hidden="false" customHeight="true" outlineLevel="0" collapsed="false">
      <c r="B22" s="11" t="n">
        <v>16</v>
      </c>
      <c r="C22" s="21"/>
      <c r="D22" s="23"/>
      <c r="E22" s="20" t="str">
        <f aca="false">IF(D22="","",IFERROR(INDEX(Infraestrutura!$D$10:$D$49,MATCH(D22,Infraestrutura!$C$10:$C$49,0))&amp;"",""))</f>
        <v/>
      </c>
      <c r="F22" s="23"/>
      <c r="G22" s="12"/>
      <c r="H22" s="5"/>
      <c r="I22" s="5"/>
      <c r="J22" s="5"/>
      <c r="K22" s="23"/>
      <c r="L22" s="5"/>
      <c r="M22" s="16" t="str">
        <f aca="false">IF(D22="",IF(COUNTA(C22,F22:L22)&gt;0,"Falta o item",""),IF(ISNA(MATCH(D22,Infraestrutura!$C$10:$C$49,0)),"Item não cadastrado",IF(C22="","Falta a data",IF(F22="","Falta o tipo",IF(G22="","Falta o tempo parado",IF(F22="Corretiva",IF(I22="","Falta a causa",IF(J22="","Falta a ação",IF(K22="","Falta dizer se afetou o produto",IF(AND(K22="Sim",L22=""),"Produto afetado sem tratamento","OK")))),"OK"))))))</f>
        <v/>
      </c>
    </row>
    <row r="23" customFormat="false" ht="30" hidden="false" customHeight="true" outlineLevel="0" collapsed="false">
      <c r="B23" s="11" t="n">
        <v>17</v>
      </c>
      <c r="C23" s="21"/>
      <c r="D23" s="23"/>
      <c r="E23" s="20" t="str">
        <f aca="false">IF(D23="","",IFERROR(INDEX(Infraestrutura!$D$10:$D$49,MATCH(D23,Infraestrutura!$C$10:$C$49,0))&amp;"",""))</f>
        <v/>
      </c>
      <c r="F23" s="23"/>
      <c r="G23" s="12"/>
      <c r="H23" s="5"/>
      <c r="I23" s="5"/>
      <c r="J23" s="5"/>
      <c r="K23" s="23"/>
      <c r="L23" s="5"/>
      <c r="M23" s="16" t="str">
        <f aca="false">IF(D23="",IF(COUNTA(C23,F23:L23)&gt;0,"Falta o item",""),IF(ISNA(MATCH(D23,Infraestrutura!$C$10:$C$49,0)),"Item não cadastrado",IF(C23="","Falta a data",IF(F23="","Falta o tipo",IF(G23="","Falta o tempo parado",IF(F23="Corretiva",IF(I23="","Falta a causa",IF(J23="","Falta a ação",IF(K23="","Falta dizer se afetou o produto",IF(AND(K23="Sim",L23=""),"Produto afetado sem tratamento","OK")))),"OK"))))))</f>
        <v/>
      </c>
    </row>
    <row r="24" customFormat="false" ht="30" hidden="false" customHeight="true" outlineLevel="0" collapsed="false">
      <c r="B24" s="11" t="n">
        <v>18</v>
      </c>
      <c r="C24" s="21"/>
      <c r="D24" s="23"/>
      <c r="E24" s="20" t="str">
        <f aca="false">IF(D24="","",IFERROR(INDEX(Infraestrutura!$D$10:$D$49,MATCH(D24,Infraestrutura!$C$10:$C$49,0))&amp;"",""))</f>
        <v/>
      </c>
      <c r="F24" s="23"/>
      <c r="G24" s="12"/>
      <c r="H24" s="5"/>
      <c r="I24" s="5"/>
      <c r="J24" s="5"/>
      <c r="K24" s="23"/>
      <c r="L24" s="5"/>
      <c r="M24" s="16" t="str">
        <f aca="false">IF(D24="",IF(COUNTA(C24,F24:L24)&gt;0,"Falta o item",""),IF(ISNA(MATCH(D24,Infraestrutura!$C$10:$C$49,0)),"Item não cadastrado",IF(C24="","Falta a data",IF(F24="","Falta o tipo",IF(G24="","Falta o tempo parado",IF(F24="Corretiva",IF(I24="","Falta a causa",IF(J24="","Falta a ação",IF(K24="","Falta dizer se afetou o produto",IF(AND(K24="Sim",L24=""),"Produto afetado sem tratamento","OK")))),"OK"))))))</f>
        <v/>
      </c>
    </row>
    <row r="25" customFormat="false" ht="30" hidden="false" customHeight="true" outlineLevel="0" collapsed="false">
      <c r="B25" s="11" t="n">
        <v>19</v>
      </c>
      <c r="C25" s="21"/>
      <c r="D25" s="23"/>
      <c r="E25" s="20" t="str">
        <f aca="false">IF(D25="","",IFERROR(INDEX(Infraestrutura!$D$10:$D$49,MATCH(D25,Infraestrutura!$C$10:$C$49,0))&amp;"",""))</f>
        <v/>
      </c>
      <c r="F25" s="23"/>
      <c r="G25" s="12"/>
      <c r="H25" s="5"/>
      <c r="I25" s="5"/>
      <c r="J25" s="5"/>
      <c r="K25" s="23"/>
      <c r="L25" s="5"/>
      <c r="M25" s="16" t="str">
        <f aca="false">IF(D25="",IF(COUNTA(C25,F25:L25)&gt;0,"Falta o item",""),IF(ISNA(MATCH(D25,Infraestrutura!$C$10:$C$49,0)),"Item não cadastrado",IF(C25="","Falta a data",IF(F25="","Falta o tipo",IF(G25="","Falta o tempo parado",IF(F25="Corretiva",IF(I25="","Falta a causa",IF(J25="","Falta a ação",IF(K25="","Falta dizer se afetou o produto",IF(AND(K25="Sim",L25=""),"Produto afetado sem tratamento","OK")))),"OK"))))))</f>
        <v/>
      </c>
    </row>
    <row r="26" customFormat="false" ht="30" hidden="false" customHeight="true" outlineLevel="0" collapsed="false">
      <c r="B26" s="11" t="n">
        <v>20</v>
      </c>
      <c r="C26" s="21"/>
      <c r="D26" s="23"/>
      <c r="E26" s="20" t="str">
        <f aca="false">IF(D26="","",IFERROR(INDEX(Infraestrutura!$D$10:$D$49,MATCH(D26,Infraestrutura!$C$10:$C$49,0))&amp;"",""))</f>
        <v/>
      </c>
      <c r="F26" s="23"/>
      <c r="G26" s="12"/>
      <c r="H26" s="5"/>
      <c r="I26" s="5"/>
      <c r="J26" s="5"/>
      <c r="K26" s="23"/>
      <c r="L26" s="5"/>
      <c r="M26" s="16" t="str">
        <f aca="false">IF(D26="",IF(COUNTA(C26,F26:L26)&gt;0,"Falta o item",""),IF(ISNA(MATCH(D26,Infraestrutura!$C$10:$C$49,0)),"Item não cadastrado",IF(C26="","Falta a data",IF(F26="","Falta o tipo",IF(G26="","Falta o tempo parado",IF(F26="Corretiva",IF(I26="","Falta a causa",IF(J26="","Falta a ação",IF(K26="","Falta dizer se afetou o produto",IF(AND(K26="Sim",L26=""),"Produto afetado sem tratamento","OK")))),"OK"))))))</f>
        <v/>
      </c>
    </row>
    <row r="27" customFormat="false" ht="30" hidden="false" customHeight="true" outlineLevel="0" collapsed="false">
      <c r="B27" s="11" t="n">
        <v>21</v>
      </c>
      <c r="C27" s="21"/>
      <c r="D27" s="23"/>
      <c r="E27" s="20" t="str">
        <f aca="false">IF(D27="","",IFERROR(INDEX(Infraestrutura!$D$10:$D$49,MATCH(D27,Infraestrutura!$C$10:$C$49,0))&amp;"",""))</f>
        <v/>
      </c>
      <c r="F27" s="23"/>
      <c r="G27" s="12"/>
      <c r="H27" s="5"/>
      <c r="I27" s="5"/>
      <c r="J27" s="5"/>
      <c r="K27" s="23"/>
      <c r="L27" s="5"/>
      <c r="M27" s="16" t="str">
        <f aca="false">IF(D27="",IF(COUNTA(C27,F27:L27)&gt;0,"Falta o item",""),IF(ISNA(MATCH(D27,Infraestrutura!$C$10:$C$49,0)),"Item não cadastrado",IF(C27="","Falta a data",IF(F27="","Falta o tipo",IF(G27="","Falta o tempo parado",IF(F27="Corretiva",IF(I27="","Falta a causa",IF(J27="","Falta a ação",IF(K27="","Falta dizer se afetou o produto",IF(AND(K27="Sim",L27=""),"Produto afetado sem tratamento","OK")))),"OK"))))))</f>
        <v/>
      </c>
    </row>
    <row r="28" customFormat="false" ht="30" hidden="false" customHeight="true" outlineLevel="0" collapsed="false">
      <c r="B28" s="11" t="n">
        <v>22</v>
      </c>
      <c r="C28" s="21"/>
      <c r="D28" s="23"/>
      <c r="E28" s="20" t="str">
        <f aca="false">IF(D28="","",IFERROR(INDEX(Infraestrutura!$D$10:$D$49,MATCH(D28,Infraestrutura!$C$10:$C$49,0))&amp;"",""))</f>
        <v/>
      </c>
      <c r="F28" s="23"/>
      <c r="G28" s="12"/>
      <c r="H28" s="5"/>
      <c r="I28" s="5"/>
      <c r="J28" s="5"/>
      <c r="K28" s="23"/>
      <c r="L28" s="5"/>
      <c r="M28" s="16" t="str">
        <f aca="false">IF(D28="",IF(COUNTA(C28,F28:L28)&gt;0,"Falta o item",""),IF(ISNA(MATCH(D28,Infraestrutura!$C$10:$C$49,0)),"Item não cadastrado",IF(C28="","Falta a data",IF(F28="","Falta o tipo",IF(G28="","Falta o tempo parado",IF(F28="Corretiva",IF(I28="","Falta a causa",IF(J28="","Falta a ação",IF(K28="","Falta dizer se afetou o produto",IF(AND(K28="Sim",L28=""),"Produto afetado sem tratamento","OK")))),"OK"))))))</f>
        <v/>
      </c>
    </row>
    <row r="29" customFormat="false" ht="30" hidden="false" customHeight="true" outlineLevel="0" collapsed="false">
      <c r="B29" s="11" t="n">
        <v>23</v>
      </c>
      <c r="C29" s="21"/>
      <c r="D29" s="23"/>
      <c r="E29" s="20" t="str">
        <f aca="false">IF(D29="","",IFERROR(INDEX(Infraestrutura!$D$10:$D$49,MATCH(D29,Infraestrutura!$C$10:$C$49,0))&amp;"",""))</f>
        <v/>
      </c>
      <c r="F29" s="23"/>
      <c r="G29" s="12"/>
      <c r="H29" s="5"/>
      <c r="I29" s="5"/>
      <c r="J29" s="5"/>
      <c r="K29" s="23"/>
      <c r="L29" s="5"/>
      <c r="M29" s="16" t="str">
        <f aca="false">IF(D29="",IF(COUNTA(C29,F29:L29)&gt;0,"Falta o item",""),IF(ISNA(MATCH(D29,Infraestrutura!$C$10:$C$49,0)),"Item não cadastrado",IF(C29="","Falta a data",IF(F29="","Falta o tipo",IF(G29="","Falta o tempo parado",IF(F29="Corretiva",IF(I29="","Falta a causa",IF(J29="","Falta a ação",IF(K29="","Falta dizer se afetou o produto",IF(AND(K29="Sim",L29=""),"Produto afetado sem tratamento","OK")))),"OK"))))))</f>
        <v/>
      </c>
    </row>
    <row r="30" customFormat="false" ht="30" hidden="false" customHeight="true" outlineLevel="0" collapsed="false">
      <c r="B30" s="11" t="n">
        <v>24</v>
      </c>
      <c r="C30" s="21"/>
      <c r="D30" s="23"/>
      <c r="E30" s="20" t="str">
        <f aca="false">IF(D30="","",IFERROR(INDEX(Infraestrutura!$D$10:$D$49,MATCH(D30,Infraestrutura!$C$10:$C$49,0))&amp;"",""))</f>
        <v/>
      </c>
      <c r="F30" s="23"/>
      <c r="G30" s="12"/>
      <c r="H30" s="5"/>
      <c r="I30" s="5"/>
      <c r="J30" s="5"/>
      <c r="K30" s="23"/>
      <c r="L30" s="5"/>
      <c r="M30" s="16" t="str">
        <f aca="false">IF(D30="",IF(COUNTA(C30,F30:L30)&gt;0,"Falta o item",""),IF(ISNA(MATCH(D30,Infraestrutura!$C$10:$C$49,0)),"Item não cadastrado",IF(C30="","Falta a data",IF(F30="","Falta o tipo",IF(G30="","Falta o tempo parado",IF(F30="Corretiva",IF(I30="","Falta a causa",IF(J30="","Falta a ação",IF(K30="","Falta dizer se afetou o produto",IF(AND(K30="Sim",L30=""),"Produto afetado sem tratamento","OK")))),"OK"))))))</f>
        <v/>
      </c>
    </row>
    <row r="31" customFormat="false" ht="30" hidden="false" customHeight="true" outlineLevel="0" collapsed="false">
      <c r="B31" s="11" t="n">
        <v>25</v>
      </c>
      <c r="C31" s="21"/>
      <c r="D31" s="23"/>
      <c r="E31" s="20" t="str">
        <f aca="false">IF(D31="","",IFERROR(INDEX(Infraestrutura!$D$10:$D$49,MATCH(D31,Infraestrutura!$C$10:$C$49,0))&amp;"",""))</f>
        <v/>
      </c>
      <c r="F31" s="23"/>
      <c r="G31" s="12"/>
      <c r="H31" s="5"/>
      <c r="I31" s="5"/>
      <c r="J31" s="5"/>
      <c r="K31" s="23"/>
      <c r="L31" s="5"/>
      <c r="M31" s="16" t="str">
        <f aca="false">IF(D31="",IF(COUNTA(C31,F31:L31)&gt;0,"Falta o item",""),IF(ISNA(MATCH(D31,Infraestrutura!$C$10:$C$49,0)),"Item não cadastrado",IF(C31="","Falta a data",IF(F31="","Falta o tipo",IF(G31="","Falta o tempo parado",IF(F31="Corretiva",IF(I31="","Falta a causa",IF(J31="","Falta a ação",IF(K31="","Falta dizer se afetou o produto",IF(AND(K31="Sim",L31=""),"Produto afetado sem tratamento","OK")))),"OK"))))))</f>
        <v/>
      </c>
    </row>
    <row r="32" customFormat="false" ht="30" hidden="false" customHeight="true" outlineLevel="0" collapsed="false">
      <c r="B32" s="11" t="n">
        <v>26</v>
      </c>
      <c r="C32" s="21"/>
      <c r="D32" s="23"/>
      <c r="E32" s="20" t="str">
        <f aca="false">IF(D32="","",IFERROR(INDEX(Infraestrutura!$D$10:$D$49,MATCH(D32,Infraestrutura!$C$10:$C$49,0))&amp;"",""))</f>
        <v/>
      </c>
      <c r="F32" s="23"/>
      <c r="G32" s="12"/>
      <c r="H32" s="5"/>
      <c r="I32" s="5"/>
      <c r="J32" s="5"/>
      <c r="K32" s="23"/>
      <c r="L32" s="5"/>
      <c r="M32" s="16" t="str">
        <f aca="false">IF(D32="",IF(COUNTA(C32,F32:L32)&gt;0,"Falta o item",""),IF(ISNA(MATCH(D32,Infraestrutura!$C$10:$C$49,0)),"Item não cadastrado",IF(C32="","Falta a data",IF(F32="","Falta o tipo",IF(G32="","Falta o tempo parado",IF(F32="Corretiva",IF(I32="","Falta a causa",IF(J32="","Falta a ação",IF(K32="","Falta dizer se afetou o produto",IF(AND(K32="Sim",L32=""),"Produto afetado sem tratamento","OK")))),"OK"))))))</f>
        <v/>
      </c>
    </row>
    <row r="33" customFormat="false" ht="30" hidden="false" customHeight="true" outlineLevel="0" collapsed="false">
      <c r="B33" s="11" t="n">
        <v>27</v>
      </c>
      <c r="C33" s="21"/>
      <c r="D33" s="23"/>
      <c r="E33" s="20" t="str">
        <f aca="false">IF(D33="","",IFERROR(INDEX(Infraestrutura!$D$10:$D$49,MATCH(D33,Infraestrutura!$C$10:$C$49,0))&amp;"",""))</f>
        <v/>
      </c>
      <c r="F33" s="23"/>
      <c r="G33" s="12"/>
      <c r="H33" s="5"/>
      <c r="I33" s="5"/>
      <c r="J33" s="5"/>
      <c r="K33" s="23"/>
      <c r="L33" s="5"/>
      <c r="M33" s="16" t="str">
        <f aca="false">IF(D33="",IF(COUNTA(C33,F33:L33)&gt;0,"Falta o item",""),IF(ISNA(MATCH(D33,Infraestrutura!$C$10:$C$49,0)),"Item não cadastrado",IF(C33="","Falta a data",IF(F33="","Falta o tipo",IF(G33="","Falta o tempo parado",IF(F33="Corretiva",IF(I33="","Falta a causa",IF(J33="","Falta a ação",IF(K33="","Falta dizer se afetou o produto",IF(AND(K33="Sim",L33=""),"Produto afetado sem tratamento","OK")))),"OK"))))))</f>
        <v/>
      </c>
    </row>
    <row r="34" customFormat="false" ht="30" hidden="false" customHeight="true" outlineLevel="0" collapsed="false">
      <c r="B34" s="11" t="n">
        <v>28</v>
      </c>
      <c r="C34" s="21"/>
      <c r="D34" s="23"/>
      <c r="E34" s="20" t="str">
        <f aca="false">IF(D34="","",IFERROR(INDEX(Infraestrutura!$D$10:$D$49,MATCH(D34,Infraestrutura!$C$10:$C$49,0))&amp;"",""))</f>
        <v/>
      </c>
      <c r="F34" s="23"/>
      <c r="G34" s="12"/>
      <c r="H34" s="5"/>
      <c r="I34" s="5"/>
      <c r="J34" s="5"/>
      <c r="K34" s="23"/>
      <c r="L34" s="5"/>
      <c r="M34" s="16" t="str">
        <f aca="false">IF(D34="",IF(COUNTA(C34,F34:L34)&gt;0,"Falta o item",""),IF(ISNA(MATCH(D34,Infraestrutura!$C$10:$C$49,0)),"Item não cadastrado",IF(C34="","Falta a data",IF(F34="","Falta o tipo",IF(G34="","Falta o tempo parado",IF(F34="Corretiva",IF(I34="","Falta a causa",IF(J34="","Falta a ação",IF(K34="","Falta dizer se afetou o produto",IF(AND(K34="Sim",L34=""),"Produto afetado sem tratamento","OK")))),"OK"))))))</f>
        <v/>
      </c>
    </row>
    <row r="35" customFormat="false" ht="30" hidden="false" customHeight="true" outlineLevel="0" collapsed="false">
      <c r="B35" s="11" t="n">
        <v>29</v>
      </c>
      <c r="C35" s="21"/>
      <c r="D35" s="23"/>
      <c r="E35" s="20" t="str">
        <f aca="false">IF(D35="","",IFERROR(INDEX(Infraestrutura!$D$10:$D$49,MATCH(D35,Infraestrutura!$C$10:$C$49,0))&amp;"",""))</f>
        <v/>
      </c>
      <c r="F35" s="23"/>
      <c r="G35" s="12"/>
      <c r="H35" s="5"/>
      <c r="I35" s="5"/>
      <c r="J35" s="5"/>
      <c r="K35" s="23"/>
      <c r="L35" s="5"/>
      <c r="M35" s="16" t="str">
        <f aca="false">IF(D35="",IF(COUNTA(C35,F35:L35)&gt;0,"Falta o item",""),IF(ISNA(MATCH(D35,Infraestrutura!$C$10:$C$49,0)),"Item não cadastrado",IF(C35="","Falta a data",IF(F35="","Falta o tipo",IF(G35="","Falta o tempo parado",IF(F35="Corretiva",IF(I35="","Falta a causa",IF(J35="","Falta a ação",IF(K35="","Falta dizer se afetou o produto",IF(AND(K35="Sim",L35=""),"Produto afetado sem tratamento","OK")))),"OK"))))))</f>
        <v/>
      </c>
    </row>
    <row r="36" customFormat="false" ht="30" hidden="false" customHeight="true" outlineLevel="0" collapsed="false">
      <c r="B36" s="11" t="n">
        <v>30</v>
      </c>
      <c r="C36" s="21"/>
      <c r="D36" s="23"/>
      <c r="E36" s="20" t="str">
        <f aca="false">IF(D36="","",IFERROR(INDEX(Infraestrutura!$D$10:$D$49,MATCH(D36,Infraestrutura!$C$10:$C$49,0))&amp;"",""))</f>
        <v/>
      </c>
      <c r="F36" s="23"/>
      <c r="G36" s="12"/>
      <c r="H36" s="5"/>
      <c r="I36" s="5"/>
      <c r="J36" s="5"/>
      <c r="K36" s="23"/>
      <c r="L36" s="5"/>
      <c r="M36" s="16" t="str">
        <f aca="false">IF(D36="",IF(COUNTA(C36,F36:L36)&gt;0,"Falta o item",""),IF(ISNA(MATCH(D36,Infraestrutura!$C$10:$C$49,0)),"Item não cadastrado",IF(C36="","Falta a data",IF(F36="","Falta o tipo",IF(G36="","Falta o tempo parado",IF(F36="Corretiva",IF(I36="","Falta a causa",IF(J36="","Falta a ação",IF(K36="","Falta dizer se afetou o produto",IF(AND(K36="Sim",L36=""),"Produto afetado sem tratamento","OK")))),"OK"))))))</f>
        <v/>
      </c>
    </row>
    <row r="37" customFormat="false" ht="30" hidden="false" customHeight="true" outlineLevel="0" collapsed="false">
      <c r="B37" s="11" t="n">
        <v>31</v>
      </c>
      <c r="C37" s="21"/>
      <c r="D37" s="23"/>
      <c r="E37" s="20" t="str">
        <f aca="false">IF(D37="","",IFERROR(INDEX(Infraestrutura!$D$10:$D$49,MATCH(D37,Infraestrutura!$C$10:$C$49,0))&amp;"",""))</f>
        <v/>
      </c>
      <c r="F37" s="23"/>
      <c r="G37" s="12"/>
      <c r="H37" s="5"/>
      <c r="I37" s="5"/>
      <c r="J37" s="5"/>
      <c r="K37" s="23"/>
      <c r="L37" s="5"/>
      <c r="M37" s="16" t="str">
        <f aca="false">IF(D37="",IF(COUNTA(C37,F37:L37)&gt;0,"Falta o item",""),IF(ISNA(MATCH(D37,Infraestrutura!$C$10:$C$49,0)),"Item não cadastrado",IF(C37="","Falta a data",IF(F37="","Falta o tipo",IF(G37="","Falta o tempo parado",IF(F37="Corretiva",IF(I37="","Falta a causa",IF(J37="","Falta a ação",IF(K37="","Falta dizer se afetou o produto",IF(AND(K37="Sim",L37=""),"Produto afetado sem tratamento","OK")))),"OK"))))))</f>
        <v/>
      </c>
    </row>
    <row r="38" customFormat="false" ht="30" hidden="false" customHeight="true" outlineLevel="0" collapsed="false">
      <c r="B38" s="11" t="n">
        <v>32</v>
      </c>
      <c r="C38" s="21"/>
      <c r="D38" s="23"/>
      <c r="E38" s="20" t="str">
        <f aca="false">IF(D38="","",IFERROR(INDEX(Infraestrutura!$D$10:$D$49,MATCH(D38,Infraestrutura!$C$10:$C$49,0))&amp;"",""))</f>
        <v/>
      </c>
      <c r="F38" s="23"/>
      <c r="G38" s="12"/>
      <c r="H38" s="5"/>
      <c r="I38" s="5"/>
      <c r="J38" s="5"/>
      <c r="K38" s="23"/>
      <c r="L38" s="5"/>
      <c r="M38" s="16" t="str">
        <f aca="false">IF(D38="",IF(COUNTA(C38,F38:L38)&gt;0,"Falta o item",""),IF(ISNA(MATCH(D38,Infraestrutura!$C$10:$C$49,0)),"Item não cadastrado",IF(C38="","Falta a data",IF(F38="","Falta o tipo",IF(G38="","Falta o tempo parado",IF(F38="Corretiva",IF(I38="","Falta a causa",IF(J38="","Falta a ação",IF(K38="","Falta dizer se afetou o produto",IF(AND(K38="Sim",L38=""),"Produto afetado sem tratamento","OK")))),"OK"))))))</f>
        <v/>
      </c>
    </row>
    <row r="39" customFormat="false" ht="30" hidden="false" customHeight="true" outlineLevel="0" collapsed="false">
      <c r="B39" s="11" t="n">
        <v>33</v>
      </c>
      <c r="C39" s="21"/>
      <c r="D39" s="23"/>
      <c r="E39" s="20" t="str">
        <f aca="false">IF(D39="","",IFERROR(INDEX(Infraestrutura!$D$10:$D$49,MATCH(D39,Infraestrutura!$C$10:$C$49,0))&amp;"",""))</f>
        <v/>
      </c>
      <c r="F39" s="23"/>
      <c r="G39" s="12"/>
      <c r="H39" s="5"/>
      <c r="I39" s="5"/>
      <c r="J39" s="5"/>
      <c r="K39" s="23"/>
      <c r="L39" s="5"/>
      <c r="M39" s="16" t="str">
        <f aca="false">IF(D39="",IF(COUNTA(C39,F39:L39)&gt;0,"Falta o item",""),IF(ISNA(MATCH(D39,Infraestrutura!$C$10:$C$49,0)),"Item não cadastrado",IF(C39="","Falta a data",IF(F39="","Falta o tipo",IF(G39="","Falta o tempo parado",IF(F39="Corretiva",IF(I39="","Falta a causa",IF(J39="","Falta a ação",IF(K39="","Falta dizer se afetou o produto",IF(AND(K39="Sim",L39=""),"Produto afetado sem tratamento","OK")))),"OK"))))))</f>
        <v/>
      </c>
    </row>
    <row r="40" customFormat="false" ht="30" hidden="false" customHeight="true" outlineLevel="0" collapsed="false">
      <c r="B40" s="11" t="n">
        <v>34</v>
      </c>
      <c r="C40" s="21"/>
      <c r="D40" s="23"/>
      <c r="E40" s="20" t="str">
        <f aca="false">IF(D40="","",IFERROR(INDEX(Infraestrutura!$D$10:$D$49,MATCH(D40,Infraestrutura!$C$10:$C$49,0))&amp;"",""))</f>
        <v/>
      </c>
      <c r="F40" s="23"/>
      <c r="G40" s="12"/>
      <c r="H40" s="5"/>
      <c r="I40" s="5"/>
      <c r="J40" s="5"/>
      <c r="K40" s="23"/>
      <c r="L40" s="5"/>
      <c r="M40" s="16" t="str">
        <f aca="false">IF(D40="",IF(COUNTA(C40,F40:L40)&gt;0,"Falta o item",""),IF(ISNA(MATCH(D40,Infraestrutura!$C$10:$C$49,0)),"Item não cadastrado",IF(C40="","Falta a data",IF(F40="","Falta o tipo",IF(G40="","Falta o tempo parado",IF(F40="Corretiva",IF(I40="","Falta a causa",IF(J40="","Falta a ação",IF(K40="","Falta dizer se afetou o produto",IF(AND(K40="Sim",L40=""),"Produto afetado sem tratamento","OK")))),"OK"))))))</f>
        <v/>
      </c>
    </row>
    <row r="41" customFormat="false" ht="30" hidden="false" customHeight="true" outlineLevel="0" collapsed="false">
      <c r="B41" s="11" t="n">
        <v>35</v>
      </c>
      <c r="C41" s="21"/>
      <c r="D41" s="23"/>
      <c r="E41" s="20" t="str">
        <f aca="false">IF(D41="","",IFERROR(INDEX(Infraestrutura!$D$10:$D$49,MATCH(D41,Infraestrutura!$C$10:$C$49,0))&amp;"",""))</f>
        <v/>
      </c>
      <c r="F41" s="23"/>
      <c r="G41" s="12"/>
      <c r="H41" s="5"/>
      <c r="I41" s="5"/>
      <c r="J41" s="5"/>
      <c r="K41" s="23"/>
      <c r="L41" s="5"/>
      <c r="M41" s="16" t="str">
        <f aca="false">IF(D41="",IF(COUNTA(C41,F41:L41)&gt;0,"Falta o item",""),IF(ISNA(MATCH(D41,Infraestrutura!$C$10:$C$49,0)),"Item não cadastrado",IF(C41="","Falta a data",IF(F41="","Falta o tipo",IF(G41="","Falta o tempo parado",IF(F41="Corretiva",IF(I41="","Falta a causa",IF(J41="","Falta a ação",IF(K41="","Falta dizer se afetou o produto",IF(AND(K41="Sim",L41=""),"Produto afetado sem tratamento","OK")))),"OK"))))))</f>
        <v/>
      </c>
    </row>
    <row r="42" customFormat="false" ht="30" hidden="false" customHeight="true" outlineLevel="0" collapsed="false">
      <c r="B42" s="11" t="n">
        <v>36</v>
      </c>
      <c r="C42" s="21"/>
      <c r="D42" s="23"/>
      <c r="E42" s="20" t="str">
        <f aca="false">IF(D42="","",IFERROR(INDEX(Infraestrutura!$D$10:$D$49,MATCH(D42,Infraestrutura!$C$10:$C$49,0))&amp;"",""))</f>
        <v/>
      </c>
      <c r="F42" s="23"/>
      <c r="G42" s="12"/>
      <c r="H42" s="5"/>
      <c r="I42" s="5"/>
      <c r="J42" s="5"/>
      <c r="K42" s="23"/>
      <c r="L42" s="5"/>
      <c r="M42" s="16" t="str">
        <f aca="false">IF(D42="",IF(COUNTA(C42,F42:L42)&gt;0,"Falta o item",""),IF(ISNA(MATCH(D42,Infraestrutura!$C$10:$C$49,0)),"Item não cadastrado",IF(C42="","Falta a data",IF(F42="","Falta o tipo",IF(G42="","Falta o tempo parado",IF(F42="Corretiva",IF(I42="","Falta a causa",IF(J42="","Falta a ação",IF(K42="","Falta dizer se afetou o produto",IF(AND(K42="Sim",L42=""),"Produto afetado sem tratamento","OK")))),"OK"))))))</f>
        <v/>
      </c>
    </row>
    <row r="43" customFormat="false" ht="30" hidden="false" customHeight="true" outlineLevel="0" collapsed="false">
      <c r="B43" s="11" t="n">
        <v>37</v>
      </c>
      <c r="C43" s="21"/>
      <c r="D43" s="23"/>
      <c r="E43" s="20" t="str">
        <f aca="false">IF(D43="","",IFERROR(INDEX(Infraestrutura!$D$10:$D$49,MATCH(D43,Infraestrutura!$C$10:$C$49,0))&amp;"",""))</f>
        <v/>
      </c>
      <c r="F43" s="23"/>
      <c r="G43" s="12"/>
      <c r="H43" s="5"/>
      <c r="I43" s="5"/>
      <c r="J43" s="5"/>
      <c r="K43" s="23"/>
      <c r="L43" s="5"/>
      <c r="M43" s="16" t="str">
        <f aca="false">IF(D43="",IF(COUNTA(C43,F43:L43)&gt;0,"Falta o item",""),IF(ISNA(MATCH(D43,Infraestrutura!$C$10:$C$49,0)),"Item não cadastrado",IF(C43="","Falta a data",IF(F43="","Falta o tipo",IF(G43="","Falta o tempo parado",IF(F43="Corretiva",IF(I43="","Falta a causa",IF(J43="","Falta a ação",IF(K43="","Falta dizer se afetou o produto",IF(AND(K43="Sim",L43=""),"Produto afetado sem tratamento","OK")))),"OK"))))))</f>
        <v/>
      </c>
    </row>
    <row r="44" customFormat="false" ht="30" hidden="false" customHeight="true" outlineLevel="0" collapsed="false">
      <c r="B44" s="11" t="n">
        <v>38</v>
      </c>
      <c r="C44" s="21"/>
      <c r="D44" s="23"/>
      <c r="E44" s="20" t="str">
        <f aca="false">IF(D44="","",IFERROR(INDEX(Infraestrutura!$D$10:$D$49,MATCH(D44,Infraestrutura!$C$10:$C$49,0))&amp;"",""))</f>
        <v/>
      </c>
      <c r="F44" s="23"/>
      <c r="G44" s="12"/>
      <c r="H44" s="5"/>
      <c r="I44" s="5"/>
      <c r="J44" s="5"/>
      <c r="K44" s="23"/>
      <c r="L44" s="5"/>
      <c r="M44" s="16" t="str">
        <f aca="false">IF(D44="",IF(COUNTA(C44,F44:L44)&gt;0,"Falta o item",""),IF(ISNA(MATCH(D44,Infraestrutura!$C$10:$C$49,0)),"Item não cadastrado",IF(C44="","Falta a data",IF(F44="","Falta o tipo",IF(G44="","Falta o tempo parado",IF(F44="Corretiva",IF(I44="","Falta a causa",IF(J44="","Falta a ação",IF(K44="","Falta dizer se afetou o produto",IF(AND(K44="Sim",L44=""),"Produto afetado sem tratamento","OK")))),"OK"))))))</f>
        <v/>
      </c>
    </row>
    <row r="45" customFormat="false" ht="30" hidden="false" customHeight="true" outlineLevel="0" collapsed="false">
      <c r="B45" s="11" t="n">
        <v>39</v>
      </c>
      <c r="C45" s="21"/>
      <c r="D45" s="23"/>
      <c r="E45" s="20" t="str">
        <f aca="false">IF(D45="","",IFERROR(INDEX(Infraestrutura!$D$10:$D$49,MATCH(D45,Infraestrutura!$C$10:$C$49,0))&amp;"",""))</f>
        <v/>
      </c>
      <c r="F45" s="23"/>
      <c r="G45" s="12"/>
      <c r="H45" s="5"/>
      <c r="I45" s="5"/>
      <c r="J45" s="5"/>
      <c r="K45" s="23"/>
      <c r="L45" s="5"/>
      <c r="M45" s="16" t="str">
        <f aca="false">IF(D45="",IF(COUNTA(C45,F45:L45)&gt;0,"Falta o item",""),IF(ISNA(MATCH(D45,Infraestrutura!$C$10:$C$49,0)),"Item não cadastrado",IF(C45="","Falta a data",IF(F45="","Falta o tipo",IF(G45="","Falta o tempo parado",IF(F45="Corretiva",IF(I45="","Falta a causa",IF(J45="","Falta a ação",IF(K45="","Falta dizer se afetou o produto",IF(AND(K45="Sim",L45=""),"Produto afetado sem tratamento","OK")))),"OK"))))))</f>
        <v/>
      </c>
    </row>
    <row r="46" customFormat="false" ht="30" hidden="false" customHeight="true" outlineLevel="0" collapsed="false">
      <c r="B46" s="11" t="n">
        <v>40</v>
      </c>
      <c r="C46" s="21"/>
      <c r="D46" s="23"/>
      <c r="E46" s="20" t="str">
        <f aca="false">IF(D46="","",IFERROR(INDEX(Infraestrutura!$D$10:$D$49,MATCH(D46,Infraestrutura!$C$10:$C$49,0))&amp;"",""))</f>
        <v/>
      </c>
      <c r="F46" s="23"/>
      <c r="G46" s="12"/>
      <c r="H46" s="5"/>
      <c r="I46" s="5"/>
      <c r="J46" s="5"/>
      <c r="K46" s="23"/>
      <c r="L46" s="5"/>
      <c r="M46" s="16" t="str">
        <f aca="false">IF(D46="",IF(COUNTA(C46,F46:L46)&gt;0,"Falta o item",""),IF(ISNA(MATCH(D46,Infraestrutura!$C$10:$C$49,0)),"Item não cadastrado",IF(C46="","Falta a data",IF(F46="","Falta o tipo",IF(G46="","Falta o tempo parado",IF(F46="Corretiva",IF(I46="","Falta a causa",IF(J46="","Falta a ação",IF(K46="","Falta dizer se afetou o produto",IF(AND(K46="Sim",L46=""),"Produto afetado sem tratamento","OK")))),"OK"))))))</f>
        <v/>
      </c>
    </row>
    <row r="47" customFormat="false" ht="30" hidden="false" customHeight="true" outlineLevel="0" collapsed="false">
      <c r="B47" s="11" t="n">
        <v>41</v>
      </c>
      <c r="C47" s="21"/>
      <c r="D47" s="23"/>
      <c r="E47" s="20" t="str">
        <f aca="false">IF(D47="","",IFERROR(INDEX(Infraestrutura!$D$10:$D$49,MATCH(D47,Infraestrutura!$C$10:$C$49,0))&amp;"",""))</f>
        <v/>
      </c>
      <c r="F47" s="23"/>
      <c r="G47" s="12"/>
      <c r="H47" s="5"/>
      <c r="I47" s="5"/>
      <c r="J47" s="5"/>
      <c r="K47" s="23"/>
      <c r="L47" s="5"/>
      <c r="M47" s="16" t="str">
        <f aca="false">IF(D47="",IF(COUNTA(C47,F47:L47)&gt;0,"Falta o item",""),IF(ISNA(MATCH(D47,Infraestrutura!$C$10:$C$49,0)),"Item não cadastrado",IF(C47="","Falta a data",IF(F47="","Falta o tipo",IF(G47="","Falta o tempo parado",IF(F47="Corretiva",IF(I47="","Falta a causa",IF(J47="","Falta a ação",IF(K47="","Falta dizer se afetou o produto",IF(AND(K47="Sim",L47=""),"Produto afetado sem tratamento","OK")))),"OK"))))))</f>
        <v/>
      </c>
    </row>
    <row r="48" customFormat="false" ht="30" hidden="false" customHeight="true" outlineLevel="0" collapsed="false">
      <c r="B48" s="11" t="n">
        <v>42</v>
      </c>
      <c r="C48" s="21"/>
      <c r="D48" s="23"/>
      <c r="E48" s="20" t="str">
        <f aca="false">IF(D48="","",IFERROR(INDEX(Infraestrutura!$D$10:$D$49,MATCH(D48,Infraestrutura!$C$10:$C$49,0))&amp;"",""))</f>
        <v/>
      </c>
      <c r="F48" s="23"/>
      <c r="G48" s="12"/>
      <c r="H48" s="5"/>
      <c r="I48" s="5"/>
      <c r="J48" s="5"/>
      <c r="K48" s="23"/>
      <c r="L48" s="5"/>
      <c r="M48" s="16" t="str">
        <f aca="false">IF(D48="",IF(COUNTA(C48,F48:L48)&gt;0,"Falta o item",""),IF(ISNA(MATCH(D48,Infraestrutura!$C$10:$C$49,0)),"Item não cadastrado",IF(C48="","Falta a data",IF(F48="","Falta o tipo",IF(G48="","Falta o tempo parado",IF(F48="Corretiva",IF(I48="","Falta a causa",IF(J48="","Falta a ação",IF(K48="","Falta dizer se afetou o produto",IF(AND(K48="Sim",L48=""),"Produto afetado sem tratamento","OK")))),"OK"))))))</f>
        <v/>
      </c>
    </row>
    <row r="49" customFormat="false" ht="30" hidden="false" customHeight="true" outlineLevel="0" collapsed="false">
      <c r="B49" s="11" t="n">
        <v>43</v>
      </c>
      <c r="C49" s="21"/>
      <c r="D49" s="23"/>
      <c r="E49" s="20" t="str">
        <f aca="false">IF(D49="","",IFERROR(INDEX(Infraestrutura!$D$10:$D$49,MATCH(D49,Infraestrutura!$C$10:$C$49,0))&amp;"",""))</f>
        <v/>
      </c>
      <c r="F49" s="23"/>
      <c r="G49" s="12"/>
      <c r="H49" s="5"/>
      <c r="I49" s="5"/>
      <c r="J49" s="5"/>
      <c r="K49" s="23"/>
      <c r="L49" s="5"/>
      <c r="M49" s="16" t="str">
        <f aca="false">IF(D49="",IF(COUNTA(C49,F49:L49)&gt;0,"Falta o item",""),IF(ISNA(MATCH(D49,Infraestrutura!$C$10:$C$49,0)),"Item não cadastrado",IF(C49="","Falta a data",IF(F49="","Falta o tipo",IF(G49="","Falta o tempo parado",IF(F49="Corretiva",IF(I49="","Falta a causa",IF(J49="","Falta a ação",IF(K49="","Falta dizer se afetou o produto",IF(AND(K49="Sim",L49=""),"Produto afetado sem tratamento","OK")))),"OK"))))))</f>
        <v/>
      </c>
    </row>
    <row r="50" customFormat="false" ht="30" hidden="false" customHeight="true" outlineLevel="0" collapsed="false">
      <c r="B50" s="11" t="n">
        <v>44</v>
      </c>
      <c r="C50" s="21"/>
      <c r="D50" s="23"/>
      <c r="E50" s="20" t="str">
        <f aca="false">IF(D50="","",IFERROR(INDEX(Infraestrutura!$D$10:$D$49,MATCH(D50,Infraestrutura!$C$10:$C$49,0))&amp;"",""))</f>
        <v/>
      </c>
      <c r="F50" s="23"/>
      <c r="G50" s="12"/>
      <c r="H50" s="5"/>
      <c r="I50" s="5"/>
      <c r="J50" s="5"/>
      <c r="K50" s="23"/>
      <c r="L50" s="5"/>
      <c r="M50" s="16" t="str">
        <f aca="false">IF(D50="",IF(COUNTA(C50,F50:L50)&gt;0,"Falta o item",""),IF(ISNA(MATCH(D50,Infraestrutura!$C$10:$C$49,0)),"Item não cadastrado",IF(C50="","Falta a data",IF(F50="","Falta o tipo",IF(G50="","Falta o tempo parado",IF(F50="Corretiva",IF(I50="","Falta a causa",IF(J50="","Falta a ação",IF(K50="","Falta dizer se afetou o produto",IF(AND(K50="Sim",L50=""),"Produto afetado sem tratamento","OK")))),"OK"))))))</f>
        <v/>
      </c>
    </row>
    <row r="51" customFormat="false" ht="30" hidden="false" customHeight="true" outlineLevel="0" collapsed="false">
      <c r="B51" s="11" t="n">
        <v>45</v>
      </c>
      <c r="C51" s="21"/>
      <c r="D51" s="23"/>
      <c r="E51" s="20" t="str">
        <f aca="false">IF(D51="","",IFERROR(INDEX(Infraestrutura!$D$10:$D$49,MATCH(D51,Infraestrutura!$C$10:$C$49,0))&amp;"",""))</f>
        <v/>
      </c>
      <c r="F51" s="23"/>
      <c r="G51" s="12"/>
      <c r="H51" s="5"/>
      <c r="I51" s="5"/>
      <c r="J51" s="5"/>
      <c r="K51" s="23"/>
      <c r="L51" s="5"/>
      <c r="M51" s="16" t="str">
        <f aca="false">IF(D51="",IF(COUNTA(C51,F51:L51)&gt;0,"Falta o item",""),IF(ISNA(MATCH(D51,Infraestrutura!$C$10:$C$49,0)),"Item não cadastrado",IF(C51="","Falta a data",IF(F51="","Falta o tipo",IF(G51="","Falta o tempo parado",IF(F51="Corretiva",IF(I51="","Falta a causa",IF(J51="","Falta a ação",IF(K51="","Falta dizer se afetou o produto",IF(AND(K51="Sim",L51=""),"Produto afetado sem tratamento","OK")))),"OK"))))))</f>
        <v/>
      </c>
    </row>
    <row r="52" customFormat="false" ht="30" hidden="false" customHeight="true" outlineLevel="0" collapsed="false">
      <c r="B52" s="11" t="n">
        <v>46</v>
      </c>
      <c r="C52" s="21"/>
      <c r="D52" s="23"/>
      <c r="E52" s="20" t="str">
        <f aca="false">IF(D52="","",IFERROR(INDEX(Infraestrutura!$D$10:$D$49,MATCH(D52,Infraestrutura!$C$10:$C$49,0))&amp;"",""))</f>
        <v/>
      </c>
      <c r="F52" s="23"/>
      <c r="G52" s="12"/>
      <c r="H52" s="5"/>
      <c r="I52" s="5"/>
      <c r="J52" s="5"/>
      <c r="K52" s="23"/>
      <c r="L52" s="5"/>
      <c r="M52" s="16" t="str">
        <f aca="false">IF(D52="",IF(COUNTA(C52,F52:L52)&gt;0,"Falta o item",""),IF(ISNA(MATCH(D52,Infraestrutura!$C$10:$C$49,0)),"Item não cadastrado",IF(C52="","Falta a data",IF(F52="","Falta o tipo",IF(G52="","Falta o tempo parado",IF(F52="Corretiva",IF(I52="","Falta a causa",IF(J52="","Falta a ação",IF(K52="","Falta dizer se afetou o produto",IF(AND(K52="Sim",L52=""),"Produto afetado sem tratamento","OK")))),"OK"))))))</f>
        <v/>
      </c>
    </row>
    <row r="53" customFormat="false" ht="30" hidden="false" customHeight="true" outlineLevel="0" collapsed="false">
      <c r="B53" s="11" t="n">
        <v>47</v>
      </c>
      <c r="C53" s="21"/>
      <c r="D53" s="23"/>
      <c r="E53" s="20" t="str">
        <f aca="false">IF(D53="","",IFERROR(INDEX(Infraestrutura!$D$10:$D$49,MATCH(D53,Infraestrutura!$C$10:$C$49,0))&amp;"",""))</f>
        <v/>
      </c>
      <c r="F53" s="23"/>
      <c r="G53" s="12"/>
      <c r="H53" s="5"/>
      <c r="I53" s="5"/>
      <c r="J53" s="5"/>
      <c r="K53" s="23"/>
      <c r="L53" s="5"/>
      <c r="M53" s="16" t="str">
        <f aca="false">IF(D53="",IF(COUNTA(C53,F53:L53)&gt;0,"Falta o item",""),IF(ISNA(MATCH(D53,Infraestrutura!$C$10:$C$49,0)),"Item não cadastrado",IF(C53="","Falta a data",IF(F53="","Falta o tipo",IF(G53="","Falta o tempo parado",IF(F53="Corretiva",IF(I53="","Falta a causa",IF(J53="","Falta a ação",IF(K53="","Falta dizer se afetou o produto",IF(AND(K53="Sim",L53=""),"Produto afetado sem tratamento","OK")))),"OK"))))))</f>
        <v/>
      </c>
    </row>
    <row r="54" customFormat="false" ht="30" hidden="false" customHeight="true" outlineLevel="0" collapsed="false">
      <c r="B54" s="11" t="n">
        <v>48</v>
      </c>
      <c r="C54" s="21"/>
      <c r="D54" s="23"/>
      <c r="E54" s="20" t="str">
        <f aca="false">IF(D54="","",IFERROR(INDEX(Infraestrutura!$D$10:$D$49,MATCH(D54,Infraestrutura!$C$10:$C$49,0))&amp;"",""))</f>
        <v/>
      </c>
      <c r="F54" s="23"/>
      <c r="G54" s="12"/>
      <c r="H54" s="5"/>
      <c r="I54" s="5"/>
      <c r="J54" s="5"/>
      <c r="K54" s="23"/>
      <c r="L54" s="5"/>
      <c r="M54" s="16" t="str">
        <f aca="false">IF(D54="",IF(COUNTA(C54,F54:L54)&gt;0,"Falta o item",""),IF(ISNA(MATCH(D54,Infraestrutura!$C$10:$C$49,0)),"Item não cadastrado",IF(C54="","Falta a data",IF(F54="","Falta o tipo",IF(G54="","Falta o tempo parado",IF(F54="Corretiva",IF(I54="","Falta a causa",IF(J54="","Falta a ação",IF(K54="","Falta dizer se afetou o produto",IF(AND(K54="Sim",L54=""),"Produto afetado sem tratamento","OK")))),"OK"))))))</f>
        <v/>
      </c>
    </row>
    <row r="55" customFormat="false" ht="30" hidden="false" customHeight="true" outlineLevel="0" collapsed="false">
      <c r="B55" s="11" t="n">
        <v>49</v>
      </c>
      <c r="C55" s="21"/>
      <c r="D55" s="23"/>
      <c r="E55" s="20" t="str">
        <f aca="false">IF(D55="","",IFERROR(INDEX(Infraestrutura!$D$10:$D$49,MATCH(D55,Infraestrutura!$C$10:$C$49,0))&amp;"",""))</f>
        <v/>
      </c>
      <c r="F55" s="23"/>
      <c r="G55" s="12"/>
      <c r="H55" s="5"/>
      <c r="I55" s="5"/>
      <c r="J55" s="5"/>
      <c r="K55" s="23"/>
      <c r="L55" s="5"/>
      <c r="M55" s="16" t="str">
        <f aca="false">IF(D55="",IF(COUNTA(C55,F55:L55)&gt;0,"Falta o item",""),IF(ISNA(MATCH(D55,Infraestrutura!$C$10:$C$49,0)),"Item não cadastrado",IF(C55="","Falta a data",IF(F55="","Falta o tipo",IF(G55="","Falta o tempo parado",IF(F55="Corretiva",IF(I55="","Falta a causa",IF(J55="","Falta a ação",IF(K55="","Falta dizer se afetou o produto",IF(AND(K55="Sim",L55=""),"Produto afetado sem tratamento","OK")))),"OK"))))))</f>
        <v/>
      </c>
    </row>
    <row r="56" customFormat="false" ht="30" hidden="false" customHeight="true" outlineLevel="0" collapsed="false">
      <c r="B56" s="11" t="n">
        <v>50</v>
      </c>
      <c r="C56" s="21"/>
      <c r="D56" s="23"/>
      <c r="E56" s="20" t="str">
        <f aca="false">IF(D56="","",IFERROR(INDEX(Infraestrutura!$D$10:$D$49,MATCH(D56,Infraestrutura!$C$10:$C$49,0))&amp;"",""))</f>
        <v/>
      </c>
      <c r="F56" s="23"/>
      <c r="G56" s="12"/>
      <c r="H56" s="5"/>
      <c r="I56" s="5"/>
      <c r="J56" s="5"/>
      <c r="K56" s="23"/>
      <c r="L56" s="5"/>
      <c r="M56" s="16" t="str">
        <f aca="false">IF(D56="",IF(COUNTA(C56,F56:L56)&gt;0,"Falta o item",""),IF(ISNA(MATCH(D56,Infraestrutura!$C$10:$C$49,0)),"Item não cadastrado",IF(C56="","Falta a data",IF(F56="","Falta o tipo",IF(G56="","Falta o tempo parado",IF(F56="Corretiva",IF(I56="","Falta a causa",IF(J56="","Falta a ação",IF(K56="","Falta dizer se afetou o produto",IF(AND(K56="Sim",L56=""),"Produto afetado sem tratamento","OK")))),"OK"))))))</f>
        <v/>
      </c>
    </row>
    <row r="57" customFormat="false" ht="30" hidden="false" customHeight="true" outlineLevel="0" collapsed="false">
      <c r="B57" s="11" t="n">
        <v>51</v>
      </c>
      <c r="C57" s="21"/>
      <c r="D57" s="23"/>
      <c r="E57" s="20" t="str">
        <f aca="false">IF(D57="","",IFERROR(INDEX(Infraestrutura!$D$10:$D$49,MATCH(D57,Infraestrutura!$C$10:$C$49,0))&amp;"",""))</f>
        <v/>
      </c>
      <c r="F57" s="23"/>
      <c r="G57" s="12"/>
      <c r="H57" s="5"/>
      <c r="I57" s="5"/>
      <c r="J57" s="5"/>
      <c r="K57" s="23"/>
      <c r="L57" s="5"/>
      <c r="M57" s="16" t="str">
        <f aca="false">IF(D57="",IF(COUNTA(C57,F57:L57)&gt;0,"Falta o item",""),IF(ISNA(MATCH(D57,Infraestrutura!$C$10:$C$49,0)),"Item não cadastrado",IF(C57="","Falta a data",IF(F57="","Falta o tipo",IF(G57="","Falta o tempo parado",IF(F57="Corretiva",IF(I57="","Falta a causa",IF(J57="","Falta a ação",IF(K57="","Falta dizer se afetou o produto",IF(AND(K57="Sim",L57=""),"Produto afetado sem tratamento","OK")))),"OK"))))))</f>
        <v/>
      </c>
    </row>
    <row r="58" customFormat="false" ht="30" hidden="false" customHeight="true" outlineLevel="0" collapsed="false">
      <c r="B58" s="11" t="n">
        <v>52</v>
      </c>
      <c r="C58" s="21"/>
      <c r="D58" s="23"/>
      <c r="E58" s="20" t="str">
        <f aca="false">IF(D58="","",IFERROR(INDEX(Infraestrutura!$D$10:$D$49,MATCH(D58,Infraestrutura!$C$10:$C$49,0))&amp;"",""))</f>
        <v/>
      </c>
      <c r="F58" s="23"/>
      <c r="G58" s="12"/>
      <c r="H58" s="5"/>
      <c r="I58" s="5"/>
      <c r="J58" s="5"/>
      <c r="K58" s="23"/>
      <c r="L58" s="5"/>
      <c r="M58" s="16" t="str">
        <f aca="false">IF(D58="",IF(COUNTA(C58,F58:L58)&gt;0,"Falta o item",""),IF(ISNA(MATCH(D58,Infraestrutura!$C$10:$C$49,0)),"Item não cadastrado",IF(C58="","Falta a data",IF(F58="","Falta o tipo",IF(G58="","Falta o tempo parado",IF(F58="Corretiva",IF(I58="","Falta a causa",IF(J58="","Falta a ação",IF(K58="","Falta dizer se afetou o produto",IF(AND(K58="Sim",L58=""),"Produto afetado sem tratamento","OK")))),"OK"))))))</f>
        <v/>
      </c>
    </row>
    <row r="59" customFormat="false" ht="30" hidden="false" customHeight="true" outlineLevel="0" collapsed="false">
      <c r="B59" s="11" t="n">
        <v>53</v>
      </c>
      <c r="C59" s="21"/>
      <c r="D59" s="23"/>
      <c r="E59" s="20" t="str">
        <f aca="false">IF(D59="","",IFERROR(INDEX(Infraestrutura!$D$10:$D$49,MATCH(D59,Infraestrutura!$C$10:$C$49,0))&amp;"",""))</f>
        <v/>
      </c>
      <c r="F59" s="23"/>
      <c r="G59" s="12"/>
      <c r="H59" s="5"/>
      <c r="I59" s="5"/>
      <c r="J59" s="5"/>
      <c r="K59" s="23"/>
      <c r="L59" s="5"/>
      <c r="M59" s="16" t="str">
        <f aca="false">IF(D59="",IF(COUNTA(C59,F59:L59)&gt;0,"Falta o item",""),IF(ISNA(MATCH(D59,Infraestrutura!$C$10:$C$49,0)),"Item não cadastrado",IF(C59="","Falta a data",IF(F59="","Falta o tipo",IF(G59="","Falta o tempo parado",IF(F59="Corretiva",IF(I59="","Falta a causa",IF(J59="","Falta a ação",IF(K59="","Falta dizer se afetou o produto",IF(AND(K59="Sim",L59=""),"Produto afetado sem tratamento","OK")))),"OK"))))))</f>
        <v/>
      </c>
    </row>
    <row r="60" customFormat="false" ht="30" hidden="false" customHeight="true" outlineLevel="0" collapsed="false">
      <c r="B60" s="11" t="n">
        <v>54</v>
      </c>
      <c r="C60" s="21"/>
      <c r="D60" s="23"/>
      <c r="E60" s="20" t="str">
        <f aca="false">IF(D60="","",IFERROR(INDEX(Infraestrutura!$D$10:$D$49,MATCH(D60,Infraestrutura!$C$10:$C$49,0))&amp;"",""))</f>
        <v/>
      </c>
      <c r="F60" s="23"/>
      <c r="G60" s="12"/>
      <c r="H60" s="5"/>
      <c r="I60" s="5"/>
      <c r="J60" s="5"/>
      <c r="K60" s="23"/>
      <c r="L60" s="5"/>
      <c r="M60" s="16" t="str">
        <f aca="false">IF(D60="",IF(COUNTA(C60,F60:L60)&gt;0,"Falta o item",""),IF(ISNA(MATCH(D60,Infraestrutura!$C$10:$C$49,0)),"Item não cadastrado",IF(C60="","Falta a data",IF(F60="","Falta o tipo",IF(G60="","Falta o tempo parado",IF(F60="Corretiva",IF(I60="","Falta a causa",IF(J60="","Falta a ação",IF(K60="","Falta dizer se afetou o produto",IF(AND(K60="Sim",L60=""),"Produto afetado sem tratamento","OK")))),"OK"))))))</f>
        <v/>
      </c>
    </row>
    <row r="61" customFormat="false" ht="30" hidden="false" customHeight="true" outlineLevel="0" collapsed="false">
      <c r="B61" s="11" t="n">
        <v>55</v>
      </c>
      <c r="C61" s="21"/>
      <c r="D61" s="23"/>
      <c r="E61" s="20" t="str">
        <f aca="false">IF(D61="","",IFERROR(INDEX(Infraestrutura!$D$10:$D$49,MATCH(D61,Infraestrutura!$C$10:$C$49,0))&amp;"",""))</f>
        <v/>
      </c>
      <c r="F61" s="23"/>
      <c r="G61" s="12"/>
      <c r="H61" s="5"/>
      <c r="I61" s="5"/>
      <c r="J61" s="5"/>
      <c r="K61" s="23"/>
      <c r="L61" s="5"/>
      <c r="M61" s="16" t="str">
        <f aca="false">IF(D61="",IF(COUNTA(C61,F61:L61)&gt;0,"Falta o item",""),IF(ISNA(MATCH(D61,Infraestrutura!$C$10:$C$49,0)),"Item não cadastrado",IF(C61="","Falta a data",IF(F61="","Falta o tipo",IF(G61="","Falta o tempo parado",IF(F61="Corretiva",IF(I61="","Falta a causa",IF(J61="","Falta a ação",IF(K61="","Falta dizer se afetou o produto",IF(AND(K61="Sim",L61=""),"Produto afetado sem tratamento","OK")))),"OK"))))))</f>
        <v/>
      </c>
    </row>
    <row r="62" customFormat="false" ht="30" hidden="false" customHeight="true" outlineLevel="0" collapsed="false">
      <c r="B62" s="11" t="n">
        <v>56</v>
      </c>
      <c r="C62" s="21"/>
      <c r="D62" s="23"/>
      <c r="E62" s="20" t="str">
        <f aca="false">IF(D62="","",IFERROR(INDEX(Infraestrutura!$D$10:$D$49,MATCH(D62,Infraestrutura!$C$10:$C$49,0))&amp;"",""))</f>
        <v/>
      </c>
      <c r="F62" s="23"/>
      <c r="G62" s="12"/>
      <c r="H62" s="5"/>
      <c r="I62" s="5"/>
      <c r="J62" s="5"/>
      <c r="K62" s="23"/>
      <c r="L62" s="5"/>
      <c r="M62" s="16" t="str">
        <f aca="false">IF(D62="",IF(COUNTA(C62,F62:L62)&gt;0,"Falta o item",""),IF(ISNA(MATCH(D62,Infraestrutura!$C$10:$C$49,0)),"Item não cadastrado",IF(C62="","Falta a data",IF(F62="","Falta o tipo",IF(G62="","Falta o tempo parado",IF(F62="Corretiva",IF(I62="","Falta a causa",IF(J62="","Falta a ação",IF(K62="","Falta dizer se afetou o produto",IF(AND(K62="Sim",L62=""),"Produto afetado sem tratamento","OK")))),"OK"))))))</f>
        <v/>
      </c>
    </row>
    <row r="63" customFormat="false" ht="30" hidden="false" customHeight="true" outlineLevel="0" collapsed="false">
      <c r="B63" s="11" t="n">
        <v>57</v>
      </c>
      <c r="C63" s="21"/>
      <c r="D63" s="23"/>
      <c r="E63" s="20" t="str">
        <f aca="false">IF(D63="","",IFERROR(INDEX(Infraestrutura!$D$10:$D$49,MATCH(D63,Infraestrutura!$C$10:$C$49,0))&amp;"",""))</f>
        <v/>
      </c>
      <c r="F63" s="23"/>
      <c r="G63" s="12"/>
      <c r="H63" s="5"/>
      <c r="I63" s="5"/>
      <c r="J63" s="5"/>
      <c r="K63" s="23"/>
      <c r="L63" s="5"/>
      <c r="M63" s="16" t="str">
        <f aca="false">IF(D63="",IF(COUNTA(C63,F63:L63)&gt;0,"Falta o item",""),IF(ISNA(MATCH(D63,Infraestrutura!$C$10:$C$49,0)),"Item não cadastrado",IF(C63="","Falta a data",IF(F63="","Falta o tipo",IF(G63="","Falta o tempo parado",IF(F63="Corretiva",IF(I63="","Falta a causa",IF(J63="","Falta a ação",IF(K63="","Falta dizer se afetou o produto",IF(AND(K63="Sim",L63=""),"Produto afetado sem tratamento","OK")))),"OK"))))))</f>
        <v/>
      </c>
    </row>
    <row r="64" customFormat="false" ht="30" hidden="false" customHeight="true" outlineLevel="0" collapsed="false">
      <c r="B64" s="11" t="n">
        <v>58</v>
      </c>
      <c r="C64" s="21"/>
      <c r="D64" s="23"/>
      <c r="E64" s="20" t="str">
        <f aca="false">IF(D64="","",IFERROR(INDEX(Infraestrutura!$D$10:$D$49,MATCH(D64,Infraestrutura!$C$10:$C$49,0))&amp;"",""))</f>
        <v/>
      </c>
      <c r="F64" s="23"/>
      <c r="G64" s="12"/>
      <c r="H64" s="5"/>
      <c r="I64" s="5"/>
      <c r="J64" s="5"/>
      <c r="K64" s="23"/>
      <c r="L64" s="5"/>
      <c r="M64" s="16" t="str">
        <f aca="false">IF(D64="",IF(COUNTA(C64,F64:L64)&gt;0,"Falta o item",""),IF(ISNA(MATCH(D64,Infraestrutura!$C$10:$C$49,0)),"Item não cadastrado",IF(C64="","Falta a data",IF(F64="","Falta o tipo",IF(G64="","Falta o tempo parado",IF(F64="Corretiva",IF(I64="","Falta a causa",IF(J64="","Falta a ação",IF(K64="","Falta dizer se afetou o produto",IF(AND(K64="Sim",L64=""),"Produto afetado sem tratamento","OK")))),"OK"))))))</f>
        <v/>
      </c>
    </row>
    <row r="65" customFormat="false" ht="30" hidden="false" customHeight="true" outlineLevel="0" collapsed="false">
      <c r="B65" s="11" t="n">
        <v>59</v>
      </c>
      <c r="C65" s="21"/>
      <c r="D65" s="23"/>
      <c r="E65" s="20" t="str">
        <f aca="false">IF(D65="","",IFERROR(INDEX(Infraestrutura!$D$10:$D$49,MATCH(D65,Infraestrutura!$C$10:$C$49,0))&amp;"",""))</f>
        <v/>
      </c>
      <c r="F65" s="23"/>
      <c r="G65" s="12"/>
      <c r="H65" s="5"/>
      <c r="I65" s="5"/>
      <c r="J65" s="5"/>
      <c r="K65" s="23"/>
      <c r="L65" s="5"/>
      <c r="M65" s="16" t="str">
        <f aca="false">IF(D65="",IF(COUNTA(C65,F65:L65)&gt;0,"Falta o item",""),IF(ISNA(MATCH(D65,Infraestrutura!$C$10:$C$49,0)),"Item não cadastrado",IF(C65="","Falta a data",IF(F65="","Falta o tipo",IF(G65="","Falta o tempo parado",IF(F65="Corretiva",IF(I65="","Falta a causa",IF(J65="","Falta a ação",IF(K65="","Falta dizer se afetou o produto",IF(AND(K65="Sim",L65=""),"Produto afetado sem tratamento","OK")))),"OK"))))))</f>
        <v/>
      </c>
    </row>
    <row r="66" customFormat="false" ht="30" hidden="false" customHeight="true" outlineLevel="0" collapsed="false">
      <c r="B66" s="11" t="n">
        <v>60</v>
      </c>
      <c r="C66" s="21"/>
      <c r="D66" s="23"/>
      <c r="E66" s="20" t="str">
        <f aca="false">IF(D66="","",IFERROR(INDEX(Infraestrutura!$D$10:$D$49,MATCH(D66,Infraestrutura!$C$10:$C$49,0))&amp;"",""))</f>
        <v/>
      </c>
      <c r="F66" s="23"/>
      <c r="G66" s="12"/>
      <c r="H66" s="5"/>
      <c r="I66" s="5"/>
      <c r="J66" s="5"/>
      <c r="K66" s="23"/>
      <c r="L66" s="5"/>
      <c r="M66" s="16" t="str">
        <f aca="false">IF(D66="",IF(COUNTA(C66,F66:L66)&gt;0,"Falta o item",""),IF(ISNA(MATCH(D66,Infraestrutura!$C$10:$C$49,0)),"Item não cadastrado",IF(C66="","Falta a data",IF(F66="","Falta o tipo",IF(G66="","Falta o tempo parado",IF(F66="Corretiva",IF(I66="","Falta a causa",IF(J66="","Falta a ação",IF(K66="","Falta dizer se afetou o produto",IF(AND(K66="Sim",L66=""),"Produto afetado sem tratamento","OK")))),"OK"))))))</f>
        <v/>
      </c>
    </row>
    <row r="67" customFormat="false" ht="30" hidden="false" customHeight="true" outlineLevel="0" collapsed="false">
      <c r="B67" s="11" t="n">
        <v>61</v>
      </c>
      <c r="C67" s="21"/>
      <c r="D67" s="23"/>
      <c r="E67" s="20" t="str">
        <f aca="false">IF(D67="","",IFERROR(INDEX(Infraestrutura!$D$10:$D$49,MATCH(D67,Infraestrutura!$C$10:$C$49,0))&amp;"",""))</f>
        <v/>
      </c>
      <c r="F67" s="23"/>
      <c r="G67" s="12"/>
      <c r="H67" s="5"/>
      <c r="I67" s="5"/>
      <c r="J67" s="5"/>
      <c r="K67" s="23"/>
      <c r="L67" s="5"/>
      <c r="M67" s="16" t="str">
        <f aca="false">IF(D67="",IF(COUNTA(C67,F67:L67)&gt;0,"Falta o item",""),IF(ISNA(MATCH(D67,Infraestrutura!$C$10:$C$49,0)),"Item não cadastrado",IF(C67="","Falta a data",IF(F67="","Falta o tipo",IF(G67="","Falta o tempo parado",IF(F67="Corretiva",IF(I67="","Falta a causa",IF(J67="","Falta a ação",IF(K67="","Falta dizer se afetou o produto",IF(AND(K67="Sim",L67=""),"Produto afetado sem tratamento","OK")))),"OK"))))))</f>
        <v/>
      </c>
    </row>
    <row r="68" customFormat="false" ht="30" hidden="false" customHeight="true" outlineLevel="0" collapsed="false">
      <c r="B68" s="11" t="n">
        <v>62</v>
      </c>
      <c r="C68" s="21"/>
      <c r="D68" s="23"/>
      <c r="E68" s="20" t="str">
        <f aca="false">IF(D68="","",IFERROR(INDEX(Infraestrutura!$D$10:$D$49,MATCH(D68,Infraestrutura!$C$10:$C$49,0))&amp;"",""))</f>
        <v/>
      </c>
      <c r="F68" s="23"/>
      <c r="G68" s="12"/>
      <c r="H68" s="5"/>
      <c r="I68" s="5"/>
      <c r="J68" s="5"/>
      <c r="K68" s="23"/>
      <c r="L68" s="5"/>
      <c r="M68" s="16" t="str">
        <f aca="false">IF(D68="",IF(COUNTA(C68,F68:L68)&gt;0,"Falta o item",""),IF(ISNA(MATCH(D68,Infraestrutura!$C$10:$C$49,0)),"Item não cadastrado",IF(C68="","Falta a data",IF(F68="","Falta o tipo",IF(G68="","Falta o tempo parado",IF(F68="Corretiva",IF(I68="","Falta a causa",IF(J68="","Falta a ação",IF(K68="","Falta dizer se afetou o produto",IF(AND(K68="Sim",L68=""),"Produto afetado sem tratamento","OK")))),"OK"))))))</f>
        <v/>
      </c>
    </row>
    <row r="69" customFormat="false" ht="30" hidden="false" customHeight="true" outlineLevel="0" collapsed="false">
      <c r="B69" s="11" t="n">
        <v>63</v>
      </c>
      <c r="C69" s="21"/>
      <c r="D69" s="23"/>
      <c r="E69" s="20" t="str">
        <f aca="false">IF(D69="","",IFERROR(INDEX(Infraestrutura!$D$10:$D$49,MATCH(D69,Infraestrutura!$C$10:$C$49,0))&amp;"",""))</f>
        <v/>
      </c>
      <c r="F69" s="23"/>
      <c r="G69" s="12"/>
      <c r="H69" s="5"/>
      <c r="I69" s="5"/>
      <c r="J69" s="5"/>
      <c r="K69" s="23"/>
      <c r="L69" s="5"/>
      <c r="M69" s="16" t="str">
        <f aca="false">IF(D69="",IF(COUNTA(C69,F69:L69)&gt;0,"Falta o item",""),IF(ISNA(MATCH(D69,Infraestrutura!$C$10:$C$49,0)),"Item não cadastrado",IF(C69="","Falta a data",IF(F69="","Falta o tipo",IF(G69="","Falta o tempo parado",IF(F69="Corretiva",IF(I69="","Falta a causa",IF(J69="","Falta a ação",IF(K69="","Falta dizer se afetou o produto",IF(AND(K69="Sim",L69=""),"Produto afetado sem tratamento","OK")))),"OK"))))))</f>
        <v/>
      </c>
    </row>
    <row r="70" customFormat="false" ht="30" hidden="false" customHeight="true" outlineLevel="0" collapsed="false">
      <c r="B70" s="11" t="n">
        <v>64</v>
      </c>
      <c r="C70" s="21"/>
      <c r="D70" s="23"/>
      <c r="E70" s="20" t="str">
        <f aca="false">IF(D70="","",IFERROR(INDEX(Infraestrutura!$D$10:$D$49,MATCH(D70,Infraestrutura!$C$10:$C$49,0))&amp;"",""))</f>
        <v/>
      </c>
      <c r="F70" s="23"/>
      <c r="G70" s="12"/>
      <c r="H70" s="5"/>
      <c r="I70" s="5"/>
      <c r="J70" s="5"/>
      <c r="K70" s="23"/>
      <c r="L70" s="5"/>
      <c r="M70" s="16" t="str">
        <f aca="false">IF(D70="",IF(COUNTA(C70,F70:L70)&gt;0,"Falta o item",""),IF(ISNA(MATCH(D70,Infraestrutura!$C$10:$C$49,0)),"Item não cadastrado",IF(C70="","Falta a data",IF(F70="","Falta o tipo",IF(G70="","Falta o tempo parado",IF(F70="Corretiva",IF(I70="","Falta a causa",IF(J70="","Falta a ação",IF(K70="","Falta dizer se afetou o produto",IF(AND(K70="Sim",L70=""),"Produto afetado sem tratamento","OK")))),"OK"))))))</f>
        <v/>
      </c>
    </row>
    <row r="71" customFormat="false" ht="30" hidden="false" customHeight="true" outlineLevel="0" collapsed="false">
      <c r="B71" s="11" t="n">
        <v>65</v>
      </c>
      <c r="C71" s="21"/>
      <c r="D71" s="23"/>
      <c r="E71" s="20" t="str">
        <f aca="false">IF(D71="","",IFERROR(INDEX(Infraestrutura!$D$10:$D$49,MATCH(D71,Infraestrutura!$C$10:$C$49,0))&amp;"",""))</f>
        <v/>
      </c>
      <c r="F71" s="23"/>
      <c r="G71" s="12"/>
      <c r="H71" s="5"/>
      <c r="I71" s="5"/>
      <c r="J71" s="5"/>
      <c r="K71" s="23"/>
      <c r="L71" s="5"/>
      <c r="M71" s="16" t="str">
        <f aca="false">IF(D71="",IF(COUNTA(C71,F71:L71)&gt;0,"Falta o item",""),IF(ISNA(MATCH(D71,Infraestrutura!$C$10:$C$49,0)),"Item não cadastrado",IF(C71="","Falta a data",IF(F71="","Falta o tipo",IF(G71="","Falta o tempo parado",IF(F71="Corretiva",IF(I71="","Falta a causa",IF(J71="","Falta a ação",IF(K71="","Falta dizer se afetou o produto",IF(AND(K71="Sim",L71=""),"Produto afetado sem tratamento","OK")))),"OK"))))))</f>
        <v/>
      </c>
    </row>
    <row r="72" customFormat="false" ht="30" hidden="false" customHeight="true" outlineLevel="0" collapsed="false">
      <c r="B72" s="11" t="n">
        <v>66</v>
      </c>
      <c r="C72" s="21"/>
      <c r="D72" s="23"/>
      <c r="E72" s="20" t="str">
        <f aca="false">IF(D72="","",IFERROR(INDEX(Infraestrutura!$D$10:$D$49,MATCH(D72,Infraestrutura!$C$10:$C$49,0))&amp;"",""))</f>
        <v/>
      </c>
      <c r="F72" s="23"/>
      <c r="G72" s="12"/>
      <c r="H72" s="5"/>
      <c r="I72" s="5"/>
      <c r="J72" s="5"/>
      <c r="K72" s="23"/>
      <c r="L72" s="5"/>
      <c r="M72" s="16" t="str">
        <f aca="false">IF(D72="",IF(COUNTA(C72,F72:L72)&gt;0,"Falta o item",""),IF(ISNA(MATCH(D72,Infraestrutura!$C$10:$C$49,0)),"Item não cadastrado",IF(C72="","Falta a data",IF(F72="","Falta o tipo",IF(G72="","Falta o tempo parado",IF(F72="Corretiva",IF(I72="","Falta a causa",IF(J72="","Falta a ação",IF(K72="","Falta dizer se afetou o produto",IF(AND(K72="Sim",L72=""),"Produto afetado sem tratamento","OK")))),"OK"))))))</f>
        <v/>
      </c>
    </row>
    <row r="73" customFormat="false" ht="30" hidden="false" customHeight="true" outlineLevel="0" collapsed="false">
      <c r="B73" s="11" t="n">
        <v>67</v>
      </c>
      <c r="C73" s="21"/>
      <c r="D73" s="23"/>
      <c r="E73" s="20" t="str">
        <f aca="false">IF(D73="","",IFERROR(INDEX(Infraestrutura!$D$10:$D$49,MATCH(D73,Infraestrutura!$C$10:$C$49,0))&amp;"",""))</f>
        <v/>
      </c>
      <c r="F73" s="23"/>
      <c r="G73" s="12"/>
      <c r="H73" s="5"/>
      <c r="I73" s="5"/>
      <c r="J73" s="5"/>
      <c r="K73" s="23"/>
      <c r="L73" s="5"/>
      <c r="M73" s="16" t="str">
        <f aca="false">IF(D73="",IF(COUNTA(C73,F73:L73)&gt;0,"Falta o item",""),IF(ISNA(MATCH(D73,Infraestrutura!$C$10:$C$49,0)),"Item não cadastrado",IF(C73="","Falta a data",IF(F73="","Falta o tipo",IF(G73="","Falta o tempo parado",IF(F73="Corretiva",IF(I73="","Falta a causa",IF(J73="","Falta a ação",IF(K73="","Falta dizer se afetou o produto",IF(AND(K73="Sim",L73=""),"Produto afetado sem tratamento","OK")))),"OK"))))))</f>
        <v/>
      </c>
    </row>
    <row r="74" customFormat="false" ht="30" hidden="false" customHeight="true" outlineLevel="0" collapsed="false">
      <c r="B74" s="11" t="n">
        <v>68</v>
      </c>
      <c r="C74" s="21"/>
      <c r="D74" s="23"/>
      <c r="E74" s="20" t="str">
        <f aca="false">IF(D74="","",IFERROR(INDEX(Infraestrutura!$D$10:$D$49,MATCH(D74,Infraestrutura!$C$10:$C$49,0))&amp;"",""))</f>
        <v/>
      </c>
      <c r="F74" s="23"/>
      <c r="G74" s="12"/>
      <c r="H74" s="5"/>
      <c r="I74" s="5"/>
      <c r="J74" s="5"/>
      <c r="K74" s="23"/>
      <c r="L74" s="5"/>
      <c r="M74" s="16" t="str">
        <f aca="false">IF(D74="",IF(COUNTA(C74,F74:L74)&gt;0,"Falta o item",""),IF(ISNA(MATCH(D74,Infraestrutura!$C$10:$C$49,0)),"Item não cadastrado",IF(C74="","Falta a data",IF(F74="","Falta o tipo",IF(G74="","Falta o tempo parado",IF(F74="Corretiva",IF(I74="","Falta a causa",IF(J74="","Falta a ação",IF(K74="","Falta dizer se afetou o produto",IF(AND(K74="Sim",L74=""),"Produto afetado sem tratamento","OK")))),"OK"))))))</f>
        <v/>
      </c>
    </row>
    <row r="75" customFormat="false" ht="30" hidden="false" customHeight="true" outlineLevel="0" collapsed="false">
      <c r="B75" s="11" t="n">
        <v>69</v>
      </c>
      <c r="C75" s="21"/>
      <c r="D75" s="23"/>
      <c r="E75" s="20" t="str">
        <f aca="false">IF(D75="","",IFERROR(INDEX(Infraestrutura!$D$10:$D$49,MATCH(D75,Infraestrutura!$C$10:$C$49,0))&amp;"",""))</f>
        <v/>
      </c>
      <c r="F75" s="23"/>
      <c r="G75" s="12"/>
      <c r="H75" s="5"/>
      <c r="I75" s="5"/>
      <c r="J75" s="5"/>
      <c r="K75" s="23"/>
      <c r="L75" s="5"/>
      <c r="M75" s="16" t="str">
        <f aca="false">IF(D75="",IF(COUNTA(C75,F75:L75)&gt;0,"Falta o item",""),IF(ISNA(MATCH(D75,Infraestrutura!$C$10:$C$49,0)),"Item não cadastrado",IF(C75="","Falta a data",IF(F75="","Falta o tipo",IF(G75="","Falta o tempo parado",IF(F75="Corretiva",IF(I75="","Falta a causa",IF(J75="","Falta a ação",IF(K75="","Falta dizer se afetou o produto",IF(AND(K75="Sim",L75=""),"Produto afetado sem tratamento","OK")))),"OK"))))))</f>
        <v/>
      </c>
    </row>
    <row r="76" customFormat="false" ht="30" hidden="false" customHeight="true" outlineLevel="0" collapsed="false">
      <c r="B76" s="11" t="n">
        <v>70</v>
      </c>
      <c r="C76" s="21"/>
      <c r="D76" s="23"/>
      <c r="E76" s="20" t="str">
        <f aca="false">IF(D76="","",IFERROR(INDEX(Infraestrutura!$D$10:$D$49,MATCH(D76,Infraestrutura!$C$10:$C$49,0))&amp;"",""))</f>
        <v/>
      </c>
      <c r="F76" s="23"/>
      <c r="G76" s="12"/>
      <c r="H76" s="5"/>
      <c r="I76" s="5"/>
      <c r="J76" s="5"/>
      <c r="K76" s="23"/>
      <c r="L76" s="5"/>
      <c r="M76" s="16" t="str">
        <f aca="false">IF(D76="",IF(COUNTA(C76,F76:L76)&gt;0,"Falta o item",""),IF(ISNA(MATCH(D76,Infraestrutura!$C$10:$C$49,0)),"Item não cadastrado",IF(C76="","Falta a data",IF(F76="","Falta o tipo",IF(G76="","Falta o tempo parado",IF(F76="Corretiva",IF(I76="","Falta a causa",IF(J76="","Falta a ação",IF(K76="","Falta dizer se afetou o produto",IF(AND(K76="Sim",L76=""),"Produto afetado sem tratamento","OK")))),"OK"))))))</f>
        <v/>
      </c>
    </row>
    <row r="77" customFormat="false" ht="30" hidden="false" customHeight="true" outlineLevel="0" collapsed="false">
      <c r="B77" s="11" t="n">
        <v>71</v>
      </c>
      <c r="C77" s="21"/>
      <c r="D77" s="23"/>
      <c r="E77" s="20" t="str">
        <f aca="false">IF(D77="","",IFERROR(INDEX(Infraestrutura!$D$10:$D$49,MATCH(D77,Infraestrutura!$C$10:$C$49,0))&amp;"",""))</f>
        <v/>
      </c>
      <c r="F77" s="23"/>
      <c r="G77" s="12"/>
      <c r="H77" s="5"/>
      <c r="I77" s="5"/>
      <c r="J77" s="5"/>
      <c r="K77" s="23"/>
      <c r="L77" s="5"/>
      <c r="M77" s="16" t="str">
        <f aca="false">IF(D77="",IF(COUNTA(C77,F77:L77)&gt;0,"Falta o item",""),IF(ISNA(MATCH(D77,Infraestrutura!$C$10:$C$49,0)),"Item não cadastrado",IF(C77="","Falta a data",IF(F77="","Falta o tipo",IF(G77="","Falta o tempo parado",IF(F77="Corretiva",IF(I77="","Falta a causa",IF(J77="","Falta a ação",IF(K77="","Falta dizer se afetou o produto",IF(AND(K77="Sim",L77=""),"Produto afetado sem tratamento","OK")))),"OK"))))))</f>
        <v/>
      </c>
    </row>
    <row r="78" customFormat="false" ht="30" hidden="false" customHeight="true" outlineLevel="0" collapsed="false">
      <c r="B78" s="11" t="n">
        <v>72</v>
      </c>
      <c r="C78" s="21"/>
      <c r="D78" s="23"/>
      <c r="E78" s="20" t="str">
        <f aca="false">IF(D78="","",IFERROR(INDEX(Infraestrutura!$D$10:$D$49,MATCH(D78,Infraestrutura!$C$10:$C$49,0))&amp;"",""))</f>
        <v/>
      </c>
      <c r="F78" s="23"/>
      <c r="G78" s="12"/>
      <c r="H78" s="5"/>
      <c r="I78" s="5"/>
      <c r="J78" s="5"/>
      <c r="K78" s="23"/>
      <c r="L78" s="5"/>
      <c r="M78" s="16" t="str">
        <f aca="false">IF(D78="",IF(COUNTA(C78,F78:L78)&gt;0,"Falta o item",""),IF(ISNA(MATCH(D78,Infraestrutura!$C$10:$C$49,0)),"Item não cadastrado",IF(C78="","Falta a data",IF(F78="","Falta o tipo",IF(G78="","Falta o tempo parado",IF(F78="Corretiva",IF(I78="","Falta a causa",IF(J78="","Falta a ação",IF(K78="","Falta dizer se afetou o produto",IF(AND(K78="Sim",L78=""),"Produto afetado sem tratamento","OK")))),"OK"))))))</f>
        <v/>
      </c>
    </row>
    <row r="79" customFormat="false" ht="30" hidden="false" customHeight="true" outlineLevel="0" collapsed="false">
      <c r="B79" s="11" t="n">
        <v>73</v>
      </c>
      <c r="C79" s="21"/>
      <c r="D79" s="23"/>
      <c r="E79" s="20" t="str">
        <f aca="false">IF(D79="","",IFERROR(INDEX(Infraestrutura!$D$10:$D$49,MATCH(D79,Infraestrutura!$C$10:$C$49,0))&amp;"",""))</f>
        <v/>
      </c>
      <c r="F79" s="23"/>
      <c r="G79" s="12"/>
      <c r="H79" s="5"/>
      <c r="I79" s="5"/>
      <c r="J79" s="5"/>
      <c r="K79" s="23"/>
      <c r="L79" s="5"/>
      <c r="M79" s="16" t="str">
        <f aca="false">IF(D79="",IF(COUNTA(C79,F79:L79)&gt;0,"Falta o item",""),IF(ISNA(MATCH(D79,Infraestrutura!$C$10:$C$49,0)),"Item não cadastrado",IF(C79="","Falta a data",IF(F79="","Falta o tipo",IF(G79="","Falta o tempo parado",IF(F79="Corretiva",IF(I79="","Falta a causa",IF(J79="","Falta a ação",IF(K79="","Falta dizer se afetou o produto",IF(AND(K79="Sim",L79=""),"Produto afetado sem tratamento","OK")))),"OK"))))))</f>
        <v/>
      </c>
    </row>
    <row r="80" customFormat="false" ht="30" hidden="false" customHeight="true" outlineLevel="0" collapsed="false">
      <c r="B80" s="11" t="n">
        <v>74</v>
      </c>
      <c r="C80" s="21"/>
      <c r="D80" s="23"/>
      <c r="E80" s="20" t="str">
        <f aca="false">IF(D80="","",IFERROR(INDEX(Infraestrutura!$D$10:$D$49,MATCH(D80,Infraestrutura!$C$10:$C$49,0))&amp;"",""))</f>
        <v/>
      </c>
      <c r="F80" s="23"/>
      <c r="G80" s="12"/>
      <c r="H80" s="5"/>
      <c r="I80" s="5"/>
      <c r="J80" s="5"/>
      <c r="K80" s="23"/>
      <c r="L80" s="5"/>
      <c r="M80" s="16" t="str">
        <f aca="false">IF(D80="",IF(COUNTA(C80,F80:L80)&gt;0,"Falta o item",""),IF(ISNA(MATCH(D80,Infraestrutura!$C$10:$C$49,0)),"Item não cadastrado",IF(C80="","Falta a data",IF(F80="","Falta o tipo",IF(G80="","Falta o tempo parado",IF(F80="Corretiva",IF(I80="","Falta a causa",IF(J80="","Falta a ação",IF(K80="","Falta dizer se afetou o produto",IF(AND(K80="Sim",L80=""),"Produto afetado sem tratamento","OK")))),"OK"))))))</f>
        <v/>
      </c>
    </row>
    <row r="81" customFormat="false" ht="30" hidden="false" customHeight="true" outlineLevel="0" collapsed="false">
      <c r="B81" s="11" t="n">
        <v>75</v>
      </c>
      <c r="C81" s="21"/>
      <c r="D81" s="23"/>
      <c r="E81" s="20" t="str">
        <f aca="false">IF(D81="","",IFERROR(INDEX(Infraestrutura!$D$10:$D$49,MATCH(D81,Infraestrutura!$C$10:$C$49,0))&amp;"",""))</f>
        <v/>
      </c>
      <c r="F81" s="23"/>
      <c r="G81" s="12"/>
      <c r="H81" s="5"/>
      <c r="I81" s="5"/>
      <c r="J81" s="5"/>
      <c r="K81" s="23"/>
      <c r="L81" s="5"/>
      <c r="M81" s="16" t="str">
        <f aca="false">IF(D81="",IF(COUNTA(C81,F81:L81)&gt;0,"Falta o item",""),IF(ISNA(MATCH(D81,Infraestrutura!$C$10:$C$49,0)),"Item não cadastrado",IF(C81="","Falta a data",IF(F81="","Falta o tipo",IF(G81="","Falta o tempo parado",IF(F81="Corretiva",IF(I81="","Falta a causa",IF(J81="","Falta a ação",IF(K81="","Falta dizer se afetou o produto",IF(AND(K81="Sim",L81=""),"Produto afetado sem tratamento","OK")))),"OK"))))))</f>
        <v/>
      </c>
    </row>
    <row r="82" customFormat="false" ht="30" hidden="false" customHeight="true" outlineLevel="0" collapsed="false">
      <c r="B82" s="11" t="n">
        <v>76</v>
      </c>
      <c r="C82" s="21"/>
      <c r="D82" s="23"/>
      <c r="E82" s="20" t="str">
        <f aca="false">IF(D82="","",IFERROR(INDEX(Infraestrutura!$D$10:$D$49,MATCH(D82,Infraestrutura!$C$10:$C$49,0))&amp;"",""))</f>
        <v/>
      </c>
      <c r="F82" s="23"/>
      <c r="G82" s="12"/>
      <c r="H82" s="5"/>
      <c r="I82" s="5"/>
      <c r="J82" s="5"/>
      <c r="K82" s="23"/>
      <c r="L82" s="5"/>
      <c r="M82" s="16" t="str">
        <f aca="false">IF(D82="",IF(COUNTA(C82,F82:L82)&gt;0,"Falta o item",""),IF(ISNA(MATCH(D82,Infraestrutura!$C$10:$C$49,0)),"Item não cadastrado",IF(C82="","Falta a data",IF(F82="","Falta o tipo",IF(G82="","Falta o tempo parado",IF(F82="Corretiva",IF(I82="","Falta a causa",IF(J82="","Falta a ação",IF(K82="","Falta dizer se afetou o produto",IF(AND(K82="Sim",L82=""),"Produto afetado sem tratamento","OK")))),"OK"))))))</f>
        <v/>
      </c>
    </row>
    <row r="83" customFormat="false" ht="30" hidden="false" customHeight="true" outlineLevel="0" collapsed="false">
      <c r="B83" s="11" t="n">
        <v>77</v>
      </c>
      <c r="C83" s="21"/>
      <c r="D83" s="23"/>
      <c r="E83" s="20" t="str">
        <f aca="false">IF(D83="","",IFERROR(INDEX(Infraestrutura!$D$10:$D$49,MATCH(D83,Infraestrutura!$C$10:$C$49,0))&amp;"",""))</f>
        <v/>
      </c>
      <c r="F83" s="23"/>
      <c r="G83" s="12"/>
      <c r="H83" s="5"/>
      <c r="I83" s="5"/>
      <c r="J83" s="5"/>
      <c r="K83" s="23"/>
      <c r="L83" s="5"/>
      <c r="M83" s="16" t="str">
        <f aca="false">IF(D83="",IF(COUNTA(C83,F83:L83)&gt;0,"Falta o item",""),IF(ISNA(MATCH(D83,Infraestrutura!$C$10:$C$49,0)),"Item não cadastrado",IF(C83="","Falta a data",IF(F83="","Falta o tipo",IF(G83="","Falta o tempo parado",IF(F83="Corretiva",IF(I83="","Falta a causa",IF(J83="","Falta a ação",IF(K83="","Falta dizer se afetou o produto",IF(AND(K83="Sim",L83=""),"Produto afetado sem tratamento","OK")))),"OK"))))))</f>
        <v/>
      </c>
    </row>
    <row r="84" customFormat="false" ht="30" hidden="false" customHeight="true" outlineLevel="0" collapsed="false">
      <c r="B84" s="11" t="n">
        <v>78</v>
      </c>
      <c r="C84" s="21"/>
      <c r="D84" s="23"/>
      <c r="E84" s="20" t="str">
        <f aca="false">IF(D84="","",IFERROR(INDEX(Infraestrutura!$D$10:$D$49,MATCH(D84,Infraestrutura!$C$10:$C$49,0))&amp;"",""))</f>
        <v/>
      </c>
      <c r="F84" s="23"/>
      <c r="G84" s="12"/>
      <c r="H84" s="5"/>
      <c r="I84" s="5"/>
      <c r="J84" s="5"/>
      <c r="K84" s="23"/>
      <c r="L84" s="5"/>
      <c r="M84" s="16" t="str">
        <f aca="false">IF(D84="",IF(COUNTA(C84,F84:L84)&gt;0,"Falta o item",""),IF(ISNA(MATCH(D84,Infraestrutura!$C$10:$C$49,0)),"Item não cadastrado",IF(C84="","Falta a data",IF(F84="","Falta o tipo",IF(G84="","Falta o tempo parado",IF(F84="Corretiva",IF(I84="","Falta a causa",IF(J84="","Falta a ação",IF(K84="","Falta dizer se afetou o produto",IF(AND(K84="Sim",L84=""),"Produto afetado sem tratamento","OK")))),"OK"))))))</f>
        <v/>
      </c>
    </row>
    <row r="85" customFormat="false" ht="30" hidden="false" customHeight="true" outlineLevel="0" collapsed="false">
      <c r="B85" s="11" t="n">
        <v>79</v>
      </c>
      <c r="C85" s="21"/>
      <c r="D85" s="23"/>
      <c r="E85" s="20" t="str">
        <f aca="false">IF(D85="","",IFERROR(INDEX(Infraestrutura!$D$10:$D$49,MATCH(D85,Infraestrutura!$C$10:$C$49,0))&amp;"",""))</f>
        <v/>
      </c>
      <c r="F85" s="23"/>
      <c r="G85" s="12"/>
      <c r="H85" s="5"/>
      <c r="I85" s="5"/>
      <c r="J85" s="5"/>
      <c r="K85" s="23"/>
      <c r="L85" s="5"/>
      <c r="M85" s="16" t="str">
        <f aca="false">IF(D85="",IF(COUNTA(C85,F85:L85)&gt;0,"Falta o item",""),IF(ISNA(MATCH(D85,Infraestrutura!$C$10:$C$49,0)),"Item não cadastrado",IF(C85="","Falta a data",IF(F85="","Falta o tipo",IF(G85="","Falta o tempo parado",IF(F85="Corretiva",IF(I85="","Falta a causa",IF(J85="","Falta a ação",IF(K85="","Falta dizer se afetou o produto",IF(AND(K85="Sim",L85=""),"Produto afetado sem tratamento","OK")))),"OK"))))))</f>
        <v/>
      </c>
    </row>
    <row r="86" customFormat="false" ht="30" hidden="false" customHeight="true" outlineLevel="0" collapsed="false">
      <c r="B86" s="11" t="n">
        <v>80</v>
      </c>
      <c r="C86" s="21"/>
      <c r="D86" s="23"/>
      <c r="E86" s="20" t="str">
        <f aca="false">IF(D86="","",IFERROR(INDEX(Infraestrutura!$D$10:$D$49,MATCH(D86,Infraestrutura!$C$10:$C$49,0))&amp;"",""))</f>
        <v/>
      </c>
      <c r="F86" s="23"/>
      <c r="G86" s="12"/>
      <c r="H86" s="5"/>
      <c r="I86" s="5"/>
      <c r="J86" s="5"/>
      <c r="K86" s="23"/>
      <c r="L86" s="5"/>
      <c r="M86" s="16" t="str">
        <f aca="false">IF(D86="",IF(COUNTA(C86,F86:L86)&gt;0,"Falta o item",""),IF(ISNA(MATCH(D86,Infraestrutura!$C$10:$C$49,0)),"Item não cadastrado",IF(C86="","Falta a data",IF(F86="","Falta o tipo",IF(G86="","Falta o tempo parado",IF(F86="Corretiva",IF(I86="","Falta a causa",IF(J86="","Falta a ação",IF(K86="","Falta dizer se afetou o produto",IF(AND(K86="Sim",L86=""),"Produto afetado sem tratamento","OK")))),"OK"))))))</f>
        <v/>
      </c>
    </row>
    <row r="88" customFormat="false" ht="21.75" hidden="false" customHeight="true" outlineLevel="0" collapsed="false">
      <c r="B88" s="17" t="s">
        <v>99</v>
      </c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</row>
    <row r="89" customFormat="false" ht="21.75" hidden="false" customHeight="true" outlineLevel="0" collapsed="false">
      <c r="B89" s="18" t="s">
        <v>146</v>
      </c>
      <c r="C89" s="18"/>
      <c r="D89" s="18"/>
      <c r="E89" s="19" t="n">
        <f aca="false">COUNTA(D7:D86)</f>
        <v>0</v>
      </c>
      <c r="F89" s="19"/>
      <c r="G89" s="19"/>
      <c r="H89" s="19"/>
      <c r="I89" s="19"/>
      <c r="J89" s="19"/>
      <c r="K89" s="19"/>
      <c r="L89" s="19"/>
      <c r="M89" s="19"/>
    </row>
    <row r="90" customFormat="false" ht="21.75" hidden="false" customHeight="true" outlineLevel="0" collapsed="false">
      <c r="B90" s="18" t="s">
        <v>147</v>
      </c>
      <c r="C90" s="18"/>
      <c r="D90" s="18"/>
      <c r="E90" s="19" t="str">
        <f aca="false">COUNTIF(F7:F86,"Corretiva")&amp;" corretivas, "&amp;COUNTIF(F7:F86,"Preventiva")&amp;" preventivas, "&amp;SUMIF(F7:F86,"Corretiva",G7:G86)&amp;" horas paradas nas corretivas"</f>
        <v>0 corretivas, 0 preventivas, 0 horas paradas nas corretivas</v>
      </c>
      <c r="F90" s="19"/>
      <c r="G90" s="19"/>
      <c r="H90" s="19"/>
      <c r="I90" s="19"/>
      <c r="J90" s="19"/>
      <c r="K90" s="19"/>
      <c r="L90" s="19"/>
      <c r="M90" s="19"/>
    </row>
    <row r="91" customFormat="false" ht="21.75" hidden="false" customHeight="true" outlineLevel="0" collapsed="false">
      <c r="B91" s="18" t="s">
        <v>102</v>
      </c>
      <c r="C91" s="18"/>
      <c r="D91" s="18"/>
      <c r="E91" s="20" t="str">
        <f aca="false">IF(E89=0,"Lance as manutenções",IF(COUNTIF(M7:M86,"Produto afetado sem tratamento")&gt;0,"Há produto afetado sem tratamento",IF(SUMPRODUCT((M7:M86&lt;&gt;"")*(M7:M86&lt;&gt;"OK"))&gt;0,"Há registro a completar: veja a coluna Conferência","OK")))</f>
        <v>Lance as manutenções</v>
      </c>
      <c r="F91" s="20"/>
      <c r="G91" s="20"/>
      <c r="H91" s="20"/>
      <c r="I91" s="20"/>
      <c r="J91" s="20"/>
      <c r="K91" s="20"/>
      <c r="L91" s="20"/>
      <c r="M91" s="20"/>
    </row>
  </sheetData>
  <mergeCells count="9">
    <mergeCell ref="B1:M1"/>
    <mergeCell ref="B2:M2"/>
    <mergeCell ref="B88:M88"/>
    <mergeCell ref="B89:D89"/>
    <mergeCell ref="E89:M89"/>
    <mergeCell ref="B90:D90"/>
    <mergeCell ref="E90:M90"/>
    <mergeCell ref="B91:D91"/>
    <mergeCell ref="E91:M91"/>
  </mergeCells>
  <conditionalFormatting sqref="M7:M86">
    <cfRule type="expression" priority="2" aboveAverage="0" equalAverage="0" bottom="0" percent="0" rank="0" text="" dxfId="2">
      <formula>M7="OK"</formula>
    </cfRule>
    <cfRule type="expression" priority="3" aboveAverage="0" equalAverage="0" bottom="0" percent="0" rank="0" text="" dxfId="0">
      <formula>M7="Produto afetado sem tratamento"</formula>
    </cfRule>
    <cfRule type="expression" priority="4" aboveAverage="0" equalAverage="0" bottom="0" percent="0" rank="0" text="" dxfId="3">
      <formula>LEN(M7)&gt;0</formula>
    </cfRule>
  </conditionalFormatting>
  <conditionalFormatting sqref="E91:M91">
    <cfRule type="expression" priority="5" aboveAverage="0" equalAverage="0" bottom="0" percent="0" rank="0" text="" dxfId="2">
      <formula>OR(E91="OK")</formula>
    </cfRule>
    <cfRule type="expression" priority="6" aboveAverage="0" equalAverage="0" bottom="0" percent="0" rank="0" text="" dxfId="3">
      <formula>AND(LEN(E91)&gt;0,NOT(OR(E91="OK")))</formula>
    </cfRule>
  </conditionalFormatting>
  <dataValidations count="5">
    <dataValidation allowBlank="true" error="Digite uma data no formato dia/mês/ano." errorStyle="stop" errorTitle="Data inválida" operator="greaterThanOrEqual" showDropDown="false" showErrorMessage="true" showInputMessage="false" sqref="C7:C86" type="date">
      <formula1>36526</formula1>
      <formula2>0</formula2>
    </dataValidation>
    <dataValidation allowBlank="true" errorStyle="stop" operator="between" prompt="Código do item, da aba Infraestrutura" promptTitle="Opções" showDropDown="false" showErrorMessage="false" showInputMessage="true" sqref="D7:D86" type="list">
      <formula1>Infraestrutura!$C$10:$C$49</formula1>
      <formula2>0</formula2>
    </dataValidation>
    <dataValidation allowBlank="true" error="Escolha uma das opções da lista." errorStyle="stop" errorTitle="Valor inválido" operator="between" prompt="Corretiva, depois da quebra, ou preventiva, planejada" promptTitle="Opções" showDropDown="false" showErrorMessage="true" showInputMessage="true" sqref="F7:F86" type="list">
      <formula1>"Corretiva,Preventiva"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G7:G86" type="decimal">
      <formula1>-1000000000</formula1>
      <formula2>1000000000</formula2>
    </dataValidation>
    <dataValidation allowBlank="true" error="Escolha uma das opções da lista." errorStyle="stop" errorTitle="Valor inválido" operator="between" prompt="A quebra afetou o produto ou o serviço?" promptTitle="Opções" showDropDown="false" showErrorMessage="true" showInputMessage="true" sqref="K7:K86" type="list">
      <formula1>"Sim,Não"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N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26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34"/>
    <col collapsed="false" customWidth="true" hidden="false" outlineLevel="0" max="7" min="7" style="0" width="12"/>
    <col collapsed="false" customWidth="true" hidden="false" outlineLevel="0" max="9" min="8" style="0" width="9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30"/>
    <col collapsed="false" customWidth="true" hidden="false" outlineLevel="0" max="13" min="13" style="0" width="12"/>
    <col collapsed="false" customWidth="true" hidden="false" outlineLevel="0" max="14" min="14" style="0" width="28"/>
    <col collapsed="false" customWidth="true" hidden="false" outlineLevel="0" max="15" min="15" style="0" width="2"/>
  </cols>
  <sheetData>
    <row r="1" customFormat="false" ht="31.5" hidden="false" customHeight="true" outlineLevel="0" collapsed="false">
      <c r="B1" s="1" t="s">
        <v>148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9.5" hidden="false" customHeight="true" outlineLevel="0" collapsed="false">
      <c r="B2" s="2" t="s">
        <v>149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3" hidden="false" customHeight="true" outlineLevel="0" collapsed="false">
      <c r="B4" s="8" t="s">
        <v>76</v>
      </c>
      <c r="C4" s="8" t="s">
        <v>150</v>
      </c>
      <c r="D4" s="8" t="s">
        <v>112</v>
      </c>
      <c r="E4" s="8" t="s">
        <v>113</v>
      </c>
      <c r="F4" s="8" t="s">
        <v>151</v>
      </c>
      <c r="G4" s="8" t="s">
        <v>152</v>
      </c>
      <c r="H4" s="8" t="s">
        <v>153</v>
      </c>
      <c r="I4" s="8" t="s">
        <v>154</v>
      </c>
      <c r="J4" s="8" t="s">
        <v>155</v>
      </c>
      <c r="K4" s="8" t="s">
        <v>156</v>
      </c>
      <c r="L4" s="8" t="s">
        <v>157</v>
      </c>
      <c r="M4" s="8" t="s">
        <v>85</v>
      </c>
      <c r="N4" s="8" t="s">
        <v>86</v>
      </c>
    </row>
    <row r="5" customFormat="false" ht="30" hidden="false" customHeight="true" outlineLevel="0" collapsed="false">
      <c r="B5" s="9"/>
      <c r="C5" s="9"/>
      <c r="D5" s="9" t="s">
        <v>121</v>
      </c>
      <c r="E5" s="9"/>
      <c r="F5" s="9" t="s">
        <v>158</v>
      </c>
      <c r="G5" s="9" t="s">
        <v>159</v>
      </c>
      <c r="H5" s="9" t="s">
        <v>89</v>
      </c>
      <c r="I5" s="9" t="s">
        <v>89</v>
      </c>
      <c r="J5" s="9" t="s">
        <v>160</v>
      </c>
      <c r="K5" s="9" t="s">
        <v>89</v>
      </c>
      <c r="L5" s="9"/>
      <c r="M5" s="9" t="s">
        <v>91</v>
      </c>
      <c r="N5" s="9" t="s">
        <v>91</v>
      </c>
    </row>
    <row r="6" customFormat="false" ht="30" hidden="false" customHeight="true" outlineLevel="0" collapsed="false">
      <c r="B6" s="9" t="s">
        <v>93</v>
      </c>
      <c r="C6" s="10" t="s">
        <v>161</v>
      </c>
      <c r="D6" s="9" t="s">
        <v>162</v>
      </c>
      <c r="E6" s="10" t="s">
        <v>163</v>
      </c>
      <c r="F6" s="10" t="s">
        <v>164</v>
      </c>
      <c r="G6" s="9" t="s">
        <v>165</v>
      </c>
      <c r="H6" s="9"/>
      <c r="I6" s="9" t="n">
        <v>32</v>
      </c>
      <c r="J6" s="10" t="s">
        <v>166</v>
      </c>
      <c r="K6" s="9" t="n">
        <v>34</v>
      </c>
      <c r="L6" s="10" t="s">
        <v>167</v>
      </c>
      <c r="M6" s="9" t="s">
        <v>168</v>
      </c>
      <c r="N6" s="9" t="s">
        <v>145</v>
      </c>
    </row>
    <row r="7" customFormat="false" ht="30" hidden="false" customHeight="true" outlineLevel="0" collapsed="false">
      <c r="B7" s="11" t="n">
        <v>1</v>
      </c>
      <c r="C7" s="5"/>
      <c r="D7" s="23"/>
      <c r="E7" s="5"/>
      <c r="F7" s="5"/>
      <c r="G7" s="23"/>
      <c r="H7" s="12"/>
      <c r="I7" s="12"/>
      <c r="J7" s="5"/>
      <c r="K7" s="12"/>
      <c r="L7" s="5"/>
      <c r="M7" s="15" t="str">
        <f aca="false">IF(C7="","",IF(K7="","Sem medição",IF(OR(AND(H7&lt;&gt;"",K7&lt;H7),AND(I7&lt;&gt;"",K7&gt;I7)),"Fora","Dentro")))</f>
        <v/>
      </c>
      <c r="N7" s="16" t="str">
        <f aca="false">IF(C7="","",IF(F7="","Falta por que afeta o produto",IF(J7="","Falta como é controlado",IF(AND(H7="",I7=""),"Falta o limite",IF(M7="Sem medição","Falta a medição",IF(AND(M7="Fora",L7=""),"Fora do limite: falta a ação","OK"))))))</f>
        <v/>
      </c>
    </row>
    <row r="8" customFormat="false" ht="30" hidden="false" customHeight="true" outlineLevel="0" collapsed="false">
      <c r="B8" s="11" t="n">
        <v>2</v>
      </c>
      <c r="C8" s="5"/>
      <c r="D8" s="23"/>
      <c r="E8" s="5"/>
      <c r="F8" s="5"/>
      <c r="G8" s="23"/>
      <c r="H8" s="12"/>
      <c r="I8" s="12"/>
      <c r="J8" s="5"/>
      <c r="K8" s="12"/>
      <c r="L8" s="5"/>
      <c r="M8" s="15" t="str">
        <f aca="false">IF(C8="","",IF(K8="","Sem medição",IF(OR(AND(H8&lt;&gt;"",K8&lt;H8),AND(I8&lt;&gt;"",K8&gt;I8)),"Fora","Dentro")))</f>
        <v/>
      </c>
      <c r="N8" s="16" t="str">
        <f aca="false">IF(C8="","",IF(F8="","Falta por que afeta o produto",IF(J8="","Falta como é controlado",IF(AND(H8="",I8=""),"Falta o limite",IF(M8="Sem medição","Falta a medição",IF(AND(M8="Fora",L8=""),"Fora do limite: falta a ação","OK"))))))</f>
        <v/>
      </c>
    </row>
    <row r="9" customFormat="false" ht="30" hidden="false" customHeight="true" outlineLevel="0" collapsed="false">
      <c r="B9" s="11" t="n">
        <v>3</v>
      </c>
      <c r="C9" s="5"/>
      <c r="D9" s="23"/>
      <c r="E9" s="5"/>
      <c r="F9" s="5"/>
      <c r="G9" s="23"/>
      <c r="H9" s="12"/>
      <c r="I9" s="12"/>
      <c r="J9" s="5"/>
      <c r="K9" s="12"/>
      <c r="L9" s="5"/>
      <c r="M9" s="15" t="str">
        <f aca="false">IF(C9="","",IF(K9="","Sem medição",IF(OR(AND(H9&lt;&gt;"",K9&lt;H9),AND(I9&lt;&gt;"",K9&gt;I9)),"Fora","Dentro")))</f>
        <v/>
      </c>
      <c r="N9" s="16" t="str">
        <f aca="false">IF(C9="","",IF(F9="","Falta por que afeta o produto",IF(J9="","Falta como é controlado",IF(AND(H9="",I9=""),"Falta o limite",IF(M9="Sem medição","Falta a medição",IF(AND(M9="Fora",L9=""),"Fora do limite: falta a ação","OK"))))))</f>
        <v/>
      </c>
    </row>
    <row r="10" customFormat="false" ht="30" hidden="false" customHeight="true" outlineLevel="0" collapsed="false">
      <c r="B10" s="11" t="n">
        <v>4</v>
      </c>
      <c r="C10" s="5"/>
      <c r="D10" s="23"/>
      <c r="E10" s="5"/>
      <c r="F10" s="5"/>
      <c r="G10" s="23"/>
      <c r="H10" s="12"/>
      <c r="I10" s="12"/>
      <c r="J10" s="5"/>
      <c r="K10" s="12"/>
      <c r="L10" s="5"/>
      <c r="M10" s="15" t="str">
        <f aca="false">IF(C10="","",IF(K10="","Sem medição",IF(OR(AND(H10&lt;&gt;"",K10&lt;H10),AND(I10&lt;&gt;"",K10&gt;I10)),"Fora","Dentro")))</f>
        <v/>
      </c>
      <c r="N10" s="16" t="str">
        <f aca="false">IF(C10="","",IF(F10="","Falta por que afeta o produto",IF(J10="","Falta como é controlado",IF(AND(H10="",I10=""),"Falta o limite",IF(M10="Sem medição","Falta a medição",IF(AND(M10="Fora",L10=""),"Fora do limite: falta a ação","OK"))))))</f>
        <v/>
      </c>
    </row>
    <row r="11" customFormat="false" ht="30" hidden="false" customHeight="true" outlineLevel="0" collapsed="false">
      <c r="B11" s="11" t="n">
        <v>5</v>
      </c>
      <c r="C11" s="5"/>
      <c r="D11" s="23"/>
      <c r="E11" s="5"/>
      <c r="F11" s="5"/>
      <c r="G11" s="23"/>
      <c r="H11" s="12"/>
      <c r="I11" s="12"/>
      <c r="J11" s="5"/>
      <c r="K11" s="12"/>
      <c r="L11" s="5"/>
      <c r="M11" s="15" t="str">
        <f aca="false">IF(C11="","",IF(K11="","Sem medição",IF(OR(AND(H11&lt;&gt;"",K11&lt;H11),AND(I11&lt;&gt;"",K11&gt;I11)),"Fora","Dentro")))</f>
        <v/>
      </c>
      <c r="N11" s="16" t="str">
        <f aca="false">IF(C11="","",IF(F11="","Falta por que afeta o produto",IF(J11="","Falta como é controlado",IF(AND(H11="",I11=""),"Falta o limite",IF(M11="Sem medição","Falta a medição",IF(AND(M11="Fora",L11=""),"Fora do limite: falta a ação","OK"))))))</f>
        <v/>
      </c>
    </row>
    <row r="12" customFormat="false" ht="30" hidden="false" customHeight="true" outlineLevel="0" collapsed="false">
      <c r="B12" s="11" t="n">
        <v>6</v>
      </c>
      <c r="C12" s="5"/>
      <c r="D12" s="23"/>
      <c r="E12" s="5"/>
      <c r="F12" s="5"/>
      <c r="G12" s="23"/>
      <c r="H12" s="12"/>
      <c r="I12" s="12"/>
      <c r="J12" s="5"/>
      <c r="K12" s="12"/>
      <c r="L12" s="5"/>
      <c r="M12" s="15" t="str">
        <f aca="false">IF(C12="","",IF(K12="","Sem medição",IF(OR(AND(H12&lt;&gt;"",K12&lt;H12),AND(I12&lt;&gt;"",K12&gt;I12)),"Fora","Dentro")))</f>
        <v/>
      </c>
      <c r="N12" s="16" t="str">
        <f aca="false">IF(C12="","",IF(F12="","Falta por que afeta o produto",IF(J12="","Falta como é controlado",IF(AND(H12="",I12=""),"Falta o limite",IF(M12="Sem medição","Falta a medição",IF(AND(M12="Fora",L12=""),"Fora do limite: falta a ação","OK"))))))</f>
        <v/>
      </c>
    </row>
    <row r="13" customFormat="false" ht="30" hidden="false" customHeight="true" outlineLevel="0" collapsed="false">
      <c r="B13" s="11" t="n">
        <v>7</v>
      </c>
      <c r="C13" s="5"/>
      <c r="D13" s="23"/>
      <c r="E13" s="5"/>
      <c r="F13" s="5"/>
      <c r="G13" s="23"/>
      <c r="H13" s="12"/>
      <c r="I13" s="12"/>
      <c r="J13" s="5"/>
      <c r="K13" s="12"/>
      <c r="L13" s="5"/>
      <c r="M13" s="15" t="str">
        <f aca="false">IF(C13="","",IF(K13="","Sem medição",IF(OR(AND(H13&lt;&gt;"",K13&lt;H13),AND(I13&lt;&gt;"",K13&gt;I13)),"Fora","Dentro")))</f>
        <v/>
      </c>
      <c r="N13" s="16" t="str">
        <f aca="false">IF(C13="","",IF(F13="","Falta por que afeta o produto",IF(J13="","Falta como é controlado",IF(AND(H13="",I13=""),"Falta o limite",IF(M13="Sem medição","Falta a medição",IF(AND(M13="Fora",L13=""),"Fora do limite: falta a ação","OK"))))))</f>
        <v/>
      </c>
    </row>
    <row r="14" customFormat="false" ht="30" hidden="false" customHeight="true" outlineLevel="0" collapsed="false">
      <c r="B14" s="11" t="n">
        <v>8</v>
      </c>
      <c r="C14" s="5"/>
      <c r="D14" s="23"/>
      <c r="E14" s="5"/>
      <c r="F14" s="5"/>
      <c r="G14" s="23"/>
      <c r="H14" s="12"/>
      <c r="I14" s="12"/>
      <c r="J14" s="5"/>
      <c r="K14" s="12"/>
      <c r="L14" s="5"/>
      <c r="M14" s="15" t="str">
        <f aca="false">IF(C14="","",IF(K14="","Sem medição",IF(OR(AND(H14&lt;&gt;"",K14&lt;H14),AND(I14&lt;&gt;"",K14&gt;I14)),"Fora","Dentro")))</f>
        <v/>
      </c>
      <c r="N14" s="16" t="str">
        <f aca="false">IF(C14="","",IF(F14="","Falta por que afeta o produto",IF(J14="","Falta como é controlado",IF(AND(H14="",I14=""),"Falta o limite",IF(M14="Sem medição","Falta a medição",IF(AND(M14="Fora",L14=""),"Fora do limite: falta a ação","OK"))))))</f>
        <v/>
      </c>
    </row>
    <row r="15" customFormat="false" ht="30" hidden="false" customHeight="true" outlineLevel="0" collapsed="false">
      <c r="B15" s="11" t="n">
        <v>9</v>
      </c>
      <c r="C15" s="5"/>
      <c r="D15" s="23"/>
      <c r="E15" s="5"/>
      <c r="F15" s="5"/>
      <c r="G15" s="23"/>
      <c r="H15" s="12"/>
      <c r="I15" s="12"/>
      <c r="J15" s="5"/>
      <c r="K15" s="12"/>
      <c r="L15" s="5"/>
      <c r="M15" s="15" t="str">
        <f aca="false">IF(C15="","",IF(K15="","Sem medição",IF(OR(AND(H15&lt;&gt;"",K15&lt;H15),AND(I15&lt;&gt;"",K15&gt;I15)),"Fora","Dentro")))</f>
        <v/>
      </c>
      <c r="N15" s="16" t="str">
        <f aca="false">IF(C15="","",IF(F15="","Falta por que afeta o produto",IF(J15="","Falta como é controlado",IF(AND(H15="",I15=""),"Falta o limite",IF(M15="Sem medição","Falta a medição",IF(AND(M15="Fora",L15=""),"Fora do limite: falta a ação","OK"))))))</f>
        <v/>
      </c>
    </row>
    <row r="16" customFormat="false" ht="30" hidden="false" customHeight="true" outlineLevel="0" collapsed="false">
      <c r="B16" s="11" t="n">
        <v>10</v>
      </c>
      <c r="C16" s="5"/>
      <c r="D16" s="23"/>
      <c r="E16" s="5"/>
      <c r="F16" s="5"/>
      <c r="G16" s="23"/>
      <c r="H16" s="12"/>
      <c r="I16" s="12"/>
      <c r="J16" s="5"/>
      <c r="K16" s="12"/>
      <c r="L16" s="5"/>
      <c r="M16" s="15" t="str">
        <f aca="false">IF(C16="","",IF(K16="","Sem medição",IF(OR(AND(H16&lt;&gt;"",K16&lt;H16),AND(I16&lt;&gt;"",K16&gt;I16)),"Fora","Dentro")))</f>
        <v/>
      </c>
      <c r="N16" s="16" t="str">
        <f aca="false">IF(C16="","",IF(F16="","Falta por que afeta o produto",IF(J16="","Falta como é controlado",IF(AND(H16="",I16=""),"Falta o limite",IF(M16="Sem medição","Falta a medição",IF(AND(M16="Fora",L16=""),"Fora do limite: falta a ação","OK"))))))</f>
        <v/>
      </c>
    </row>
    <row r="17" customFormat="false" ht="30" hidden="false" customHeight="true" outlineLevel="0" collapsed="false">
      <c r="B17" s="11" t="n">
        <v>11</v>
      </c>
      <c r="C17" s="5"/>
      <c r="D17" s="23"/>
      <c r="E17" s="5"/>
      <c r="F17" s="5"/>
      <c r="G17" s="23"/>
      <c r="H17" s="12"/>
      <c r="I17" s="12"/>
      <c r="J17" s="5"/>
      <c r="K17" s="12"/>
      <c r="L17" s="5"/>
      <c r="M17" s="15" t="str">
        <f aca="false">IF(C17="","",IF(K17="","Sem medição",IF(OR(AND(H17&lt;&gt;"",K17&lt;H17),AND(I17&lt;&gt;"",K17&gt;I17)),"Fora","Dentro")))</f>
        <v/>
      </c>
      <c r="N17" s="16" t="str">
        <f aca="false">IF(C17="","",IF(F17="","Falta por que afeta o produto",IF(J17="","Falta como é controlado",IF(AND(H17="",I17=""),"Falta o limite",IF(M17="Sem medição","Falta a medição",IF(AND(M17="Fora",L17=""),"Fora do limite: falta a ação","OK"))))))</f>
        <v/>
      </c>
    </row>
    <row r="18" customFormat="false" ht="30" hidden="false" customHeight="true" outlineLevel="0" collapsed="false">
      <c r="B18" s="11" t="n">
        <v>12</v>
      </c>
      <c r="C18" s="5"/>
      <c r="D18" s="23"/>
      <c r="E18" s="5"/>
      <c r="F18" s="5"/>
      <c r="G18" s="23"/>
      <c r="H18" s="12"/>
      <c r="I18" s="12"/>
      <c r="J18" s="5"/>
      <c r="K18" s="12"/>
      <c r="L18" s="5"/>
      <c r="M18" s="15" t="str">
        <f aca="false">IF(C18="","",IF(K18="","Sem medição",IF(OR(AND(H18&lt;&gt;"",K18&lt;H18),AND(I18&lt;&gt;"",K18&gt;I18)),"Fora","Dentro")))</f>
        <v/>
      </c>
      <c r="N18" s="16" t="str">
        <f aca="false">IF(C18="","",IF(F18="","Falta por que afeta o produto",IF(J18="","Falta como é controlado",IF(AND(H18="",I18=""),"Falta o limite",IF(M18="Sem medição","Falta a medição",IF(AND(M18="Fora",L18=""),"Fora do limite: falta a ação","OK"))))))</f>
        <v/>
      </c>
    </row>
    <row r="19" customFormat="false" ht="30" hidden="false" customHeight="true" outlineLevel="0" collapsed="false">
      <c r="B19" s="11" t="n">
        <v>13</v>
      </c>
      <c r="C19" s="5"/>
      <c r="D19" s="23"/>
      <c r="E19" s="5"/>
      <c r="F19" s="5"/>
      <c r="G19" s="23"/>
      <c r="H19" s="12"/>
      <c r="I19" s="12"/>
      <c r="J19" s="5"/>
      <c r="K19" s="12"/>
      <c r="L19" s="5"/>
      <c r="M19" s="15" t="str">
        <f aca="false">IF(C19="","",IF(K19="","Sem medição",IF(OR(AND(H19&lt;&gt;"",K19&lt;H19),AND(I19&lt;&gt;"",K19&gt;I19)),"Fora","Dentro")))</f>
        <v/>
      </c>
      <c r="N19" s="16" t="str">
        <f aca="false">IF(C19="","",IF(F19="","Falta por que afeta o produto",IF(J19="","Falta como é controlado",IF(AND(H19="",I19=""),"Falta o limite",IF(M19="Sem medição","Falta a medição",IF(AND(M19="Fora",L19=""),"Fora do limite: falta a ação","OK"))))))</f>
        <v/>
      </c>
    </row>
    <row r="20" customFormat="false" ht="30" hidden="false" customHeight="true" outlineLevel="0" collapsed="false">
      <c r="B20" s="11" t="n">
        <v>14</v>
      </c>
      <c r="C20" s="5"/>
      <c r="D20" s="23"/>
      <c r="E20" s="5"/>
      <c r="F20" s="5"/>
      <c r="G20" s="23"/>
      <c r="H20" s="12"/>
      <c r="I20" s="12"/>
      <c r="J20" s="5"/>
      <c r="K20" s="12"/>
      <c r="L20" s="5"/>
      <c r="M20" s="15" t="str">
        <f aca="false">IF(C20="","",IF(K20="","Sem medição",IF(OR(AND(H20&lt;&gt;"",K20&lt;H20),AND(I20&lt;&gt;"",K20&gt;I20)),"Fora","Dentro")))</f>
        <v/>
      </c>
      <c r="N20" s="16" t="str">
        <f aca="false">IF(C20="","",IF(F20="","Falta por que afeta o produto",IF(J20="","Falta como é controlado",IF(AND(H20="",I20=""),"Falta o limite",IF(M20="Sem medição","Falta a medição",IF(AND(M20="Fora",L20=""),"Fora do limite: falta a ação","OK"))))))</f>
        <v/>
      </c>
    </row>
    <row r="21" customFormat="false" ht="30" hidden="false" customHeight="true" outlineLevel="0" collapsed="false">
      <c r="B21" s="11" t="n">
        <v>15</v>
      </c>
      <c r="C21" s="5"/>
      <c r="D21" s="23"/>
      <c r="E21" s="5"/>
      <c r="F21" s="5"/>
      <c r="G21" s="23"/>
      <c r="H21" s="12"/>
      <c r="I21" s="12"/>
      <c r="J21" s="5"/>
      <c r="K21" s="12"/>
      <c r="L21" s="5"/>
      <c r="M21" s="15" t="str">
        <f aca="false">IF(C21="","",IF(K21="","Sem medição",IF(OR(AND(H21&lt;&gt;"",K21&lt;H21),AND(I21&lt;&gt;"",K21&gt;I21)),"Fora","Dentro")))</f>
        <v/>
      </c>
      <c r="N21" s="16" t="str">
        <f aca="false">IF(C21="","",IF(F21="","Falta por que afeta o produto",IF(J21="","Falta como é controlado",IF(AND(H21="",I21=""),"Falta o limite",IF(M21="Sem medição","Falta a medição",IF(AND(M21="Fora",L21=""),"Fora do limite: falta a ação","OK"))))))</f>
        <v/>
      </c>
    </row>
    <row r="22" customFormat="false" ht="30" hidden="false" customHeight="true" outlineLevel="0" collapsed="false">
      <c r="B22" s="11" t="n">
        <v>16</v>
      </c>
      <c r="C22" s="5"/>
      <c r="D22" s="23"/>
      <c r="E22" s="5"/>
      <c r="F22" s="5"/>
      <c r="G22" s="23"/>
      <c r="H22" s="12"/>
      <c r="I22" s="12"/>
      <c r="J22" s="5"/>
      <c r="K22" s="12"/>
      <c r="L22" s="5"/>
      <c r="M22" s="15" t="str">
        <f aca="false">IF(C22="","",IF(K22="","Sem medição",IF(OR(AND(H22&lt;&gt;"",K22&lt;H22),AND(I22&lt;&gt;"",K22&gt;I22)),"Fora","Dentro")))</f>
        <v/>
      </c>
      <c r="N22" s="16" t="str">
        <f aca="false">IF(C22="","",IF(F22="","Falta por que afeta o produto",IF(J22="","Falta como é controlado",IF(AND(H22="",I22=""),"Falta o limite",IF(M22="Sem medição","Falta a medição",IF(AND(M22="Fora",L22=""),"Fora do limite: falta a ação","OK"))))))</f>
        <v/>
      </c>
    </row>
    <row r="23" customFormat="false" ht="30" hidden="false" customHeight="true" outlineLevel="0" collapsed="false">
      <c r="B23" s="11" t="n">
        <v>17</v>
      </c>
      <c r="C23" s="5"/>
      <c r="D23" s="23"/>
      <c r="E23" s="5"/>
      <c r="F23" s="5"/>
      <c r="G23" s="23"/>
      <c r="H23" s="12"/>
      <c r="I23" s="12"/>
      <c r="J23" s="5"/>
      <c r="K23" s="12"/>
      <c r="L23" s="5"/>
      <c r="M23" s="15" t="str">
        <f aca="false">IF(C23="","",IF(K23="","Sem medição",IF(OR(AND(H23&lt;&gt;"",K23&lt;H23),AND(I23&lt;&gt;"",K23&gt;I23)),"Fora","Dentro")))</f>
        <v/>
      </c>
      <c r="N23" s="16" t="str">
        <f aca="false">IF(C23="","",IF(F23="","Falta por que afeta o produto",IF(J23="","Falta como é controlado",IF(AND(H23="",I23=""),"Falta o limite",IF(M23="Sem medição","Falta a medição",IF(AND(M23="Fora",L23=""),"Fora do limite: falta a ação","OK"))))))</f>
        <v/>
      </c>
    </row>
    <row r="24" customFormat="false" ht="30" hidden="false" customHeight="true" outlineLevel="0" collapsed="false">
      <c r="B24" s="11" t="n">
        <v>18</v>
      </c>
      <c r="C24" s="5"/>
      <c r="D24" s="23"/>
      <c r="E24" s="5"/>
      <c r="F24" s="5"/>
      <c r="G24" s="23"/>
      <c r="H24" s="12"/>
      <c r="I24" s="12"/>
      <c r="J24" s="5"/>
      <c r="K24" s="12"/>
      <c r="L24" s="5"/>
      <c r="M24" s="15" t="str">
        <f aca="false">IF(C24="","",IF(K24="","Sem medição",IF(OR(AND(H24&lt;&gt;"",K24&lt;H24),AND(I24&lt;&gt;"",K24&gt;I24)),"Fora","Dentro")))</f>
        <v/>
      </c>
      <c r="N24" s="16" t="str">
        <f aca="false">IF(C24="","",IF(F24="","Falta por que afeta o produto",IF(J24="","Falta como é controlado",IF(AND(H24="",I24=""),"Falta o limite",IF(M24="Sem medição","Falta a medição",IF(AND(M24="Fora",L24=""),"Fora do limite: falta a ação","OK"))))))</f>
        <v/>
      </c>
    </row>
    <row r="25" customFormat="false" ht="30" hidden="false" customHeight="true" outlineLevel="0" collapsed="false">
      <c r="B25" s="11" t="n">
        <v>19</v>
      </c>
      <c r="C25" s="5"/>
      <c r="D25" s="23"/>
      <c r="E25" s="5"/>
      <c r="F25" s="5"/>
      <c r="G25" s="23"/>
      <c r="H25" s="12"/>
      <c r="I25" s="12"/>
      <c r="J25" s="5"/>
      <c r="K25" s="12"/>
      <c r="L25" s="5"/>
      <c r="M25" s="15" t="str">
        <f aca="false">IF(C25="","",IF(K25="","Sem medição",IF(OR(AND(H25&lt;&gt;"",K25&lt;H25),AND(I25&lt;&gt;"",K25&gt;I25)),"Fora","Dentro")))</f>
        <v/>
      </c>
      <c r="N25" s="16" t="str">
        <f aca="false">IF(C25="","",IF(F25="","Falta por que afeta o produto",IF(J25="","Falta como é controlado",IF(AND(H25="",I25=""),"Falta o limite",IF(M25="Sem medição","Falta a medição",IF(AND(M25="Fora",L25=""),"Fora do limite: falta a ação","OK"))))))</f>
        <v/>
      </c>
    </row>
    <row r="26" customFormat="false" ht="30" hidden="false" customHeight="true" outlineLevel="0" collapsed="false">
      <c r="B26" s="11" t="n">
        <v>20</v>
      </c>
      <c r="C26" s="5"/>
      <c r="D26" s="23"/>
      <c r="E26" s="5"/>
      <c r="F26" s="5"/>
      <c r="G26" s="23"/>
      <c r="H26" s="12"/>
      <c r="I26" s="12"/>
      <c r="J26" s="5"/>
      <c r="K26" s="12"/>
      <c r="L26" s="5"/>
      <c r="M26" s="15" t="str">
        <f aca="false">IF(C26="","",IF(K26="","Sem medição",IF(OR(AND(H26&lt;&gt;"",K26&lt;H26),AND(I26&lt;&gt;"",K26&gt;I26)),"Fora","Dentro")))</f>
        <v/>
      </c>
      <c r="N26" s="16" t="str">
        <f aca="false">IF(C26="","",IF(F26="","Falta por que afeta o produto",IF(J26="","Falta como é controlado",IF(AND(H26="",I26=""),"Falta o limite",IF(M26="Sem medição","Falta a medição",IF(AND(M26="Fora",L26=""),"Fora do limite: falta a ação","OK"))))))</f>
        <v/>
      </c>
    </row>
    <row r="27" customFormat="false" ht="30" hidden="false" customHeight="true" outlineLevel="0" collapsed="false">
      <c r="B27" s="11" t="n">
        <v>21</v>
      </c>
      <c r="C27" s="5"/>
      <c r="D27" s="23"/>
      <c r="E27" s="5"/>
      <c r="F27" s="5"/>
      <c r="G27" s="23"/>
      <c r="H27" s="12"/>
      <c r="I27" s="12"/>
      <c r="J27" s="5"/>
      <c r="K27" s="12"/>
      <c r="L27" s="5"/>
      <c r="M27" s="15" t="str">
        <f aca="false">IF(C27="","",IF(K27="","Sem medição",IF(OR(AND(H27&lt;&gt;"",K27&lt;H27),AND(I27&lt;&gt;"",K27&gt;I27)),"Fora","Dentro")))</f>
        <v/>
      </c>
      <c r="N27" s="16" t="str">
        <f aca="false">IF(C27="","",IF(F27="","Falta por que afeta o produto",IF(J27="","Falta como é controlado",IF(AND(H27="",I27=""),"Falta o limite",IF(M27="Sem medição","Falta a medição",IF(AND(M27="Fora",L27=""),"Fora do limite: falta a ação","OK"))))))</f>
        <v/>
      </c>
    </row>
    <row r="28" customFormat="false" ht="30" hidden="false" customHeight="true" outlineLevel="0" collapsed="false">
      <c r="B28" s="11" t="n">
        <v>22</v>
      </c>
      <c r="C28" s="5"/>
      <c r="D28" s="23"/>
      <c r="E28" s="5"/>
      <c r="F28" s="5"/>
      <c r="G28" s="23"/>
      <c r="H28" s="12"/>
      <c r="I28" s="12"/>
      <c r="J28" s="5"/>
      <c r="K28" s="12"/>
      <c r="L28" s="5"/>
      <c r="M28" s="15" t="str">
        <f aca="false">IF(C28="","",IF(K28="","Sem medição",IF(OR(AND(H28&lt;&gt;"",K28&lt;H28),AND(I28&lt;&gt;"",K28&gt;I28)),"Fora","Dentro")))</f>
        <v/>
      </c>
      <c r="N28" s="16" t="str">
        <f aca="false">IF(C28="","",IF(F28="","Falta por que afeta o produto",IF(J28="","Falta como é controlado",IF(AND(H28="",I28=""),"Falta o limite",IF(M28="Sem medição","Falta a medição",IF(AND(M28="Fora",L28=""),"Fora do limite: falta a ação","OK"))))))</f>
        <v/>
      </c>
    </row>
    <row r="29" customFormat="false" ht="30" hidden="false" customHeight="true" outlineLevel="0" collapsed="false">
      <c r="B29" s="11" t="n">
        <v>23</v>
      </c>
      <c r="C29" s="5"/>
      <c r="D29" s="23"/>
      <c r="E29" s="5"/>
      <c r="F29" s="5"/>
      <c r="G29" s="23"/>
      <c r="H29" s="12"/>
      <c r="I29" s="12"/>
      <c r="J29" s="5"/>
      <c r="K29" s="12"/>
      <c r="L29" s="5"/>
      <c r="M29" s="15" t="str">
        <f aca="false">IF(C29="","",IF(K29="","Sem medição",IF(OR(AND(H29&lt;&gt;"",K29&lt;H29),AND(I29&lt;&gt;"",K29&gt;I29)),"Fora","Dentro")))</f>
        <v/>
      </c>
      <c r="N29" s="16" t="str">
        <f aca="false">IF(C29="","",IF(F29="","Falta por que afeta o produto",IF(J29="","Falta como é controlado",IF(AND(H29="",I29=""),"Falta o limite",IF(M29="Sem medição","Falta a medição",IF(AND(M29="Fora",L29=""),"Fora do limite: falta a ação","OK"))))))</f>
        <v/>
      </c>
    </row>
    <row r="30" customFormat="false" ht="30" hidden="false" customHeight="true" outlineLevel="0" collapsed="false">
      <c r="B30" s="11" t="n">
        <v>24</v>
      </c>
      <c r="C30" s="5"/>
      <c r="D30" s="23"/>
      <c r="E30" s="5"/>
      <c r="F30" s="5"/>
      <c r="G30" s="23"/>
      <c r="H30" s="12"/>
      <c r="I30" s="12"/>
      <c r="J30" s="5"/>
      <c r="K30" s="12"/>
      <c r="L30" s="5"/>
      <c r="M30" s="15" t="str">
        <f aca="false">IF(C30="","",IF(K30="","Sem medição",IF(OR(AND(H30&lt;&gt;"",K30&lt;H30),AND(I30&lt;&gt;"",K30&gt;I30)),"Fora","Dentro")))</f>
        <v/>
      </c>
      <c r="N30" s="16" t="str">
        <f aca="false">IF(C30="","",IF(F30="","Falta por que afeta o produto",IF(J30="","Falta como é controlado",IF(AND(H30="",I30=""),"Falta o limite",IF(M30="Sem medição","Falta a medição",IF(AND(M30="Fora",L30=""),"Fora do limite: falta a ação","OK"))))))</f>
        <v/>
      </c>
    </row>
    <row r="31" customFormat="false" ht="30" hidden="false" customHeight="true" outlineLevel="0" collapsed="false">
      <c r="B31" s="11" t="n">
        <v>25</v>
      </c>
      <c r="C31" s="5"/>
      <c r="D31" s="23"/>
      <c r="E31" s="5"/>
      <c r="F31" s="5"/>
      <c r="G31" s="23"/>
      <c r="H31" s="12"/>
      <c r="I31" s="12"/>
      <c r="J31" s="5"/>
      <c r="K31" s="12"/>
      <c r="L31" s="5"/>
      <c r="M31" s="15" t="str">
        <f aca="false">IF(C31="","",IF(K31="","Sem medição",IF(OR(AND(H31&lt;&gt;"",K31&lt;H31),AND(I31&lt;&gt;"",K31&gt;I31)),"Fora","Dentro")))</f>
        <v/>
      </c>
      <c r="N31" s="16" t="str">
        <f aca="false">IF(C31="","",IF(F31="","Falta por que afeta o produto",IF(J31="","Falta como é controlado",IF(AND(H31="",I31=""),"Falta o limite",IF(M31="Sem medição","Falta a medição",IF(AND(M31="Fora",L31=""),"Fora do limite: falta a ação","OK"))))))</f>
        <v/>
      </c>
    </row>
    <row r="32" customFormat="false" ht="30" hidden="false" customHeight="true" outlineLevel="0" collapsed="false">
      <c r="B32" s="11" t="n">
        <v>26</v>
      </c>
      <c r="C32" s="5"/>
      <c r="D32" s="23"/>
      <c r="E32" s="5"/>
      <c r="F32" s="5"/>
      <c r="G32" s="23"/>
      <c r="H32" s="12"/>
      <c r="I32" s="12"/>
      <c r="J32" s="5"/>
      <c r="K32" s="12"/>
      <c r="L32" s="5"/>
      <c r="M32" s="15" t="str">
        <f aca="false">IF(C32="","",IF(K32="","Sem medição",IF(OR(AND(H32&lt;&gt;"",K32&lt;H32),AND(I32&lt;&gt;"",K32&gt;I32)),"Fora","Dentro")))</f>
        <v/>
      </c>
      <c r="N32" s="16" t="str">
        <f aca="false">IF(C32="","",IF(F32="","Falta por que afeta o produto",IF(J32="","Falta como é controlado",IF(AND(H32="",I32=""),"Falta o limite",IF(M32="Sem medição","Falta a medição",IF(AND(M32="Fora",L32=""),"Fora do limite: falta a ação","OK"))))))</f>
        <v/>
      </c>
    </row>
    <row r="33" customFormat="false" ht="30" hidden="false" customHeight="true" outlineLevel="0" collapsed="false">
      <c r="B33" s="11" t="n">
        <v>27</v>
      </c>
      <c r="C33" s="5"/>
      <c r="D33" s="23"/>
      <c r="E33" s="5"/>
      <c r="F33" s="5"/>
      <c r="G33" s="23"/>
      <c r="H33" s="12"/>
      <c r="I33" s="12"/>
      <c r="J33" s="5"/>
      <c r="K33" s="12"/>
      <c r="L33" s="5"/>
      <c r="M33" s="15" t="str">
        <f aca="false">IF(C33="","",IF(K33="","Sem medição",IF(OR(AND(H33&lt;&gt;"",K33&lt;H33),AND(I33&lt;&gt;"",K33&gt;I33)),"Fora","Dentro")))</f>
        <v/>
      </c>
      <c r="N33" s="16" t="str">
        <f aca="false">IF(C33="","",IF(F33="","Falta por que afeta o produto",IF(J33="","Falta como é controlado",IF(AND(H33="",I33=""),"Falta o limite",IF(M33="Sem medição","Falta a medição",IF(AND(M33="Fora",L33=""),"Fora do limite: falta a ação","OK"))))))</f>
        <v/>
      </c>
    </row>
    <row r="34" customFormat="false" ht="30" hidden="false" customHeight="true" outlineLevel="0" collapsed="false">
      <c r="B34" s="11" t="n">
        <v>28</v>
      </c>
      <c r="C34" s="5"/>
      <c r="D34" s="23"/>
      <c r="E34" s="5"/>
      <c r="F34" s="5"/>
      <c r="G34" s="23"/>
      <c r="H34" s="12"/>
      <c r="I34" s="12"/>
      <c r="J34" s="5"/>
      <c r="K34" s="12"/>
      <c r="L34" s="5"/>
      <c r="M34" s="15" t="str">
        <f aca="false">IF(C34="","",IF(K34="","Sem medição",IF(OR(AND(H34&lt;&gt;"",K34&lt;H34),AND(I34&lt;&gt;"",K34&gt;I34)),"Fora","Dentro")))</f>
        <v/>
      </c>
      <c r="N34" s="16" t="str">
        <f aca="false">IF(C34="","",IF(F34="","Falta por que afeta o produto",IF(J34="","Falta como é controlado",IF(AND(H34="",I34=""),"Falta o limite",IF(M34="Sem medição","Falta a medição",IF(AND(M34="Fora",L34=""),"Fora do limite: falta a ação","OK"))))))</f>
        <v/>
      </c>
    </row>
    <row r="35" customFormat="false" ht="30" hidden="false" customHeight="true" outlineLevel="0" collapsed="false">
      <c r="B35" s="11" t="n">
        <v>29</v>
      </c>
      <c r="C35" s="5"/>
      <c r="D35" s="23"/>
      <c r="E35" s="5"/>
      <c r="F35" s="5"/>
      <c r="G35" s="23"/>
      <c r="H35" s="12"/>
      <c r="I35" s="12"/>
      <c r="J35" s="5"/>
      <c r="K35" s="12"/>
      <c r="L35" s="5"/>
      <c r="M35" s="15" t="str">
        <f aca="false">IF(C35="","",IF(K35="","Sem medição",IF(OR(AND(H35&lt;&gt;"",K35&lt;H35),AND(I35&lt;&gt;"",K35&gt;I35)),"Fora","Dentro")))</f>
        <v/>
      </c>
      <c r="N35" s="16" t="str">
        <f aca="false">IF(C35="","",IF(F35="","Falta por que afeta o produto",IF(J35="","Falta como é controlado",IF(AND(H35="",I35=""),"Falta o limite",IF(M35="Sem medição","Falta a medição",IF(AND(M35="Fora",L35=""),"Fora do limite: falta a ação","OK"))))))</f>
        <v/>
      </c>
    </row>
    <row r="36" customFormat="false" ht="30" hidden="false" customHeight="true" outlineLevel="0" collapsed="false">
      <c r="B36" s="11" t="n">
        <v>30</v>
      </c>
      <c r="C36" s="5"/>
      <c r="D36" s="23"/>
      <c r="E36" s="5"/>
      <c r="F36" s="5"/>
      <c r="G36" s="23"/>
      <c r="H36" s="12"/>
      <c r="I36" s="12"/>
      <c r="J36" s="5"/>
      <c r="K36" s="12"/>
      <c r="L36" s="5"/>
      <c r="M36" s="15" t="str">
        <f aca="false">IF(C36="","",IF(K36="","Sem medição",IF(OR(AND(H36&lt;&gt;"",K36&lt;H36),AND(I36&lt;&gt;"",K36&gt;I36)),"Fora","Dentro")))</f>
        <v/>
      </c>
      <c r="N36" s="16" t="str">
        <f aca="false">IF(C36="","",IF(F36="","Falta por que afeta o produto",IF(J36="","Falta como é controlado",IF(AND(H36="",I36=""),"Falta o limite",IF(M36="Sem medição","Falta a medição",IF(AND(M36="Fora",L36=""),"Fora do limite: falta a ação","OK"))))))</f>
        <v/>
      </c>
    </row>
    <row r="38" customFormat="false" ht="21.75" hidden="false" customHeight="true" outlineLevel="0" collapsed="false">
      <c r="B38" s="17" t="s">
        <v>99</v>
      </c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</row>
    <row r="39" customFormat="false" ht="21.75" hidden="false" customHeight="true" outlineLevel="0" collapsed="false">
      <c r="B39" s="18" t="s">
        <v>169</v>
      </c>
      <c r="C39" s="18"/>
      <c r="D39" s="18"/>
      <c r="E39" s="19" t="str">
        <f aca="false">COUNTA(C7:C36)&amp;" fatores: "&amp;COUNTIF(D7:D36,"Físico")&amp;" físicos, "&amp;COUNTIF(D7:D36,"Social")&amp;" sociais, "&amp;COUNTIF(D7:D36,"Psicológico")&amp;" psicológicos"</f>
        <v>0 fatores: 0 físicos, 0 sociais, 0 psicológicos</v>
      </c>
      <c r="F39" s="19"/>
      <c r="G39" s="19"/>
      <c r="H39" s="19"/>
      <c r="I39" s="19"/>
      <c r="J39" s="19"/>
      <c r="K39" s="19"/>
      <c r="L39" s="19"/>
      <c r="M39" s="19"/>
      <c r="N39" s="19"/>
    </row>
    <row r="40" customFormat="false" ht="21.75" hidden="false" customHeight="true" outlineLevel="0" collapsed="false">
      <c r="B40" s="18" t="s">
        <v>85</v>
      </c>
      <c r="C40" s="18"/>
      <c r="D40" s="18"/>
      <c r="E40" s="19" t="str">
        <f aca="false">COUNTIF(M7:M36,"Dentro")&amp;" dentro"&amp;", "&amp;COUNTIF(M7:M36,"Fora")&amp;" fora"&amp;", "&amp;COUNTIF(M7:M36,"Sem medição")&amp;" sem medição"</f>
        <v>0 dentro, 0 fora, 0 sem medição</v>
      </c>
      <c r="F40" s="19"/>
      <c r="G40" s="19"/>
      <c r="H40" s="19"/>
      <c r="I40" s="19"/>
      <c r="J40" s="19"/>
      <c r="K40" s="19"/>
      <c r="L40" s="19"/>
      <c r="M40" s="19"/>
      <c r="N40" s="19"/>
    </row>
    <row r="41" customFormat="false" ht="21.75" hidden="false" customHeight="true" outlineLevel="0" collapsed="false">
      <c r="B41" s="18" t="s">
        <v>102</v>
      </c>
      <c r="C41" s="18"/>
      <c r="D41" s="18"/>
      <c r="E41" s="20" t="str">
        <f aca="false">IF(COUNTA(C7:C36)=0,"Liste os fatores do ambiente",IF(COUNTIF(N7:N36,"Fora do limite: falta a ação")&gt;0,"Há fator fora do limite sem ação",IF(SUMPRODUCT((N7:N36&lt;&gt;"")*(N7:N36&lt;&gt;"OK"))&gt;0,"Há fator a completar: veja a coluna Conferência",IF(COUNTIF(M7:M36,"Fora")&gt;0,"Há fator fora do limite, com ação: acompanhe","OK"))))</f>
        <v>Liste os fatores do ambiente</v>
      </c>
      <c r="F41" s="20"/>
      <c r="G41" s="20"/>
      <c r="H41" s="20"/>
      <c r="I41" s="20"/>
      <c r="J41" s="20"/>
      <c r="K41" s="20"/>
      <c r="L41" s="20"/>
      <c r="M41" s="20"/>
      <c r="N41" s="20"/>
    </row>
  </sheetData>
  <mergeCells count="9">
    <mergeCell ref="B1:N1"/>
    <mergeCell ref="B2:N2"/>
    <mergeCell ref="B38:N38"/>
    <mergeCell ref="B39:D39"/>
    <mergeCell ref="E39:N39"/>
    <mergeCell ref="B40:D40"/>
    <mergeCell ref="E40:N40"/>
    <mergeCell ref="B41:D41"/>
    <mergeCell ref="E41:N41"/>
  </mergeCells>
  <conditionalFormatting sqref="M7:M36">
    <cfRule type="expression" priority="2" aboveAverage="0" equalAverage="0" bottom="0" percent="0" rank="0" text="" dxfId="2">
      <formula>M7="Dentro"</formula>
    </cfRule>
    <cfRule type="expression" priority="3" aboveAverage="0" equalAverage="0" bottom="0" percent="0" rank="0" text="" dxfId="0">
      <formula>M7="Fora"</formula>
    </cfRule>
    <cfRule type="expression" priority="4" aboveAverage="0" equalAverage="0" bottom="0" percent="0" rank="0" text="" dxfId="1">
      <formula>M7="Sem medição"</formula>
    </cfRule>
  </conditionalFormatting>
  <conditionalFormatting sqref="N7:N36">
    <cfRule type="expression" priority="5" aboveAverage="0" equalAverage="0" bottom="0" percent="0" rank="0" text="" dxfId="2">
      <formula>N7="OK"</formula>
    </cfRule>
    <cfRule type="expression" priority="6" aboveAverage="0" equalAverage="0" bottom="0" percent="0" rank="0" text="" dxfId="0">
      <formula>N7="Fora do limite: falta a ação"</formula>
    </cfRule>
    <cfRule type="expression" priority="7" aboveAverage="0" equalAverage="0" bottom="0" percent="0" rank="0" text="" dxfId="3">
      <formula>LEN(N7)&gt;0</formula>
    </cfRule>
  </conditionalFormatting>
  <conditionalFormatting sqref="E41:N41">
    <cfRule type="expression" priority="8" aboveAverage="0" equalAverage="0" bottom="0" percent="0" rank="0" text="" dxfId="2">
      <formula>OR(E41="OK")</formula>
    </cfRule>
    <cfRule type="expression" priority="9" aboveAverage="0" equalAverage="0" bottom="0" percent="0" rank="0" text="" dxfId="3">
      <formula>AND(LEN(E41)&gt;0,NOT(OR(E41="OK")))</formula>
    </cfRule>
  </conditionalFormatting>
  <dataValidations count="3">
    <dataValidation allowBlank="true" error="Escolha uma das opções da lista." errorStyle="stop" errorTitle="Valor inválido" operator="between" prompt="Físico, social ou psicológico" promptTitle="Opções" showDropDown="false" showErrorMessage="true" showInputMessage="true" sqref="D7:D36" type="list">
      <formula1>"Físico,Social,Psicológico"</formula1>
      <formula2>0</formula2>
    </dataValidation>
    <dataValidation allowBlank="true" error="Digite apenas o número, sem texto nem unidade." errorStyle="stop" errorTitle="Valor inválido" operator="between" showDropDown="false" showErrorMessage="true" showInputMessage="false" sqref="H7:I36" type="decimal">
      <formula1>-1000000000</formula1>
      <formula2>1000000000</formula2>
    </dataValidation>
    <dataValidation allowBlank="true" error="Digite apenas o número, sem texto nem unidade." errorStyle="stop" errorTitle="Valor inválido" operator="between" showDropDown="false" showErrorMessage="true" showInputMessage="false" sqref="K7:K36" type="decimal">
      <formula1>-1000000000</formula1>
      <formula2>1000000000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0413E"/>
    <pageSetUpPr fitToPage="true"/>
  </sheetPr>
  <dimension ref="B1:F3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5" min="3" style="0" width="14"/>
    <col collapsed="false" customWidth="true" hidden="false" outlineLevel="0" max="6" min="6" style="0" width="34"/>
    <col collapsed="false" customWidth="true" hidden="false" outlineLevel="0" max="7" min="7" style="0" width="2"/>
  </cols>
  <sheetData>
    <row r="1" customFormat="false" ht="31.5" hidden="false" customHeight="true" outlineLevel="0" collapsed="false">
      <c r="B1" s="1" t="s">
        <v>170</v>
      </c>
      <c r="C1" s="1"/>
      <c r="D1" s="1"/>
      <c r="E1" s="1"/>
      <c r="F1" s="1"/>
    </row>
    <row r="2" customFormat="false" ht="19.5" hidden="false" customHeight="true" outlineLevel="0" collapsed="false">
      <c r="B2" s="2" t="s">
        <v>171</v>
      </c>
      <c r="C2" s="2"/>
      <c r="D2" s="2"/>
      <c r="E2" s="2"/>
      <c r="F2" s="2"/>
    </row>
    <row r="3" customFormat="false" ht="15" hidden="false" customHeight="false" outlineLevel="0" collapsed="false">
      <c r="B3" s="4" t="s">
        <v>172</v>
      </c>
      <c r="C3" s="28" t="str">
        <f aca="false">IF(Infraestrutura!$E$4="","",Infraestrutura!$E$4)</f>
        <v/>
      </c>
      <c r="D3" s="28" t="str">
        <f aca="false">IF(Infraestrutura!$E$5="","",Infraestrutura!$E$5)</f>
        <v/>
      </c>
    </row>
    <row r="5" customFormat="false" ht="21.75" hidden="false" customHeight="true" outlineLevel="0" collapsed="false">
      <c r="B5" s="8" t="s">
        <v>173</v>
      </c>
      <c r="C5" s="8" t="s">
        <v>174</v>
      </c>
      <c r="D5" s="8" t="s">
        <v>175</v>
      </c>
      <c r="E5" s="8"/>
      <c r="F5" s="8"/>
    </row>
    <row r="6" customFormat="false" ht="21.75" hidden="false" customHeight="true" outlineLevel="0" collapsed="false">
      <c r="B6" s="29" t="s">
        <v>176</v>
      </c>
      <c r="C6" s="29"/>
      <c r="D6" s="29"/>
      <c r="E6" s="29"/>
      <c r="F6" s="29"/>
    </row>
    <row r="7" customFormat="false" ht="21.75" hidden="false" customHeight="true" outlineLevel="0" collapsed="false">
      <c r="B7" s="4" t="s">
        <v>100</v>
      </c>
      <c r="C7" s="13" t="n">
        <f aca="false">COUNTA(Pessoas!C7:C36)</f>
        <v>0</v>
      </c>
      <c r="D7" s="30" t="s">
        <v>177</v>
      </c>
      <c r="E7" s="30"/>
      <c r="F7" s="30"/>
    </row>
    <row r="8" customFormat="false" ht="21.75" hidden="false" customHeight="true" outlineLevel="0" collapsed="false">
      <c r="B8" s="4" t="s">
        <v>101</v>
      </c>
      <c r="C8" s="13" t="n">
        <f aca="false">COUNTIF(Pessoas!L7:L36,"Falta gente")</f>
        <v>0</v>
      </c>
      <c r="D8" s="30" t="s">
        <v>178</v>
      </c>
      <c r="E8" s="30"/>
      <c r="F8" s="30"/>
    </row>
    <row r="9" customFormat="false" ht="21.75" hidden="false" customHeight="true" outlineLevel="0" collapsed="false">
      <c r="B9" s="4" t="s">
        <v>179</v>
      </c>
      <c r="C9" s="13" t="n">
        <f aca="false">-SUMIF(Pessoas!K7:K36,"&lt;0")</f>
        <v>-0</v>
      </c>
      <c r="D9" s="30" t="s">
        <v>180</v>
      </c>
      <c r="E9" s="30"/>
      <c r="F9" s="30"/>
    </row>
    <row r="10" customFormat="false" ht="21.75" hidden="false" customHeight="true" outlineLevel="0" collapsed="false">
      <c r="B10" s="4" t="s">
        <v>181</v>
      </c>
      <c r="C10" s="13" t="n">
        <f aca="false">COUNTIF(Pessoas!M7:M36,"Sem pessoa qualificada na escala")</f>
        <v>0</v>
      </c>
      <c r="D10" s="30" t="s">
        <v>182</v>
      </c>
      <c r="E10" s="30"/>
      <c r="F10" s="30"/>
    </row>
    <row r="11" customFormat="false" ht="21.75" hidden="false" customHeight="true" outlineLevel="0" collapsed="false">
      <c r="B11" s="29" t="s">
        <v>183</v>
      </c>
      <c r="C11" s="29"/>
      <c r="D11" s="29"/>
      <c r="E11" s="29"/>
      <c r="F11" s="29"/>
    </row>
    <row r="12" customFormat="false" ht="21.75" hidden="false" customHeight="true" outlineLevel="0" collapsed="false">
      <c r="B12" s="4" t="s">
        <v>125</v>
      </c>
      <c r="C12" s="13" t="n">
        <f aca="false">COUNTA(Infraestrutura!C10:C49)</f>
        <v>0</v>
      </c>
      <c r="D12" s="30" t="s">
        <v>184</v>
      </c>
      <c r="E12" s="30"/>
      <c r="F12" s="30"/>
    </row>
    <row r="13" customFormat="false" ht="21.75" hidden="false" customHeight="true" outlineLevel="0" collapsed="false">
      <c r="B13" s="4" t="s">
        <v>185</v>
      </c>
      <c r="C13" s="13" t="n">
        <f aca="false">COUNTIF(Infraestrutura!G10:G49,"Alta")</f>
        <v>0</v>
      </c>
      <c r="D13" s="30" t="s">
        <v>186</v>
      </c>
      <c r="E13" s="30"/>
      <c r="F13" s="30"/>
    </row>
    <row r="14" customFormat="false" ht="21.75" hidden="false" customHeight="true" outlineLevel="0" collapsed="false">
      <c r="B14" s="4" t="s">
        <v>24</v>
      </c>
      <c r="C14" s="13" t="n">
        <f aca="false">COUNTIF(Infraestrutura!M10:M49,"Atrasada")</f>
        <v>0</v>
      </c>
      <c r="D14" s="30" t="s">
        <v>187</v>
      </c>
      <c r="E14" s="30"/>
      <c r="F14" s="30"/>
    </row>
    <row r="15" customFormat="false" ht="21.75" hidden="false" customHeight="true" outlineLevel="0" collapsed="false">
      <c r="B15" s="4" t="s">
        <v>22</v>
      </c>
      <c r="C15" s="13" t="n">
        <f aca="false">COUNTIF(Infraestrutura!M10:M49,"Vence em 7 dias")</f>
        <v>0</v>
      </c>
      <c r="D15" s="30" t="s">
        <v>188</v>
      </c>
      <c r="E15" s="30"/>
      <c r="F15" s="30"/>
    </row>
    <row r="16" customFormat="false" ht="21.75" hidden="false" customHeight="true" outlineLevel="0" collapsed="false">
      <c r="B16" s="4" t="s">
        <v>189</v>
      </c>
      <c r="C16" s="13" t="n">
        <f aca="false">SUMPRODUCT((Infraestrutura!G10:G49="Alta")*(Infraestrutura!J10:J49=""))</f>
        <v>0</v>
      </c>
      <c r="D16" s="30" t="s">
        <v>190</v>
      </c>
      <c r="E16" s="30"/>
      <c r="F16" s="30"/>
    </row>
    <row r="17" customFormat="false" ht="21.75" hidden="false" customHeight="true" outlineLevel="0" collapsed="false">
      <c r="B17" s="4" t="s">
        <v>191</v>
      </c>
      <c r="C17" s="13" t="n">
        <f aca="false">IF(ISNUMBER(Infraestrutura!$E$6),COUNTIF(Infraestrutura!P10:P49,"&lt;"&amp;(Infraestrutura!$E$6-0.000000001)),0)</f>
        <v>0</v>
      </c>
      <c r="D17" s="30" t="s">
        <v>192</v>
      </c>
      <c r="E17" s="30"/>
      <c r="F17" s="30"/>
    </row>
    <row r="18" customFormat="false" ht="21.75" hidden="false" customHeight="true" outlineLevel="0" collapsed="false">
      <c r="B18" s="4" t="s">
        <v>127</v>
      </c>
      <c r="C18" s="13" t="n">
        <f aca="false">SUM(Infraestrutura!N10:N49)</f>
        <v>0</v>
      </c>
      <c r="D18" s="30" t="s">
        <v>193</v>
      </c>
      <c r="E18" s="30"/>
      <c r="F18" s="30"/>
    </row>
    <row r="19" customFormat="false" ht="21.75" hidden="false" customHeight="true" outlineLevel="0" collapsed="false">
      <c r="B19" s="4" t="s">
        <v>194</v>
      </c>
      <c r="C19" s="13" t="n">
        <f aca="false">SUM(Infraestrutura!O10:O49)</f>
        <v>0</v>
      </c>
      <c r="D19" s="30" t="s">
        <v>195</v>
      </c>
      <c r="E19" s="30"/>
      <c r="F19" s="30"/>
    </row>
    <row r="20" customFormat="false" ht="21.75" hidden="false" customHeight="true" outlineLevel="0" collapsed="false">
      <c r="B20" s="29" t="s">
        <v>196</v>
      </c>
      <c r="C20" s="29"/>
      <c r="D20" s="29"/>
      <c r="E20" s="29"/>
      <c r="F20" s="29"/>
    </row>
    <row r="21" customFormat="false" ht="21.75" hidden="false" customHeight="true" outlineLevel="0" collapsed="false">
      <c r="B21" s="4" t="s">
        <v>197</v>
      </c>
      <c r="C21" s="13" t="n">
        <f aca="false">IF(OR(Infraestrutura!$E$4="",Infraestrutura!$E$5=""),0,COUNTIFS(Manutenções!F7:F86,"Corretiva",Manutenções!K7:K86,"Sim",Manutenções!C7:C86,"&gt;="&amp;Infraestrutura!$E$4,Manutenções!C7:C86,"&lt;="&amp;Infraestrutura!$E$5))</f>
        <v>0</v>
      </c>
      <c r="D21" s="30" t="s">
        <v>198</v>
      </c>
      <c r="E21" s="30"/>
      <c r="F21" s="30"/>
    </row>
    <row r="22" customFormat="false" ht="21.75" hidden="false" customHeight="true" outlineLevel="0" collapsed="false">
      <c r="B22" s="4" t="s">
        <v>199</v>
      </c>
      <c r="C22" s="13" t="n">
        <f aca="false">COUNTIF(Manutenções!M7:M86,"Produto afetado sem tratamento")</f>
        <v>0</v>
      </c>
      <c r="D22" s="30" t="s">
        <v>200</v>
      </c>
      <c r="E22" s="30"/>
      <c r="F22" s="30"/>
    </row>
    <row r="23" customFormat="false" ht="21.75" hidden="false" customHeight="true" outlineLevel="0" collapsed="false">
      <c r="B23" s="4" t="s">
        <v>201</v>
      </c>
      <c r="C23" s="13" t="n">
        <f aca="false">COUNTIF(Ambiente!M7:M36,"Fora")</f>
        <v>0</v>
      </c>
      <c r="D23" s="30" t="s">
        <v>202</v>
      </c>
      <c r="E23" s="30"/>
      <c r="F23" s="30"/>
    </row>
    <row r="24" customFormat="false" ht="21.75" hidden="false" customHeight="true" outlineLevel="0" collapsed="false">
      <c r="B24" s="4" t="s">
        <v>203</v>
      </c>
      <c r="C24" s="13" t="n">
        <f aca="false">COUNTIF(Ambiente!N7:N36,"Fora do limite: falta a ação")</f>
        <v>0</v>
      </c>
      <c r="D24" s="30" t="s">
        <v>204</v>
      </c>
      <c r="E24" s="30"/>
      <c r="F24" s="30"/>
    </row>
    <row r="25" customFormat="false" ht="21.75" hidden="false" customHeight="true" outlineLevel="0" collapsed="false">
      <c r="B25" s="4" t="s">
        <v>205</v>
      </c>
      <c r="C25" s="13" t="n">
        <f aca="false">COUNTIF(Ambiente!M7:M36,"Sem medição")</f>
        <v>0</v>
      </c>
      <c r="D25" s="30" t="s">
        <v>206</v>
      </c>
      <c r="E25" s="30"/>
      <c r="F25" s="30"/>
    </row>
    <row r="26" customFormat="false" ht="21.75" hidden="false" customHeight="true" outlineLevel="0" collapsed="false">
      <c r="B26" s="4" t="s">
        <v>207</v>
      </c>
      <c r="C26" s="13" t="n">
        <f aca="false">SUMPRODUCT((Pessoas!M7:M36&lt;&gt;"")*(Pessoas!M7:M36&lt;&gt;"OK"))+SUMPRODUCT((Infraestrutura!Q10:Q49&lt;&gt;"")*(Infraestrutura!Q10:Q49&lt;&gt;"OK"))+SUMPRODUCT((Manutenções!M7:M86&lt;&gt;"")*(Manutenções!M7:M86&lt;&gt;"OK"))+SUMPRODUCT((Ambiente!N7:N36&lt;&gt;"")*(Ambiente!N7:N36&lt;&gt;"OK"))</f>
        <v>0</v>
      </c>
      <c r="D26" s="30" t="s">
        <v>208</v>
      </c>
      <c r="E26" s="30"/>
      <c r="F26" s="30"/>
    </row>
    <row r="28" customFormat="false" ht="21.75" hidden="false" customHeight="true" outlineLevel="0" collapsed="false">
      <c r="B28" s="17" t="s">
        <v>99</v>
      </c>
      <c r="C28" s="17"/>
      <c r="D28" s="17"/>
      <c r="E28" s="17"/>
      <c r="F28" s="17"/>
    </row>
    <row r="29" customFormat="false" ht="21.75" hidden="false" customHeight="true" outlineLevel="0" collapsed="false">
      <c r="B29" s="4" t="s">
        <v>102</v>
      </c>
      <c r="C29" s="20" t="str">
        <f aca="false">IF(C7+C12+COUNTA(Ambiente!C7:C36)=0,"Preencha as abas Pessoas, Infraestrutura e Ambiente",IF(C22&gt;0,"Há produto afetado sem tratamento",IF(C8&gt;0,"Há função com falta de gente no pico",IF(C14&gt;0,"Há preventiva atrasada",IF(C16&gt;0,"Há item crítico sem contingência",IF(C24&gt;0,"Há fator do ambiente fora do limite sem ação",IF(C17&gt;0,"Há item abaixo da meta de disponibilidade",IF(C10&gt;0,"Há função sem pessoa qualificada na escala",IF(C26&gt;0,"Há linha a completar: veja as conferências","OK")))))))))</f>
        <v>Preencha as abas Pessoas, Infraestrutura e Ambiente</v>
      </c>
      <c r="D29" s="20"/>
      <c r="E29" s="20"/>
      <c r="F29" s="20"/>
    </row>
    <row r="30" customFormat="false" ht="15" hidden="false" customHeight="false" outlineLevel="0" collapsed="false">
      <c r="B30" s="31" t="s">
        <v>209</v>
      </c>
    </row>
    <row r="31" customFormat="false" ht="15" hidden="false" customHeight="false" outlineLevel="0" collapsed="false">
      <c r="B31" s="20" t="s">
        <v>20</v>
      </c>
      <c r="C31" s="14" t="n">
        <f aca="false">COUNTIF(Infraestrutura!M10:M49,B31)</f>
        <v>0</v>
      </c>
    </row>
    <row r="32" customFormat="false" ht="15" hidden="false" customHeight="false" outlineLevel="0" collapsed="false">
      <c r="B32" s="20" t="s">
        <v>22</v>
      </c>
      <c r="C32" s="14" t="n">
        <f aca="false">COUNTIF(Infraestrutura!M10:M49,B32)</f>
        <v>0</v>
      </c>
    </row>
    <row r="33" customFormat="false" ht="15" hidden="false" customHeight="false" outlineLevel="0" collapsed="false">
      <c r="B33" s="20" t="s">
        <v>24</v>
      </c>
      <c r="C33" s="14" t="n">
        <f aca="false">COUNTIF(Infraestrutura!M10:M49,B33)</f>
        <v>0</v>
      </c>
    </row>
    <row r="34" customFormat="false" ht="15" hidden="false" customHeight="false" outlineLevel="0" collapsed="false">
      <c r="B34" s="20" t="s">
        <v>26</v>
      </c>
      <c r="C34" s="14" t="n">
        <f aca="false">COUNTIF(Infraestrutura!M10:M49,B34)</f>
        <v>0</v>
      </c>
    </row>
  </sheetData>
  <mergeCells count="26">
    <mergeCell ref="B1:F1"/>
    <mergeCell ref="B2:F2"/>
    <mergeCell ref="D5:F5"/>
    <mergeCell ref="B6:F6"/>
    <mergeCell ref="D7:F7"/>
    <mergeCell ref="D8:F8"/>
    <mergeCell ref="D9:F9"/>
    <mergeCell ref="D10:F10"/>
    <mergeCell ref="B11:F11"/>
    <mergeCell ref="D12:F12"/>
    <mergeCell ref="D13:F13"/>
    <mergeCell ref="D14:F14"/>
    <mergeCell ref="D15:F15"/>
    <mergeCell ref="D16:F16"/>
    <mergeCell ref="D17:F17"/>
    <mergeCell ref="D18:F18"/>
    <mergeCell ref="D19:F19"/>
    <mergeCell ref="B20:F20"/>
    <mergeCell ref="D21:F21"/>
    <mergeCell ref="D22:F22"/>
    <mergeCell ref="D23:F23"/>
    <mergeCell ref="D24:F24"/>
    <mergeCell ref="D25:F25"/>
    <mergeCell ref="D26:F26"/>
    <mergeCell ref="B28:F28"/>
    <mergeCell ref="C29:F29"/>
  </mergeCells>
  <conditionalFormatting sqref="C29:F29">
    <cfRule type="expression" priority="2" aboveAverage="0" equalAverage="0" bottom="0" percent="0" rank="0" text="" dxfId="2">
      <formula>OR(C29="OK")</formula>
    </cfRule>
    <cfRule type="expression" priority="3" aboveAverage="0" equalAverage="0" bottom="0" percent="0" rank="0" text="" dxfId="3">
      <formula>AND(LEN(C29)&gt;0,NOT(OR(C29="OK")))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210</v>
      </c>
      <c r="C1" s="1"/>
      <c r="D1" s="1"/>
      <c r="E1" s="1"/>
    </row>
    <row r="2" customFormat="false" ht="19.5" hidden="false" customHeight="true" outlineLevel="0" collapsed="false">
      <c r="B2" s="2" t="s">
        <v>211</v>
      </c>
      <c r="C2" s="2"/>
      <c r="D2" s="2"/>
      <c r="E2" s="2"/>
    </row>
    <row r="4" customFormat="false" ht="21.75" hidden="false" customHeight="true" outlineLevel="0" collapsed="false">
      <c r="B4" s="8" t="s">
        <v>76</v>
      </c>
      <c r="C4" s="8" t="s">
        <v>212</v>
      </c>
      <c r="D4" s="8" t="s">
        <v>213</v>
      </c>
      <c r="E4" s="8" t="s">
        <v>214</v>
      </c>
    </row>
    <row r="5" customFormat="false" ht="30" hidden="false" customHeight="true" outlineLevel="0" collapsed="false">
      <c r="B5" s="11" t="n">
        <v>1</v>
      </c>
      <c r="C5" s="6" t="s">
        <v>215</v>
      </c>
      <c r="D5" s="23"/>
      <c r="E5" s="5"/>
    </row>
    <row r="6" customFormat="false" ht="30" hidden="false" customHeight="true" outlineLevel="0" collapsed="false">
      <c r="B6" s="11" t="n">
        <v>2</v>
      </c>
      <c r="C6" s="6" t="s">
        <v>216</v>
      </c>
      <c r="D6" s="23"/>
      <c r="E6" s="5"/>
    </row>
    <row r="7" customFormat="false" ht="30" hidden="false" customHeight="true" outlineLevel="0" collapsed="false">
      <c r="B7" s="11" t="n">
        <v>3</v>
      </c>
      <c r="C7" s="6" t="s">
        <v>217</v>
      </c>
      <c r="D7" s="23"/>
      <c r="E7" s="5"/>
    </row>
    <row r="8" customFormat="false" ht="30" hidden="false" customHeight="true" outlineLevel="0" collapsed="false">
      <c r="B8" s="11" t="n">
        <v>4</v>
      </c>
      <c r="C8" s="6" t="s">
        <v>218</v>
      </c>
      <c r="D8" s="23"/>
      <c r="E8" s="5"/>
    </row>
    <row r="9" customFormat="false" ht="30" hidden="false" customHeight="true" outlineLevel="0" collapsed="false">
      <c r="B9" s="11" t="n">
        <v>5</v>
      </c>
      <c r="C9" s="6" t="s">
        <v>219</v>
      </c>
      <c r="D9" s="23"/>
      <c r="E9" s="5"/>
    </row>
    <row r="10" customFormat="false" ht="30" hidden="false" customHeight="true" outlineLevel="0" collapsed="false">
      <c r="B10" s="11" t="n">
        <v>6</v>
      </c>
      <c r="C10" s="6" t="s">
        <v>220</v>
      </c>
      <c r="D10" s="23"/>
      <c r="E10" s="5"/>
    </row>
    <row r="11" customFormat="false" ht="30" hidden="false" customHeight="true" outlineLevel="0" collapsed="false">
      <c r="B11" s="11" t="n">
        <v>7</v>
      </c>
      <c r="C11" s="6" t="s">
        <v>221</v>
      </c>
      <c r="D11" s="23"/>
      <c r="E11" s="5"/>
    </row>
    <row r="12" customFormat="false" ht="30" hidden="false" customHeight="true" outlineLevel="0" collapsed="false">
      <c r="B12" s="11" t="n">
        <v>8</v>
      </c>
      <c r="C12" s="6" t="s">
        <v>222</v>
      </c>
      <c r="D12" s="23"/>
      <c r="E12" s="5"/>
    </row>
    <row r="13" customFormat="false" ht="30" hidden="false" customHeight="true" outlineLevel="0" collapsed="false">
      <c r="B13" s="11" t="n">
        <v>9</v>
      </c>
      <c r="C13" s="6" t="s">
        <v>223</v>
      </c>
      <c r="D13" s="23"/>
      <c r="E13" s="5"/>
    </row>
    <row r="14" customFormat="false" ht="30" hidden="false" customHeight="true" outlineLevel="0" collapsed="false">
      <c r="B14" s="11" t="n">
        <v>10</v>
      </c>
      <c r="C14" s="6" t="s">
        <v>224</v>
      </c>
      <c r="D14" s="23"/>
      <c r="E14" s="5"/>
    </row>
    <row r="15" customFormat="false" ht="30" hidden="false" customHeight="true" outlineLevel="0" collapsed="false">
      <c r="B15" s="11" t="n">
        <v>11</v>
      </c>
      <c r="C15" s="6" t="s">
        <v>225</v>
      </c>
      <c r="D15" s="23"/>
      <c r="E15" s="5"/>
    </row>
    <row r="16" customFormat="false" ht="30" hidden="false" customHeight="true" outlineLevel="0" collapsed="false">
      <c r="B16" s="11" t="n">
        <v>12</v>
      </c>
      <c r="C16" s="6" t="s">
        <v>226</v>
      </c>
      <c r="D16" s="23"/>
      <c r="E16" s="5"/>
    </row>
    <row r="18" customFormat="false" ht="21.75" hidden="false" customHeight="true" outlineLevel="0" collapsed="false">
      <c r="B18" s="17" t="s">
        <v>99</v>
      </c>
      <c r="C18" s="17"/>
      <c r="D18" s="17"/>
      <c r="E18" s="17"/>
    </row>
    <row r="19" customFormat="false" ht="19.5" hidden="false" customHeight="true" outlineLevel="0" collapsed="false">
      <c r="B19" s="18" t="s">
        <v>227</v>
      </c>
      <c r="C19" s="18"/>
      <c r="D19" s="13" t="n">
        <f aca="false">COUNTIF(D5:D16,"Sim")</f>
        <v>0</v>
      </c>
    </row>
    <row r="20" customFormat="false" ht="19.5" hidden="false" customHeight="true" outlineLevel="0" collapsed="false">
      <c r="B20" s="18" t="s">
        <v>228</v>
      </c>
      <c r="C20" s="18"/>
      <c r="D20" s="13" t="n">
        <f aca="false">COUNTIF(D5:D16,"Parcial")</f>
        <v>0</v>
      </c>
    </row>
    <row r="21" customFormat="false" ht="19.5" hidden="false" customHeight="true" outlineLevel="0" collapsed="false">
      <c r="B21" s="18" t="s">
        <v>229</v>
      </c>
      <c r="C21" s="18"/>
      <c r="D21" s="13" t="n">
        <f aca="false">COUNTIF(D5:D16,"Não")</f>
        <v>0</v>
      </c>
    </row>
    <row r="22" customFormat="false" ht="19.5" hidden="false" customHeight="true" outlineLevel="0" collapsed="false">
      <c r="B22" s="18" t="s">
        <v>230</v>
      </c>
      <c r="C22" s="18"/>
      <c r="D22" s="13" t="n">
        <f aca="false">COUNTBLANK(D5:D16)</f>
        <v>12</v>
      </c>
    </row>
    <row r="23" customFormat="false" ht="19.5" hidden="false" customHeight="true" outlineLevel="0" collapsed="false">
      <c r="B23" s="18" t="s">
        <v>231</v>
      </c>
      <c r="C23" s="18"/>
      <c r="D23" s="32" t="n">
        <f aca="false">D19/ROWS(D5:D16)</f>
        <v>0</v>
      </c>
    </row>
    <row r="24" customFormat="false" ht="19.5" hidden="false" customHeight="true" outlineLevel="0" collapsed="false">
      <c r="B24" s="18" t="s">
        <v>85</v>
      </c>
      <c r="C24" s="18"/>
      <c r="D24" s="13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2">
      <formula>"Sim"</formula>
    </cfRule>
    <cfRule type="cellIs" priority="3" operator="equal" aboveAverage="0" equalAverage="0" bottom="0" percent="0" rank="0" text="" dxfId="3">
      <formula>"Parcial"</formula>
    </cfRule>
    <cfRule type="cellIs" priority="4" operator="equal" aboveAverage="0" equalAverage="0" bottom="0" percent="0" rank="0" text="" dxfId="0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6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9" min="6" style="0" width="11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4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232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233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234</v>
      </c>
      <c r="C4" s="4"/>
      <c r="D4" s="33" t="s">
        <v>235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customFormat="false" ht="19.5" hidden="false" customHeight="true" outlineLevel="0" collapsed="false">
      <c r="B5" s="4" t="s">
        <v>236</v>
      </c>
      <c r="C5" s="4"/>
      <c r="D5" s="33" t="s">
        <v>237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customFormat="false" ht="19.5" hidden="false" customHeight="true" outlineLevel="0" collapsed="false">
      <c r="B6" s="4" t="s">
        <v>70</v>
      </c>
      <c r="C6" s="4"/>
      <c r="D6" s="33" t="s">
        <v>238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customFormat="false" ht="30.75" hidden="false" customHeight="true" outlineLevel="0" collapsed="false">
      <c r="B7" s="4" t="s">
        <v>239</v>
      </c>
      <c r="C7" s="4"/>
      <c r="D7" s="33" t="s">
        <v>240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customFormat="false" ht="15" hidden="false" customHeight="true" outlineLevel="0" collapsed="false">
      <c r="B8" s="4" t="s">
        <v>104</v>
      </c>
      <c r="C8" s="4"/>
      <c r="D8" s="34" t="n">
        <v>46478</v>
      </c>
    </row>
    <row r="9" customFormat="false" ht="15" hidden="false" customHeight="true" outlineLevel="0" collapsed="false">
      <c r="B9" s="4" t="s">
        <v>106</v>
      </c>
      <c r="C9" s="4"/>
      <c r="D9" s="34" t="n">
        <v>46507</v>
      </c>
    </row>
    <row r="10" customFormat="false" ht="15" hidden="false" customHeight="true" outlineLevel="0" collapsed="false">
      <c r="B10" s="4" t="s">
        <v>108</v>
      </c>
      <c r="C10" s="4"/>
      <c r="D10" s="35" t="n">
        <v>0.97</v>
      </c>
    </row>
    <row r="12" customFormat="false" ht="21.75" hidden="false" customHeight="true" outlineLevel="0" collapsed="false">
      <c r="B12" s="36" t="s">
        <v>74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customFormat="false" ht="30" hidden="false" customHeight="true" outlineLevel="0" collapsed="false">
      <c r="B13" s="37" t="s">
        <v>77</v>
      </c>
      <c r="C13" s="37"/>
      <c r="D13" s="13" t="s">
        <v>78</v>
      </c>
      <c r="E13" s="13" t="s">
        <v>152</v>
      </c>
      <c r="F13" s="13" t="s">
        <v>241</v>
      </c>
      <c r="G13" s="13" t="s">
        <v>242</v>
      </c>
      <c r="H13" s="13" t="s">
        <v>82</v>
      </c>
      <c r="I13" s="13" t="s">
        <v>83</v>
      </c>
      <c r="J13" s="13" t="s">
        <v>84</v>
      </c>
      <c r="K13" s="13" t="s">
        <v>16</v>
      </c>
      <c r="L13" s="13" t="s">
        <v>85</v>
      </c>
      <c r="M13" s="37" t="s">
        <v>86</v>
      </c>
      <c r="N13" s="37"/>
      <c r="O13" s="37"/>
      <c r="P13" s="37"/>
      <c r="Q13" s="37"/>
    </row>
    <row r="14" customFormat="false" ht="30.75" hidden="false" customHeight="true" outlineLevel="0" collapsed="false">
      <c r="B14" s="38" t="s">
        <v>243</v>
      </c>
      <c r="C14" s="38"/>
      <c r="D14" s="7" t="s">
        <v>244</v>
      </c>
      <c r="E14" s="39" t="s">
        <v>88</v>
      </c>
      <c r="F14" s="40" t="n">
        <v>40</v>
      </c>
      <c r="G14" s="40" t="n">
        <v>20</v>
      </c>
      <c r="H14" s="13" t="n">
        <f aca="false">IF(OR(N(F14)=0,N(G14)=0),"",ROUNDUP(F14/G14,0))</f>
        <v>2</v>
      </c>
      <c r="I14" s="40" t="n">
        <v>2</v>
      </c>
      <c r="J14" s="40" t="n">
        <v>2</v>
      </c>
      <c r="K14" s="14" t="n">
        <f aca="false">IF(OR(H14="",I14=""),"",I14-H14)</f>
        <v>0</v>
      </c>
      <c r="L14" s="15" t="str">
        <f aca="false">IF(K14="","",IF(K14&lt;0,"Falta gente",IF(K14=0,"Justo","Com folga")))</f>
        <v>Justo</v>
      </c>
      <c r="M14" s="16" t="str">
        <f aca="false">IF(B14="","",IF(N(F14)=0,"Falta a demanda",IF(N(G14)=0,"Falta a produtividade",IF(I14="","Falta o número escalado",IF(J14="","Falta o número de qualificados",IF(J14&gt;I14,"Mais qualificados que escalados",IF(K14&lt;0,IF(K14=-1,"Falta 1 pessoa","Faltam "&amp;-K14&amp;" pessoas"),IF(J14=0,"Sem pessoa qualificada na escala","OK"))))))))</f>
        <v>OK</v>
      </c>
      <c r="N14" s="16"/>
      <c r="O14" s="16"/>
      <c r="P14" s="16"/>
      <c r="Q14" s="16"/>
    </row>
    <row r="15" customFormat="false" ht="30.75" hidden="false" customHeight="true" outlineLevel="0" collapsed="false">
      <c r="B15" s="38" t="s">
        <v>243</v>
      </c>
      <c r="C15" s="38"/>
      <c r="D15" s="7" t="s">
        <v>245</v>
      </c>
      <c r="E15" s="39" t="s">
        <v>88</v>
      </c>
      <c r="F15" s="40" t="n">
        <v>36</v>
      </c>
      <c r="G15" s="40" t="n">
        <v>20</v>
      </c>
      <c r="H15" s="13" t="n">
        <f aca="false">IF(OR(N(F15)=0,N(G15)=0),"",ROUNDUP(F15/G15,0))</f>
        <v>2</v>
      </c>
      <c r="I15" s="40" t="n">
        <v>2</v>
      </c>
      <c r="J15" s="40" t="n">
        <v>0</v>
      </c>
      <c r="K15" s="14" t="n">
        <f aca="false">IF(OR(H15="",I15=""),"",I15-H15)</f>
        <v>0</v>
      </c>
      <c r="L15" s="15" t="str">
        <f aca="false">IF(K15="","",IF(K15&lt;0,"Falta gente",IF(K15=0,"Justo","Com folga")))</f>
        <v>Justo</v>
      </c>
      <c r="M15" s="16" t="str">
        <f aca="false">IF(B15="","",IF(N(F15)=0,"Falta a demanda",IF(N(G15)=0,"Falta a produtividade",IF(I15="","Falta o número escalado",IF(J15="","Falta o número de qualificados",IF(J15&gt;I15,"Mais qualificados que escalados",IF(K15&lt;0,IF(K15=-1,"Falta 1 pessoa","Faltam "&amp;-K15&amp;" pessoas"),IF(J15=0,"Sem pessoa qualificada na escala","OK"))))))))</f>
        <v>Sem pessoa qualificada na escala</v>
      </c>
      <c r="N15" s="16"/>
      <c r="O15" s="16"/>
      <c r="P15" s="16"/>
      <c r="Q15" s="16"/>
    </row>
    <row r="16" customFormat="false" ht="30.75" hidden="false" customHeight="true" outlineLevel="0" collapsed="false">
      <c r="B16" s="38" t="s">
        <v>246</v>
      </c>
      <c r="C16" s="38"/>
      <c r="D16" s="7" t="s">
        <v>95</v>
      </c>
      <c r="E16" s="39" t="s">
        <v>247</v>
      </c>
      <c r="F16" s="40" t="n">
        <v>60</v>
      </c>
      <c r="G16" s="40" t="n">
        <v>20</v>
      </c>
      <c r="H16" s="13" t="n">
        <f aca="false">IF(OR(N(F16)=0,N(G16)=0),"",ROUNDUP(F16/G16,0))</f>
        <v>3</v>
      </c>
      <c r="I16" s="40" t="n">
        <v>3</v>
      </c>
      <c r="J16" s="40" t="n">
        <v>2</v>
      </c>
      <c r="K16" s="14" t="n">
        <f aca="false">IF(OR(H16="",I16=""),"",I16-H16)</f>
        <v>0</v>
      </c>
      <c r="L16" s="15" t="str">
        <f aca="false">IF(K16="","",IF(K16&lt;0,"Falta gente",IF(K16=0,"Justo","Com folga")))</f>
        <v>Justo</v>
      </c>
      <c r="M16" s="16" t="str">
        <f aca="false">IF(B16="","",IF(N(F16)=0,"Falta a demanda",IF(N(G16)=0,"Falta a produtividade",IF(I16="","Falta o número escalado",IF(J16="","Falta o número de qualificados",IF(J16&gt;I16,"Mais qualificados que escalados",IF(K16&lt;0,IF(K16=-1,"Falta 1 pessoa","Faltam "&amp;-K16&amp;" pessoas"),IF(J16=0,"Sem pessoa qualificada na escala","OK"))))))))</f>
        <v>OK</v>
      </c>
      <c r="N16" s="16"/>
      <c r="O16" s="16"/>
      <c r="P16" s="16"/>
      <c r="Q16" s="16"/>
    </row>
    <row r="17" customFormat="false" ht="30.75" hidden="false" customHeight="true" outlineLevel="0" collapsed="false">
      <c r="B17" s="38" t="s">
        <v>248</v>
      </c>
      <c r="C17" s="38"/>
      <c r="D17" s="7" t="s">
        <v>95</v>
      </c>
      <c r="E17" s="39" t="s">
        <v>247</v>
      </c>
      <c r="F17" s="40" t="n">
        <v>60</v>
      </c>
      <c r="G17" s="40" t="n">
        <v>40</v>
      </c>
      <c r="H17" s="13" t="n">
        <f aca="false">IF(OR(N(F17)=0,N(G17)=0),"",ROUNDUP(F17/G17,0))</f>
        <v>2</v>
      </c>
      <c r="I17" s="40" t="n">
        <v>1</v>
      </c>
      <c r="J17" s="40" t="n">
        <v>1</v>
      </c>
      <c r="K17" s="14" t="n">
        <f aca="false">IF(OR(H17="",I17=""),"",I17-H17)</f>
        <v>-1</v>
      </c>
      <c r="L17" s="15" t="str">
        <f aca="false">IF(K17="","",IF(K17&lt;0,"Falta gente",IF(K17=0,"Justo","Com folga")))</f>
        <v>Falta gente</v>
      </c>
      <c r="M17" s="16" t="str">
        <f aca="false">IF(B17="","",IF(N(F17)=0,"Falta a demanda",IF(N(G17)=0,"Falta a produtividade",IF(I17="","Falta o número escalado",IF(J17="","Falta o número de qualificados",IF(J17&gt;I17,"Mais qualificados que escalados",IF(K17&lt;0,IF(K17=-1,"Falta 1 pessoa","Faltam "&amp;-K17&amp;" pessoas"),IF(J17=0,"Sem pessoa qualificada na escala","OK"))))))))</f>
        <v>Falta 1 pessoa</v>
      </c>
      <c r="N17" s="16"/>
      <c r="O17" s="16"/>
      <c r="P17" s="16"/>
      <c r="Q17" s="16"/>
    </row>
    <row r="18" customFormat="false" ht="30.75" hidden="false" customHeight="true" outlineLevel="0" collapsed="false">
      <c r="B18" s="38" t="s">
        <v>249</v>
      </c>
      <c r="C18" s="38"/>
      <c r="D18" s="7" t="s">
        <v>95</v>
      </c>
      <c r="E18" s="39" t="s">
        <v>88</v>
      </c>
      <c r="F18" s="40" t="n">
        <v>40</v>
      </c>
      <c r="G18" s="40" t="n">
        <v>30</v>
      </c>
      <c r="H18" s="13" t="n">
        <f aca="false">IF(OR(N(F18)=0,N(G18)=0),"",ROUNDUP(F18/G18,0))</f>
        <v>2</v>
      </c>
      <c r="I18" s="40" t="n">
        <v>2</v>
      </c>
      <c r="J18" s="40" t="n">
        <v>1</v>
      </c>
      <c r="K18" s="14" t="n">
        <f aca="false">IF(OR(H18="",I18=""),"",I18-H18)</f>
        <v>0</v>
      </c>
      <c r="L18" s="15" t="str">
        <f aca="false">IF(K18="","",IF(K18&lt;0,"Falta gente",IF(K18=0,"Justo","Com folga")))</f>
        <v>Justo</v>
      </c>
      <c r="M18" s="16" t="str">
        <f aca="false">IF(B18="","",IF(N(F18)=0,"Falta a demanda",IF(N(G18)=0,"Falta a produtividade",IF(I18="","Falta o número escalado",IF(J18="","Falta o número de qualificados",IF(J18&gt;I18,"Mais qualificados que escalados",IF(K18&lt;0,IF(K18=-1,"Falta 1 pessoa","Faltam "&amp;-K18&amp;" pessoas"),IF(J18=0,"Sem pessoa qualificada na escala","OK"))))))))</f>
        <v>OK</v>
      </c>
      <c r="N18" s="16"/>
      <c r="O18" s="16"/>
      <c r="P18" s="16"/>
      <c r="Q18" s="16"/>
    </row>
    <row r="19" customFormat="false" ht="30.75" hidden="false" customHeight="true" outlineLevel="0" collapsed="false">
      <c r="B19" s="38" t="s">
        <v>94</v>
      </c>
      <c r="C19" s="38"/>
      <c r="D19" s="7" t="s">
        <v>95</v>
      </c>
      <c r="E19" s="39" t="s">
        <v>96</v>
      </c>
      <c r="F19" s="40" t="n">
        <v>29</v>
      </c>
      <c r="G19" s="40" t="n">
        <v>3</v>
      </c>
      <c r="H19" s="13" t="n">
        <f aca="false">IF(OR(N(F19)=0,N(G19)=0),"",ROUNDUP(F19/G19,0))</f>
        <v>10</v>
      </c>
      <c r="I19" s="40" t="n">
        <v>8</v>
      </c>
      <c r="J19" s="40" t="n">
        <v>8</v>
      </c>
      <c r="K19" s="14" t="n">
        <f aca="false">IF(OR(H19="",I19=""),"",I19-H19)</f>
        <v>-2</v>
      </c>
      <c r="L19" s="15" t="str">
        <f aca="false">IF(K19="","",IF(K19&lt;0,"Falta gente",IF(K19=0,"Justo","Com folga")))</f>
        <v>Falta gente</v>
      </c>
      <c r="M19" s="16" t="str">
        <f aca="false">IF(B19="","",IF(N(F19)=0,"Falta a demanda",IF(N(G19)=0,"Falta a produtividade",IF(I19="","Falta o número escalado",IF(J19="","Falta o número de qualificados",IF(J19&gt;I19,"Mais qualificados que escalados",IF(K19&lt;0,IF(K19=-1,"Falta 1 pessoa","Faltam "&amp;-K19&amp;" pessoas"),IF(J19=0,"Sem pessoa qualificada na escala","OK"))))))))</f>
        <v>Faltam 2 pessoas</v>
      </c>
      <c r="N19" s="16"/>
      <c r="O19" s="16"/>
      <c r="P19" s="16"/>
      <c r="Q19" s="16"/>
    </row>
    <row r="20" customFormat="false" ht="30.75" hidden="false" customHeight="true" outlineLevel="0" collapsed="false">
      <c r="B20" s="38" t="s">
        <v>94</v>
      </c>
      <c r="C20" s="38"/>
      <c r="D20" s="7" t="s">
        <v>250</v>
      </c>
      <c r="E20" s="39" t="s">
        <v>96</v>
      </c>
      <c r="F20" s="40" t="n">
        <v>10</v>
      </c>
      <c r="G20" s="40" t="n">
        <v>3</v>
      </c>
      <c r="H20" s="13" t="n">
        <f aca="false">IF(OR(N(F20)=0,N(G20)=0),"",ROUNDUP(F20/G20,0))</f>
        <v>4</v>
      </c>
      <c r="I20" s="40" t="n">
        <v>4</v>
      </c>
      <c r="J20" s="40" t="n">
        <v>4</v>
      </c>
      <c r="K20" s="14" t="n">
        <f aca="false">IF(OR(H20="",I20=""),"",I20-H20)</f>
        <v>0</v>
      </c>
      <c r="L20" s="15" t="str">
        <f aca="false">IF(K20="","",IF(K20&lt;0,"Falta gente",IF(K20=0,"Justo","Com folga")))</f>
        <v>Justo</v>
      </c>
      <c r="M20" s="16" t="str">
        <f aca="false">IF(B20="","",IF(N(F20)=0,"Falta a demanda",IF(N(G20)=0,"Falta a produtividade",IF(I20="","Falta o número escalado",IF(J20="","Falta o número de qualificados",IF(J20&gt;I20,"Mais qualificados que escalados",IF(K20&lt;0,IF(K20=-1,"Falta 1 pessoa","Faltam "&amp;-K20&amp;" pessoas"),IF(J20=0,"Sem pessoa qualificada na escala","OK"))))))))</f>
        <v>OK</v>
      </c>
      <c r="N20" s="16"/>
      <c r="O20" s="16"/>
      <c r="P20" s="16"/>
      <c r="Q20" s="16"/>
    </row>
    <row r="21" customFormat="false" ht="30.75" hidden="false" customHeight="true" outlineLevel="0" collapsed="false">
      <c r="B21" s="38" t="s">
        <v>251</v>
      </c>
      <c r="C21" s="38"/>
      <c r="D21" s="7" t="s">
        <v>95</v>
      </c>
      <c r="E21" s="39" t="s">
        <v>252</v>
      </c>
      <c r="F21" s="40" t="n">
        <v>30</v>
      </c>
      <c r="G21" s="40" t="n">
        <v>15</v>
      </c>
      <c r="H21" s="13" t="n">
        <f aca="false">IF(OR(N(F21)=0,N(G21)=0),"",ROUNDUP(F21/G21,0))</f>
        <v>2</v>
      </c>
      <c r="I21" s="40" t="n">
        <v>3</v>
      </c>
      <c r="J21" s="40" t="n">
        <v>3</v>
      </c>
      <c r="K21" s="14" t="n">
        <f aca="false">IF(OR(H21="",I21=""),"",I21-H21)</f>
        <v>1</v>
      </c>
      <c r="L21" s="15" t="str">
        <f aca="false">IF(K21="","",IF(K21&lt;0,"Falta gente",IF(K21=0,"Justo","Com folga")))</f>
        <v>Com folga</v>
      </c>
      <c r="M21" s="16" t="str">
        <f aca="false">IF(B21="","",IF(N(F21)=0,"Falta a demanda",IF(N(G21)=0,"Falta a produtividade",IF(I21="","Falta o número escalado",IF(J21="","Falta o número de qualificados",IF(J21&gt;I21,"Mais qualificados que escalados",IF(K21&lt;0,IF(K21=-1,"Falta 1 pessoa","Faltam "&amp;-K21&amp;" pessoas"),IF(J21=0,"Sem pessoa qualificada na escala","OK"))))))))</f>
        <v>OK</v>
      </c>
      <c r="N21" s="16"/>
      <c r="O21" s="16"/>
      <c r="P21" s="16"/>
      <c r="Q21" s="16"/>
    </row>
    <row r="23" customFormat="false" ht="21.75" hidden="false" customHeight="true" outlineLevel="0" collapsed="false">
      <c r="B23" s="41" t="s">
        <v>50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customFormat="false" ht="30" hidden="false" customHeight="true" outlineLevel="0" collapsed="false">
      <c r="B24" s="13" t="s">
        <v>110</v>
      </c>
      <c r="C24" s="13" t="s">
        <v>111</v>
      </c>
      <c r="D24" s="13" t="s">
        <v>112</v>
      </c>
      <c r="E24" s="13" t="s">
        <v>113</v>
      </c>
      <c r="F24" s="13" t="s">
        <v>66</v>
      </c>
      <c r="G24" s="13" t="s">
        <v>253</v>
      </c>
      <c r="H24" s="13" t="s">
        <v>254</v>
      </c>
      <c r="I24" s="13" t="s">
        <v>116</v>
      </c>
      <c r="J24" s="13" t="s">
        <v>68</v>
      </c>
      <c r="K24" s="13" t="s">
        <v>255</v>
      </c>
      <c r="L24" s="13" t="s">
        <v>85</v>
      </c>
      <c r="M24" s="13" t="s">
        <v>117</v>
      </c>
      <c r="N24" s="13" t="s">
        <v>118</v>
      </c>
      <c r="O24" s="13" t="s">
        <v>119</v>
      </c>
      <c r="P24" s="37" t="s">
        <v>86</v>
      </c>
      <c r="Q24" s="37"/>
    </row>
    <row r="25" customFormat="false" ht="42.75" hidden="false" customHeight="true" outlineLevel="0" collapsed="false">
      <c r="B25" s="42" t="s">
        <v>120</v>
      </c>
      <c r="C25" s="38" t="s">
        <v>256</v>
      </c>
      <c r="D25" s="39" t="s">
        <v>257</v>
      </c>
      <c r="E25" s="7" t="s">
        <v>163</v>
      </c>
      <c r="F25" s="43" t="s">
        <v>258</v>
      </c>
      <c r="G25" s="43" t="n">
        <v>1</v>
      </c>
      <c r="H25" s="44" t="n">
        <v>46479</v>
      </c>
      <c r="I25" s="24" t="n">
        <f aca="false">IF(OR(H25="",G25=""),"",EDATE(H25,G25))</f>
        <v>46509</v>
      </c>
      <c r="J25" s="39" t="s">
        <v>259</v>
      </c>
      <c r="K25" s="40" t="n">
        <v>180</v>
      </c>
      <c r="L25" s="15" t="str">
        <f aca="false">IF(B25="","",IF(G25="","Sem plano",IF(H25="","Atrasada",IF(AND(ISNUMBER($D$9),I25&lt;$D$9),"Atrasada",IF(AND(ISNUMBER($D$9),I25-$D$9&lt;=7),"Vence em 7 dias","Em dia")))))</f>
        <v>Vence em 7 dias</v>
      </c>
      <c r="M25" s="14" t="n">
        <f aca="false">IF(OR(B25="",$D$8="",$D$9=""),"",COUNTIFS($C$37:$C$44,B25,$D$37:$D$44,"Corretiva",$B$37:$B$44,"&gt;="&amp;$D$8,$B$37:$B$44,"&lt;="&amp;$D$9))</f>
        <v>1</v>
      </c>
      <c r="N25" s="25" t="n">
        <f aca="false">IF(OR(B25="",$D$8="",$D$9=""),"",SUMIFS($E$37:$E$44,$C$37:$C$44,B25,$D$37:$D$44,"Corretiva",$B$37:$B$44,"&gt;="&amp;$D$8,$B$37:$B$44,"&lt;="&amp;$D$9))</f>
        <v>3</v>
      </c>
      <c r="O25" s="26" t="n">
        <f aca="false">IF(OR(N(K25)=0,N25=""),"",(K25-N25)/K25)</f>
        <v>0.983333333333333</v>
      </c>
      <c r="P25" s="16" t="str">
        <f aca="false">IF(B25="","",IF(D25="","Falta o tipo",IF(F25="","Falta a criticidade",IF(AND(OR(F25="Alta",F25="Média"),G25=""),"Sem plano de preventiva",IF(L25="Atrasada","Preventiva atrasada",IF(AND(F25="Alta",J25=""),"Crítico sem contingência",IF(AND(ISNUMBER(O25),ISNUMBER($D$10)),IF(O25&lt;$D$10-0.000000001,"Disponibilidade abaixo da meta","OK"),"OK")))))))</f>
        <v>OK</v>
      </c>
      <c r="Q25" s="16"/>
    </row>
    <row r="26" customFormat="false" ht="42.75" hidden="false" customHeight="true" outlineLevel="0" collapsed="false">
      <c r="B26" s="42" t="s">
        <v>260</v>
      </c>
      <c r="C26" s="38" t="s">
        <v>261</v>
      </c>
      <c r="D26" s="39" t="s">
        <v>257</v>
      </c>
      <c r="E26" s="7" t="s">
        <v>262</v>
      </c>
      <c r="F26" s="43" t="s">
        <v>258</v>
      </c>
      <c r="G26" s="43" t="n">
        <v>3</v>
      </c>
      <c r="H26" s="44" t="n">
        <v>46397</v>
      </c>
      <c r="I26" s="24" t="n">
        <f aca="false">IF(OR(H26="",G26=""),"",EDATE(H26,G26))</f>
        <v>46487</v>
      </c>
      <c r="J26" s="39" t="s">
        <v>263</v>
      </c>
      <c r="K26" s="40" t="n">
        <v>720</v>
      </c>
      <c r="L26" s="15" t="str">
        <f aca="false">IF(B26="","",IF(G26="","Sem plano",IF(H26="","Atrasada",IF(AND(ISNUMBER($D$9),I26&lt;$D$9),"Atrasada",IF(AND(ISNUMBER($D$9),I26-$D$9&lt;=7),"Vence em 7 dias","Em dia")))))</f>
        <v>Atrasada</v>
      </c>
      <c r="M26" s="14" t="n">
        <f aca="false">IF(OR(B26="",$D$8="",$D$9=""),"",COUNTIFS($C$37:$C$44,B26,$D$37:$D$44,"Corretiva",$B$37:$B$44,"&gt;="&amp;$D$8,$B$37:$B$44,"&lt;="&amp;$D$9))</f>
        <v>1</v>
      </c>
      <c r="N26" s="25" t="n">
        <f aca="false">IF(OR(B26="",$D$8="",$D$9=""),"",SUMIFS($E$37:$E$44,$C$37:$C$44,B26,$D$37:$D$44,"Corretiva",$B$37:$B$44,"&gt;="&amp;$D$8,$B$37:$B$44,"&lt;="&amp;$D$9))</f>
        <v>9</v>
      </c>
      <c r="O26" s="26" t="n">
        <f aca="false">IF(OR(N(K26)=0,N26=""),"",(K26-N26)/K26)</f>
        <v>0.9875</v>
      </c>
      <c r="P26" s="16" t="str">
        <f aca="false">IF(B26="","",IF(D26="","Falta o tipo",IF(F26="","Falta a criticidade",IF(AND(OR(F26="Alta",F26="Média"),G26=""),"Sem plano de preventiva",IF(L26="Atrasada","Preventiva atrasada",IF(AND(F26="Alta",J26=""),"Crítico sem contingência",IF(AND(ISNUMBER(O26),ISNUMBER($D$10)),IF(O26&lt;$D$10-0.000000001,"Disponibilidade abaixo da meta","OK"),"OK")))))))</f>
        <v>Preventiva atrasada</v>
      </c>
      <c r="Q26" s="16"/>
    </row>
    <row r="27" customFormat="false" ht="21.75" hidden="false" customHeight="true" outlineLevel="0" collapsed="false">
      <c r="B27" s="42" t="s">
        <v>264</v>
      </c>
      <c r="C27" s="38" t="s">
        <v>265</v>
      </c>
      <c r="D27" s="39" t="s">
        <v>257</v>
      </c>
      <c r="E27" s="7" t="s">
        <v>266</v>
      </c>
      <c r="F27" s="43" t="s">
        <v>267</v>
      </c>
      <c r="G27" s="43" t="n">
        <v>6</v>
      </c>
      <c r="H27" s="44" t="n">
        <v>46341</v>
      </c>
      <c r="I27" s="24" t="n">
        <f aca="false">IF(OR(H27="",G27=""),"",EDATE(H27,G27))</f>
        <v>46522</v>
      </c>
      <c r="J27" s="39"/>
      <c r="K27" s="40" t="n">
        <v>180</v>
      </c>
      <c r="L27" s="15" t="str">
        <f aca="false">IF(B27="","",IF(G27="","Sem plano",IF(H27="","Atrasada",IF(AND(ISNUMBER($D$9),I27&lt;$D$9),"Atrasada",IF(AND(ISNUMBER($D$9),I27-$D$9&lt;=7),"Vence em 7 dias","Em dia")))))</f>
        <v>Em dia</v>
      </c>
      <c r="M27" s="14" t="n">
        <f aca="false">IF(OR(B27="",$D$8="",$D$9=""),"",COUNTIFS($C$37:$C$44,B27,$D$37:$D$44,"Corretiva",$B$37:$B$44,"&gt;="&amp;$D$8,$B$37:$B$44,"&lt;="&amp;$D$9))</f>
        <v>0</v>
      </c>
      <c r="N27" s="25" t="n">
        <f aca="false">IF(OR(B27="",$D$8="",$D$9=""),"",SUMIFS($E$37:$E$44,$C$37:$C$44,B27,$D$37:$D$44,"Corretiva",$B$37:$B$44,"&gt;="&amp;$D$8,$B$37:$B$44,"&lt;="&amp;$D$9))</f>
        <v>0</v>
      </c>
      <c r="O27" s="26" t="n">
        <f aca="false">IF(OR(N(K27)=0,N27=""),"",(K27-N27)/K27)</f>
        <v>1</v>
      </c>
      <c r="P27" s="16" t="str">
        <f aca="false">IF(B27="","",IF(D27="","Falta o tipo",IF(F27="","Falta a criticidade",IF(AND(OR(F27="Alta",F27="Média"),G27=""),"Sem plano de preventiva",IF(L27="Atrasada","Preventiva atrasada",IF(AND(F27="Alta",J27=""),"Crítico sem contingência",IF(AND(ISNUMBER(O27),ISNUMBER($D$10)),IF(O27&lt;$D$10-0.000000001,"Disponibilidade abaixo da meta","OK"),"OK")))))))</f>
        <v>OK</v>
      </c>
      <c r="Q27" s="16"/>
    </row>
    <row r="28" customFormat="false" ht="30.75" hidden="false" customHeight="true" outlineLevel="0" collapsed="false">
      <c r="B28" s="42" t="s">
        <v>268</v>
      </c>
      <c r="C28" s="38" t="s">
        <v>269</v>
      </c>
      <c r="D28" s="39" t="s">
        <v>270</v>
      </c>
      <c r="E28" s="7" t="s">
        <v>249</v>
      </c>
      <c r="F28" s="43" t="s">
        <v>258</v>
      </c>
      <c r="G28" s="43" t="n">
        <v>1</v>
      </c>
      <c r="H28" s="44" t="n">
        <v>46482</v>
      </c>
      <c r="I28" s="24" t="n">
        <f aca="false">IF(OR(H28="",G28=""),"",EDATE(H28,G28))</f>
        <v>46512</v>
      </c>
      <c r="J28" s="39" t="s">
        <v>271</v>
      </c>
      <c r="K28" s="40" t="n">
        <v>180</v>
      </c>
      <c r="L28" s="15" t="str">
        <f aca="false">IF(B28="","",IF(G28="","Sem plano",IF(H28="","Atrasada",IF(AND(ISNUMBER($D$9),I28&lt;$D$9),"Atrasada",IF(AND(ISNUMBER($D$9),I28-$D$9&lt;=7),"Vence em 7 dias","Em dia")))))</f>
        <v>Vence em 7 dias</v>
      </c>
      <c r="M28" s="14" t="n">
        <f aca="false">IF(OR(B28="",$D$8="",$D$9=""),"",COUNTIFS($C$37:$C$44,B28,$D$37:$D$44,"Corretiva",$B$37:$B$44,"&gt;="&amp;$D$8,$B$37:$B$44,"&lt;="&amp;$D$9))</f>
        <v>0</v>
      </c>
      <c r="N28" s="25" t="n">
        <f aca="false">IF(OR(B28="",$D$8="",$D$9=""),"",SUMIFS($E$37:$E$44,$C$37:$C$44,B28,$D$37:$D$44,"Corretiva",$B$37:$B$44,"&gt;="&amp;$D$8,$B$37:$B$44,"&lt;="&amp;$D$9))</f>
        <v>0</v>
      </c>
      <c r="O28" s="26" t="n">
        <f aca="false">IF(OR(N(K28)=0,N28=""),"",(K28-N28)/K28)</f>
        <v>1</v>
      </c>
      <c r="P28" s="16" t="str">
        <f aca="false">IF(B28="","",IF(D28="","Falta o tipo",IF(F28="","Falta a criticidade",IF(AND(OR(F28="Alta",F28="Média"),G28=""),"Sem plano de preventiva",IF(L28="Atrasada","Preventiva atrasada",IF(AND(F28="Alta",J28=""),"Crítico sem contingência",IF(AND(ISNUMBER(O28),ISNUMBER($D$10)),IF(O28&lt;$D$10-0.000000001,"Disponibilidade abaixo da meta","OK"),"OK")))))))</f>
        <v>OK</v>
      </c>
      <c r="Q28" s="16"/>
    </row>
    <row r="29" customFormat="false" ht="30.75" hidden="false" customHeight="true" outlineLevel="0" collapsed="false">
      <c r="B29" s="42" t="s">
        <v>137</v>
      </c>
      <c r="C29" s="38" t="s">
        <v>138</v>
      </c>
      <c r="D29" s="39" t="s">
        <v>270</v>
      </c>
      <c r="E29" s="7" t="s">
        <v>249</v>
      </c>
      <c r="F29" s="43" t="s">
        <v>258</v>
      </c>
      <c r="G29" s="43" t="n">
        <v>1</v>
      </c>
      <c r="H29" s="44" t="n">
        <v>46482</v>
      </c>
      <c r="I29" s="24" t="n">
        <f aca="false">IF(OR(H29="",G29=""),"",EDATE(H29,G29))</f>
        <v>46512</v>
      </c>
      <c r="J29" s="39" t="s">
        <v>271</v>
      </c>
      <c r="K29" s="40" t="n">
        <v>180</v>
      </c>
      <c r="L29" s="15" t="str">
        <f aca="false">IF(B29="","",IF(G29="","Sem plano",IF(H29="","Atrasada",IF(AND(ISNUMBER($D$9),I29&lt;$D$9),"Atrasada",IF(AND(ISNUMBER($D$9),I29-$D$9&lt;=7),"Vence em 7 dias","Em dia")))))</f>
        <v>Vence em 7 dias</v>
      </c>
      <c r="M29" s="14" t="n">
        <f aca="false">IF(OR(B29="",$D$8="",$D$9=""),"",COUNTIFS($C$37:$C$44,B29,$D$37:$D$44,"Corretiva",$B$37:$B$44,"&gt;="&amp;$D$8,$B$37:$B$44,"&lt;="&amp;$D$9))</f>
        <v>1</v>
      </c>
      <c r="N29" s="25" t="n">
        <f aca="false">IF(OR(B29="",$D$8="",$D$9=""),"",SUMIFS($E$37:$E$44,$C$37:$C$44,B29,$D$37:$D$44,"Corretiva",$B$37:$B$44,"&gt;="&amp;$D$8,$B$37:$B$44,"&lt;="&amp;$D$9))</f>
        <v>12</v>
      </c>
      <c r="O29" s="26" t="n">
        <f aca="false">IF(OR(N(K29)=0,N29=""),"",(K29-N29)/K29)</f>
        <v>0.933333333333333</v>
      </c>
      <c r="P29" s="16" t="str">
        <f aca="false">IF(B29="","",IF(D29="","Falta o tipo",IF(F29="","Falta a criticidade",IF(AND(OR(F29="Alta",F29="Média"),G29=""),"Sem plano de preventiva",IF(L29="Atrasada","Preventiva atrasada",IF(AND(F29="Alta",J29=""),"Crítico sem contingência",IF(AND(ISNUMBER(O29),ISNUMBER($D$10)),IF(O29&lt;$D$10-0.000000001,"Disponibilidade abaixo da meta","OK"),"OK")))))))</f>
        <v>Disponibilidade abaixo da meta</v>
      </c>
      <c r="Q29" s="16"/>
    </row>
    <row r="30" customFormat="false" ht="30.75" hidden="false" customHeight="true" outlineLevel="0" collapsed="false">
      <c r="B30" s="42" t="s">
        <v>272</v>
      </c>
      <c r="C30" s="38" t="s">
        <v>273</v>
      </c>
      <c r="D30" s="39" t="s">
        <v>270</v>
      </c>
      <c r="E30" s="7" t="s">
        <v>249</v>
      </c>
      <c r="F30" s="43" t="s">
        <v>258</v>
      </c>
      <c r="G30" s="43" t="n">
        <v>1</v>
      </c>
      <c r="H30" s="44" t="n">
        <v>46433</v>
      </c>
      <c r="I30" s="24" t="n">
        <f aca="false">IF(OR(H30="",G30=""),"",EDATE(H30,G30))</f>
        <v>46461</v>
      </c>
      <c r="J30" s="39" t="s">
        <v>271</v>
      </c>
      <c r="K30" s="40" t="n">
        <v>180</v>
      </c>
      <c r="L30" s="15" t="str">
        <f aca="false">IF(B30="","",IF(G30="","Sem plano",IF(H30="","Atrasada",IF(AND(ISNUMBER($D$9),I30&lt;$D$9),"Atrasada",IF(AND(ISNUMBER($D$9),I30-$D$9&lt;=7),"Vence em 7 dias","Em dia")))))</f>
        <v>Atrasada</v>
      </c>
      <c r="M30" s="14" t="n">
        <f aca="false">IF(OR(B30="",$D$8="",$D$9=""),"",COUNTIFS($C$37:$C$44,B30,$D$37:$D$44,"Corretiva",$B$37:$B$44,"&gt;="&amp;$D$8,$B$37:$B$44,"&lt;="&amp;$D$9))</f>
        <v>0</v>
      </c>
      <c r="N30" s="25" t="n">
        <f aca="false">IF(OR(B30="",$D$8="",$D$9=""),"",SUMIFS($E$37:$E$44,$C$37:$C$44,B30,$D$37:$D$44,"Corretiva",$B$37:$B$44,"&gt;="&amp;$D$8,$B$37:$B$44,"&lt;="&amp;$D$9))</f>
        <v>0</v>
      </c>
      <c r="O30" s="26" t="n">
        <f aca="false">IF(OR(N(K30)=0,N30=""),"",(K30-N30)/K30)</f>
        <v>1</v>
      </c>
      <c r="P30" s="16" t="str">
        <f aca="false">IF(B30="","",IF(D30="","Falta o tipo",IF(F30="","Falta a criticidade",IF(AND(OR(F30="Alta",F30="Média"),G30=""),"Sem plano de preventiva",IF(L30="Atrasada","Preventiva atrasada",IF(AND(F30="Alta",J30=""),"Crítico sem contingência",IF(AND(ISNUMBER(O30),ISNUMBER($D$10)),IF(O30&lt;$D$10-0.000000001,"Disponibilidade abaixo da meta","OK"),"OK")))))))</f>
        <v>Preventiva atrasada</v>
      </c>
      <c r="Q30" s="16"/>
    </row>
    <row r="31" customFormat="false" ht="30.75" hidden="false" customHeight="true" outlineLevel="0" collapsed="false">
      <c r="B31" s="42" t="s">
        <v>274</v>
      </c>
      <c r="C31" s="38" t="s">
        <v>275</v>
      </c>
      <c r="D31" s="39" t="s">
        <v>276</v>
      </c>
      <c r="E31" s="7" t="s">
        <v>243</v>
      </c>
      <c r="F31" s="43" t="s">
        <v>258</v>
      </c>
      <c r="G31" s="43" t="n">
        <v>1</v>
      </c>
      <c r="H31" s="44" t="n">
        <v>46478</v>
      </c>
      <c r="I31" s="24" t="n">
        <f aca="false">IF(OR(H31="",G31=""),"",EDATE(H31,G31))</f>
        <v>46508</v>
      </c>
      <c r="J31" s="39" t="s">
        <v>277</v>
      </c>
      <c r="K31" s="40" t="n">
        <v>180</v>
      </c>
      <c r="L31" s="15" t="str">
        <f aca="false">IF(B31="","",IF(G31="","Sem plano",IF(H31="","Atrasada",IF(AND(ISNUMBER($D$9),I31&lt;$D$9),"Atrasada",IF(AND(ISNUMBER($D$9),I31-$D$9&lt;=7),"Vence em 7 dias","Em dia")))))</f>
        <v>Vence em 7 dias</v>
      </c>
      <c r="M31" s="14" t="n">
        <f aca="false">IF(OR(B31="",$D$8="",$D$9=""),"",COUNTIFS($C$37:$C$44,B31,$D$37:$D$44,"Corretiva",$B$37:$B$44,"&gt;="&amp;$D$8,$B$37:$B$44,"&lt;="&amp;$D$9))</f>
        <v>1</v>
      </c>
      <c r="N31" s="25" t="n">
        <f aca="false">IF(OR(B31="",$D$8="",$D$9=""),"",SUMIFS($E$37:$E$44,$C$37:$C$44,B31,$D$37:$D$44,"Corretiva",$B$37:$B$44,"&gt;="&amp;$D$8,$B$37:$B$44,"&lt;="&amp;$D$9))</f>
        <v>1.5</v>
      </c>
      <c r="O31" s="26" t="n">
        <f aca="false">IF(OR(N(K31)=0,N31=""),"",(K31-N31)/K31)</f>
        <v>0.991666666666667</v>
      </c>
      <c r="P31" s="16" t="str">
        <f aca="false">IF(B31="","",IF(D31="","Falta o tipo",IF(F31="","Falta a criticidade",IF(AND(OR(F31="Alta",F31="Média"),G31=""),"Sem plano de preventiva",IF(L31="Atrasada","Preventiva atrasada",IF(AND(F31="Alta",J31=""),"Crítico sem contingência",IF(AND(ISNUMBER(O31),ISNUMBER($D$10)),IF(O31&lt;$D$10-0.000000001,"Disponibilidade abaixo da meta","OK"),"OK")))))))</f>
        <v>OK</v>
      </c>
      <c r="Q31" s="16"/>
    </row>
    <row r="32" customFormat="false" ht="30.75" hidden="false" customHeight="true" outlineLevel="0" collapsed="false">
      <c r="B32" s="42" t="s">
        <v>278</v>
      </c>
      <c r="C32" s="38" t="s">
        <v>279</v>
      </c>
      <c r="D32" s="39" t="s">
        <v>280</v>
      </c>
      <c r="E32" s="7" t="s">
        <v>163</v>
      </c>
      <c r="F32" s="43" t="s">
        <v>267</v>
      </c>
      <c r="G32" s="43" t="n">
        <v>3</v>
      </c>
      <c r="H32" s="44" t="n">
        <v>46466</v>
      </c>
      <c r="I32" s="24" t="n">
        <f aca="false">IF(OR(H32="",G32=""),"",EDATE(H32,G32))</f>
        <v>46558</v>
      </c>
      <c r="J32" s="39"/>
      <c r="K32" s="40" t="n">
        <v>180</v>
      </c>
      <c r="L32" s="15" t="str">
        <f aca="false">IF(B32="","",IF(G32="","Sem plano",IF(H32="","Atrasada",IF(AND(ISNUMBER($D$9),I32&lt;$D$9),"Atrasada",IF(AND(ISNUMBER($D$9),I32-$D$9&lt;=7),"Vence em 7 dias","Em dia")))))</f>
        <v>Em dia</v>
      </c>
      <c r="M32" s="14" t="n">
        <f aca="false">IF(OR(B32="",$D$8="",$D$9=""),"",COUNTIFS($C$37:$C$44,B32,$D$37:$D$44,"Corretiva",$B$37:$B$44,"&gt;="&amp;$D$8,$B$37:$B$44,"&lt;="&amp;$D$9))</f>
        <v>0</v>
      </c>
      <c r="N32" s="25" t="n">
        <f aca="false">IF(OR(B32="",$D$8="",$D$9=""),"",SUMIFS($E$37:$E$44,$C$37:$C$44,B32,$D$37:$D$44,"Corretiva",$B$37:$B$44,"&gt;="&amp;$D$8,$B$37:$B$44,"&lt;="&amp;$D$9))</f>
        <v>0</v>
      </c>
      <c r="O32" s="26" t="n">
        <f aca="false">IF(OR(N(K32)=0,N32=""),"",(K32-N32)/K32)</f>
        <v>1</v>
      </c>
      <c r="P32" s="16" t="str">
        <f aca="false">IF(B32="","",IF(D32="","Falta o tipo",IF(F32="","Falta a criticidade",IF(AND(OR(F32="Alta",F32="Média"),G32=""),"Sem plano de preventiva",IF(L32="Atrasada","Preventiva atrasada",IF(AND(F32="Alta",J32=""),"Crítico sem contingência",IF(AND(ISNUMBER(O32),ISNUMBER($D$10)),IF(O32&lt;$D$10-0.000000001,"Disponibilidade abaixo da meta","OK"),"OK")))))))</f>
        <v>OK</v>
      </c>
      <c r="Q32" s="16"/>
    </row>
    <row r="33" customFormat="false" ht="21.75" hidden="false" customHeight="true" outlineLevel="0" collapsed="false">
      <c r="B33" s="42" t="s">
        <v>281</v>
      </c>
      <c r="C33" s="38" t="s">
        <v>282</v>
      </c>
      <c r="D33" s="39" t="s">
        <v>257</v>
      </c>
      <c r="E33" s="7" t="s">
        <v>249</v>
      </c>
      <c r="F33" s="43" t="s">
        <v>283</v>
      </c>
      <c r="G33" s="43"/>
      <c r="H33" s="44"/>
      <c r="I33" s="24" t="str">
        <f aca="false">IF(OR(H33="",G33=""),"",EDATE(H33,G33))</f>
        <v/>
      </c>
      <c r="J33" s="39"/>
      <c r="K33" s="40"/>
      <c r="L33" s="15" t="str">
        <f aca="false">IF(B33="","",IF(G33="","Sem plano",IF(H33="","Atrasada",IF(AND(ISNUMBER($D$9),I33&lt;$D$9),"Atrasada",IF(AND(ISNUMBER($D$9),I33-$D$9&lt;=7),"Vence em 7 dias","Em dia")))))</f>
        <v>Sem plano</v>
      </c>
      <c r="M33" s="14" t="n">
        <f aca="false">IF(OR(B33="",$D$8="",$D$9=""),"",COUNTIFS($C$37:$C$44,B33,$D$37:$D$44,"Corretiva",$B$37:$B$44,"&gt;="&amp;$D$8,$B$37:$B$44,"&lt;="&amp;$D$9))</f>
        <v>0</v>
      </c>
      <c r="N33" s="25" t="n">
        <f aca="false">IF(OR(B33="",$D$8="",$D$9=""),"",SUMIFS($E$37:$E$44,$C$37:$C$44,B33,$D$37:$D$44,"Corretiva",$B$37:$B$44,"&gt;="&amp;$D$8,$B$37:$B$44,"&lt;="&amp;$D$9))</f>
        <v>0</v>
      </c>
      <c r="O33" s="26" t="str">
        <f aca="false">IF(OR(N(K33)=0,N33=""),"",(K33-N33)/K33)</f>
        <v/>
      </c>
      <c r="P33" s="16" t="str">
        <f aca="false">IF(B33="","",IF(D33="","Falta o tipo",IF(F33="","Falta a criticidade",IF(AND(OR(F33="Alta",F33="Média"),G33=""),"Sem plano de preventiva",IF(L33="Atrasada","Preventiva atrasada",IF(AND(F33="Alta",J33=""),"Crítico sem contingência",IF(AND(ISNUMBER(O33),ISNUMBER($D$10)),IF(O33&lt;$D$10-0.000000001,"Disponibilidade abaixo da meta","OK"),"OK")))))))</f>
        <v>OK</v>
      </c>
      <c r="Q33" s="16"/>
    </row>
    <row r="35" customFormat="false" ht="21.75" hidden="false" customHeight="true" outlineLevel="0" collapsed="false">
      <c r="B35" s="45" t="s">
        <v>52</v>
      </c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</row>
    <row r="36" customFormat="false" ht="30" hidden="false" customHeight="true" outlineLevel="0" collapsed="false">
      <c r="B36" s="13" t="s">
        <v>122</v>
      </c>
      <c r="C36" s="13" t="s">
        <v>110</v>
      </c>
      <c r="D36" s="13" t="s">
        <v>112</v>
      </c>
      <c r="E36" s="13" t="s">
        <v>118</v>
      </c>
      <c r="F36" s="37" t="s">
        <v>129</v>
      </c>
      <c r="G36" s="37"/>
      <c r="H36" s="37"/>
      <c r="I36" s="37"/>
      <c r="J36" s="13" t="s">
        <v>130</v>
      </c>
      <c r="K36" s="37" t="s">
        <v>131</v>
      </c>
      <c r="L36" s="37"/>
      <c r="M36" s="37"/>
      <c r="N36" s="13" t="s">
        <v>132</v>
      </c>
      <c r="O36" s="37" t="s">
        <v>133</v>
      </c>
      <c r="P36" s="37"/>
      <c r="Q36" s="13" t="s">
        <v>86</v>
      </c>
    </row>
    <row r="37" customFormat="false" ht="30.75" hidden="false" customHeight="true" outlineLevel="0" collapsed="false">
      <c r="B37" s="44" t="n">
        <v>46478</v>
      </c>
      <c r="C37" s="42" t="s">
        <v>274</v>
      </c>
      <c r="D37" s="43" t="s">
        <v>284</v>
      </c>
      <c r="E37" s="40" t="n">
        <v>0</v>
      </c>
      <c r="F37" s="39" t="s">
        <v>285</v>
      </c>
      <c r="G37" s="39"/>
      <c r="H37" s="39"/>
      <c r="I37" s="39"/>
      <c r="J37" s="39"/>
      <c r="K37" s="39"/>
      <c r="L37" s="39"/>
      <c r="M37" s="39"/>
      <c r="N37" s="43"/>
      <c r="O37" s="39"/>
      <c r="P37" s="39"/>
      <c r="Q37" s="16" t="str">
        <f aca="false">IF(C37="",IF(1&gt;0,"Falta o item",""),IF(ISNA(MATCH(C37,$B$25:$B$33,0)),"Item não cadastrado",IF(B37="","Falta a data",IF(D37="","Falta o tipo",IF(E37="","Falta o tempo parado",IF(D37="Corretiva",IF(J37="","Falta a causa",IF(K37="","Falta a ação",IF(N37="","Falta dizer se afetou o produto",IF(AND(N37="Sim",O37=""),"Produto afetado sem tratamento","OK")))),"OK"))))))</f>
        <v>OK</v>
      </c>
    </row>
    <row r="38" customFormat="false" ht="30.75" hidden="false" customHeight="true" outlineLevel="0" collapsed="false">
      <c r="B38" s="44" t="n">
        <v>46479</v>
      </c>
      <c r="C38" s="42" t="s">
        <v>120</v>
      </c>
      <c r="D38" s="43" t="s">
        <v>284</v>
      </c>
      <c r="E38" s="40" t="n">
        <v>0</v>
      </c>
      <c r="F38" s="39" t="s">
        <v>286</v>
      </c>
      <c r="G38" s="39"/>
      <c r="H38" s="39"/>
      <c r="I38" s="39"/>
      <c r="J38" s="39"/>
      <c r="K38" s="39"/>
      <c r="L38" s="39"/>
      <c r="M38" s="39"/>
      <c r="N38" s="43"/>
      <c r="O38" s="39"/>
      <c r="P38" s="39"/>
      <c r="Q38" s="16" t="str">
        <f aca="false">IF(C38="",IF(1&gt;0,"Falta o item",""),IF(ISNA(MATCH(C38,$B$25:$B$33,0)),"Item não cadastrado",IF(B38="","Falta a data",IF(D38="","Falta o tipo",IF(E38="","Falta o tempo parado",IF(D38="Corretiva",IF(J38="","Falta a causa",IF(K38="","Falta a ação",IF(N38="","Falta dizer se afetou o produto",IF(AND(N38="Sim",O38=""),"Produto afetado sem tratamento","OK")))),"OK"))))))</f>
        <v>OK</v>
      </c>
    </row>
    <row r="39" customFormat="false" ht="21.75" hidden="false" customHeight="true" outlineLevel="0" collapsed="false">
      <c r="B39" s="44" t="n">
        <v>46482</v>
      </c>
      <c r="C39" s="42" t="s">
        <v>268</v>
      </c>
      <c r="D39" s="43" t="s">
        <v>284</v>
      </c>
      <c r="E39" s="40" t="n">
        <v>0</v>
      </c>
      <c r="F39" s="39" t="s">
        <v>287</v>
      </c>
      <c r="G39" s="39"/>
      <c r="H39" s="39"/>
      <c r="I39" s="39"/>
      <c r="J39" s="39"/>
      <c r="K39" s="39"/>
      <c r="L39" s="39"/>
      <c r="M39" s="39"/>
      <c r="N39" s="43"/>
      <c r="O39" s="39"/>
      <c r="P39" s="39"/>
      <c r="Q39" s="16" t="str">
        <f aca="false">IF(C39="",IF(1&gt;0,"Falta o item",""),IF(ISNA(MATCH(C39,$B$25:$B$33,0)),"Item não cadastrado",IF(B39="","Falta a data",IF(D39="","Falta o tipo",IF(E39="","Falta o tempo parado",IF(D39="Corretiva",IF(J39="","Falta a causa",IF(K39="","Falta a ação",IF(N39="","Falta dizer se afetou o produto",IF(AND(N39="Sim",O39=""),"Produto afetado sem tratamento","OK")))),"OK"))))))</f>
        <v>OK</v>
      </c>
    </row>
    <row r="40" customFormat="false" ht="21.75" hidden="false" customHeight="true" outlineLevel="0" collapsed="false">
      <c r="B40" s="44" t="n">
        <v>46482</v>
      </c>
      <c r="C40" s="42" t="s">
        <v>137</v>
      </c>
      <c r="D40" s="43" t="s">
        <v>284</v>
      </c>
      <c r="E40" s="40" t="n">
        <v>0</v>
      </c>
      <c r="F40" s="39" t="s">
        <v>287</v>
      </c>
      <c r="G40" s="39"/>
      <c r="H40" s="39"/>
      <c r="I40" s="39"/>
      <c r="J40" s="39"/>
      <c r="K40" s="39"/>
      <c r="L40" s="39"/>
      <c r="M40" s="39"/>
      <c r="N40" s="43"/>
      <c r="O40" s="39"/>
      <c r="P40" s="39"/>
      <c r="Q40" s="16" t="str">
        <f aca="false">IF(C40="",IF(1&gt;0,"Falta o item",""),IF(ISNA(MATCH(C40,$B$25:$B$33,0)),"Item não cadastrado",IF(B40="","Falta a data",IF(D40="","Falta o tipo",IF(E40="","Falta o tempo parado",IF(D40="Corretiva",IF(J40="","Falta a causa",IF(K40="","Falta a ação",IF(N40="","Falta dizer se afetou o produto",IF(AND(N40="Sim",O40=""),"Produto afetado sem tratamento","OK")))),"OK"))))))</f>
        <v>OK</v>
      </c>
    </row>
    <row r="41" customFormat="false" ht="42.75" hidden="false" customHeight="true" outlineLevel="0" collapsed="false">
      <c r="B41" s="44" t="n">
        <v>46489</v>
      </c>
      <c r="C41" s="42" t="s">
        <v>260</v>
      </c>
      <c r="D41" s="43" t="s">
        <v>139</v>
      </c>
      <c r="E41" s="40" t="n">
        <v>9</v>
      </c>
      <c r="F41" s="39" t="s">
        <v>288</v>
      </c>
      <c r="G41" s="39"/>
      <c r="H41" s="39"/>
      <c r="I41" s="39"/>
      <c r="J41" s="39" t="s">
        <v>289</v>
      </c>
      <c r="K41" s="39" t="s">
        <v>290</v>
      </c>
      <c r="L41" s="39"/>
      <c r="M41" s="39"/>
      <c r="N41" s="43" t="s">
        <v>143</v>
      </c>
      <c r="O41" s="39" t="s">
        <v>291</v>
      </c>
      <c r="P41" s="39"/>
      <c r="Q41" s="16" t="str">
        <f aca="false">IF(C41="",IF(1&gt;0,"Falta o item",""),IF(ISNA(MATCH(C41,$B$25:$B$33,0)),"Item não cadastrado",IF(B41="","Falta a data",IF(D41="","Falta o tipo",IF(E41="","Falta o tempo parado",IF(D41="Corretiva",IF(J41="","Falta a causa",IF(K41="","Falta a ação",IF(N41="","Falta dizer se afetou o produto",IF(AND(N41="Sim",O41=""),"Produto afetado sem tratamento","OK")))),"OK"))))))</f>
        <v>OK</v>
      </c>
    </row>
    <row r="42" customFormat="false" ht="30.75" hidden="false" customHeight="true" outlineLevel="0" collapsed="false">
      <c r="B42" s="44" t="n">
        <v>46493</v>
      </c>
      <c r="C42" s="42" t="s">
        <v>274</v>
      </c>
      <c r="D42" s="43" t="s">
        <v>139</v>
      </c>
      <c r="E42" s="40" t="n">
        <v>1.5</v>
      </c>
      <c r="F42" s="39" t="s">
        <v>292</v>
      </c>
      <c r="G42" s="39"/>
      <c r="H42" s="39"/>
      <c r="I42" s="39"/>
      <c r="J42" s="39" t="s">
        <v>293</v>
      </c>
      <c r="K42" s="39" t="s">
        <v>294</v>
      </c>
      <c r="L42" s="39"/>
      <c r="M42" s="39"/>
      <c r="N42" s="43" t="s">
        <v>295</v>
      </c>
      <c r="O42" s="39"/>
      <c r="P42" s="39"/>
      <c r="Q42" s="16" t="str">
        <f aca="false">IF(C42="",IF(1&gt;0,"Falta o item",""),IF(ISNA(MATCH(C42,$B$25:$B$33,0)),"Item não cadastrado",IF(B42="","Falta a data",IF(D42="","Falta o tipo",IF(E42="","Falta o tempo parado",IF(D42="Corretiva",IF(J42="","Falta a causa",IF(K42="","Falta a ação",IF(N42="","Falta dizer se afetou o produto",IF(AND(N42="Sim",O42=""),"Produto afetado sem tratamento","OK")))),"OK"))))))</f>
        <v>OK</v>
      </c>
    </row>
    <row r="43" customFormat="false" ht="42.75" hidden="false" customHeight="true" outlineLevel="0" collapsed="false">
      <c r="B43" s="44" t="n">
        <v>46496</v>
      </c>
      <c r="C43" s="42" t="s">
        <v>137</v>
      </c>
      <c r="D43" s="43" t="s">
        <v>139</v>
      </c>
      <c r="E43" s="40" t="n">
        <v>12</v>
      </c>
      <c r="F43" s="39" t="s">
        <v>296</v>
      </c>
      <c r="G43" s="39"/>
      <c r="H43" s="39"/>
      <c r="I43" s="39"/>
      <c r="J43" s="39" t="s">
        <v>297</v>
      </c>
      <c r="K43" s="39" t="s">
        <v>298</v>
      </c>
      <c r="L43" s="39"/>
      <c r="M43" s="39"/>
      <c r="N43" s="43" t="s">
        <v>143</v>
      </c>
      <c r="O43" s="39" t="s">
        <v>299</v>
      </c>
      <c r="P43" s="39"/>
      <c r="Q43" s="16" t="str">
        <f aca="false">IF(C43="",IF(1&gt;0,"Falta o item",""),IF(ISNA(MATCH(C43,$B$25:$B$33,0)),"Item não cadastrado",IF(B43="","Falta a data",IF(D43="","Falta o tipo",IF(E43="","Falta o tempo parado",IF(D43="Corretiva",IF(J43="","Falta a causa",IF(K43="","Falta a ação",IF(N43="","Falta dizer se afetou o produto",IF(AND(N43="Sim",O43=""),"Produto afetado sem tratamento","OK")))),"OK"))))))</f>
        <v>OK</v>
      </c>
    </row>
    <row r="44" customFormat="false" ht="21.75" hidden="false" customHeight="true" outlineLevel="0" collapsed="false">
      <c r="B44" s="44" t="n">
        <v>46503</v>
      </c>
      <c r="C44" s="42" t="s">
        <v>120</v>
      </c>
      <c r="D44" s="43" t="s">
        <v>139</v>
      </c>
      <c r="E44" s="40" t="n">
        <v>3</v>
      </c>
      <c r="F44" s="39" t="s">
        <v>300</v>
      </c>
      <c r="G44" s="39"/>
      <c r="H44" s="39"/>
      <c r="I44" s="39"/>
      <c r="J44" s="39"/>
      <c r="K44" s="39"/>
      <c r="L44" s="39"/>
      <c r="M44" s="39"/>
      <c r="N44" s="43" t="s">
        <v>295</v>
      </c>
      <c r="O44" s="39"/>
      <c r="P44" s="39"/>
      <c r="Q44" s="16" t="str">
        <f aca="false">IF(C44="",IF(1&gt;0,"Falta o item",""),IF(ISNA(MATCH(C44,$B$25:$B$33,0)),"Item não cadastrado",IF(B44="","Falta a data",IF(D44="","Falta o tipo",IF(E44="","Falta o tempo parado",IF(D44="Corretiva",IF(J44="","Falta a causa",IF(K44="","Falta a ação",IF(N44="","Falta dizer se afetou o produto",IF(AND(N44="Sim",O44=""),"Produto afetado sem tratamento","OK")))),"OK"))))))</f>
        <v>Falta a causa</v>
      </c>
    </row>
    <row r="46" customFormat="false" ht="21.75" hidden="false" customHeight="true" outlineLevel="0" collapsed="false">
      <c r="B46" s="46" t="s">
        <v>32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</row>
    <row r="47" customFormat="false" ht="30" hidden="false" customHeight="true" outlineLevel="0" collapsed="false">
      <c r="B47" s="37" t="s">
        <v>150</v>
      </c>
      <c r="C47" s="37"/>
      <c r="D47" s="13" t="s">
        <v>112</v>
      </c>
      <c r="E47" s="13" t="s">
        <v>113</v>
      </c>
      <c r="F47" s="37" t="s">
        <v>151</v>
      </c>
      <c r="G47" s="37"/>
      <c r="H47" s="37"/>
      <c r="I47" s="13" t="s">
        <v>152</v>
      </c>
      <c r="J47" s="13" t="s">
        <v>155</v>
      </c>
      <c r="K47" s="13" t="s">
        <v>153</v>
      </c>
      <c r="L47" s="13" t="s">
        <v>154</v>
      </c>
      <c r="M47" s="13" t="s">
        <v>301</v>
      </c>
      <c r="N47" s="13" t="s">
        <v>85</v>
      </c>
      <c r="O47" s="37" t="s">
        <v>131</v>
      </c>
      <c r="P47" s="37"/>
      <c r="Q47" s="13" t="s">
        <v>86</v>
      </c>
    </row>
    <row r="48" customFormat="false" ht="42.75" hidden="false" customHeight="true" outlineLevel="0" collapsed="false">
      <c r="B48" s="38" t="s">
        <v>161</v>
      </c>
      <c r="C48" s="38"/>
      <c r="D48" s="43" t="s">
        <v>162</v>
      </c>
      <c r="E48" s="7" t="s">
        <v>163</v>
      </c>
      <c r="F48" s="39" t="s">
        <v>302</v>
      </c>
      <c r="G48" s="39"/>
      <c r="H48" s="39"/>
      <c r="I48" s="47" t="s">
        <v>165</v>
      </c>
      <c r="J48" s="39" t="s">
        <v>303</v>
      </c>
      <c r="K48" s="40"/>
      <c r="L48" s="40" t="n">
        <v>32</v>
      </c>
      <c r="M48" s="40" t="n">
        <v>34</v>
      </c>
      <c r="N48" s="15" t="str">
        <f aca="false">IF(B48="","",IF(M48="","Sem medição",IF(OR(AND(K48&lt;&gt;"",M48&lt;K48),AND(L48&lt;&gt;"",M48&gt;L48)),"Fora","Dentro")))</f>
        <v>Fora</v>
      </c>
      <c r="O48" s="39" t="s">
        <v>304</v>
      </c>
      <c r="P48" s="39"/>
      <c r="Q48" s="16" t="str">
        <f aca="false">IF(B48="","",IF(F48="","Falta por que afeta o produto",IF(J48="","Falta como é controlado",IF(AND(K48="",L48=""),"Falta o limite",IF(N48="Sem medição","Falta a medição",IF(AND(N48="Fora",O48=""),"Fora do limite: falta a ação","OK"))))))</f>
        <v>OK</v>
      </c>
    </row>
    <row r="49" customFormat="false" ht="30.75" hidden="false" customHeight="true" outlineLevel="0" collapsed="false">
      <c r="B49" s="38" t="s">
        <v>305</v>
      </c>
      <c r="C49" s="38"/>
      <c r="D49" s="43" t="s">
        <v>162</v>
      </c>
      <c r="E49" s="7" t="s">
        <v>262</v>
      </c>
      <c r="F49" s="39" t="s">
        <v>306</v>
      </c>
      <c r="G49" s="39"/>
      <c r="H49" s="39"/>
      <c r="I49" s="47" t="s">
        <v>165</v>
      </c>
      <c r="J49" s="39" t="s">
        <v>307</v>
      </c>
      <c r="K49" s="40" t="n">
        <v>0</v>
      </c>
      <c r="L49" s="40" t="n">
        <v>5</v>
      </c>
      <c r="M49" s="40" t="n">
        <v>3.5</v>
      </c>
      <c r="N49" s="15" t="str">
        <f aca="false">IF(B49="","",IF(M49="","Sem medição",IF(OR(AND(K49&lt;&gt;"",M49&lt;K49),AND(L49&lt;&gt;"",M49&gt;L49)),"Fora","Dentro")))</f>
        <v>Dentro</v>
      </c>
      <c r="O49" s="39"/>
      <c r="P49" s="39"/>
      <c r="Q49" s="16" t="str">
        <f aca="false">IF(B49="","",IF(F49="","Falta por que afeta o produto",IF(J49="","Falta como é controlado",IF(AND(K49="",L49=""),"Falta o limite",IF(N49="Sem medição","Falta a medição",IF(AND(N49="Fora",O49=""),"Fora do limite: falta a ação","OK"))))))</f>
        <v>OK</v>
      </c>
    </row>
    <row r="50" customFormat="false" ht="30.75" hidden="false" customHeight="true" outlineLevel="0" collapsed="false">
      <c r="B50" s="38" t="s">
        <v>308</v>
      </c>
      <c r="C50" s="38"/>
      <c r="D50" s="43" t="s">
        <v>162</v>
      </c>
      <c r="E50" s="7" t="s">
        <v>163</v>
      </c>
      <c r="F50" s="39" t="s">
        <v>309</v>
      </c>
      <c r="G50" s="39"/>
      <c r="H50" s="39"/>
      <c r="I50" s="47" t="s">
        <v>310</v>
      </c>
      <c r="J50" s="39" t="s">
        <v>311</v>
      </c>
      <c r="K50" s="40" t="n">
        <v>95</v>
      </c>
      <c r="L50" s="40"/>
      <c r="M50" s="40" t="n">
        <v>88</v>
      </c>
      <c r="N50" s="15" t="str">
        <f aca="false">IF(B50="","",IF(M50="","Sem medição",IF(OR(AND(K50&lt;&gt;"",M50&lt;K50),AND(L50&lt;&gt;"",M50&gt;L50)),"Fora","Dentro")))</f>
        <v>Fora</v>
      </c>
      <c r="O50" s="39"/>
      <c r="P50" s="39"/>
      <c r="Q50" s="16" t="str">
        <f aca="false">IF(B50="","",IF(F50="","Falta por que afeta o produto",IF(J50="","Falta como é controlado",IF(AND(K50="",L50=""),"Falta o limite",IF(N50="Sem medição","Falta a medição",IF(AND(N50="Fora",O50=""),"Fora do limite: falta a ação","OK"))))))</f>
        <v>Fora do limite: falta a ação</v>
      </c>
    </row>
    <row r="51" customFormat="false" ht="30.75" hidden="false" customHeight="true" outlineLevel="0" collapsed="false">
      <c r="B51" s="38" t="s">
        <v>312</v>
      </c>
      <c r="C51" s="38"/>
      <c r="D51" s="43" t="s">
        <v>162</v>
      </c>
      <c r="E51" s="7" t="s">
        <v>249</v>
      </c>
      <c r="F51" s="39" t="s">
        <v>313</v>
      </c>
      <c r="G51" s="39"/>
      <c r="H51" s="39"/>
      <c r="I51" s="47" t="s">
        <v>314</v>
      </c>
      <c r="J51" s="39" t="s">
        <v>315</v>
      </c>
      <c r="K51" s="40" t="n">
        <v>500</v>
      </c>
      <c r="L51" s="40"/>
      <c r="M51" s="40"/>
      <c r="N51" s="15" t="str">
        <f aca="false">IF(B51="","",IF(M51="","Sem medição",IF(OR(AND(K51&lt;&gt;"",M51&lt;K51),AND(L51&lt;&gt;"",M51&gt;L51)),"Fora","Dentro")))</f>
        <v>Sem medição</v>
      </c>
      <c r="O51" s="39"/>
      <c r="P51" s="39"/>
      <c r="Q51" s="16" t="str">
        <f aca="false">IF(B51="","",IF(F51="","Falta por que afeta o produto",IF(J51="","Falta como é controlado",IF(AND(K51="",L51=""),"Falta o limite",IF(N51="Sem medição","Falta a medição",IF(AND(N51="Fora",O51=""),"Fora do limite: falta a ação","OK"))))))</f>
        <v>Falta a medição</v>
      </c>
    </row>
    <row r="52" customFormat="false" ht="30.75" hidden="false" customHeight="true" outlineLevel="0" collapsed="false">
      <c r="B52" s="38" t="s">
        <v>316</v>
      </c>
      <c r="C52" s="38"/>
      <c r="D52" s="43" t="s">
        <v>317</v>
      </c>
      <c r="E52" s="7" t="s">
        <v>163</v>
      </c>
      <c r="F52" s="39" t="s">
        <v>318</v>
      </c>
      <c r="G52" s="39"/>
      <c r="H52" s="39"/>
      <c r="I52" s="47" t="s">
        <v>319</v>
      </c>
      <c r="J52" s="39" t="s">
        <v>320</v>
      </c>
      <c r="K52" s="40"/>
      <c r="L52" s="40" t="n">
        <v>20</v>
      </c>
      <c r="M52" s="40" t="n">
        <v>24</v>
      </c>
      <c r="N52" s="15" t="str">
        <f aca="false">IF(B52="","",IF(M52="","Sem medição",IF(OR(AND(K52&lt;&gt;"",M52&lt;K52),AND(L52&lt;&gt;"",M52&gt;L52)),"Fora","Dentro")))</f>
        <v>Fora</v>
      </c>
      <c r="O52" s="39" t="s">
        <v>321</v>
      </c>
      <c r="P52" s="39"/>
      <c r="Q52" s="16" t="str">
        <f aca="false">IF(B52="","",IF(F52="","Falta por que afeta o produto",IF(J52="","Falta como é controlado",IF(AND(K52="",L52=""),"Falta o limite",IF(N52="Sem medição","Falta a medição",IF(AND(N52="Fora",O52=""),"Fora do limite: falta a ação","OK"))))))</f>
        <v>OK</v>
      </c>
    </row>
    <row r="53" customFormat="false" ht="30.75" hidden="false" customHeight="true" outlineLevel="0" collapsed="false">
      <c r="B53" s="38" t="s">
        <v>322</v>
      </c>
      <c r="C53" s="38"/>
      <c r="D53" s="43" t="s">
        <v>323</v>
      </c>
      <c r="E53" s="7" t="s">
        <v>324</v>
      </c>
      <c r="F53" s="39" t="s">
        <v>325</v>
      </c>
      <c r="G53" s="39"/>
      <c r="H53" s="39"/>
      <c r="I53" s="47" t="s">
        <v>326</v>
      </c>
      <c r="J53" s="39" t="s">
        <v>327</v>
      </c>
      <c r="K53" s="40"/>
      <c r="L53" s="40" t="n">
        <v>6</v>
      </c>
      <c r="M53" s="40" t="n">
        <v>5</v>
      </c>
      <c r="N53" s="15" t="str">
        <f aca="false">IF(B53="","",IF(M53="","Sem medição",IF(OR(AND(K53&lt;&gt;"",M53&lt;K53),AND(L53&lt;&gt;"",M53&gt;L53)),"Fora","Dentro")))</f>
        <v>Dentro</v>
      </c>
      <c r="O53" s="39"/>
      <c r="P53" s="39"/>
      <c r="Q53" s="16" t="str">
        <f aca="false">IF(B53="","",IF(F53="","Falta por que afeta o produto",IF(J53="","Falta como é controlado",IF(AND(K53="",L53=""),"Falta o limite",IF(N53="Sem medição","Falta a medição",IF(AND(N53="Fora",O53=""),"Fora do limite: falta a ação","OK"))))))</f>
        <v>OK</v>
      </c>
    </row>
    <row r="55" customFormat="false" ht="21.75" hidden="false" customHeight="true" outlineLevel="0" collapsed="false">
      <c r="B55" s="17" t="s">
        <v>99</v>
      </c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</row>
    <row r="56" customFormat="false" ht="21.75" hidden="false" customHeight="true" outlineLevel="0" collapsed="false">
      <c r="B56" s="18" t="s">
        <v>48</v>
      </c>
      <c r="C56" s="18"/>
      <c r="D56" s="18"/>
      <c r="E56" s="19" t="str">
        <f aca="false">COUNTIF(L14:L21,"Falta gente")&amp;" funções com falta de gente, "&amp;-SUMIF(K14:K21,"&lt;0")&amp;" pessoas a menos no pico, "&amp;COUNTIF(M14:M21,"Sem pessoa qualificada na escala")&amp;" sem pessoa qualificada"</f>
        <v>2 funções com falta de gente, 3 pessoas a menos no pico, 1 sem pessoa qualificada</v>
      </c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</row>
    <row r="57" customFormat="false" ht="21.75" hidden="false" customHeight="true" outlineLevel="0" collapsed="false">
      <c r="B57" s="18" t="s">
        <v>126</v>
      </c>
      <c r="C57" s="18"/>
      <c r="D57" s="18"/>
      <c r="E57" s="19" t="str">
        <f aca="false">COUNTIF(L25:L33,"Em dia")&amp;" em dia"&amp;", "&amp;COUNTIF(L25:L33,"Vence em 7 dias")&amp;" vence em 7 dias"&amp;", "&amp;COUNTIF(L25:L33,"Atrasada")&amp;" atrasada"&amp;", "&amp;COUNTIF(L25:L33,"Sem plano")&amp;" sem plano"</f>
        <v>2 em dia, 4 vence em 7 dias, 2 atrasada, 1 sem plano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customFormat="false" ht="21.75" hidden="false" customHeight="true" outlineLevel="0" collapsed="false">
      <c r="B58" s="18" t="s">
        <v>127</v>
      </c>
      <c r="C58" s="18"/>
      <c r="D58" s="18"/>
      <c r="E58" s="19" t="str">
        <f aca="false">SUM(M25:M33)&amp;" corretivas, "&amp;SUM(N25:N33)&amp;" horas paradas, "&amp;COUNTIF(O25:O33,"&lt;"&amp;($D$10-0.000000001))&amp;" item abaixo da meta"</f>
        <v>4 corretivas, 25,5 horas paradas, 1 item abaixo da meta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customFormat="false" ht="21.75" hidden="false" customHeight="true" outlineLevel="0" collapsed="false">
      <c r="B59" s="18" t="s">
        <v>32</v>
      </c>
      <c r="C59" s="18"/>
      <c r="D59" s="18"/>
      <c r="E59" s="19" t="str">
        <f aca="false">COUNTIF(N48:N53,"Dentro")&amp;" dentro"&amp;", "&amp;COUNTIF(N48:N53,"Fora")&amp;" fora"&amp;", "&amp;COUNTIF(N48:N53,"Sem medição")&amp;" sem medição"</f>
        <v>2 dentro, 3 fora, 1 sem medição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customFormat="false" ht="21.75" hidden="false" customHeight="true" outlineLevel="0" collapsed="false">
      <c r="B60" s="18" t="s">
        <v>207</v>
      </c>
      <c r="C60" s="18"/>
      <c r="D60" s="18"/>
      <c r="E60" s="19" t="n">
        <f aca="false">SUMPRODUCT((M14:M21&lt;&gt;"OK")*1)+SUMPRODUCT((P25:P33&lt;&gt;"OK")*1)+SUMPRODUCT((Q37:Q44&lt;&gt;"OK")*1)+SUMPRODUCT((Q48:Q53&lt;&gt;"OK")*1)</f>
        <v>9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</sheetData>
  <mergeCells count="104">
    <mergeCell ref="B1:Q1"/>
    <mergeCell ref="B2:Q2"/>
    <mergeCell ref="B4:C4"/>
    <mergeCell ref="D4:Q4"/>
    <mergeCell ref="B5:C5"/>
    <mergeCell ref="D5:Q5"/>
    <mergeCell ref="B6:C6"/>
    <mergeCell ref="D6:Q6"/>
    <mergeCell ref="B7:C7"/>
    <mergeCell ref="D7:Q7"/>
    <mergeCell ref="B8:C8"/>
    <mergeCell ref="B9:C9"/>
    <mergeCell ref="B10:C10"/>
    <mergeCell ref="B12:Q12"/>
    <mergeCell ref="B13:C13"/>
    <mergeCell ref="M13:Q13"/>
    <mergeCell ref="B14:C14"/>
    <mergeCell ref="M14:Q14"/>
    <mergeCell ref="B15:C15"/>
    <mergeCell ref="M15:Q15"/>
    <mergeCell ref="B16:C16"/>
    <mergeCell ref="M16:Q16"/>
    <mergeCell ref="B17:C17"/>
    <mergeCell ref="M17:Q17"/>
    <mergeCell ref="B18:C18"/>
    <mergeCell ref="M18:Q18"/>
    <mergeCell ref="B19:C19"/>
    <mergeCell ref="M19:Q19"/>
    <mergeCell ref="B20:C20"/>
    <mergeCell ref="M20:Q20"/>
    <mergeCell ref="B21:C21"/>
    <mergeCell ref="M21:Q21"/>
    <mergeCell ref="B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B35:Q35"/>
    <mergeCell ref="F36:I36"/>
    <mergeCell ref="K36:M36"/>
    <mergeCell ref="O36:P36"/>
    <mergeCell ref="F37:I37"/>
    <mergeCell ref="K37:M37"/>
    <mergeCell ref="O37:P37"/>
    <mergeCell ref="F38:I38"/>
    <mergeCell ref="K38:M38"/>
    <mergeCell ref="O38:P38"/>
    <mergeCell ref="F39:I39"/>
    <mergeCell ref="K39:M39"/>
    <mergeCell ref="O39:P39"/>
    <mergeCell ref="F40:I40"/>
    <mergeCell ref="K40:M40"/>
    <mergeCell ref="O40:P40"/>
    <mergeCell ref="F41:I41"/>
    <mergeCell ref="K41:M41"/>
    <mergeCell ref="O41:P41"/>
    <mergeCell ref="F42:I42"/>
    <mergeCell ref="K42:M42"/>
    <mergeCell ref="O42:P42"/>
    <mergeCell ref="F43:I43"/>
    <mergeCell ref="K43:M43"/>
    <mergeCell ref="O43:P43"/>
    <mergeCell ref="F44:I44"/>
    <mergeCell ref="K44:M44"/>
    <mergeCell ref="O44:P44"/>
    <mergeCell ref="B46:Q46"/>
    <mergeCell ref="B47:C47"/>
    <mergeCell ref="F47:H47"/>
    <mergeCell ref="O47:P47"/>
    <mergeCell ref="B48:C48"/>
    <mergeCell ref="F48:H48"/>
    <mergeCell ref="O48:P48"/>
    <mergeCell ref="B49:C49"/>
    <mergeCell ref="F49:H49"/>
    <mergeCell ref="O49:P49"/>
    <mergeCell ref="B50:C50"/>
    <mergeCell ref="F50:H50"/>
    <mergeCell ref="O50:P50"/>
    <mergeCell ref="B51:C51"/>
    <mergeCell ref="F51:H51"/>
    <mergeCell ref="O51:P51"/>
    <mergeCell ref="B52:C52"/>
    <mergeCell ref="F52:H52"/>
    <mergeCell ref="O52:P52"/>
    <mergeCell ref="B53:C53"/>
    <mergeCell ref="F53:H53"/>
    <mergeCell ref="O53:P53"/>
    <mergeCell ref="B55:Q55"/>
    <mergeCell ref="B56:D56"/>
    <mergeCell ref="E56:Q56"/>
    <mergeCell ref="B57:D57"/>
    <mergeCell ref="E57:Q57"/>
    <mergeCell ref="B58:D58"/>
    <mergeCell ref="E58:Q58"/>
    <mergeCell ref="B59:D59"/>
    <mergeCell ref="E59:Q59"/>
    <mergeCell ref="B60:D60"/>
    <mergeCell ref="E60:Q60"/>
  </mergeCells>
  <conditionalFormatting sqref="L14:L21">
    <cfRule type="expression" priority="2" aboveAverage="0" equalAverage="0" bottom="0" percent="0" rank="0" text="" dxfId="0">
      <formula>L14="Falta gente"</formula>
    </cfRule>
    <cfRule type="expression" priority="3" aboveAverage="0" equalAverage="0" bottom="0" percent="0" rank="0" text="" dxfId="1">
      <formula>L14="Justo"</formula>
    </cfRule>
    <cfRule type="expression" priority="4" aboveAverage="0" equalAverage="0" bottom="0" percent="0" rank="0" text="" dxfId="2">
      <formula>L14="Com folga"</formula>
    </cfRule>
  </conditionalFormatting>
  <conditionalFormatting sqref="M14:Q21">
    <cfRule type="expression" priority="5" aboveAverage="0" equalAverage="0" bottom="0" percent="0" rank="0" text="" dxfId="2">
      <formula>OR($M14="OK")</formula>
    </cfRule>
    <cfRule type="expression" priority="6" aboveAverage="0" equalAverage="0" bottom="0" percent="0" rank="0" text="" dxfId="3">
      <formula>AND(LEN($M14)&gt;0,NOT(OR($M14="OK")))</formula>
    </cfRule>
  </conditionalFormatting>
  <conditionalFormatting sqref="L25:L33">
    <cfRule type="expression" priority="7" aboveAverage="0" equalAverage="0" bottom="0" percent="0" rank="0" text="" dxfId="2">
      <formula>L25="Em dia"</formula>
    </cfRule>
    <cfRule type="expression" priority="8" aboveAverage="0" equalAverage="0" bottom="0" percent="0" rank="0" text="" dxfId="1">
      <formula>L25="Vence em 7 dias"</formula>
    </cfRule>
    <cfRule type="expression" priority="9" aboveAverage="0" equalAverage="0" bottom="0" percent="0" rank="0" text="" dxfId="0">
      <formula>L25="Atrasada"</formula>
    </cfRule>
    <cfRule type="expression" priority="10" aboveAverage="0" equalAverage="0" bottom="0" percent="0" rank="0" text="" dxfId="4">
      <formula>L25="Sem plano"</formula>
    </cfRule>
  </conditionalFormatting>
  <conditionalFormatting sqref="O25:O33">
    <cfRule type="expression" priority="11" aboveAverage="0" equalAverage="0" bottom="0" percent="0" rank="0" text="" dxfId="0">
      <formula>AND(ISNUMBER(O25),O25&lt;$D$10-0.000000001)</formula>
    </cfRule>
  </conditionalFormatting>
  <conditionalFormatting sqref="P25:Q33">
    <cfRule type="expression" priority="12" aboveAverage="0" equalAverage="0" bottom="0" percent="0" rank="0" text="" dxfId="2">
      <formula>OR($P25="OK")</formula>
    </cfRule>
    <cfRule type="expression" priority="13" aboveAverage="0" equalAverage="0" bottom="0" percent="0" rank="0" text="" dxfId="3">
      <formula>AND(LEN($P25)&gt;0,NOT(OR($P25="OK")))</formula>
    </cfRule>
  </conditionalFormatting>
  <conditionalFormatting sqref="Q37:Q44">
    <cfRule type="expression" priority="14" aboveAverage="0" equalAverage="0" bottom="0" percent="0" rank="0" text="" dxfId="2">
      <formula>Q37="OK"</formula>
    </cfRule>
    <cfRule type="expression" priority="15" aboveAverage="0" equalAverage="0" bottom="0" percent="0" rank="0" text="" dxfId="0">
      <formula>Q37="Produto afetado sem tratamento"</formula>
    </cfRule>
    <cfRule type="expression" priority="16" aboveAverage="0" equalAverage="0" bottom="0" percent="0" rank="0" text="" dxfId="3">
      <formula>LEN(Q37)&gt;0</formula>
    </cfRule>
  </conditionalFormatting>
  <conditionalFormatting sqref="N48:N53">
    <cfRule type="expression" priority="17" aboveAverage="0" equalAverage="0" bottom="0" percent="0" rank="0" text="" dxfId="2">
      <formula>N48="Dentro"</formula>
    </cfRule>
    <cfRule type="expression" priority="18" aboveAverage="0" equalAverage="0" bottom="0" percent="0" rank="0" text="" dxfId="0">
      <formula>N48="Fora"</formula>
    </cfRule>
    <cfRule type="expression" priority="19" aboveAverage="0" equalAverage="0" bottom="0" percent="0" rank="0" text="" dxfId="1">
      <formula>N48="Sem medição"</formula>
    </cfRule>
  </conditionalFormatting>
  <conditionalFormatting sqref="Q48:Q53">
    <cfRule type="expression" priority="20" aboveAverage="0" equalAverage="0" bottom="0" percent="0" rank="0" text="" dxfId="2">
      <formula>Q48="OK"</formula>
    </cfRule>
    <cfRule type="expression" priority="21" aboveAverage="0" equalAverage="0" bottom="0" percent="0" rank="0" text="" dxfId="0">
      <formula>Q48="Fora do limite: falta a ação"</formula>
    </cfRule>
    <cfRule type="expression" priority="22" aboveAverage="0" equalAverage="0" bottom="0" percent="0" rank="0" text="" dxfId="3">
      <formula>LEN(Q48)&gt;0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4" man="true" max="16383" min="0"/>
  </rowBreak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Q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0"/>
    <col collapsed="false" customWidth="true" hidden="false" outlineLevel="0" max="3" min="3" style="0" width="26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9" min="6" style="0" width="11"/>
    <col collapsed="false" customWidth="true" hidden="false" outlineLevel="0" max="10" min="10" style="0" width="30"/>
    <col collapsed="false" customWidth="true" hidden="false" outlineLevel="0" max="11" min="11" style="0" width="11"/>
    <col collapsed="false" customWidth="true" hidden="false" outlineLevel="0" max="12" min="12" style="0" width="15"/>
    <col collapsed="false" customWidth="true" hidden="false" outlineLevel="0" max="13" min="13" style="0" width="10"/>
    <col collapsed="false" customWidth="true" hidden="false" outlineLevel="0" max="15" min="14" style="0" width="12"/>
    <col collapsed="false" customWidth="true" hidden="false" outlineLevel="0" max="16" min="16" style="0" width="14"/>
    <col collapsed="false" customWidth="true" hidden="false" outlineLevel="0" max="17" min="17" style="0" width="28"/>
    <col collapsed="false" customWidth="true" hidden="false" outlineLevel="0" max="18" min="18" style="0" width="2"/>
  </cols>
  <sheetData>
    <row r="1" customFormat="false" ht="31.5" hidden="false" customHeight="true" outlineLevel="0" collapsed="false">
      <c r="B1" s="1" t="s">
        <v>232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19.5" hidden="false" customHeight="true" outlineLevel="0" collapsed="false">
      <c r="B2" s="2" t="s">
        <v>233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customFormat="false" ht="19.5" hidden="false" customHeight="true" outlineLevel="0" collapsed="false">
      <c r="B4" s="4" t="s">
        <v>234</v>
      </c>
      <c r="C4" s="4"/>
      <c r="D4" s="33" t="s">
        <v>328</v>
      </c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customFormat="false" ht="19.5" hidden="false" customHeight="true" outlineLevel="0" collapsed="false">
      <c r="B5" s="4" t="s">
        <v>236</v>
      </c>
      <c r="C5" s="4"/>
      <c r="D5" s="33" t="s">
        <v>329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customFormat="false" ht="19.5" hidden="false" customHeight="true" outlineLevel="0" collapsed="false">
      <c r="B6" s="4" t="s">
        <v>70</v>
      </c>
      <c r="C6" s="4"/>
      <c r="D6" s="33" t="s">
        <v>330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</row>
    <row r="7" customFormat="false" ht="19.5" hidden="false" customHeight="true" outlineLevel="0" collapsed="false">
      <c r="B7" s="4" t="s">
        <v>239</v>
      </c>
      <c r="C7" s="4"/>
      <c r="D7" s="33" t="s">
        <v>331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</row>
    <row r="8" customFormat="false" ht="15" hidden="false" customHeight="true" outlineLevel="0" collapsed="false">
      <c r="B8" s="4" t="s">
        <v>104</v>
      </c>
      <c r="C8" s="4"/>
      <c r="D8" s="34" t="n">
        <v>46569</v>
      </c>
    </row>
    <row r="9" customFormat="false" ht="15" hidden="false" customHeight="true" outlineLevel="0" collapsed="false">
      <c r="B9" s="4" t="s">
        <v>106</v>
      </c>
      <c r="C9" s="4"/>
      <c r="D9" s="34" t="n">
        <v>46599</v>
      </c>
    </row>
    <row r="10" customFormat="false" ht="15" hidden="false" customHeight="true" outlineLevel="0" collapsed="false">
      <c r="B10" s="4" t="s">
        <v>108</v>
      </c>
      <c r="C10" s="4"/>
      <c r="D10" s="35" t="n">
        <v>0.95</v>
      </c>
    </row>
    <row r="12" customFormat="false" ht="21.75" hidden="false" customHeight="true" outlineLevel="0" collapsed="false">
      <c r="B12" s="36" t="s">
        <v>74</v>
      </c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</row>
    <row r="13" customFormat="false" ht="30" hidden="false" customHeight="true" outlineLevel="0" collapsed="false">
      <c r="B13" s="37" t="s">
        <v>77</v>
      </c>
      <c r="C13" s="37"/>
      <c r="D13" s="13" t="s">
        <v>78</v>
      </c>
      <c r="E13" s="13" t="s">
        <v>152</v>
      </c>
      <c r="F13" s="13" t="s">
        <v>241</v>
      </c>
      <c r="G13" s="13" t="s">
        <v>242</v>
      </c>
      <c r="H13" s="13" t="s">
        <v>82</v>
      </c>
      <c r="I13" s="13" t="s">
        <v>83</v>
      </c>
      <c r="J13" s="13" t="s">
        <v>84</v>
      </c>
      <c r="K13" s="13" t="s">
        <v>16</v>
      </c>
      <c r="L13" s="13" t="s">
        <v>85</v>
      </c>
      <c r="M13" s="37" t="s">
        <v>86</v>
      </c>
      <c r="N13" s="37"/>
      <c r="O13" s="37"/>
      <c r="P13" s="37"/>
      <c r="Q13" s="37"/>
    </row>
    <row r="14" customFormat="false" ht="30.75" hidden="false" customHeight="true" outlineLevel="0" collapsed="false">
      <c r="B14" s="38" t="s">
        <v>332</v>
      </c>
      <c r="C14" s="38"/>
      <c r="D14" s="7" t="s">
        <v>333</v>
      </c>
      <c r="E14" s="39" t="s">
        <v>334</v>
      </c>
      <c r="F14" s="40" t="n">
        <v>3</v>
      </c>
      <c r="G14" s="40" t="n">
        <v>1</v>
      </c>
      <c r="H14" s="13" t="n">
        <f aca="false">IF(OR(N(F14)=0,N(G14)=0),"",ROUNDUP(F14/G14,0))</f>
        <v>3</v>
      </c>
      <c r="I14" s="40" t="n">
        <v>3</v>
      </c>
      <c r="J14" s="40" t="n">
        <v>3</v>
      </c>
      <c r="K14" s="14" t="n">
        <f aca="false">IF(OR(H14="",I14=""),"",I14-H14)</f>
        <v>0</v>
      </c>
      <c r="L14" s="15" t="str">
        <f aca="false">IF(K14="","",IF(K14&lt;0,"Falta gente",IF(K14=0,"Justo","Com folga")))</f>
        <v>Justo</v>
      </c>
      <c r="M14" s="16" t="str">
        <f aca="false">IF(B14="","",IF(N(F14)=0,"Falta a demanda",IF(N(G14)=0,"Falta a produtividade",IF(I14="","Falta o número escalado",IF(J14="","Falta o número de qualificados",IF(J14&gt;I14,"Mais qualificados que escalados",IF(K14&lt;0,IF(K14=-1,"Falta 1 pessoa","Faltam "&amp;-K14&amp;" pessoas"),IF(J14=0,"Sem pessoa qualificada na escala","OK"))))))))</f>
        <v>OK</v>
      </c>
      <c r="N14" s="16"/>
      <c r="O14" s="16"/>
      <c r="P14" s="16"/>
      <c r="Q14" s="16"/>
    </row>
    <row r="15" customFormat="false" ht="30.75" hidden="false" customHeight="true" outlineLevel="0" collapsed="false">
      <c r="B15" s="38" t="s">
        <v>332</v>
      </c>
      <c r="C15" s="38"/>
      <c r="D15" s="7" t="s">
        <v>335</v>
      </c>
      <c r="E15" s="39" t="s">
        <v>334</v>
      </c>
      <c r="F15" s="40" t="n">
        <v>3</v>
      </c>
      <c r="G15" s="40" t="n">
        <v>1</v>
      </c>
      <c r="H15" s="13" t="n">
        <f aca="false">IF(OR(N(F15)=0,N(G15)=0),"",ROUNDUP(F15/G15,0))</f>
        <v>3</v>
      </c>
      <c r="I15" s="40" t="n">
        <v>3</v>
      </c>
      <c r="J15" s="40" t="n">
        <v>3</v>
      </c>
      <c r="K15" s="14" t="n">
        <f aca="false">IF(OR(H15="",I15=""),"",I15-H15)</f>
        <v>0</v>
      </c>
      <c r="L15" s="15" t="str">
        <f aca="false">IF(K15="","",IF(K15&lt;0,"Falta gente",IF(K15=0,"Justo","Com folga")))</f>
        <v>Justo</v>
      </c>
      <c r="M15" s="16" t="str">
        <f aca="false">IF(B15="","",IF(N(F15)=0,"Falta a demanda",IF(N(G15)=0,"Falta a produtividade",IF(I15="","Falta o número escalado",IF(J15="","Falta o número de qualificados",IF(J15&gt;I15,"Mais qualificados que escalados",IF(K15&lt;0,IF(K15=-1,"Falta 1 pessoa","Faltam "&amp;-K15&amp;" pessoas"),IF(J15=0,"Sem pessoa qualificada na escala","OK"))))))))</f>
        <v>OK</v>
      </c>
      <c r="N15" s="16"/>
      <c r="O15" s="16"/>
      <c r="P15" s="16"/>
      <c r="Q15" s="16"/>
    </row>
    <row r="16" customFormat="false" ht="30.75" hidden="false" customHeight="true" outlineLevel="0" collapsed="false">
      <c r="B16" s="38" t="s">
        <v>332</v>
      </c>
      <c r="C16" s="38"/>
      <c r="D16" s="7" t="s">
        <v>336</v>
      </c>
      <c r="E16" s="39" t="s">
        <v>334</v>
      </c>
      <c r="F16" s="40" t="n">
        <v>3</v>
      </c>
      <c r="G16" s="40" t="n">
        <v>1</v>
      </c>
      <c r="H16" s="13" t="n">
        <f aca="false">IF(OR(N(F16)=0,N(G16)=0),"",ROUNDUP(F16/G16,0))</f>
        <v>3</v>
      </c>
      <c r="I16" s="40" t="n">
        <v>2</v>
      </c>
      <c r="J16" s="40" t="n">
        <v>2</v>
      </c>
      <c r="K16" s="14" t="n">
        <f aca="false">IF(OR(H16="",I16=""),"",I16-H16)</f>
        <v>-1</v>
      </c>
      <c r="L16" s="15" t="str">
        <f aca="false">IF(K16="","",IF(K16&lt;0,"Falta gente",IF(K16=0,"Justo","Com folga")))</f>
        <v>Falta gente</v>
      </c>
      <c r="M16" s="16" t="str">
        <f aca="false">IF(B16="","",IF(N(F16)=0,"Falta a demanda",IF(N(G16)=0,"Falta a produtividade",IF(I16="","Falta o número escalado",IF(J16="","Falta o número de qualificados",IF(J16&gt;I16,"Mais qualificados que escalados",IF(K16&lt;0,IF(K16=-1,"Falta 1 pessoa","Faltam "&amp;-K16&amp;" pessoas"),IF(J16=0,"Sem pessoa qualificada na escala","OK"))))))))</f>
        <v>Falta 1 pessoa</v>
      </c>
      <c r="N16" s="16"/>
      <c r="O16" s="16"/>
      <c r="P16" s="16"/>
      <c r="Q16" s="16"/>
    </row>
    <row r="17" customFormat="false" ht="30.75" hidden="false" customHeight="true" outlineLevel="0" collapsed="false">
      <c r="B17" s="38" t="s">
        <v>337</v>
      </c>
      <c r="C17" s="38"/>
      <c r="D17" s="7" t="s">
        <v>333</v>
      </c>
      <c r="E17" s="39" t="s">
        <v>338</v>
      </c>
      <c r="F17" s="40" t="n">
        <v>1</v>
      </c>
      <c r="G17" s="40" t="n">
        <v>1</v>
      </c>
      <c r="H17" s="13" t="n">
        <f aca="false">IF(OR(N(F17)=0,N(G17)=0),"",ROUNDUP(F17/G17,0))</f>
        <v>1</v>
      </c>
      <c r="I17" s="40" t="n">
        <v>1</v>
      </c>
      <c r="J17" s="40" t="n">
        <v>1</v>
      </c>
      <c r="K17" s="14" t="n">
        <f aca="false">IF(OR(H17="",I17=""),"",I17-H17)</f>
        <v>0</v>
      </c>
      <c r="L17" s="15" t="str">
        <f aca="false">IF(K17="","",IF(K17&lt;0,"Falta gente",IF(K17=0,"Justo","Com folga")))</f>
        <v>Justo</v>
      </c>
      <c r="M17" s="16" t="str">
        <f aca="false">IF(B17="","",IF(N(F17)=0,"Falta a demanda",IF(N(G17)=0,"Falta a produtividade",IF(I17="","Falta o número escalado",IF(J17="","Falta o número de qualificados",IF(J17&gt;I17,"Mais qualificados que escalados",IF(K17&lt;0,IF(K17=-1,"Falta 1 pessoa","Faltam "&amp;-K17&amp;" pessoas"),IF(J17=0,"Sem pessoa qualificada na escala","OK"))))))))</f>
        <v>OK</v>
      </c>
      <c r="N17" s="16"/>
      <c r="O17" s="16"/>
      <c r="P17" s="16"/>
      <c r="Q17" s="16"/>
    </row>
    <row r="18" customFormat="false" ht="21.75" hidden="false" customHeight="true" outlineLevel="0" collapsed="false">
      <c r="B18" s="38" t="s">
        <v>339</v>
      </c>
      <c r="C18" s="38"/>
      <c r="D18" s="7" t="s">
        <v>333</v>
      </c>
      <c r="E18" s="39" t="s">
        <v>340</v>
      </c>
      <c r="F18" s="40" t="n">
        <v>24</v>
      </c>
      <c r="G18" s="40" t="n">
        <v>8</v>
      </c>
      <c r="H18" s="13" t="n">
        <f aca="false">IF(OR(N(F18)=0,N(G18)=0),"",ROUNDUP(F18/G18,0))</f>
        <v>3</v>
      </c>
      <c r="I18" s="40" t="n">
        <v>3</v>
      </c>
      <c r="J18" s="40" t="n">
        <v>3</v>
      </c>
      <c r="K18" s="14" t="n">
        <f aca="false">IF(OR(H18="",I18=""),"",I18-H18)</f>
        <v>0</v>
      </c>
      <c r="L18" s="15" t="str">
        <f aca="false">IF(K18="","",IF(K18&lt;0,"Falta gente",IF(K18=0,"Justo","Com folga")))</f>
        <v>Justo</v>
      </c>
      <c r="M18" s="16" t="str">
        <f aca="false">IF(B18="","",IF(N(F18)=0,"Falta a demanda",IF(N(G18)=0,"Falta a produtividade",IF(I18="","Falta o número escalado",IF(J18="","Falta o número de qualificados",IF(J18&gt;I18,"Mais qualificados que escalados",IF(K18&lt;0,IF(K18=-1,"Falta 1 pessoa","Faltam "&amp;-K18&amp;" pessoas"),IF(J18=0,"Sem pessoa qualificada na escala","OK"))))))))</f>
        <v>OK</v>
      </c>
      <c r="N18" s="16"/>
      <c r="O18" s="16"/>
      <c r="P18" s="16"/>
      <c r="Q18" s="16"/>
    </row>
    <row r="19" customFormat="false" ht="21.75" hidden="false" customHeight="true" outlineLevel="0" collapsed="false">
      <c r="B19" s="38" t="s">
        <v>339</v>
      </c>
      <c r="C19" s="38"/>
      <c r="D19" s="7" t="s">
        <v>336</v>
      </c>
      <c r="E19" s="39" t="s">
        <v>340</v>
      </c>
      <c r="F19" s="40" t="n">
        <v>24</v>
      </c>
      <c r="G19" s="40" t="n">
        <v>8</v>
      </c>
      <c r="H19" s="13" t="n">
        <f aca="false">IF(OR(N(F19)=0,N(G19)=0),"",ROUNDUP(F19/G19,0))</f>
        <v>3</v>
      </c>
      <c r="I19" s="40" t="n">
        <v>2</v>
      </c>
      <c r="J19" s="40" t="n">
        <v>2</v>
      </c>
      <c r="K19" s="14" t="n">
        <f aca="false">IF(OR(H19="",I19=""),"",I19-H19)</f>
        <v>-1</v>
      </c>
      <c r="L19" s="15" t="str">
        <f aca="false">IF(K19="","",IF(K19&lt;0,"Falta gente",IF(K19=0,"Justo","Com folga")))</f>
        <v>Falta gente</v>
      </c>
      <c r="M19" s="16" t="str">
        <f aca="false">IF(B19="","",IF(N(F19)=0,"Falta a demanda",IF(N(G19)=0,"Falta a produtividade",IF(I19="","Falta o número escalado",IF(J19="","Falta o número de qualificados",IF(J19&gt;I19,"Mais qualificados que escalados",IF(K19&lt;0,IF(K19=-1,"Falta 1 pessoa","Faltam "&amp;-K19&amp;" pessoas"),IF(J19=0,"Sem pessoa qualificada na escala","OK"))))))))</f>
        <v>Falta 1 pessoa</v>
      </c>
      <c r="N19" s="16"/>
      <c r="O19" s="16"/>
      <c r="P19" s="16"/>
      <c r="Q19" s="16"/>
    </row>
    <row r="20" customFormat="false" ht="21.75" hidden="false" customHeight="true" outlineLevel="0" collapsed="false">
      <c r="B20" s="38" t="s">
        <v>341</v>
      </c>
      <c r="C20" s="38"/>
      <c r="D20" s="7" t="s">
        <v>333</v>
      </c>
      <c r="E20" s="39" t="s">
        <v>342</v>
      </c>
      <c r="F20" s="40" t="n">
        <v>5</v>
      </c>
      <c r="G20" s="40" t="n">
        <v>6</v>
      </c>
      <c r="H20" s="13" t="n">
        <f aca="false">IF(OR(N(F20)=0,N(G20)=0),"",ROUNDUP(F20/G20,0))</f>
        <v>1</v>
      </c>
      <c r="I20" s="40" t="n">
        <v>1</v>
      </c>
      <c r="J20" s="40" t="n">
        <v>1</v>
      </c>
      <c r="K20" s="14" t="n">
        <f aca="false">IF(OR(H20="",I20=""),"",I20-H20)</f>
        <v>0</v>
      </c>
      <c r="L20" s="15" t="str">
        <f aca="false">IF(K20="","",IF(K20&lt;0,"Falta gente",IF(K20=0,"Justo","Com folga")))</f>
        <v>Justo</v>
      </c>
      <c r="M20" s="16" t="str">
        <f aca="false">IF(B20="","",IF(N(F20)=0,"Falta a demanda",IF(N(G20)=0,"Falta a produtividade",IF(I20="","Falta o número escalado",IF(J20="","Falta o número de qualificados",IF(J20&gt;I20,"Mais qualificados que escalados",IF(K20&lt;0,IF(K20=-1,"Falta 1 pessoa","Faltam "&amp;-K20&amp;" pessoas"),IF(J20=0,"Sem pessoa qualificada na escala","OK"))))))))</f>
        <v>OK</v>
      </c>
      <c r="N20" s="16"/>
      <c r="O20" s="16"/>
      <c r="P20" s="16"/>
      <c r="Q20" s="16"/>
    </row>
    <row r="21" customFormat="false" ht="21.75" hidden="false" customHeight="true" outlineLevel="0" collapsed="false">
      <c r="B21" s="38" t="s">
        <v>249</v>
      </c>
      <c r="C21" s="38"/>
      <c r="D21" s="7" t="s">
        <v>333</v>
      </c>
      <c r="E21" s="39" t="s">
        <v>343</v>
      </c>
      <c r="F21" s="40" t="n">
        <v>4</v>
      </c>
      <c r="G21" s="40" t="n">
        <v>2</v>
      </c>
      <c r="H21" s="13" t="n">
        <f aca="false">IF(OR(N(F21)=0,N(G21)=0),"",ROUNDUP(F21/G21,0))</f>
        <v>2</v>
      </c>
      <c r="I21" s="40" t="n">
        <v>3</v>
      </c>
      <c r="J21" s="40" t="n">
        <v>3</v>
      </c>
      <c r="K21" s="14" t="n">
        <f aca="false">IF(OR(H21="",I21=""),"",I21-H21)</f>
        <v>1</v>
      </c>
      <c r="L21" s="15" t="str">
        <f aca="false">IF(K21="","",IF(K21&lt;0,"Falta gente",IF(K21=0,"Justo","Com folga")))</f>
        <v>Com folga</v>
      </c>
      <c r="M21" s="16" t="str">
        <f aca="false">IF(B21="","",IF(N(F21)=0,"Falta a demanda",IF(N(G21)=0,"Falta a produtividade",IF(I21="","Falta o número escalado",IF(J21="","Falta o número de qualificados",IF(J21&gt;I21,"Mais qualificados que escalados",IF(K21&lt;0,IF(K21=-1,"Falta 1 pessoa","Faltam "&amp;-K21&amp;" pessoas"),IF(J21=0,"Sem pessoa qualificada na escala","OK"))))))))</f>
        <v>OK</v>
      </c>
      <c r="N21" s="16"/>
      <c r="O21" s="16"/>
      <c r="P21" s="16"/>
      <c r="Q21" s="16"/>
    </row>
    <row r="23" customFormat="false" ht="21.75" hidden="false" customHeight="true" outlineLevel="0" collapsed="false">
      <c r="B23" s="41" t="s">
        <v>50</v>
      </c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</row>
    <row r="24" customFormat="false" ht="30" hidden="false" customHeight="true" outlineLevel="0" collapsed="false">
      <c r="B24" s="13" t="s">
        <v>110</v>
      </c>
      <c r="C24" s="13" t="s">
        <v>111</v>
      </c>
      <c r="D24" s="13" t="s">
        <v>112</v>
      </c>
      <c r="E24" s="13" t="s">
        <v>113</v>
      </c>
      <c r="F24" s="13" t="s">
        <v>66</v>
      </c>
      <c r="G24" s="13" t="s">
        <v>253</v>
      </c>
      <c r="H24" s="13" t="s">
        <v>254</v>
      </c>
      <c r="I24" s="13" t="s">
        <v>116</v>
      </c>
      <c r="J24" s="13" t="s">
        <v>68</v>
      </c>
      <c r="K24" s="13" t="s">
        <v>255</v>
      </c>
      <c r="L24" s="13" t="s">
        <v>85</v>
      </c>
      <c r="M24" s="13" t="s">
        <v>117</v>
      </c>
      <c r="N24" s="13" t="s">
        <v>118</v>
      </c>
      <c r="O24" s="13" t="s">
        <v>119</v>
      </c>
      <c r="P24" s="37" t="s">
        <v>86</v>
      </c>
      <c r="Q24" s="37"/>
    </row>
    <row r="25" customFormat="false" ht="30.75" hidden="false" customHeight="true" outlineLevel="0" collapsed="false">
      <c r="B25" s="42" t="s">
        <v>344</v>
      </c>
      <c r="C25" s="38" t="s">
        <v>345</v>
      </c>
      <c r="D25" s="39" t="s">
        <v>257</v>
      </c>
      <c r="E25" s="7" t="s">
        <v>346</v>
      </c>
      <c r="F25" s="43" t="s">
        <v>258</v>
      </c>
      <c r="G25" s="43" t="n">
        <v>3</v>
      </c>
      <c r="H25" s="44" t="n">
        <v>46517</v>
      </c>
      <c r="I25" s="24" t="n">
        <f aca="false">IF(OR(H25="",G25=""),"",EDATE(H25,G25))</f>
        <v>46609</v>
      </c>
      <c r="J25" s="39" t="s">
        <v>347</v>
      </c>
      <c r="K25" s="40" t="n">
        <v>744</v>
      </c>
      <c r="L25" s="15" t="str">
        <f aca="false">IF(B25="","",IF(G25="","Sem plano",IF(H25="","Atrasada",IF(AND(ISNUMBER($D$9),I25&lt;$D$9),"Atrasada",IF(AND(ISNUMBER($D$9),I25-$D$9&lt;=7),"Vence em 7 dias","Em dia")))))</f>
        <v>Em dia</v>
      </c>
      <c r="M25" s="14" t="n">
        <f aca="false">IF(OR(B25="",$D$8="",$D$9=""),"",COUNTIFS($C$38:$C$45,B25,$D$38:$D$45,"Corretiva",$B$38:$B$45,"&gt;="&amp;$D$8,$B$38:$B$45,"&lt;="&amp;$D$9))</f>
        <v>0</v>
      </c>
      <c r="N25" s="25" t="n">
        <f aca="false">IF(OR(B25="",$D$8="",$D$9=""),"",SUMIFS($E$38:$E$45,$C$38:$C$45,B25,$D$38:$D$45,"Corretiva",$B$38:$B$45,"&gt;="&amp;$D$8,$B$38:$B$45,"&lt;="&amp;$D$9))</f>
        <v>0</v>
      </c>
      <c r="O25" s="26" t="n">
        <f aca="false">IF(OR(N(K25)=0,N25=""),"",(K25-N25)/K25)</f>
        <v>1</v>
      </c>
      <c r="P25" s="16" t="str">
        <f aca="false">IF(B25="","",IF(D25="","Falta o tipo",IF(F25="","Falta a criticidade",IF(AND(OR(F25="Alta",F25="Média"),G25=""),"Sem plano de preventiva",IF(L25="Atrasada","Preventiva atrasada",IF(AND(F25="Alta",J25=""),"Crítico sem contingência",IF(AND(ISNUMBER(O25),ISNUMBER($D$10)),IF(O25&lt;$D$10-0.000000001,"Disponibilidade abaixo da meta","OK"),"OK")))))))</f>
        <v>OK</v>
      </c>
      <c r="Q25" s="16"/>
    </row>
    <row r="26" customFormat="false" ht="30.75" hidden="false" customHeight="true" outlineLevel="0" collapsed="false">
      <c r="B26" s="42" t="s">
        <v>348</v>
      </c>
      <c r="C26" s="38" t="s">
        <v>349</v>
      </c>
      <c r="D26" s="39" t="s">
        <v>257</v>
      </c>
      <c r="E26" s="7" t="s">
        <v>346</v>
      </c>
      <c r="F26" s="43" t="s">
        <v>258</v>
      </c>
      <c r="G26" s="43" t="n">
        <v>3</v>
      </c>
      <c r="H26" s="44" t="n">
        <v>46461</v>
      </c>
      <c r="I26" s="24" t="n">
        <f aca="false">IF(OR(H26="",G26=""),"",EDATE(H26,G26))</f>
        <v>46553</v>
      </c>
      <c r="J26" s="39" t="s">
        <v>350</v>
      </c>
      <c r="K26" s="40" t="n">
        <v>744</v>
      </c>
      <c r="L26" s="15" t="str">
        <f aca="false">IF(B26="","",IF(G26="","Sem plano",IF(H26="","Atrasada",IF(AND(ISNUMBER($D$9),I26&lt;$D$9),"Atrasada",IF(AND(ISNUMBER($D$9),I26-$D$9&lt;=7),"Vence em 7 dias","Em dia")))))</f>
        <v>Atrasada</v>
      </c>
      <c r="M26" s="14" t="n">
        <f aca="false">IF(OR(B26="",$D$8="",$D$9=""),"",COUNTIFS($C$38:$C$45,B26,$D$38:$D$45,"Corretiva",$B$38:$B$45,"&gt;="&amp;$D$8,$B$38:$B$45,"&lt;="&amp;$D$9))</f>
        <v>3</v>
      </c>
      <c r="N26" s="25" t="n">
        <f aca="false">IF(OR(B26="",$D$8="",$D$9=""),"",SUMIFS($E$38:$E$45,$C$38:$C$45,B26,$D$38:$D$45,"Corretiva",$B$38:$B$45,"&gt;="&amp;$D$8,$B$38:$B$45,"&lt;="&amp;$D$9))</f>
        <v>40</v>
      </c>
      <c r="O26" s="26" t="n">
        <f aca="false">IF(OR(N(K26)=0,N26=""),"",(K26-N26)/K26)</f>
        <v>0.946236559139785</v>
      </c>
      <c r="P26" s="16" t="str">
        <f aca="false">IF(B26="","",IF(D26="","Falta o tipo",IF(F26="","Falta a criticidade",IF(AND(OR(F26="Alta",F26="Média"),G26=""),"Sem plano de preventiva",IF(L26="Atrasada","Preventiva atrasada",IF(AND(F26="Alta",J26=""),"Crítico sem contingência",IF(AND(ISNUMBER(O26),ISNUMBER($D$10)),IF(O26&lt;$D$10-0.000000001,"Disponibilidade abaixo da meta","OK"),"OK")))))))</f>
        <v>Preventiva atrasada</v>
      </c>
      <c r="Q26" s="16"/>
    </row>
    <row r="27" customFormat="false" ht="30.75" hidden="false" customHeight="true" outlineLevel="0" collapsed="false">
      <c r="B27" s="42" t="s">
        <v>351</v>
      </c>
      <c r="C27" s="38" t="s">
        <v>352</v>
      </c>
      <c r="D27" s="39" t="s">
        <v>257</v>
      </c>
      <c r="E27" s="7" t="s">
        <v>353</v>
      </c>
      <c r="F27" s="43" t="s">
        <v>258</v>
      </c>
      <c r="G27" s="43" t="n">
        <v>1</v>
      </c>
      <c r="H27" s="44" t="n">
        <v>46588</v>
      </c>
      <c r="I27" s="24" t="n">
        <f aca="false">IF(OR(H27="",G27=""),"",EDATE(H27,G27))</f>
        <v>46619</v>
      </c>
      <c r="J27" s="39" t="s">
        <v>354</v>
      </c>
      <c r="K27" s="40" t="n">
        <v>496</v>
      </c>
      <c r="L27" s="15" t="str">
        <f aca="false">IF(B27="","",IF(G27="","Sem plano",IF(H27="","Atrasada",IF(AND(ISNUMBER($D$9),I27&lt;$D$9),"Atrasada",IF(AND(ISNUMBER($D$9),I27-$D$9&lt;=7),"Vence em 7 dias","Em dia")))))</f>
        <v>Em dia</v>
      </c>
      <c r="M27" s="14" t="n">
        <f aca="false">IF(OR(B27="",$D$8="",$D$9=""),"",COUNTIFS($C$38:$C$45,B27,$D$38:$D$45,"Corretiva",$B$38:$B$45,"&gt;="&amp;$D$8,$B$38:$B$45,"&lt;="&amp;$D$9))</f>
        <v>1</v>
      </c>
      <c r="N27" s="25" t="n">
        <f aca="false">IF(OR(B27="",$D$8="",$D$9=""),"",SUMIFS($E$38:$E$45,$C$38:$C$45,B27,$D$38:$D$45,"Corretiva",$B$38:$B$45,"&gt;="&amp;$D$8,$B$38:$B$45,"&lt;="&amp;$D$9))</f>
        <v>4</v>
      </c>
      <c r="O27" s="26" t="n">
        <f aca="false">IF(OR(N(K27)=0,N27=""),"",(K27-N27)/K27)</f>
        <v>0.991935483870968</v>
      </c>
      <c r="P27" s="16" t="str">
        <f aca="false">IF(B27="","",IF(D27="","Falta o tipo",IF(F27="","Falta a criticidade",IF(AND(OR(F27="Alta",F27="Média"),G27=""),"Sem plano de preventiva",IF(L27="Atrasada","Preventiva atrasada",IF(AND(F27="Alta",J27=""),"Crítico sem contingência",IF(AND(ISNUMBER(O27),ISNUMBER($D$10)),IF(O27&lt;$D$10-0.000000001,"Disponibilidade abaixo da meta","OK"),"OK")))))))</f>
        <v>OK</v>
      </c>
      <c r="Q27" s="16"/>
    </row>
    <row r="28" customFormat="false" ht="21.75" hidden="false" customHeight="true" outlineLevel="0" collapsed="false">
      <c r="B28" s="42" t="s">
        <v>355</v>
      </c>
      <c r="C28" s="38" t="s">
        <v>356</v>
      </c>
      <c r="D28" s="39" t="s">
        <v>257</v>
      </c>
      <c r="E28" s="7" t="s">
        <v>357</v>
      </c>
      <c r="F28" s="43" t="s">
        <v>267</v>
      </c>
      <c r="G28" s="43" t="n">
        <v>6</v>
      </c>
      <c r="H28" s="44" t="n">
        <v>46438</v>
      </c>
      <c r="I28" s="24" t="n">
        <f aca="false">IF(OR(H28="",G28=""),"",EDATE(H28,G28))</f>
        <v>46619</v>
      </c>
      <c r="J28" s="39"/>
      <c r="K28" s="40" t="n">
        <v>744</v>
      </c>
      <c r="L28" s="15" t="str">
        <f aca="false">IF(B28="","",IF(G28="","Sem plano",IF(H28="","Atrasada",IF(AND(ISNUMBER($D$9),I28&lt;$D$9),"Atrasada",IF(AND(ISNUMBER($D$9),I28-$D$9&lt;=7),"Vence em 7 dias","Em dia")))))</f>
        <v>Em dia</v>
      </c>
      <c r="M28" s="14" t="n">
        <f aca="false">IF(OR(B28="",$D$8="",$D$9=""),"",COUNTIFS($C$38:$C$45,B28,$D$38:$D$45,"Corretiva",$B$38:$B$45,"&gt;="&amp;$D$8,$B$38:$B$45,"&lt;="&amp;$D$9))</f>
        <v>0</v>
      </c>
      <c r="N28" s="25" t="n">
        <f aca="false">IF(OR(B28="",$D$8="",$D$9=""),"",SUMIFS($E$38:$E$45,$C$38:$C$45,B28,$D$38:$D$45,"Corretiva",$B$38:$B$45,"&gt;="&amp;$D$8,$B$38:$B$45,"&lt;="&amp;$D$9))</f>
        <v>0</v>
      </c>
      <c r="O28" s="26" t="n">
        <f aca="false">IF(OR(N(K28)=0,N28=""),"",(K28-N28)/K28)</f>
        <v>1</v>
      </c>
      <c r="P28" s="16" t="str">
        <f aca="false">IF(B28="","",IF(D28="","Falta o tipo",IF(F28="","Falta a criticidade",IF(AND(OR(F28="Alta",F28="Média"),G28=""),"Sem plano de preventiva",IF(L28="Atrasada","Preventiva atrasada",IF(AND(F28="Alta",J28=""),"Crítico sem contingência",IF(AND(ISNUMBER(O28),ISNUMBER($D$10)),IF(O28&lt;$D$10-0.000000001,"Disponibilidade abaixo da meta","OK"),"OK")))))))</f>
        <v>OK</v>
      </c>
      <c r="Q28" s="16"/>
    </row>
    <row r="29" customFormat="false" ht="21.75" hidden="false" customHeight="true" outlineLevel="0" collapsed="false">
      <c r="B29" s="42" t="s">
        <v>358</v>
      </c>
      <c r="C29" s="38" t="s">
        <v>359</v>
      </c>
      <c r="D29" s="39" t="s">
        <v>257</v>
      </c>
      <c r="E29" s="7" t="s">
        <v>360</v>
      </c>
      <c r="F29" s="43" t="s">
        <v>258</v>
      </c>
      <c r="G29" s="43" t="n">
        <v>3</v>
      </c>
      <c r="H29" s="44" t="n">
        <v>46540</v>
      </c>
      <c r="I29" s="24" t="n">
        <f aca="false">IF(OR(H29="",G29=""),"",EDATE(H29,G29))</f>
        <v>46632</v>
      </c>
      <c r="J29" s="39"/>
      <c r="K29" s="40" t="n">
        <v>744</v>
      </c>
      <c r="L29" s="15" t="str">
        <f aca="false">IF(B29="","",IF(G29="","Sem plano",IF(H29="","Atrasada",IF(AND(ISNUMBER($D$9),I29&lt;$D$9),"Atrasada",IF(AND(ISNUMBER($D$9),I29-$D$9&lt;=7),"Vence em 7 dias","Em dia")))))</f>
        <v>Em dia</v>
      </c>
      <c r="M29" s="14" t="n">
        <f aca="false">IF(OR(B29="",$D$8="",$D$9=""),"",COUNTIFS($C$38:$C$45,B29,$D$38:$D$45,"Corretiva",$B$38:$B$45,"&gt;="&amp;$D$8,$B$38:$B$45,"&lt;="&amp;$D$9))</f>
        <v>0</v>
      </c>
      <c r="N29" s="25" t="n">
        <f aca="false">IF(OR(B29="",$D$8="",$D$9=""),"",SUMIFS($E$38:$E$45,$C$38:$C$45,B29,$D$38:$D$45,"Corretiva",$B$38:$B$45,"&gt;="&amp;$D$8,$B$38:$B$45,"&lt;="&amp;$D$9))</f>
        <v>0</v>
      </c>
      <c r="O29" s="26" t="n">
        <f aca="false">IF(OR(N(K29)=0,N29=""),"",(K29-N29)/K29)</f>
        <v>1</v>
      </c>
      <c r="P29" s="16" t="str">
        <f aca="false">IF(B29="","",IF(D29="","Falta o tipo",IF(F29="","Falta a criticidade",IF(AND(OR(F29="Alta",F29="Média"),G29=""),"Sem plano de preventiva",IF(L29="Atrasada","Preventiva atrasada",IF(AND(F29="Alta",J29=""),"Crítico sem contingência",IF(AND(ISNUMBER(O29),ISNUMBER($D$10)),IF(O29&lt;$D$10-0.000000001,"Disponibilidade abaixo da meta","OK"),"OK")))))))</f>
        <v>Crítico sem contingência</v>
      </c>
      <c r="Q29" s="16"/>
    </row>
    <row r="30" customFormat="false" ht="42.75" hidden="false" customHeight="true" outlineLevel="0" collapsed="false">
      <c r="B30" s="42" t="s">
        <v>361</v>
      </c>
      <c r="C30" s="38" t="s">
        <v>362</v>
      </c>
      <c r="D30" s="39" t="s">
        <v>257</v>
      </c>
      <c r="E30" s="7" t="s">
        <v>360</v>
      </c>
      <c r="F30" s="43" t="s">
        <v>258</v>
      </c>
      <c r="G30" s="43" t="n">
        <v>6</v>
      </c>
      <c r="H30" s="44" t="n">
        <v>46487</v>
      </c>
      <c r="I30" s="24" t="n">
        <f aca="false">IF(OR(H30="",G30=""),"",EDATE(H30,G30))</f>
        <v>46670</v>
      </c>
      <c r="J30" s="39" t="s">
        <v>363</v>
      </c>
      <c r="K30" s="40" t="n">
        <v>744</v>
      </c>
      <c r="L30" s="15" t="str">
        <f aca="false">IF(B30="","",IF(G30="","Sem plano",IF(H30="","Atrasada",IF(AND(ISNUMBER($D$9),I30&lt;$D$9),"Atrasada",IF(AND(ISNUMBER($D$9),I30-$D$9&lt;=7),"Vence em 7 dias","Em dia")))))</f>
        <v>Em dia</v>
      </c>
      <c r="M30" s="14" t="n">
        <f aca="false">IF(OR(B30="",$D$8="",$D$9=""),"",COUNTIFS($C$38:$C$45,B30,$D$38:$D$45,"Corretiva",$B$38:$B$45,"&gt;="&amp;$D$8,$B$38:$B$45,"&lt;="&amp;$D$9))</f>
        <v>1</v>
      </c>
      <c r="N30" s="25" t="n">
        <f aca="false">IF(OR(B30="",$D$8="",$D$9=""),"",SUMIFS($E$38:$E$45,$C$38:$C$45,B30,$D$38:$D$45,"Corretiva",$B$38:$B$45,"&gt;="&amp;$D$8,$B$38:$B$45,"&lt;="&amp;$D$9))</f>
        <v>8</v>
      </c>
      <c r="O30" s="26" t="n">
        <f aca="false">IF(OR(N(K30)=0,N30=""),"",(K30-N30)/K30)</f>
        <v>0.989247311827957</v>
      </c>
      <c r="P30" s="16" t="str">
        <f aca="false">IF(B30="","",IF(D30="","Falta o tipo",IF(F30="","Falta a criticidade",IF(AND(OR(F30="Alta",F30="Média"),G30=""),"Sem plano de preventiva",IF(L30="Atrasada","Preventiva atrasada",IF(AND(F30="Alta",J30=""),"Crítico sem contingência",IF(AND(ISNUMBER(O30),ISNUMBER($D$10)),IF(O30&lt;$D$10-0.000000001,"Disponibilidade abaixo da meta","OK"),"OK")))))))</f>
        <v>OK</v>
      </c>
      <c r="Q30" s="16"/>
    </row>
    <row r="31" customFormat="false" ht="21.75" hidden="false" customHeight="true" outlineLevel="0" collapsed="false">
      <c r="B31" s="42" t="s">
        <v>364</v>
      </c>
      <c r="C31" s="38" t="s">
        <v>365</v>
      </c>
      <c r="D31" s="39" t="s">
        <v>270</v>
      </c>
      <c r="E31" s="7" t="s">
        <v>249</v>
      </c>
      <c r="F31" s="43" t="s">
        <v>267</v>
      </c>
      <c r="G31" s="43" t="n">
        <v>3</v>
      </c>
      <c r="H31" s="44" t="n">
        <v>46512</v>
      </c>
      <c r="I31" s="24" t="n">
        <f aca="false">IF(OR(H31="",G31=""),"",EDATE(H31,G31))</f>
        <v>46604</v>
      </c>
      <c r="J31" s="39"/>
      <c r="K31" s="40" t="n">
        <v>744</v>
      </c>
      <c r="L31" s="15" t="str">
        <f aca="false">IF(B31="","",IF(G31="","Sem plano",IF(H31="","Atrasada",IF(AND(ISNUMBER($D$9),I31&lt;$D$9),"Atrasada",IF(AND(ISNUMBER($D$9),I31-$D$9&lt;=7),"Vence em 7 dias","Em dia")))))</f>
        <v>Vence em 7 dias</v>
      </c>
      <c r="M31" s="14" t="n">
        <f aca="false">IF(OR(B31="",$D$8="",$D$9=""),"",COUNTIFS($C$38:$C$45,B31,$D$38:$D$45,"Corretiva",$B$38:$B$45,"&gt;="&amp;$D$8,$B$38:$B$45,"&lt;="&amp;$D$9))</f>
        <v>0</v>
      </c>
      <c r="N31" s="25" t="n">
        <f aca="false">IF(OR(B31="",$D$8="",$D$9=""),"",SUMIFS($E$38:$E$45,$C$38:$C$45,B31,$D$38:$D$45,"Corretiva",$B$38:$B$45,"&gt;="&amp;$D$8,$B$38:$B$45,"&lt;="&amp;$D$9))</f>
        <v>0</v>
      </c>
      <c r="O31" s="26" t="n">
        <f aca="false">IF(OR(N(K31)=0,N31=""),"",(K31-N31)/K31)</f>
        <v>1</v>
      </c>
      <c r="P31" s="16" t="str">
        <f aca="false">IF(B31="","",IF(D31="","Falta o tipo",IF(F31="","Falta a criticidade",IF(AND(OR(F31="Alta",F31="Média"),G31=""),"Sem plano de preventiva",IF(L31="Atrasada","Preventiva atrasada",IF(AND(F31="Alta",J31=""),"Crítico sem contingência",IF(AND(ISNUMBER(O31),ISNUMBER($D$10)),IF(O31&lt;$D$10-0.000000001,"Disponibilidade abaixo da meta","OK"),"OK")))))))</f>
        <v>OK</v>
      </c>
      <c r="Q31" s="16"/>
    </row>
    <row r="32" customFormat="false" ht="30.75" hidden="false" customHeight="true" outlineLevel="0" collapsed="false">
      <c r="B32" s="42" t="s">
        <v>366</v>
      </c>
      <c r="C32" s="38" t="s">
        <v>367</v>
      </c>
      <c r="D32" s="39" t="s">
        <v>276</v>
      </c>
      <c r="E32" s="7" t="s">
        <v>368</v>
      </c>
      <c r="F32" s="43" t="s">
        <v>258</v>
      </c>
      <c r="G32" s="43" t="n">
        <v>3</v>
      </c>
      <c r="H32" s="44" t="n">
        <v>46571</v>
      </c>
      <c r="I32" s="24" t="n">
        <f aca="false">IF(OR(H32="",G32=""),"",EDATE(H32,G32))</f>
        <v>46663</v>
      </c>
      <c r="J32" s="39" t="s">
        <v>369</v>
      </c>
      <c r="K32" s="40"/>
      <c r="L32" s="15" t="str">
        <f aca="false">IF(B32="","",IF(G32="","Sem plano",IF(H32="","Atrasada",IF(AND(ISNUMBER($D$9),I32&lt;$D$9),"Atrasada",IF(AND(ISNUMBER($D$9),I32-$D$9&lt;=7),"Vence em 7 dias","Em dia")))))</f>
        <v>Em dia</v>
      </c>
      <c r="M32" s="14" t="n">
        <f aca="false">IF(OR(B32="",$D$8="",$D$9=""),"",COUNTIFS($C$38:$C$45,B32,$D$38:$D$45,"Corretiva",$B$38:$B$45,"&gt;="&amp;$D$8,$B$38:$B$45,"&lt;="&amp;$D$9))</f>
        <v>0</v>
      </c>
      <c r="N32" s="25" t="n">
        <f aca="false">IF(OR(B32="",$D$8="",$D$9=""),"",SUMIFS($E$38:$E$45,$C$38:$C$45,B32,$D$38:$D$45,"Corretiva",$B$38:$B$45,"&gt;="&amp;$D$8,$B$38:$B$45,"&lt;="&amp;$D$9))</f>
        <v>0</v>
      </c>
      <c r="O32" s="26" t="str">
        <f aca="false">IF(OR(N(K32)=0,N32=""),"",(K32-N32)/K32)</f>
        <v/>
      </c>
      <c r="P32" s="16" t="str">
        <f aca="false">IF(B32="","",IF(D32="","Falta o tipo",IF(F32="","Falta a criticidade",IF(AND(OR(F32="Alta",F32="Média"),G32=""),"Sem plano de preventiva",IF(L32="Atrasada","Preventiva atrasada",IF(AND(F32="Alta",J32=""),"Crítico sem contingência",IF(AND(ISNUMBER(O32),ISNUMBER($D$10)),IF(O32&lt;$D$10-0.000000001,"Disponibilidade abaixo da meta","OK"),"OK")))))))</f>
        <v>OK</v>
      </c>
      <c r="Q32" s="16"/>
    </row>
    <row r="33" customFormat="false" ht="30.75" hidden="false" customHeight="true" outlineLevel="0" collapsed="false">
      <c r="B33" s="42" t="s">
        <v>370</v>
      </c>
      <c r="C33" s="38" t="s">
        <v>371</v>
      </c>
      <c r="D33" s="39" t="s">
        <v>280</v>
      </c>
      <c r="E33" s="7" t="s">
        <v>353</v>
      </c>
      <c r="F33" s="43" t="s">
        <v>267</v>
      </c>
      <c r="G33" s="43" t="n">
        <v>12</v>
      </c>
      <c r="H33" s="44" t="n">
        <v>46280</v>
      </c>
      <c r="I33" s="24" t="n">
        <f aca="false">IF(OR(H33="",G33=""),"",EDATE(H33,G33))</f>
        <v>46645</v>
      </c>
      <c r="J33" s="39"/>
      <c r="K33" s="40" t="n">
        <v>496</v>
      </c>
      <c r="L33" s="15" t="str">
        <f aca="false">IF(B33="","",IF(G33="","Sem plano",IF(H33="","Atrasada",IF(AND(ISNUMBER($D$9),I33&lt;$D$9),"Atrasada",IF(AND(ISNUMBER($D$9),I33-$D$9&lt;=7),"Vence em 7 dias","Em dia")))))</f>
        <v>Em dia</v>
      </c>
      <c r="M33" s="14" t="n">
        <f aca="false">IF(OR(B33="",$D$8="",$D$9=""),"",COUNTIFS($C$38:$C$45,B33,$D$38:$D$45,"Corretiva",$B$38:$B$45,"&gt;="&amp;$D$8,$B$38:$B$45,"&lt;="&amp;$D$9))</f>
        <v>0</v>
      </c>
      <c r="N33" s="25" t="n">
        <f aca="false">IF(OR(B33="",$D$8="",$D$9=""),"",SUMIFS($E$38:$E$45,$C$38:$C$45,B33,$D$38:$D$45,"Corretiva",$B$38:$B$45,"&gt;="&amp;$D$8,$B$38:$B$45,"&lt;="&amp;$D$9))</f>
        <v>0</v>
      </c>
      <c r="O33" s="26" t="n">
        <f aca="false">IF(OR(N(K33)=0,N33=""),"",(K33-N33)/K33)</f>
        <v>1</v>
      </c>
      <c r="P33" s="16" t="str">
        <f aca="false">IF(B33="","",IF(D33="","Falta o tipo",IF(F33="","Falta a criticidade",IF(AND(OR(F33="Alta",F33="Média"),G33=""),"Sem plano de preventiva",IF(L33="Atrasada","Preventiva atrasada",IF(AND(F33="Alta",J33=""),"Crítico sem contingência",IF(AND(ISNUMBER(O33),ISNUMBER($D$10)),IF(O33&lt;$D$10-0.000000001,"Disponibilidade abaixo da meta","OK"),"OK")))))))</f>
        <v>OK</v>
      </c>
      <c r="Q33" s="16"/>
    </row>
    <row r="34" customFormat="false" ht="21.75" hidden="false" customHeight="true" outlineLevel="0" collapsed="false">
      <c r="B34" s="42" t="s">
        <v>281</v>
      </c>
      <c r="C34" s="38" t="s">
        <v>372</v>
      </c>
      <c r="D34" s="39" t="s">
        <v>257</v>
      </c>
      <c r="E34" s="7" t="s">
        <v>249</v>
      </c>
      <c r="F34" s="43" t="s">
        <v>283</v>
      </c>
      <c r="G34" s="43"/>
      <c r="H34" s="44"/>
      <c r="I34" s="24" t="str">
        <f aca="false">IF(OR(H34="",G34=""),"",EDATE(H34,G34))</f>
        <v/>
      </c>
      <c r="J34" s="39"/>
      <c r="K34" s="40"/>
      <c r="L34" s="15" t="str">
        <f aca="false">IF(B34="","",IF(G34="","Sem plano",IF(H34="","Atrasada",IF(AND(ISNUMBER($D$9),I34&lt;$D$9),"Atrasada",IF(AND(ISNUMBER($D$9),I34-$D$9&lt;=7),"Vence em 7 dias","Em dia")))))</f>
        <v>Sem plano</v>
      </c>
      <c r="M34" s="14" t="n">
        <f aca="false">IF(OR(B34="",$D$8="",$D$9=""),"",COUNTIFS($C$38:$C$45,B34,$D$38:$D$45,"Corretiva",$B$38:$B$45,"&gt;="&amp;$D$8,$B$38:$B$45,"&lt;="&amp;$D$9))</f>
        <v>0</v>
      </c>
      <c r="N34" s="25" t="n">
        <f aca="false">IF(OR(B34="",$D$8="",$D$9=""),"",SUMIFS($E$38:$E$45,$C$38:$C$45,B34,$D$38:$D$45,"Corretiva",$B$38:$B$45,"&gt;="&amp;$D$8,$B$38:$B$45,"&lt;="&amp;$D$9))</f>
        <v>0</v>
      </c>
      <c r="O34" s="26" t="str">
        <f aca="false">IF(OR(N(K34)=0,N34=""),"",(K34-N34)/K34)</f>
        <v/>
      </c>
      <c r="P34" s="16" t="str">
        <f aca="false">IF(B34="","",IF(D34="","Falta o tipo",IF(F34="","Falta a criticidade",IF(AND(OR(F34="Alta",F34="Média"),G34=""),"Sem plano de preventiva",IF(L34="Atrasada","Preventiva atrasada",IF(AND(F34="Alta",J34=""),"Crítico sem contingência",IF(AND(ISNUMBER(O34),ISNUMBER($D$10)),IF(O34&lt;$D$10-0.000000001,"Disponibilidade abaixo da meta","OK"),"OK")))))))</f>
        <v>OK</v>
      </c>
      <c r="Q34" s="16"/>
    </row>
    <row r="36" customFormat="false" ht="21.75" hidden="false" customHeight="true" outlineLevel="0" collapsed="false">
      <c r="B36" s="45" t="s">
        <v>52</v>
      </c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customFormat="false" ht="30" hidden="false" customHeight="true" outlineLevel="0" collapsed="false">
      <c r="B37" s="13" t="s">
        <v>122</v>
      </c>
      <c r="C37" s="13" t="s">
        <v>110</v>
      </c>
      <c r="D37" s="13" t="s">
        <v>112</v>
      </c>
      <c r="E37" s="13" t="s">
        <v>118</v>
      </c>
      <c r="F37" s="37" t="s">
        <v>129</v>
      </c>
      <c r="G37" s="37"/>
      <c r="H37" s="37"/>
      <c r="I37" s="37"/>
      <c r="J37" s="13" t="s">
        <v>130</v>
      </c>
      <c r="K37" s="37" t="s">
        <v>131</v>
      </c>
      <c r="L37" s="37"/>
      <c r="M37" s="37"/>
      <c r="N37" s="13" t="s">
        <v>132</v>
      </c>
      <c r="O37" s="37" t="s">
        <v>133</v>
      </c>
      <c r="P37" s="37"/>
      <c r="Q37" s="13" t="s">
        <v>86</v>
      </c>
    </row>
    <row r="38" customFormat="false" ht="21.75" hidden="false" customHeight="true" outlineLevel="0" collapsed="false">
      <c r="B38" s="44" t="n">
        <v>46566</v>
      </c>
      <c r="C38" s="42" t="s">
        <v>348</v>
      </c>
      <c r="D38" s="43" t="s">
        <v>139</v>
      </c>
      <c r="E38" s="40" t="n">
        <v>10</v>
      </c>
      <c r="F38" s="39" t="s">
        <v>373</v>
      </c>
      <c r="G38" s="39"/>
      <c r="H38" s="39"/>
      <c r="I38" s="39"/>
      <c r="J38" s="39" t="s">
        <v>374</v>
      </c>
      <c r="K38" s="39" t="s">
        <v>375</v>
      </c>
      <c r="L38" s="39"/>
      <c r="M38" s="39"/>
      <c r="N38" s="43" t="s">
        <v>295</v>
      </c>
      <c r="O38" s="39"/>
      <c r="P38" s="39"/>
      <c r="Q38" s="16" t="str">
        <f aca="false">IF(C38="",IF(1&gt;0,"Falta o item",""),IF(ISNA(MATCH(C38,$B$25:$B$34,0)),"Item não cadastrado",IF(B38="","Falta a data",IF(D38="","Falta o tipo",IF(E38="","Falta o tempo parado",IF(D38="Corretiva",IF(J38="","Falta a causa",IF(K38="","Falta a ação",IF(N38="","Falta dizer se afetou o produto",IF(AND(N38="Sim",O38=""),"Produto afetado sem tratamento","OK")))),"OK"))))))</f>
        <v>OK</v>
      </c>
    </row>
    <row r="39" customFormat="false" ht="30.75" hidden="false" customHeight="true" outlineLevel="0" collapsed="false">
      <c r="B39" s="44" t="n">
        <v>46571</v>
      </c>
      <c r="C39" s="42" t="s">
        <v>366</v>
      </c>
      <c r="D39" s="43" t="s">
        <v>284</v>
      </c>
      <c r="E39" s="40" t="n">
        <v>0</v>
      </c>
      <c r="F39" s="39" t="s">
        <v>376</v>
      </c>
      <c r="G39" s="39"/>
      <c r="H39" s="39"/>
      <c r="I39" s="39"/>
      <c r="J39" s="39"/>
      <c r="K39" s="39"/>
      <c r="L39" s="39"/>
      <c r="M39" s="39"/>
      <c r="N39" s="43"/>
      <c r="O39" s="39"/>
      <c r="P39" s="39"/>
      <c r="Q39" s="16" t="str">
        <f aca="false">IF(C39="",IF(1&gt;0,"Falta o item",""),IF(ISNA(MATCH(C39,$B$25:$B$34,0)),"Item não cadastrado",IF(B39="","Falta a data",IF(D39="","Falta o tipo",IF(E39="","Falta o tempo parado",IF(D39="Corretiva",IF(J39="","Falta a causa",IF(K39="","Falta a ação",IF(N39="","Falta dizer se afetou o produto",IF(AND(N39="Sim",O39=""),"Produto afetado sem tratamento","OK")))),"OK"))))))</f>
        <v>OK</v>
      </c>
    </row>
    <row r="40" customFormat="false" ht="42.75" hidden="false" customHeight="true" outlineLevel="0" collapsed="false">
      <c r="B40" s="44" t="n">
        <v>46574</v>
      </c>
      <c r="C40" s="42" t="s">
        <v>348</v>
      </c>
      <c r="D40" s="43" t="s">
        <v>139</v>
      </c>
      <c r="E40" s="40" t="n">
        <v>14</v>
      </c>
      <c r="F40" s="39" t="s">
        <v>377</v>
      </c>
      <c r="G40" s="39"/>
      <c r="H40" s="39"/>
      <c r="I40" s="39"/>
      <c r="J40" s="39" t="s">
        <v>378</v>
      </c>
      <c r="K40" s="39" t="s">
        <v>379</v>
      </c>
      <c r="L40" s="39"/>
      <c r="M40" s="39"/>
      <c r="N40" s="43" t="s">
        <v>143</v>
      </c>
      <c r="O40" s="39" t="s">
        <v>380</v>
      </c>
      <c r="P40" s="39"/>
      <c r="Q40" s="16" t="str">
        <f aca="false">IF(C40="",IF(1&gt;0,"Falta o item",""),IF(ISNA(MATCH(C40,$B$25:$B$34,0)),"Item não cadastrado",IF(B40="","Falta a data",IF(D40="","Falta o tipo",IF(E40="","Falta o tempo parado",IF(D40="Corretiva",IF(J40="","Falta a causa",IF(K40="","Falta a ação",IF(N40="","Falta dizer se afetou o produto",IF(AND(N40="Sim",O40=""),"Produto afetado sem tratamento","OK")))),"OK"))))))</f>
        <v>OK</v>
      </c>
    </row>
    <row r="41" customFormat="false" ht="30.75" hidden="false" customHeight="true" outlineLevel="0" collapsed="false">
      <c r="B41" s="44" t="n">
        <v>46580</v>
      </c>
      <c r="C41" s="42" t="s">
        <v>351</v>
      </c>
      <c r="D41" s="43" t="s">
        <v>139</v>
      </c>
      <c r="E41" s="40" t="n">
        <v>4</v>
      </c>
      <c r="F41" s="39" t="s">
        <v>381</v>
      </c>
      <c r="G41" s="39"/>
      <c r="H41" s="39"/>
      <c r="I41" s="39"/>
      <c r="J41" s="39" t="s">
        <v>382</v>
      </c>
      <c r="K41" s="39" t="s">
        <v>383</v>
      </c>
      <c r="L41" s="39"/>
      <c r="M41" s="39"/>
      <c r="N41" s="43" t="s">
        <v>295</v>
      </c>
      <c r="O41" s="39"/>
      <c r="P41" s="39"/>
      <c r="Q41" s="16" t="str">
        <f aca="false">IF(C41="",IF(1&gt;0,"Falta o item",""),IF(ISNA(MATCH(C41,$B$25:$B$34,0)),"Item não cadastrado",IF(B41="","Falta a data",IF(D41="","Falta o tipo",IF(E41="","Falta o tempo parado",IF(D41="Corretiva",IF(J41="","Falta a causa",IF(K41="","Falta a ação",IF(N41="","Falta dizer se afetou o produto",IF(AND(N41="Sim",O41=""),"Produto afetado sem tratamento","OK")))),"OK"))))))</f>
        <v>OK</v>
      </c>
    </row>
    <row r="42" customFormat="false" ht="42.75" hidden="false" customHeight="true" outlineLevel="0" collapsed="false">
      <c r="B42" s="44" t="n">
        <v>46586</v>
      </c>
      <c r="C42" s="42" t="s">
        <v>348</v>
      </c>
      <c r="D42" s="43" t="s">
        <v>139</v>
      </c>
      <c r="E42" s="40" t="n">
        <v>20</v>
      </c>
      <c r="F42" s="39" t="s">
        <v>384</v>
      </c>
      <c r="G42" s="39"/>
      <c r="H42" s="39"/>
      <c r="I42" s="39"/>
      <c r="J42" s="39" t="s">
        <v>385</v>
      </c>
      <c r="K42" s="39" t="s">
        <v>386</v>
      </c>
      <c r="L42" s="39"/>
      <c r="M42" s="39"/>
      <c r="N42" s="43" t="s">
        <v>143</v>
      </c>
      <c r="O42" s="39" t="s">
        <v>387</v>
      </c>
      <c r="P42" s="39"/>
      <c r="Q42" s="16" t="str">
        <f aca="false">IF(C42="",IF(1&gt;0,"Falta o item",""),IF(ISNA(MATCH(C42,$B$25:$B$34,0)),"Item não cadastrado",IF(B42="","Falta a data",IF(D42="","Falta o tipo",IF(E42="","Falta o tempo parado",IF(D42="Corretiva",IF(J42="","Falta a causa",IF(K42="","Falta a ação",IF(N42="","Falta dizer se afetou o produto",IF(AND(N42="Sim",O42=""),"Produto afetado sem tratamento","OK")))),"OK"))))))</f>
        <v>OK</v>
      </c>
    </row>
    <row r="43" customFormat="false" ht="21.75" hidden="false" customHeight="true" outlineLevel="0" collapsed="false">
      <c r="B43" s="44" t="n">
        <v>46588</v>
      </c>
      <c r="C43" s="42" t="s">
        <v>351</v>
      </c>
      <c r="D43" s="43" t="s">
        <v>284</v>
      </c>
      <c r="E43" s="40" t="n">
        <v>6</v>
      </c>
      <c r="F43" s="39" t="s">
        <v>388</v>
      </c>
      <c r="G43" s="39"/>
      <c r="H43" s="39"/>
      <c r="I43" s="39"/>
      <c r="J43" s="39"/>
      <c r="K43" s="39"/>
      <c r="L43" s="39"/>
      <c r="M43" s="39"/>
      <c r="N43" s="43"/>
      <c r="O43" s="39"/>
      <c r="P43" s="39"/>
      <c r="Q43" s="16" t="str">
        <f aca="false">IF(C43="",IF(1&gt;0,"Falta o item",""),IF(ISNA(MATCH(C43,$B$25:$B$34,0)),"Item não cadastrado",IF(B43="","Falta a data",IF(D43="","Falta o tipo",IF(E43="","Falta o tempo parado",IF(D43="Corretiva",IF(J43="","Falta a causa",IF(K43="","Falta a ação",IF(N43="","Falta dizer se afetou o produto",IF(AND(N43="Sim",O43=""),"Produto afetado sem tratamento","OK")))),"OK"))))))</f>
        <v>OK</v>
      </c>
    </row>
    <row r="44" customFormat="false" ht="30.75" hidden="false" customHeight="true" outlineLevel="0" collapsed="false">
      <c r="B44" s="44" t="n">
        <v>46590</v>
      </c>
      <c r="C44" s="42" t="s">
        <v>361</v>
      </c>
      <c r="D44" s="43" t="s">
        <v>139</v>
      </c>
      <c r="E44" s="40" t="n">
        <v>8</v>
      </c>
      <c r="F44" s="39" t="s">
        <v>389</v>
      </c>
      <c r="G44" s="39"/>
      <c r="H44" s="39"/>
      <c r="I44" s="39"/>
      <c r="J44" s="39" t="s">
        <v>390</v>
      </c>
      <c r="K44" s="39" t="s">
        <v>391</v>
      </c>
      <c r="L44" s="39"/>
      <c r="M44" s="39"/>
      <c r="N44" s="43" t="s">
        <v>143</v>
      </c>
      <c r="O44" s="39"/>
      <c r="P44" s="39"/>
      <c r="Q44" s="16" t="str">
        <f aca="false">IF(C44="",IF(1&gt;0,"Falta o item",""),IF(ISNA(MATCH(C44,$B$25:$B$34,0)),"Item não cadastrado",IF(B44="","Falta a data",IF(D44="","Falta o tipo",IF(E44="","Falta o tempo parado",IF(D44="Corretiva",IF(J44="","Falta a causa",IF(K44="","Falta a ação",IF(N44="","Falta dizer se afetou o produto",IF(AND(N44="Sim",O44=""),"Produto afetado sem tratamento","OK")))),"OK"))))))</f>
        <v>Produto afetado sem tratamento</v>
      </c>
    </row>
    <row r="45" customFormat="false" ht="30.75" hidden="false" customHeight="true" outlineLevel="0" collapsed="false">
      <c r="B45" s="44" t="n">
        <v>46595</v>
      </c>
      <c r="C45" s="42" t="s">
        <v>348</v>
      </c>
      <c r="D45" s="43" t="s">
        <v>139</v>
      </c>
      <c r="E45" s="40" t="n">
        <v>6</v>
      </c>
      <c r="F45" s="39" t="s">
        <v>392</v>
      </c>
      <c r="G45" s="39"/>
      <c r="H45" s="39"/>
      <c r="I45" s="39"/>
      <c r="J45" s="39" t="s">
        <v>393</v>
      </c>
      <c r="K45" s="39" t="s">
        <v>394</v>
      </c>
      <c r="L45" s="39"/>
      <c r="M45" s="39"/>
      <c r="N45" s="43" t="s">
        <v>295</v>
      </c>
      <c r="O45" s="39"/>
      <c r="P45" s="39"/>
      <c r="Q45" s="16" t="str">
        <f aca="false">IF(C45="",IF(1&gt;0,"Falta o item",""),IF(ISNA(MATCH(C45,$B$25:$B$34,0)),"Item não cadastrado",IF(B45="","Falta a data",IF(D45="","Falta o tipo",IF(E45="","Falta o tempo parado",IF(D45="Corretiva",IF(J45="","Falta a causa",IF(K45="","Falta a ação",IF(N45="","Falta dizer se afetou o produto",IF(AND(N45="Sim",O45=""),"Produto afetado sem tratamento","OK")))),"OK"))))))</f>
        <v>OK</v>
      </c>
    </row>
    <row r="47" customFormat="false" ht="21.75" hidden="false" customHeight="true" outlineLevel="0" collapsed="false">
      <c r="B47" s="46" t="s">
        <v>32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</row>
    <row r="48" customFormat="false" ht="30" hidden="false" customHeight="true" outlineLevel="0" collapsed="false">
      <c r="B48" s="37" t="s">
        <v>150</v>
      </c>
      <c r="C48" s="37"/>
      <c r="D48" s="13" t="s">
        <v>112</v>
      </c>
      <c r="E48" s="13" t="s">
        <v>113</v>
      </c>
      <c r="F48" s="37" t="s">
        <v>151</v>
      </c>
      <c r="G48" s="37"/>
      <c r="H48" s="37"/>
      <c r="I48" s="13" t="s">
        <v>152</v>
      </c>
      <c r="J48" s="13" t="s">
        <v>155</v>
      </c>
      <c r="K48" s="13" t="s">
        <v>153</v>
      </c>
      <c r="L48" s="13" t="s">
        <v>154</v>
      </c>
      <c r="M48" s="13" t="s">
        <v>301</v>
      </c>
      <c r="N48" s="13" t="s">
        <v>85</v>
      </c>
      <c r="O48" s="37" t="s">
        <v>131</v>
      </c>
      <c r="P48" s="37"/>
      <c r="Q48" s="13" t="s">
        <v>86</v>
      </c>
    </row>
    <row r="49" customFormat="false" ht="42.75" hidden="false" customHeight="true" outlineLevel="0" collapsed="false">
      <c r="B49" s="38" t="s">
        <v>395</v>
      </c>
      <c r="C49" s="38"/>
      <c r="D49" s="43" t="s">
        <v>162</v>
      </c>
      <c r="E49" s="7" t="s">
        <v>353</v>
      </c>
      <c r="F49" s="39" t="s">
        <v>396</v>
      </c>
      <c r="G49" s="39"/>
      <c r="H49" s="39"/>
      <c r="I49" s="47" t="s">
        <v>165</v>
      </c>
      <c r="J49" s="39" t="s">
        <v>397</v>
      </c>
      <c r="K49" s="40" t="n">
        <v>18</v>
      </c>
      <c r="L49" s="40" t="n">
        <v>28</v>
      </c>
      <c r="M49" s="40" t="n">
        <v>31</v>
      </c>
      <c r="N49" s="15" t="str">
        <f aca="false">IF(B49="","",IF(M49="","Sem medição",IF(OR(AND(K49&lt;&gt;"",M49&lt;K49),AND(L49&lt;&gt;"",M49&gt;L49)),"Fora","Dentro")))</f>
        <v>Fora</v>
      </c>
      <c r="O49" s="39" t="s">
        <v>398</v>
      </c>
      <c r="P49" s="39"/>
      <c r="Q49" s="16" t="str">
        <f aca="false">IF(B49="","",IF(F49="","Falta por que afeta o produto",IF(J49="","Falta como é controlado",IF(AND(K49="",L49=""),"Falta o limite",IF(N49="Sem medição","Falta a medição",IF(AND(N49="Fora",O49=""),"Fora do limite: falta a ação","OK"))))))</f>
        <v>OK</v>
      </c>
    </row>
    <row r="50" customFormat="false" ht="30.75" hidden="false" customHeight="true" outlineLevel="0" collapsed="false">
      <c r="B50" s="38" t="s">
        <v>399</v>
      </c>
      <c r="C50" s="38"/>
      <c r="D50" s="43" t="s">
        <v>162</v>
      </c>
      <c r="E50" s="7" t="s">
        <v>353</v>
      </c>
      <c r="F50" s="39" t="s">
        <v>400</v>
      </c>
      <c r="G50" s="39"/>
      <c r="H50" s="39"/>
      <c r="I50" s="47" t="s">
        <v>401</v>
      </c>
      <c r="J50" s="39" t="s">
        <v>397</v>
      </c>
      <c r="K50" s="40" t="n">
        <v>40</v>
      </c>
      <c r="L50" s="40" t="n">
        <v>65</v>
      </c>
      <c r="M50" s="40" t="n">
        <v>52</v>
      </c>
      <c r="N50" s="15" t="str">
        <f aca="false">IF(B50="","",IF(M50="","Sem medição",IF(OR(AND(K50&lt;&gt;"",M50&lt;K50),AND(L50&lt;&gt;"",M50&gt;L50)),"Fora","Dentro")))</f>
        <v>Dentro</v>
      </c>
      <c r="O50" s="39"/>
      <c r="P50" s="39"/>
      <c r="Q50" s="16" t="str">
        <f aca="false">IF(B50="","",IF(F50="","Falta por que afeta o produto",IF(J50="","Falta como é controlado",IF(AND(K50="",L50=""),"Falta o limite",IF(N50="Sem medição","Falta a medição",IF(AND(N50="Fora",O50=""),"Fora do limite: falta a ação","OK"))))))</f>
        <v>OK</v>
      </c>
    </row>
    <row r="51" customFormat="false" ht="42.75" hidden="false" customHeight="true" outlineLevel="0" collapsed="false">
      <c r="B51" s="38" t="s">
        <v>402</v>
      </c>
      <c r="C51" s="38"/>
      <c r="D51" s="43" t="s">
        <v>162</v>
      </c>
      <c r="E51" s="7" t="s">
        <v>346</v>
      </c>
      <c r="F51" s="39" t="s">
        <v>403</v>
      </c>
      <c r="G51" s="39"/>
      <c r="H51" s="39"/>
      <c r="I51" s="47" t="s">
        <v>404</v>
      </c>
      <c r="J51" s="39" t="s">
        <v>405</v>
      </c>
      <c r="K51" s="40"/>
      <c r="L51" s="40" t="n">
        <v>85</v>
      </c>
      <c r="M51" s="40" t="n">
        <v>88</v>
      </c>
      <c r="N51" s="15" t="str">
        <f aca="false">IF(B51="","",IF(M51="","Sem medição",IF(OR(AND(K51&lt;&gt;"",M51&lt;K51),AND(L51&lt;&gt;"",M51&gt;L51)),"Fora","Dentro")))</f>
        <v>Fora</v>
      </c>
      <c r="O51" s="39" t="s">
        <v>406</v>
      </c>
      <c r="P51" s="39"/>
      <c r="Q51" s="16" t="str">
        <f aca="false">IF(B51="","",IF(F51="","Falta por que afeta o produto",IF(J51="","Falta como é controlado",IF(AND(K51="",L51=""),"Falta o limite",IF(N51="Sem medição","Falta a medição",IF(AND(N51="Fora",O51=""),"Fora do limite: falta a ação","OK"))))))</f>
        <v>OK</v>
      </c>
    </row>
    <row r="52" customFormat="false" ht="30.75" hidden="false" customHeight="true" outlineLevel="0" collapsed="false">
      <c r="B52" s="38" t="s">
        <v>407</v>
      </c>
      <c r="C52" s="38"/>
      <c r="D52" s="43" t="s">
        <v>162</v>
      </c>
      <c r="E52" s="7" t="s">
        <v>357</v>
      </c>
      <c r="F52" s="39" t="s">
        <v>408</v>
      </c>
      <c r="G52" s="39"/>
      <c r="H52" s="39"/>
      <c r="I52" s="47" t="s">
        <v>310</v>
      </c>
      <c r="J52" s="39" t="s">
        <v>409</v>
      </c>
      <c r="K52" s="40" t="n">
        <v>95</v>
      </c>
      <c r="L52" s="40"/>
      <c r="M52" s="40" t="n">
        <v>97</v>
      </c>
      <c r="N52" s="15" t="str">
        <f aca="false">IF(B52="","",IF(M52="","Sem medição",IF(OR(AND(K52&lt;&gt;"",M52&lt;K52),AND(L52&lt;&gt;"",M52&gt;L52)),"Fora","Dentro")))</f>
        <v>Dentro</v>
      </c>
      <c r="O52" s="39"/>
      <c r="P52" s="39"/>
      <c r="Q52" s="16" t="str">
        <f aca="false">IF(B52="","",IF(F52="","Falta por que afeta o produto",IF(J52="","Falta como é controlado",IF(AND(K52="",L52=""),"Falta o limite",IF(N52="Sem medição","Falta a medição",IF(AND(N52="Fora",O52=""),"Fora do limite: falta a ação","OK"))))))</f>
        <v>OK</v>
      </c>
    </row>
    <row r="53" customFormat="false" ht="30.75" hidden="false" customHeight="true" outlineLevel="0" collapsed="false">
      <c r="B53" s="38" t="s">
        <v>410</v>
      </c>
      <c r="C53" s="38"/>
      <c r="D53" s="43" t="s">
        <v>323</v>
      </c>
      <c r="E53" s="7" t="s">
        <v>336</v>
      </c>
      <c r="F53" s="39" t="s">
        <v>411</v>
      </c>
      <c r="G53" s="39"/>
      <c r="H53" s="39"/>
      <c r="I53" s="47" t="s">
        <v>326</v>
      </c>
      <c r="J53" s="39" t="s">
        <v>412</v>
      </c>
      <c r="K53" s="40"/>
      <c r="L53" s="40" t="n">
        <v>16</v>
      </c>
      <c r="M53" s="40" t="n">
        <v>22</v>
      </c>
      <c r="N53" s="15" t="str">
        <f aca="false">IF(B53="","",IF(M53="","Sem medição",IF(OR(AND(K53&lt;&gt;"",M53&lt;K53),AND(L53&lt;&gt;"",M53&gt;L53)),"Fora","Dentro")))</f>
        <v>Fora</v>
      </c>
      <c r="O53" s="39"/>
      <c r="P53" s="39"/>
      <c r="Q53" s="16" t="str">
        <f aca="false">IF(B53="","",IF(F53="","Falta por que afeta o produto",IF(J53="","Falta como é controlado",IF(AND(K53="",L53=""),"Falta o limite",IF(N53="Sem medição","Falta a medição",IF(AND(N53="Fora",O53=""),"Fora do limite: falta a ação","OK"))))))</f>
        <v>Fora do limite: falta a ação</v>
      </c>
    </row>
    <row r="54" customFormat="false" ht="42.75" hidden="false" customHeight="true" outlineLevel="0" collapsed="false">
      <c r="B54" s="38" t="s">
        <v>413</v>
      </c>
      <c r="C54" s="38"/>
      <c r="D54" s="43" t="s">
        <v>317</v>
      </c>
      <c r="E54" s="7" t="s">
        <v>336</v>
      </c>
      <c r="F54" s="39" t="s">
        <v>414</v>
      </c>
      <c r="G54" s="39"/>
      <c r="H54" s="39"/>
      <c r="I54" s="47" t="s">
        <v>415</v>
      </c>
      <c r="J54" s="39" t="s">
        <v>416</v>
      </c>
      <c r="K54" s="40" t="n">
        <v>90</v>
      </c>
      <c r="L54" s="40"/>
      <c r="M54" s="40"/>
      <c r="N54" s="15" t="str">
        <f aca="false">IF(B54="","",IF(M54="","Sem medição",IF(OR(AND(K54&lt;&gt;"",M54&lt;K54),AND(L54&lt;&gt;"",M54&gt;L54)),"Fora","Dentro")))</f>
        <v>Sem medição</v>
      </c>
      <c r="O54" s="39"/>
      <c r="P54" s="39"/>
      <c r="Q54" s="16" t="str">
        <f aca="false">IF(B54="","",IF(F54="","Falta por que afeta o produto",IF(J54="","Falta como é controlado",IF(AND(K54="",L54=""),"Falta o limite",IF(N54="Sem medição","Falta a medição",IF(AND(N54="Fora",O54=""),"Fora do limite: falta a ação","OK"))))))</f>
        <v>Falta a medição</v>
      </c>
    </row>
    <row r="56" customFormat="false" ht="21.75" hidden="false" customHeight="true" outlineLevel="0" collapsed="false">
      <c r="B56" s="17" t="s">
        <v>99</v>
      </c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</row>
    <row r="57" customFormat="false" ht="21.75" hidden="false" customHeight="true" outlineLevel="0" collapsed="false">
      <c r="B57" s="18" t="s">
        <v>48</v>
      </c>
      <c r="C57" s="18"/>
      <c r="D57" s="18"/>
      <c r="E57" s="19" t="str">
        <f aca="false">COUNTIF(L14:L21,"Falta gente")&amp;" funções com falta de gente, "&amp;-SUMIF(K14:K21,"&lt;0")&amp;" pessoas a menos no pico, "&amp;COUNTIF(M14:M21,"Sem pessoa qualificada na escala")&amp;" sem pessoa qualificada"</f>
        <v>2 funções com falta de gente, 2 pessoas a menos no pico, 0 sem pessoa qualificada</v>
      </c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</row>
    <row r="58" customFormat="false" ht="21.75" hidden="false" customHeight="true" outlineLevel="0" collapsed="false">
      <c r="B58" s="18" t="s">
        <v>126</v>
      </c>
      <c r="C58" s="18"/>
      <c r="D58" s="18"/>
      <c r="E58" s="19" t="str">
        <f aca="false">COUNTIF(L25:L34,"Em dia")&amp;" em dia"&amp;", "&amp;COUNTIF(L25:L34,"Vence em 7 dias")&amp;" vence em 7 dias"&amp;", "&amp;COUNTIF(L25:L34,"Atrasada")&amp;" atrasada"&amp;", "&amp;COUNTIF(L25:L34,"Sem plano")&amp;" sem plano"</f>
        <v>7 em dia, 1 vence em 7 dias, 1 atrasada, 1 sem plano</v>
      </c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</row>
    <row r="59" customFormat="false" ht="21.75" hidden="false" customHeight="true" outlineLevel="0" collapsed="false">
      <c r="B59" s="18" t="s">
        <v>127</v>
      </c>
      <c r="C59" s="18"/>
      <c r="D59" s="18"/>
      <c r="E59" s="19" t="str">
        <f aca="false">SUM(M25:M34)&amp;" corretivas, "&amp;SUM(N25:N34)&amp;" horas paradas, "&amp;COUNTIF(O25:O34,"&lt;"&amp;($D$10-0.000000001))&amp;" item abaixo da meta"</f>
        <v>5 corretivas, 52 horas paradas, 1 item abaixo da meta</v>
      </c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</row>
    <row r="60" customFormat="false" ht="21.75" hidden="false" customHeight="true" outlineLevel="0" collapsed="false">
      <c r="B60" s="18" t="s">
        <v>32</v>
      </c>
      <c r="C60" s="18"/>
      <c r="D60" s="18"/>
      <c r="E60" s="19" t="str">
        <f aca="false">COUNTIF(N49:N54,"Dentro")&amp;" dentro"&amp;", "&amp;COUNTIF(N49:N54,"Fora")&amp;" fora"&amp;", "&amp;COUNTIF(N49:N54,"Sem medição")&amp;" sem medição"</f>
        <v>2 dentro, 3 fora, 1 sem medição</v>
      </c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</row>
    <row r="61" customFormat="false" ht="21.75" hidden="false" customHeight="true" outlineLevel="0" collapsed="false">
      <c r="B61" s="18" t="s">
        <v>207</v>
      </c>
      <c r="C61" s="18"/>
      <c r="D61" s="18"/>
      <c r="E61" s="19" t="n">
        <f aca="false">SUMPRODUCT((M14:M21&lt;&gt;"OK")*1)+SUMPRODUCT((P25:P34&lt;&gt;"OK")*1)+SUMPRODUCT((Q38:Q45&lt;&gt;"OK")*1)+SUMPRODUCT((Q49:Q54&lt;&gt;"OK")*1)</f>
        <v>7</v>
      </c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</row>
  </sheetData>
  <mergeCells count="105">
    <mergeCell ref="B1:Q1"/>
    <mergeCell ref="B2:Q2"/>
    <mergeCell ref="B4:C4"/>
    <mergeCell ref="D4:Q4"/>
    <mergeCell ref="B5:C5"/>
    <mergeCell ref="D5:Q5"/>
    <mergeCell ref="B6:C6"/>
    <mergeCell ref="D6:Q6"/>
    <mergeCell ref="B7:C7"/>
    <mergeCell ref="D7:Q7"/>
    <mergeCell ref="B8:C8"/>
    <mergeCell ref="B9:C9"/>
    <mergeCell ref="B10:C10"/>
    <mergeCell ref="B12:Q12"/>
    <mergeCell ref="B13:C13"/>
    <mergeCell ref="M13:Q13"/>
    <mergeCell ref="B14:C14"/>
    <mergeCell ref="M14:Q14"/>
    <mergeCell ref="B15:C15"/>
    <mergeCell ref="M15:Q15"/>
    <mergeCell ref="B16:C16"/>
    <mergeCell ref="M16:Q16"/>
    <mergeCell ref="B17:C17"/>
    <mergeCell ref="M17:Q17"/>
    <mergeCell ref="B18:C18"/>
    <mergeCell ref="M18:Q18"/>
    <mergeCell ref="B19:C19"/>
    <mergeCell ref="M19:Q19"/>
    <mergeCell ref="B20:C20"/>
    <mergeCell ref="M20:Q20"/>
    <mergeCell ref="B21:C21"/>
    <mergeCell ref="M21:Q21"/>
    <mergeCell ref="B23:Q23"/>
    <mergeCell ref="P24:Q24"/>
    <mergeCell ref="P25:Q25"/>
    <mergeCell ref="P26:Q26"/>
    <mergeCell ref="P27:Q27"/>
    <mergeCell ref="P28:Q28"/>
    <mergeCell ref="P29:Q29"/>
    <mergeCell ref="P30:Q30"/>
    <mergeCell ref="P31:Q31"/>
    <mergeCell ref="P32:Q32"/>
    <mergeCell ref="P33:Q33"/>
    <mergeCell ref="P34:Q34"/>
    <mergeCell ref="B36:Q36"/>
    <mergeCell ref="F37:I37"/>
    <mergeCell ref="K37:M37"/>
    <mergeCell ref="O37:P37"/>
    <mergeCell ref="F38:I38"/>
    <mergeCell ref="K38:M38"/>
    <mergeCell ref="O38:P38"/>
    <mergeCell ref="F39:I39"/>
    <mergeCell ref="K39:M39"/>
    <mergeCell ref="O39:P39"/>
    <mergeCell ref="F40:I40"/>
    <mergeCell ref="K40:M40"/>
    <mergeCell ref="O40:P40"/>
    <mergeCell ref="F41:I41"/>
    <mergeCell ref="K41:M41"/>
    <mergeCell ref="O41:P41"/>
    <mergeCell ref="F42:I42"/>
    <mergeCell ref="K42:M42"/>
    <mergeCell ref="O42:P42"/>
    <mergeCell ref="F43:I43"/>
    <mergeCell ref="K43:M43"/>
    <mergeCell ref="O43:P43"/>
    <mergeCell ref="F44:I44"/>
    <mergeCell ref="K44:M44"/>
    <mergeCell ref="O44:P44"/>
    <mergeCell ref="F45:I45"/>
    <mergeCell ref="K45:M45"/>
    <mergeCell ref="O45:P45"/>
    <mergeCell ref="B47:Q47"/>
    <mergeCell ref="B48:C48"/>
    <mergeCell ref="F48:H48"/>
    <mergeCell ref="O48:P48"/>
    <mergeCell ref="B49:C49"/>
    <mergeCell ref="F49:H49"/>
    <mergeCell ref="O49:P49"/>
    <mergeCell ref="B50:C50"/>
    <mergeCell ref="F50:H50"/>
    <mergeCell ref="O50:P50"/>
    <mergeCell ref="B51:C51"/>
    <mergeCell ref="F51:H51"/>
    <mergeCell ref="O51:P51"/>
    <mergeCell ref="B52:C52"/>
    <mergeCell ref="F52:H52"/>
    <mergeCell ref="O52:P52"/>
    <mergeCell ref="B53:C53"/>
    <mergeCell ref="F53:H53"/>
    <mergeCell ref="O53:P53"/>
    <mergeCell ref="B54:C54"/>
    <mergeCell ref="F54:H54"/>
    <mergeCell ref="O54:P54"/>
    <mergeCell ref="B56:Q56"/>
    <mergeCell ref="B57:D57"/>
    <mergeCell ref="E57:Q57"/>
    <mergeCell ref="B58:D58"/>
    <mergeCell ref="E58:Q58"/>
    <mergeCell ref="B59:D59"/>
    <mergeCell ref="E59:Q59"/>
    <mergeCell ref="B60:D60"/>
    <mergeCell ref="E60:Q60"/>
    <mergeCell ref="B61:D61"/>
    <mergeCell ref="E61:Q61"/>
  </mergeCells>
  <conditionalFormatting sqref="L14:L21">
    <cfRule type="expression" priority="2" aboveAverage="0" equalAverage="0" bottom="0" percent="0" rank="0" text="" dxfId="0">
      <formula>L14="Falta gente"</formula>
    </cfRule>
    <cfRule type="expression" priority="3" aboveAverage="0" equalAverage="0" bottom="0" percent="0" rank="0" text="" dxfId="1">
      <formula>L14="Justo"</formula>
    </cfRule>
    <cfRule type="expression" priority="4" aboveAverage="0" equalAverage="0" bottom="0" percent="0" rank="0" text="" dxfId="2">
      <formula>L14="Com folga"</formula>
    </cfRule>
  </conditionalFormatting>
  <conditionalFormatting sqref="M14:Q21">
    <cfRule type="expression" priority="5" aboveAverage="0" equalAverage="0" bottom="0" percent="0" rank="0" text="" dxfId="2">
      <formula>OR($M14="OK")</formula>
    </cfRule>
    <cfRule type="expression" priority="6" aboveAverage="0" equalAverage="0" bottom="0" percent="0" rank="0" text="" dxfId="3">
      <formula>AND(LEN($M14)&gt;0,NOT(OR($M14="OK")))</formula>
    </cfRule>
  </conditionalFormatting>
  <conditionalFormatting sqref="L25:L34">
    <cfRule type="expression" priority="7" aboveAverage="0" equalAverage="0" bottom="0" percent="0" rank="0" text="" dxfId="2">
      <formula>L25="Em dia"</formula>
    </cfRule>
    <cfRule type="expression" priority="8" aboveAverage="0" equalAverage="0" bottom="0" percent="0" rank="0" text="" dxfId="1">
      <formula>L25="Vence em 7 dias"</formula>
    </cfRule>
    <cfRule type="expression" priority="9" aboveAverage="0" equalAverage="0" bottom="0" percent="0" rank="0" text="" dxfId="0">
      <formula>L25="Atrasada"</formula>
    </cfRule>
    <cfRule type="expression" priority="10" aboveAverage="0" equalAverage="0" bottom="0" percent="0" rank="0" text="" dxfId="4">
      <formula>L25="Sem plano"</formula>
    </cfRule>
  </conditionalFormatting>
  <conditionalFormatting sqref="O25:O34">
    <cfRule type="expression" priority="11" aboveAverage="0" equalAverage="0" bottom="0" percent="0" rank="0" text="" dxfId="0">
      <formula>AND(ISNUMBER(O25),O25&lt;$D$10-0.000000001)</formula>
    </cfRule>
  </conditionalFormatting>
  <conditionalFormatting sqref="P25:Q34">
    <cfRule type="expression" priority="12" aboveAverage="0" equalAverage="0" bottom="0" percent="0" rank="0" text="" dxfId="2">
      <formula>OR($P25="OK")</formula>
    </cfRule>
    <cfRule type="expression" priority="13" aboveAverage="0" equalAverage="0" bottom="0" percent="0" rank="0" text="" dxfId="3">
      <formula>AND(LEN($P25)&gt;0,NOT(OR($P25="OK")))</formula>
    </cfRule>
  </conditionalFormatting>
  <conditionalFormatting sqref="Q38:Q45">
    <cfRule type="expression" priority="14" aboveAverage="0" equalAverage="0" bottom="0" percent="0" rank="0" text="" dxfId="2">
      <formula>Q38="OK"</formula>
    </cfRule>
    <cfRule type="expression" priority="15" aboveAverage="0" equalAverage="0" bottom="0" percent="0" rank="0" text="" dxfId="0">
      <formula>Q38="Produto afetado sem tratamento"</formula>
    </cfRule>
    <cfRule type="expression" priority="16" aboveAverage="0" equalAverage="0" bottom="0" percent="0" rank="0" text="" dxfId="3">
      <formula>LEN(Q38)&gt;0</formula>
    </cfRule>
  </conditionalFormatting>
  <conditionalFormatting sqref="N49:N54">
    <cfRule type="expression" priority="17" aboveAverage="0" equalAverage="0" bottom="0" percent="0" rank="0" text="" dxfId="2">
      <formula>N49="Dentro"</formula>
    </cfRule>
    <cfRule type="expression" priority="18" aboveAverage="0" equalAverage="0" bottom="0" percent="0" rank="0" text="" dxfId="0">
      <formula>N49="Fora"</formula>
    </cfRule>
    <cfRule type="expression" priority="19" aboveAverage="0" equalAverage="0" bottom="0" percent="0" rank="0" text="" dxfId="1">
      <formula>N49="Sem medição"</formula>
    </cfRule>
  </conditionalFormatting>
  <conditionalFormatting sqref="Q49:Q54">
    <cfRule type="expression" priority="20" aboveAverage="0" equalAverage="0" bottom="0" percent="0" rank="0" text="" dxfId="2">
      <formula>Q49="OK"</formula>
    </cfRule>
    <cfRule type="expression" priority="21" aboveAverage="0" equalAverage="0" bottom="0" percent="0" rank="0" text="" dxfId="0">
      <formula>Q49="Fora do limite: falta a ação"</formula>
    </cfRule>
    <cfRule type="expression" priority="22" aboveAverage="0" equalAverage="0" bottom="0" percent="0" rank="0" text="" dxfId="3">
      <formula>LEN(Q49)&gt;0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35" man="true" max="16383" min="0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2026-10-05T00:57:12Z</dcterms:created>
  <dc:creator>Modelo Recursos</dc:creator>
  <dc:description/>
  <dc:language>pt-BR</dc:language>
  <cp:lastModifiedBy/>
  <dcterms:modified xsi:type="dcterms:W3CDTF">2026-10-05T00:57:13Z</dcterms:modified>
  <cp:revision>0</cp:revision>
  <dc:subject/>
  <dc:title>Recursos, infraestrutura e ambiente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