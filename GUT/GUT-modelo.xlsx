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GUT" sheetId="2" state="visible" r:id="rId4"/>
    <sheet name="Priorização" sheetId="3" state="visible" r:id="rId5"/>
    <sheet name="Escala" sheetId="4" state="visible" r:id="rId6"/>
    <sheet name="Plano de ação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3" name="_xlnm.Print_Area" vbProcedure="false">Escala!$B$1:$E$22</definedName>
    <definedName function="false" hidden="false" localSheetId="6" name="_xlnm.Print_Area" vbProcedure="false">'Exemplo 1 - Pizzaria'!$B$1:$L$52</definedName>
    <definedName function="false" hidden="false" localSheetId="7" name="_xlnm.Print_Area" vbProcedure="false">'Exemplo 2 - Compras'!$B$1:$L$52</definedName>
    <definedName function="false" hidden="false" localSheetId="1" name="_xlnm.Print_Area" vbProcedure="false">GUT!$B$1:$L$45</definedName>
    <definedName function="false" hidden="false" localSheetId="0" name="_xlnm.Print_Area" vbProcedure="false">Instruções!$B$1:$C$44</definedName>
    <definedName function="false" hidden="false" localSheetId="4" name="_xlnm.Print_Area" vbProcedure="false">'Plano de ação'!$B$1:$J$31</definedName>
    <definedName function="false" hidden="false" localSheetId="2" name="_xlnm.Print_Area" vbProcedure="false">Priorização!$B$1:$K$45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O conjunto de problemas que está sendo comparado.
Ex.: "Problemas da operação da pizzaria".</t>
        </r>
      </text>
    </comment>
    <comment ref="D7" authorId="0">
      <text>
        <r>
          <rPr>
            <sz val="10"/>
            <rFont val="Arial"/>
            <family val="2"/>
          </rPr>
          <t xml:space="preserve">Para que serve esta priorização.
Ex.: "Escolher os problemas que serão tratados no trimestre".</t>
        </r>
      </text>
    </comment>
    <comment ref="D8" authorId="0">
      <text>
        <r>
          <rPr>
            <sz val="10"/>
            <rFont val="Arial"/>
            <family val="2"/>
          </rPr>
          <t xml:space="preserve">De onde vieram os problemas da lista.
Ex.: "Reclamações, indicadores e reunião mensal".</t>
        </r>
      </text>
    </comment>
    <comment ref="F12" authorId="0">
      <text>
        <r>
          <rPr>
            <sz val="10"/>
            <rFont val="Arial"/>
            <family val="2"/>
          </rPr>
          <t xml:space="preserve">Gravidade: tamanho do dano, se nada for feito.
1 = sem gravidade; 5 = extremamente grave.</t>
        </r>
      </text>
    </comment>
    <comment ref="G12" authorId="0">
      <text>
        <r>
          <rPr>
            <sz val="10"/>
            <rFont val="Arial"/>
            <family val="2"/>
          </rPr>
          <t xml:space="preserve">Urgência: tempo disponível para agir.
1 = pode esperar; 5 = ação imediata.</t>
        </r>
      </text>
    </comment>
    <comment ref="H12" authorId="0">
      <text>
        <r>
          <rPr>
            <sz val="10"/>
            <rFont val="Arial"/>
            <family val="2"/>
          </rPr>
          <t xml:space="preserve">Tendência: evolução do problema, se nada for feito.
1 = estável; 5 = piora imediata.</t>
        </r>
      </text>
    </comment>
    <comment ref="L12" authorId="0">
      <text>
        <r>
          <rPr>
            <sz val="10"/>
            <rFont val="Arial"/>
            <family val="2"/>
          </rPr>
          <t xml:space="preserve">Todo problema com gravidade 5 deve ser avaliado pelo grupo, qualquer que seja a pontuação.</t>
        </r>
      </text>
    </comment>
  </commentList>
</comments>
</file>

<file path=xl/sharedStrings.xml><?xml version="1.0" encoding="utf-8"?>
<sst xmlns="http://schemas.openxmlformats.org/spreadsheetml/2006/main" count="480" uniqueCount="279">
  <si>
    <t xml:space="preserve">GUT — Como usar esta planilha</t>
  </si>
  <si>
    <t xml:space="preserve">Modelo para priorizar problemas por gravidade, urgência e tendência.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</si>
  <si>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</si>
  <si>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</si>
  <si>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</si>
  <si>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</si>
  <si>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</si>
  <si>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</si>
  <si>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</si>
  <si>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</si>
  <si>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origem, código e status aceitam apenas as opções da lista. As notas aceitam números inteiros de 1 a 5.</t>
  </si>
  <si>
    <t xml:space="preserve">Comentários</t>
  </si>
  <si>
    <t xml:space="preserve">Células com triângulo vermelho no canto trazem uma dica de preenchimento. Passe o mouse sobre elas.</t>
  </si>
  <si>
    <t xml:space="preserve">Os três critérios</t>
  </si>
  <si>
    <t xml:space="preserve">G</t>
  </si>
  <si>
    <t xml:space="preserve">Gravidade: tamanho do dano que o problema causa ou pode causar, se nada for feito.</t>
  </si>
  <si>
    <t xml:space="preserve">U</t>
  </si>
  <si>
    <t xml:space="preserve">Urgência: tempo disponível para agir antes que o dano aconteça ou aumente.</t>
  </si>
  <si>
    <t xml:space="preserve">T</t>
  </si>
  <si>
    <t xml:space="preserve">Tendência: evolução esperada do problema com o passar do tempo, se nada for feito.</t>
  </si>
  <si>
    <t xml:space="preserve">Pontos</t>
  </si>
  <si>
    <t xml:space="preserve">Gravidade × urgência × tendência, de 1 a 125. Quanto maior a pontuação, mais cedo o problema é tratado.</t>
  </si>
  <si>
    <t xml:space="preserve">Ordem recomendada de preenchimento</t>
  </si>
  <si>
    <t xml:space="preserve">Passo 1</t>
  </si>
  <si>
    <t xml:space="preserve">Aba GUT: preencha o cabeçalho, com o tema, o objetivo e a origem da lista.</t>
  </si>
  <si>
    <t xml:space="preserve">Passo 2</t>
  </si>
  <si>
    <t xml:space="preserve">Aba GUT: liste os problemas, cada um como resultado indesejado. Retire causas e soluções.</t>
  </si>
  <si>
    <t xml:space="preserve">Passo 3</t>
  </si>
  <si>
    <t xml:space="preserve">Aba Escala: leia a escala com o grupo e ajuste os textos à realidade da lista.</t>
  </si>
  <si>
    <t xml:space="preserve">Passo 4</t>
  </si>
  <si>
    <t xml:space="preserve">Aba GUT: dê as notas de gravidade da lista toda. Depois as de urgência. Depois as de tendência.</t>
  </si>
  <si>
    <t xml:space="preserve">Passo 5</t>
  </si>
  <si>
    <t xml:space="preserve">Aba Priorização: veja a ordem de tratamento e o gráfico. Nada para digitar.</t>
  </si>
  <si>
    <t xml:space="preserve">Passo 6</t>
  </si>
  <si>
    <t xml:space="preserve">Aba GUT: avalie os alertas de gravidade máxima, qualquer que seja a pontuação.</t>
  </si>
  <si>
    <t xml:space="preserve">Passo 7</t>
  </si>
  <si>
    <t xml:space="preserve">Aba Plano de ação: defina ação, responsável e prazo para os problemas escolhidos.</t>
  </si>
  <si>
    <t xml:space="preserve">Passo 8</t>
  </si>
  <si>
    <t xml:space="preserve">Aba Checklist: valide a matriz com o grupo e marque a data da próxima revisão.</t>
  </si>
  <si>
    <t xml:space="preserve">Abas da planilha</t>
  </si>
  <si>
    <t xml:space="preserve">GUT</t>
  </si>
  <si>
    <t xml:space="preserve">Modelo principal. Cabeçalho, lista de até 20 problemas com as três notas e resumo automático.</t>
  </si>
  <si>
    <t xml:space="preserve">Priorização</t>
  </si>
  <si>
    <t xml:space="preserve">Problemas em ordem de tratamento, com gráfico das pontuações.</t>
  </si>
  <si>
    <t xml:space="preserve">Escala</t>
  </si>
  <si>
    <t xml:space="preserve">Descrição das notas de 1 a 5 e cortes das faixas de prioridade. Os dois podem ser ajustados.</t>
  </si>
  <si>
    <t xml:space="preserve">Plano de ação</t>
  </si>
  <si>
    <t xml:space="preserve">Ações para os problemas escolhidos, com situação calculada a partir do prazo e do status.</t>
  </si>
  <si>
    <t xml:space="preserve">Checklist</t>
  </si>
  <si>
    <t xml:space="preserve">Doze verificações de qualidade da matriz, com percentual de conclusão.</t>
  </si>
  <si>
    <t xml:space="preserve">Exemplo 1 - Pizzaria</t>
  </si>
  <si>
    <t xml:space="preserve">Matriz preenchida com oito problemas de uma operação, incluindo um alerta de gravidade máxima.</t>
  </si>
  <si>
    <t xml:space="preserve">Exemplo 2 - Compras</t>
  </si>
  <si>
    <t xml:space="preserve">Matriz preenchida com sete problemas de uma área, incluindo um empate.</t>
  </si>
  <si>
    <t xml:space="preserve">Regras e premissas do modelo</t>
  </si>
  <si>
    <t xml:space="preserve">Códigos</t>
  </si>
  <si>
    <t xml:space="preserve">Cada problema tem um código fixo, de P1 a P20, que corresponde à linha da lista. A aba Plano de ação usa o código para buscar o texto e a pontuação do problema.</t>
  </si>
  <si>
    <t xml:space="preserve">Faixas de prioridade</t>
  </si>
  <si>
    <t xml:space="preserve">O modelo parte de dois cortes: 64 pontos para a faixa alta, que equivale a nota 4 nos três critérios, e 27 pontos para a faixa média, que equivale a nota 3 nos três. Os cortes podem ser alterados na aba Escala.</t>
  </si>
  <si>
    <t xml:space="preserve">Empates</t>
  </si>
  <si>
    <t xml:space="preserve">Problemas com a mesma pontuação são ordenados pela maior gravidade, depois pela maior urgência e depois pela maior tendência. Se o empate continuar, vale a ordem da lista.</t>
  </si>
  <si>
    <t xml:space="preserve">Regra de exceção</t>
  </si>
  <si>
    <t xml:space="preserve">Todo problema com gravidade 5 recebe um alerta e deve ser avaliado pelo grupo, qualquer que seja a pontuação.</t>
  </si>
  <si>
    <t xml:space="preserve">Ação atrasada</t>
  </si>
  <si>
    <t xml:space="preserve">Uma ação é considerada atrasada quando o prazo é anterior à data de hoje e o status não é Concluída nem Cancelada.</t>
  </si>
  <si>
    <t xml:space="preserve">Capacidade</t>
  </si>
  <si>
    <t xml:space="preserve">A planilha comporta 20 problemas e 15 ações. Se faltar espaço, agrupe problemas parecidos ou divida a lista por área.</t>
  </si>
  <si>
    <t xml:space="preserve">Exemplos</t>
  </si>
  <si>
    <t xml:space="preserve">Os dados das abas de exemplo são ilustrativos, criados para este material.</t>
  </si>
  <si>
    <t xml:space="preserve">GUT — Matriz de priorização</t>
  </si>
  <si>
    <t xml:space="preserve">Preencha as células em amarelo-claro. As células cinza são calculadas automaticamente.</t>
  </si>
  <si>
    <t xml:space="preserve">Tema da priorização</t>
  </si>
  <si>
    <t xml:space="preserve">Responsável</t>
  </si>
  <si>
    <t xml:space="preserve">Área / unidade</t>
  </si>
  <si>
    <t xml:space="preserve">Data</t>
  </si>
  <si>
    <t xml:space="preserve">Elaborado por</t>
  </si>
  <si>
    <t xml:space="preserve">Versão</t>
  </si>
  <si>
    <t xml:space="preserve">Objetivo da priorização</t>
  </si>
  <si>
    <t xml:space="preserve">Origem da lista</t>
  </si>
  <si>
    <t xml:space="preserve">Participantes</t>
  </si>
  <si>
    <t xml:space="preserve">Fora do escopo</t>
  </si>
  <si>
    <t xml:space="preserve">Lista de problemas</t>
  </si>
  <si>
    <t xml:space="preserve">Resultado</t>
  </si>
  <si>
    <t xml:space="preserve">#</t>
  </si>
  <si>
    <t xml:space="preserve">Problema</t>
  </si>
  <si>
    <t xml:space="preserve">Origem</t>
  </si>
  <si>
    <t xml:space="preserve">Gravidade</t>
  </si>
  <si>
    <t xml:space="preserve">Urgência</t>
  </si>
  <si>
    <t xml:space="preserve">Tendência</t>
  </si>
  <si>
    <t xml:space="preserve">Posição</t>
  </si>
  <si>
    <t xml:space="preserve">Prioridade</t>
  </si>
  <si>
    <t xml:space="preserve">Alerta</t>
  </si>
  <si>
    <t xml:space="preserve">Resultado indesejado, com fato, local e número</t>
  </si>
  <si>
    <t xml:space="preserve">De onde veio</t>
  </si>
  <si>
    <t xml:space="preserve">Qual é o dano?</t>
  </si>
  <si>
    <t xml:space="preserve">Qual é o prazo?</t>
  </si>
  <si>
    <t xml:space="preserve">Vai piorar?</t>
  </si>
  <si>
    <t xml:space="preserve">G × U × T</t>
  </si>
  <si>
    <t xml:space="preserve">1 = primeiro</t>
  </si>
  <si>
    <t xml:space="preserve">Faixa</t>
  </si>
  <si>
    <t xml:space="preserve">Gravidade 5</t>
  </si>
  <si>
    <t xml:space="preserve">Ex.</t>
  </si>
  <si>
    <t xml:space="preserve">Câmara fria com falha intermitente de temperatura</t>
  </si>
  <si>
    <t xml:space="preserve">Reunião</t>
  </si>
  <si>
    <t xml:space="preserve">Alta</t>
  </si>
  <si>
    <t xml:space="preserve">Gravidade máxima</t>
  </si>
  <si>
    <t xml:space="preserve">Apoio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</si>
  <si>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</si>
  <si>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</si>
  <si>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</si>
  <si>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</si>
  <si>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</si>
  <si>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</si>
  <si>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</si>
  <si>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</si>
  <si>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</si>
  <si>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</si>
  <si>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</si>
  <si>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</si>
  <si>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</si>
  <si>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</si>
  <si>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</si>
  <si>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</si>
  <si>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</si>
  <si>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</si>
  <si>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</si>
  <si>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</si>
  <si>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Resumo automático</t>
  </si>
  <si>
    <t xml:space="preserve">Problemas listados</t>
  </si>
  <si>
    <t xml:space="preserve">Problemas com as três notas</t>
  </si>
  <si>
    <t xml:space="preserve">Prioridade alta</t>
  </si>
  <si>
    <t xml:space="preserve">Prioridade média</t>
  </si>
  <si>
    <t xml:space="preserve">Prioridade baixa</t>
  </si>
  <si>
    <t xml:space="preserve">Alertas de gravidade máxima</t>
  </si>
  <si>
    <t xml:space="preserve">Aviso: notas</t>
  </si>
  <si>
    <t xml:space="preserve">Aviso: distribuição</t>
  </si>
  <si>
    <t xml:space="preserve">Campos do cabeçalho preenchidos</t>
  </si>
  <si>
    <t xml:space="preserve">Priorização — ordem de tratamento</t>
  </si>
  <si>
    <t xml:space="preserve">Esta aba é calculada a partir da aba GUT. Não há nada para digitar aqui.</t>
  </si>
  <si>
    <t xml:space="preserve">Problemas em ordem de pontuação</t>
  </si>
  <si>
    <t xml:space="preserve">Pos.</t>
  </si>
  <si>
    <t xml:space="preserve">Código</t>
  </si>
  <si>
    <t xml:space="preserve">Gráfico: pontuação em ordem de tratamento</t>
  </si>
  <si>
    <t xml:space="preserve">Escala das notas e faixas de prioridade</t>
  </si>
  <si>
    <t xml:space="preserve">Leia a escala com o grupo antes de pontuar. Os textos e os cortes em amarelo-claro podem ser ajustados.</t>
  </si>
  <si>
    <t xml:space="preserve">Escala das notas</t>
  </si>
  <si>
    <t xml:space="preserve">Nota</t>
  </si>
  <si>
    <t xml:space="preserve">G — Gravidade</t>
  </si>
  <si>
    <t xml:space="preserve">U — Urgência</t>
  </si>
  <si>
    <t xml:space="preserve">T — Tendência</t>
  </si>
  <si>
    <t xml:space="preserve">Sem gravidade: dano desprezível.</t>
  </si>
  <si>
    <t xml:space="preserve">Pode esperar: não há prazo definido.</t>
  </si>
  <si>
    <t xml:space="preserve">Estável: não vai piorar.</t>
  </si>
  <si>
    <t xml:space="preserve">Pouco grave: dano pequeno.</t>
  </si>
  <si>
    <t xml:space="preserve">Pouco urgente: agir em alguns meses.</t>
  </si>
  <si>
    <t xml:space="preserve">Piora lenta: a longo prazo.</t>
  </si>
  <si>
    <t xml:space="preserve">Grave: dano considerável.</t>
  </si>
  <si>
    <t xml:space="preserve">Merece atenção: agir em algumas semanas.</t>
  </si>
  <si>
    <t xml:space="preserve">Piora moderada: a médio prazo.</t>
  </si>
  <si>
    <t xml:space="preserve">Muito grave: dano grande.</t>
  </si>
  <si>
    <t xml:space="preserve">Muito urgente: agir em alguns dias.</t>
  </si>
  <si>
    <t xml:space="preserve">Piora rápida: a curto prazo.</t>
  </si>
  <si>
    <t xml:space="preserve">Extremamente grave: dano difícil de reverter, risco à vida ou descumprimento legal.</t>
  </si>
  <si>
    <t xml:space="preserve">Ação imediata: agir hoje.</t>
  </si>
  <si>
    <t xml:space="preserve">Piora imediata, se nada for feito.</t>
  </si>
  <si>
    <t xml:space="preserve">A partir de (pontos)</t>
  </si>
  <si>
    <t xml:space="preserve">Leitura</t>
  </si>
  <si>
    <t xml:space="preserve">Encaminhamento</t>
  </si>
  <si>
    <t xml:space="preserve">Pesa muito nos três critérios.</t>
  </si>
  <si>
    <t xml:space="preserve">Tratar agora, com responsável, prazo e acompanhamento semanal.</t>
  </si>
  <si>
    <t xml:space="preserve">Média</t>
  </si>
  <si>
    <t xml:space="preserve">Pesa em pelo menos dois critérios.</t>
  </si>
  <si>
    <t xml:space="preserve">Planejar o tratamento, com data de início definida.</t>
  </si>
  <si>
    <t xml:space="preserve">Baixa</t>
  </si>
  <si>
    <t xml:space="preserve">Pesa pouco ou em um critério só.</t>
  </si>
  <si>
    <t xml:space="preserve">Registrar e reavaliar na próxima revisão da matriz.</t>
  </si>
  <si>
    <t xml:space="preserve">Aviso</t>
  </si>
  <si>
    <t xml:space="preserve">Regras da priorização</t>
  </si>
  <si>
    <t xml:space="preserve">Exceção</t>
  </si>
  <si>
    <t xml:space="preserve">Todo problema com gravidade 5 é avaliado pelo grupo, qualquer que seja a pontuação.</t>
  </si>
  <si>
    <t xml:space="preserve">Desempate</t>
  </si>
  <si>
    <t xml:space="preserve">Na mesma pontuação, vem primeiro a maior gravidade, depois a maior urgência, depois a maior tendência.</t>
  </si>
  <si>
    <t xml:space="preserve">Método</t>
  </si>
  <si>
    <t xml:space="preserve">Pontue um critério por vez, para a lista toda. Registre a justificativa das notas 4 e 5.</t>
  </si>
  <si>
    <t xml:space="preserve">Escolha o código do problema. O texto e a pontuação vêm da aba GUT.</t>
  </si>
  <si>
    <t xml:space="preserve">Ação</t>
  </si>
  <si>
    <t xml:space="preserve">Prazo</t>
  </si>
  <si>
    <t xml:space="preserve">Status</t>
  </si>
  <si>
    <t xml:space="preserve">Situação</t>
  </si>
  <si>
    <t xml:space="preserve">Chamar a assistência técnica e registrar a temperatura duas vezes por turno</t>
  </si>
  <si>
    <t xml:space="preserve">Gerente da loja</t>
  </si>
  <si>
    <t xml:space="preserve">Em andamento</t>
  </si>
  <si>
    <t xml:space="preserve">No prazo</t>
  </si>
  <si>
    <t xml:space="preserve">Ações registradas</t>
  </si>
  <si>
    <t xml:space="preserve">Concluídas</t>
  </si>
  <si>
    <t xml:space="preserve">Não iniciadas</t>
  </si>
  <si>
    <t xml:space="preserve">Atrasadas</t>
  </si>
  <si>
    <t xml:space="preserve">Ações sem responsável ou sem prazo</t>
  </si>
  <si>
    <t xml:space="preserve">Percentual concluído</t>
  </si>
  <si>
    <t xml:space="preserve">Problemas de prioridade alta sem ação</t>
  </si>
  <si>
    <t xml:space="preserve">Alertas de gravidade máxima sem ação</t>
  </si>
  <si>
    <t xml:space="preserve">Checklist de validação da Matriz GUT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</si>
  <si>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</si>
  <si>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</si>
  <si>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</si>
  <si>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A lista tem problemas, e não causas nem soluções.</t>
  </si>
  <si>
    <t xml:space="preserve">Cada problema está descrito com fato, local e número, quando houver.</t>
  </si>
  <si>
    <t xml:space="preserve">Os problemas da lista são comparáveis: mesmo tipo e mesmo tamanho.</t>
  </si>
  <si>
    <t xml:space="preserve">A escala de notas foi combinada pelo grupo antes da pontuação.</t>
  </si>
  <si>
    <t xml:space="preserve">As notas foram dadas em grupo, por pessoas que conhecem os problemas.</t>
  </si>
  <si>
    <t xml:space="preserve">Cada critério foi pontuado para a lista toda antes de passar ao seguinte.</t>
  </si>
  <si>
    <t xml:space="preserve">As notas se apoiam em dados, quando eles existem.</t>
  </si>
  <si>
    <t xml:space="preserve">Os empates foram resolvidos por um critério combinado.</t>
  </si>
  <si>
    <t xml:space="preserve">Os problemas de gravidade máxima foram avaliados, qualquer que seja a pontuação.</t>
  </si>
  <si>
    <t xml:space="preserve">Os problemas de maior prioridade têm ação, responsável e prazo.</t>
  </si>
  <si>
    <t xml:space="preserve">Os problemas de baixa prioridade foram registrados, e não descartados.</t>
  </si>
  <si>
    <t xml:space="preserve">A data da próxima revisão da matriz está marcada.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</si>
  <si>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</si>
  <si>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</si>
  <si>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</si>
  <si>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</si>
  <si>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</si>
  <si>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 aba GUT para a sua lista.</t>
  </si>
  <si>
    <t xml:space="preserve">Problemas da operação da pizzaria</t>
  </si>
  <si>
    <t xml:space="preserve">Pizzaria (loja)</t>
  </si>
  <si>
    <t xml:space="preserve">Equipe da loja</t>
  </si>
  <si>
    <t xml:space="preserve">1.0</t>
  </si>
  <si>
    <t xml:space="preserve">Escolher os problemas que serão tratados no trimestre.</t>
  </si>
  <si>
    <t xml:space="preserve">Reclamações, indicadores e reunião mensal da equipe</t>
  </si>
  <si>
    <t xml:space="preserve">Gerente, líder da expedição, pizzaiolo e atendente</t>
  </si>
  <si>
    <t xml:space="preserve">Problemas do salão e decisões de cardápio.</t>
  </si>
  <si>
    <t xml:space="preserve">As notas foram dadas em grupo, um critério por vez. A posição segue a pontuação; nos empates, vale a maior gravidade, depois a maior urgência e a maior tendência.</t>
  </si>
  <si>
    <t xml:space="preserve">Forno único opera no limite no horário de pico</t>
  </si>
  <si>
    <t xml:space="preserve">Indicador</t>
  </si>
  <si>
    <t xml:space="preserve">Margem do delivery caiu com o aumento da taxa do aplicativo</t>
  </si>
  <si>
    <t xml:space="preserve">Erros de sabor ou de tamanho em 3% dos pedidos</t>
  </si>
  <si>
    <t xml:space="preserve">Reclamação</t>
  </si>
  <si>
    <t xml:space="preserve">Desperdício de ingredientes acima de 8% do consumo</t>
  </si>
  <si>
    <t xml:space="preserve">Licença sanitária vence em 45 dias</t>
  </si>
  <si>
    <t xml:space="preserve">Saídas de entregadores subiram de 2 para 5 por trimestre</t>
  </si>
  <si>
    <t xml:space="preserve">Fila no balcão de retirada nas noites de sábado</t>
  </si>
  <si>
    <t xml:space="preserve">Decisões tomadas</t>
  </si>
  <si>
    <t xml:space="preserve">Decisão</t>
  </si>
  <si>
    <t xml:space="preserve">Câmara fria com falha de temperatura</t>
  </si>
  <si>
    <t xml:space="preserve">Chamar a assistência técnica e registrar a temperatura duas vezes por turno até o reparo.</t>
  </si>
  <si>
    <t xml:space="preserve">Margem do delivery em queda</t>
  </si>
  <si>
    <t xml:space="preserve">Abrir um ciclo PDCA para recuperar a margem do delivery.</t>
  </si>
  <si>
    <t xml:space="preserve">Protocolar o pedido de renovação da licença. Tratado fora da ordem, pela gravidade máxima.</t>
  </si>
  <si>
    <t xml:space="preserve">Forno único no limite no horário de pico</t>
  </si>
  <si>
    <t xml:space="preserve">Estudar a compra do segundo forno, com início em novembro.</t>
  </si>
  <si>
    <t xml:space="preserve">Pizzaiolo</t>
  </si>
  <si>
    <t xml:space="preserve">Problemas do processo de compras</t>
  </si>
  <si>
    <t xml:space="preserve">Gerente de Suprimentos</t>
  </si>
  <si>
    <t xml:space="preserve">Suprimentos</t>
  </si>
  <si>
    <t xml:space="preserve">Equipe de compras</t>
  </si>
  <si>
    <t xml:space="preserve">Definir a ordem dos projetos de melhoria do semestre.</t>
  </si>
  <si>
    <t xml:space="preserve">Matriz SWOT da área, indicadores e auditoria interna</t>
  </si>
  <si>
    <t xml:space="preserve">Gerente, compradores, Controladoria e Qualidade</t>
  </si>
  <si>
    <t xml:space="preserve">Gestão de estoques e pagamento a fornecedores.</t>
  </si>
  <si>
    <t xml:space="preserve">Fornecedor único contratado para três itens críticos</t>
  </si>
  <si>
    <t xml:space="preserve">SWOT</t>
  </si>
  <si>
    <t xml:space="preserve">40% das requisições são devolvidas por especificação incompleta</t>
  </si>
  <si>
    <t xml:space="preserve">Pedido de compra leva 12 dias úteis para ser emitido</t>
  </si>
  <si>
    <t xml:space="preserve">Contrato de frete vence em 60 dias, sem renegociação iniciada</t>
  </si>
  <si>
    <t xml:space="preserve">Cadastro de fornecedores com dados desatualizados</t>
  </si>
  <si>
    <t xml:space="preserve">Auditoria</t>
  </si>
  <si>
    <t xml:space="preserve">Compras urgentes fora do processo cresceram 30% no semestre</t>
  </si>
  <si>
    <t xml:space="preserve">Avaliação de fornecedores não distingue bom e mau desempenho</t>
  </si>
  <si>
    <t xml:space="preserve">Compras urgentes cresceram 30%</t>
  </si>
  <si>
    <t xml:space="preserve">Abrir um ciclo PDCA sobre as compras urgentes fora do processo.</t>
  </si>
  <si>
    <t xml:space="preserve">Fornecedor único para três itens críticos</t>
  </si>
  <si>
    <t xml:space="preserve">Homologar um segundo fornecedor para os três itens críticos. Avaliado à parte, pela gravidade máxima.</t>
  </si>
  <si>
    <t xml:space="preserve">Comprador sênior</t>
  </si>
  <si>
    <t xml:space="preserve">Pedido leva 12 dias úteis para ser emitido</t>
  </si>
  <si>
    <t xml:space="preserve">Abrir um ciclo PDCA para reduzir o prazo de emissão do pedido.</t>
  </si>
  <si>
    <t xml:space="preserve">Analista de compras</t>
  </si>
  <si>
    <t xml:space="preserve">Contrato de frete vence em 60 dias</t>
  </si>
  <si>
    <t xml:space="preserve">Iniciar a renegociação do contrato de frete.</t>
  </si>
  <si>
    <t xml:space="preserve">Comprador de serviços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</si>
</sst>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&quot; de 10&quot;"/>
    <numFmt numFmtId="168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9"/>
      <color rgb="FF5B6B76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6242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7A4A9A"/>
        <bgColor rgb="FF5B6B76"/>
      </patternFill>
    </fill>
    <fill>
      <patternFill patternType="solid">
        <fgColor rgb="FFE9DEF1"/>
        <bgColor rgb="FFF6D9D7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6D9D7"/>
        </patternFill>
      </fill>
    </dxf>
    <dxf>
      <fill>
        <patternFill>
          <bgColor rgb="FFFBEBC8"/>
        </patternFill>
      </fill>
    </dxf>
    <dxf>
      <fill>
        <patternFill>
          <bgColor rgb="FFD8EFDD"/>
        </patternFill>
      </fill>
    </dxf>
    <dxf>
      <fill>
        <patternFill>
          <bgColor rgb="FFE9DEF1"/>
        </patternFill>
      </fill>
    </dxf>
    <dxf>
      <fill>
        <patternFill>
          <bgColor rgb="FFF6E8CF"/>
        </patternFill>
      </fill>
    </dxf>
    <dxf>
      <fill>
        <patternFill>
          <bgColor rgb="FFD9EE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6E8CF"/>
      <rgbColor rgb="FFE9DEF1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Priorização!I5</c:f>
              <c:strCache>
                <c:ptCount val="1"/>
                <c:pt idx="0">
                  <c:v>Pontos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Priorização!$C$6:$C$25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Priorização!$I$6:$I$25</c:f>
              <c:numCache>
                <c:formatCode>General</c:formatCode>
                <c:ptCount val="20"/>
              </c:numCache>
            </c:numRef>
          </c:val>
        </c:ser>
        <c:gapWidth val="80"/>
        <c:overlap val="0"/>
        <c:axId val="91850086"/>
        <c:axId val="79301096"/>
      </c:barChart>
      <c:catAx>
        <c:axId val="91850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01096"/>
        <c:crosses val="autoZero"/>
        <c:auto val="1"/>
        <c:lblAlgn val="ctr"/>
        <c:lblOffset val="100"/>
        <c:noMultiLvlLbl val="0"/>
      </c:catAx>
      <c:valAx>
        <c:axId val="79301096"/>
        <c:scaling>
          <c:orientation val="minMax"/>
          <c:max val="125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50086"/>
        <c:crosses val="autoZero"/>
        <c:crossBetween val="between"/>
        <c:majorUnit val="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10</xdr:col>
      <xdr:colOff>196560</xdr:colOff>
      <xdr:row>43</xdr:row>
      <xdr:rowOff>11880</xdr:rowOff>
    </xdr:to>
    <xdr:graphicFrame>
      <xdr:nvGraphicFramePr>
        <xdr:cNvPr id="0" name="Chart 1"/>
        <xdr:cNvGraphicFramePr/>
      </xdr:nvGraphicFramePr>
      <xdr:xfrm>
        <a:off x="141120" y="795348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19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7" customFormat="false" ht="21.75" hidden="false" customHeight="true" outlineLevel="0" collapsed="false">
      <c r="B27" s="3" t="s">
        <v>39</v>
      </c>
      <c r="C27" s="3"/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6" customFormat="false" ht="21.75" hidden="false" customHeight="true" outlineLevel="0" collapsed="false">
      <c r="B36" s="3" t="s">
        <v>54</v>
      </c>
      <c r="C36" s="3"/>
    </row>
    <row r="37" customFormat="false" ht="45.75" hidden="false" customHeight="true" outlineLevel="0" collapsed="false">
      <c r="B37" s="4" t="s">
        <v>55</v>
      </c>
      <c r="C37" s="7" t="s">
        <v>56</v>
      </c>
    </row>
    <row r="38" customFormat="false" ht="45.75" hidden="false" customHeight="true" outlineLevel="0" collapsed="false">
      <c r="B38" s="4" t="s">
        <v>57</v>
      </c>
      <c r="C38" s="7" t="s">
        <v>58</v>
      </c>
    </row>
    <row r="39" customFormat="false" ht="45.75" hidden="false" customHeight="true" outlineLevel="0" collapsed="false">
      <c r="B39" s="4" t="s">
        <v>59</v>
      </c>
      <c r="C39" s="7" t="s">
        <v>60</v>
      </c>
    </row>
    <row r="40" customFormat="false" ht="45.75" hidden="false" customHeight="true" outlineLevel="0" collapsed="false">
      <c r="B40" s="4" t="s">
        <v>61</v>
      </c>
      <c r="C40" s="7" t="s">
        <v>62</v>
      </c>
    </row>
    <row r="41" customFormat="false" ht="45.75" hidden="false" customHeight="true" outlineLevel="0" collapsed="false">
      <c r="B41" s="4" t="s">
        <v>63</v>
      </c>
      <c r="C41" s="7" t="s">
        <v>64</v>
      </c>
    </row>
    <row r="42" customFormat="false" ht="45.75" hidden="false" customHeight="true" outlineLevel="0" collapsed="false">
      <c r="B42" s="4" t="s">
        <v>65</v>
      </c>
      <c r="C42" s="7" t="s">
        <v>66</v>
      </c>
    </row>
    <row r="43" customFormat="false" ht="31.5" hidden="false" customHeight="true" outlineLevel="0" collapsed="false">
      <c r="B43" s="4" t="s">
        <v>67</v>
      </c>
      <c r="C43" s="7" t="s">
        <v>68</v>
      </c>
    </row>
  </sheetData>
  <mergeCells count="7">
    <mergeCell ref="B1:C1"/>
    <mergeCell ref="B2:C2"/>
    <mergeCell ref="B4:C4"/>
    <mergeCell ref="B11:C11"/>
    <mergeCell ref="B17:C17"/>
    <mergeCell ref="B27:C27"/>
    <mergeCell ref="B36:C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N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8" min="6" style="0" width="9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2"/>
    <col collapsed="false" customWidth="true" hidden="false" outlineLevel="0" max="14" min="14" style="0" width="1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71</v>
      </c>
      <c r="C4" s="4"/>
      <c r="D4" s="5"/>
      <c r="E4" s="5"/>
      <c r="F4" s="4" t="s">
        <v>72</v>
      </c>
      <c r="G4" s="4"/>
      <c r="H4" s="4"/>
      <c r="I4" s="5"/>
      <c r="J4" s="5"/>
      <c r="K4" s="5"/>
      <c r="L4" s="5"/>
    </row>
    <row r="5" customFormat="false" ht="21.75" hidden="false" customHeight="true" outlineLevel="0" collapsed="false">
      <c r="B5" s="4" t="s">
        <v>73</v>
      </c>
      <c r="C5" s="4"/>
      <c r="D5" s="5"/>
      <c r="E5" s="5"/>
      <c r="F5" s="4" t="s">
        <v>74</v>
      </c>
      <c r="G5" s="4"/>
      <c r="H5" s="4"/>
      <c r="I5" s="14"/>
      <c r="J5" s="14"/>
      <c r="K5" s="14"/>
      <c r="L5" s="14"/>
    </row>
    <row r="6" customFormat="false" ht="21.75" hidden="false" customHeight="true" outlineLevel="0" collapsed="false">
      <c r="B6" s="4" t="s">
        <v>75</v>
      </c>
      <c r="C6" s="4"/>
      <c r="D6" s="5"/>
      <c r="E6" s="5"/>
      <c r="F6" s="4" t="s">
        <v>76</v>
      </c>
      <c r="G6" s="4"/>
      <c r="H6" s="4"/>
      <c r="I6" s="5"/>
      <c r="J6" s="5"/>
      <c r="K6" s="5"/>
      <c r="L6" s="5"/>
    </row>
    <row r="7" customFormat="false" ht="30" hidden="false" customHeight="true" outlineLevel="0" collapsed="false">
      <c r="B7" s="4" t="s">
        <v>77</v>
      </c>
      <c r="C7" s="4"/>
      <c r="D7" s="5"/>
      <c r="E7" s="5"/>
      <c r="F7" s="5"/>
      <c r="G7" s="5"/>
      <c r="H7" s="5"/>
      <c r="I7" s="5"/>
      <c r="J7" s="5"/>
      <c r="K7" s="5"/>
      <c r="L7" s="5"/>
    </row>
    <row r="8" customFormat="false" ht="30" hidden="false" customHeight="true" outlineLevel="0" collapsed="false">
      <c r="B8" s="4" t="s">
        <v>78</v>
      </c>
      <c r="C8" s="4"/>
      <c r="D8" s="5"/>
      <c r="E8" s="5"/>
      <c r="F8" s="4" t="s">
        <v>79</v>
      </c>
      <c r="G8" s="4"/>
      <c r="H8" s="4"/>
      <c r="I8" s="5"/>
      <c r="J8" s="5"/>
      <c r="K8" s="5"/>
      <c r="L8" s="5"/>
    </row>
    <row r="9" customFormat="false" ht="30" hidden="false" customHeight="true" outlineLevel="0" collapsed="false">
      <c r="B9" s="4" t="s">
        <v>80</v>
      </c>
      <c r="C9" s="4"/>
      <c r="D9" s="5"/>
      <c r="E9" s="5"/>
      <c r="F9" s="5"/>
      <c r="G9" s="5"/>
      <c r="H9" s="5"/>
      <c r="I9" s="5"/>
      <c r="J9" s="5"/>
      <c r="K9" s="5"/>
      <c r="L9" s="5"/>
    </row>
    <row r="11" customFormat="false" ht="33.75" hidden="false" customHeight="true" outlineLevel="0" collapsed="false">
      <c r="B11" s="15" t="s">
        <v>81</v>
      </c>
      <c r="C11" s="15"/>
      <c r="D11" s="15"/>
      <c r="E11" s="15"/>
      <c r="F11" s="16" t="s">
        <v>14</v>
      </c>
      <c r="G11" s="17" t="s">
        <v>16</v>
      </c>
      <c r="H11" s="18" t="s">
        <v>18</v>
      </c>
      <c r="I11" s="15" t="s">
        <v>82</v>
      </c>
      <c r="J11" s="15"/>
      <c r="K11" s="15"/>
      <c r="L11" s="15"/>
    </row>
    <row r="12" customFormat="false" ht="21.75" hidden="false" customHeight="true" outlineLevel="0" collapsed="false">
      <c r="B12" s="19" t="s">
        <v>83</v>
      </c>
      <c r="C12" s="19" t="s">
        <v>84</v>
      </c>
      <c r="D12" s="19"/>
      <c r="E12" s="19" t="s">
        <v>85</v>
      </c>
      <c r="F12" s="20" t="s">
        <v>86</v>
      </c>
      <c r="G12" s="21" t="s">
        <v>87</v>
      </c>
      <c r="H12" s="22" t="s">
        <v>88</v>
      </c>
      <c r="I12" s="19" t="s">
        <v>20</v>
      </c>
      <c r="J12" s="19" t="s">
        <v>89</v>
      </c>
      <c r="K12" s="19" t="s">
        <v>90</v>
      </c>
      <c r="L12" s="19" t="s">
        <v>91</v>
      </c>
    </row>
    <row r="13" customFormat="false" ht="30" hidden="false" customHeight="true" outlineLevel="0" collapsed="false">
      <c r="B13" s="23"/>
      <c r="C13" s="23" t="s">
        <v>92</v>
      </c>
      <c r="D13" s="23"/>
      <c r="E13" s="23" t="s">
        <v>93</v>
      </c>
      <c r="F13" s="24" t="s">
        <v>94</v>
      </c>
      <c r="G13" s="25" t="s">
        <v>95</v>
      </c>
      <c r="H13" s="26" t="s">
        <v>96</v>
      </c>
      <c r="I13" s="23" t="s">
        <v>97</v>
      </c>
      <c r="J13" s="23" t="s">
        <v>98</v>
      </c>
      <c r="K13" s="23" t="s">
        <v>99</v>
      </c>
      <c r="L13" s="23" t="s">
        <v>100</v>
      </c>
    </row>
    <row r="14" customFormat="false" ht="30" hidden="false" customHeight="true" outlineLevel="0" collapsed="false">
      <c r="B14" s="23" t="s">
        <v>101</v>
      </c>
      <c r="C14" s="27" t="s">
        <v>102</v>
      </c>
      <c r="D14" s="27"/>
      <c r="E14" s="23" t="s">
        <v>103</v>
      </c>
      <c r="F14" s="23" t="n">
        <v>5</v>
      </c>
      <c r="G14" s="23" t="n">
        <v>5</v>
      </c>
      <c r="H14" s="23" t="n">
        <v>4</v>
      </c>
      <c r="I14" s="23" t="n">
        <v>100</v>
      </c>
      <c r="J14" s="23" t="n">
        <v>1</v>
      </c>
      <c r="K14" s="23" t="s">
        <v>104</v>
      </c>
      <c r="L14" s="23" t="s">
        <v>105</v>
      </c>
      <c r="N14" s="28" t="s">
        <v>106</v>
      </c>
    </row>
    <row r="15" customFormat="false" ht="27" hidden="false" customHeight="true" outlineLevel="0" collapsed="false">
      <c r="B15" s="29" t="s">
        <v>107</v>
      </c>
      <c r="C15" s="5"/>
      <c r="D15" s="5"/>
      <c r="E15" s="30"/>
      <c r="F15" s="30"/>
      <c r="G15" s="30"/>
      <c r="H15" s="30"/>
      <c r="I15" s="31" t="str">
        <f aca="false">IF(COUNT(F15:H15)&lt;3,"",F15*G15*H15)</f>
        <v/>
      </c>
      <c r="J15" s="31" t="str">
        <f aca="false">IF(N15="","",RANK(N15,$N$15:$N$34)+COUNTIF($N$14:N14,N15))</f>
        <v/>
      </c>
      <c r="K15" s="32" t="str">
        <f aca="false">IF(I15="","",IF(I15&gt;=Escala!$C$14,"Alta",IF(I15&gt;=Escala!$C$15,"Média","Baixa")))</f>
        <v/>
      </c>
      <c r="L15" s="33" t="str">
        <f aca="false">IF(F15=5,"Gravidade máxima","")</f>
        <v/>
      </c>
      <c r="N15" s="34" t="str">
        <f aca="false">IF(I15="","",I15*1000+F15*100+G15*10+H15)</f>
        <v/>
      </c>
    </row>
    <row r="16" customFormat="false" ht="27" hidden="false" customHeight="true" outlineLevel="0" collapsed="false">
      <c r="B16" s="29" t="s">
        <v>108</v>
      </c>
      <c r="C16" s="5"/>
      <c r="D16" s="5"/>
      <c r="E16" s="30"/>
      <c r="F16" s="30"/>
      <c r="G16" s="30"/>
      <c r="H16" s="30"/>
      <c r="I16" s="31" t="str">
        <f aca="false">IF(COUNT(F16:H16)&lt;3,"",F16*G16*H16)</f>
        <v/>
      </c>
      <c r="J16" s="31" t="str">
        <f aca="false">IF(N16="","",RANK(N16,$N$15:$N$34)+COUNTIF($N$14:N15,N16))</f>
        <v/>
      </c>
      <c r="K16" s="32" t="str">
        <f aca="false">IF(I16="","",IF(I16&gt;=Escala!$C$14,"Alta",IF(I16&gt;=Escala!$C$15,"Média","Baixa")))</f>
        <v/>
      </c>
      <c r="L16" s="33" t="str">
        <f aca="false">IF(F16=5,"Gravidade máxima","")</f>
        <v/>
      </c>
      <c r="N16" s="34" t="str">
        <f aca="false">IF(I16="","",I16*1000+F16*100+G16*10+H16)</f>
        <v/>
      </c>
    </row>
    <row r="17" customFormat="false" ht="27" hidden="false" customHeight="true" outlineLevel="0" collapsed="false">
      <c r="B17" s="29" t="s">
        <v>109</v>
      </c>
      <c r="C17" s="5"/>
      <c r="D17" s="5"/>
      <c r="E17" s="30"/>
      <c r="F17" s="30"/>
      <c r="G17" s="30"/>
      <c r="H17" s="30"/>
      <c r="I17" s="31" t="str">
        <f aca="false">IF(COUNT(F17:H17)&lt;3,"",F17*G17*H17)</f>
        <v/>
      </c>
      <c r="J17" s="31" t="str">
        <f aca="false">IF(N17="","",RANK(N17,$N$15:$N$34)+COUNTIF($N$14:N16,N17))</f>
        <v/>
      </c>
      <c r="K17" s="32" t="str">
        <f aca="false">IF(I17="","",IF(I17&gt;=Escala!$C$14,"Alta",IF(I17&gt;=Escala!$C$15,"Média","Baixa")))</f>
        <v/>
      </c>
      <c r="L17" s="33" t="str">
        <f aca="false">IF(F17=5,"Gravidade máxima","")</f>
        <v/>
      </c>
      <c r="N17" s="34" t="str">
        <f aca="false">IF(I17="","",I17*1000+F17*100+G17*10+H17)</f>
        <v/>
      </c>
    </row>
    <row r="18" customFormat="false" ht="27" hidden="false" customHeight="true" outlineLevel="0" collapsed="false">
      <c r="B18" s="29" t="s">
        <v>110</v>
      </c>
      <c r="C18" s="5"/>
      <c r="D18" s="5"/>
      <c r="E18" s="30"/>
      <c r="F18" s="30"/>
      <c r="G18" s="30"/>
      <c r="H18" s="30"/>
      <c r="I18" s="31" t="str">
        <f aca="false">IF(COUNT(F18:H18)&lt;3,"",F18*G18*H18)</f>
        <v/>
      </c>
      <c r="J18" s="31" t="str">
        <f aca="false">IF(N18="","",RANK(N18,$N$15:$N$34)+COUNTIF($N$14:N17,N18))</f>
        <v/>
      </c>
      <c r="K18" s="32" t="str">
        <f aca="false">IF(I18="","",IF(I18&gt;=Escala!$C$14,"Alta",IF(I18&gt;=Escala!$C$15,"Média","Baixa")))</f>
        <v/>
      </c>
      <c r="L18" s="33" t="str">
        <f aca="false">IF(F18=5,"Gravidade máxima","")</f>
        <v/>
      </c>
      <c r="N18" s="34" t="str">
        <f aca="false">IF(I18="","",I18*1000+F18*100+G18*10+H18)</f>
        <v/>
      </c>
    </row>
    <row r="19" customFormat="false" ht="27" hidden="false" customHeight="true" outlineLevel="0" collapsed="false">
      <c r="B19" s="29" t="s">
        <v>111</v>
      </c>
      <c r="C19" s="5"/>
      <c r="D19" s="5"/>
      <c r="E19" s="30"/>
      <c r="F19" s="30"/>
      <c r="G19" s="30"/>
      <c r="H19" s="30"/>
      <c r="I19" s="31" t="str">
        <f aca="false">IF(COUNT(F19:H19)&lt;3,"",F19*G19*H19)</f>
        <v/>
      </c>
      <c r="J19" s="31" t="str">
        <f aca="false">IF(N19="","",RANK(N19,$N$15:$N$34)+COUNTIF($N$14:N18,N19))</f>
        <v/>
      </c>
      <c r="K19" s="32" t="str">
        <f aca="false">IF(I19="","",IF(I19&gt;=Escala!$C$14,"Alta",IF(I19&gt;=Escala!$C$15,"Média","Baixa")))</f>
        <v/>
      </c>
      <c r="L19" s="33" t="str">
        <f aca="false">IF(F19=5,"Gravidade máxima","")</f>
        <v/>
      </c>
      <c r="N19" s="34" t="str">
        <f aca="false">IF(I19="","",I19*1000+F19*100+G19*10+H19)</f>
        <v/>
      </c>
    </row>
    <row r="20" customFormat="false" ht="27" hidden="false" customHeight="true" outlineLevel="0" collapsed="false">
      <c r="B20" s="29" t="s">
        <v>112</v>
      </c>
      <c r="C20" s="5"/>
      <c r="D20" s="5"/>
      <c r="E20" s="30"/>
      <c r="F20" s="30"/>
      <c r="G20" s="30"/>
      <c r="H20" s="30"/>
      <c r="I20" s="31" t="str">
        <f aca="false">IF(COUNT(F20:H20)&lt;3,"",F20*G20*H20)</f>
        <v/>
      </c>
      <c r="J20" s="31" t="str">
        <f aca="false">IF(N20="","",RANK(N20,$N$15:$N$34)+COUNTIF($N$14:N19,N20))</f>
        <v/>
      </c>
      <c r="K20" s="32" t="str">
        <f aca="false">IF(I20="","",IF(I20&gt;=Escala!$C$14,"Alta",IF(I20&gt;=Escala!$C$15,"Média","Baixa")))</f>
        <v/>
      </c>
      <c r="L20" s="33" t="str">
        <f aca="false">IF(F20=5,"Gravidade máxima","")</f>
        <v/>
      </c>
      <c r="N20" s="34" t="str">
        <f aca="false">IF(I20="","",I20*1000+F20*100+G20*10+H20)</f>
        <v/>
      </c>
    </row>
    <row r="21" customFormat="false" ht="27" hidden="false" customHeight="true" outlineLevel="0" collapsed="false">
      <c r="B21" s="29" t="s">
        <v>113</v>
      </c>
      <c r="C21" s="5"/>
      <c r="D21" s="5"/>
      <c r="E21" s="30"/>
      <c r="F21" s="30"/>
      <c r="G21" s="30"/>
      <c r="H21" s="30"/>
      <c r="I21" s="31" t="str">
        <f aca="false">IF(COUNT(F21:H21)&lt;3,"",F21*G21*H21)</f>
        <v/>
      </c>
      <c r="J21" s="31" t="str">
        <f aca="false">IF(N21="","",RANK(N21,$N$15:$N$34)+COUNTIF($N$14:N20,N21))</f>
        <v/>
      </c>
      <c r="K21" s="32" t="str">
        <f aca="false">IF(I21="","",IF(I21&gt;=Escala!$C$14,"Alta",IF(I21&gt;=Escala!$C$15,"Média","Baixa")))</f>
        <v/>
      </c>
      <c r="L21" s="33" t="str">
        <f aca="false">IF(F21=5,"Gravidade máxima","")</f>
        <v/>
      </c>
      <c r="N21" s="34" t="str">
        <f aca="false">IF(I21="","",I21*1000+F21*100+G21*10+H21)</f>
        <v/>
      </c>
    </row>
    <row r="22" customFormat="false" ht="27" hidden="false" customHeight="true" outlineLevel="0" collapsed="false">
      <c r="B22" s="29" t="s">
        <v>114</v>
      </c>
      <c r="C22" s="5"/>
      <c r="D22" s="5"/>
      <c r="E22" s="30"/>
      <c r="F22" s="30"/>
      <c r="G22" s="30"/>
      <c r="H22" s="30"/>
      <c r="I22" s="31" t="str">
        <f aca="false">IF(COUNT(F22:H22)&lt;3,"",F22*G22*H22)</f>
        <v/>
      </c>
      <c r="J22" s="31" t="str">
        <f aca="false">IF(N22="","",RANK(N22,$N$15:$N$34)+COUNTIF($N$14:N21,N22))</f>
        <v/>
      </c>
      <c r="K22" s="32" t="str">
        <f aca="false">IF(I22="","",IF(I22&gt;=Escala!$C$14,"Alta",IF(I22&gt;=Escala!$C$15,"Média","Baixa")))</f>
        <v/>
      </c>
      <c r="L22" s="33" t="str">
        <f aca="false">IF(F22=5,"Gravidade máxima","")</f>
        <v/>
      </c>
      <c r="N22" s="34" t="str">
        <f aca="false">IF(I22="","",I22*1000+F22*100+G22*10+H22)</f>
        <v/>
      </c>
    </row>
    <row r="23" customFormat="false" ht="27" hidden="false" customHeight="true" outlineLevel="0" collapsed="false">
      <c r="B23" s="29" t="s">
        <v>115</v>
      </c>
      <c r="C23" s="5"/>
      <c r="D23" s="5"/>
      <c r="E23" s="30"/>
      <c r="F23" s="30"/>
      <c r="G23" s="30"/>
      <c r="H23" s="30"/>
      <c r="I23" s="31" t="str">
        <f aca="false">IF(COUNT(F23:H23)&lt;3,"",F23*G23*H23)</f>
        <v/>
      </c>
      <c r="J23" s="31" t="str">
        <f aca="false">IF(N23="","",RANK(N23,$N$15:$N$34)+COUNTIF($N$14:N22,N23))</f>
        <v/>
      </c>
      <c r="K23" s="32" t="str">
        <f aca="false">IF(I23="","",IF(I23&gt;=Escala!$C$14,"Alta",IF(I23&gt;=Escala!$C$15,"Média","Baixa")))</f>
        <v/>
      </c>
      <c r="L23" s="33" t="str">
        <f aca="false">IF(F23=5,"Gravidade máxima","")</f>
        <v/>
      </c>
      <c r="N23" s="34" t="str">
        <f aca="false">IF(I23="","",I23*1000+F23*100+G23*10+H23)</f>
        <v/>
      </c>
    </row>
    <row r="24" customFormat="false" ht="27" hidden="false" customHeight="true" outlineLevel="0" collapsed="false">
      <c r="B24" s="29" t="s">
        <v>116</v>
      </c>
      <c r="C24" s="5"/>
      <c r="D24" s="5"/>
      <c r="E24" s="30"/>
      <c r="F24" s="30"/>
      <c r="G24" s="30"/>
      <c r="H24" s="30"/>
      <c r="I24" s="31" t="str">
        <f aca="false">IF(COUNT(F24:H24)&lt;3,"",F24*G24*H24)</f>
        <v/>
      </c>
      <c r="J24" s="31" t="str">
        <f aca="false">IF(N24="","",RANK(N24,$N$15:$N$34)+COUNTIF($N$14:N23,N24))</f>
        <v/>
      </c>
      <c r="K24" s="32" t="str">
        <f aca="false">IF(I24="","",IF(I24&gt;=Escala!$C$14,"Alta",IF(I24&gt;=Escala!$C$15,"Média","Baixa")))</f>
        <v/>
      </c>
      <c r="L24" s="33" t="str">
        <f aca="false">IF(F24=5,"Gravidade máxima","")</f>
        <v/>
      </c>
      <c r="N24" s="34" t="str">
        <f aca="false">IF(I24="","",I24*1000+F24*100+G24*10+H24)</f>
        <v/>
      </c>
    </row>
    <row r="25" customFormat="false" ht="27" hidden="false" customHeight="true" outlineLevel="0" collapsed="false">
      <c r="B25" s="29" t="s">
        <v>117</v>
      </c>
      <c r="C25" s="5"/>
      <c r="D25" s="5"/>
      <c r="E25" s="30"/>
      <c r="F25" s="30"/>
      <c r="G25" s="30"/>
      <c r="H25" s="30"/>
      <c r="I25" s="31" t="str">
        <f aca="false">IF(COUNT(F25:H25)&lt;3,"",F25*G25*H25)</f>
        <v/>
      </c>
      <c r="J25" s="31" t="str">
        <f aca="false">IF(N25="","",RANK(N25,$N$15:$N$34)+COUNTIF($N$14:N24,N25))</f>
        <v/>
      </c>
      <c r="K25" s="32" t="str">
        <f aca="false">IF(I25="","",IF(I25&gt;=Escala!$C$14,"Alta",IF(I25&gt;=Escala!$C$15,"Média","Baixa")))</f>
        <v/>
      </c>
      <c r="L25" s="33" t="str">
        <f aca="false">IF(F25=5,"Gravidade máxima","")</f>
        <v/>
      </c>
      <c r="N25" s="34" t="str">
        <f aca="false">IF(I25="","",I25*1000+F25*100+G25*10+H25)</f>
        <v/>
      </c>
    </row>
    <row r="26" customFormat="false" ht="27" hidden="false" customHeight="true" outlineLevel="0" collapsed="false">
      <c r="B26" s="29" t="s">
        <v>118</v>
      </c>
      <c r="C26" s="5"/>
      <c r="D26" s="5"/>
      <c r="E26" s="30"/>
      <c r="F26" s="30"/>
      <c r="G26" s="30"/>
      <c r="H26" s="30"/>
      <c r="I26" s="31" t="str">
        <f aca="false">IF(COUNT(F26:H26)&lt;3,"",F26*G26*H26)</f>
        <v/>
      </c>
      <c r="J26" s="31" t="str">
        <f aca="false">IF(N26="","",RANK(N26,$N$15:$N$34)+COUNTIF($N$14:N25,N26))</f>
        <v/>
      </c>
      <c r="K26" s="32" t="str">
        <f aca="false">IF(I26="","",IF(I26&gt;=Escala!$C$14,"Alta",IF(I26&gt;=Escala!$C$15,"Média","Baixa")))</f>
        <v/>
      </c>
      <c r="L26" s="33" t="str">
        <f aca="false">IF(F26=5,"Gravidade máxima","")</f>
        <v/>
      </c>
      <c r="N26" s="34" t="str">
        <f aca="false">IF(I26="","",I26*1000+F26*100+G26*10+H26)</f>
        <v/>
      </c>
    </row>
    <row r="27" customFormat="false" ht="27" hidden="false" customHeight="true" outlineLevel="0" collapsed="false">
      <c r="B27" s="29" t="s">
        <v>119</v>
      </c>
      <c r="C27" s="5"/>
      <c r="D27" s="5"/>
      <c r="E27" s="30"/>
      <c r="F27" s="30"/>
      <c r="G27" s="30"/>
      <c r="H27" s="30"/>
      <c r="I27" s="31" t="str">
        <f aca="false">IF(COUNT(F27:H27)&lt;3,"",F27*G27*H27)</f>
        <v/>
      </c>
      <c r="J27" s="31" t="str">
        <f aca="false">IF(N27="","",RANK(N27,$N$15:$N$34)+COUNTIF($N$14:N26,N27))</f>
        <v/>
      </c>
      <c r="K27" s="32" t="str">
        <f aca="false">IF(I27="","",IF(I27&gt;=Escala!$C$14,"Alta",IF(I27&gt;=Escala!$C$15,"Média","Baixa")))</f>
        <v/>
      </c>
      <c r="L27" s="33" t="str">
        <f aca="false">IF(F27=5,"Gravidade máxima","")</f>
        <v/>
      </c>
      <c r="N27" s="34" t="str">
        <f aca="false">IF(I27="","",I27*1000+F27*100+G27*10+H27)</f>
        <v/>
      </c>
    </row>
    <row r="28" customFormat="false" ht="27" hidden="false" customHeight="true" outlineLevel="0" collapsed="false">
      <c r="B28" s="29" t="s">
        <v>120</v>
      </c>
      <c r="C28" s="5"/>
      <c r="D28" s="5"/>
      <c r="E28" s="30"/>
      <c r="F28" s="30"/>
      <c r="G28" s="30"/>
      <c r="H28" s="30"/>
      <c r="I28" s="31" t="str">
        <f aca="false">IF(COUNT(F28:H28)&lt;3,"",F28*G28*H28)</f>
        <v/>
      </c>
      <c r="J28" s="31" t="str">
        <f aca="false">IF(N28="","",RANK(N28,$N$15:$N$34)+COUNTIF($N$14:N27,N28))</f>
        <v/>
      </c>
      <c r="K28" s="32" t="str">
        <f aca="false">IF(I28="","",IF(I28&gt;=Escala!$C$14,"Alta",IF(I28&gt;=Escala!$C$15,"Média","Baixa")))</f>
        <v/>
      </c>
      <c r="L28" s="33" t="str">
        <f aca="false">IF(F28=5,"Gravidade máxima","")</f>
        <v/>
      </c>
      <c r="N28" s="34" t="str">
        <f aca="false">IF(I28="","",I28*1000+F28*100+G28*10+H28)</f>
        <v/>
      </c>
    </row>
    <row r="29" customFormat="false" ht="27" hidden="false" customHeight="true" outlineLevel="0" collapsed="false">
      <c r="B29" s="29" t="s">
        <v>121</v>
      </c>
      <c r="C29" s="5"/>
      <c r="D29" s="5"/>
      <c r="E29" s="30"/>
      <c r="F29" s="30"/>
      <c r="G29" s="30"/>
      <c r="H29" s="30"/>
      <c r="I29" s="31" t="str">
        <f aca="false">IF(COUNT(F29:H29)&lt;3,"",F29*G29*H29)</f>
        <v/>
      </c>
      <c r="J29" s="31" t="str">
        <f aca="false">IF(N29="","",RANK(N29,$N$15:$N$34)+COUNTIF($N$14:N28,N29))</f>
        <v/>
      </c>
      <c r="K29" s="32" t="str">
        <f aca="false">IF(I29="","",IF(I29&gt;=Escala!$C$14,"Alta",IF(I29&gt;=Escala!$C$15,"Média","Baixa")))</f>
        <v/>
      </c>
      <c r="L29" s="33" t="str">
        <f aca="false">IF(F29=5,"Gravidade máxima","")</f>
        <v/>
      </c>
      <c r="N29" s="34" t="str">
        <f aca="false">IF(I29="","",I29*1000+F29*100+G29*10+H29)</f>
        <v/>
      </c>
    </row>
    <row r="30" customFormat="false" ht="27" hidden="false" customHeight="true" outlineLevel="0" collapsed="false">
      <c r="B30" s="29" t="s">
        <v>122</v>
      </c>
      <c r="C30" s="5"/>
      <c r="D30" s="5"/>
      <c r="E30" s="30"/>
      <c r="F30" s="30"/>
      <c r="G30" s="30"/>
      <c r="H30" s="30"/>
      <c r="I30" s="31" t="str">
        <f aca="false">IF(COUNT(F30:H30)&lt;3,"",F30*G30*H30)</f>
        <v/>
      </c>
      <c r="J30" s="31" t="str">
        <f aca="false">IF(N30="","",RANK(N30,$N$15:$N$34)+COUNTIF($N$14:N29,N30))</f>
        <v/>
      </c>
      <c r="K30" s="32" t="str">
        <f aca="false">IF(I30="","",IF(I30&gt;=Escala!$C$14,"Alta",IF(I30&gt;=Escala!$C$15,"Média","Baixa")))</f>
        <v/>
      </c>
      <c r="L30" s="33" t="str">
        <f aca="false">IF(F30=5,"Gravidade máxima","")</f>
        <v/>
      </c>
      <c r="N30" s="34" t="str">
        <f aca="false">IF(I30="","",I30*1000+F30*100+G30*10+H30)</f>
        <v/>
      </c>
    </row>
    <row r="31" customFormat="false" ht="27" hidden="false" customHeight="true" outlineLevel="0" collapsed="false">
      <c r="B31" s="29" t="s">
        <v>123</v>
      </c>
      <c r="C31" s="5"/>
      <c r="D31" s="5"/>
      <c r="E31" s="30"/>
      <c r="F31" s="30"/>
      <c r="G31" s="30"/>
      <c r="H31" s="30"/>
      <c r="I31" s="31" t="str">
        <f aca="false">IF(COUNT(F31:H31)&lt;3,"",F31*G31*H31)</f>
        <v/>
      </c>
      <c r="J31" s="31" t="str">
        <f aca="false">IF(N31="","",RANK(N31,$N$15:$N$34)+COUNTIF($N$14:N30,N31))</f>
        <v/>
      </c>
      <c r="K31" s="32" t="str">
        <f aca="false">IF(I31="","",IF(I31&gt;=Escala!$C$14,"Alta",IF(I31&gt;=Escala!$C$15,"Média","Baixa")))</f>
        <v/>
      </c>
      <c r="L31" s="33" t="str">
        <f aca="false">IF(F31=5,"Gravidade máxima","")</f>
        <v/>
      </c>
      <c r="N31" s="34" t="str">
        <f aca="false">IF(I31="","",I31*1000+F31*100+G31*10+H31)</f>
        <v/>
      </c>
    </row>
    <row r="32" customFormat="false" ht="27" hidden="false" customHeight="true" outlineLevel="0" collapsed="false">
      <c r="B32" s="29" t="s">
        <v>124</v>
      </c>
      <c r="C32" s="5"/>
      <c r="D32" s="5"/>
      <c r="E32" s="30"/>
      <c r="F32" s="30"/>
      <c r="G32" s="30"/>
      <c r="H32" s="30"/>
      <c r="I32" s="31" t="str">
        <f aca="false">IF(COUNT(F32:H32)&lt;3,"",F32*G32*H32)</f>
        <v/>
      </c>
      <c r="J32" s="31" t="str">
        <f aca="false">IF(N32="","",RANK(N32,$N$15:$N$34)+COUNTIF($N$14:N31,N32))</f>
        <v/>
      </c>
      <c r="K32" s="32" t="str">
        <f aca="false">IF(I32="","",IF(I32&gt;=Escala!$C$14,"Alta",IF(I32&gt;=Escala!$C$15,"Média","Baixa")))</f>
        <v/>
      </c>
      <c r="L32" s="33" t="str">
        <f aca="false">IF(F32=5,"Gravidade máxima","")</f>
        <v/>
      </c>
      <c r="N32" s="34" t="str">
        <f aca="false">IF(I32="","",I32*1000+F32*100+G32*10+H32)</f>
        <v/>
      </c>
    </row>
    <row r="33" customFormat="false" ht="27" hidden="false" customHeight="true" outlineLevel="0" collapsed="false">
      <c r="B33" s="29" t="s">
        <v>125</v>
      </c>
      <c r="C33" s="5"/>
      <c r="D33" s="5"/>
      <c r="E33" s="30"/>
      <c r="F33" s="30"/>
      <c r="G33" s="30"/>
      <c r="H33" s="30"/>
      <c r="I33" s="31" t="str">
        <f aca="false">IF(COUNT(F33:H33)&lt;3,"",F33*G33*H33)</f>
        <v/>
      </c>
      <c r="J33" s="31" t="str">
        <f aca="false">IF(N33="","",RANK(N33,$N$15:$N$34)+COUNTIF($N$14:N32,N33))</f>
        <v/>
      </c>
      <c r="K33" s="32" t="str">
        <f aca="false">IF(I33="","",IF(I33&gt;=Escala!$C$14,"Alta",IF(I33&gt;=Escala!$C$15,"Média","Baixa")))</f>
        <v/>
      </c>
      <c r="L33" s="33" t="str">
        <f aca="false">IF(F33=5,"Gravidade máxima","")</f>
        <v/>
      </c>
      <c r="N33" s="34" t="str">
        <f aca="false">IF(I33="","",I33*1000+F33*100+G33*10+H33)</f>
        <v/>
      </c>
    </row>
    <row r="34" customFormat="false" ht="27" hidden="false" customHeight="true" outlineLevel="0" collapsed="false">
      <c r="B34" s="29" t="s">
        <v>126</v>
      </c>
      <c r="C34" s="5"/>
      <c r="D34" s="5"/>
      <c r="E34" s="30"/>
      <c r="F34" s="30"/>
      <c r="G34" s="30"/>
      <c r="H34" s="30"/>
      <c r="I34" s="31" t="str">
        <f aca="false">IF(COUNT(F34:H34)&lt;3,"",F34*G34*H34)</f>
        <v/>
      </c>
      <c r="J34" s="31" t="str">
        <f aca="false">IF(N34="","",RANK(N34,$N$15:$N$34)+COUNTIF($N$14:N33,N34))</f>
        <v/>
      </c>
      <c r="K34" s="32" t="str">
        <f aca="false">IF(I34="","",IF(I34&gt;=Escala!$C$14,"Alta",IF(I34&gt;=Escala!$C$15,"Média","Baixa")))</f>
        <v/>
      </c>
      <c r="L34" s="33" t="str">
        <f aca="false">IF(F34=5,"Gravidade máxima","")</f>
        <v/>
      </c>
      <c r="N34" s="34" t="str">
        <f aca="false">IF(I34="","",I34*1000+F34*100+G34*10+H34)</f>
        <v/>
      </c>
    </row>
    <row r="36" customFormat="false" ht="21.75" hidden="false" customHeight="true" outlineLevel="0" collapsed="false">
      <c r="B36" s="15" t="s">
        <v>127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21.75" hidden="false" customHeight="true" outlineLevel="0" collapsed="false">
      <c r="B37" s="35" t="s">
        <v>128</v>
      </c>
      <c r="C37" s="35"/>
      <c r="D37" s="35"/>
      <c r="E37" s="35"/>
      <c r="F37" s="36" t="n">
        <f aca="false">COUNTA(C15:C34)</f>
        <v>0</v>
      </c>
      <c r="G37" s="36"/>
      <c r="H37" s="36"/>
      <c r="I37" s="36"/>
      <c r="J37" s="36"/>
      <c r="K37" s="36"/>
    </row>
    <row r="38" customFormat="false" ht="21.75" hidden="false" customHeight="true" outlineLevel="0" collapsed="false">
      <c r="B38" s="35" t="s">
        <v>129</v>
      </c>
      <c r="C38" s="35"/>
      <c r="D38" s="35"/>
      <c r="E38" s="35"/>
      <c r="F38" s="36" t="n">
        <f aca="false">COUNT(I15:I34)</f>
        <v>0</v>
      </c>
      <c r="G38" s="36"/>
      <c r="H38" s="36"/>
      <c r="I38" s="36"/>
      <c r="J38" s="36"/>
      <c r="K38" s="36"/>
    </row>
    <row r="39" customFormat="false" ht="21.75" hidden="false" customHeight="true" outlineLevel="0" collapsed="false">
      <c r="B39" s="35" t="s">
        <v>130</v>
      </c>
      <c r="C39" s="35"/>
      <c r="D39" s="35"/>
      <c r="E39" s="35"/>
      <c r="F39" s="36" t="n">
        <f aca="false">COUNTIF(K15:K34,"Alta")</f>
        <v>0</v>
      </c>
      <c r="G39" s="36"/>
      <c r="H39" s="36"/>
      <c r="I39" s="36"/>
      <c r="J39" s="36"/>
      <c r="K39" s="36"/>
    </row>
    <row r="40" customFormat="false" ht="21.75" hidden="false" customHeight="true" outlineLevel="0" collapsed="false">
      <c r="B40" s="35" t="s">
        <v>131</v>
      </c>
      <c r="C40" s="35"/>
      <c r="D40" s="35"/>
      <c r="E40" s="35"/>
      <c r="F40" s="36" t="n">
        <f aca="false">COUNTIF(K15:K34,"Média")</f>
        <v>0</v>
      </c>
      <c r="G40" s="36"/>
      <c r="H40" s="36"/>
      <c r="I40" s="36"/>
      <c r="J40" s="36"/>
      <c r="K40" s="36"/>
    </row>
    <row r="41" customFormat="false" ht="21.75" hidden="false" customHeight="true" outlineLevel="0" collapsed="false">
      <c r="B41" s="35" t="s">
        <v>132</v>
      </c>
      <c r="C41" s="35"/>
      <c r="D41" s="35"/>
      <c r="E41" s="35"/>
      <c r="F41" s="36" t="n">
        <f aca="false">COUNTIF(K15:K34,"Baixa")</f>
        <v>0</v>
      </c>
      <c r="G41" s="36"/>
      <c r="H41" s="36"/>
      <c r="I41" s="36"/>
      <c r="J41" s="36"/>
      <c r="K41" s="36"/>
    </row>
    <row r="42" customFormat="false" ht="21.75" hidden="false" customHeight="true" outlineLevel="0" collapsed="false">
      <c r="B42" s="35" t="s">
        <v>133</v>
      </c>
      <c r="C42" s="35"/>
      <c r="D42" s="35"/>
      <c r="E42" s="35"/>
      <c r="F42" s="36" t="n">
        <f aca="false">COUNTIF(F15:F34,5)</f>
        <v>0</v>
      </c>
      <c r="G42" s="36"/>
      <c r="H42" s="36"/>
      <c r="I42" s="36"/>
      <c r="J42" s="36"/>
      <c r="K42" s="36"/>
    </row>
    <row r="43" customFormat="false" ht="21.75" hidden="false" customHeight="true" outlineLevel="0" collapsed="false">
      <c r="B43" s="35" t="s">
        <v>134</v>
      </c>
      <c r="C43" s="35"/>
      <c r="D43" s="35"/>
      <c r="E43" s="35"/>
      <c r="F43" s="33" t="str">
        <f aca="false">IF(F37=0,"Liste os problemas",IF(F38&lt;F37,"Há problema sem as três notas","OK"))</f>
        <v>Liste os problemas</v>
      </c>
      <c r="G43" s="33"/>
      <c r="H43" s="33"/>
      <c r="I43" s="33"/>
      <c r="J43" s="33"/>
      <c r="K43" s="33"/>
    </row>
    <row r="44" customFormat="false" ht="21.75" hidden="false" customHeight="true" outlineLevel="0" collapsed="false">
      <c r="B44" s="35" t="s">
        <v>135</v>
      </c>
      <c r="C44" s="35"/>
      <c r="D44" s="35"/>
      <c r="E44" s="35"/>
      <c r="F44" s="33" t="str">
        <f aca="false">IF(F38&lt;4,"OK",IF(F39&gt;F38/2,"Mais da metade em prioridade alta: revise as notas",IF(MAX(I15:I34)=MIN(I15:I34),"Todas as pontuações são iguais: revise as notas","OK")))</f>
        <v>OK</v>
      </c>
      <c r="G44" s="33"/>
      <c r="H44" s="33"/>
      <c r="I44" s="33"/>
      <c r="J44" s="33"/>
      <c r="K44" s="33"/>
    </row>
    <row r="45" customFormat="false" ht="21.75" hidden="false" customHeight="true" outlineLevel="0" collapsed="false">
      <c r="B45" s="35" t="s">
        <v>136</v>
      </c>
      <c r="C45" s="35"/>
      <c r="D45" s="35"/>
      <c r="E45" s="35"/>
      <c r="F45" s="37" t="n">
        <f aca="false">COUNTA(D4,I4,D5,I5,D6,I6,D7,D8,I8,D9)</f>
        <v>0</v>
      </c>
      <c r="G45" s="37"/>
      <c r="H45" s="37"/>
      <c r="I45" s="37"/>
      <c r="J45" s="37"/>
      <c r="K45" s="37"/>
    </row>
  </sheetData>
  <mergeCells count="66">
    <mergeCell ref="B1:L1"/>
    <mergeCell ref="B2:L2"/>
    <mergeCell ref="B4:C4"/>
    <mergeCell ref="D4:E4"/>
    <mergeCell ref="F4:H4"/>
    <mergeCell ref="I4:L4"/>
    <mergeCell ref="B5:C5"/>
    <mergeCell ref="D5:E5"/>
    <mergeCell ref="F5:H5"/>
    <mergeCell ref="I5:L5"/>
    <mergeCell ref="B6:C6"/>
    <mergeCell ref="D6:E6"/>
    <mergeCell ref="F6:H6"/>
    <mergeCell ref="I6:L6"/>
    <mergeCell ref="B7:C7"/>
    <mergeCell ref="D7:L7"/>
    <mergeCell ref="B8:C8"/>
    <mergeCell ref="D8:E8"/>
    <mergeCell ref="F8:H8"/>
    <mergeCell ref="I8:L8"/>
    <mergeCell ref="B9:C9"/>
    <mergeCell ref="D9:L9"/>
    <mergeCell ref="B11:E11"/>
    <mergeCell ref="I11:L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B36:L36"/>
    <mergeCell ref="B37:E37"/>
    <mergeCell ref="F37:K37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K42"/>
    <mergeCell ref="B43:E43"/>
    <mergeCell ref="F43:K43"/>
    <mergeCell ref="B44:E44"/>
    <mergeCell ref="F44:K44"/>
    <mergeCell ref="B45:E45"/>
    <mergeCell ref="F45:K45"/>
  </mergeCells>
  <conditionalFormatting sqref="K15:K34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L15:L34">
    <cfRule type="expression" priority="5" aboveAverage="0" equalAverage="0" bottom="0" percent="0" rank="0" text="" dxfId="0">
      <formula>LEN(L15)&gt;0</formula>
    </cfRule>
  </conditionalFormatting>
  <conditionalFormatting sqref="F43:K44">
    <cfRule type="cellIs" priority="6" operator="equal" aboveAverage="0" equalAverage="0" bottom="0" percent="0" rank="0" text="" dxfId="2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5" type="date">
      <formula1>36526</formula1>
      <formula2>0</formula2>
    </dataValidation>
    <dataValidation allowBlank="true" error="Escolha uma das opções da lista." errorStyle="stop" errorTitle="Valor inválido" operator="between" prompt="De onde veio o problema" promptTitle="Opções" showDropDown="false" showErrorMessage="true" showInputMessage="true" sqref="E15:E34" type="list">
      <formula1>"Auditoria,Reclamação,Indicador,SWOT,Reunião,Outro"</formula1>
      <formula2>0</formula2>
    </dataValidation>
    <dataValidation allowBlank="true" error="Digite um número inteiro de 1 a 5." errorStyle="stop" errorTitle="Valor inválido" operator="between" prompt="Veja a descrição de cada nota na aba Escala." promptTitle="Nota de 1 a 5" showDropDown="false" showErrorMessage="true" showInputMessage="true" sqref="F15:H34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8" min="6" style="0" width="8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137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138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15" t="s">
        <v>139</v>
      </c>
      <c r="C4" s="15"/>
      <c r="D4" s="15"/>
      <c r="E4" s="15"/>
      <c r="F4" s="15"/>
      <c r="G4" s="15"/>
      <c r="H4" s="15"/>
      <c r="I4" s="15"/>
      <c r="J4" s="15"/>
      <c r="K4" s="15"/>
    </row>
    <row r="5" customFormat="false" ht="21.75" hidden="false" customHeight="true" outlineLevel="0" collapsed="false">
      <c r="B5" s="31" t="s">
        <v>140</v>
      </c>
      <c r="C5" s="31" t="s">
        <v>141</v>
      </c>
      <c r="D5" s="31" t="s">
        <v>84</v>
      </c>
      <c r="E5" s="31" t="s">
        <v>85</v>
      </c>
      <c r="F5" s="8" t="s">
        <v>14</v>
      </c>
      <c r="G5" s="10" t="s">
        <v>16</v>
      </c>
      <c r="H5" s="12" t="s">
        <v>18</v>
      </c>
      <c r="I5" s="31" t="s">
        <v>20</v>
      </c>
      <c r="J5" s="31" t="s">
        <v>90</v>
      </c>
      <c r="K5" s="31" t="s">
        <v>91</v>
      </c>
    </row>
    <row r="6" customFormat="false" ht="24" hidden="false" customHeight="true" outlineLevel="0" collapsed="false">
      <c r="B6" s="29" t="n">
        <v>1</v>
      </c>
      <c r="C6" s="31" t="str">
        <f aca="false">IFERROR(INDEX(GUT!$B$15:$B$34,MATCH($B6,GUT!$J$15:$J$34,0))&amp;"","")</f>
        <v/>
      </c>
      <c r="D6" s="6" t="str">
        <f aca="false">IFERROR(INDEX(GUT!$C$15:$C$34,MATCH($B6,GUT!$J$15:$J$34,0))&amp;"","")</f>
        <v/>
      </c>
      <c r="E6" s="32" t="str">
        <f aca="false">IFERROR(INDEX(GUT!$E$15:$E$34,MATCH($B6,GUT!$J$15:$J$34,0))&amp;"","")</f>
        <v/>
      </c>
      <c r="F6" s="32" t="str">
        <f aca="false">IFERROR(INDEX(GUT!$F$15:$F$34,MATCH($B6,GUT!$J$15:$J$34,0)),"")</f>
        <v/>
      </c>
      <c r="G6" s="32" t="str">
        <f aca="false">IFERROR(INDEX(GUT!$G$15:$G$34,MATCH($B6,GUT!$J$15:$J$34,0)),"")</f>
        <v/>
      </c>
      <c r="H6" s="32" t="str">
        <f aca="false">IFERROR(INDEX(GUT!$H$15:$H$34,MATCH($B6,GUT!$J$15:$J$34,0)),"")</f>
        <v/>
      </c>
      <c r="I6" s="31" t="str">
        <f aca="false">IFERROR(INDEX(GUT!$I$15:$I$34,MATCH($B6,GUT!$J$15:$J$34,0)),"")</f>
        <v/>
      </c>
      <c r="J6" s="32" t="str">
        <f aca="false">IFERROR(INDEX(GUT!$K$15:$K$34,MATCH($B6,GUT!$J$15:$J$34,0))&amp;"","")</f>
        <v/>
      </c>
      <c r="K6" s="33" t="str">
        <f aca="false">IFERROR(INDEX(GUT!$L$15:$L$34,MATCH($B6,GUT!$J$15:$J$34,0))&amp;"","")</f>
        <v/>
      </c>
    </row>
    <row r="7" customFormat="false" ht="24" hidden="false" customHeight="true" outlineLevel="0" collapsed="false">
      <c r="B7" s="29" t="n">
        <v>2</v>
      </c>
      <c r="C7" s="31" t="str">
        <f aca="false">IFERROR(INDEX(GUT!$B$15:$B$34,MATCH($B7,GUT!$J$15:$J$34,0))&amp;"","")</f>
        <v/>
      </c>
      <c r="D7" s="6" t="str">
        <f aca="false">IFERROR(INDEX(GUT!$C$15:$C$34,MATCH($B7,GUT!$J$15:$J$34,0))&amp;"","")</f>
        <v/>
      </c>
      <c r="E7" s="32" t="str">
        <f aca="false">IFERROR(INDEX(GUT!$E$15:$E$34,MATCH($B7,GUT!$J$15:$J$34,0))&amp;"","")</f>
        <v/>
      </c>
      <c r="F7" s="32" t="str">
        <f aca="false">IFERROR(INDEX(GUT!$F$15:$F$34,MATCH($B7,GUT!$J$15:$J$34,0)),"")</f>
        <v/>
      </c>
      <c r="G7" s="32" t="str">
        <f aca="false">IFERROR(INDEX(GUT!$G$15:$G$34,MATCH($B7,GUT!$J$15:$J$34,0)),"")</f>
        <v/>
      </c>
      <c r="H7" s="32" t="str">
        <f aca="false">IFERROR(INDEX(GUT!$H$15:$H$34,MATCH($B7,GUT!$J$15:$J$34,0)),"")</f>
        <v/>
      </c>
      <c r="I7" s="31" t="str">
        <f aca="false">IFERROR(INDEX(GUT!$I$15:$I$34,MATCH($B7,GUT!$J$15:$J$34,0)),"")</f>
        <v/>
      </c>
      <c r="J7" s="32" t="str">
        <f aca="false">IFERROR(INDEX(GUT!$K$15:$K$34,MATCH($B7,GUT!$J$15:$J$34,0))&amp;"","")</f>
        <v/>
      </c>
      <c r="K7" s="33" t="str">
        <f aca="false">IFERROR(INDEX(GUT!$L$15:$L$34,MATCH($B7,GUT!$J$15:$J$34,0))&amp;"","")</f>
        <v/>
      </c>
    </row>
    <row r="8" customFormat="false" ht="24" hidden="false" customHeight="true" outlineLevel="0" collapsed="false">
      <c r="B8" s="29" t="n">
        <v>3</v>
      </c>
      <c r="C8" s="31" t="str">
        <f aca="false">IFERROR(INDEX(GUT!$B$15:$B$34,MATCH($B8,GUT!$J$15:$J$34,0))&amp;"","")</f>
        <v/>
      </c>
      <c r="D8" s="6" t="str">
        <f aca="false">IFERROR(INDEX(GUT!$C$15:$C$34,MATCH($B8,GUT!$J$15:$J$34,0))&amp;"","")</f>
        <v/>
      </c>
      <c r="E8" s="32" t="str">
        <f aca="false">IFERROR(INDEX(GUT!$E$15:$E$34,MATCH($B8,GUT!$J$15:$J$34,0))&amp;"","")</f>
        <v/>
      </c>
      <c r="F8" s="32" t="str">
        <f aca="false">IFERROR(INDEX(GUT!$F$15:$F$34,MATCH($B8,GUT!$J$15:$J$34,0)),"")</f>
        <v/>
      </c>
      <c r="G8" s="32" t="str">
        <f aca="false">IFERROR(INDEX(GUT!$G$15:$G$34,MATCH($B8,GUT!$J$15:$J$34,0)),"")</f>
        <v/>
      </c>
      <c r="H8" s="32" t="str">
        <f aca="false">IFERROR(INDEX(GUT!$H$15:$H$34,MATCH($B8,GUT!$J$15:$J$34,0)),"")</f>
        <v/>
      </c>
      <c r="I8" s="31" t="str">
        <f aca="false">IFERROR(INDEX(GUT!$I$15:$I$34,MATCH($B8,GUT!$J$15:$J$34,0)),"")</f>
        <v/>
      </c>
      <c r="J8" s="32" t="str">
        <f aca="false">IFERROR(INDEX(GUT!$K$15:$K$34,MATCH($B8,GUT!$J$15:$J$34,0))&amp;"","")</f>
        <v/>
      </c>
      <c r="K8" s="33" t="str">
        <f aca="false">IFERROR(INDEX(GUT!$L$15:$L$34,MATCH($B8,GUT!$J$15:$J$34,0))&amp;"","")</f>
        <v/>
      </c>
    </row>
    <row r="9" customFormat="false" ht="24" hidden="false" customHeight="true" outlineLevel="0" collapsed="false">
      <c r="B9" s="29" t="n">
        <v>4</v>
      </c>
      <c r="C9" s="31" t="str">
        <f aca="false">IFERROR(INDEX(GUT!$B$15:$B$34,MATCH($B9,GUT!$J$15:$J$34,0))&amp;"","")</f>
        <v/>
      </c>
      <c r="D9" s="6" t="str">
        <f aca="false">IFERROR(INDEX(GUT!$C$15:$C$34,MATCH($B9,GUT!$J$15:$J$34,0))&amp;"","")</f>
        <v/>
      </c>
      <c r="E9" s="32" t="str">
        <f aca="false">IFERROR(INDEX(GUT!$E$15:$E$34,MATCH($B9,GUT!$J$15:$J$34,0))&amp;"","")</f>
        <v/>
      </c>
      <c r="F9" s="32" t="str">
        <f aca="false">IFERROR(INDEX(GUT!$F$15:$F$34,MATCH($B9,GUT!$J$15:$J$34,0)),"")</f>
        <v/>
      </c>
      <c r="G9" s="32" t="str">
        <f aca="false">IFERROR(INDEX(GUT!$G$15:$G$34,MATCH($B9,GUT!$J$15:$J$34,0)),"")</f>
        <v/>
      </c>
      <c r="H9" s="32" t="str">
        <f aca="false">IFERROR(INDEX(GUT!$H$15:$H$34,MATCH($B9,GUT!$J$15:$J$34,0)),"")</f>
        <v/>
      </c>
      <c r="I9" s="31" t="str">
        <f aca="false">IFERROR(INDEX(GUT!$I$15:$I$34,MATCH($B9,GUT!$J$15:$J$34,0)),"")</f>
        <v/>
      </c>
      <c r="J9" s="32" t="str">
        <f aca="false">IFERROR(INDEX(GUT!$K$15:$K$34,MATCH($B9,GUT!$J$15:$J$34,0))&amp;"","")</f>
        <v/>
      </c>
      <c r="K9" s="33" t="str">
        <f aca="false">IFERROR(INDEX(GUT!$L$15:$L$34,MATCH($B9,GUT!$J$15:$J$34,0))&amp;"","")</f>
        <v/>
      </c>
    </row>
    <row r="10" customFormat="false" ht="24" hidden="false" customHeight="true" outlineLevel="0" collapsed="false">
      <c r="B10" s="29" t="n">
        <v>5</v>
      </c>
      <c r="C10" s="31" t="str">
        <f aca="false">IFERROR(INDEX(GUT!$B$15:$B$34,MATCH($B10,GUT!$J$15:$J$34,0))&amp;"","")</f>
        <v/>
      </c>
      <c r="D10" s="6" t="str">
        <f aca="false">IFERROR(INDEX(GUT!$C$15:$C$34,MATCH($B10,GUT!$J$15:$J$34,0))&amp;"","")</f>
        <v/>
      </c>
      <c r="E10" s="32" t="str">
        <f aca="false">IFERROR(INDEX(GUT!$E$15:$E$34,MATCH($B10,GUT!$J$15:$J$34,0))&amp;"","")</f>
        <v/>
      </c>
      <c r="F10" s="32" t="str">
        <f aca="false">IFERROR(INDEX(GUT!$F$15:$F$34,MATCH($B10,GUT!$J$15:$J$34,0)),"")</f>
        <v/>
      </c>
      <c r="G10" s="32" t="str">
        <f aca="false">IFERROR(INDEX(GUT!$G$15:$G$34,MATCH($B10,GUT!$J$15:$J$34,0)),"")</f>
        <v/>
      </c>
      <c r="H10" s="32" t="str">
        <f aca="false">IFERROR(INDEX(GUT!$H$15:$H$34,MATCH($B10,GUT!$J$15:$J$34,0)),"")</f>
        <v/>
      </c>
      <c r="I10" s="31" t="str">
        <f aca="false">IFERROR(INDEX(GUT!$I$15:$I$34,MATCH($B10,GUT!$J$15:$J$34,0)),"")</f>
        <v/>
      </c>
      <c r="J10" s="32" t="str">
        <f aca="false">IFERROR(INDEX(GUT!$K$15:$K$34,MATCH($B10,GUT!$J$15:$J$34,0))&amp;"","")</f>
        <v/>
      </c>
      <c r="K10" s="33" t="str">
        <f aca="false">IFERROR(INDEX(GUT!$L$15:$L$34,MATCH($B10,GUT!$J$15:$J$34,0))&amp;"","")</f>
        <v/>
      </c>
    </row>
    <row r="11" customFormat="false" ht="24" hidden="false" customHeight="true" outlineLevel="0" collapsed="false">
      <c r="B11" s="29" t="n">
        <v>6</v>
      </c>
      <c r="C11" s="31" t="str">
        <f aca="false">IFERROR(INDEX(GUT!$B$15:$B$34,MATCH($B11,GUT!$J$15:$J$34,0))&amp;"","")</f>
        <v/>
      </c>
      <c r="D11" s="6" t="str">
        <f aca="false">IFERROR(INDEX(GUT!$C$15:$C$34,MATCH($B11,GUT!$J$15:$J$34,0))&amp;"","")</f>
        <v/>
      </c>
      <c r="E11" s="32" t="str">
        <f aca="false">IFERROR(INDEX(GUT!$E$15:$E$34,MATCH($B11,GUT!$J$15:$J$34,0))&amp;"","")</f>
        <v/>
      </c>
      <c r="F11" s="32" t="str">
        <f aca="false">IFERROR(INDEX(GUT!$F$15:$F$34,MATCH($B11,GUT!$J$15:$J$34,0)),"")</f>
        <v/>
      </c>
      <c r="G11" s="32" t="str">
        <f aca="false">IFERROR(INDEX(GUT!$G$15:$G$34,MATCH($B11,GUT!$J$15:$J$34,0)),"")</f>
        <v/>
      </c>
      <c r="H11" s="32" t="str">
        <f aca="false">IFERROR(INDEX(GUT!$H$15:$H$34,MATCH($B11,GUT!$J$15:$J$34,0)),"")</f>
        <v/>
      </c>
      <c r="I11" s="31" t="str">
        <f aca="false">IFERROR(INDEX(GUT!$I$15:$I$34,MATCH($B11,GUT!$J$15:$J$34,0)),"")</f>
        <v/>
      </c>
      <c r="J11" s="32" t="str">
        <f aca="false">IFERROR(INDEX(GUT!$K$15:$K$34,MATCH($B11,GUT!$J$15:$J$34,0))&amp;"","")</f>
        <v/>
      </c>
      <c r="K11" s="33" t="str">
        <f aca="false">IFERROR(INDEX(GUT!$L$15:$L$34,MATCH($B11,GUT!$J$15:$J$34,0))&amp;"","")</f>
        <v/>
      </c>
    </row>
    <row r="12" customFormat="false" ht="24" hidden="false" customHeight="true" outlineLevel="0" collapsed="false">
      <c r="B12" s="29" t="n">
        <v>7</v>
      </c>
      <c r="C12" s="31" t="str">
        <f aca="false">IFERROR(INDEX(GUT!$B$15:$B$34,MATCH($B12,GUT!$J$15:$J$34,0))&amp;"","")</f>
        <v/>
      </c>
      <c r="D12" s="6" t="str">
        <f aca="false">IFERROR(INDEX(GUT!$C$15:$C$34,MATCH($B12,GUT!$J$15:$J$34,0))&amp;"","")</f>
        <v/>
      </c>
      <c r="E12" s="32" t="str">
        <f aca="false">IFERROR(INDEX(GUT!$E$15:$E$34,MATCH($B12,GUT!$J$15:$J$34,0))&amp;"","")</f>
        <v/>
      </c>
      <c r="F12" s="32" t="str">
        <f aca="false">IFERROR(INDEX(GUT!$F$15:$F$34,MATCH($B12,GUT!$J$15:$J$34,0)),"")</f>
        <v/>
      </c>
      <c r="G12" s="32" t="str">
        <f aca="false">IFERROR(INDEX(GUT!$G$15:$G$34,MATCH($B12,GUT!$J$15:$J$34,0)),"")</f>
        <v/>
      </c>
      <c r="H12" s="32" t="str">
        <f aca="false">IFERROR(INDEX(GUT!$H$15:$H$34,MATCH($B12,GUT!$J$15:$J$34,0)),"")</f>
        <v/>
      </c>
      <c r="I12" s="31" t="str">
        <f aca="false">IFERROR(INDEX(GUT!$I$15:$I$34,MATCH($B12,GUT!$J$15:$J$34,0)),"")</f>
        <v/>
      </c>
      <c r="J12" s="32" t="str">
        <f aca="false">IFERROR(INDEX(GUT!$K$15:$K$34,MATCH($B12,GUT!$J$15:$J$34,0))&amp;"","")</f>
        <v/>
      </c>
      <c r="K12" s="33" t="str">
        <f aca="false">IFERROR(INDEX(GUT!$L$15:$L$34,MATCH($B12,GUT!$J$15:$J$34,0))&amp;"","")</f>
        <v/>
      </c>
    </row>
    <row r="13" customFormat="false" ht="24" hidden="false" customHeight="true" outlineLevel="0" collapsed="false">
      <c r="B13" s="29" t="n">
        <v>8</v>
      </c>
      <c r="C13" s="31" t="str">
        <f aca="false">IFERROR(INDEX(GUT!$B$15:$B$34,MATCH($B13,GUT!$J$15:$J$34,0))&amp;"","")</f>
        <v/>
      </c>
      <c r="D13" s="6" t="str">
        <f aca="false">IFERROR(INDEX(GUT!$C$15:$C$34,MATCH($B13,GUT!$J$15:$J$34,0))&amp;"","")</f>
        <v/>
      </c>
      <c r="E13" s="32" t="str">
        <f aca="false">IFERROR(INDEX(GUT!$E$15:$E$34,MATCH($B13,GUT!$J$15:$J$34,0))&amp;"","")</f>
        <v/>
      </c>
      <c r="F13" s="32" t="str">
        <f aca="false">IFERROR(INDEX(GUT!$F$15:$F$34,MATCH($B13,GUT!$J$15:$J$34,0)),"")</f>
        <v/>
      </c>
      <c r="G13" s="32" t="str">
        <f aca="false">IFERROR(INDEX(GUT!$G$15:$G$34,MATCH($B13,GUT!$J$15:$J$34,0)),"")</f>
        <v/>
      </c>
      <c r="H13" s="32" t="str">
        <f aca="false">IFERROR(INDEX(GUT!$H$15:$H$34,MATCH($B13,GUT!$J$15:$J$34,0)),"")</f>
        <v/>
      </c>
      <c r="I13" s="31" t="str">
        <f aca="false">IFERROR(INDEX(GUT!$I$15:$I$34,MATCH($B13,GUT!$J$15:$J$34,0)),"")</f>
        <v/>
      </c>
      <c r="J13" s="32" t="str">
        <f aca="false">IFERROR(INDEX(GUT!$K$15:$K$34,MATCH($B13,GUT!$J$15:$J$34,0))&amp;"","")</f>
        <v/>
      </c>
      <c r="K13" s="33" t="str">
        <f aca="false">IFERROR(INDEX(GUT!$L$15:$L$34,MATCH($B13,GUT!$J$15:$J$34,0))&amp;"","")</f>
        <v/>
      </c>
    </row>
    <row r="14" customFormat="false" ht="24" hidden="false" customHeight="true" outlineLevel="0" collapsed="false">
      <c r="B14" s="29" t="n">
        <v>9</v>
      </c>
      <c r="C14" s="31" t="str">
        <f aca="false">IFERROR(INDEX(GUT!$B$15:$B$34,MATCH($B14,GUT!$J$15:$J$34,0))&amp;"","")</f>
        <v/>
      </c>
      <c r="D14" s="6" t="str">
        <f aca="false">IFERROR(INDEX(GUT!$C$15:$C$34,MATCH($B14,GUT!$J$15:$J$34,0))&amp;"","")</f>
        <v/>
      </c>
      <c r="E14" s="32" t="str">
        <f aca="false">IFERROR(INDEX(GUT!$E$15:$E$34,MATCH($B14,GUT!$J$15:$J$34,0))&amp;"","")</f>
        <v/>
      </c>
      <c r="F14" s="32" t="str">
        <f aca="false">IFERROR(INDEX(GUT!$F$15:$F$34,MATCH($B14,GUT!$J$15:$J$34,0)),"")</f>
        <v/>
      </c>
      <c r="G14" s="32" t="str">
        <f aca="false">IFERROR(INDEX(GUT!$G$15:$G$34,MATCH($B14,GUT!$J$15:$J$34,0)),"")</f>
        <v/>
      </c>
      <c r="H14" s="32" t="str">
        <f aca="false">IFERROR(INDEX(GUT!$H$15:$H$34,MATCH($B14,GUT!$J$15:$J$34,0)),"")</f>
        <v/>
      </c>
      <c r="I14" s="31" t="str">
        <f aca="false">IFERROR(INDEX(GUT!$I$15:$I$34,MATCH($B14,GUT!$J$15:$J$34,0)),"")</f>
        <v/>
      </c>
      <c r="J14" s="32" t="str">
        <f aca="false">IFERROR(INDEX(GUT!$K$15:$K$34,MATCH($B14,GUT!$J$15:$J$34,0))&amp;"","")</f>
        <v/>
      </c>
      <c r="K14" s="33" t="str">
        <f aca="false">IFERROR(INDEX(GUT!$L$15:$L$34,MATCH($B14,GUT!$J$15:$J$34,0))&amp;"","")</f>
        <v/>
      </c>
    </row>
    <row r="15" customFormat="false" ht="24" hidden="false" customHeight="true" outlineLevel="0" collapsed="false">
      <c r="B15" s="29" t="n">
        <v>10</v>
      </c>
      <c r="C15" s="31" t="str">
        <f aca="false">IFERROR(INDEX(GUT!$B$15:$B$34,MATCH($B15,GUT!$J$15:$J$34,0))&amp;"","")</f>
        <v/>
      </c>
      <c r="D15" s="6" t="str">
        <f aca="false">IFERROR(INDEX(GUT!$C$15:$C$34,MATCH($B15,GUT!$J$15:$J$34,0))&amp;"","")</f>
        <v/>
      </c>
      <c r="E15" s="32" t="str">
        <f aca="false">IFERROR(INDEX(GUT!$E$15:$E$34,MATCH($B15,GUT!$J$15:$J$34,0))&amp;"","")</f>
        <v/>
      </c>
      <c r="F15" s="32" t="str">
        <f aca="false">IFERROR(INDEX(GUT!$F$15:$F$34,MATCH($B15,GUT!$J$15:$J$34,0)),"")</f>
        <v/>
      </c>
      <c r="G15" s="32" t="str">
        <f aca="false">IFERROR(INDEX(GUT!$G$15:$G$34,MATCH($B15,GUT!$J$15:$J$34,0)),"")</f>
        <v/>
      </c>
      <c r="H15" s="32" t="str">
        <f aca="false">IFERROR(INDEX(GUT!$H$15:$H$34,MATCH($B15,GUT!$J$15:$J$34,0)),"")</f>
        <v/>
      </c>
      <c r="I15" s="31" t="str">
        <f aca="false">IFERROR(INDEX(GUT!$I$15:$I$34,MATCH($B15,GUT!$J$15:$J$34,0)),"")</f>
        <v/>
      </c>
      <c r="J15" s="32" t="str">
        <f aca="false">IFERROR(INDEX(GUT!$K$15:$K$34,MATCH($B15,GUT!$J$15:$J$34,0))&amp;"","")</f>
        <v/>
      </c>
      <c r="K15" s="33" t="str">
        <f aca="false">IFERROR(INDEX(GUT!$L$15:$L$34,MATCH($B15,GUT!$J$15:$J$34,0))&amp;"","")</f>
        <v/>
      </c>
    </row>
    <row r="16" customFormat="false" ht="24" hidden="false" customHeight="true" outlineLevel="0" collapsed="false">
      <c r="B16" s="29" t="n">
        <v>11</v>
      </c>
      <c r="C16" s="31" t="str">
        <f aca="false">IFERROR(INDEX(GUT!$B$15:$B$34,MATCH($B16,GUT!$J$15:$J$34,0))&amp;"","")</f>
        <v/>
      </c>
      <c r="D16" s="6" t="str">
        <f aca="false">IFERROR(INDEX(GUT!$C$15:$C$34,MATCH($B16,GUT!$J$15:$J$34,0))&amp;"","")</f>
        <v/>
      </c>
      <c r="E16" s="32" t="str">
        <f aca="false">IFERROR(INDEX(GUT!$E$15:$E$34,MATCH($B16,GUT!$J$15:$J$34,0))&amp;"","")</f>
        <v/>
      </c>
      <c r="F16" s="32" t="str">
        <f aca="false">IFERROR(INDEX(GUT!$F$15:$F$34,MATCH($B16,GUT!$J$15:$J$34,0)),"")</f>
        <v/>
      </c>
      <c r="G16" s="32" t="str">
        <f aca="false">IFERROR(INDEX(GUT!$G$15:$G$34,MATCH($B16,GUT!$J$15:$J$34,0)),"")</f>
        <v/>
      </c>
      <c r="H16" s="32" t="str">
        <f aca="false">IFERROR(INDEX(GUT!$H$15:$H$34,MATCH($B16,GUT!$J$15:$J$34,0)),"")</f>
        <v/>
      </c>
      <c r="I16" s="31" t="str">
        <f aca="false">IFERROR(INDEX(GUT!$I$15:$I$34,MATCH($B16,GUT!$J$15:$J$34,0)),"")</f>
        <v/>
      </c>
      <c r="J16" s="32" t="str">
        <f aca="false">IFERROR(INDEX(GUT!$K$15:$K$34,MATCH($B16,GUT!$J$15:$J$34,0))&amp;"","")</f>
        <v/>
      </c>
      <c r="K16" s="33" t="str">
        <f aca="false">IFERROR(INDEX(GUT!$L$15:$L$34,MATCH($B16,GUT!$J$15:$J$34,0))&amp;"","")</f>
        <v/>
      </c>
    </row>
    <row r="17" customFormat="false" ht="24" hidden="false" customHeight="true" outlineLevel="0" collapsed="false">
      <c r="B17" s="29" t="n">
        <v>12</v>
      </c>
      <c r="C17" s="31" t="str">
        <f aca="false">IFERROR(INDEX(GUT!$B$15:$B$34,MATCH($B17,GUT!$J$15:$J$34,0))&amp;"","")</f>
        <v/>
      </c>
      <c r="D17" s="6" t="str">
        <f aca="false">IFERROR(INDEX(GUT!$C$15:$C$34,MATCH($B17,GUT!$J$15:$J$34,0))&amp;"","")</f>
        <v/>
      </c>
      <c r="E17" s="32" t="str">
        <f aca="false">IFERROR(INDEX(GUT!$E$15:$E$34,MATCH($B17,GUT!$J$15:$J$34,0))&amp;"","")</f>
        <v/>
      </c>
      <c r="F17" s="32" t="str">
        <f aca="false">IFERROR(INDEX(GUT!$F$15:$F$34,MATCH($B17,GUT!$J$15:$J$34,0)),"")</f>
        <v/>
      </c>
      <c r="G17" s="32" t="str">
        <f aca="false">IFERROR(INDEX(GUT!$G$15:$G$34,MATCH($B17,GUT!$J$15:$J$34,0)),"")</f>
        <v/>
      </c>
      <c r="H17" s="32" t="str">
        <f aca="false">IFERROR(INDEX(GUT!$H$15:$H$34,MATCH($B17,GUT!$J$15:$J$34,0)),"")</f>
        <v/>
      </c>
      <c r="I17" s="31" t="str">
        <f aca="false">IFERROR(INDEX(GUT!$I$15:$I$34,MATCH($B17,GUT!$J$15:$J$34,0)),"")</f>
        <v/>
      </c>
      <c r="J17" s="32" t="str">
        <f aca="false">IFERROR(INDEX(GUT!$K$15:$K$34,MATCH($B17,GUT!$J$15:$J$34,0))&amp;"","")</f>
        <v/>
      </c>
      <c r="K17" s="33" t="str">
        <f aca="false">IFERROR(INDEX(GUT!$L$15:$L$34,MATCH($B17,GUT!$J$15:$J$34,0))&amp;"","")</f>
        <v/>
      </c>
    </row>
    <row r="18" customFormat="false" ht="24" hidden="false" customHeight="true" outlineLevel="0" collapsed="false">
      <c r="B18" s="29" t="n">
        <v>13</v>
      </c>
      <c r="C18" s="31" t="str">
        <f aca="false">IFERROR(INDEX(GUT!$B$15:$B$34,MATCH($B18,GUT!$J$15:$J$34,0))&amp;"","")</f>
        <v/>
      </c>
      <c r="D18" s="6" t="str">
        <f aca="false">IFERROR(INDEX(GUT!$C$15:$C$34,MATCH($B18,GUT!$J$15:$J$34,0))&amp;"","")</f>
        <v/>
      </c>
      <c r="E18" s="32" t="str">
        <f aca="false">IFERROR(INDEX(GUT!$E$15:$E$34,MATCH($B18,GUT!$J$15:$J$34,0))&amp;"","")</f>
        <v/>
      </c>
      <c r="F18" s="32" t="str">
        <f aca="false">IFERROR(INDEX(GUT!$F$15:$F$34,MATCH($B18,GUT!$J$15:$J$34,0)),"")</f>
        <v/>
      </c>
      <c r="G18" s="32" t="str">
        <f aca="false">IFERROR(INDEX(GUT!$G$15:$G$34,MATCH($B18,GUT!$J$15:$J$34,0)),"")</f>
        <v/>
      </c>
      <c r="H18" s="32" t="str">
        <f aca="false">IFERROR(INDEX(GUT!$H$15:$H$34,MATCH($B18,GUT!$J$15:$J$34,0)),"")</f>
        <v/>
      </c>
      <c r="I18" s="31" t="str">
        <f aca="false">IFERROR(INDEX(GUT!$I$15:$I$34,MATCH($B18,GUT!$J$15:$J$34,0)),"")</f>
        <v/>
      </c>
      <c r="J18" s="32" t="str">
        <f aca="false">IFERROR(INDEX(GUT!$K$15:$K$34,MATCH($B18,GUT!$J$15:$J$34,0))&amp;"","")</f>
        <v/>
      </c>
      <c r="K18" s="33" t="str">
        <f aca="false">IFERROR(INDEX(GUT!$L$15:$L$34,MATCH($B18,GUT!$J$15:$J$34,0))&amp;"","")</f>
        <v/>
      </c>
    </row>
    <row r="19" customFormat="false" ht="24" hidden="false" customHeight="true" outlineLevel="0" collapsed="false">
      <c r="B19" s="29" t="n">
        <v>14</v>
      </c>
      <c r="C19" s="31" t="str">
        <f aca="false">IFERROR(INDEX(GUT!$B$15:$B$34,MATCH($B19,GUT!$J$15:$J$34,0))&amp;"","")</f>
        <v/>
      </c>
      <c r="D19" s="6" t="str">
        <f aca="false">IFERROR(INDEX(GUT!$C$15:$C$34,MATCH($B19,GUT!$J$15:$J$34,0))&amp;"","")</f>
        <v/>
      </c>
      <c r="E19" s="32" t="str">
        <f aca="false">IFERROR(INDEX(GUT!$E$15:$E$34,MATCH($B19,GUT!$J$15:$J$34,0))&amp;"","")</f>
        <v/>
      </c>
      <c r="F19" s="32" t="str">
        <f aca="false">IFERROR(INDEX(GUT!$F$15:$F$34,MATCH($B19,GUT!$J$15:$J$34,0)),"")</f>
        <v/>
      </c>
      <c r="G19" s="32" t="str">
        <f aca="false">IFERROR(INDEX(GUT!$G$15:$G$34,MATCH($B19,GUT!$J$15:$J$34,0)),"")</f>
        <v/>
      </c>
      <c r="H19" s="32" t="str">
        <f aca="false">IFERROR(INDEX(GUT!$H$15:$H$34,MATCH($B19,GUT!$J$15:$J$34,0)),"")</f>
        <v/>
      </c>
      <c r="I19" s="31" t="str">
        <f aca="false">IFERROR(INDEX(GUT!$I$15:$I$34,MATCH($B19,GUT!$J$15:$J$34,0)),"")</f>
        <v/>
      </c>
      <c r="J19" s="32" t="str">
        <f aca="false">IFERROR(INDEX(GUT!$K$15:$K$34,MATCH($B19,GUT!$J$15:$J$34,0))&amp;"","")</f>
        <v/>
      </c>
      <c r="K19" s="33" t="str">
        <f aca="false">IFERROR(INDEX(GUT!$L$15:$L$34,MATCH($B19,GUT!$J$15:$J$34,0))&amp;"","")</f>
        <v/>
      </c>
    </row>
    <row r="20" customFormat="false" ht="24" hidden="false" customHeight="true" outlineLevel="0" collapsed="false">
      <c r="B20" s="29" t="n">
        <v>15</v>
      </c>
      <c r="C20" s="31" t="str">
        <f aca="false">IFERROR(INDEX(GUT!$B$15:$B$34,MATCH($B20,GUT!$J$15:$J$34,0))&amp;"","")</f>
        <v/>
      </c>
      <c r="D20" s="6" t="str">
        <f aca="false">IFERROR(INDEX(GUT!$C$15:$C$34,MATCH($B20,GUT!$J$15:$J$34,0))&amp;"","")</f>
        <v/>
      </c>
      <c r="E20" s="32" t="str">
        <f aca="false">IFERROR(INDEX(GUT!$E$15:$E$34,MATCH($B20,GUT!$J$15:$J$34,0))&amp;"","")</f>
        <v/>
      </c>
      <c r="F20" s="32" t="str">
        <f aca="false">IFERROR(INDEX(GUT!$F$15:$F$34,MATCH($B20,GUT!$J$15:$J$34,0)),"")</f>
        <v/>
      </c>
      <c r="G20" s="32" t="str">
        <f aca="false">IFERROR(INDEX(GUT!$G$15:$G$34,MATCH($B20,GUT!$J$15:$J$34,0)),"")</f>
        <v/>
      </c>
      <c r="H20" s="32" t="str">
        <f aca="false">IFERROR(INDEX(GUT!$H$15:$H$34,MATCH($B20,GUT!$J$15:$J$34,0)),"")</f>
        <v/>
      </c>
      <c r="I20" s="31" t="str">
        <f aca="false">IFERROR(INDEX(GUT!$I$15:$I$34,MATCH($B20,GUT!$J$15:$J$34,0)),"")</f>
        <v/>
      </c>
      <c r="J20" s="32" t="str">
        <f aca="false">IFERROR(INDEX(GUT!$K$15:$K$34,MATCH($B20,GUT!$J$15:$J$34,0))&amp;"","")</f>
        <v/>
      </c>
      <c r="K20" s="33" t="str">
        <f aca="false">IFERROR(INDEX(GUT!$L$15:$L$34,MATCH($B20,GUT!$J$15:$J$34,0))&amp;"","")</f>
        <v/>
      </c>
    </row>
    <row r="21" customFormat="false" ht="24" hidden="false" customHeight="true" outlineLevel="0" collapsed="false">
      <c r="B21" s="29" t="n">
        <v>16</v>
      </c>
      <c r="C21" s="31" t="str">
        <f aca="false">IFERROR(INDEX(GUT!$B$15:$B$34,MATCH($B21,GUT!$J$15:$J$34,0))&amp;"","")</f>
        <v/>
      </c>
      <c r="D21" s="6" t="str">
        <f aca="false">IFERROR(INDEX(GUT!$C$15:$C$34,MATCH($B21,GUT!$J$15:$J$34,0))&amp;"","")</f>
        <v/>
      </c>
      <c r="E21" s="32" t="str">
        <f aca="false">IFERROR(INDEX(GUT!$E$15:$E$34,MATCH($B21,GUT!$J$15:$J$34,0))&amp;"","")</f>
        <v/>
      </c>
      <c r="F21" s="32" t="str">
        <f aca="false">IFERROR(INDEX(GUT!$F$15:$F$34,MATCH($B21,GUT!$J$15:$J$34,0)),"")</f>
        <v/>
      </c>
      <c r="G21" s="32" t="str">
        <f aca="false">IFERROR(INDEX(GUT!$G$15:$G$34,MATCH($B21,GUT!$J$15:$J$34,0)),"")</f>
        <v/>
      </c>
      <c r="H21" s="32" t="str">
        <f aca="false">IFERROR(INDEX(GUT!$H$15:$H$34,MATCH($B21,GUT!$J$15:$J$34,0)),"")</f>
        <v/>
      </c>
      <c r="I21" s="31" t="str">
        <f aca="false">IFERROR(INDEX(GUT!$I$15:$I$34,MATCH($B21,GUT!$J$15:$J$34,0)),"")</f>
        <v/>
      </c>
      <c r="J21" s="32" t="str">
        <f aca="false">IFERROR(INDEX(GUT!$K$15:$K$34,MATCH($B21,GUT!$J$15:$J$34,0))&amp;"","")</f>
        <v/>
      </c>
      <c r="K21" s="33" t="str">
        <f aca="false">IFERROR(INDEX(GUT!$L$15:$L$34,MATCH($B21,GUT!$J$15:$J$34,0))&amp;"","")</f>
        <v/>
      </c>
    </row>
    <row r="22" customFormat="false" ht="24" hidden="false" customHeight="true" outlineLevel="0" collapsed="false">
      <c r="B22" s="29" t="n">
        <v>17</v>
      </c>
      <c r="C22" s="31" t="str">
        <f aca="false">IFERROR(INDEX(GUT!$B$15:$B$34,MATCH($B22,GUT!$J$15:$J$34,0))&amp;"","")</f>
        <v/>
      </c>
      <c r="D22" s="6" t="str">
        <f aca="false">IFERROR(INDEX(GUT!$C$15:$C$34,MATCH($B22,GUT!$J$15:$J$34,0))&amp;"","")</f>
        <v/>
      </c>
      <c r="E22" s="32" t="str">
        <f aca="false">IFERROR(INDEX(GUT!$E$15:$E$34,MATCH($B22,GUT!$J$15:$J$34,0))&amp;"","")</f>
        <v/>
      </c>
      <c r="F22" s="32" t="str">
        <f aca="false">IFERROR(INDEX(GUT!$F$15:$F$34,MATCH($B22,GUT!$J$15:$J$34,0)),"")</f>
        <v/>
      </c>
      <c r="G22" s="32" t="str">
        <f aca="false">IFERROR(INDEX(GUT!$G$15:$G$34,MATCH($B22,GUT!$J$15:$J$34,0)),"")</f>
        <v/>
      </c>
      <c r="H22" s="32" t="str">
        <f aca="false">IFERROR(INDEX(GUT!$H$15:$H$34,MATCH($B22,GUT!$J$15:$J$34,0)),"")</f>
        <v/>
      </c>
      <c r="I22" s="31" t="str">
        <f aca="false">IFERROR(INDEX(GUT!$I$15:$I$34,MATCH($B22,GUT!$J$15:$J$34,0)),"")</f>
        <v/>
      </c>
      <c r="J22" s="32" t="str">
        <f aca="false">IFERROR(INDEX(GUT!$K$15:$K$34,MATCH($B22,GUT!$J$15:$J$34,0))&amp;"","")</f>
        <v/>
      </c>
      <c r="K22" s="33" t="str">
        <f aca="false">IFERROR(INDEX(GUT!$L$15:$L$34,MATCH($B22,GUT!$J$15:$J$34,0))&amp;"","")</f>
        <v/>
      </c>
    </row>
    <row r="23" customFormat="false" ht="24" hidden="false" customHeight="true" outlineLevel="0" collapsed="false">
      <c r="B23" s="29" t="n">
        <v>18</v>
      </c>
      <c r="C23" s="31" t="str">
        <f aca="false">IFERROR(INDEX(GUT!$B$15:$B$34,MATCH($B23,GUT!$J$15:$J$34,0))&amp;"","")</f>
        <v/>
      </c>
      <c r="D23" s="6" t="str">
        <f aca="false">IFERROR(INDEX(GUT!$C$15:$C$34,MATCH($B23,GUT!$J$15:$J$34,0))&amp;"","")</f>
        <v/>
      </c>
      <c r="E23" s="32" t="str">
        <f aca="false">IFERROR(INDEX(GUT!$E$15:$E$34,MATCH($B23,GUT!$J$15:$J$34,0))&amp;"","")</f>
        <v/>
      </c>
      <c r="F23" s="32" t="str">
        <f aca="false">IFERROR(INDEX(GUT!$F$15:$F$34,MATCH($B23,GUT!$J$15:$J$34,0)),"")</f>
        <v/>
      </c>
      <c r="G23" s="32" t="str">
        <f aca="false">IFERROR(INDEX(GUT!$G$15:$G$34,MATCH($B23,GUT!$J$15:$J$34,0)),"")</f>
        <v/>
      </c>
      <c r="H23" s="32" t="str">
        <f aca="false">IFERROR(INDEX(GUT!$H$15:$H$34,MATCH($B23,GUT!$J$15:$J$34,0)),"")</f>
        <v/>
      </c>
      <c r="I23" s="31" t="str">
        <f aca="false">IFERROR(INDEX(GUT!$I$15:$I$34,MATCH($B23,GUT!$J$15:$J$34,0)),"")</f>
        <v/>
      </c>
      <c r="J23" s="32" t="str">
        <f aca="false">IFERROR(INDEX(GUT!$K$15:$K$34,MATCH($B23,GUT!$J$15:$J$34,0))&amp;"","")</f>
        <v/>
      </c>
      <c r="K23" s="33" t="str">
        <f aca="false">IFERROR(INDEX(GUT!$L$15:$L$34,MATCH($B23,GUT!$J$15:$J$34,0))&amp;"","")</f>
        <v/>
      </c>
    </row>
    <row r="24" customFormat="false" ht="24" hidden="false" customHeight="true" outlineLevel="0" collapsed="false">
      <c r="B24" s="29" t="n">
        <v>19</v>
      </c>
      <c r="C24" s="31" t="str">
        <f aca="false">IFERROR(INDEX(GUT!$B$15:$B$34,MATCH($B24,GUT!$J$15:$J$34,0))&amp;"","")</f>
        <v/>
      </c>
      <c r="D24" s="6" t="str">
        <f aca="false">IFERROR(INDEX(GUT!$C$15:$C$34,MATCH($B24,GUT!$J$15:$J$34,0))&amp;"","")</f>
        <v/>
      </c>
      <c r="E24" s="32" t="str">
        <f aca="false">IFERROR(INDEX(GUT!$E$15:$E$34,MATCH($B24,GUT!$J$15:$J$34,0))&amp;"","")</f>
        <v/>
      </c>
      <c r="F24" s="32" t="str">
        <f aca="false">IFERROR(INDEX(GUT!$F$15:$F$34,MATCH($B24,GUT!$J$15:$J$34,0)),"")</f>
        <v/>
      </c>
      <c r="G24" s="32" t="str">
        <f aca="false">IFERROR(INDEX(GUT!$G$15:$G$34,MATCH($B24,GUT!$J$15:$J$34,0)),"")</f>
        <v/>
      </c>
      <c r="H24" s="32" t="str">
        <f aca="false">IFERROR(INDEX(GUT!$H$15:$H$34,MATCH($B24,GUT!$J$15:$J$34,0)),"")</f>
        <v/>
      </c>
      <c r="I24" s="31" t="str">
        <f aca="false">IFERROR(INDEX(GUT!$I$15:$I$34,MATCH($B24,GUT!$J$15:$J$34,0)),"")</f>
        <v/>
      </c>
      <c r="J24" s="32" t="str">
        <f aca="false">IFERROR(INDEX(GUT!$K$15:$K$34,MATCH($B24,GUT!$J$15:$J$34,0))&amp;"","")</f>
        <v/>
      </c>
      <c r="K24" s="33" t="str">
        <f aca="false">IFERROR(INDEX(GUT!$L$15:$L$34,MATCH($B24,GUT!$J$15:$J$34,0))&amp;"","")</f>
        <v/>
      </c>
    </row>
    <row r="25" customFormat="false" ht="24" hidden="false" customHeight="true" outlineLevel="0" collapsed="false">
      <c r="B25" s="29" t="n">
        <v>20</v>
      </c>
      <c r="C25" s="31" t="str">
        <f aca="false">IFERROR(INDEX(GUT!$B$15:$B$34,MATCH($B25,GUT!$J$15:$J$34,0))&amp;"","")</f>
        <v/>
      </c>
      <c r="D25" s="6" t="str">
        <f aca="false">IFERROR(INDEX(GUT!$C$15:$C$34,MATCH($B25,GUT!$J$15:$J$34,0))&amp;"","")</f>
        <v/>
      </c>
      <c r="E25" s="32" t="str">
        <f aca="false">IFERROR(INDEX(GUT!$E$15:$E$34,MATCH($B25,GUT!$J$15:$J$34,0))&amp;"","")</f>
        <v/>
      </c>
      <c r="F25" s="32" t="str">
        <f aca="false">IFERROR(INDEX(GUT!$F$15:$F$34,MATCH($B25,GUT!$J$15:$J$34,0)),"")</f>
        <v/>
      </c>
      <c r="G25" s="32" t="str">
        <f aca="false">IFERROR(INDEX(GUT!$G$15:$G$34,MATCH($B25,GUT!$J$15:$J$34,0)),"")</f>
        <v/>
      </c>
      <c r="H25" s="32" t="str">
        <f aca="false">IFERROR(INDEX(GUT!$H$15:$H$34,MATCH($B25,GUT!$J$15:$J$34,0)),"")</f>
        <v/>
      </c>
      <c r="I25" s="31" t="str">
        <f aca="false">IFERROR(INDEX(GUT!$I$15:$I$34,MATCH($B25,GUT!$J$15:$J$34,0)),"")</f>
        <v/>
      </c>
      <c r="J25" s="32" t="str">
        <f aca="false">IFERROR(INDEX(GUT!$K$15:$K$34,MATCH($B25,GUT!$J$15:$J$34,0))&amp;"","")</f>
        <v/>
      </c>
      <c r="K25" s="33" t="str">
        <f aca="false">IFERROR(INDEX(GUT!$L$15:$L$34,MATCH($B25,GUT!$J$15:$J$34,0))&amp;"","")</f>
        <v/>
      </c>
    </row>
    <row r="27" customFormat="false" ht="21.75" hidden="false" customHeight="true" outlineLevel="0" collapsed="false">
      <c r="B27" s="15" t="s">
        <v>142</v>
      </c>
      <c r="C27" s="15"/>
      <c r="D27" s="15"/>
      <c r="E27" s="15"/>
      <c r="F27" s="15"/>
      <c r="G27" s="15"/>
      <c r="H27" s="15"/>
      <c r="I27" s="15"/>
      <c r="J27" s="15"/>
      <c r="K27" s="15"/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</sheetData>
  <mergeCells count="4">
    <mergeCell ref="B1:K1"/>
    <mergeCell ref="B2:K2"/>
    <mergeCell ref="B4:K4"/>
    <mergeCell ref="B27:K27"/>
  </mergeCells>
  <conditionalFormatting sqref="J6:J25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K6:K25">
    <cfRule type="expression" priority="5" aboveAverage="0" equalAverage="0" bottom="0" percent="0" rank="0" text="" dxfId="0">
      <formula>LEN(K6)&gt;0</formula>
    </cfRule>
  </conditionalFormatting>
  <conditionalFormatting sqref="F6:F25">
    <cfRule type="expression" priority="6" aboveAverage="0" equalAverage="0" bottom="0" percent="0" rank="0" text="" dxfId="3">
      <formula>LEN($C6)&gt;0</formula>
    </cfRule>
  </conditionalFormatting>
  <conditionalFormatting sqref="G6:G25">
    <cfRule type="expression" priority="7" aboveAverage="0" equalAverage="0" bottom="0" percent="0" rank="0" text="" dxfId="4">
      <formula>LEN($C6)&gt;0</formula>
    </cfRule>
  </conditionalFormatting>
  <conditionalFormatting sqref="H6:H25">
    <cfRule type="expression" priority="8" aboveAverage="0" equalAverage="0" bottom="0" percent="0" rank="0" text="" dxfId="5">
      <formula>LEN($C6)&gt;0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5" min="3" style="0" width="36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143</v>
      </c>
      <c r="C1" s="1"/>
      <c r="D1" s="1"/>
      <c r="E1" s="1"/>
    </row>
    <row r="2" customFormat="false" ht="19.5" hidden="false" customHeight="true" outlineLevel="0" collapsed="false">
      <c r="B2" s="2" t="s">
        <v>144</v>
      </c>
      <c r="C2" s="2"/>
      <c r="D2" s="2"/>
      <c r="E2" s="2"/>
    </row>
    <row r="4" customFormat="false" ht="21.75" hidden="false" customHeight="true" outlineLevel="0" collapsed="false">
      <c r="B4" s="15" t="s">
        <v>145</v>
      </c>
      <c r="C4" s="15"/>
      <c r="D4" s="15"/>
      <c r="E4" s="15"/>
    </row>
    <row r="5" customFormat="false" ht="21.75" hidden="false" customHeight="true" outlineLevel="0" collapsed="false">
      <c r="B5" s="31" t="s">
        <v>146</v>
      </c>
      <c r="C5" s="8" t="s">
        <v>147</v>
      </c>
      <c r="D5" s="10" t="s">
        <v>148</v>
      </c>
      <c r="E5" s="12" t="s">
        <v>149</v>
      </c>
    </row>
    <row r="6" customFormat="false" ht="36" hidden="false" customHeight="true" outlineLevel="0" collapsed="false">
      <c r="B6" s="38" t="n">
        <v>1</v>
      </c>
      <c r="C6" s="5" t="s">
        <v>150</v>
      </c>
      <c r="D6" s="5" t="s">
        <v>151</v>
      </c>
      <c r="E6" s="5" t="s">
        <v>152</v>
      </c>
    </row>
    <row r="7" customFormat="false" ht="36" hidden="false" customHeight="true" outlineLevel="0" collapsed="false">
      <c r="B7" s="38" t="n">
        <v>2</v>
      </c>
      <c r="C7" s="5" t="s">
        <v>153</v>
      </c>
      <c r="D7" s="5" t="s">
        <v>154</v>
      </c>
      <c r="E7" s="5" t="s">
        <v>155</v>
      </c>
    </row>
    <row r="8" customFormat="false" ht="36" hidden="false" customHeight="true" outlineLevel="0" collapsed="false">
      <c r="B8" s="38" t="n">
        <v>3</v>
      </c>
      <c r="C8" s="5" t="s">
        <v>156</v>
      </c>
      <c r="D8" s="5" t="s">
        <v>157</v>
      </c>
      <c r="E8" s="5" t="s">
        <v>158</v>
      </c>
    </row>
    <row r="9" customFormat="false" ht="36" hidden="false" customHeight="true" outlineLevel="0" collapsed="false">
      <c r="B9" s="38" t="n">
        <v>4</v>
      </c>
      <c r="C9" s="5" t="s">
        <v>159</v>
      </c>
      <c r="D9" s="5" t="s">
        <v>160</v>
      </c>
      <c r="E9" s="5" t="s">
        <v>161</v>
      </c>
    </row>
    <row r="10" customFormat="false" ht="48" hidden="false" customHeight="true" outlineLevel="0" collapsed="false">
      <c r="B10" s="38" t="n">
        <v>5</v>
      </c>
      <c r="C10" s="5" t="s">
        <v>162</v>
      </c>
      <c r="D10" s="5" t="s">
        <v>163</v>
      </c>
      <c r="E10" s="5" t="s">
        <v>164</v>
      </c>
    </row>
    <row r="12" customFormat="false" ht="21.75" hidden="false" customHeight="true" outlineLevel="0" collapsed="false">
      <c r="B12" s="15" t="s">
        <v>57</v>
      </c>
      <c r="C12" s="15"/>
      <c r="D12" s="15"/>
      <c r="E12" s="15"/>
    </row>
    <row r="13" customFormat="false" ht="21.75" hidden="false" customHeight="true" outlineLevel="0" collapsed="false">
      <c r="B13" s="31" t="s">
        <v>99</v>
      </c>
      <c r="C13" s="31" t="s">
        <v>165</v>
      </c>
      <c r="D13" s="31" t="s">
        <v>166</v>
      </c>
      <c r="E13" s="31" t="s">
        <v>167</v>
      </c>
    </row>
    <row r="14" customFormat="false" ht="31.5" hidden="false" customHeight="true" outlineLevel="0" collapsed="false">
      <c r="B14" s="31" t="s">
        <v>104</v>
      </c>
      <c r="C14" s="30" t="n">
        <v>64</v>
      </c>
      <c r="D14" s="7" t="s">
        <v>168</v>
      </c>
      <c r="E14" s="7" t="s">
        <v>169</v>
      </c>
    </row>
    <row r="15" customFormat="false" ht="31.5" hidden="false" customHeight="true" outlineLevel="0" collapsed="false">
      <c r="B15" s="31" t="s">
        <v>170</v>
      </c>
      <c r="C15" s="30" t="n">
        <v>27</v>
      </c>
      <c r="D15" s="7" t="s">
        <v>171</v>
      </c>
      <c r="E15" s="7" t="s">
        <v>172</v>
      </c>
    </row>
    <row r="16" customFormat="false" ht="31.5" hidden="false" customHeight="true" outlineLevel="0" collapsed="false">
      <c r="B16" s="31" t="s">
        <v>173</v>
      </c>
      <c r="C16" s="32" t="n">
        <v>1</v>
      </c>
      <c r="D16" s="7" t="s">
        <v>174</v>
      </c>
      <c r="E16" s="7" t="s">
        <v>175</v>
      </c>
    </row>
    <row r="17" customFormat="false" ht="21.75" hidden="false" customHeight="true" outlineLevel="0" collapsed="false">
      <c r="B17" s="31" t="s">
        <v>176</v>
      </c>
      <c r="C17" s="33" t="str">
        <f aca="false">IF(OR(C14="",C15=""),"Informe os dois cortes",IF(C15&gt;=C14,"O corte da faixa média deve ser menor que o da alta","OK"))</f>
        <v>OK</v>
      </c>
      <c r="D17" s="33"/>
      <c r="E17" s="33"/>
    </row>
    <row r="19" customFormat="false" ht="21.75" hidden="false" customHeight="true" outlineLevel="0" collapsed="false">
      <c r="B19" s="15" t="s">
        <v>177</v>
      </c>
      <c r="C19" s="15"/>
      <c r="D19" s="15"/>
      <c r="E19" s="15"/>
    </row>
    <row r="20" customFormat="false" ht="21.75" hidden="false" customHeight="true" outlineLevel="0" collapsed="false">
      <c r="B20" s="4" t="s">
        <v>178</v>
      </c>
      <c r="C20" s="7" t="s">
        <v>179</v>
      </c>
      <c r="D20" s="7"/>
      <c r="E20" s="7"/>
    </row>
    <row r="21" customFormat="false" ht="21.75" hidden="false" customHeight="true" outlineLevel="0" collapsed="false">
      <c r="B21" s="4" t="s">
        <v>180</v>
      </c>
      <c r="C21" s="7" t="s">
        <v>181</v>
      </c>
      <c r="D21" s="7"/>
      <c r="E21" s="7"/>
    </row>
    <row r="22" customFormat="false" ht="21.75" hidden="false" customHeight="true" outlineLevel="0" collapsed="false">
      <c r="B22" s="4" t="s">
        <v>182</v>
      </c>
      <c r="C22" s="7" t="s">
        <v>183</v>
      </c>
      <c r="D22" s="7"/>
      <c r="E22" s="7"/>
    </row>
  </sheetData>
  <mergeCells count="9">
    <mergeCell ref="B1:E1"/>
    <mergeCell ref="B2:E2"/>
    <mergeCell ref="B4:E4"/>
    <mergeCell ref="B12:E12"/>
    <mergeCell ref="C17:E17"/>
    <mergeCell ref="B19:E19"/>
    <mergeCell ref="C20:E20"/>
    <mergeCell ref="C21:E21"/>
    <mergeCell ref="C22:E22"/>
  </mergeCells>
  <conditionalFormatting sqref="B14:B16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C17:E17">
    <cfRule type="cellIs" priority="5" operator="equal" aboveAverage="0" equalAverage="0" bottom="0" percent="0" rank="0" text="" dxfId="2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false" error="Digite um número inteiro de 2 a 125." errorStyle="stop" errorTitle="Valor inválido" operator="between" showDropDown="false" showErrorMessage="true" showInputMessage="false" sqref="C14:C15" type="whole">
      <formula1>2</formula1>
      <formula2>125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46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19" t="s">
        <v>83</v>
      </c>
      <c r="C4" s="19" t="s">
        <v>141</v>
      </c>
      <c r="D4" s="19" t="s">
        <v>84</v>
      </c>
      <c r="E4" s="19" t="s">
        <v>20</v>
      </c>
      <c r="F4" s="19" t="s">
        <v>185</v>
      </c>
      <c r="G4" s="19" t="s">
        <v>72</v>
      </c>
      <c r="H4" s="19" t="s">
        <v>186</v>
      </c>
      <c r="I4" s="19" t="s">
        <v>187</v>
      </c>
      <c r="J4" s="19" t="s">
        <v>188</v>
      </c>
    </row>
    <row r="5" customFormat="false" ht="31.5" hidden="false" customHeight="true" outlineLevel="0" collapsed="false">
      <c r="B5" s="23" t="s">
        <v>101</v>
      </c>
      <c r="C5" s="23" t="s">
        <v>109</v>
      </c>
      <c r="D5" s="27" t="s">
        <v>102</v>
      </c>
      <c r="E5" s="23" t="n">
        <v>100</v>
      </c>
      <c r="F5" s="27" t="s">
        <v>189</v>
      </c>
      <c r="G5" s="27" t="s">
        <v>190</v>
      </c>
      <c r="H5" s="39" t="n">
        <v>46325</v>
      </c>
      <c r="I5" s="23" t="s">
        <v>191</v>
      </c>
      <c r="J5" s="23" t="s">
        <v>192</v>
      </c>
    </row>
    <row r="6" customFormat="false" ht="30" hidden="false" customHeight="true" outlineLevel="0" collapsed="false">
      <c r="B6" s="29" t="n">
        <v>1</v>
      </c>
      <c r="C6" s="30"/>
      <c r="D6" s="6" t="str">
        <f aca="false">IF(C6="","",INDEX(GUT!$C$15:$C$34,VALUE(MID(C6,2,2)))&amp;"")</f>
        <v/>
      </c>
      <c r="E6" s="31" t="str">
        <f aca="false">IF(C6="","",IFERROR(INDEX(GUT!$I$15:$I$34,VALUE(MID(C6,2,2)))+0,""))</f>
        <v/>
      </c>
      <c r="F6" s="5"/>
      <c r="G6" s="5"/>
      <c r="H6" s="40"/>
      <c r="I6" s="30"/>
      <c r="J6" s="32" t="str">
        <f aca="true">IF(F6="","",IF(OR(I6="Concluída",I6="Cancelada"),I6,IF(H6="","Sem prazo",IF(H6&lt;TODAY(),"Atrasada","No prazo"))))</f>
        <v/>
      </c>
    </row>
    <row r="7" customFormat="false" ht="30" hidden="false" customHeight="true" outlineLevel="0" collapsed="false">
      <c r="B7" s="29" t="n">
        <v>2</v>
      </c>
      <c r="C7" s="30"/>
      <c r="D7" s="6" t="str">
        <f aca="false">IF(C7="","",INDEX(GUT!$C$15:$C$34,VALUE(MID(C7,2,2)))&amp;"")</f>
        <v/>
      </c>
      <c r="E7" s="31" t="str">
        <f aca="false">IF(C7="","",IFERROR(INDEX(GUT!$I$15:$I$34,VALUE(MID(C7,2,2)))+0,""))</f>
        <v/>
      </c>
      <c r="F7" s="5"/>
      <c r="G7" s="5"/>
      <c r="H7" s="40"/>
      <c r="I7" s="30"/>
      <c r="J7" s="32" t="str">
        <f aca="true">IF(F7="","",IF(OR(I7="Concluída",I7="Cancelada"),I7,IF(H7="","Sem prazo",IF(H7&lt;TODAY(),"Atrasada","No prazo"))))</f>
        <v/>
      </c>
    </row>
    <row r="8" customFormat="false" ht="30" hidden="false" customHeight="true" outlineLevel="0" collapsed="false">
      <c r="B8" s="29" t="n">
        <v>3</v>
      </c>
      <c r="C8" s="30"/>
      <c r="D8" s="6" t="str">
        <f aca="false">IF(C8="","",INDEX(GUT!$C$15:$C$34,VALUE(MID(C8,2,2)))&amp;"")</f>
        <v/>
      </c>
      <c r="E8" s="31" t="str">
        <f aca="false">IF(C8="","",IFERROR(INDEX(GUT!$I$15:$I$34,VALUE(MID(C8,2,2)))+0,""))</f>
        <v/>
      </c>
      <c r="F8" s="5"/>
      <c r="G8" s="5"/>
      <c r="H8" s="40"/>
      <c r="I8" s="30"/>
      <c r="J8" s="32" t="str">
        <f aca="true">IF(F8="","",IF(OR(I8="Concluída",I8="Cancelada"),I8,IF(H8="","Sem prazo",IF(H8&lt;TODAY(),"Atrasada","No prazo"))))</f>
        <v/>
      </c>
    </row>
    <row r="9" customFormat="false" ht="30" hidden="false" customHeight="true" outlineLevel="0" collapsed="false">
      <c r="B9" s="29" t="n">
        <v>4</v>
      </c>
      <c r="C9" s="30"/>
      <c r="D9" s="6" t="str">
        <f aca="false">IF(C9="","",INDEX(GUT!$C$15:$C$34,VALUE(MID(C9,2,2)))&amp;"")</f>
        <v/>
      </c>
      <c r="E9" s="31" t="str">
        <f aca="false">IF(C9="","",IFERROR(INDEX(GUT!$I$15:$I$34,VALUE(MID(C9,2,2)))+0,""))</f>
        <v/>
      </c>
      <c r="F9" s="5"/>
      <c r="G9" s="5"/>
      <c r="H9" s="40"/>
      <c r="I9" s="30"/>
      <c r="J9" s="32" t="str">
        <f aca="true">IF(F9="","",IF(OR(I9="Concluída",I9="Cancelada"),I9,IF(H9="","Sem prazo",IF(H9&lt;TODAY(),"Atrasada","No prazo"))))</f>
        <v/>
      </c>
    </row>
    <row r="10" customFormat="false" ht="30" hidden="false" customHeight="true" outlineLevel="0" collapsed="false">
      <c r="B10" s="29" t="n">
        <v>5</v>
      </c>
      <c r="C10" s="30"/>
      <c r="D10" s="6" t="str">
        <f aca="false">IF(C10="","",INDEX(GUT!$C$15:$C$34,VALUE(MID(C10,2,2)))&amp;"")</f>
        <v/>
      </c>
      <c r="E10" s="31" t="str">
        <f aca="false">IF(C10="","",IFERROR(INDEX(GUT!$I$15:$I$34,VALUE(MID(C10,2,2)))+0,""))</f>
        <v/>
      </c>
      <c r="F10" s="5"/>
      <c r="G10" s="5"/>
      <c r="H10" s="40"/>
      <c r="I10" s="30"/>
      <c r="J10" s="32" t="str">
        <f aca="true">IF(F10="","",IF(OR(I10="Concluída",I10="Cancelada"),I10,IF(H10="","Sem prazo",IF(H10&lt;TODAY(),"Atrasada","No prazo"))))</f>
        <v/>
      </c>
    </row>
    <row r="11" customFormat="false" ht="30" hidden="false" customHeight="true" outlineLevel="0" collapsed="false">
      <c r="B11" s="29" t="n">
        <v>6</v>
      </c>
      <c r="C11" s="30"/>
      <c r="D11" s="6" t="str">
        <f aca="false">IF(C11="","",INDEX(GUT!$C$15:$C$34,VALUE(MID(C11,2,2)))&amp;"")</f>
        <v/>
      </c>
      <c r="E11" s="31" t="str">
        <f aca="false">IF(C11="","",IFERROR(INDEX(GUT!$I$15:$I$34,VALUE(MID(C11,2,2)))+0,""))</f>
        <v/>
      </c>
      <c r="F11" s="5"/>
      <c r="G11" s="5"/>
      <c r="H11" s="40"/>
      <c r="I11" s="30"/>
      <c r="J11" s="32" t="str">
        <f aca="true">IF(F11="","",IF(OR(I11="Concluída",I11="Cancelada"),I11,IF(H11="","Sem prazo",IF(H11&lt;TODAY(),"Atrasada","No prazo"))))</f>
        <v/>
      </c>
    </row>
    <row r="12" customFormat="false" ht="30" hidden="false" customHeight="true" outlineLevel="0" collapsed="false">
      <c r="B12" s="29" t="n">
        <v>7</v>
      </c>
      <c r="C12" s="30"/>
      <c r="D12" s="6" t="str">
        <f aca="false">IF(C12="","",INDEX(GUT!$C$15:$C$34,VALUE(MID(C12,2,2)))&amp;"")</f>
        <v/>
      </c>
      <c r="E12" s="31" t="str">
        <f aca="false">IF(C12="","",IFERROR(INDEX(GUT!$I$15:$I$34,VALUE(MID(C12,2,2)))+0,""))</f>
        <v/>
      </c>
      <c r="F12" s="5"/>
      <c r="G12" s="5"/>
      <c r="H12" s="40"/>
      <c r="I12" s="30"/>
      <c r="J12" s="32" t="str">
        <f aca="true">IF(F12="","",IF(OR(I12="Concluída",I12="Cancelada"),I12,IF(H12="","Sem prazo",IF(H12&lt;TODAY(),"Atrasada","No prazo"))))</f>
        <v/>
      </c>
    </row>
    <row r="13" customFormat="false" ht="30" hidden="false" customHeight="true" outlineLevel="0" collapsed="false">
      <c r="B13" s="29" t="n">
        <v>8</v>
      </c>
      <c r="C13" s="30"/>
      <c r="D13" s="6" t="str">
        <f aca="false">IF(C13="","",INDEX(GUT!$C$15:$C$34,VALUE(MID(C13,2,2)))&amp;"")</f>
        <v/>
      </c>
      <c r="E13" s="31" t="str">
        <f aca="false">IF(C13="","",IFERROR(INDEX(GUT!$I$15:$I$34,VALUE(MID(C13,2,2)))+0,""))</f>
        <v/>
      </c>
      <c r="F13" s="5"/>
      <c r="G13" s="5"/>
      <c r="H13" s="40"/>
      <c r="I13" s="30"/>
      <c r="J13" s="32" t="str">
        <f aca="true">IF(F13="","",IF(OR(I13="Concluída",I13="Cancelada"),I13,IF(H13="","Sem prazo",IF(H13&lt;TODAY(),"Atrasada","No prazo"))))</f>
        <v/>
      </c>
    </row>
    <row r="14" customFormat="false" ht="30" hidden="false" customHeight="true" outlineLevel="0" collapsed="false">
      <c r="B14" s="29" t="n">
        <v>9</v>
      </c>
      <c r="C14" s="30"/>
      <c r="D14" s="6" t="str">
        <f aca="false">IF(C14="","",INDEX(GUT!$C$15:$C$34,VALUE(MID(C14,2,2)))&amp;"")</f>
        <v/>
      </c>
      <c r="E14" s="31" t="str">
        <f aca="false">IF(C14="","",IFERROR(INDEX(GUT!$I$15:$I$34,VALUE(MID(C14,2,2)))+0,""))</f>
        <v/>
      </c>
      <c r="F14" s="5"/>
      <c r="G14" s="5"/>
      <c r="H14" s="40"/>
      <c r="I14" s="30"/>
      <c r="J14" s="32" t="str">
        <f aca="true">IF(F14="","",IF(OR(I14="Concluída",I14="Cancelada"),I14,IF(H14="","Sem prazo",IF(H14&lt;TODAY(),"Atrasada","No prazo"))))</f>
        <v/>
      </c>
    </row>
    <row r="15" customFormat="false" ht="30" hidden="false" customHeight="true" outlineLevel="0" collapsed="false">
      <c r="B15" s="29" t="n">
        <v>10</v>
      </c>
      <c r="C15" s="30"/>
      <c r="D15" s="6" t="str">
        <f aca="false">IF(C15="","",INDEX(GUT!$C$15:$C$34,VALUE(MID(C15,2,2)))&amp;"")</f>
        <v/>
      </c>
      <c r="E15" s="31" t="str">
        <f aca="false">IF(C15="","",IFERROR(INDEX(GUT!$I$15:$I$34,VALUE(MID(C15,2,2)))+0,""))</f>
        <v/>
      </c>
      <c r="F15" s="5"/>
      <c r="G15" s="5"/>
      <c r="H15" s="40"/>
      <c r="I15" s="30"/>
      <c r="J15" s="32" t="str">
        <f aca="true">IF(F15="","",IF(OR(I15="Concluída",I15="Cancelada"),I15,IF(H15="","Sem prazo",IF(H15&lt;TODAY(),"Atrasada","No prazo"))))</f>
        <v/>
      </c>
    </row>
    <row r="16" customFormat="false" ht="30" hidden="false" customHeight="true" outlineLevel="0" collapsed="false">
      <c r="B16" s="29" t="n">
        <v>11</v>
      </c>
      <c r="C16" s="30"/>
      <c r="D16" s="6" t="str">
        <f aca="false">IF(C16="","",INDEX(GUT!$C$15:$C$34,VALUE(MID(C16,2,2)))&amp;"")</f>
        <v/>
      </c>
      <c r="E16" s="31" t="str">
        <f aca="false">IF(C16="","",IFERROR(INDEX(GUT!$I$15:$I$34,VALUE(MID(C16,2,2)))+0,""))</f>
        <v/>
      </c>
      <c r="F16" s="5"/>
      <c r="G16" s="5"/>
      <c r="H16" s="40"/>
      <c r="I16" s="30"/>
      <c r="J16" s="32" t="str">
        <f aca="true">IF(F16="","",IF(OR(I16="Concluída",I16="Cancelada"),I16,IF(H16="","Sem prazo",IF(H16&lt;TODAY(),"Atrasada","No prazo"))))</f>
        <v/>
      </c>
    </row>
    <row r="17" customFormat="false" ht="30" hidden="false" customHeight="true" outlineLevel="0" collapsed="false">
      <c r="B17" s="29" t="n">
        <v>12</v>
      </c>
      <c r="C17" s="30"/>
      <c r="D17" s="6" t="str">
        <f aca="false">IF(C17="","",INDEX(GUT!$C$15:$C$34,VALUE(MID(C17,2,2)))&amp;"")</f>
        <v/>
      </c>
      <c r="E17" s="31" t="str">
        <f aca="false">IF(C17="","",IFERROR(INDEX(GUT!$I$15:$I$34,VALUE(MID(C17,2,2)))+0,""))</f>
        <v/>
      </c>
      <c r="F17" s="5"/>
      <c r="G17" s="5"/>
      <c r="H17" s="40"/>
      <c r="I17" s="30"/>
      <c r="J17" s="32" t="str">
        <f aca="true">IF(F17="","",IF(OR(I17="Concluída",I17="Cancelada"),I17,IF(H17="","Sem prazo",IF(H17&lt;TODAY(),"Atrasada","No prazo"))))</f>
        <v/>
      </c>
    </row>
    <row r="18" customFormat="false" ht="30" hidden="false" customHeight="true" outlineLevel="0" collapsed="false">
      <c r="B18" s="29" t="n">
        <v>13</v>
      </c>
      <c r="C18" s="30"/>
      <c r="D18" s="6" t="str">
        <f aca="false">IF(C18="","",INDEX(GUT!$C$15:$C$34,VALUE(MID(C18,2,2)))&amp;"")</f>
        <v/>
      </c>
      <c r="E18" s="31" t="str">
        <f aca="false">IF(C18="","",IFERROR(INDEX(GUT!$I$15:$I$34,VALUE(MID(C18,2,2)))+0,""))</f>
        <v/>
      </c>
      <c r="F18" s="5"/>
      <c r="G18" s="5"/>
      <c r="H18" s="40"/>
      <c r="I18" s="30"/>
      <c r="J18" s="32" t="str">
        <f aca="true">IF(F18="","",IF(OR(I18="Concluída",I18="Cancelada"),I18,IF(H18="","Sem prazo",IF(H18&lt;TODAY(),"Atrasada","No prazo"))))</f>
        <v/>
      </c>
    </row>
    <row r="19" customFormat="false" ht="30" hidden="false" customHeight="true" outlineLevel="0" collapsed="false">
      <c r="B19" s="29" t="n">
        <v>14</v>
      </c>
      <c r="C19" s="30"/>
      <c r="D19" s="6" t="str">
        <f aca="false">IF(C19="","",INDEX(GUT!$C$15:$C$34,VALUE(MID(C19,2,2)))&amp;"")</f>
        <v/>
      </c>
      <c r="E19" s="31" t="str">
        <f aca="false">IF(C19="","",IFERROR(INDEX(GUT!$I$15:$I$34,VALUE(MID(C19,2,2)))+0,""))</f>
        <v/>
      </c>
      <c r="F19" s="5"/>
      <c r="G19" s="5"/>
      <c r="H19" s="40"/>
      <c r="I19" s="30"/>
      <c r="J19" s="32" t="str">
        <f aca="true">IF(F19="","",IF(OR(I19="Concluída",I19="Cancelada"),I19,IF(H19="","Sem prazo",IF(H19&lt;TODAY(),"Atrasada","No prazo"))))</f>
        <v/>
      </c>
    </row>
    <row r="20" customFormat="false" ht="30" hidden="false" customHeight="true" outlineLevel="0" collapsed="false">
      <c r="B20" s="29" t="n">
        <v>15</v>
      </c>
      <c r="C20" s="30"/>
      <c r="D20" s="6" t="str">
        <f aca="false">IF(C20="","",INDEX(GUT!$C$15:$C$34,VALUE(MID(C20,2,2)))&amp;"")</f>
        <v/>
      </c>
      <c r="E20" s="31" t="str">
        <f aca="false">IF(C20="","",IFERROR(INDEX(GUT!$I$15:$I$34,VALUE(MID(C20,2,2)))+0,""))</f>
        <v/>
      </c>
      <c r="F20" s="5"/>
      <c r="G20" s="5"/>
      <c r="H20" s="40"/>
      <c r="I20" s="30"/>
      <c r="J20" s="32" t="str">
        <f aca="true">IF(F20="","",IF(OR(I20="Concluída",I20="Cancelada"),I20,IF(H20="","Sem prazo",IF(H20&lt;TODAY(),"Atrasada","No prazo"))))</f>
        <v/>
      </c>
    </row>
    <row r="22" customFormat="false" ht="21.75" hidden="false" customHeight="true" outlineLevel="0" collapsed="false">
      <c r="B22" s="15" t="s">
        <v>127</v>
      </c>
      <c r="C22" s="15"/>
      <c r="D22" s="15"/>
      <c r="E22" s="15"/>
      <c r="F22" s="15"/>
      <c r="G22" s="15"/>
      <c r="H22" s="15"/>
      <c r="I22" s="15"/>
      <c r="J22" s="15"/>
    </row>
    <row r="23" customFormat="false" ht="19.5" hidden="false" customHeight="true" outlineLevel="0" collapsed="false">
      <c r="B23" s="35" t="s">
        <v>193</v>
      </c>
      <c r="C23" s="35"/>
      <c r="D23" s="35"/>
      <c r="E23" s="35"/>
      <c r="F23" s="35"/>
      <c r="G23" s="36" t="n">
        <f aca="false">COUNTA(F6:F20)</f>
        <v>0</v>
      </c>
      <c r="H23" s="36"/>
    </row>
    <row r="24" customFormat="false" ht="19.5" hidden="false" customHeight="true" outlineLevel="0" collapsed="false">
      <c r="B24" s="35" t="s">
        <v>194</v>
      </c>
      <c r="C24" s="35"/>
      <c r="D24" s="35"/>
      <c r="E24" s="35"/>
      <c r="F24" s="35"/>
      <c r="G24" s="36" t="n">
        <f aca="false">COUNTIF(I6:I20,"Concluída")</f>
        <v>0</v>
      </c>
      <c r="H24" s="36"/>
    </row>
    <row r="25" customFormat="false" ht="19.5" hidden="false" customHeight="true" outlineLevel="0" collapsed="false">
      <c r="B25" s="35" t="s">
        <v>191</v>
      </c>
      <c r="C25" s="35"/>
      <c r="D25" s="35"/>
      <c r="E25" s="35"/>
      <c r="F25" s="35"/>
      <c r="G25" s="36" t="n">
        <f aca="false">COUNTIF(I6:I20,"Em andamento")</f>
        <v>0</v>
      </c>
      <c r="H25" s="36"/>
    </row>
    <row r="26" customFormat="false" ht="19.5" hidden="false" customHeight="true" outlineLevel="0" collapsed="false">
      <c r="B26" s="35" t="s">
        <v>195</v>
      </c>
      <c r="C26" s="35"/>
      <c r="D26" s="35"/>
      <c r="E26" s="35"/>
      <c r="F26" s="35"/>
      <c r="G26" s="36" t="n">
        <f aca="false">COUNTIF(I6:I20,"Não iniciada")</f>
        <v>0</v>
      </c>
      <c r="H26" s="36"/>
    </row>
    <row r="27" customFormat="false" ht="19.5" hidden="false" customHeight="true" outlineLevel="0" collapsed="false">
      <c r="B27" s="35" t="s">
        <v>196</v>
      </c>
      <c r="C27" s="35"/>
      <c r="D27" s="35"/>
      <c r="E27" s="35"/>
      <c r="F27" s="35"/>
      <c r="G27" s="36" t="n">
        <f aca="false">COUNTIF(J6:J20,"Atrasada")</f>
        <v>0</v>
      </c>
      <c r="H27" s="36"/>
    </row>
    <row r="28" customFormat="false" ht="19.5" hidden="false" customHeight="true" outlineLevel="0" collapsed="false">
      <c r="B28" s="35" t="s">
        <v>197</v>
      </c>
      <c r="C28" s="35"/>
      <c r="D28" s="35"/>
      <c r="E28" s="35"/>
      <c r="F28" s="35"/>
      <c r="G28" s="36" t="n">
        <f aca="false">SUMPRODUCT((F6:F20&lt;&gt;"")*((G6:G20="")+(H6:H20="")&gt;0))</f>
        <v>0</v>
      </c>
      <c r="H28" s="36"/>
    </row>
    <row r="29" customFormat="false" ht="19.5" hidden="false" customHeight="true" outlineLevel="0" collapsed="false">
      <c r="B29" s="35" t="s">
        <v>198</v>
      </c>
      <c r="C29" s="35"/>
      <c r="D29" s="35"/>
      <c r="E29" s="35"/>
      <c r="F29" s="35"/>
      <c r="G29" s="41" t="n">
        <f aca="false">IF(G23=0,0,G24/G23)</f>
        <v>0</v>
      </c>
      <c r="H29" s="41"/>
    </row>
    <row r="30" customFormat="false" ht="19.5" hidden="false" customHeight="true" outlineLevel="0" collapsed="false">
      <c r="B30" s="35" t="s">
        <v>199</v>
      </c>
      <c r="C30" s="35"/>
      <c r="D30" s="35"/>
      <c r="E30" s="35"/>
      <c r="F30" s="35"/>
      <c r="G30" s="36" t="n">
        <f aca="false">SUMPRODUCT((GUT!$K$15:$K$34="Alta")*(COUNTIF($C$6:$C$20,GUT!$B$15:$B$34)=0))</f>
        <v>0</v>
      </c>
      <c r="H30" s="36"/>
    </row>
    <row r="31" customFormat="false" ht="19.5" hidden="false" customHeight="true" outlineLevel="0" collapsed="false">
      <c r="B31" s="35" t="s">
        <v>200</v>
      </c>
      <c r="C31" s="35"/>
      <c r="D31" s="35"/>
      <c r="E31" s="35"/>
      <c r="F31" s="35"/>
      <c r="G31" s="36" t="n">
        <f aca="false">SUMPRODUCT((GUT!$F$15:$F$34=5)*(COUNTIF($C$6:$C$20,GUT!$B$15:$B$34)=0))</f>
        <v>0</v>
      </c>
      <c r="H31" s="36"/>
    </row>
  </sheetData>
  <mergeCells count="21">
    <mergeCell ref="B1:J1"/>
    <mergeCell ref="B2:J2"/>
    <mergeCell ref="B22:J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</mergeCells>
  <conditionalFormatting sqref="I6:I20">
    <cfRule type="cellIs" priority="2" operator="equal" aboveAverage="0" equalAverage="0" bottom="0" percent="0" rank="0" text="" dxfId="2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0">
      <formula>"Não iniciada"</formula>
    </cfRule>
  </conditionalFormatting>
  <conditionalFormatting sqref="J6:J20">
    <cfRule type="cellIs" priority="5" operator="equal" aboveAverage="0" equalAverage="0" bottom="0" percent="0" rank="0" text="" dxfId="2">
      <formula>"Concluída"</formula>
    </cfRule>
    <cfRule type="cellIs" priority="6" operator="equal" aboveAverage="0" equalAverage="0" bottom="0" percent="0" rank="0" text="" dxfId="2">
      <formula>"No prazo"</formula>
    </cfRule>
    <cfRule type="cellIs" priority="7" operator="equal" aboveAverage="0" equalAverage="0" bottom="0" percent="0" rank="0" text="" dxfId="1">
      <formula>"Sem prazo"</formula>
    </cfRule>
    <cfRule type="cellIs" priority="8" operator="equal" aboveAverage="0" equalAverage="0" bottom="0" percent="0" rank="0" text="" dxfId="0">
      <formula>"Atrasada"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H6:H20" type="date">
      <formula1>36526</formula1>
      <formula2>0</formula2>
    </dataValidation>
    <dataValidation allowBlank="true" error="Escolha uma das opções da lista." errorStyle="stop" errorTitle="Valor inválido" operator="between" prompt="Código do problema na aba GUT" promptTitle="Opções" showDropDown="false" showErrorMessage="true" showInputMessage="true" sqref="C6:C20" type="list">
      <formula1>"P1,P2,P3,P4,P5,P6,P7,P8,P9,P10,P11,P12,P13,P14,P15,P16,P17,P18,P19,P20"</formula1>
      <formula2>0</formula2>
    </dataValidation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I6:I20" type="list">
      <formula1>"Não iniciada,Em andamento,Concluída,Cancelada"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201</v>
      </c>
      <c r="C1" s="1"/>
      <c r="D1" s="1"/>
      <c r="E1" s="1"/>
    </row>
    <row r="2" customFormat="false" ht="19.5" hidden="false" customHeight="true" outlineLevel="0" collapsed="false">
      <c r="B2" s="2" t="s">
        <v>202</v>
      </c>
      <c r="C2" s="2"/>
      <c r="D2" s="2"/>
      <c r="E2" s="2"/>
    </row>
    <row r="4" customFormat="false" ht="21.75" hidden="false" customHeight="true" outlineLevel="0" collapsed="false">
      <c r="B4" s="19" t="s">
        <v>83</v>
      </c>
      <c r="C4" s="19" t="s">
        <v>203</v>
      </c>
      <c r="D4" s="19" t="s">
        <v>187</v>
      </c>
      <c r="E4" s="19" t="s">
        <v>204</v>
      </c>
    </row>
    <row r="5" customFormat="false" ht="30" hidden="false" customHeight="true" outlineLevel="0" collapsed="false">
      <c r="B5" s="29" t="n">
        <v>1</v>
      </c>
      <c r="C5" s="6" t="s">
        <v>205</v>
      </c>
      <c r="D5" s="30"/>
      <c r="E5" s="5"/>
    </row>
    <row r="6" customFormat="false" ht="30" hidden="false" customHeight="true" outlineLevel="0" collapsed="false">
      <c r="B6" s="29" t="n">
        <v>2</v>
      </c>
      <c r="C6" s="6" t="s">
        <v>206</v>
      </c>
      <c r="D6" s="30"/>
      <c r="E6" s="5"/>
    </row>
    <row r="7" customFormat="false" ht="30" hidden="false" customHeight="true" outlineLevel="0" collapsed="false">
      <c r="B7" s="29" t="n">
        <v>3</v>
      </c>
      <c r="C7" s="6" t="s">
        <v>207</v>
      </c>
      <c r="D7" s="30"/>
      <c r="E7" s="5"/>
    </row>
    <row r="8" customFormat="false" ht="30" hidden="false" customHeight="true" outlineLevel="0" collapsed="false">
      <c r="B8" s="29" t="n">
        <v>4</v>
      </c>
      <c r="C8" s="6" t="s">
        <v>208</v>
      </c>
      <c r="D8" s="30"/>
      <c r="E8" s="5"/>
    </row>
    <row r="9" customFormat="false" ht="30" hidden="false" customHeight="true" outlineLevel="0" collapsed="false">
      <c r="B9" s="29" t="n">
        <v>5</v>
      </c>
      <c r="C9" s="6" t="s">
        <v>209</v>
      </c>
      <c r="D9" s="30"/>
      <c r="E9" s="5"/>
    </row>
    <row r="10" customFormat="false" ht="30" hidden="false" customHeight="true" outlineLevel="0" collapsed="false">
      <c r="B10" s="29" t="n">
        <v>6</v>
      </c>
      <c r="C10" s="6" t="s">
        <v>210</v>
      </c>
      <c r="D10" s="30"/>
      <c r="E10" s="5"/>
    </row>
    <row r="11" customFormat="false" ht="30" hidden="false" customHeight="true" outlineLevel="0" collapsed="false">
      <c r="B11" s="29" t="n">
        <v>7</v>
      </c>
      <c r="C11" s="6" t="s">
        <v>211</v>
      </c>
      <c r="D11" s="30"/>
      <c r="E11" s="5"/>
    </row>
    <row r="12" customFormat="false" ht="30" hidden="false" customHeight="true" outlineLevel="0" collapsed="false">
      <c r="B12" s="29" t="n">
        <v>8</v>
      </c>
      <c r="C12" s="6" t="s">
        <v>212</v>
      </c>
      <c r="D12" s="30"/>
      <c r="E12" s="5"/>
    </row>
    <row r="13" customFormat="false" ht="30" hidden="false" customHeight="true" outlineLevel="0" collapsed="false">
      <c r="B13" s="29" t="n">
        <v>9</v>
      </c>
      <c r="C13" s="6" t="s">
        <v>213</v>
      </c>
      <c r="D13" s="30"/>
      <c r="E13" s="5"/>
    </row>
    <row r="14" customFormat="false" ht="30" hidden="false" customHeight="true" outlineLevel="0" collapsed="false">
      <c r="B14" s="29" t="n">
        <v>10</v>
      </c>
      <c r="C14" s="6" t="s">
        <v>214</v>
      </c>
      <c r="D14" s="30"/>
      <c r="E14" s="5"/>
    </row>
    <row r="15" customFormat="false" ht="30" hidden="false" customHeight="true" outlineLevel="0" collapsed="false">
      <c r="B15" s="29" t="n">
        <v>11</v>
      </c>
      <c r="C15" s="6" t="s">
        <v>215</v>
      </c>
      <c r="D15" s="30"/>
      <c r="E15" s="5"/>
    </row>
    <row r="16" customFormat="false" ht="30" hidden="false" customHeight="true" outlineLevel="0" collapsed="false">
      <c r="B16" s="29" t="n">
        <v>12</v>
      </c>
      <c r="C16" s="6" t="s">
        <v>216</v>
      </c>
      <c r="D16" s="30"/>
      <c r="E16" s="5"/>
    </row>
    <row r="18" customFormat="false" ht="21.75" hidden="false" customHeight="true" outlineLevel="0" collapsed="false">
      <c r="B18" s="15" t="s">
        <v>127</v>
      </c>
      <c r="C18" s="15"/>
      <c r="D18" s="15"/>
      <c r="E18" s="15"/>
    </row>
    <row r="19" customFormat="false" ht="19.5" hidden="false" customHeight="true" outlineLevel="0" collapsed="false">
      <c r="B19" s="35" t="s">
        <v>217</v>
      </c>
      <c r="C19" s="35"/>
      <c r="D19" s="31" t="n">
        <f aca="false">COUNTIF(D5:D16,"Sim")</f>
        <v>0</v>
      </c>
    </row>
    <row r="20" customFormat="false" ht="19.5" hidden="false" customHeight="true" outlineLevel="0" collapsed="false">
      <c r="B20" s="35" t="s">
        <v>218</v>
      </c>
      <c r="C20" s="35"/>
      <c r="D20" s="31" t="n">
        <f aca="false">COUNTIF(D5:D16,"Parcial")</f>
        <v>0</v>
      </c>
    </row>
    <row r="21" customFormat="false" ht="19.5" hidden="false" customHeight="true" outlineLevel="0" collapsed="false">
      <c r="B21" s="35" t="s">
        <v>219</v>
      </c>
      <c r="C21" s="35"/>
      <c r="D21" s="31" t="n">
        <f aca="false">COUNTIF(D5:D16,"Não")</f>
        <v>0</v>
      </c>
    </row>
    <row r="22" customFormat="false" ht="19.5" hidden="false" customHeight="true" outlineLevel="0" collapsed="false">
      <c r="B22" s="35" t="s">
        <v>220</v>
      </c>
      <c r="C22" s="35"/>
      <c r="D22" s="31" t="n">
        <f aca="false">COUNTBLANK(D5:D16)</f>
        <v>12</v>
      </c>
    </row>
    <row r="23" customFormat="false" ht="19.5" hidden="false" customHeight="true" outlineLevel="0" collapsed="false">
      <c r="B23" s="35" t="s">
        <v>221</v>
      </c>
      <c r="C23" s="35"/>
      <c r="D23" s="41" t="n">
        <f aca="false">D19/ROWS(D5:D16)</f>
        <v>0</v>
      </c>
    </row>
    <row r="24" customFormat="false" ht="19.5" hidden="false" customHeight="true" outlineLevel="0" collapsed="false">
      <c r="B24" s="35" t="s">
        <v>188</v>
      </c>
      <c r="C24" s="35"/>
      <c r="D24" s="31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2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0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8" min="6" style="0" width="9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2"/>
    <col collapsed="false" customWidth="true" hidden="false" outlineLevel="0" max="14" min="14" style="0" width="1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222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71</v>
      </c>
      <c r="C4" s="4"/>
      <c r="D4" s="42" t="s">
        <v>223</v>
      </c>
      <c r="E4" s="42"/>
      <c r="F4" s="4" t="s">
        <v>72</v>
      </c>
      <c r="G4" s="4"/>
      <c r="H4" s="4"/>
      <c r="I4" s="42" t="s">
        <v>190</v>
      </c>
      <c r="J4" s="42"/>
      <c r="K4" s="42"/>
      <c r="L4" s="42"/>
    </row>
    <row r="5" customFormat="false" ht="21.75" hidden="false" customHeight="true" outlineLevel="0" collapsed="false">
      <c r="B5" s="4" t="s">
        <v>73</v>
      </c>
      <c r="C5" s="4"/>
      <c r="D5" s="42" t="s">
        <v>224</v>
      </c>
      <c r="E5" s="42"/>
      <c r="F5" s="4" t="s">
        <v>74</v>
      </c>
      <c r="G5" s="4"/>
      <c r="H5" s="4"/>
      <c r="I5" s="43" t="n">
        <v>46294</v>
      </c>
      <c r="J5" s="43"/>
      <c r="K5" s="43"/>
      <c r="L5" s="43"/>
    </row>
    <row r="6" customFormat="false" ht="21.75" hidden="false" customHeight="true" outlineLevel="0" collapsed="false">
      <c r="B6" s="4" t="s">
        <v>75</v>
      </c>
      <c r="C6" s="4"/>
      <c r="D6" s="42" t="s">
        <v>225</v>
      </c>
      <c r="E6" s="42"/>
      <c r="F6" s="4" t="s">
        <v>76</v>
      </c>
      <c r="G6" s="4"/>
      <c r="H6" s="4"/>
      <c r="I6" s="42" t="s">
        <v>226</v>
      </c>
      <c r="J6" s="42"/>
      <c r="K6" s="42"/>
      <c r="L6" s="42"/>
    </row>
    <row r="7" customFormat="false" ht="30" hidden="false" customHeight="true" outlineLevel="0" collapsed="false">
      <c r="B7" s="4" t="s">
        <v>77</v>
      </c>
      <c r="C7" s="4"/>
      <c r="D7" s="42" t="s">
        <v>227</v>
      </c>
      <c r="E7" s="42"/>
      <c r="F7" s="42"/>
      <c r="G7" s="42"/>
      <c r="H7" s="42"/>
      <c r="I7" s="42"/>
      <c r="J7" s="42"/>
      <c r="K7" s="42"/>
      <c r="L7" s="42"/>
    </row>
    <row r="8" customFormat="false" ht="30" hidden="false" customHeight="true" outlineLevel="0" collapsed="false">
      <c r="B8" s="4" t="s">
        <v>78</v>
      </c>
      <c r="C8" s="4"/>
      <c r="D8" s="42" t="s">
        <v>228</v>
      </c>
      <c r="E8" s="42"/>
      <c r="F8" s="4" t="s">
        <v>79</v>
      </c>
      <c r="G8" s="4"/>
      <c r="H8" s="4"/>
      <c r="I8" s="42" t="s">
        <v>229</v>
      </c>
      <c r="J8" s="42"/>
      <c r="K8" s="42"/>
      <c r="L8" s="42"/>
    </row>
    <row r="9" customFormat="false" ht="30" hidden="false" customHeight="true" outlineLevel="0" collapsed="false">
      <c r="B9" s="4" t="s">
        <v>80</v>
      </c>
      <c r="C9" s="4"/>
      <c r="D9" s="42" t="s">
        <v>230</v>
      </c>
      <c r="E9" s="42"/>
      <c r="F9" s="42"/>
      <c r="G9" s="42"/>
      <c r="H9" s="42"/>
      <c r="I9" s="42"/>
      <c r="J9" s="42"/>
      <c r="K9" s="42"/>
      <c r="L9" s="42"/>
    </row>
    <row r="11" customFormat="false" ht="33.75" hidden="false" customHeight="true" outlineLevel="0" collapsed="false">
      <c r="B11" s="15" t="s">
        <v>81</v>
      </c>
      <c r="C11" s="15"/>
      <c r="D11" s="15"/>
      <c r="E11" s="15"/>
      <c r="F11" s="16" t="s">
        <v>14</v>
      </c>
      <c r="G11" s="17" t="s">
        <v>16</v>
      </c>
      <c r="H11" s="18" t="s">
        <v>18</v>
      </c>
      <c r="I11" s="15" t="s">
        <v>82</v>
      </c>
      <c r="J11" s="15"/>
      <c r="K11" s="15"/>
      <c r="L11" s="15"/>
    </row>
    <row r="12" customFormat="false" ht="21.75" hidden="false" customHeight="true" outlineLevel="0" collapsed="false">
      <c r="B12" s="19" t="s">
        <v>83</v>
      </c>
      <c r="C12" s="19" t="s">
        <v>84</v>
      </c>
      <c r="D12" s="19"/>
      <c r="E12" s="19" t="s">
        <v>85</v>
      </c>
      <c r="F12" s="20" t="s">
        <v>86</v>
      </c>
      <c r="G12" s="21" t="s">
        <v>87</v>
      </c>
      <c r="H12" s="22" t="s">
        <v>88</v>
      </c>
      <c r="I12" s="19" t="s">
        <v>20</v>
      </c>
      <c r="J12" s="19" t="s">
        <v>89</v>
      </c>
      <c r="K12" s="19" t="s">
        <v>90</v>
      </c>
      <c r="L12" s="19" t="s">
        <v>91</v>
      </c>
    </row>
    <row r="13" customFormat="false" ht="30" hidden="false" customHeight="true" outlineLevel="0" collapsed="false">
      <c r="B13" s="23"/>
      <c r="C13" s="23" t="s">
        <v>92</v>
      </c>
      <c r="D13" s="23"/>
      <c r="E13" s="23" t="s">
        <v>93</v>
      </c>
      <c r="F13" s="24" t="s">
        <v>94</v>
      </c>
      <c r="G13" s="25" t="s">
        <v>95</v>
      </c>
      <c r="H13" s="26" t="s">
        <v>96</v>
      </c>
      <c r="I13" s="23" t="s">
        <v>97</v>
      </c>
      <c r="J13" s="23" t="s">
        <v>98</v>
      </c>
      <c r="K13" s="23" t="s">
        <v>99</v>
      </c>
      <c r="L13" s="23" t="s">
        <v>100</v>
      </c>
    </row>
    <row r="14" customFormat="false" ht="30" hidden="false" customHeight="true" outlineLevel="0" collapsed="false">
      <c r="B14" s="27" t="s">
        <v>231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N14" s="28" t="s">
        <v>106</v>
      </c>
    </row>
    <row r="15" customFormat="false" ht="30" hidden="false" customHeight="true" outlineLevel="0" collapsed="false">
      <c r="B15" s="29" t="s">
        <v>107</v>
      </c>
      <c r="C15" s="42" t="s">
        <v>232</v>
      </c>
      <c r="D15" s="42"/>
      <c r="E15" s="44" t="s">
        <v>233</v>
      </c>
      <c r="F15" s="45" t="n">
        <v>4</v>
      </c>
      <c r="G15" s="46" t="n">
        <v>3</v>
      </c>
      <c r="H15" s="47" t="n">
        <v>4</v>
      </c>
      <c r="I15" s="31" t="n">
        <f aca="false">IF(COUNT(F15:H15)&lt;3,"",F15*G15*H15)</f>
        <v>48</v>
      </c>
      <c r="J15" s="31" t="n">
        <f aca="false">IF(N15="","",RANK(N15,$N$15:$N$34)+COUNTIF($N$14:N14,N15))</f>
        <v>3</v>
      </c>
      <c r="K15" s="32" t="str">
        <f aca="false">IF(I15="","",IF(I15&gt;=Escala!$C$14,"Alta",IF(I15&gt;=Escala!$C$15,"Média","Baixa")))</f>
        <v>Média</v>
      </c>
      <c r="L15" s="33" t="str">
        <f aca="false">IF(F15=5,"Gravidade máxima","")</f>
        <v/>
      </c>
      <c r="N15" s="34" t="n">
        <f aca="false">IF(I15="","",I15*1000+F15*100+G15*10+H15)</f>
        <v>48434</v>
      </c>
    </row>
    <row r="16" customFormat="false" ht="30" hidden="false" customHeight="true" outlineLevel="0" collapsed="false">
      <c r="B16" s="29" t="s">
        <v>108</v>
      </c>
      <c r="C16" s="42" t="s">
        <v>234</v>
      </c>
      <c r="D16" s="42"/>
      <c r="E16" s="44" t="s">
        <v>233</v>
      </c>
      <c r="F16" s="45" t="n">
        <v>4</v>
      </c>
      <c r="G16" s="46" t="n">
        <v>4</v>
      </c>
      <c r="H16" s="47" t="n">
        <v>4</v>
      </c>
      <c r="I16" s="31" t="n">
        <f aca="false">IF(COUNT(F16:H16)&lt;3,"",F16*G16*H16)</f>
        <v>64</v>
      </c>
      <c r="J16" s="31" t="n">
        <f aca="false">IF(N16="","",RANK(N16,$N$15:$N$34)+COUNTIF($N$14:N15,N16))</f>
        <v>2</v>
      </c>
      <c r="K16" s="32" t="str">
        <f aca="false">IF(I16="","",IF(I16&gt;=Escala!$C$14,"Alta",IF(I16&gt;=Escala!$C$15,"Média","Baixa")))</f>
        <v>Alta</v>
      </c>
      <c r="L16" s="33" t="str">
        <f aca="false">IF(F16=5,"Gravidade máxima","")</f>
        <v/>
      </c>
      <c r="N16" s="34" t="n">
        <f aca="false">IF(I16="","",I16*1000+F16*100+G16*10+H16)</f>
        <v>64444</v>
      </c>
    </row>
    <row r="17" customFormat="false" ht="30" hidden="false" customHeight="true" outlineLevel="0" collapsed="false">
      <c r="B17" s="29" t="s">
        <v>109</v>
      </c>
      <c r="C17" s="42" t="s">
        <v>102</v>
      </c>
      <c r="D17" s="42"/>
      <c r="E17" s="44" t="s">
        <v>103</v>
      </c>
      <c r="F17" s="45" t="n">
        <v>5</v>
      </c>
      <c r="G17" s="46" t="n">
        <v>5</v>
      </c>
      <c r="H17" s="47" t="n">
        <v>4</v>
      </c>
      <c r="I17" s="31" t="n">
        <f aca="false">IF(COUNT(F17:H17)&lt;3,"",F17*G17*H17)</f>
        <v>100</v>
      </c>
      <c r="J17" s="31" t="n">
        <f aca="false">IF(N17="","",RANK(N17,$N$15:$N$34)+COUNTIF($N$14:N16,N17))</f>
        <v>1</v>
      </c>
      <c r="K17" s="32" t="str">
        <f aca="false">IF(I17="","",IF(I17&gt;=Escala!$C$14,"Alta",IF(I17&gt;=Escala!$C$15,"Média","Baixa")))</f>
        <v>Alta</v>
      </c>
      <c r="L17" s="33" t="str">
        <f aca="false">IF(F17=5,"Gravidade máxima","")</f>
        <v>Gravidade máxima</v>
      </c>
      <c r="N17" s="34" t="n">
        <f aca="false">IF(I17="","",I17*1000+F17*100+G17*10+H17)</f>
        <v>100554</v>
      </c>
    </row>
    <row r="18" customFormat="false" ht="30" hidden="false" customHeight="true" outlineLevel="0" collapsed="false">
      <c r="B18" s="29" t="s">
        <v>110</v>
      </c>
      <c r="C18" s="42" t="s">
        <v>235</v>
      </c>
      <c r="D18" s="42"/>
      <c r="E18" s="44" t="s">
        <v>236</v>
      </c>
      <c r="F18" s="45" t="n">
        <v>3</v>
      </c>
      <c r="G18" s="46" t="n">
        <v>3</v>
      </c>
      <c r="H18" s="47" t="n">
        <v>2</v>
      </c>
      <c r="I18" s="31" t="n">
        <f aca="false">IF(COUNT(F18:H18)&lt;3,"",F18*G18*H18)</f>
        <v>18</v>
      </c>
      <c r="J18" s="31" t="n">
        <f aca="false">IF(N18="","",RANK(N18,$N$15:$N$34)+COUNTIF($N$14:N17,N18))</f>
        <v>6</v>
      </c>
      <c r="K18" s="32" t="str">
        <f aca="false">IF(I18="","",IF(I18&gt;=Escala!$C$14,"Alta",IF(I18&gt;=Escala!$C$15,"Média","Baixa")))</f>
        <v>Baixa</v>
      </c>
      <c r="L18" s="33" t="str">
        <f aca="false">IF(F18=5,"Gravidade máxima","")</f>
        <v/>
      </c>
      <c r="N18" s="34" t="n">
        <f aca="false">IF(I18="","",I18*1000+F18*100+G18*10+H18)</f>
        <v>18332</v>
      </c>
    </row>
    <row r="19" customFormat="false" ht="30" hidden="false" customHeight="true" outlineLevel="0" collapsed="false">
      <c r="B19" s="29" t="s">
        <v>111</v>
      </c>
      <c r="C19" s="42" t="s">
        <v>237</v>
      </c>
      <c r="D19" s="42"/>
      <c r="E19" s="44" t="s">
        <v>233</v>
      </c>
      <c r="F19" s="45" t="n">
        <v>3</v>
      </c>
      <c r="G19" s="46" t="n">
        <v>2</v>
      </c>
      <c r="H19" s="47" t="n">
        <v>3</v>
      </c>
      <c r="I19" s="31" t="n">
        <f aca="false">IF(COUNT(F19:H19)&lt;3,"",F19*G19*H19)</f>
        <v>18</v>
      </c>
      <c r="J19" s="31" t="n">
        <f aca="false">IF(N19="","",RANK(N19,$N$15:$N$34)+COUNTIF($N$14:N18,N19))</f>
        <v>7</v>
      </c>
      <c r="K19" s="32" t="str">
        <f aca="false">IF(I19="","",IF(I19&gt;=Escala!$C$14,"Alta",IF(I19&gt;=Escala!$C$15,"Média","Baixa")))</f>
        <v>Baixa</v>
      </c>
      <c r="L19" s="33" t="str">
        <f aca="false">IF(F19=5,"Gravidade máxima","")</f>
        <v/>
      </c>
      <c r="N19" s="34" t="n">
        <f aca="false">IF(I19="","",I19*1000+F19*100+G19*10+H19)</f>
        <v>18323</v>
      </c>
    </row>
    <row r="20" customFormat="false" ht="30" hidden="false" customHeight="true" outlineLevel="0" collapsed="false">
      <c r="B20" s="29" t="s">
        <v>112</v>
      </c>
      <c r="C20" s="42" t="s">
        <v>238</v>
      </c>
      <c r="D20" s="42"/>
      <c r="E20" s="44" t="s">
        <v>103</v>
      </c>
      <c r="F20" s="45" t="n">
        <v>5</v>
      </c>
      <c r="G20" s="46" t="n">
        <v>4</v>
      </c>
      <c r="H20" s="47" t="n">
        <v>2</v>
      </c>
      <c r="I20" s="31" t="n">
        <f aca="false">IF(COUNT(F20:H20)&lt;3,"",F20*G20*H20)</f>
        <v>40</v>
      </c>
      <c r="J20" s="31" t="n">
        <f aca="false">IF(N20="","",RANK(N20,$N$15:$N$34)+COUNTIF($N$14:N19,N20))</f>
        <v>4</v>
      </c>
      <c r="K20" s="32" t="str">
        <f aca="false">IF(I20="","",IF(I20&gt;=Escala!$C$14,"Alta",IF(I20&gt;=Escala!$C$15,"Média","Baixa")))</f>
        <v>Média</v>
      </c>
      <c r="L20" s="33" t="str">
        <f aca="false">IF(F20=5,"Gravidade máxima","")</f>
        <v>Gravidade máxima</v>
      </c>
      <c r="N20" s="34" t="n">
        <f aca="false">IF(I20="","",I20*1000+F20*100+G20*10+H20)</f>
        <v>40542</v>
      </c>
    </row>
    <row r="21" customFormat="false" ht="30" hidden="false" customHeight="true" outlineLevel="0" collapsed="false">
      <c r="B21" s="29" t="s">
        <v>113</v>
      </c>
      <c r="C21" s="42" t="s">
        <v>239</v>
      </c>
      <c r="D21" s="42"/>
      <c r="E21" s="44" t="s">
        <v>233</v>
      </c>
      <c r="F21" s="45" t="n">
        <v>3</v>
      </c>
      <c r="G21" s="46" t="n">
        <v>3</v>
      </c>
      <c r="H21" s="47" t="n">
        <v>4</v>
      </c>
      <c r="I21" s="31" t="n">
        <f aca="false">IF(COUNT(F21:H21)&lt;3,"",F21*G21*H21)</f>
        <v>36</v>
      </c>
      <c r="J21" s="31" t="n">
        <f aca="false">IF(N21="","",RANK(N21,$N$15:$N$34)+COUNTIF($N$14:N20,N21))</f>
        <v>5</v>
      </c>
      <c r="K21" s="32" t="str">
        <f aca="false">IF(I21="","",IF(I21&gt;=Escala!$C$14,"Alta",IF(I21&gt;=Escala!$C$15,"Média","Baixa")))</f>
        <v>Média</v>
      </c>
      <c r="L21" s="33" t="str">
        <f aca="false">IF(F21=5,"Gravidade máxima","")</f>
        <v/>
      </c>
      <c r="N21" s="34" t="n">
        <f aca="false">IF(I21="","",I21*1000+F21*100+G21*10+H21)</f>
        <v>36334</v>
      </c>
    </row>
    <row r="22" customFormat="false" ht="30" hidden="false" customHeight="true" outlineLevel="0" collapsed="false">
      <c r="B22" s="29" t="s">
        <v>114</v>
      </c>
      <c r="C22" s="42" t="s">
        <v>240</v>
      </c>
      <c r="D22" s="42"/>
      <c r="E22" s="44" t="s">
        <v>236</v>
      </c>
      <c r="F22" s="45" t="n">
        <v>2</v>
      </c>
      <c r="G22" s="46" t="n">
        <v>1</v>
      </c>
      <c r="H22" s="47" t="n">
        <v>2</v>
      </c>
      <c r="I22" s="31" t="n">
        <f aca="false">IF(COUNT(F22:H22)&lt;3,"",F22*G22*H22)</f>
        <v>4</v>
      </c>
      <c r="J22" s="31" t="n">
        <f aca="false">IF(N22="","",RANK(N22,$N$15:$N$34)+COUNTIF($N$14:N21,N22))</f>
        <v>8</v>
      </c>
      <c r="K22" s="32" t="str">
        <f aca="false">IF(I22="","",IF(I22&gt;=Escala!$C$14,"Alta",IF(I22&gt;=Escala!$C$15,"Média","Baixa")))</f>
        <v>Baixa</v>
      </c>
      <c r="L22" s="33" t="str">
        <f aca="false">IF(F22=5,"Gravidade máxima","")</f>
        <v/>
      </c>
      <c r="N22" s="34" t="n">
        <f aca="false">IF(I22="","",I22*1000+F22*100+G22*10+H22)</f>
        <v>4212</v>
      </c>
    </row>
    <row r="23" customFormat="false" ht="30" hidden="false" customHeight="true" outlineLevel="0" collapsed="false">
      <c r="B23" s="29" t="s">
        <v>115</v>
      </c>
      <c r="C23" s="42"/>
      <c r="D23" s="42"/>
      <c r="E23" s="44"/>
      <c r="F23" s="44"/>
      <c r="G23" s="44"/>
      <c r="H23" s="44"/>
      <c r="I23" s="31" t="str">
        <f aca="false">IF(COUNT(F23:H23)&lt;3,"",F23*G23*H23)</f>
        <v/>
      </c>
      <c r="J23" s="31" t="str">
        <f aca="false">IF(N23="","",RANK(N23,$N$15:$N$34)+COUNTIF($N$14:N22,N23))</f>
        <v/>
      </c>
      <c r="K23" s="32" t="str">
        <f aca="false">IF(I23="","",IF(I23&gt;=Escala!$C$14,"Alta",IF(I23&gt;=Escala!$C$15,"Média","Baixa")))</f>
        <v/>
      </c>
      <c r="L23" s="33" t="str">
        <f aca="false">IF(F23=5,"Gravidade máxima","")</f>
        <v/>
      </c>
      <c r="N23" s="34" t="str">
        <f aca="false">IF(I23="","",I23*1000+F23*100+G23*10+H23)</f>
        <v/>
      </c>
    </row>
    <row r="24" customFormat="false" ht="30" hidden="false" customHeight="true" outlineLevel="0" collapsed="false">
      <c r="B24" s="29" t="s">
        <v>116</v>
      </c>
      <c r="C24" s="42"/>
      <c r="D24" s="42"/>
      <c r="E24" s="44"/>
      <c r="F24" s="44"/>
      <c r="G24" s="44"/>
      <c r="H24" s="44"/>
      <c r="I24" s="31" t="str">
        <f aca="false">IF(COUNT(F24:H24)&lt;3,"",F24*G24*H24)</f>
        <v/>
      </c>
      <c r="J24" s="31" t="str">
        <f aca="false">IF(N24="","",RANK(N24,$N$15:$N$34)+COUNTIF($N$14:N23,N24))</f>
        <v/>
      </c>
      <c r="K24" s="32" t="str">
        <f aca="false">IF(I24="","",IF(I24&gt;=Escala!$C$14,"Alta",IF(I24&gt;=Escala!$C$15,"Média","Baixa")))</f>
        <v/>
      </c>
      <c r="L24" s="33" t="str">
        <f aca="false">IF(F24=5,"Gravidade máxima","")</f>
        <v/>
      </c>
      <c r="N24" s="34" t="str">
        <f aca="false">IF(I24="","",I24*1000+F24*100+G24*10+H24)</f>
        <v/>
      </c>
    </row>
    <row r="25" customFormat="false" ht="30" hidden="false" customHeight="true" outlineLevel="0" collapsed="false">
      <c r="B25" s="29" t="s">
        <v>117</v>
      </c>
      <c r="C25" s="42"/>
      <c r="D25" s="42"/>
      <c r="E25" s="44"/>
      <c r="F25" s="44"/>
      <c r="G25" s="44"/>
      <c r="H25" s="44"/>
      <c r="I25" s="31" t="str">
        <f aca="false">IF(COUNT(F25:H25)&lt;3,"",F25*G25*H25)</f>
        <v/>
      </c>
      <c r="J25" s="31" t="str">
        <f aca="false">IF(N25="","",RANK(N25,$N$15:$N$34)+COUNTIF($N$14:N24,N25))</f>
        <v/>
      </c>
      <c r="K25" s="32" t="str">
        <f aca="false">IF(I25="","",IF(I25&gt;=Escala!$C$14,"Alta",IF(I25&gt;=Escala!$C$15,"Média","Baixa")))</f>
        <v/>
      </c>
      <c r="L25" s="33" t="str">
        <f aca="false">IF(F25=5,"Gravidade máxima","")</f>
        <v/>
      </c>
      <c r="N25" s="34" t="str">
        <f aca="false">IF(I25="","",I25*1000+F25*100+G25*10+H25)</f>
        <v/>
      </c>
    </row>
    <row r="26" customFormat="false" ht="30" hidden="false" customHeight="true" outlineLevel="0" collapsed="false">
      <c r="B26" s="29" t="s">
        <v>118</v>
      </c>
      <c r="C26" s="42"/>
      <c r="D26" s="42"/>
      <c r="E26" s="44"/>
      <c r="F26" s="44"/>
      <c r="G26" s="44"/>
      <c r="H26" s="44"/>
      <c r="I26" s="31" t="str">
        <f aca="false">IF(COUNT(F26:H26)&lt;3,"",F26*G26*H26)</f>
        <v/>
      </c>
      <c r="J26" s="31" t="str">
        <f aca="false">IF(N26="","",RANK(N26,$N$15:$N$34)+COUNTIF($N$14:N25,N26))</f>
        <v/>
      </c>
      <c r="K26" s="32" t="str">
        <f aca="false">IF(I26="","",IF(I26&gt;=Escala!$C$14,"Alta",IF(I26&gt;=Escala!$C$15,"Média","Baixa")))</f>
        <v/>
      </c>
      <c r="L26" s="33" t="str">
        <f aca="false">IF(F26=5,"Gravidade máxima","")</f>
        <v/>
      </c>
      <c r="N26" s="34" t="str">
        <f aca="false">IF(I26="","",I26*1000+F26*100+G26*10+H26)</f>
        <v/>
      </c>
    </row>
    <row r="27" customFormat="false" ht="30" hidden="false" customHeight="true" outlineLevel="0" collapsed="false">
      <c r="B27" s="29" t="s">
        <v>119</v>
      </c>
      <c r="C27" s="42"/>
      <c r="D27" s="42"/>
      <c r="E27" s="44"/>
      <c r="F27" s="44"/>
      <c r="G27" s="44"/>
      <c r="H27" s="44"/>
      <c r="I27" s="31" t="str">
        <f aca="false">IF(COUNT(F27:H27)&lt;3,"",F27*G27*H27)</f>
        <v/>
      </c>
      <c r="J27" s="31" t="str">
        <f aca="false">IF(N27="","",RANK(N27,$N$15:$N$34)+COUNTIF($N$14:N26,N27))</f>
        <v/>
      </c>
      <c r="K27" s="32" t="str">
        <f aca="false">IF(I27="","",IF(I27&gt;=Escala!$C$14,"Alta",IF(I27&gt;=Escala!$C$15,"Média","Baixa")))</f>
        <v/>
      </c>
      <c r="L27" s="33" t="str">
        <f aca="false">IF(F27=5,"Gravidade máxima","")</f>
        <v/>
      </c>
      <c r="N27" s="34" t="str">
        <f aca="false">IF(I27="","",I27*1000+F27*100+G27*10+H27)</f>
        <v/>
      </c>
    </row>
    <row r="28" customFormat="false" ht="30" hidden="false" customHeight="true" outlineLevel="0" collapsed="false">
      <c r="B28" s="29" t="s">
        <v>120</v>
      </c>
      <c r="C28" s="42"/>
      <c r="D28" s="42"/>
      <c r="E28" s="44"/>
      <c r="F28" s="44"/>
      <c r="G28" s="44"/>
      <c r="H28" s="44"/>
      <c r="I28" s="31" t="str">
        <f aca="false">IF(COUNT(F28:H28)&lt;3,"",F28*G28*H28)</f>
        <v/>
      </c>
      <c r="J28" s="31" t="str">
        <f aca="false">IF(N28="","",RANK(N28,$N$15:$N$34)+COUNTIF($N$14:N27,N28))</f>
        <v/>
      </c>
      <c r="K28" s="32" t="str">
        <f aca="false">IF(I28="","",IF(I28&gt;=Escala!$C$14,"Alta",IF(I28&gt;=Escala!$C$15,"Média","Baixa")))</f>
        <v/>
      </c>
      <c r="L28" s="33" t="str">
        <f aca="false">IF(F28=5,"Gravidade máxima","")</f>
        <v/>
      </c>
      <c r="N28" s="34" t="str">
        <f aca="false">IF(I28="","",I28*1000+F28*100+G28*10+H28)</f>
        <v/>
      </c>
    </row>
    <row r="29" customFormat="false" ht="30" hidden="false" customHeight="true" outlineLevel="0" collapsed="false">
      <c r="B29" s="29" t="s">
        <v>121</v>
      </c>
      <c r="C29" s="42"/>
      <c r="D29" s="42"/>
      <c r="E29" s="44"/>
      <c r="F29" s="44"/>
      <c r="G29" s="44"/>
      <c r="H29" s="44"/>
      <c r="I29" s="31" t="str">
        <f aca="false">IF(COUNT(F29:H29)&lt;3,"",F29*G29*H29)</f>
        <v/>
      </c>
      <c r="J29" s="31" t="str">
        <f aca="false">IF(N29="","",RANK(N29,$N$15:$N$34)+COUNTIF($N$14:N28,N29))</f>
        <v/>
      </c>
      <c r="K29" s="32" t="str">
        <f aca="false">IF(I29="","",IF(I29&gt;=Escala!$C$14,"Alta",IF(I29&gt;=Escala!$C$15,"Média","Baixa")))</f>
        <v/>
      </c>
      <c r="L29" s="33" t="str">
        <f aca="false">IF(F29=5,"Gravidade máxima","")</f>
        <v/>
      </c>
      <c r="N29" s="34" t="str">
        <f aca="false">IF(I29="","",I29*1000+F29*100+G29*10+H29)</f>
        <v/>
      </c>
    </row>
    <row r="30" customFormat="false" ht="30" hidden="false" customHeight="true" outlineLevel="0" collapsed="false">
      <c r="B30" s="29" t="s">
        <v>122</v>
      </c>
      <c r="C30" s="42"/>
      <c r="D30" s="42"/>
      <c r="E30" s="44"/>
      <c r="F30" s="44"/>
      <c r="G30" s="44"/>
      <c r="H30" s="44"/>
      <c r="I30" s="31" t="str">
        <f aca="false">IF(COUNT(F30:H30)&lt;3,"",F30*G30*H30)</f>
        <v/>
      </c>
      <c r="J30" s="31" t="str">
        <f aca="false">IF(N30="","",RANK(N30,$N$15:$N$34)+COUNTIF($N$14:N29,N30))</f>
        <v/>
      </c>
      <c r="K30" s="32" t="str">
        <f aca="false">IF(I30="","",IF(I30&gt;=Escala!$C$14,"Alta",IF(I30&gt;=Escala!$C$15,"Média","Baixa")))</f>
        <v/>
      </c>
      <c r="L30" s="33" t="str">
        <f aca="false">IF(F30=5,"Gravidade máxima","")</f>
        <v/>
      </c>
      <c r="N30" s="34" t="str">
        <f aca="false">IF(I30="","",I30*1000+F30*100+G30*10+H30)</f>
        <v/>
      </c>
    </row>
    <row r="31" customFormat="false" ht="30" hidden="false" customHeight="true" outlineLevel="0" collapsed="false">
      <c r="B31" s="29" t="s">
        <v>123</v>
      </c>
      <c r="C31" s="42"/>
      <c r="D31" s="42"/>
      <c r="E31" s="44"/>
      <c r="F31" s="44"/>
      <c r="G31" s="44"/>
      <c r="H31" s="44"/>
      <c r="I31" s="31" t="str">
        <f aca="false">IF(COUNT(F31:H31)&lt;3,"",F31*G31*H31)</f>
        <v/>
      </c>
      <c r="J31" s="31" t="str">
        <f aca="false">IF(N31="","",RANK(N31,$N$15:$N$34)+COUNTIF($N$14:N30,N31))</f>
        <v/>
      </c>
      <c r="K31" s="32" t="str">
        <f aca="false">IF(I31="","",IF(I31&gt;=Escala!$C$14,"Alta",IF(I31&gt;=Escala!$C$15,"Média","Baixa")))</f>
        <v/>
      </c>
      <c r="L31" s="33" t="str">
        <f aca="false">IF(F31=5,"Gravidade máxima","")</f>
        <v/>
      </c>
      <c r="N31" s="34" t="str">
        <f aca="false">IF(I31="","",I31*1000+F31*100+G31*10+H31)</f>
        <v/>
      </c>
    </row>
    <row r="32" customFormat="false" ht="30" hidden="false" customHeight="true" outlineLevel="0" collapsed="false">
      <c r="B32" s="29" t="s">
        <v>124</v>
      </c>
      <c r="C32" s="42"/>
      <c r="D32" s="42"/>
      <c r="E32" s="44"/>
      <c r="F32" s="44"/>
      <c r="G32" s="44"/>
      <c r="H32" s="44"/>
      <c r="I32" s="31" t="str">
        <f aca="false">IF(COUNT(F32:H32)&lt;3,"",F32*G32*H32)</f>
        <v/>
      </c>
      <c r="J32" s="31" t="str">
        <f aca="false">IF(N32="","",RANK(N32,$N$15:$N$34)+COUNTIF($N$14:N31,N32))</f>
        <v/>
      </c>
      <c r="K32" s="32" t="str">
        <f aca="false">IF(I32="","",IF(I32&gt;=Escala!$C$14,"Alta",IF(I32&gt;=Escala!$C$15,"Média","Baixa")))</f>
        <v/>
      </c>
      <c r="L32" s="33" t="str">
        <f aca="false">IF(F32=5,"Gravidade máxima","")</f>
        <v/>
      </c>
      <c r="N32" s="34" t="str">
        <f aca="false">IF(I32="","",I32*1000+F32*100+G32*10+H32)</f>
        <v/>
      </c>
    </row>
    <row r="33" customFormat="false" ht="30" hidden="false" customHeight="true" outlineLevel="0" collapsed="false">
      <c r="B33" s="29" t="s">
        <v>125</v>
      </c>
      <c r="C33" s="42"/>
      <c r="D33" s="42"/>
      <c r="E33" s="44"/>
      <c r="F33" s="44"/>
      <c r="G33" s="44"/>
      <c r="H33" s="44"/>
      <c r="I33" s="31" t="str">
        <f aca="false">IF(COUNT(F33:H33)&lt;3,"",F33*G33*H33)</f>
        <v/>
      </c>
      <c r="J33" s="31" t="str">
        <f aca="false">IF(N33="","",RANK(N33,$N$15:$N$34)+COUNTIF($N$14:N32,N33))</f>
        <v/>
      </c>
      <c r="K33" s="32" t="str">
        <f aca="false">IF(I33="","",IF(I33&gt;=Escala!$C$14,"Alta",IF(I33&gt;=Escala!$C$15,"Média","Baixa")))</f>
        <v/>
      </c>
      <c r="L33" s="33" t="str">
        <f aca="false">IF(F33=5,"Gravidade máxima","")</f>
        <v/>
      </c>
      <c r="N33" s="34" t="str">
        <f aca="false">IF(I33="","",I33*1000+F33*100+G33*10+H33)</f>
        <v/>
      </c>
    </row>
    <row r="34" customFormat="false" ht="30" hidden="false" customHeight="true" outlineLevel="0" collapsed="false">
      <c r="B34" s="29" t="s">
        <v>126</v>
      </c>
      <c r="C34" s="42"/>
      <c r="D34" s="42"/>
      <c r="E34" s="44"/>
      <c r="F34" s="44"/>
      <c r="G34" s="44"/>
      <c r="H34" s="44"/>
      <c r="I34" s="31" t="str">
        <f aca="false">IF(COUNT(F34:H34)&lt;3,"",F34*G34*H34)</f>
        <v/>
      </c>
      <c r="J34" s="31" t="str">
        <f aca="false">IF(N34="","",RANK(N34,$N$15:$N$34)+COUNTIF($N$14:N33,N34))</f>
        <v/>
      </c>
      <c r="K34" s="32" t="str">
        <f aca="false">IF(I34="","",IF(I34&gt;=Escala!$C$14,"Alta",IF(I34&gt;=Escala!$C$15,"Média","Baixa")))</f>
        <v/>
      </c>
      <c r="L34" s="33" t="str">
        <f aca="false">IF(F34=5,"Gravidade máxima","")</f>
        <v/>
      </c>
      <c r="N34" s="34" t="str">
        <f aca="false">IF(I34="","",I34*1000+F34*100+G34*10+H34)</f>
        <v/>
      </c>
    </row>
    <row r="36" customFormat="false" ht="21.75" hidden="false" customHeight="true" outlineLevel="0" collapsed="false">
      <c r="B36" s="15" t="s">
        <v>127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21.75" hidden="false" customHeight="true" outlineLevel="0" collapsed="false">
      <c r="B37" s="35" t="s">
        <v>128</v>
      </c>
      <c r="C37" s="35"/>
      <c r="D37" s="35"/>
      <c r="E37" s="35"/>
      <c r="F37" s="36" t="n">
        <f aca="false">COUNTA(C15:C34)</f>
        <v>8</v>
      </c>
      <c r="G37" s="36"/>
      <c r="H37" s="36"/>
      <c r="I37" s="36"/>
      <c r="J37" s="36"/>
      <c r="K37" s="36"/>
    </row>
    <row r="38" customFormat="false" ht="21.75" hidden="false" customHeight="true" outlineLevel="0" collapsed="false">
      <c r="B38" s="35" t="s">
        <v>129</v>
      </c>
      <c r="C38" s="35"/>
      <c r="D38" s="35"/>
      <c r="E38" s="35"/>
      <c r="F38" s="36" t="n">
        <f aca="false">COUNT(I15:I34)</f>
        <v>8</v>
      </c>
      <c r="G38" s="36"/>
      <c r="H38" s="36"/>
      <c r="I38" s="36"/>
      <c r="J38" s="36"/>
      <c r="K38" s="36"/>
    </row>
    <row r="39" customFormat="false" ht="21.75" hidden="false" customHeight="true" outlineLevel="0" collapsed="false">
      <c r="B39" s="35" t="s">
        <v>130</v>
      </c>
      <c r="C39" s="35"/>
      <c r="D39" s="35"/>
      <c r="E39" s="35"/>
      <c r="F39" s="36" t="n">
        <f aca="false">COUNTIF(K15:K34,"Alta")</f>
        <v>2</v>
      </c>
      <c r="G39" s="36"/>
      <c r="H39" s="36"/>
      <c r="I39" s="36"/>
      <c r="J39" s="36"/>
      <c r="K39" s="36"/>
    </row>
    <row r="40" customFormat="false" ht="21.75" hidden="false" customHeight="true" outlineLevel="0" collapsed="false">
      <c r="B40" s="35" t="s">
        <v>131</v>
      </c>
      <c r="C40" s="35"/>
      <c r="D40" s="35"/>
      <c r="E40" s="35"/>
      <c r="F40" s="36" t="n">
        <f aca="false">COUNTIF(K15:K34,"Média")</f>
        <v>3</v>
      </c>
      <c r="G40" s="36"/>
      <c r="H40" s="36"/>
      <c r="I40" s="36"/>
      <c r="J40" s="36"/>
      <c r="K40" s="36"/>
    </row>
    <row r="41" customFormat="false" ht="21.75" hidden="false" customHeight="true" outlineLevel="0" collapsed="false">
      <c r="B41" s="35" t="s">
        <v>132</v>
      </c>
      <c r="C41" s="35"/>
      <c r="D41" s="35"/>
      <c r="E41" s="35"/>
      <c r="F41" s="36" t="n">
        <f aca="false">COUNTIF(K15:K34,"Baixa")</f>
        <v>3</v>
      </c>
      <c r="G41" s="36"/>
      <c r="H41" s="36"/>
      <c r="I41" s="36"/>
      <c r="J41" s="36"/>
      <c r="K41" s="36"/>
    </row>
    <row r="42" customFormat="false" ht="21.75" hidden="false" customHeight="true" outlineLevel="0" collapsed="false">
      <c r="B42" s="35" t="s">
        <v>133</v>
      </c>
      <c r="C42" s="35"/>
      <c r="D42" s="35"/>
      <c r="E42" s="35"/>
      <c r="F42" s="36" t="n">
        <f aca="false">COUNTIF(F15:F34,5)</f>
        <v>2</v>
      </c>
      <c r="G42" s="36"/>
      <c r="H42" s="36"/>
      <c r="I42" s="36"/>
      <c r="J42" s="36"/>
      <c r="K42" s="36"/>
    </row>
    <row r="43" customFormat="false" ht="21.75" hidden="false" customHeight="true" outlineLevel="0" collapsed="false">
      <c r="B43" s="35" t="s">
        <v>134</v>
      </c>
      <c r="C43" s="35"/>
      <c r="D43" s="35"/>
      <c r="E43" s="35"/>
      <c r="F43" s="33" t="str">
        <f aca="false">IF(F37=0,"Liste os problemas",IF(F38&lt;F37,"Há problema sem as três notas","OK"))</f>
        <v>OK</v>
      </c>
      <c r="G43" s="33"/>
      <c r="H43" s="33"/>
      <c r="I43" s="33"/>
      <c r="J43" s="33"/>
      <c r="K43" s="33"/>
    </row>
    <row r="44" customFormat="false" ht="21.75" hidden="false" customHeight="true" outlineLevel="0" collapsed="false">
      <c r="B44" s="35" t="s">
        <v>135</v>
      </c>
      <c r="C44" s="35"/>
      <c r="D44" s="35"/>
      <c r="E44" s="35"/>
      <c r="F44" s="33" t="str">
        <f aca="false">IF(F38&lt;4,"OK",IF(F39&gt;F38/2,"Mais da metade em prioridade alta: revise as notas",IF(MAX(I15:I34)=MIN(I15:I34),"Todas as pontuações são iguais: revise as notas","OK")))</f>
        <v>OK</v>
      </c>
      <c r="G44" s="33"/>
      <c r="H44" s="33"/>
      <c r="I44" s="33"/>
      <c r="J44" s="33"/>
      <c r="K44" s="33"/>
    </row>
    <row r="45" customFormat="false" ht="21.75" hidden="false" customHeight="true" outlineLevel="0" collapsed="false">
      <c r="B45" s="35" t="s">
        <v>136</v>
      </c>
      <c r="C45" s="35"/>
      <c r="D45" s="35"/>
      <c r="E45" s="35"/>
      <c r="F45" s="37" t="n">
        <f aca="false">COUNTA(D4,I4,D5,I5,D6,I6,D7,D8,I8,D9)</f>
        <v>10</v>
      </c>
      <c r="G45" s="37"/>
      <c r="H45" s="37"/>
      <c r="I45" s="37"/>
      <c r="J45" s="37"/>
      <c r="K45" s="37"/>
    </row>
    <row r="47" customFormat="false" ht="21.75" hidden="false" customHeight="true" outlineLevel="0" collapsed="false">
      <c r="B47" s="15" t="s">
        <v>241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21.75" hidden="false" customHeight="true" outlineLevel="0" collapsed="false">
      <c r="B48" s="31" t="s">
        <v>83</v>
      </c>
      <c r="C48" s="36" t="s">
        <v>84</v>
      </c>
      <c r="D48" s="36"/>
      <c r="E48" s="31" t="s">
        <v>242</v>
      </c>
      <c r="F48" s="31"/>
      <c r="G48" s="31"/>
      <c r="H48" s="31"/>
      <c r="I48" s="31"/>
      <c r="J48" s="36" t="s">
        <v>72</v>
      </c>
      <c r="K48" s="36"/>
      <c r="L48" s="31" t="s">
        <v>186</v>
      </c>
    </row>
    <row r="49" customFormat="false" ht="33" hidden="false" customHeight="true" outlineLevel="0" collapsed="false">
      <c r="B49" s="29" t="s">
        <v>109</v>
      </c>
      <c r="C49" s="7" t="s">
        <v>243</v>
      </c>
      <c r="D49" s="7"/>
      <c r="E49" s="7" t="s">
        <v>244</v>
      </c>
      <c r="F49" s="7"/>
      <c r="G49" s="7"/>
      <c r="H49" s="7"/>
      <c r="I49" s="7"/>
      <c r="J49" s="7" t="s">
        <v>190</v>
      </c>
      <c r="K49" s="7"/>
      <c r="L49" s="48" t="n">
        <v>46297</v>
      </c>
    </row>
    <row r="50" customFormat="false" ht="33" hidden="false" customHeight="true" outlineLevel="0" collapsed="false">
      <c r="B50" s="29" t="s">
        <v>108</v>
      </c>
      <c r="C50" s="7" t="s">
        <v>245</v>
      </c>
      <c r="D50" s="7"/>
      <c r="E50" s="7" t="s">
        <v>246</v>
      </c>
      <c r="F50" s="7"/>
      <c r="G50" s="7"/>
      <c r="H50" s="7"/>
      <c r="I50" s="7"/>
      <c r="J50" s="7" t="s">
        <v>190</v>
      </c>
      <c r="K50" s="7"/>
      <c r="L50" s="48" t="n">
        <v>46304</v>
      </c>
    </row>
    <row r="51" customFormat="false" ht="33" hidden="false" customHeight="true" outlineLevel="0" collapsed="false">
      <c r="B51" s="29" t="s">
        <v>112</v>
      </c>
      <c r="C51" s="7" t="s">
        <v>238</v>
      </c>
      <c r="D51" s="7"/>
      <c r="E51" s="7" t="s">
        <v>247</v>
      </c>
      <c r="F51" s="7"/>
      <c r="G51" s="7"/>
      <c r="H51" s="7"/>
      <c r="I51" s="7"/>
      <c r="J51" s="7" t="s">
        <v>190</v>
      </c>
      <c r="K51" s="7"/>
      <c r="L51" s="48" t="n">
        <v>46304</v>
      </c>
    </row>
    <row r="52" customFormat="false" ht="33" hidden="false" customHeight="true" outlineLevel="0" collapsed="false">
      <c r="B52" s="29" t="s">
        <v>107</v>
      </c>
      <c r="C52" s="7" t="s">
        <v>248</v>
      </c>
      <c r="D52" s="7"/>
      <c r="E52" s="7" t="s">
        <v>249</v>
      </c>
      <c r="F52" s="7"/>
      <c r="G52" s="7"/>
      <c r="H52" s="7"/>
      <c r="I52" s="7"/>
      <c r="J52" s="7" t="s">
        <v>250</v>
      </c>
      <c r="K52" s="7"/>
      <c r="L52" s="48" t="n">
        <v>46356</v>
      </c>
    </row>
  </sheetData>
  <mergeCells count="82">
    <mergeCell ref="B1:L1"/>
    <mergeCell ref="B2:L2"/>
    <mergeCell ref="B4:C4"/>
    <mergeCell ref="D4:E4"/>
    <mergeCell ref="F4:H4"/>
    <mergeCell ref="I4:L4"/>
    <mergeCell ref="B5:C5"/>
    <mergeCell ref="D5:E5"/>
    <mergeCell ref="F5:H5"/>
    <mergeCell ref="I5:L5"/>
    <mergeCell ref="B6:C6"/>
    <mergeCell ref="D6:E6"/>
    <mergeCell ref="F6:H6"/>
    <mergeCell ref="I6:L6"/>
    <mergeCell ref="B7:C7"/>
    <mergeCell ref="D7:L7"/>
    <mergeCell ref="B8:C8"/>
    <mergeCell ref="D8:E8"/>
    <mergeCell ref="F8:H8"/>
    <mergeCell ref="I8:L8"/>
    <mergeCell ref="B9:C9"/>
    <mergeCell ref="D9:L9"/>
    <mergeCell ref="B11:E11"/>
    <mergeCell ref="I11:L11"/>
    <mergeCell ref="C12:D12"/>
    <mergeCell ref="C13:D13"/>
    <mergeCell ref="B14:L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B36:L36"/>
    <mergeCell ref="B37:E37"/>
    <mergeCell ref="F37:K37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K42"/>
    <mergeCell ref="B43:E43"/>
    <mergeCell ref="F43:K43"/>
    <mergeCell ref="B44:E44"/>
    <mergeCell ref="F44:K44"/>
    <mergeCell ref="B45:E45"/>
    <mergeCell ref="F45:K45"/>
    <mergeCell ref="B47:L47"/>
    <mergeCell ref="C48:D48"/>
    <mergeCell ref="E48:I48"/>
    <mergeCell ref="J48:K48"/>
    <mergeCell ref="C49:D49"/>
    <mergeCell ref="E49:I49"/>
    <mergeCell ref="J49:K49"/>
    <mergeCell ref="C50:D50"/>
    <mergeCell ref="E50:I50"/>
    <mergeCell ref="J50:K50"/>
    <mergeCell ref="C51:D51"/>
    <mergeCell ref="E51:I51"/>
    <mergeCell ref="J51:K51"/>
    <mergeCell ref="C52:D52"/>
    <mergeCell ref="E52:I52"/>
    <mergeCell ref="J52:K52"/>
  </mergeCells>
  <conditionalFormatting sqref="K15:K34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L15:L34">
    <cfRule type="expression" priority="5" aboveAverage="0" equalAverage="0" bottom="0" percent="0" rank="0" text="" dxfId="0">
      <formula>LEN(L15)&gt;0</formula>
    </cfRule>
  </conditionalFormatting>
  <conditionalFormatting sqref="F43:K44">
    <cfRule type="cellIs" priority="6" operator="equal" aboveAverage="0" equalAverage="0" bottom="0" percent="0" rank="0" text="" dxfId="2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5" type="date">
      <formula1>36526</formula1>
      <formula2>0</formula2>
    </dataValidation>
    <dataValidation allowBlank="true" error="Escolha uma das opções da lista." errorStyle="stop" errorTitle="Valor inválido" operator="between" prompt="De onde veio o problema" promptTitle="Opções" showDropDown="false" showErrorMessage="true" showInputMessage="true" sqref="E15:E34" type="list">
      <formula1>"Auditoria,Reclamação,Indicador,SWOT,Reunião,Outro"</formula1>
      <formula2>0</formula2>
    </dataValidation>
    <dataValidation allowBlank="true" error="Digite um número inteiro de 1 a 5." errorStyle="stop" errorTitle="Valor inválido" operator="between" prompt="Veja a descrição de cada nota na aba Escala." promptTitle="Nota de 1 a 5" showDropDown="false" showErrorMessage="true" showInputMessage="true" sqref="F15:H34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8" min="6" style="0" width="9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2"/>
    <col collapsed="false" customWidth="true" hidden="false" outlineLevel="0" max="14" min="14" style="0" width="1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222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71</v>
      </c>
      <c r="C4" s="4"/>
      <c r="D4" s="42" t="s">
        <v>251</v>
      </c>
      <c r="E4" s="42"/>
      <c r="F4" s="4" t="s">
        <v>72</v>
      </c>
      <c r="G4" s="4"/>
      <c r="H4" s="4"/>
      <c r="I4" s="42" t="s">
        <v>252</v>
      </c>
      <c r="J4" s="42"/>
      <c r="K4" s="42"/>
      <c r="L4" s="42"/>
    </row>
    <row r="5" customFormat="false" ht="21.75" hidden="false" customHeight="true" outlineLevel="0" collapsed="false">
      <c r="B5" s="4" t="s">
        <v>73</v>
      </c>
      <c r="C5" s="4"/>
      <c r="D5" s="42" t="s">
        <v>253</v>
      </c>
      <c r="E5" s="42"/>
      <c r="F5" s="4" t="s">
        <v>74</v>
      </c>
      <c r="G5" s="4"/>
      <c r="H5" s="4"/>
      <c r="I5" s="43" t="n">
        <v>46294</v>
      </c>
      <c r="J5" s="43"/>
      <c r="K5" s="43"/>
      <c r="L5" s="43"/>
    </row>
    <row r="6" customFormat="false" ht="21.75" hidden="false" customHeight="true" outlineLevel="0" collapsed="false">
      <c r="B6" s="4" t="s">
        <v>75</v>
      </c>
      <c r="C6" s="4"/>
      <c r="D6" s="42" t="s">
        <v>254</v>
      </c>
      <c r="E6" s="42"/>
      <c r="F6" s="4" t="s">
        <v>76</v>
      </c>
      <c r="G6" s="4"/>
      <c r="H6" s="4"/>
      <c r="I6" s="42" t="s">
        <v>226</v>
      </c>
      <c r="J6" s="42"/>
      <c r="K6" s="42"/>
      <c r="L6" s="42"/>
    </row>
    <row r="7" customFormat="false" ht="30" hidden="false" customHeight="true" outlineLevel="0" collapsed="false">
      <c r="B7" s="4" t="s">
        <v>77</v>
      </c>
      <c r="C7" s="4"/>
      <c r="D7" s="42" t="s">
        <v>255</v>
      </c>
      <c r="E7" s="42"/>
      <c r="F7" s="42"/>
      <c r="G7" s="42"/>
      <c r="H7" s="42"/>
      <c r="I7" s="42"/>
      <c r="J7" s="42"/>
      <c r="K7" s="42"/>
      <c r="L7" s="42"/>
    </row>
    <row r="8" customFormat="false" ht="30" hidden="false" customHeight="true" outlineLevel="0" collapsed="false">
      <c r="B8" s="4" t="s">
        <v>78</v>
      </c>
      <c r="C8" s="4"/>
      <c r="D8" s="42" t="s">
        <v>256</v>
      </c>
      <c r="E8" s="42"/>
      <c r="F8" s="4" t="s">
        <v>79</v>
      </c>
      <c r="G8" s="4"/>
      <c r="H8" s="4"/>
      <c r="I8" s="42" t="s">
        <v>257</v>
      </c>
      <c r="J8" s="42"/>
      <c r="K8" s="42"/>
      <c r="L8" s="42"/>
    </row>
    <row r="9" customFormat="false" ht="30" hidden="false" customHeight="true" outlineLevel="0" collapsed="false">
      <c r="B9" s="4" t="s">
        <v>80</v>
      </c>
      <c r="C9" s="4"/>
      <c r="D9" s="42" t="s">
        <v>258</v>
      </c>
      <c r="E9" s="42"/>
      <c r="F9" s="42"/>
      <c r="G9" s="42"/>
      <c r="H9" s="42"/>
      <c r="I9" s="42"/>
      <c r="J9" s="42"/>
      <c r="K9" s="42"/>
      <c r="L9" s="42"/>
    </row>
    <row r="11" customFormat="false" ht="33.75" hidden="false" customHeight="true" outlineLevel="0" collapsed="false">
      <c r="B11" s="15" t="s">
        <v>81</v>
      </c>
      <c r="C11" s="15"/>
      <c r="D11" s="15"/>
      <c r="E11" s="15"/>
      <c r="F11" s="16" t="s">
        <v>14</v>
      </c>
      <c r="G11" s="17" t="s">
        <v>16</v>
      </c>
      <c r="H11" s="18" t="s">
        <v>18</v>
      </c>
      <c r="I11" s="15" t="s">
        <v>82</v>
      </c>
      <c r="J11" s="15"/>
      <c r="K11" s="15"/>
      <c r="L11" s="15"/>
    </row>
    <row r="12" customFormat="false" ht="21.75" hidden="false" customHeight="true" outlineLevel="0" collapsed="false">
      <c r="B12" s="19" t="s">
        <v>83</v>
      </c>
      <c r="C12" s="19" t="s">
        <v>84</v>
      </c>
      <c r="D12" s="19"/>
      <c r="E12" s="19" t="s">
        <v>85</v>
      </c>
      <c r="F12" s="20" t="s">
        <v>86</v>
      </c>
      <c r="G12" s="21" t="s">
        <v>87</v>
      </c>
      <c r="H12" s="22" t="s">
        <v>88</v>
      </c>
      <c r="I12" s="19" t="s">
        <v>20</v>
      </c>
      <c r="J12" s="19" t="s">
        <v>89</v>
      </c>
      <c r="K12" s="19" t="s">
        <v>90</v>
      </c>
      <c r="L12" s="19" t="s">
        <v>91</v>
      </c>
    </row>
    <row r="13" customFormat="false" ht="30" hidden="false" customHeight="true" outlineLevel="0" collapsed="false">
      <c r="B13" s="23"/>
      <c r="C13" s="23" t="s">
        <v>92</v>
      </c>
      <c r="D13" s="23"/>
      <c r="E13" s="23" t="s">
        <v>93</v>
      </c>
      <c r="F13" s="24" t="s">
        <v>94</v>
      </c>
      <c r="G13" s="25" t="s">
        <v>95</v>
      </c>
      <c r="H13" s="26" t="s">
        <v>96</v>
      </c>
      <c r="I13" s="23" t="s">
        <v>97</v>
      </c>
      <c r="J13" s="23" t="s">
        <v>98</v>
      </c>
      <c r="K13" s="23" t="s">
        <v>99</v>
      </c>
      <c r="L13" s="23" t="s">
        <v>100</v>
      </c>
    </row>
    <row r="14" customFormat="false" ht="30" hidden="false" customHeight="true" outlineLevel="0" collapsed="false">
      <c r="B14" s="27" t="s">
        <v>231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N14" s="28" t="s">
        <v>106</v>
      </c>
    </row>
    <row r="15" customFormat="false" ht="30" hidden="false" customHeight="true" outlineLevel="0" collapsed="false">
      <c r="B15" s="29" t="s">
        <v>107</v>
      </c>
      <c r="C15" s="42" t="s">
        <v>259</v>
      </c>
      <c r="D15" s="42"/>
      <c r="E15" s="44" t="s">
        <v>260</v>
      </c>
      <c r="F15" s="45" t="n">
        <v>5</v>
      </c>
      <c r="G15" s="46" t="n">
        <v>3</v>
      </c>
      <c r="H15" s="47" t="n">
        <v>4</v>
      </c>
      <c r="I15" s="31" t="n">
        <f aca="false">IF(COUNT(F15:H15)&lt;3,"",F15*G15*H15)</f>
        <v>60</v>
      </c>
      <c r="J15" s="31" t="n">
        <f aca="false">IF(N15="","",RANK(N15,$N$15:$N$34)+COUNTIF($N$14:N14,N15))</f>
        <v>2</v>
      </c>
      <c r="K15" s="32" t="str">
        <f aca="false">IF(I15="","",IF(I15&gt;=Escala!$C$14,"Alta",IF(I15&gt;=Escala!$C$15,"Média","Baixa")))</f>
        <v>Média</v>
      </c>
      <c r="L15" s="33" t="str">
        <f aca="false">IF(F15=5,"Gravidade máxima","")</f>
        <v>Gravidade máxima</v>
      </c>
      <c r="N15" s="34" t="n">
        <f aca="false">IF(I15="","",I15*1000+F15*100+G15*10+H15)</f>
        <v>60534</v>
      </c>
    </row>
    <row r="16" customFormat="false" ht="30" hidden="false" customHeight="true" outlineLevel="0" collapsed="false">
      <c r="B16" s="29" t="s">
        <v>108</v>
      </c>
      <c r="C16" s="42" t="s">
        <v>261</v>
      </c>
      <c r="D16" s="42"/>
      <c r="E16" s="44" t="s">
        <v>233</v>
      </c>
      <c r="F16" s="45" t="n">
        <v>3</v>
      </c>
      <c r="G16" s="46" t="n">
        <v>3</v>
      </c>
      <c r="H16" s="47" t="n">
        <v>3</v>
      </c>
      <c r="I16" s="31" t="n">
        <f aca="false">IF(COUNT(F16:H16)&lt;3,"",F16*G16*H16)</f>
        <v>27</v>
      </c>
      <c r="J16" s="31" t="n">
        <f aca="false">IF(N16="","",RANK(N16,$N$15:$N$34)+COUNTIF($N$14:N15,N16))</f>
        <v>5</v>
      </c>
      <c r="K16" s="32" t="str">
        <f aca="false">IF(I16="","",IF(I16&gt;=Escala!$C$14,"Alta",IF(I16&gt;=Escala!$C$15,"Média","Baixa")))</f>
        <v>Média</v>
      </c>
      <c r="L16" s="33" t="str">
        <f aca="false">IF(F16=5,"Gravidade máxima","")</f>
        <v/>
      </c>
      <c r="N16" s="34" t="n">
        <f aca="false">IF(I16="","",I16*1000+F16*100+G16*10+H16)</f>
        <v>27333</v>
      </c>
    </row>
    <row r="17" customFormat="false" ht="30" hidden="false" customHeight="true" outlineLevel="0" collapsed="false">
      <c r="B17" s="29" t="s">
        <v>109</v>
      </c>
      <c r="C17" s="42" t="s">
        <v>262</v>
      </c>
      <c r="D17" s="42"/>
      <c r="E17" s="44" t="s">
        <v>233</v>
      </c>
      <c r="F17" s="45" t="n">
        <v>4</v>
      </c>
      <c r="G17" s="46" t="n">
        <v>4</v>
      </c>
      <c r="H17" s="47" t="n">
        <v>3</v>
      </c>
      <c r="I17" s="31" t="n">
        <f aca="false">IF(COUNT(F17:H17)&lt;3,"",F17*G17*H17)</f>
        <v>48</v>
      </c>
      <c r="J17" s="31" t="n">
        <f aca="false">IF(N17="","",RANK(N17,$N$15:$N$34)+COUNTIF($N$14:N16,N17))</f>
        <v>3</v>
      </c>
      <c r="K17" s="32" t="str">
        <f aca="false">IF(I17="","",IF(I17&gt;=Escala!$C$14,"Alta",IF(I17&gt;=Escala!$C$15,"Média","Baixa")))</f>
        <v>Média</v>
      </c>
      <c r="L17" s="33" t="str">
        <f aca="false">IF(F17=5,"Gravidade máxima","")</f>
        <v/>
      </c>
      <c r="N17" s="34" t="n">
        <f aca="false">IF(I17="","",I17*1000+F17*100+G17*10+H17)</f>
        <v>48443</v>
      </c>
    </row>
    <row r="18" customFormat="false" ht="30" hidden="false" customHeight="true" outlineLevel="0" collapsed="false">
      <c r="B18" s="29" t="s">
        <v>110</v>
      </c>
      <c r="C18" s="42" t="s">
        <v>263</v>
      </c>
      <c r="D18" s="42"/>
      <c r="E18" s="44" t="s">
        <v>103</v>
      </c>
      <c r="F18" s="45" t="n">
        <v>4</v>
      </c>
      <c r="G18" s="46" t="n">
        <v>5</v>
      </c>
      <c r="H18" s="47" t="n">
        <v>2</v>
      </c>
      <c r="I18" s="31" t="n">
        <f aca="false">IF(COUNT(F18:H18)&lt;3,"",F18*G18*H18)</f>
        <v>40</v>
      </c>
      <c r="J18" s="31" t="n">
        <f aca="false">IF(N18="","",RANK(N18,$N$15:$N$34)+COUNTIF($N$14:N17,N18))</f>
        <v>4</v>
      </c>
      <c r="K18" s="32" t="str">
        <f aca="false">IF(I18="","",IF(I18&gt;=Escala!$C$14,"Alta",IF(I18&gt;=Escala!$C$15,"Média","Baixa")))</f>
        <v>Média</v>
      </c>
      <c r="L18" s="33" t="str">
        <f aca="false">IF(F18=5,"Gravidade máxima","")</f>
        <v/>
      </c>
      <c r="N18" s="34" t="n">
        <f aca="false">IF(I18="","",I18*1000+F18*100+G18*10+H18)</f>
        <v>40452</v>
      </c>
    </row>
    <row r="19" customFormat="false" ht="30" hidden="false" customHeight="true" outlineLevel="0" collapsed="false">
      <c r="B19" s="29" t="s">
        <v>111</v>
      </c>
      <c r="C19" s="42" t="s">
        <v>264</v>
      </c>
      <c r="D19" s="42"/>
      <c r="E19" s="44" t="s">
        <v>265</v>
      </c>
      <c r="F19" s="45" t="n">
        <v>2</v>
      </c>
      <c r="G19" s="46" t="n">
        <v>2</v>
      </c>
      <c r="H19" s="47" t="n">
        <v>3</v>
      </c>
      <c r="I19" s="31" t="n">
        <f aca="false">IF(COUNT(F19:H19)&lt;3,"",F19*G19*H19)</f>
        <v>12</v>
      </c>
      <c r="J19" s="31" t="n">
        <f aca="false">IF(N19="","",RANK(N19,$N$15:$N$34)+COUNTIF($N$14:N18,N19))</f>
        <v>7</v>
      </c>
      <c r="K19" s="32" t="str">
        <f aca="false">IF(I19="","",IF(I19&gt;=Escala!$C$14,"Alta",IF(I19&gt;=Escala!$C$15,"Média","Baixa")))</f>
        <v>Baixa</v>
      </c>
      <c r="L19" s="33" t="str">
        <f aca="false">IF(F19=5,"Gravidade máxima","")</f>
        <v/>
      </c>
      <c r="N19" s="34" t="n">
        <f aca="false">IF(I19="","",I19*1000+F19*100+G19*10+H19)</f>
        <v>12223</v>
      </c>
    </row>
    <row r="20" customFormat="false" ht="30" hidden="false" customHeight="true" outlineLevel="0" collapsed="false">
      <c r="B20" s="29" t="s">
        <v>112</v>
      </c>
      <c r="C20" s="42" t="s">
        <v>266</v>
      </c>
      <c r="D20" s="42"/>
      <c r="E20" s="44" t="s">
        <v>233</v>
      </c>
      <c r="F20" s="45" t="n">
        <v>4</v>
      </c>
      <c r="G20" s="46" t="n">
        <v>4</v>
      </c>
      <c r="H20" s="47" t="n">
        <v>5</v>
      </c>
      <c r="I20" s="31" t="n">
        <f aca="false">IF(COUNT(F20:H20)&lt;3,"",F20*G20*H20)</f>
        <v>80</v>
      </c>
      <c r="J20" s="31" t="n">
        <f aca="false">IF(N20="","",RANK(N20,$N$15:$N$34)+COUNTIF($N$14:N19,N20))</f>
        <v>1</v>
      </c>
      <c r="K20" s="32" t="str">
        <f aca="false">IF(I20="","",IF(I20&gt;=Escala!$C$14,"Alta",IF(I20&gt;=Escala!$C$15,"Média","Baixa")))</f>
        <v>Alta</v>
      </c>
      <c r="L20" s="33" t="str">
        <f aca="false">IF(F20=5,"Gravidade máxima","")</f>
        <v/>
      </c>
      <c r="N20" s="34" t="n">
        <f aca="false">IF(I20="","",I20*1000+F20*100+G20*10+H20)</f>
        <v>80445</v>
      </c>
    </row>
    <row r="21" customFormat="false" ht="30" hidden="false" customHeight="true" outlineLevel="0" collapsed="false">
      <c r="B21" s="29" t="s">
        <v>113</v>
      </c>
      <c r="C21" s="42" t="s">
        <v>267</v>
      </c>
      <c r="D21" s="42"/>
      <c r="E21" s="44" t="s">
        <v>265</v>
      </c>
      <c r="F21" s="45" t="n">
        <v>3</v>
      </c>
      <c r="G21" s="46" t="n">
        <v>2</v>
      </c>
      <c r="H21" s="47" t="n">
        <v>2</v>
      </c>
      <c r="I21" s="31" t="n">
        <f aca="false">IF(COUNT(F21:H21)&lt;3,"",F21*G21*H21)</f>
        <v>12</v>
      </c>
      <c r="J21" s="31" t="n">
        <f aca="false">IF(N21="","",RANK(N21,$N$15:$N$34)+COUNTIF($N$14:N20,N21))</f>
        <v>6</v>
      </c>
      <c r="K21" s="32" t="str">
        <f aca="false">IF(I21="","",IF(I21&gt;=Escala!$C$14,"Alta",IF(I21&gt;=Escala!$C$15,"Média","Baixa")))</f>
        <v>Baixa</v>
      </c>
      <c r="L21" s="33" t="str">
        <f aca="false">IF(F21=5,"Gravidade máxima","")</f>
        <v/>
      </c>
      <c r="N21" s="34" t="n">
        <f aca="false">IF(I21="","",I21*1000+F21*100+G21*10+H21)</f>
        <v>12322</v>
      </c>
    </row>
    <row r="22" customFormat="false" ht="30" hidden="false" customHeight="true" outlineLevel="0" collapsed="false">
      <c r="B22" s="29" t="s">
        <v>114</v>
      </c>
      <c r="C22" s="42"/>
      <c r="D22" s="42"/>
      <c r="E22" s="44"/>
      <c r="F22" s="44"/>
      <c r="G22" s="44"/>
      <c r="H22" s="44"/>
      <c r="I22" s="31" t="str">
        <f aca="false">IF(COUNT(F22:H22)&lt;3,"",F22*G22*H22)</f>
        <v/>
      </c>
      <c r="J22" s="31" t="str">
        <f aca="false">IF(N22="","",RANK(N22,$N$15:$N$34)+COUNTIF($N$14:N21,N22))</f>
        <v/>
      </c>
      <c r="K22" s="32" t="str">
        <f aca="false">IF(I22="","",IF(I22&gt;=Escala!$C$14,"Alta",IF(I22&gt;=Escala!$C$15,"Média","Baixa")))</f>
        <v/>
      </c>
      <c r="L22" s="33" t="str">
        <f aca="false">IF(F22=5,"Gravidade máxima","")</f>
        <v/>
      </c>
      <c r="N22" s="34" t="str">
        <f aca="false">IF(I22="","",I22*1000+F22*100+G22*10+H22)</f>
        <v/>
      </c>
    </row>
    <row r="23" customFormat="false" ht="30" hidden="false" customHeight="true" outlineLevel="0" collapsed="false">
      <c r="B23" s="29" t="s">
        <v>115</v>
      </c>
      <c r="C23" s="42"/>
      <c r="D23" s="42"/>
      <c r="E23" s="44"/>
      <c r="F23" s="44"/>
      <c r="G23" s="44"/>
      <c r="H23" s="44"/>
      <c r="I23" s="31" t="str">
        <f aca="false">IF(COUNT(F23:H23)&lt;3,"",F23*G23*H23)</f>
        <v/>
      </c>
      <c r="J23" s="31" t="str">
        <f aca="false">IF(N23="","",RANK(N23,$N$15:$N$34)+COUNTIF($N$14:N22,N23))</f>
        <v/>
      </c>
      <c r="K23" s="32" t="str">
        <f aca="false">IF(I23="","",IF(I23&gt;=Escala!$C$14,"Alta",IF(I23&gt;=Escala!$C$15,"Média","Baixa")))</f>
        <v/>
      </c>
      <c r="L23" s="33" t="str">
        <f aca="false">IF(F23=5,"Gravidade máxima","")</f>
        <v/>
      </c>
      <c r="N23" s="34" t="str">
        <f aca="false">IF(I23="","",I23*1000+F23*100+G23*10+H23)</f>
        <v/>
      </c>
    </row>
    <row r="24" customFormat="false" ht="30" hidden="false" customHeight="true" outlineLevel="0" collapsed="false">
      <c r="B24" s="29" t="s">
        <v>116</v>
      </c>
      <c r="C24" s="42"/>
      <c r="D24" s="42"/>
      <c r="E24" s="44"/>
      <c r="F24" s="44"/>
      <c r="G24" s="44"/>
      <c r="H24" s="44"/>
      <c r="I24" s="31" t="str">
        <f aca="false">IF(COUNT(F24:H24)&lt;3,"",F24*G24*H24)</f>
        <v/>
      </c>
      <c r="J24" s="31" t="str">
        <f aca="false">IF(N24="","",RANK(N24,$N$15:$N$34)+COUNTIF($N$14:N23,N24))</f>
        <v/>
      </c>
      <c r="K24" s="32" t="str">
        <f aca="false">IF(I24="","",IF(I24&gt;=Escala!$C$14,"Alta",IF(I24&gt;=Escala!$C$15,"Média","Baixa")))</f>
        <v/>
      </c>
      <c r="L24" s="33" t="str">
        <f aca="false">IF(F24=5,"Gravidade máxima","")</f>
        <v/>
      </c>
      <c r="N24" s="34" t="str">
        <f aca="false">IF(I24="","",I24*1000+F24*100+G24*10+H24)</f>
        <v/>
      </c>
    </row>
    <row r="25" customFormat="false" ht="30" hidden="false" customHeight="true" outlineLevel="0" collapsed="false">
      <c r="B25" s="29" t="s">
        <v>117</v>
      </c>
      <c r="C25" s="42"/>
      <c r="D25" s="42"/>
      <c r="E25" s="44"/>
      <c r="F25" s="44"/>
      <c r="G25" s="44"/>
      <c r="H25" s="44"/>
      <c r="I25" s="31" t="str">
        <f aca="false">IF(COUNT(F25:H25)&lt;3,"",F25*G25*H25)</f>
        <v/>
      </c>
      <c r="J25" s="31" t="str">
        <f aca="false">IF(N25="","",RANK(N25,$N$15:$N$34)+COUNTIF($N$14:N24,N25))</f>
        <v/>
      </c>
      <c r="K25" s="32" t="str">
        <f aca="false">IF(I25="","",IF(I25&gt;=Escala!$C$14,"Alta",IF(I25&gt;=Escala!$C$15,"Média","Baixa")))</f>
        <v/>
      </c>
      <c r="L25" s="33" t="str">
        <f aca="false">IF(F25=5,"Gravidade máxima","")</f>
        <v/>
      </c>
      <c r="N25" s="34" t="str">
        <f aca="false">IF(I25="","",I25*1000+F25*100+G25*10+H25)</f>
        <v/>
      </c>
    </row>
    <row r="26" customFormat="false" ht="30" hidden="false" customHeight="true" outlineLevel="0" collapsed="false">
      <c r="B26" s="29" t="s">
        <v>118</v>
      </c>
      <c r="C26" s="42"/>
      <c r="D26" s="42"/>
      <c r="E26" s="44"/>
      <c r="F26" s="44"/>
      <c r="G26" s="44"/>
      <c r="H26" s="44"/>
      <c r="I26" s="31" t="str">
        <f aca="false">IF(COUNT(F26:H26)&lt;3,"",F26*G26*H26)</f>
        <v/>
      </c>
      <c r="J26" s="31" t="str">
        <f aca="false">IF(N26="","",RANK(N26,$N$15:$N$34)+COUNTIF($N$14:N25,N26))</f>
        <v/>
      </c>
      <c r="K26" s="32" t="str">
        <f aca="false">IF(I26="","",IF(I26&gt;=Escala!$C$14,"Alta",IF(I26&gt;=Escala!$C$15,"Média","Baixa")))</f>
        <v/>
      </c>
      <c r="L26" s="33" t="str">
        <f aca="false">IF(F26=5,"Gravidade máxima","")</f>
        <v/>
      </c>
      <c r="N26" s="34" t="str">
        <f aca="false">IF(I26="","",I26*1000+F26*100+G26*10+H26)</f>
        <v/>
      </c>
    </row>
    <row r="27" customFormat="false" ht="30" hidden="false" customHeight="true" outlineLevel="0" collapsed="false">
      <c r="B27" s="29" t="s">
        <v>119</v>
      </c>
      <c r="C27" s="42"/>
      <c r="D27" s="42"/>
      <c r="E27" s="44"/>
      <c r="F27" s="44"/>
      <c r="G27" s="44"/>
      <c r="H27" s="44"/>
      <c r="I27" s="31" t="str">
        <f aca="false">IF(COUNT(F27:H27)&lt;3,"",F27*G27*H27)</f>
        <v/>
      </c>
      <c r="J27" s="31" t="str">
        <f aca="false">IF(N27="","",RANK(N27,$N$15:$N$34)+COUNTIF($N$14:N26,N27))</f>
        <v/>
      </c>
      <c r="K27" s="32" t="str">
        <f aca="false">IF(I27="","",IF(I27&gt;=Escala!$C$14,"Alta",IF(I27&gt;=Escala!$C$15,"Média","Baixa")))</f>
        <v/>
      </c>
      <c r="L27" s="33" t="str">
        <f aca="false">IF(F27=5,"Gravidade máxima","")</f>
        <v/>
      </c>
      <c r="N27" s="34" t="str">
        <f aca="false">IF(I27="","",I27*1000+F27*100+G27*10+H27)</f>
        <v/>
      </c>
    </row>
    <row r="28" customFormat="false" ht="30" hidden="false" customHeight="true" outlineLevel="0" collapsed="false">
      <c r="B28" s="29" t="s">
        <v>120</v>
      </c>
      <c r="C28" s="42"/>
      <c r="D28" s="42"/>
      <c r="E28" s="44"/>
      <c r="F28" s="44"/>
      <c r="G28" s="44"/>
      <c r="H28" s="44"/>
      <c r="I28" s="31" t="str">
        <f aca="false">IF(COUNT(F28:H28)&lt;3,"",F28*G28*H28)</f>
        <v/>
      </c>
      <c r="J28" s="31" t="str">
        <f aca="false">IF(N28="","",RANK(N28,$N$15:$N$34)+COUNTIF($N$14:N27,N28))</f>
        <v/>
      </c>
      <c r="K28" s="32" t="str">
        <f aca="false">IF(I28="","",IF(I28&gt;=Escala!$C$14,"Alta",IF(I28&gt;=Escala!$C$15,"Média","Baixa")))</f>
        <v/>
      </c>
      <c r="L28" s="33" t="str">
        <f aca="false">IF(F28=5,"Gravidade máxima","")</f>
        <v/>
      </c>
      <c r="N28" s="34" t="str">
        <f aca="false">IF(I28="","",I28*1000+F28*100+G28*10+H28)</f>
        <v/>
      </c>
    </row>
    <row r="29" customFormat="false" ht="30" hidden="false" customHeight="true" outlineLevel="0" collapsed="false">
      <c r="B29" s="29" t="s">
        <v>121</v>
      </c>
      <c r="C29" s="42"/>
      <c r="D29" s="42"/>
      <c r="E29" s="44"/>
      <c r="F29" s="44"/>
      <c r="G29" s="44"/>
      <c r="H29" s="44"/>
      <c r="I29" s="31" t="str">
        <f aca="false">IF(COUNT(F29:H29)&lt;3,"",F29*G29*H29)</f>
        <v/>
      </c>
      <c r="J29" s="31" t="str">
        <f aca="false">IF(N29="","",RANK(N29,$N$15:$N$34)+COUNTIF($N$14:N28,N29))</f>
        <v/>
      </c>
      <c r="K29" s="32" t="str">
        <f aca="false">IF(I29="","",IF(I29&gt;=Escala!$C$14,"Alta",IF(I29&gt;=Escala!$C$15,"Média","Baixa")))</f>
        <v/>
      </c>
      <c r="L29" s="33" t="str">
        <f aca="false">IF(F29=5,"Gravidade máxima","")</f>
        <v/>
      </c>
      <c r="N29" s="34" t="str">
        <f aca="false">IF(I29="","",I29*1000+F29*100+G29*10+H29)</f>
        <v/>
      </c>
    </row>
    <row r="30" customFormat="false" ht="30" hidden="false" customHeight="true" outlineLevel="0" collapsed="false">
      <c r="B30" s="29" t="s">
        <v>122</v>
      </c>
      <c r="C30" s="42"/>
      <c r="D30" s="42"/>
      <c r="E30" s="44"/>
      <c r="F30" s="44"/>
      <c r="G30" s="44"/>
      <c r="H30" s="44"/>
      <c r="I30" s="31" t="str">
        <f aca="false">IF(COUNT(F30:H30)&lt;3,"",F30*G30*H30)</f>
        <v/>
      </c>
      <c r="J30" s="31" t="str">
        <f aca="false">IF(N30="","",RANK(N30,$N$15:$N$34)+COUNTIF($N$14:N29,N30))</f>
        <v/>
      </c>
      <c r="K30" s="32" t="str">
        <f aca="false">IF(I30="","",IF(I30&gt;=Escala!$C$14,"Alta",IF(I30&gt;=Escala!$C$15,"Média","Baixa")))</f>
        <v/>
      </c>
      <c r="L30" s="33" t="str">
        <f aca="false">IF(F30=5,"Gravidade máxima","")</f>
        <v/>
      </c>
      <c r="N30" s="34" t="str">
        <f aca="false">IF(I30="","",I30*1000+F30*100+G30*10+H30)</f>
        <v/>
      </c>
    </row>
    <row r="31" customFormat="false" ht="30" hidden="false" customHeight="true" outlineLevel="0" collapsed="false">
      <c r="B31" s="29" t="s">
        <v>123</v>
      </c>
      <c r="C31" s="42"/>
      <c r="D31" s="42"/>
      <c r="E31" s="44"/>
      <c r="F31" s="44"/>
      <c r="G31" s="44"/>
      <c r="H31" s="44"/>
      <c r="I31" s="31" t="str">
        <f aca="false">IF(COUNT(F31:H31)&lt;3,"",F31*G31*H31)</f>
        <v/>
      </c>
      <c r="J31" s="31" t="str">
        <f aca="false">IF(N31="","",RANK(N31,$N$15:$N$34)+COUNTIF($N$14:N30,N31))</f>
        <v/>
      </c>
      <c r="K31" s="32" t="str">
        <f aca="false">IF(I31="","",IF(I31&gt;=Escala!$C$14,"Alta",IF(I31&gt;=Escala!$C$15,"Média","Baixa")))</f>
        <v/>
      </c>
      <c r="L31" s="33" t="str">
        <f aca="false">IF(F31=5,"Gravidade máxima","")</f>
        <v/>
      </c>
      <c r="N31" s="34" t="str">
        <f aca="false">IF(I31="","",I31*1000+F31*100+G31*10+H31)</f>
        <v/>
      </c>
    </row>
    <row r="32" customFormat="false" ht="30" hidden="false" customHeight="true" outlineLevel="0" collapsed="false">
      <c r="B32" s="29" t="s">
        <v>124</v>
      </c>
      <c r="C32" s="42"/>
      <c r="D32" s="42"/>
      <c r="E32" s="44"/>
      <c r="F32" s="44"/>
      <c r="G32" s="44"/>
      <c r="H32" s="44"/>
      <c r="I32" s="31" t="str">
        <f aca="false">IF(COUNT(F32:H32)&lt;3,"",F32*G32*H32)</f>
        <v/>
      </c>
      <c r="J32" s="31" t="str">
        <f aca="false">IF(N32="","",RANK(N32,$N$15:$N$34)+COUNTIF($N$14:N31,N32))</f>
        <v/>
      </c>
      <c r="K32" s="32" t="str">
        <f aca="false">IF(I32="","",IF(I32&gt;=Escala!$C$14,"Alta",IF(I32&gt;=Escala!$C$15,"Média","Baixa")))</f>
        <v/>
      </c>
      <c r="L32" s="33" t="str">
        <f aca="false">IF(F32=5,"Gravidade máxima","")</f>
        <v/>
      </c>
      <c r="N32" s="34" t="str">
        <f aca="false">IF(I32="","",I32*1000+F32*100+G32*10+H32)</f>
        <v/>
      </c>
    </row>
    <row r="33" customFormat="false" ht="30" hidden="false" customHeight="true" outlineLevel="0" collapsed="false">
      <c r="B33" s="29" t="s">
        <v>125</v>
      </c>
      <c r="C33" s="42"/>
      <c r="D33" s="42"/>
      <c r="E33" s="44"/>
      <c r="F33" s="44"/>
      <c r="G33" s="44"/>
      <c r="H33" s="44"/>
      <c r="I33" s="31" t="str">
        <f aca="false">IF(COUNT(F33:H33)&lt;3,"",F33*G33*H33)</f>
        <v/>
      </c>
      <c r="J33" s="31" t="str">
        <f aca="false">IF(N33="","",RANK(N33,$N$15:$N$34)+COUNTIF($N$14:N32,N33))</f>
        <v/>
      </c>
      <c r="K33" s="32" t="str">
        <f aca="false">IF(I33="","",IF(I33&gt;=Escala!$C$14,"Alta",IF(I33&gt;=Escala!$C$15,"Média","Baixa")))</f>
        <v/>
      </c>
      <c r="L33" s="33" t="str">
        <f aca="false">IF(F33=5,"Gravidade máxima","")</f>
        <v/>
      </c>
      <c r="N33" s="34" t="str">
        <f aca="false">IF(I33="","",I33*1000+F33*100+G33*10+H33)</f>
        <v/>
      </c>
    </row>
    <row r="34" customFormat="false" ht="30" hidden="false" customHeight="true" outlineLevel="0" collapsed="false">
      <c r="B34" s="29" t="s">
        <v>126</v>
      </c>
      <c r="C34" s="42"/>
      <c r="D34" s="42"/>
      <c r="E34" s="44"/>
      <c r="F34" s="44"/>
      <c r="G34" s="44"/>
      <c r="H34" s="44"/>
      <c r="I34" s="31" t="str">
        <f aca="false">IF(COUNT(F34:H34)&lt;3,"",F34*G34*H34)</f>
        <v/>
      </c>
      <c r="J34" s="31" t="str">
        <f aca="false">IF(N34="","",RANK(N34,$N$15:$N$34)+COUNTIF($N$14:N33,N34))</f>
        <v/>
      </c>
      <c r="K34" s="32" t="str">
        <f aca="false">IF(I34="","",IF(I34&gt;=Escala!$C$14,"Alta",IF(I34&gt;=Escala!$C$15,"Média","Baixa")))</f>
        <v/>
      </c>
      <c r="L34" s="33" t="str">
        <f aca="false">IF(F34=5,"Gravidade máxima","")</f>
        <v/>
      </c>
      <c r="N34" s="34" t="str">
        <f aca="false">IF(I34="","",I34*1000+F34*100+G34*10+H34)</f>
        <v/>
      </c>
    </row>
    <row r="36" customFormat="false" ht="21.75" hidden="false" customHeight="true" outlineLevel="0" collapsed="false">
      <c r="B36" s="15" t="s">
        <v>127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21.75" hidden="false" customHeight="true" outlineLevel="0" collapsed="false">
      <c r="B37" s="35" t="s">
        <v>128</v>
      </c>
      <c r="C37" s="35"/>
      <c r="D37" s="35"/>
      <c r="E37" s="35"/>
      <c r="F37" s="36" t="n">
        <f aca="false">COUNTA(C15:C34)</f>
        <v>7</v>
      </c>
      <c r="G37" s="36"/>
      <c r="H37" s="36"/>
      <c r="I37" s="36"/>
      <c r="J37" s="36"/>
      <c r="K37" s="36"/>
    </row>
    <row r="38" customFormat="false" ht="21.75" hidden="false" customHeight="true" outlineLevel="0" collapsed="false">
      <c r="B38" s="35" t="s">
        <v>129</v>
      </c>
      <c r="C38" s="35"/>
      <c r="D38" s="35"/>
      <c r="E38" s="35"/>
      <c r="F38" s="36" t="n">
        <f aca="false">COUNT(I15:I34)</f>
        <v>7</v>
      </c>
      <c r="G38" s="36"/>
      <c r="H38" s="36"/>
      <c r="I38" s="36"/>
      <c r="J38" s="36"/>
      <c r="K38" s="36"/>
    </row>
    <row r="39" customFormat="false" ht="21.75" hidden="false" customHeight="true" outlineLevel="0" collapsed="false">
      <c r="B39" s="35" t="s">
        <v>130</v>
      </c>
      <c r="C39" s="35"/>
      <c r="D39" s="35"/>
      <c r="E39" s="35"/>
      <c r="F39" s="36" t="n">
        <f aca="false">COUNTIF(K15:K34,"Alta")</f>
        <v>1</v>
      </c>
      <c r="G39" s="36"/>
      <c r="H39" s="36"/>
      <c r="I39" s="36"/>
      <c r="J39" s="36"/>
      <c r="K39" s="36"/>
    </row>
    <row r="40" customFormat="false" ht="21.75" hidden="false" customHeight="true" outlineLevel="0" collapsed="false">
      <c r="B40" s="35" t="s">
        <v>131</v>
      </c>
      <c r="C40" s="35"/>
      <c r="D40" s="35"/>
      <c r="E40" s="35"/>
      <c r="F40" s="36" t="n">
        <f aca="false">COUNTIF(K15:K34,"Média")</f>
        <v>4</v>
      </c>
      <c r="G40" s="36"/>
      <c r="H40" s="36"/>
      <c r="I40" s="36"/>
      <c r="J40" s="36"/>
      <c r="K40" s="36"/>
    </row>
    <row r="41" customFormat="false" ht="21.75" hidden="false" customHeight="true" outlineLevel="0" collapsed="false">
      <c r="B41" s="35" t="s">
        <v>132</v>
      </c>
      <c r="C41" s="35"/>
      <c r="D41" s="35"/>
      <c r="E41" s="35"/>
      <c r="F41" s="36" t="n">
        <f aca="false">COUNTIF(K15:K34,"Baixa")</f>
        <v>2</v>
      </c>
      <c r="G41" s="36"/>
      <c r="H41" s="36"/>
      <c r="I41" s="36"/>
      <c r="J41" s="36"/>
      <c r="K41" s="36"/>
    </row>
    <row r="42" customFormat="false" ht="21.75" hidden="false" customHeight="true" outlineLevel="0" collapsed="false">
      <c r="B42" s="35" t="s">
        <v>133</v>
      </c>
      <c r="C42" s="35"/>
      <c r="D42" s="35"/>
      <c r="E42" s="35"/>
      <c r="F42" s="36" t="n">
        <f aca="false">COUNTIF(F15:F34,5)</f>
        <v>1</v>
      </c>
      <c r="G42" s="36"/>
      <c r="H42" s="36"/>
      <c r="I42" s="36"/>
      <c r="J42" s="36"/>
      <c r="K42" s="36"/>
    </row>
    <row r="43" customFormat="false" ht="21.75" hidden="false" customHeight="true" outlineLevel="0" collapsed="false">
      <c r="B43" s="35" t="s">
        <v>134</v>
      </c>
      <c r="C43" s="35"/>
      <c r="D43" s="35"/>
      <c r="E43" s="35"/>
      <c r="F43" s="33" t="str">
        <f aca="false">IF(F37=0,"Liste os problemas",IF(F38&lt;F37,"Há problema sem as três notas","OK"))</f>
        <v>OK</v>
      </c>
      <c r="G43" s="33"/>
      <c r="H43" s="33"/>
      <c r="I43" s="33"/>
      <c r="J43" s="33"/>
      <c r="K43" s="33"/>
    </row>
    <row r="44" customFormat="false" ht="21.75" hidden="false" customHeight="true" outlineLevel="0" collapsed="false">
      <c r="B44" s="35" t="s">
        <v>135</v>
      </c>
      <c r="C44" s="35"/>
      <c r="D44" s="35"/>
      <c r="E44" s="35"/>
      <c r="F44" s="33" t="str">
        <f aca="false">IF(F38&lt;4,"OK",IF(F39&gt;F38/2,"Mais da metade em prioridade alta: revise as notas",IF(MAX(I15:I34)=MIN(I15:I34),"Todas as pontuações são iguais: revise as notas","OK")))</f>
        <v>OK</v>
      </c>
      <c r="G44" s="33"/>
      <c r="H44" s="33"/>
      <c r="I44" s="33"/>
      <c r="J44" s="33"/>
      <c r="K44" s="33"/>
    </row>
    <row r="45" customFormat="false" ht="21.75" hidden="false" customHeight="true" outlineLevel="0" collapsed="false">
      <c r="B45" s="35" t="s">
        <v>136</v>
      </c>
      <c r="C45" s="35"/>
      <c r="D45" s="35"/>
      <c r="E45" s="35"/>
      <c r="F45" s="37" t="n">
        <f aca="false">COUNTA(D4,I4,D5,I5,D6,I6,D7,D8,I8,D9)</f>
        <v>10</v>
      </c>
      <c r="G45" s="37"/>
      <c r="H45" s="37"/>
      <c r="I45" s="37"/>
      <c r="J45" s="37"/>
      <c r="K45" s="37"/>
    </row>
    <row r="47" customFormat="false" ht="21.75" hidden="false" customHeight="true" outlineLevel="0" collapsed="false">
      <c r="B47" s="15" t="s">
        <v>241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21.75" hidden="false" customHeight="true" outlineLevel="0" collapsed="false">
      <c r="B48" s="31" t="s">
        <v>83</v>
      </c>
      <c r="C48" s="36" t="s">
        <v>84</v>
      </c>
      <c r="D48" s="36"/>
      <c r="E48" s="31" t="s">
        <v>242</v>
      </c>
      <c r="F48" s="31"/>
      <c r="G48" s="31"/>
      <c r="H48" s="31"/>
      <c r="I48" s="31"/>
      <c r="J48" s="36" t="s">
        <v>72</v>
      </c>
      <c r="K48" s="36"/>
      <c r="L48" s="31" t="s">
        <v>186</v>
      </c>
    </row>
    <row r="49" customFormat="false" ht="33" hidden="false" customHeight="true" outlineLevel="0" collapsed="false">
      <c r="B49" s="29" t="s">
        <v>112</v>
      </c>
      <c r="C49" s="7" t="s">
        <v>268</v>
      </c>
      <c r="D49" s="7"/>
      <c r="E49" s="7" t="s">
        <v>269</v>
      </c>
      <c r="F49" s="7"/>
      <c r="G49" s="7"/>
      <c r="H49" s="7"/>
      <c r="I49" s="7"/>
      <c r="J49" s="7" t="s">
        <v>252</v>
      </c>
      <c r="K49" s="7"/>
      <c r="L49" s="48" t="n">
        <v>46304</v>
      </c>
    </row>
    <row r="50" customFormat="false" ht="33" hidden="false" customHeight="true" outlineLevel="0" collapsed="false">
      <c r="B50" s="29" t="s">
        <v>107</v>
      </c>
      <c r="C50" s="7" t="s">
        <v>270</v>
      </c>
      <c r="D50" s="7"/>
      <c r="E50" s="7" t="s">
        <v>271</v>
      </c>
      <c r="F50" s="7"/>
      <c r="G50" s="7"/>
      <c r="H50" s="7"/>
      <c r="I50" s="7"/>
      <c r="J50" s="7" t="s">
        <v>272</v>
      </c>
      <c r="K50" s="7"/>
      <c r="L50" s="48" t="n">
        <v>46374</v>
      </c>
    </row>
    <row r="51" customFormat="false" ht="33" hidden="false" customHeight="true" outlineLevel="0" collapsed="false">
      <c r="B51" s="29" t="s">
        <v>109</v>
      </c>
      <c r="C51" s="7" t="s">
        <v>273</v>
      </c>
      <c r="D51" s="7"/>
      <c r="E51" s="7" t="s">
        <v>274</v>
      </c>
      <c r="F51" s="7"/>
      <c r="G51" s="7"/>
      <c r="H51" s="7"/>
      <c r="I51" s="7"/>
      <c r="J51" s="7" t="s">
        <v>275</v>
      </c>
      <c r="K51" s="7"/>
      <c r="L51" s="48" t="n">
        <v>46325</v>
      </c>
    </row>
    <row r="52" customFormat="false" ht="33" hidden="false" customHeight="true" outlineLevel="0" collapsed="false">
      <c r="B52" s="29" t="s">
        <v>110</v>
      </c>
      <c r="C52" s="7" t="s">
        <v>276</v>
      </c>
      <c r="D52" s="7"/>
      <c r="E52" s="7" t="s">
        <v>277</v>
      </c>
      <c r="F52" s="7"/>
      <c r="G52" s="7"/>
      <c r="H52" s="7"/>
      <c r="I52" s="7"/>
      <c r="J52" s="7" t="s">
        <v>278</v>
      </c>
      <c r="K52" s="7"/>
      <c r="L52" s="48" t="n">
        <v>46311</v>
      </c>
    </row>
  </sheetData>
  <mergeCells count="82">
    <mergeCell ref="B1:L1"/>
    <mergeCell ref="B2:L2"/>
    <mergeCell ref="B4:C4"/>
    <mergeCell ref="D4:E4"/>
    <mergeCell ref="F4:H4"/>
    <mergeCell ref="I4:L4"/>
    <mergeCell ref="B5:C5"/>
    <mergeCell ref="D5:E5"/>
    <mergeCell ref="F5:H5"/>
    <mergeCell ref="I5:L5"/>
    <mergeCell ref="B6:C6"/>
    <mergeCell ref="D6:E6"/>
    <mergeCell ref="F6:H6"/>
    <mergeCell ref="I6:L6"/>
    <mergeCell ref="B7:C7"/>
    <mergeCell ref="D7:L7"/>
    <mergeCell ref="B8:C8"/>
    <mergeCell ref="D8:E8"/>
    <mergeCell ref="F8:H8"/>
    <mergeCell ref="I8:L8"/>
    <mergeCell ref="B9:C9"/>
    <mergeCell ref="D9:L9"/>
    <mergeCell ref="B11:E11"/>
    <mergeCell ref="I11:L11"/>
    <mergeCell ref="C12:D12"/>
    <mergeCell ref="C13:D13"/>
    <mergeCell ref="B14:L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B36:L36"/>
    <mergeCell ref="B37:E37"/>
    <mergeCell ref="F37:K37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K42"/>
    <mergeCell ref="B43:E43"/>
    <mergeCell ref="F43:K43"/>
    <mergeCell ref="B44:E44"/>
    <mergeCell ref="F44:K44"/>
    <mergeCell ref="B45:E45"/>
    <mergeCell ref="F45:K45"/>
    <mergeCell ref="B47:L47"/>
    <mergeCell ref="C48:D48"/>
    <mergeCell ref="E48:I48"/>
    <mergeCell ref="J48:K48"/>
    <mergeCell ref="C49:D49"/>
    <mergeCell ref="E49:I49"/>
    <mergeCell ref="J49:K49"/>
    <mergeCell ref="C50:D50"/>
    <mergeCell ref="E50:I50"/>
    <mergeCell ref="J50:K50"/>
    <mergeCell ref="C51:D51"/>
    <mergeCell ref="E51:I51"/>
    <mergeCell ref="J51:K51"/>
    <mergeCell ref="C52:D52"/>
    <mergeCell ref="E52:I52"/>
    <mergeCell ref="J52:K52"/>
  </mergeCells>
  <conditionalFormatting sqref="K15:K34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L15:L34">
    <cfRule type="expression" priority="5" aboveAverage="0" equalAverage="0" bottom="0" percent="0" rank="0" text="" dxfId="0">
      <formula>LEN(L15)&gt;0</formula>
    </cfRule>
  </conditionalFormatting>
  <conditionalFormatting sqref="F43:K44">
    <cfRule type="cellIs" priority="6" operator="equal" aboveAverage="0" equalAverage="0" bottom="0" percent="0" rank="0" text="" dxfId="2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5" type="date">
      <formula1>36526</formula1>
      <formula2>0</formula2>
    </dataValidation>
    <dataValidation allowBlank="true" error="Escolha uma das opções da lista." errorStyle="stop" errorTitle="Valor inválido" operator="between" prompt="De onde veio o problema" promptTitle="Opções" showDropDown="false" showErrorMessage="true" showInputMessage="true" sqref="E15:E34" type="list">
      <formula1>"Auditoria,Reclamação,Indicador,SWOT,Reunião,Outro"</formula1>
      <formula2>0</formula2>
    </dataValidation>
    <dataValidation allowBlank="true" error="Digite um número inteiro de 1 a 5." errorStyle="stop" errorTitle="Valor inválido" operator="between" prompt="Veja a descrição de cada nota na aba Escala." promptTitle="Nota de 1 a 5" showDropDown="false" showErrorMessage="true" showInputMessage="true" sqref="F15:H34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2026-09-29T16:51:11Z</dcterms:created>
  <dc:creator>Modelo GUT</dc:creator>
  <dc:description/>
  <dc:language>pt-BR</dc:language>
  <cp:lastModifiedBy/>
  <dcterms:modified xsi:type="dcterms:W3CDTF">2026-09-29T16:51:11Z</dcterms:modified>
  <cp:revision>0</cp:revision>
  <dc:subject/>
  <dc:title>GUT — Modelo de matriz de priorização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