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Funções" sheetId="2" state="visible" r:id="rId4"/>
    <sheet name="Matriz" sheetId="3" state="visible" r:id="rId5"/>
    <sheet name="Plano" sheetId="4" state="visible" r:id="rId6"/>
    <sheet name="Registro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Pizzaria'!$B$1:$O$50</definedName>
    <definedName function="false" hidden="false" localSheetId="7" name="_xlnm.Print_Area" vbProcedure="false">'Exemplo 2 - Compras'!$B$1:$O$48</definedName>
    <definedName function="false" hidden="false" localSheetId="1" name="_xlnm.Print_Area" vbProcedure="false">Funções!$B$1:$P$24</definedName>
    <definedName function="false" hidden="false" localSheetId="0" name="_xlnm.Print_Area" vbProcedure="false">Instruções!$B$1:$C$43</definedName>
    <definedName function="false" hidden="false" localSheetId="2" name="_xlnm.Print_Area" vbProcedure="false">Matriz!$B$1:$T$53</definedName>
    <definedName function="false" hidden="false" localSheetId="3" name="_xlnm.Print_Area" vbProcedure="false">Plano!$B$1:$M$40</definedName>
    <definedName function="false" hidden="false" localSheetId="4" name="_xlnm.Print_Area" vbProcedure="false">Registros!$B$1:$J$37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8" authorId="0">
      <text>
        <r>
          <rPr>
            <sz val="10"/>
            <rFont val="Arial"/>
            <family val="2"/>
          </rPr>
          <t xml:space="preserve">O que precisa ser sabido fazer no processo: a parte “com quem” da tartaruga e os procedimentos. Seis a doze por processo.</t>
        </r>
      </text>
    </comment>
    <comment ref="C9" authorId="0">
      <text>
        <r>
          <rPr>
            <sz val="10"/>
            <rFont val="Arial"/>
            <family val="2"/>
          </rPr>
          <t xml:space="preserve">As funções que afetam o resultado, e não os cargos. Uma pessoa pode ter mais de uma função.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7" authorId="0">
      <text>
        <r>
          <rPr>
            <sz val="10"/>
            <rFont val="Arial"/>
            <family val="2"/>
          </rPr>
          <t xml:space="preserve">A função precisa estar cadastrada na aba Funções. É ela que define o nível requerido.</t>
        </r>
      </text>
    </comment>
    <comment ref="R7" authorId="0">
      <text>
        <r>
          <rPr>
            <sz val="10"/>
            <rFont val="Arial"/>
            <family val="2"/>
          </rPr>
          <t xml:space="preserve">Competências em que o nível atual está abaixo do requerido pela função. Célula com borda vermelha na matriz.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4" authorId="0">
      <text>
        <r>
          <rPr>
            <sz val="10"/>
            <rFont val="Arial"/>
            <family val="2"/>
          </rPr>
          <t xml:space="preserve">A pessoa entendeu? Prova, exercício ou demonstração, no fim do treinamento.</t>
        </r>
      </text>
    </comment>
    <comment ref="J4" authorId="0">
      <text>
        <r>
          <rPr>
            <sz val="10"/>
            <rFont val="Arial"/>
            <family val="2"/>
          </rPr>
          <t xml:space="preserve">A pessoa passou a fazer no padrão? Avaliada pelo líder, no posto, 60 dias depois do treinamento.
Eficaz sobe o nível na matriz.</t>
        </r>
      </text>
    </comment>
  </commentList>
</comments>
</file>

<file path=xl/sharedStrings.xml><?xml version="1.0" encoding="utf-8"?>
<sst xmlns="http://schemas.openxmlformats.org/spreadsheetml/2006/main" count="517" uniqueCount="279">
  <si>
    <t xml:space="preserve">Matriz de competências e treinamento — Como usar esta planilha</t>
  </si>
  <si>
    <t xml:space="preserve">Modelo para definir o nível requerido por função, avaliar as pessoas, planejar o treinamento e registrar a eficácia.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</si>
  <si>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</si>
  <si>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</si>
  <si>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</si>
  <si>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</si>
  <si>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requerido por pessoa, lacunas,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</si>
  <si>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</si>
  <si>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</si>
  <si>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</si>
  <si>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função, aprendizado, eficácia e status aceitam apenas as opções da lista. Os níveis aceitam 0, 1, 2 ou 3.</t>
  </si>
  <si>
    <t xml:space="preserve">Comentários</t>
  </si>
  <si>
    <t xml:space="preserve">Células com triângulo vermelho no canto trazem uma dica de preenchimento. Passe o mouse sobre elas.</t>
  </si>
  <si>
    <t xml:space="preserve">A escala de níveis</t>
  </si>
  <si>
    <t xml:space="preserve">Nível 0 · Não conhece</t>
  </si>
  <si>
    <t xml:space="preserve">Nunca fez, ou não sabe o que é. Evidência: nenhuma.</t>
  </si>
  <si>
    <t xml:space="preserve">Nível 1 · Executa com acompanhamento</t>
  </si>
  <si>
    <t xml:space="preserve">Conhece o padrão e faz com alguém por perto. Evidência: treinamento realizado, com avaliação de aprendizado.</t>
  </si>
  <si>
    <t xml:space="preserve">Nível 2 · Executa sozinho</t>
  </si>
  <si>
    <t xml:space="preserve">Faz no padrão, sem ajuda, com o resultado esperado. Evidência: avaliação no posto de trabalho, pelo líder.</t>
  </si>
  <si>
    <t xml:space="preserve">Nível 3 · Executa e treina</t>
  </si>
  <si>
    <t xml:space="preserve">Faz, resolve os problemas e ensina os outros. Evidência: treinamentos que deu, e resultados do processo.</t>
  </si>
  <si>
    <t xml:space="preserve">Ordem recomendada de preenchimento</t>
  </si>
  <si>
    <t xml:space="preserve">Passo 1</t>
  </si>
  <si>
    <t xml:space="preserve">Aba Funções: escreva a organização, a data de referência, as competências e as funções, e o nível requerido de cada cruzamento.</t>
  </si>
  <si>
    <t xml:space="preserve">Passo 2</t>
  </si>
  <si>
    <t xml:space="preserve">Aba Matriz: cadastre as pessoas, com a função, e o nível atual em cada competência.</t>
  </si>
  <si>
    <t xml:space="preserve">Passo 3</t>
  </si>
  <si>
    <t xml:space="preserve">Aba Matriz: leia as lacunas de cada pessoa e a cobertura de cada competência.</t>
  </si>
  <si>
    <t xml:space="preserve">Passo 4</t>
  </si>
  <si>
    <t xml:space="preserve">Aba Plano: escreva uma ação para cada lacuna, com quem treina e o prazo.</t>
  </si>
  <si>
    <t xml:space="preserve">Passo 5</t>
  </si>
  <si>
    <t xml:space="preserve">Aba Plano: depois do treinamento, registre a data, o aprendizado e, no prazo, a eficácia.</t>
  </si>
  <si>
    <t xml:space="preserve">Passo 6</t>
  </si>
  <si>
    <t xml:space="preserve">Aba Matriz: quando a eficácia for confirmada, atualize o nível da pessoa.</t>
  </si>
  <si>
    <t xml:space="preserve">Passo 7</t>
  </si>
  <si>
    <t xml:space="preserve">Aba Registros: cadastre os treinamentos realizados, com a evidência. Aba Checklist: valide a matriz.</t>
  </si>
  <si>
    <t xml:space="preserve">Abas da planilha</t>
  </si>
  <si>
    <t xml:space="preserve">Funções</t>
  </si>
  <si>
    <t xml:space="preserve">Até 10 funções e 12 competências, com o nível requerido de cada cruzamento.</t>
  </si>
  <si>
    <t xml:space="preserve">Matriz</t>
  </si>
  <si>
    <t xml:space="preserve">Até 20 pessoas, com o nível atual, as lacunas, o percentual atendido, a cobertura de cada competência e o gráfico.</t>
  </si>
  <si>
    <t xml:space="preserve">Plano</t>
  </si>
  <si>
    <t xml:space="preserve">Até 25 ações de treinamento, com a situação de cada uma na data de referência.</t>
  </si>
  <si>
    <t xml:space="preserve">Registros</t>
  </si>
  <si>
    <t xml:space="preserve">Até 25 treinamentos realizados, com tema, instrutor, carga horária e participantes.</t>
  </si>
  <si>
    <t xml:space="preserve">Checklist</t>
  </si>
  <si>
    <t xml:space="preserve">Doze verificações de qualidade da matriz, com percentual de conclusão.</t>
  </si>
  <si>
    <t xml:space="preserve">Exemplo 1 - Pizzaria</t>
  </si>
  <si>
    <t xml:space="preserve">A matriz e o plano de uma loja, com oito pessoas e oito competências.</t>
  </si>
  <si>
    <t xml:space="preserve">Exemplo 2 - Compras</t>
  </si>
  <si>
    <t xml:space="preserve">A matriz e o plano do processo de aquisição de uma indústria.</t>
  </si>
  <si>
    <t xml:space="preserve">Regras e premissas do modelo</t>
  </si>
  <si>
    <t xml:space="preserve">Lacuna</t>
  </si>
  <si>
    <t xml:space="preserve">Nível atual abaixo do nível requerido pela função da pessoa. Nível em branco vale zero.</t>
  </si>
  <si>
    <t xml:space="preserve">Requerido por pessoa</t>
  </si>
  <si>
    <t xml:space="preserve">É lido da aba Funções, pela função escrita na aba Matriz. A função precisa estar escrita do mesmo jeito nas duas abas: use a lista.</t>
  </si>
  <si>
    <t xml:space="preserve">Cobertura</t>
  </si>
  <si>
    <t xml:space="preserve">Pessoas no nível 2 ou mais em uma competência. Menos de 2 é dependência de uma só pessoa. É uma convenção deste modelo.</t>
  </si>
  <si>
    <t xml:space="preserve">Eficácia</t>
  </si>
  <si>
    <t xml:space="preserve">Depois do treinamento, a eficácia é avaliada no posto. A planilha pede a avaliação 60 dias após a data de realização.</t>
  </si>
  <si>
    <t xml:space="preserve">Data de referência</t>
  </si>
  <si>
    <t xml:space="preserve">A situação das ações é calculada pela data de referência da aba Funções. Se ela estiver em branco, a planilha usa a data de hoje.</t>
  </si>
  <si>
    <t xml:space="preserve">Escala</t>
  </si>
  <si>
    <t xml:space="preserve">Os quatro níveis e as evidências são uma convenção deste modelo. A norma não define escala.</t>
  </si>
  <si>
    <t xml:space="preserve">Exemplos</t>
  </si>
  <si>
    <t xml:space="preserve">Os dados das abas de exemplo são ilustrativos, criados para este material.</t>
  </si>
  <si>
    <t xml:space="preserve">Funções e nível requerido</t>
  </si>
  <si>
    <t xml:space="preserve">Escreva as competências nas colunas e as funções nas linhas. Em cada cruzamento, o nível mínimo que a função exige: 0 quando não usa.</t>
  </si>
  <si>
    <t xml:space="preserve">Organização</t>
  </si>
  <si>
    <t xml:space="preserve">Data da avaliação. Em branco, vale a data de hoje.</t>
  </si>
  <si>
    <t xml:space="preserve">Código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</si>
  <si>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</si>
  <si>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</si>
  <si>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</si>
  <si>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</si>
  <si>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</si>
  <si>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</si>
  <si>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</si>
  <si>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</si>
  <si>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</si>
  <si>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</si>
  <si>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</si>
  <si>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</si>
  <si>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Competência</t>
  </si>
  <si>
    <t xml:space="preserve">#</t>
  </si>
  <si>
    <t xml:space="preserve">Função</t>
  </si>
  <si>
    <t xml:space="preserve">Nível requerido</t>
  </si>
  <si>
    <t xml:space="preserve">Competências exigidas</t>
  </si>
  <si>
    <t xml:space="preserve">Resumo automático</t>
  </si>
  <si>
    <t xml:space="preserve">Funções cadastradas</t>
  </si>
  <si>
    <t xml:space="preserve">Competências cadastradas</t>
  </si>
  <si>
    <t xml:space="preserve">Aviso</t>
  </si>
  <si>
    <t xml:space="preserve">Matriz de competências</t>
  </si>
  <si>
    <t xml:space="preserve">Uma pessoa por linha, com a função e o nível atual em cada competência. O requerido vem da função, e a lacuna é calculada.</t>
  </si>
  <si>
    <t xml:space="preserve">Pessoa</t>
  </si>
  <si>
    <t xml:space="preserve">Exigidas</t>
  </si>
  <si>
    <t xml:space="preserve">Lacunas</t>
  </si>
  <si>
    <t xml:space="preserve">Atendido</t>
  </si>
  <si>
    <t xml:space="preserve">Conferência</t>
  </si>
  <si>
    <t xml:space="preserve">Os nomes das competências vêm da aba Funções</t>
  </si>
  <si>
    <t xml:space="preserve">Nome</t>
  </si>
  <si>
    <t xml:space="preserve">Escolha na lista</t>
  </si>
  <si>
    <t xml:space="preserve">0 a 3</t>
  </si>
  <si>
    <t xml:space="preserve">Calculada</t>
  </si>
  <si>
    <t xml:space="preserve">Leitura por competência</t>
  </si>
  <si>
    <t xml:space="preserve">Pessoas cuja função exige</t>
  </si>
  <si>
    <t xml:space="preserve">Com lacuna</t>
  </si>
  <si>
    <t xml:space="preserve">No nível 2 ou mais</t>
  </si>
  <si>
    <t xml:space="preserve">No nível 3</t>
  </si>
  <si>
    <t xml:space="preserve">Lacunas por competência</t>
  </si>
  <si>
    <t xml:space="preserve">Pessoas avaliadas</t>
  </si>
  <si>
    <t xml:space="preserve">Percentual do requerido atendido</t>
  </si>
  <si>
    <t xml:space="preserve">Competências com uma só pessoa, ou nenhuma</t>
  </si>
  <si>
    <t xml:space="preserve">Nível requerido por pessoa, lido da aba Funções pela função de cada uma. Bloco calculado, usado nas lacunas.</t>
  </si>
  <si>
    <t xml:space="preserve">Plano de treinamento</t>
  </si>
  <si>
    <t xml:space="preserve">Uma ação para cada lacuna. Depois do treinamento, registre a data, o aprendizado e, no prazo, a eficácia no posto.</t>
  </si>
  <si>
    <t xml:space="preserve">Ação</t>
  </si>
  <si>
    <t xml:space="preserve">Quem treina</t>
  </si>
  <si>
    <t xml:space="preserve">Prazo</t>
  </si>
  <si>
    <t xml:space="preserve">Realizada em</t>
  </si>
  <si>
    <t xml:space="preserve">Aprendizado</t>
  </si>
  <si>
    <t xml:space="preserve">Eficácia avaliada em</t>
  </si>
  <si>
    <t xml:space="preserve">Observação</t>
  </si>
  <si>
    <t xml:space="preserve">Situação</t>
  </si>
  <si>
    <t xml:space="preserve">Nome, como na matriz</t>
  </si>
  <si>
    <t xml:space="preserve">Código, C1 a C12</t>
  </si>
  <si>
    <t xml:space="preserve">Curso, instrução no posto, acompanhamento</t>
  </si>
  <si>
    <t xml:space="preserve">Nome ou cargo</t>
  </si>
  <si>
    <t xml:space="preserve">Combinado</t>
  </si>
  <si>
    <t xml:space="preserve">Data do treinamento</t>
  </si>
  <si>
    <t xml:space="preserve">Sim ou Não</t>
  </si>
  <si>
    <t xml:space="preserve">No posto, após o prazo</t>
  </si>
  <si>
    <t xml:space="preserve">Data da avaliação</t>
  </si>
  <si>
    <t xml:space="preserve">Resultado, indicador</t>
  </si>
  <si>
    <t xml:space="preserve">Ex.</t>
  </si>
  <si>
    <t xml:space="preserve">Bruno</t>
  </si>
  <si>
    <t xml:space="preserve">Instrução no posto: regular o forno com o pizzaiolo líder, uma semana por turno.</t>
  </si>
  <si>
    <t xml:space="preserve">Rafael</t>
  </si>
  <si>
    <t xml:space="preserve">Sim</t>
  </si>
  <si>
    <t xml:space="preserve">Eficaz</t>
  </si>
  <si>
    <t xml:space="preserve">Regulou o forno sozinho em 8 turnos.</t>
  </si>
  <si>
    <t xml:space="preserve">Ações registradas</t>
  </si>
  <si>
    <t xml:space="preserve">Planejadas, no prazo</t>
  </si>
  <si>
    <t xml:space="preserve">Atrasadas</t>
  </si>
  <si>
    <t xml:space="preserve">Realizadas, a avaliar</t>
  </si>
  <si>
    <t xml:space="preserve">Eficazes</t>
  </si>
  <si>
    <t xml:space="preserve">A reforçar ou refazer</t>
  </si>
  <si>
    <t xml:space="preserve">Registros de treinamento</t>
  </si>
  <si>
    <t xml:space="preserve">Um treinamento por linha, com a evidência de que aconteceu e de que o aprendizado foi avaliado.</t>
  </si>
  <si>
    <t xml:space="preserve">Data</t>
  </si>
  <si>
    <t xml:space="preserve">Tema</t>
  </si>
  <si>
    <t xml:space="preserve">Instrutor</t>
  </si>
  <si>
    <t xml:space="preserve">Carga horária</t>
  </si>
  <si>
    <t xml:space="preserve">Participantes</t>
  </si>
  <si>
    <t xml:space="preserve">Aprendizado avaliado?</t>
  </si>
  <si>
    <t xml:space="preserve">Evidência</t>
  </si>
  <si>
    <t xml:space="preserve">Do treinamento</t>
  </si>
  <si>
    <t xml:space="preserve">Assunto e padrão</t>
  </si>
  <si>
    <t xml:space="preserve">Em horas</t>
  </si>
  <si>
    <t xml:space="preserve">Número de pessoas</t>
  </si>
  <si>
    <t xml:space="preserve">Lista de presença, prova, certificado</t>
  </si>
  <si>
    <t xml:space="preserve">IT-EXP-01: agrupamento por zona e conferência do pedido</t>
  </si>
  <si>
    <t xml:space="preserve">Sérgio, líder da expedição</t>
  </si>
  <si>
    <t xml:space="preserve">Lista de presença e demonstração no posto</t>
  </si>
  <si>
    <t xml:space="preserve">Completo</t>
  </si>
  <si>
    <t xml:space="preserve">Treinamentos registrados</t>
  </si>
  <si>
    <t xml:space="preserve">Horas de treinamento</t>
  </si>
  <si>
    <t xml:space="preserve">Pessoas-hora</t>
  </si>
  <si>
    <t xml:space="preserve">Checklist da matriz de competências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</si>
  <si>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</si>
  <si>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</si>
  <si>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</si>
  <si>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</si>
  <si>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As funções que afetam a qualidade estão listadas, com as competências que cada uma exige.</t>
  </si>
  <si>
    <t xml:space="preserve">A escala de níveis está escrita e foi entendida pelos líderes.</t>
  </si>
  <si>
    <t xml:space="preserve">Cada pessoa foi avaliada em cada competência da sua função, com evidência.</t>
  </si>
  <si>
    <t xml:space="preserve">As lacunas estão identificadas: nível abaixo do requerido.</t>
  </si>
  <si>
    <t xml:space="preserve">Cada lacuna tem uma ação no plano, com responsável e prazo.</t>
  </si>
  <si>
    <t xml:space="preserve">Cada competência crítica tem pelo menos duas pessoas no nível 2 ou mais.</t>
  </si>
  <si>
    <t xml:space="preserve">Os treinamentos realizados têm registro: data, tema, instrutor e presença.</t>
  </si>
  <si>
    <t xml:space="preserve">O aprendizado é avaliado no fim de cada treinamento.</t>
  </si>
  <si>
    <t xml:space="preserve">A eficácia é avaliada no posto de trabalho, depois de um prazo definido.</t>
  </si>
  <si>
    <t xml:space="preserve">A matriz é atualizada depois da avaliação da eficácia.</t>
  </si>
  <si>
    <t xml:space="preserve">Quem entra na equipe passa pela integração antes de trabalhar sozinho.</t>
  </si>
  <si>
    <t xml:space="preserve">As pessoas sabem responder às perguntas de conscientização: política, objetivos, contribuição e consequências.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</si>
  <si>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</si>
  <si>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</si>
  <si>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</si>
  <si>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</si>
  <si>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</si>
  <si>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Matriz de competências e treinamento</t>
  </si>
  <si>
    <t xml:space="preserve">Exemplo preenchido, para consulta. Use as abas Funções, Matriz, Plano e Registros para a sua equipe.</t>
  </si>
  <si>
    <t xml:space="preserve">Pizzaria (loja com salão e delivery)</t>
  </si>
  <si>
    <t xml:space="preserve">Gerente da loja, com os três líderes</t>
  </si>
  <si>
    <t xml:space="preserve">Revisão</t>
  </si>
  <si>
    <t xml:space="preserve">A cada seis meses, e a cada admissão ou mudança de função.</t>
  </si>
  <si>
    <t xml:space="preserve">Origem</t>
  </si>
  <si>
    <t xml:space="preserve">Processo “Treinar a equipe” com 31% dos elementos definidos no mapa de 14/10/2026, e risco R6: só o pizzaiolo líder regula o forno.</t>
  </si>
  <si>
    <t xml:space="preserve">Competências e nível requerido por função</t>
  </si>
  <si>
    <t xml:space="preserve">Competência →</t>
  </si>
  <si>
    <t xml:space="preserve">Nome da competência</t>
  </si>
  <si>
    <t xml:space="preserve">Registrar o pedido pelo roteiro</t>
  </si>
  <si>
    <t xml:space="preserve">Produzir no padrão das receitas</t>
  </si>
  <si>
    <t xml:space="preserve">Regular o forno</t>
  </si>
  <si>
    <t xml:space="preserve">Controlar a temperatura e as boas práticas</t>
  </si>
  <si>
    <t xml:space="preserve">Embalar e conferir o pedido</t>
  </si>
  <si>
    <t xml:space="preserve">Agrupar por zona e entregar</t>
  </si>
  <si>
    <t xml:space="preserve">Dirigir com segurança</t>
  </si>
  <si>
    <t xml:space="preserve">Atender no salão</t>
  </si>
  <si>
    <t xml:space="preserve">Gerente da loja</t>
  </si>
  <si>
    <t xml:space="preserve">Atendente</t>
  </si>
  <si>
    <t xml:space="preserve">Pizzaiolo</t>
  </si>
  <si>
    <t xml:space="preserve">Líder da expedição</t>
  </si>
  <si>
    <t xml:space="preserve">Entregador</t>
  </si>
  <si>
    <t xml:space="preserve">Matriz · níveis em 12/02/2027</t>
  </si>
  <si>
    <t xml:space="preserve">Marina</t>
  </si>
  <si>
    <t xml:space="preserve">Carla</t>
  </si>
  <si>
    <t xml:space="preserve">Diego</t>
  </si>
  <si>
    <t xml:space="preserve">Sérgio</t>
  </si>
  <si>
    <t xml:space="preserve">Paulo</t>
  </si>
  <si>
    <t xml:space="preserve">Igor</t>
  </si>
  <si>
    <t xml:space="preserve">Célula com borda vermelha: lacuna, nível abaixo do requerido pela função.</t>
  </si>
  <si>
    <t xml:space="preserve">Comp.</t>
  </si>
  <si>
    <t xml:space="preserve">Realizada</t>
  </si>
  <si>
    <t xml:space="preserve">Acompanhamento das receitas com maior desperdício, com conferência do pizzaiolo líder.</t>
  </si>
  <si>
    <t xml:space="preserve">Treinamento em boas práticas e controle de temperatura, com prova.</t>
  </si>
  <si>
    <t xml:space="preserve">Conferência do pedido com o líder da expedição, nas noites de sexta.</t>
  </si>
  <si>
    <t xml:space="preserve">Atendimento no salão, depois do padrão de atendimento.</t>
  </si>
  <si>
    <t xml:space="preserve">Treinamento na IT-EXP-01, com o líder da expedição.</t>
  </si>
  <si>
    <t xml:space="preserve">Parcial</t>
  </si>
  <si>
    <t xml:space="preserve">Integração: boas práticas de manipulação.</t>
  </si>
  <si>
    <t xml:space="preserve">Competências com uma só pessoa no nível 2, ou nenhuma</t>
  </si>
  <si>
    <t xml:space="preserve">Competências sem ninguém no nível 3</t>
  </si>
  <si>
    <t xml:space="preserve">Ações no plano</t>
  </si>
  <si>
    <t xml:space="preserve">Ações eficazes</t>
  </si>
  <si>
    <t xml:space="preserve">Ações atrasadas, ou a refazer</t>
  </si>
  <si>
    <t xml:space="preserve">Indústria de embalagens plásticas · Suprimentos</t>
  </si>
  <si>
    <t xml:space="preserve">Gerente de Suprimentos, com o Coordenador da Qualidade e o RH</t>
  </si>
  <si>
    <t xml:space="preserve">A cada seis meses, com a avaliação de desempenho.</t>
  </si>
  <si>
    <t xml:space="preserve">Revisão 6 do PR-SUP-01, admissão de um comprador em janeiro e decisão da análise crítica de 18/02/2027: formar mais quatro auditores internos.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</si>
  <si>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</si>
  <si>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</si>
  <si>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</si>
  <si>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</si>
  <si>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</si>
  <si>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</si>
  <si>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</si>
  <si>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</si>
  <si>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Aplicar o PR-SUP-01 rev. 6</t>
  </si>
  <si>
    <t xml:space="preserve">Especificar itens e usar o cadastro</t>
  </si>
  <si>
    <t xml:space="preserve">Cotar e negociar</t>
  </si>
  <si>
    <t xml:space="preserve">Homologar e avaliar fornecedores</t>
  </si>
  <si>
    <t xml:space="preserve">Operar o sistema de compras</t>
  </si>
  <si>
    <t xml:space="preserve">Receber e conferir materiais</t>
  </si>
  <si>
    <t xml:space="preserve">Requisitos da ISO 9001 para aquisição</t>
  </si>
  <si>
    <t xml:space="preserve">Auditar processos internamente</t>
  </si>
  <si>
    <t xml:space="preserve">Gerente de Suprimentos</t>
  </si>
  <si>
    <t xml:space="preserve">Comprador</t>
  </si>
  <si>
    <t xml:space="preserve">Líder do Recebimento</t>
  </si>
  <si>
    <t xml:space="preserve">Matriz · níveis em 12/03/2027</t>
  </si>
  <si>
    <t xml:space="preserve">Helena</t>
  </si>
  <si>
    <t xml:space="preserve">Antônio</t>
  </si>
  <si>
    <t xml:space="preserve">Luana</t>
  </si>
  <si>
    <t xml:space="preserve">Felipe</t>
  </si>
  <si>
    <t xml:space="preserve">Camila</t>
  </si>
  <si>
    <t xml:space="preserve">Jorge</t>
  </si>
  <si>
    <t xml:space="preserve">Integração: leitura do PR-SUP-01 rev. 6 e prova de 10 questões.</t>
  </si>
  <si>
    <t xml:space="preserve">Treinamento no sistema de compras, com 20 requisições acompanhadas.</t>
  </si>
  <si>
    <t xml:space="preserve">Especificação técnica: acompanhamento com o supervisor de manutenção.</t>
  </si>
  <si>
    <t xml:space="preserve">Supervisor de manutenção</t>
  </si>
  <si>
    <t xml:space="preserve">Cotação e negociação: acompanhar 10 cotações do comprador sênior.</t>
  </si>
  <si>
    <t xml:space="preserve">Homologação de fornecedores: participar de duas homologações.</t>
  </si>
  <si>
    <t xml:space="preserve">Reciclagem no PR-SUP-01 rev. 6, com foco no cadastro do item antes da compra.</t>
  </si>
  <si>
    <t xml:space="preserve">Não eficaz</t>
  </si>
  <si>
    <t xml:space="preserve">Avaliação de fornecedores: fazer as 12 avaliações de junho com o comprador sênior.</t>
  </si>
  <si>
    <t xml:space="preserve">Curso interno: requisitos da ISO 9001 para aquisição, 4 horas.</t>
  </si>
  <si>
    <t xml:space="preserve">Coordenador da Qualidade</t>
  </si>
  <si>
    <t xml:space="preserve">Formação de auditor interno: curso de 16 horas e duas auditorias acompanhadas.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</si>
</sst>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%"/>
    <numFmt numFmtId="168" formatCode="0"/>
    <numFmt numFmtId="169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8"/>
      <color rgb="FF16242E"/>
      <name val="Arial"/>
      <family val="0"/>
      <charset val="1"/>
    </font>
    <font>
      <b val="true"/>
      <sz val="8"/>
      <color rgb="FF16242E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B0413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EADFF0"/>
        <bgColor rgb="FFF5DEDC"/>
      </patternFill>
    </fill>
    <fill>
      <patternFill patternType="solid">
        <fgColor rgb="FFF5DEDC"/>
        <bgColor rgb="FFF6D9D7"/>
      </patternFill>
    </fill>
    <fill>
      <patternFill patternType="solid">
        <fgColor rgb="FFF8EBCB"/>
        <bgColor rgb="FFFBEBC8"/>
      </patternFill>
    </fill>
    <fill>
      <patternFill patternType="solid">
        <fgColor rgb="FFDCE8F3"/>
        <bgColor rgb="FFD8EFDD"/>
      </patternFill>
    </fill>
    <fill>
      <patternFill patternType="solid">
        <fgColor rgb="FF5B6B76"/>
        <bgColor rgb="FF808080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  <border diagonalUp="false" diagonalDown="false">
      <left style="medium">
        <color rgb="FFB0413E"/>
      </left>
      <right style="medium">
        <color rgb="FFB0413E"/>
      </right>
      <top style="medium">
        <color rgb="FFB0413E"/>
      </top>
      <bottom style="medium">
        <color rgb="FFB0413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DCE8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EADFF0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ont>
        <name val="Arial"/>
        <charset val="1"/>
        <family val="0"/>
        <b val="1"/>
        <color rgb="FFB0413E"/>
        <sz val="10"/>
      </font>
      <border diagonalUp="false" diagonalDown="false">
        <left style="medium">
          <color rgb="FFB0413E"/>
        </left>
        <right style="medium">
          <color rgb="FFB0413E"/>
        </right>
        <top style="medium">
          <color rgb="FFB0413E"/>
        </top>
        <bottom style="medium">
          <color rgb="FFB0413E"/>
        </bottom>
        <diagonal/>
      </border>
    </dxf>
    <dxf>
      <fill>
        <patternFill>
          <bgColor rgb="FFF6D9D7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EADFF0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"Lacunas"</c:f>
              <c:strCache>
                <c:ptCount val="1"/>
                <c:pt idx="0">
                  <c:v>Lacunas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Matriz!$J$39:$J$50</c:f>
              <c:strCache>
                <c:ptCount val="12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</c:strCache>
            </c:strRef>
          </c:cat>
          <c:val>
            <c:numRef>
              <c:f>Matriz!$P$39:$P$50</c:f>
              <c:numCache>
                <c:formatCode>General</c:formatCode>
                <c:ptCount val="12"/>
              </c:numCache>
            </c:numRef>
          </c:val>
        </c:ser>
        <c:gapWidth val="60"/>
        <c:overlap val="0"/>
        <c:axId val="38867580"/>
        <c:axId val="78246966"/>
      </c:barChart>
      <c:catAx>
        <c:axId val="388675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46966"/>
        <c:crosses val="autoZero"/>
        <c:auto val="1"/>
        <c:lblAlgn val="ctr"/>
        <c:lblOffset val="100"/>
        <c:noMultiLvlLbl val="0"/>
      </c:catAx>
      <c:valAx>
        <c:axId val="7824696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6758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37</xdr:row>
      <xdr:rowOff>0</xdr:rowOff>
    </xdr:from>
    <xdr:to>
      <xdr:col>23</xdr:col>
      <xdr:colOff>151200</xdr:colOff>
      <xdr:row>50</xdr:row>
      <xdr:rowOff>40320</xdr:rowOff>
    </xdr:to>
    <xdr:graphicFrame>
      <xdr:nvGraphicFramePr>
        <xdr:cNvPr id="0" name="Chart 1"/>
        <xdr:cNvGraphicFramePr/>
      </xdr:nvGraphicFramePr>
      <xdr:xfrm>
        <a:off x="11066040" y="10477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7" t="s">
        <v>15</v>
      </c>
    </row>
    <row r="13" customFormat="false" ht="31.5" hidden="false" customHeight="true" outlineLevel="0" collapsed="false">
      <c r="B13" s="9" t="s">
        <v>16</v>
      </c>
      <c r="C13" s="7" t="s">
        <v>17</v>
      </c>
    </row>
    <row r="14" customFormat="false" ht="31.5" hidden="false" customHeight="true" outlineLevel="0" collapsed="false">
      <c r="B14" s="10" t="s">
        <v>18</v>
      </c>
      <c r="C14" s="7" t="s">
        <v>19</v>
      </c>
    </row>
    <row r="15" customFormat="false" ht="31.5" hidden="false" customHeight="true" outlineLevel="0" collapsed="false">
      <c r="B15" s="11" t="s">
        <v>20</v>
      </c>
      <c r="C15" s="7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31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5" customFormat="false" ht="21.75" hidden="false" customHeight="true" outlineLevel="0" collapsed="false">
      <c r="B35" s="3" t="s">
        <v>52</v>
      </c>
      <c r="C35" s="3"/>
    </row>
    <row r="36" customFormat="false" ht="19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</sheetData>
  <mergeCells count="7">
    <mergeCell ref="B1:C1"/>
    <mergeCell ref="B2:C2"/>
    <mergeCell ref="B4:C4"/>
    <mergeCell ref="B11:C11"/>
    <mergeCell ref="B17:C17"/>
    <mergeCell ref="B26:C26"/>
    <mergeCell ref="B35:C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P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15" min="4" style="0" width="13"/>
    <col collapsed="false" customWidth="true" hidden="false" outlineLevel="0" max="16" min="16" style="0" width="12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67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68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69</v>
      </c>
      <c r="C4" s="4"/>
      <c r="D4" s="5"/>
      <c r="E4" s="5"/>
      <c r="F4" s="5"/>
      <c r="G4" s="5"/>
    </row>
    <row r="5" customFormat="false" ht="21.75" hidden="false" customHeight="true" outlineLevel="0" collapsed="false">
      <c r="B5" s="4" t="s">
        <v>61</v>
      </c>
      <c r="C5" s="4"/>
      <c r="D5" s="12"/>
      <c r="E5" s="13" t="s">
        <v>70</v>
      </c>
      <c r="F5" s="13"/>
      <c r="G5" s="13"/>
    </row>
    <row r="7" customFormat="false" ht="15" hidden="false" customHeight="false" outlineLevel="0" collapsed="false">
      <c r="B7" s="6"/>
      <c r="C7" s="4" t="s">
        <v>71</v>
      </c>
      <c r="D7" s="14" t="s">
        <v>72</v>
      </c>
      <c r="E7" s="14" t="s">
        <v>73</v>
      </c>
      <c r="F7" s="14" t="s">
        <v>74</v>
      </c>
      <c r="G7" s="14" t="s">
        <v>75</v>
      </c>
      <c r="H7" s="14" t="s">
        <v>76</v>
      </c>
      <c r="I7" s="14" t="s">
        <v>77</v>
      </c>
      <c r="J7" s="14" t="s">
        <v>78</v>
      </c>
      <c r="K7" s="14" t="s">
        <v>79</v>
      </c>
      <c r="L7" s="14" t="s">
        <v>80</v>
      </c>
      <c r="M7" s="14" t="s">
        <v>81</v>
      </c>
      <c r="N7" s="14" t="s">
        <v>82</v>
      </c>
      <c r="O7" s="14" t="s">
        <v>83</v>
      </c>
      <c r="P7" s="6"/>
    </row>
    <row r="8" customFormat="false" ht="45" hidden="false" customHeight="true" outlineLevel="0" collapsed="false">
      <c r="B8" s="6"/>
      <c r="C8" s="4" t="s">
        <v>84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6"/>
    </row>
    <row r="9" customFormat="false" ht="33" hidden="false" customHeight="true" outlineLevel="0" collapsed="false">
      <c r="B9" s="16" t="s">
        <v>85</v>
      </c>
      <c r="C9" s="16" t="s">
        <v>86</v>
      </c>
      <c r="D9" s="16" t="s">
        <v>87</v>
      </c>
      <c r="E9" s="16" t="s">
        <v>87</v>
      </c>
      <c r="F9" s="16" t="s">
        <v>87</v>
      </c>
      <c r="G9" s="16" t="s">
        <v>87</v>
      </c>
      <c r="H9" s="16" t="s">
        <v>87</v>
      </c>
      <c r="I9" s="16" t="s">
        <v>87</v>
      </c>
      <c r="J9" s="16" t="s">
        <v>87</v>
      </c>
      <c r="K9" s="16" t="s">
        <v>87</v>
      </c>
      <c r="L9" s="16" t="s">
        <v>87</v>
      </c>
      <c r="M9" s="16" t="s">
        <v>87</v>
      </c>
      <c r="N9" s="16" t="s">
        <v>87</v>
      </c>
      <c r="O9" s="16" t="s">
        <v>87</v>
      </c>
      <c r="P9" s="16" t="s">
        <v>88</v>
      </c>
    </row>
    <row r="10" customFormat="false" ht="21.75" hidden="false" customHeight="true" outlineLevel="0" collapsed="false">
      <c r="B10" s="14" t="n">
        <v>1</v>
      </c>
      <c r="C10" s="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7" t="str">
        <f aca="false">IF(C10="","",COUNTIF(D10:O10,"&gt;0"))</f>
        <v/>
      </c>
    </row>
    <row r="11" customFormat="false" ht="21.75" hidden="false" customHeight="true" outlineLevel="0" collapsed="false">
      <c r="B11" s="14" t="n">
        <v>2</v>
      </c>
      <c r="C11" s="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7" t="str">
        <f aca="false">IF(C11="","",COUNTIF(D11:O11,"&gt;0"))</f>
        <v/>
      </c>
    </row>
    <row r="12" customFormat="false" ht="21.75" hidden="false" customHeight="true" outlineLevel="0" collapsed="false">
      <c r="B12" s="14" t="n">
        <v>3</v>
      </c>
      <c r="C12" s="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 t="str">
        <f aca="false">IF(C12="","",COUNTIF(D12:O12,"&gt;0"))</f>
        <v/>
      </c>
    </row>
    <row r="13" customFormat="false" ht="21.75" hidden="false" customHeight="true" outlineLevel="0" collapsed="false">
      <c r="B13" s="14" t="n">
        <v>4</v>
      </c>
      <c r="C13" s="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7" t="str">
        <f aca="false">IF(C13="","",COUNTIF(D13:O13,"&gt;0"))</f>
        <v/>
      </c>
    </row>
    <row r="14" customFormat="false" ht="21.75" hidden="false" customHeight="true" outlineLevel="0" collapsed="false">
      <c r="B14" s="14" t="n">
        <v>5</v>
      </c>
      <c r="C14" s="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7" t="str">
        <f aca="false">IF(C14="","",COUNTIF(D14:O14,"&gt;0"))</f>
        <v/>
      </c>
    </row>
    <row r="15" customFormat="false" ht="21.75" hidden="false" customHeight="true" outlineLevel="0" collapsed="false">
      <c r="B15" s="14" t="n">
        <v>6</v>
      </c>
      <c r="C15" s="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7" t="str">
        <f aca="false">IF(C15="","",COUNTIF(D15:O15,"&gt;0"))</f>
        <v/>
      </c>
    </row>
    <row r="16" customFormat="false" ht="21.75" hidden="false" customHeight="true" outlineLevel="0" collapsed="false">
      <c r="B16" s="14" t="n">
        <v>7</v>
      </c>
      <c r="C16" s="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7" t="str">
        <f aca="false">IF(C16="","",COUNTIF(D16:O16,"&gt;0"))</f>
        <v/>
      </c>
    </row>
    <row r="17" customFormat="false" ht="21.75" hidden="false" customHeight="true" outlineLevel="0" collapsed="false">
      <c r="B17" s="14" t="n">
        <v>8</v>
      </c>
      <c r="C17" s="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7" t="str">
        <f aca="false">IF(C17="","",COUNTIF(D17:O17,"&gt;0"))</f>
        <v/>
      </c>
    </row>
    <row r="18" customFormat="false" ht="21.75" hidden="false" customHeight="true" outlineLevel="0" collapsed="false">
      <c r="B18" s="14" t="n">
        <v>9</v>
      </c>
      <c r="C18" s="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7" t="str">
        <f aca="false">IF(C18="","",COUNTIF(D18:O18,"&gt;0"))</f>
        <v/>
      </c>
    </row>
    <row r="19" customFormat="false" ht="21.75" hidden="false" customHeight="true" outlineLevel="0" collapsed="false">
      <c r="B19" s="14" t="n">
        <v>10</v>
      </c>
      <c r="C19" s="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7" t="str">
        <f aca="false">IF(C19="","",COUNTIF(D19:O19,"&gt;0"))</f>
        <v/>
      </c>
    </row>
    <row r="21" customFormat="false" ht="21.75" hidden="false" customHeight="true" outlineLevel="0" collapsed="false">
      <c r="B21" s="18" t="s">
        <v>89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1.75" hidden="false" customHeight="true" outlineLevel="0" collapsed="false">
      <c r="B22" s="19" t="s">
        <v>90</v>
      </c>
      <c r="C22" s="19"/>
      <c r="D22" s="19"/>
      <c r="E22" s="20" t="n">
        <f aca="false">COUNTA(C10:C19)</f>
        <v>0</v>
      </c>
      <c r="F22" s="20"/>
      <c r="G22" s="20"/>
    </row>
    <row r="23" customFormat="false" ht="21.75" hidden="false" customHeight="true" outlineLevel="0" collapsed="false">
      <c r="B23" s="19" t="s">
        <v>91</v>
      </c>
      <c r="C23" s="19"/>
      <c r="D23" s="19"/>
      <c r="E23" s="20" t="n">
        <f aca="false">COUNTA(D8:O8)</f>
        <v>0</v>
      </c>
      <c r="F23" s="20"/>
      <c r="G23" s="20"/>
    </row>
    <row r="24" customFormat="false" ht="21.75" hidden="false" customHeight="true" outlineLevel="0" collapsed="false">
      <c r="B24" s="19" t="s">
        <v>92</v>
      </c>
      <c r="C24" s="19"/>
      <c r="D24" s="19"/>
      <c r="E24" s="21" t="str">
        <f aca="false">IF(E22=0,"Cadastre as funções",IF(E23=0,"Cadastre as competências",IF(COUNTIF(P10:P19,0)&gt;0,"Há função sem nenhuma competência exigida",IF(SUMPRODUCT((D8:O8="")*(D10:O19&gt;0))&gt;0,"Há nível requerido em competência sem nome","OK"))))</f>
        <v>Cadastre as funções</v>
      </c>
      <c r="F24" s="21"/>
      <c r="G24" s="21"/>
    </row>
  </sheetData>
  <mergeCells count="13">
    <mergeCell ref="B1:P1"/>
    <mergeCell ref="B2:P2"/>
    <mergeCell ref="B4:C4"/>
    <mergeCell ref="D4:G4"/>
    <mergeCell ref="B5:C5"/>
    <mergeCell ref="E5:G5"/>
    <mergeCell ref="B21:P21"/>
    <mergeCell ref="B22:D22"/>
    <mergeCell ref="E22:G22"/>
    <mergeCell ref="B23:D23"/>
    <mergeCell ref="E23:G23"/>
    <mergeCell ref="B24:D24"/>
    <mergeCell ref="E24:G24"/>
  </mergeCells>
  <conditionalFormatting sqref="D10:O19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conditionalFormatting sqref="E24:G24">
    <cfRule type="expression" priority="6" aboveAverage="0" equalAverage="0" bottom="0" percent="0" rank="0" text="" dxfId="4">
      <formula>OR(E24="OK")</formula>
    </cfRule>
    <cfRule type="expression" priority="7" aboveAverage="0" equalAverage="0" bottom="0" percent="0" rank="0" text="" dxfId="5">
      <formula>AND(LEN(E24)&gt;0,NOT(OR(E24="OK")))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0, 1, 2 ou 3." errorStyle="stop" errorTitle="Nível inválido" operator="between" prompt="0 não conhece · 1 com acompanhamento · 2 sozinho · 3 treina os outros" promptTitle="Nível" showDropDown="false" showErrorMessage="true" showInputMessage="true" sqref="D10:O19" type="whole">
      <formula1>0</formula1>
      <formula2>3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T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16" min="5" style="0" width="9"/>
    <col collapsed="false" customWidth="true" hidden="false" outlineLevel="0" max="19" min="17" style="0" width="10"/>
    <col collapsed="false" customWidth="true" hidden="false" outlineLevel="0" max="20" min="20" style="0" width="20"/>
    <col collapsed="false" customWidth="true" hidden="false" outlineLevel="0" max="21" min="21" style="0" width="2"/>
  </cols>
  <sheetData>
    <row r="1" customFormat="false" ht="31.5" hidden="false" customHeight="true" outlineLevel="0" collapsed="false">
      <c r="B1" s="1" t="s">
        <v>93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B2" s="2" t="s">
        <v>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1.75" hidden="false" customHeight="true" outlineLevel="0" collapsed="false">
      <c r="B4" s="4" t="s">
        <v>69</v>
      </c>
      <c r="C4" s="4"/>
      <c r="D4" s="22" t="str">
        <f aca="false">IF(Funções!D4="","",Funções!D4)</f>
        <v/>
      </c>
      <c r="E4" s="22"/>
      <c r="F4" s="22"/>
      <c r="G4" s="22"/>
    </row>
    <row r="5" customFormat="false" ht="21.75" hidden="false" customHeight="true" outlineLevel="0" collapsed="false">
      <c r="B5" s="4" t="s">
        <v>61</v>
      </c>
      <c r="C5" s="4"/>
      <c r="D5" s="23" t="str">
        <f aca="false">IF(Funções!D5="","",Funções!D5)</f>
        <v/>
      </c>
    </row>
    <row r="7" customFormat="false" ht="21.75" hidden="false" customHeight="true" outlineLevel="0" collapsed="false">
      <c r="B7" s="16" t="s">
        <v>85</v>
      </c>
      <c r="C7" s="16" t="s">
        <v>95</v>
      </c>
      <c r="D7" s="16" t="s">
        <v>86</v>
      </c>
      <c r="E7" s="16" t="s">
        <v>72</v>
      </c>
      <c r="F7" s="16" t="s">
        <v>73</v>
      </c>
      <c r="G7" s="16" t="s">
        <v>74</v>
      </c>
      <c r="H7" s="16" t="s">
        <v>75</v>
      </c>
      <c r="I7" s="16" t="s">
        <v>76</v>
      </c>
      <c r="J7" s="16" t="s">
        <v>77</v>
      </c>
      <c r="K7" s="16" t="s">
        <v>78</v>
      </c>
      <c r="L7" s="16" t="s">
        <v>79</v>
      </c>
      <c r="M7" s="16" t="s">
        <v>80</v>
      </c>
      <c r="N7" s="16" t="s">
        <v>81</v>
      </c>
      <c r="O7" s="16" t="s">
        <v>82</v>
      </c>
      <c r="P7" s="16" t="s">
        <v>83</v>
      </c>
      <c r="Q7" s="16" t="s">
        <v>96</v>
      </c>
      <c r="R7" s="16" t="s">
        <v>97</v>
      </c>
      <c r="S7" s="16" t="s">
        <v>98</v>
      </c>
      <c r="T7" s="16" t="s">
        <v>99</v>
      </c>
    </row>
    <row r="8" customFormat="false" ht="48" hidden="false" customHeight="true" outlineLevel="0" collapsed="false">
      <c r="B8" s="6"/>
      <c r="C8" s="24" t="s">
        <v>100</v>
      </c>
      <c r="D8" s="24"/>
      <c r="E8" s="25" t="str">
        <f aca="false">IF(Funções!D8="","",Funções!D8)</f>
        <v/>
      </c>
      <c r="F8" s="25" t="str">
        <f aca="false">IF(Funções!E8="","",Funções!E8)</f>
        <v/>
      </c>
      <c r="G8" s="25" t="str">
        <f aca="false">IF(Funções!F8="","",Funções!F8)</f>
        <v/>
      </c>
      <c r="H8" s="25" t="str">
        <f aca="false">IF(Funções!G8="","",Funções!G8)</f>
        <v/>
      </c>
      <c r="I8" s="25" t="str">
        <f aca="false">IF(Funções!H8="","",Funções!H8)</f>
        <v/>
      </c>
      <c r="J8" s="25" t="str">
        <f aca="false">IF(Funções!I8="","",Funções!I8)</f>
        <v/>
      </c>
      <c r="K8" s="25" t="str">
        <f aca="false">IF(Funções!J8="","",Funções!J8)</f>
        <v/>
      </c>
      <c r="L8" s="25" t="str">
        <f aca="false">IF(Funções!K8="","",Funções!K8)</f>
        <v/>
      </c>
      <c r="M8" s="25" t="str">
        <f aca="false">IF(Funções!L8="","",Funções!L8)</f>
        <v/>
      </c>
      <c r="N8" s="25" t="str">
        <f aca="false">IF(Funções!M8="","",Funções!M8)</f>
        <v/>
      </c>
      <c r="O8" s="25" t="str">
        <f aca="false">IF(Funções!N8="","",Funções!N8)</f>
        <v/>
      </c>
      <c r="P8" s="25" t="str">
        <f aca="false">IF(Funções!O8="","",Funções!O8)</f>
        <v/>
      </c>
      <c r="Q8" s="6"/>
      <c r="R8" s="6"/>
      <c r="S8" s="6"/>
      <c r="T8" s="6"/>
    </row>
    <row r="9" customFormat="false" ht="30" hidden="false" customHeight="true" outlineLevel="0" collapsed="false">
      <c r="B9" s="24"/>
      <c r="C9" s="24" t="s">
        <v>101</v>
      </c>
      <c r="D9" s="24" t="s">
        <v>102</v>
      </c>
      <c r="E9" s="24" t="s">
        <v>103</v>
      </c>
      <c r="F9" s="24" t="s">
        <v>103</v>
      </c>
      <c r="G9" s="24" t="s">
        <v>103</v>
      </c>
      <c r="H9" s="24" t="s">
        <v>103</v>
      </c>
      <c r="I9" s="24" t="s">
        <v>103</v>
      </c>
      <c r="J9" s="24" t="s">
        <v>103</v>
      </c>
      <c r="K9" s="24" t="s">
        <v>103</v>
      </c>
      <c r="L9" s="24" t="s">
        <v>103</v>
      </c>
      <c r="M9" s="24" t="s">
        <v>103</v>
      </c>
      <c r="N9" s="24" t="s">
        <v>103</v>
      </c>
      <c r="O9" s="24" t="s">
        <v>103</v>
      </c>
      <c r="P9" s="24" t="s">
        <v>103</v>
      </c>
      <c r="Q9" s="24" t="s">
        <v>104</v>
      </c>
      <c r="R9" s="24" t="s">
        <v>104</v>
      </c>
      <c r="S9" s="24" t="s">
        <v>104</v>
      </c>
      <c r="T9" s="24" t="s">
        <v>104</v>
      </c>
    </row>
    <row r="10" customFormat="false" ht="21.75" hidden="false" customHeight="true" outlineLevel="0" collapsed="false">
      <c r="B10" s="14" t="n">
        <v>1</v>
      </c>
      <c r="C10" s="5"/>
      <c r="D10" s="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7" t="str">
        <f aca="false">IF(C10="","",COUNTIF(E56:P56,"&gt;0"))</f>
        <v/>
      </c>
      <c r="R10" s="17" t="str">
        <f aca="false">IF(C10="","",SUMPRODUCT((E56:P56&gt;E10:P10)*1))</f>
        <v/>
      </c>
      <c r="S10" s="26" t="str">
        <f aca="false">IF(OR(C10="",Q10=0),"",1-R10/Q10)</f>
        <v/>
      </c>
      <c r="T10" s="21" t="str">
        <f aca="false">IF(C10="","",IF(D10="","Falta a função",IF(ISNA(MATCH(D10,Funções!$C$10:$C$19,0)),"Função não cadastrada",IF(R10=0,"Sem lacunas","Com lacunas"))))</f>
        <v/>
      </c>
    </row>
    <row r="11" customFormat="false" ht="21.75" hidden="false" customHeight="true" outlineLevel="0" collapsed="false">
      <c r="B11" s="14" t="n">
        <v>2</v>
      </c>
      <c r="C11" s="5"/>
      <c r="D11" s="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7" t="str">
        <f aca="false">IF(C11="","",COUNTIF(E57:P57,"&gt;0"))</f>
        <v/>
      </c>
      <c r="R11" s="17" t="str">
        <f aca="false">IF(C11="","",SUMPRODUCT((E57:P57&gt;E11:P11)*1))</f>
        <v/>
      </c>
      <c r="S11" s="26" t="str">
        <f aca="false">IF(OR(C11="",Q11=0),"",1-R11/Q11)</f>
        <v/>
      </c>
      <c r="T11" s="21" t="str">
        <f aca="false">IF(C11="","",IF(D11="","Falta a função",IF(ISNA(MATCH(D11,Funções!$C$10:$C$19,0)),"Função não cadastrada",IF(R11=0,"Sem lacunas","Com lacunas"))))</f>
        <v/>
      </c>
    </row>
    <row r="12" customFormat="false" ht="21.75" hidden="false" customHeight="true" outlineLevel="0" collapsed="false">
      <c r="B12" s="14" t="n">
        <v>3</v>
      </c>
      <c r="C12" s="5"/>
      <c r="D12" s="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7" t="str">
        <f aca="false">IF(C12="","",COUNTIF(E58:P58,"&gt;0"))</f>
        <v/>
      </c>
      <c r="R12" s="17" t="str">
        <f aca="false">IF(C12="","",SUMPRODUCT((E58:P58&gt;E12:P12)*1))</f>
        <v/>
      </c>
      <c r="S12" s="26" t="str">
        <f aca="false">IF(OR(C12="",Q12=0),"",1-R12/Q12)</f>
        <v/>
      </c>
      <c r="T12" s="21" t="str">
        <f aca="false">IF(C12="","",IF(D12="","Falta a função",IF(ISNA(MATCH(D12,Funções!$C$10:$C$19,0)),"Função não cadastrada",IF(R12=0,"Sem lacunas","Com lacunas"))))</f>
        <v/>
      </c>
    </row>
    <row r="13" customFormat="false" ht="21.75" hidden="false" customHeight="true" outlineLevel="0" collapsed="false">
      <c r="B13" s="14" t="n">
        <v>4</v>
      </c>
      <c r="C13" s="5"/>
      <c r="D13" s="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7" t="str">
        <f aca="false">IF(C13="","",COUNTIF(E59:P59,"&gt;0"))</f>
        <v/>
      </c>
      <c r="R13" s="17" t="str">
        <f aca="false">IF(C13="","",SUMPRODUCT((E59:P59&gt;E13:P13)*1))</f>
        <v/>
      </c>
      <c r="S13" s="26" t="str">
        <f aca="false">IF(OR(C13="",Q13=0),"",1-R13/Q13)</f>
        <v/>
      </c>
      <c r="T13" s="21" t="str">
        <f aca="false">IF(C13="","",IF(D13="","Falta a função",IF(ISNA(MATCH(D13,Funções!$C$10:$C$19,0)),"Função não cadastrada",IF(R13=0,"Sem lacunas","Com lacunas"))))</f>
        <v/>
      </c>
    </row>
    <row r="14" customFormat="false" ht="21.75" hidden="false" customHeight="true" outlineLevel="0" collapsed="false">
      <c r="B14" s="14" t="n">
        <v>5</v>
      </c>
      <c r="C14" s="5"/>
      <c r="D14" s="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7" t="str">
        <f aca="false">IF(C14="","",COUNTIF(E60:P60,"&gt;0"))</f>
        <v/>
      </c>
      <c r="R14" s="17" t="str">
        <f aca="false">IF(C14="","",SUMPRODUCT((E60:P60&gt;E14:P14)*1))</f>
        <v/>
      </c>
      <c r="S14" s="26" t="str">
        <f aca="false">IF(OR(C14="",Q14=0),"",1-R14/Q14)</f>
        <v/>
      </c>
      <c r="T14" s="21" t="str">
        <f aca="false">IF(C14="","",IF(D14="","Falta a função",IF(ISNA(MATCH(D14,Funções!$C$10:$C$19,0)),"Função não cadastrada",IF(R14=0,"Sem lacunas","Com lacunas"))))</f>
        <v/>
      </c>
    </row>
    <row r="15" customFormat="false" ht="21.75" hidden="false" customHeight="true" outlineLevel="0" collapsed="false">
      <c r="B15" s="14" t="n">
        <v>6</v>
      </c>
      <c r="C15" s="5"/>
      <c r="D15" s="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7" t="str">
        <f aca="false">IF(C15="","",COUNTIF(E61:P61,"&gt;0"))</f>
        <v/>
      </c>
      <c r="R15" s="17" t="str">
        <f aca="false">IF(C15="","",SUMPRODUCT((E61:P61&gt;E15:P15)*1))</f>
        <v/>
      </c>
      <c r="S15" s="26" t="str">
        <f aca="false">IF(OR(C15="",Q15=0),"",1-R15/Q15)</f>
        <v/>
      </c>
      <c r="T15" s="21" t="str">
        <f aca="false">IF(C15="","",IF(D15="","Falta a função",IF(ISNA(MATCH(D15,Funções!$C$10:$C$19,0)),"Função não cadastrada",IF(R15=0,"Sem lacunas","Com lacunas"))))</f>
        <v/>
      </c>
    </row>
    <row r="16" customFormat="false" ht="21.75" hidden="false" customHeight="true" outlineLevel="0" collapsed="false">
      <c r="B16" s="14" t="n">
        <v>7</v>
      </c>
      <c r="C16" s="5"/>
      <c r="D16" s="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7" t="str">
        <f aca="false">IF(C16="","",COUNTIF(E62:P62,"&gt;0"))</f>
        <v/>
      </c>
      <c r="R16" s="17" t="str">
        <f aca="false">IF(C16="","",SUMPRODUCT((E62:P62&gt;E16:P16)*1))</f>
        <v/>
      </c>
      <c r="S16" s="26" t="str">
        <f aca="false">IF(OR(C16="",Q16=0),"",1-R16/Q16)</f>
        <v/>
      </c>
      <c r="T16" s="21" t="str">
        <f aca="false">IF(C16="","",IF(D16="","Falta a função",IF(ISNA(MATCH(D16,Funções!$C$10:$C$19,0)),"Função não cadastrada",IF(R16=0,"Sem lacunas","Com lacunas"))))</f>
        <v/>
      </c>
    </row>
    <row r="17" customFormat="false" ht="21.75" hidden="false" customHeight="true" outlineLevel="0" collapsed="false">
      <c r="B17" s="14" t="n">
        <v>8</v>
      </c>
      <c r="C17" s="5"/>
      <c r="D17" s="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7" t="str">
        <f aca="false">IF(C17="","",COUNTIF(E63:P63,"&gt;0"))</f>
        <v/>
      </c>
      <c r="R17" s="17" t="str">
        <f aca="false">IF(C17="","",SUMPRODUCT((E63:P63&gt;E17:P17)*1))</f>
        <v/>
      </c>
      <c r="S17" s="26" t="str">
        <f aca="false">IF(OR(C17="",Q17=0),"",1-R17/Q17)</f>
        <v/>
      </c>
      <c r="T17" s="21" t="str">
        <f aca="false">IF(C17="","",IF(D17="","Falta a função",IF(ISNA(MATCH(D17,Funções!$C$10:$C$19,0)),"Função não cadastrada",IF(R17=0,"Sem lacunas","Com lacunas"))))</f>
        <v/>
      </c>
    </row>
    <row r="18" customFormat="false" ht="21.75" hidden="false" customHeight="true" outlineLevel="0" collapsed="false">
      <c r="B18" s="14" t="n">
        <v>9</v>
      </c>
      <c r="C18" s="5"/>
      <c r="D18" s="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7" t="str">
        <f aca="false">IF(C18="","",COUNTIF(E64:P64,"&gt;0"))</f>
        <v/>
      </c>
      <c r="R18" s="17" t="str">
        <f aca="false">IF(C18="","",SUMPRODUCT((E64:P64&gt;E18:P18)*1))</f>
        <v/>
      </c>
      <c r="S18" s="26" t="str">
        <f aca="false">IF(OR(C18="",Q18=0),"",1-R18/Q18)</f>
        <v/>
      </c>
      <c r="T18" s="21" t="str">
        <f aca="false">IF(C18="","",IF(D18="","Falta a função",IF(ISNA(MATCH(D18,Funções!$C$10:$C$19,0)),"Função não cadastrada",IF(R18=0,"Sem lacunas","Com lacunas"))))</f>
        <v/>
      </c>
    </row>
    <row r="19" customFormat="false" ht="21.75" hidden="false" customHeight="true" outlineLevel="0" collapsed="false">
      <c r="B19" s="14" t="n">
        <v>10</v>
      </c>
      <c r="C19" s="5"/>
      <c r="D19" s="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7" t="str">
        <f aca="false">IF(C19="","",COUNTIF(E65:P65,"&gt;0"))</f>
        <v/>
      </c>
      <c r="R19" s="17" t="str">
        <f aca="false">IF(C19="","",SUMPRODUCT((E65:P65&gt;E19:P19)*1))</f>
        <v/>
      </c>
      <c r="S19" s="26" t="str">
        <f aca="false">IF(OR(C19="",Q19=0),"",1-R19/Q19)</f>
        <v/>
      </c>
      <c r="T19" s="21" t="str">
        <f aca="false">IF(C19="","",IF(D19="","Falta a função",IF(ISNA(MATCH(D19,Funções!$C$10:$C$19,0)),"Função não cadastrada",IF(R19=0,"Sem lacunas","Com lacunas"))))</f>
        <v/>
      </c>
    </row>
    <row r="20" customFormat="false" ht="21.75" hidden="false" customHeight="true" outlineLevel="0" collapsed="false">
      <c r="B20" s="14" t="n">
        <v>11</v>
      </c>
      <c r="C20" s="5"/>
      <c r="D20" s="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7" t="str">
        <f aca="false">IF(C20="","",COUNTIF(E66:P66,"&gt;0"))</f>
        <v/>
      </c>
      <c r="R20" s="17" t="str">
        <f aca="false">IF(C20="","",SUMPRODUCT((E66:P66&gt;E20:P20)*1))</f>
        <v/>
      </c>
      <c r="S20" s="26" t="str">
        <f aca="false">IF(OR(C20="",Q20=0),"",1-R20/Q20)</f>
        <v/>
      </c>
      <c r="T20" s="21" t="str">
        <f aca="false">IF(C20="","",IF(D20="","Falta a função",IF(ISNA(MATCH(D20,Funções!$C$10:$C$19,0)),"Função não cadastrada",IF(R20=0,"Sem lacunas","Com lacunas"))))</f>
        <v/>
      </c>
    </row>
    <row r="21" customFormat="false" ht="21.75" hidden="false" customHeight="true" outlineLevel="0" collapsed="false">
      <c r="B21" s="14" t="n">
        <v>12</v>
      </c>
      <c r="C21" s="5"/>
      <c r="D21" s="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7" t="str">
        <f aca="false">IF(C21="","",COUNTIF(E67:P67,"&gt;0"))</f>
        <v/>
      </c>
      <c r="R21" s="17" t="str">
        <f aca="false">IF(C21="","",SUMPRODUCT((E67:P67&gt;E21:P21)*1))</f>
        <v/>
      </c>
      <c r="S21" s="26" t="str">
        <f aca="false">IF(OR(C21="",Q21=0),"",1-R21/Q21)</f>
        <v/>
      </c>
      <c r="T21" s="21" t="str">
        <f aca="false">IF(C21="","",IF(D21="","Falta a função",IF(ISNA(MATCH(D21,Funções!$C$10:$C$19,0)),"Função não cadastrada",IF(R21=0,"Sem lacunas","Com lacunas"))))</f>
        <v/>
      </c>
    </row>
    <row r="22" customFormat="false" ht="21.75" hidden="false" customHeight="true" outlineLevel="0" collapsed="false">
      <c r="B22" s="14" t="n">
        <v>13</v>
      </c>
      <c r="C22" s="5"/>
      <c r="D22" s="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7" t="str">
        <f aca="false">IF(C22="","",COUNTIF(E68:P68,"&gt;0"))</f>
        <v/>
      </c>
      <c r="R22" s="17" t="str">
        <f aca="false">IF(C22="","",SUMPRODUCT((E68:P68&gt;E22:P22)*1))</f>
        <v/>
      </c>
      <c r="S22" s="26" t="str">
        <f aca="false">IF(OR(C22="",Q22=0),"",1-R22/Q22)</f>
        <v/>
      </c>
      <c r="T22" s="21" t="str">
        <f aca="false">IF(C22="","",IF(D22="","Falta a função",IF(ISNA(MATCH(D22,Funções!$C$10:$C$19,0)),"Função não cadastrada",IF(R22=0,"Sem lacunas","Com lacunas"))))</f>
        <v/>
      </c>
    </row>
    <row r="23" customFormat="false" ht="21.75" hidden="false" customHeight="true" outlineLevel="0" collapsed="false">
      <c r="B23" s="14" t="n">
        <v>14</v>
      </c>
      <c r="C23" s="5"/>
      <c r="D23" s="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7" t="str">
        <f aca="false">IF(C23="","",COUNTIF(E69:P69,"&gt;0"))</f>
        <v/>
      </c>
      <c r="R23" s="17" t="str">
        <f aca="false">IF(C23="","",SUMPRODUCT((E69:P69&gt;E23:P23)*1))</f>
        <v/>
      </c>
      <c r="S23" s="26" t="str">
        <f aca="false">IF(OR(C23="",Q23=0),"",1-R23/Q23)</f>
        <v/>
      </c>
      <c r="T23" s="21" t="str">
        <f aca="false">IF(C23="","",IF(D23="","Falta a função",IF(ISNA(MATCH(D23,Funções!$C$10:$C$19,0)),"Função não cadastrada",IF(R23=0,"Sem lacunas","Com lacunas"))))</f>
        <v/>
      </c>
    </row>
    <row r="24" customFormat="false" ht="21.75" hidden="false" customHeight="true" outlineLevel="0" collapsed="false">
      <c r="B24" s="14" t="n">
        <v>15</v>
      </c>
      <c r="C24" s="5"/>
      <c r="D24" s="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7" t="str">
        <f aca="false">IF(C24="","",COUNTIF(E70:P70,"&gt;0"))</f>
        <v/>
      </c>
      <c r="R24" s="17" t="str">
        <f aca="false">IF(C24="","",SUMPRODUCT((E70:P70&gt;E24:P24)*1))</f>
        <v/>
      </c>
      <c r="S24" s="26" t="str">
        <f aca="false">IF(OR(C24="",Q24=0),"",1-R24/Q24)</f>
        <v/>
      </c>
      <c r="T24" s="21" t="str">
        <f aca="false">IF(C24="","",IF(D24="","Falta a função",IF(ISNA(MATCH(D24,Funções!$C$10:$C$19,0)),"Função não cadastrada",IF(R24=0,"Sem lacunas","Com lacunas"))))</f>
        <v/>
      </c>
    </row>
    <row r="25" customFormat="false" ht="21.75" hidden="false" customHeight="true" outlineLevel="0" collapsed="false">
      <c r="B25" s="14" t="n">
        <v>16</v>
      </c>
      <c r="C25" s="5"/>
      <c r="D25" s="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7" t="str">
        <f aca="false">IF(C25="","",COUNTIF(E71:P71,"&gt;0"))</f>
        <v/>
      </c>
      <c r="R25" s="17" t="str">
        <f aca="false">IF(C25="","",SUMPRODUCT((E71:P71&gt;E25:P25)*1))</f>
        <v/>
      </c>
      <c r="S25" s="26" t="str">
        <f aca="false">IF(OR(C25="",Q25=0),"",1-R25/Q25)</f>
        <v/>
      </c>
      <c r="T25" s="21" t="str">
        <f aca="false">IF(C25="","",IF(D25="","Falta a função",IF(ISNA(MATCH(D25,Funções!$C$10:$C$19,0)),"Função não cadastrada",IF(R25=0,"Sem lacunas","Com lacunas"))))</f>
        <v/>
      </c>
    </row>
    <row r="26" customFormat="false" ht="21.75" hidden="false" customHeight="true" outlineLevel="0" collapsed="false">
      <c r="B26" s="14" t="n">
        <v>17</v>
      </c>
      <c r="C26" s="5"/>
      <c r="D26" s="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7" t="str">
        <f aca="false">IF(C26="","",COUNTIF(E72:P72,"&gt;0"))</f>
        <v/>
      </c>
      <c r="R26" s="17" t="str">
        <f aca="false">IF(C26="","",SUMPRODUCT((E72:P72&gt;E26:P26)*1))</f>
        <v/>
      </c>
      <c r="S26" s="26" t="str">
        <f aca="false">IF(OR(C26="",Q26=0),"",1-R26/Q26)</f>
        <v/>
      </c>
      <c r="T26" s="21" t="str">
        <f aca="false">IF(C26="","",IF(D26="","Falta a função",IF(ISNA(MATCH(D26,Funções!$C$10:$C$19,0)),"Função não cadastrada",IF(R26=0,"Sem lacunas","Com lacunas"))))</f>
        <v/>
      </c>
    </row>
    <row r="27" customFormat="false" ht="21.75" hidden="false" customHeight="true" outlineLevel="0" collapsed="false">
      <c r="B27" s="14" t="n">
        <v>18</v>
      </c>
      <c r="C27" s="5"/>
      <c r="D27" s="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7" t="str">
        <f aca="false">IF(C27="","",COUNTIF(E73:P73,"&gt;0"))</f>
        <v/>
      </c>
      <c r="R27" s="17" t="str">
        <f aca="false">IF(C27="","",SUMPRODUCT((E73:P73&gt;E27:P27)*1))</f>
        <v/>
      </c>
      <c r="S27" s="26" t="str">
        <f aca="false">IF(OR(C27="",Q27=0),"",1-R27/Q27)</f>
        <v/>
      </c>
      <c r="T27" s="21" t="str">
        <f aca="false">IF(C27="","",IF(D27="","Falta a função",IF(ISNA(MATCH(D27,Funções!$C$10:$C$19,0)),"Função não cadastrada",IF(R27=0,"Sem lacunas","Com lacunas"))))</f>
        <v/>
      </c>
    </row>
    <row r="28" customFormat="false" ht="21.75" hidden="false" customHeight="true" outlineLevel="0" collapsed="false">
      <c r="B28" s="14" t="n">
        <v>19</v>
      </c>
      <c r="C28" s="5"/>
      <c r="D28" s="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7" t="str">
        <f aca="false">IF(C28="","",COUNTIF(E74:P74,"&gt;0"))</f>
        <v/>
      </c>
      <c r="R28" s="17" t="str">
        <f aca="false">IF(C28="","",SUMPRODUCT((E74:P74&gt;E28:P28)*1))</f>
        <v/>
      </c>
      <c r="S28" s="26" t="str">
        <f aca="false">IF(OR(C28="",Q28=0),"",1-R28/Q28)</f>
        <v/>
      </c>
      <c r="T28" s="21" t="str">
        <f aca="false">IF(C28="","",IF(D28="","Falta a função",IF(ISNA(MATCH(D28,Funções!$C$10:$C$19,0)),"Função não cadastrada",IF(R28=0,"Sem lacunas","Com lacunas"))))</f>
        <v/>
      </c>
    </row>
    <row r="29" customFormat="false" ht="21.75" hidden="false" customHeight="true" outlineLevel="0" collapsed="false">
      <c r="B29" s="14" t="n">
        <v>20</v>
      </c>
      <c r="C29" s="5"/>
      <c r="D29" s="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7" t="str">
        <f aca="false">IF(C29="","",COUNTIF(E75:P75,"&gt;0"))</f>
        <v/>
      </c>
      <c r="R29" s="17" t="str">
        <f aca="false">IF(C29="","",SUMPRODUCT((E75:P75&gt;E29:P29)*1))</f>
        <v/>
      </c>
      <c r="S29" s="26" t="str">
        <f aca="false">IF(OR(C29="",Q29=0),"",1-R29/Q29)</f>
        <v/>
      </c>
      <c r="T29" s="21" t="str">
        <f aca="false">IF(C29="","",IF(D29="","Falta a função",IF(ISNA(MATCH(D29,Funções!$C$10:$C$19,0)),"Função não cadastrada",IF(R29=0,"Sem lacunas","Com lacunas"))))</f>
        <v/>
      </c>
    </row>
    <row r="31" customFormat="false" ht="21.75" hidden="false" customHeight="true" outlineLevel="0" collapsed="false">
      <c r="B31" s="18" t="s">
        <v>105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customFormat="false" ht="21.75" hidden="false" customHeight="true" outlineLevel="0" collapsed="false">
      <c r="B32" s="19" t="s">
        <v>106</v>
      </c>
      <c r="C32" s="19"/>
      <c r="D32" s="19"/>
      <c r="E32" s="17" t="str">
        <f aca="false">IF(E8="","",SUMPRODUCT((Funções!D$10:D$19&gt;0)*COUNTIF($D$10:$D$29,Funções!$C$10:$C$19)))</f>
        <v/>
      </c>
      <c r="F32" s="17" t="str">
        <f aca="false">IF(F8="","",SUMPRODUCT((Funções!E$10:E$19&gt;0)*COUNTIF($D$10:$D$29,Funções!$C$10:$C$19)))</f>
        <v/>
      </c>
      <c r="G32" s="17" t="str">
        <f aca="false">IF(G8="","",SUMPRODUCT((Funções!F$10:F$19&gt;0)*COUNTIF($D$10:$D$29,Funções!$C$10:$C$19)))</f>
        <v/>
      </c>
      <c r="H32" s="17" t="str">
        <f aca="false">IF(H8="","",SUMPRODUCT((Funções!G$10:G$19&gt;0)*COUNTIF($D$10:$D$29,Funções!$C$10:$C$19)))</f>
        <v/>
      </c>
      <c r="I32" s="17" t="str">
        <f aca="false">IF(I8="","",SUMPRODUCT((Funções!H$10:H$19&gt;0)*COUNTIF($D$10:$D$29,Funções!$C$10:$C$19)))</f>
        <v/>
      </c>
      <c r="J32" s="17" t="str">
        <f aca="false">IF(J8="","",SUMPRODUCT((Funções!I$10:I$19&gt;0)*COUNTIF($D$10:$D$29,Funções!$C$10:$C$19)))</f>
        <v/>
      </c>
      <c r="K32" s="17" t="str">
        <f aca="false">IF(K8="","",SUMPRODUCT((Funções!J$10:J$19&gt;0)*COUNTIF($D$10:$D$29,Funções!$C$10:$C$19)))</f>
        <v/>
      </c>
      <c r="L32" s="17" t="str">
        <f aca="false">IF(L8="","",SUMPRODUCT((Funções!K$10:K$19&gt;0)*COUNTIF($D$10:$D$29,Funções!$C$10:$C$19)))</f>
        <v/>
      </c>
      <c r="M32" s="17" t="str">
        <f aca="false">IF(M8="","",SUMPRODUCT((Funções!L$10:L$19&gt;0)*COUNTIF($D$10:$D$29,Funções!$C$10:$C$19)))</f>
        <v/>
      </c>
      <c r="N32" s="17" t="str">
        <f aca="false">IF(N8="","",SUMPRODUCT((Funções!M$10:M$19&gt;0)*COUNTIF($D$10:$D$29,Funções!$C$10:$C$19)))</f>
        <v/>
      </c>
      <c r="O32" s="17" t="str">
        <f aca="false">IF(O8="","",SUMPRODUCT((Funções!N$10:N$19&gt;0)*COUNTIF($D$10:$D$29,Funções!$C$10:$C$19)))</f>
        <v/>
      </c>
      <c r="P32" s="17" t="str">
        <f aca="false">IF(P8="","",SUMPRODUCT((Funções!O$10:O$19&gt;0)*COUNTIF($D$10:$D$29,Funções!$C$10:$C$19)))</f>
        <v/>
      </c>
      <c r="Q32" s="6"/>
      <c r="R32" s="6"/>
      <c r="S32" s="6"/>
      <c r="T32" s="6"/>
    </row>
    <row r="33" customFormat="false" ht="21.75" hidden="false" customHeight="true" outlineLevel="0" collapsed="false">
      <c r="B33" s="19" t="s">
        <v>107</v>
      </c>
      <c r="C33" s="19"/>
      <c r="D33" s="19"/>
      <c r="E33" s="17" t="str">
        <f aca="false">IF(E8="","",SUMPRODUCT((E$56:E$75&gt;E$10:E$29)*1))</f>
        <v/>
      </c>
      <c r="F33" s="17" t="str">
        <f aca="false">IF(F8="","",SUMPRODUCT((F$56:F$75&gt;F$10:F$29)*1))</f>
        <v/>
      </c>
      <c r="G33" s="17" t="str">
        <f aca="false">IF(G8="","",SUMPRODUCT((G$56:G$75&gt;G$10:G$29)*1))</f>
        <v/>
      </c>
      <c r="H33" s="17" t="str">
        <f aca="false">IF(H8="","",SUMPRODUCT((H$56:H$75&gt;H$10:H$29)*1))</f>
        <v/>
      </c>
      <c r="I33" s="17" t="str">
        <f aca="false">IF(I8="","",SUMPRODUCT((I$56:I$75&gt;I$10:I$29)*1))</f>
        <v/>
      </c>
      <c r="J33" s="17" t="str">
        <f aca="false">IF(J8="","",SUMPRODUCT((J$56:J$75&gt;J$10:J$29)*1))</f>
        <v/>
      </c>
      <c r="K33" s="17" t="str">
        <f aca="false">IF(K8="","",SUMPRODUCT((K$56:K$75&gt;K$10:K$29)*1))</f>
        <v/>
      </c>
      <c r="L33" s="17" t="str">
        <f aca="false">IF(L8="","",SUMPRODUCT((L$56:L$75&gt;L$10:L$29)*1))</f>
        <v/>
      </c>
      <c r="M33" s="17" t="str">
        <f aca="false">IF(M8="","",SUMPRODUCT((M$56:M$75&gt;M$10:M$29)*1))</f>
        <v/>
      </c>
      <c r="N33" s="17" t="str">
        <f aca="false">IF(N8="","",SUMPRODUCT((N$56:N$75&gt;N$10:N$29)*1))</f>
        <v/>
      </c>
      <c r="O33" s="17" t="str">
        <f aca="false">IF(O8="","",SUMPRODUCT((O$56:O$75&gt;O$10:O$29)*1))</f>
        <v/>
      </c>
      <c r="P33" s="17" t="str">
        <f aca="false">IF(P8="","",SUMPRODUCT((P$56:P$75&gt;P$10:P$29)*1))</f>
        <v/>
      </c>
      <c r="Q33" s="6"/>
      <c r="R33" s="6"/>
      <c r="S33" s="6"/>
      <c r="T33" s="6"/>
    </row>
    <row r="34" customFormat="false" ht="21.75" hidden="false" customHeight="true" outlineLevel="0" collapsed="false">
      <c r="B34" s="19" t="s">
        <v>108</v>
      </c>
      <c r="C34" s="19"/>
      <c r="D34" s="19"/>
      <c r="E34" s="17" t="str">
        <f aca="false">IF(E8="","",COUNTIF(E$10:E$29,"&gt;=2"))</f>
        <v/>
      </c>
      <c r="F34" s="17" t="str">
        <f aca="false">IF(F8="","",COUNTIF(F$10:F$29,"&gt;=2"))</f>
        <v/>
      </c>
      <c r="G34" s="17" t="str">
        <f aca="false">IF(G8="","",COUNTIF(G$10:G$29,"&gt;=2"))</f>
        <v/>
      </c>
      <c r="H34" s="17" t="str">
        <f aca="false">IF(H8="","",COUNTIF(H$10:H$29,"&gt;=2"))</f>
        <v/>
      </c>
      <c r="I34" s="17" t="str">
        <f aca="false">IF(I8="","",COUNTIF(I$10:I$29,"&gt;=2"))</f>
        <v/>
      </c>
      <c r="J34" s="17" t="str">
        <f aca="false">IF(J8="","",COUNTIF(J$10:J$29,"&gt;=2"))</f>
        <v/>
      </c>
      <c r="K34" s="17" t="str">
        <f aca="false">IF(K8="","",COUNTIF(K$10:K$29,"&gt;=2"))</f>
        <v/>
      </c>
      <c r="L34" s="17" t="str">
        <f aca="false">IF(L8="","",COUNTIF(L$10:L$29,"&gt;=2"))</f>
        <v/>
      </c>
      <c r="M34" s="17" t="str">
        <f aca="false">IF(M8="","",COUNTIF(M$10:M$29,"&gt;=2"))</f>
        <v/>
      </c>
      <c r="N34" s="17" t="str">
        <f aca="false">IF(N8="","",COUNTIF(N$10:N$29,"&gt;=2"))</f>
        <v/>
      </c>
      <c r="O34" s="17" t="str">
        <f aca="false">IF(O8="","",COUNTIF(O$10:O$29,"&gt;=2"))</f>
        <v/>
      </c>
      <c r="P34" s="17" t="str">
        <f aca="false">IF(P8="","",COUNTIF(P$10:P$29,"&gt;=2"))</f>
        <v/>
      </c>
      <c r="Q34" s="6"/>
      <c r="R34" s="6"/>
      <c r="S34" s="6"/>
      <c r="T34" s="6"/>
    </row>
    <row r="35" customFormat="false" ht="21.75" hidden="false" customHeight="true" outlineLevel="0" collapsed="false">
      <c r="B35" s="19" t="s">
        <v>109</v>
      </c>
      <c r="C35" s="19"/>
      <c r="D35" s="19"/>
      <c r="E35" s="17" t="str">
        <f aca="false">IF(E8="","",COUNTIF(E$10:E$29,3))</f>
        <v/>
      </c>
      <c r="F35" s="17" t="str">
        <f aca="false">IF(F8="","",COUNTIF(F$10:F$29,3))</f>
        <v/>
      </c>
      <c r="G35" s="17" t="str">
        <f aca="false">IF(G8="","",COUNTIF(G$10:G$29,3))</f>
        <v/>
      </c>
      <c r="H35" s="17" t="str">
        <f aca="false">IF(H8="","",COUNTIF(H$10:H$29,3))</f>
        <v/>
      </c>
      <c r="I35" s="17" t="str">
        <f aca="false">IF(I8="","",COUNTIF(I$10:I$29,3))</f>
        <v/>
      </c>
      <c r="J35" s="17" t="str">
        <f aca="false">IF(J8="","",COUNTIF(J$10:J$29,3))</f>
        <v/>
      </c>
      <c r="K35" s="17" t="str">
        <f aca="false">IF(K8="","",COUNTIF(K$10:K$29,3))</f>
        <v/>
      </c>
      <c r="L35" s="17" t="str">
        <f aca="false">IF(L8="","",COUNTIF(L$10:L$29,3))</f>
        <v/>
      </c>
      <c r="M35" s="17" t="str">
        <f aca="false">IF(M8="","",COUNTIF(M$10:M$29,3))</f>
        <v/>
      </c>
      <c r="N35" s="17" t="str">
        <f aca="false">IF(N8="","",COUNTIF(N$10:N$29,3))</f>
        <v/>
      </c>
      <c r="O35" s="17" t="str">
        <f aca="false">IF(O8="","",COUNTIF(O$10:O$29,3))</f>
        <v/>
      </c>
      <c r="P35" s="17" t="str">
        <f aca="false">IF(P8="","",COUNTIF(P$10:P$29,3))</f>
        <v/>
      </c>
      <c r="Q35" s="6"/>
      <c r="R35" s="6"/>
      <c r="S35" s="6"/>
      <c r="T35" s="6"/>
    </row>
    <row r="36" customFormat="false" ht="27" hidden="false" customHeight="true" outlineLevel="0" collapsed="false">
      <c r="B36" s="19" t="s">
        <v>57</v>
      </c>
      <c r="C36" s="19"/>
      <c r="D36" s="19"/>
      <c r="E36" s="27" t="str">
        <f aca="false">IF(OR(E8="",E32=0),"",IF(E34=0,"Ninguém no nível 2",IF(E34&lt;2,"Uma só pessoa","Coberta")))</f>
        <v/>
      </c>
      <c r="F36" s="27" t="str">
        <f aca="false">IF(OR(F8="",F32=0),"",IF(F34=0,"Ninguém no nível 2",IF(F34&lt;2,"Uma só pessoa","Coberta")))</f>
        <v/>
      </c>
      <c r="G36" s="27" t="str">
        <f aca="false">IF(OR(G8="",G32=0),"",IF(G34=0,"Ninguém no nível 2",IF(G34&lt;2,"Uma só pessoa","Coberta")))</f>
        <v/>
      </c>
      <c r="H36" s="27" t="str">
        <f aca="false">IF(OR(H8="",H32=0),"",IF(H34=0,"Ninguém no nível 2",IF(H34&lt;2,"Uma só pessoa","Coberta")))</f>
        <v/>
      </c>
      <c r="I36" s="27" t="str">
        <f aca="false">IF(OR(I8="",I32=0),"",IF(I34=0,"Ninguém no nível 2",IF(I34&lt;2,"Uma só pessoa","Coberta")))</f>
        <v/>
      </c>
      <c r="J36" s="27" t="str">
        <f aca="false">IF(OR(J8="",J32=0),"",IF(J34=0,"Ninguém no nível 2",IF(J34&lt;2,"Uma só pessoa","Coberta")))</f>
        <v/>
      </c>
      <c r="K36" s="27" t="str">
        <f aca="false">IF(OR(K8="",K32=0),"",IF(K34=0,"Ninguém no nível 2",IF(K34&lt;2,"Uma só pessoa","Coberta")))</f>
        <v/>
      </c>
      <c r="L36" s="27" t="str">
        <f aca="false">IF(OR(L8="",L32=0),"",IF(L34=0,"Ninguém no nível 2",IF(L34&lt;2,"Uma só pessoa","Coberta")))</f>
        <v/>
      </c>
      <c r="M36" s="27" t="str">
        <f aca="false">IF(OR(M8="",M32=0),"",IF(M34=0,"Ninguém no nível 2",IF(M34&lt;2,"Uma só pessoa","Coberta")))</f>
        <v/>
      </c>
      <c r="N36" s="27" t="str">
        <f aca="false">IF(OR(N8="",N32=0),"",IF(N34=0,"Ninguém no nível 2",IF(N34&lt;2,"Uma só pessoa","Coberta")))</f>
        <v/>
      </c>
      <c r="O36" s="27" t="str">
        <f aca="false">IF(OR(O8="",O32=0),"",IF(O34=0,"Ninguém no nível 2",IF(O34&lt;2,"Uma só pessoa","Coberta")))</f>
        <v/>
      </c>
      <c r="P36" s="27" t="str">
        <f aca="false">IF(OR(P8="",P32=0),"",IF(P34=0,"Ninguém no nível 2",IF(P34&lt;2,"Uma só pessoa","Coberta")))</f>
        <v/>
      </c>
      <c r="Q36" s="6"/>
      <c r="R36" s="6"/>
      <c r="S36" s="6"/>
      <c r="T36" s="6"/>
    </row>
    <row r="38" customFormat="false" ht="21.75" hidden="false" customHeight="true" outlineLevel="0" collapsed="false">
      <c r="B38" s="18" t="s">
        <v>89</v>
      </c>
      <c r="C38" s="18"/>
      <c r="D38" s="18"/>
      <c r="E38" s="18"/>
      <c r="F38" s="18"/>
      <c r="G38" s="18"/>
      <c r="H38" s="18"/>
      <c r="J38" s="18" t="s">
        <v>110</v>
      </c>
      <c r="K38" s="18"/>
      <c r="L38" s="18"/>
      <c r="M38" s="18"/>
      <c r="N38" s="18"/>
      <c r="O38" s="18"/>
      <c r="P38" s="18"/>
    </row>
    <row r="39" customFormat="false" ht="18" hidden="false" customHeight="true" outlineLevel="0" collapsed="false">
      <c r="B39" s="19" t="s">
        <v>111</v>
      </c>
      <c r="C39" s="19"/>
      <c r="D39" s="19"/>
      <c r="E39" s="20" t="n">
        <f aca="false">COUNTA(C10:C29)</f>
        <v>0</v>
      </c>
      <c r="F39" s="20"/>
      <c r="G39" s="20"/>
      <c r="H39" s="20"/>
      <c r="J39" s="28" t="str">
        <f aca="false">IF(E8="","C1","C1 · "&amp;E8)</f>
        <v>C1</v>
      </c>
      <c r="K39" s="28"/>
      <c r="L39" s="28"/>
      <c r="M39" s="28"/>
      <c r="N39" s="28"/>
      <c r="O39" s="28"/>
      <c r="P39" s="29" t="str">
        <f aca="false">IF(E8="","",E33)</f>
        <v/>
      </c>
    </row>
    <row r="40" customFormat="false" ht="18" hidden="false" customHeight="true" outlineLevel="0" collapsed="false">
      <c r="B40" s="19" t="s">
        <v>97</v>
      </c>
      <c r="C40" s="19"/>
      <c r="D40" s="19"/>
      <c r="E40" s="20" t="n">
        <f aca="false">SUM(R10:R29)</f>
        <v>0</v>
      </c>
      <c r="F40" s="20"/>
      <c r="G40" s="20"/>
      <c r="H40" s="20"/>
      <c r="J40" s="28" t="str">
        <f aca="false">IF(F8="","C2","C2 · "&amp;F8)</f>
        <v>C2</v>
      </c>
      <c r="K40" s="28"/>
      <c r="L40" s="28"/>
      <c r="M40" s="28"/>
      <c r="N40" s="28"/>
      <c r="O40" s="28"/>
      <c r="P40" s="29" t="str">
        <f aca="false">IF(F8="","",F33)</f>
        <v/>
      </c>
    </row>
    <row r="41" customFormat="false" ht="18" hidden="false" customHeight="true" outlineLevel="0" collapsed="false">
      <c r="B41" s="19" t="s">
        <v>112</v>
      </c>
      <c r="C41" s="19"/>
      <c r="D41" s="19"/>
      <c r="E41" s="30" t="str">
        <f aca="false">IF(SUM(Q10:Q29)=0,"",1-E40/SUM(Q10:Q29))</f>
        <v/>
      </c>
      <c r="F41" s="30"/>
      <c r="G41" s="30"/>
      <c r="H41" s="30"/>
      <c r="J41" s="28" t="str">
        <f aca="false">IF(G8="","C3","C3 · "&amp;G8)</f>
        <v>C3</v>
      </c>
      <c r="K41" s="28"/>
      <c r="L41" s="28"/>
      <c r="M41" s="28"/>
      <c r="N41" s="28"/>
      <c r="O41" s="28"/>
      <c r="P41" s="29" t="str">
        <f aca="false">IF(G8="","",G33)</f>
        <v/>
      </c>
    </row>
    <row r="42" customFormat="false" ht="18" hidden="false" customHeight="true" outlineLevel="0" collapsed="false">
      <c r="B42" s="19" t="s">
        <v>113</v>
      </c>
      <c r="C42" s="19"/>
      <c r="D42" s="19"/>
      <c r="E42" s="20" t="n">
        <f aca="false">COUNTIF(E36:P36,"Uma só pessoa")+COUNTIF(E36:P36,"Ninguém no nível 2")</f>
        <v>0</v>
      </c>
      <c r="F42" s="20"/>
      <c r="G42" s="20"/>
      <c r="H42" s="20"/>
      <c r="J42" s="28" t="str">
        <f aca="false">IF(H8="","C4","C4 · "&amp;H8)</f>
        <v>C4</v>
      </c>
      <c r="K42" s="28"/>
      <c r="L42" s="28"/>
      <c r="M42" s="28"/>
      <c r="N42" s="28"/>
      <c r="O42" s="28"/>
      <c r="P42" s="29" t="str">
        <f aca="false">IF(H8="","",H33)</f>
        <v/>
      </c>
    </row>
    <row r="43" customFormat="false" ht="18" hidden="false" customHeight="true" outlineLevel="0" collapsed="false">
      <c r="B43" s="19" t="s">
        <v>92</v>
      </c>
      <c r="C43" s="19"/>
      <c r="D43" s="19"/>
      <c r="E43" s="21" t="str">
        <f aca="false">IF(E39=0,"Cadastre as pessoas",IF(COUNTIF(T10:T29,"Falta*")+COUNTIF(T10:T29,"Função não cadastrada")&gt;0,"Há pessoa sem função válida: veja a coluna Conferência",IF(E42&gt;0,"Há competência que depende de uma só pessoa",IF(E40&gt;0,"Há lacunas: leve ao plano de treinamento","OK"))))</f>
        <v>Cadastre as pessoas</v>
      </c>
      <c r="F43" s="21"/>
      <c r="G43" s="21"/>
      <c r="H43" s="21"/>
      <c r="J43" s="28" t="str">
        <f aca="false">IF(I8="","C5","C5 · "&amp;I8)</f>
        <v>C5</v>
      </c>
      <c r="K43" s="28"/>
      <c r="L43" s="28"/>
      <c r="M43" s="28"/>
      <c r="N43" s="28"/>
      <c r="O43" s="28"/>
      <c r="P43" s="29" t="str">
        <f aca="false">IF(I8="","",I33)</f>
        <v/>
      </c>
    </row>
    <row r="44" customFormat="false" ht="18" hidden="false" customHeight="true" outlineLevel="0" collapsed="false">
      <c r="J44" s="28" t="str">
        <f aca="false">IF(J8="","C6","C6 · "&amp;J8)</f>
        <v>C6</v>
      </c>
      <c r="K44" s="28"/>
      <c r="L44" s="28"/>
      <c r="M44" s="28"/>
      <c r="N44" s="28"/>
      <c r="O44" s="28"/>
      <c r="P44" s="29" t="str">
        <f aca="false">IF(J8="","",J33)</f>
        <v/>
      </c>
    </row>
    <row r="45" customFormat="false" ht="18" hidden="false" customHeight="true" outlineLevel="0" collapsed="false">
      <c r="J45" s="28" t="str">
        <f aca="false">IF(K8="","C7","C7 · "&amp;K8)</f>
        <v>C7</v>
      </c>
      <c r="K45" s="28"/>
      <c r="L45" s="28"/>
      <c r="M45" s="28"/>
      <c r="N45" s="28"/>
      <c r="O45" s="28"/>
      <c r="P45" s="29" t="str">
        <f aca="false">IF(K8="","",K33)</f>
        <v/>
      </c>
    </row>
    <row r="46" customFormat="false" ht="18" hidden="false" customHeight="true" outlineLevel="0" collapsed="false">
      <c r="J46" s="28" t="str">
        <f aca="false">IF(L8="","C8","C8 · "&amp;L8)</f>
        <v>C8</v>
      </c>
      <c r="K46" s="28"/>
      <c r="L46" s="28"/>
      <c r="M46" s="28"/>
      <c r="N46" s="28"/>
      <c r="O46" s="28"/>
      <c r="P46" s="29" t="str">
        <f aca="false">IF(L8="","",L33)</f>
        <v/>
      </c>
    </row>
    <row r="47" customFormat="false" ht="18" hidden="false" customHeight="true" outlineLevel="0" collapsed="false">
      <c r="J47" s="28" t="str">
        <f aca="false">IF(M8="","C9","C9 · "&amp;M8)</f>
        <v>C9</v>
      </c>
      <c r="K47" s="28"/>
      <c r="L47" s="28"/>
      <c r="M47" s="28"/>
      <c r="N47" s="28"/>
      <c r="O47" s="28"/>
      <c r="P47" s="29" t="str">
        <f aca="false">IF(M8="","",M33)</f>
        <v/>
      </c>
    </row>
    <row r="48" customFormat="false" ht="18" hidden="false" customHeight="true" outlineLevel="0" collapsed="false">
      <c r="J48" s="28" t="str">
        <f aca="false">IF(N8="","C10","C10 · "&amp;N8)</f>
        <v>C10</v>
      </c>
      <c r="K48" s="28"/>
      <c r="L48" s="28"/>
      <c r="M48" s="28"/>
      <c r="N48" s="28"/>
      <c r="O48" s="28"/>
      <c r="P48" s="29" t="str">
        <f aca="false">IF(N8="","",N33)</f>
        <v/>
      </c>
    </row>
    <row r="49" customFormat="false" ht="18" hidden="false" customHeight="true" outlineLevel="0" collapsed="false">
      <c r="J49" s="28" t="str">
        <f aca="false">IF(O8="","C11","C11 · "&amp;O8)</f>
        <v>C11</v>
      </c>
      <c r="K49" s="28"/>
      <c r="L49" s="28"/>
      <c r="M49" s="28"/>
      <c r="N49" s="28"/>
      <c r="O49" s="28"/>
      <c r="P49" s="29" t="str">
        <f aca="false">IF(O8="","",O33)</f>
        <v/>
      </c>
    </row>
    <row r="50" customFormat="false" ht="18" hidden="false" customHeight="true" outlineLevel="0" collapsed="false">
      <c r="J50" s="28" t="str">
        <f aca="false">IF(P8="","C12","C12 · "&amp;P8)</f>
        <v>C12</v>
      </c>
      <c r="K50" s="28"/>
      <c r="L50" s="28"/>
      <c r="M50" s="28"/>
      <c r="N50" s="28"/>
      <c r="O50" s="28"/>
      <c r="P50" s="29" t="str">
        <f aca="false">IF(P8="","",P33)</f>
        <v/>
      </c>
    </row>
    <row r="54" customFormat="false" ht="21.75" hidden="false" customHeight="true" outlineLevel="0" collapsed="false">
      <c r="B54" s="31" t="s">
        <v>114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customFormat="false" ht="15" hidden="false" customHeight="false" outlineLevel="0" collapsed="false">
      <c r="B55" s="29" t="s">
        <v>85</v>
      </c>
      <c r="C55" s="29" t="s">
        <v>95</v>
      </c>
      <c r="D55" s="29" t="s">
        <v>86</v>
      </c>
      <c r="E55" s="29" t="s">
        <v>72</v>
      </c>
      <c r="F55" s="29" t="s">
        <v>73</v>
      </c>
      <c r="G55" s="29" t="s">
        <v>74</v>
      </c>
      <c r="H55" s="29" t="s">
        <v>75</v>
      </c>
      <c r="I55" s="29" t="s">
        <v>76</v>
      </c>
      <c r="J55" s="29" t="s">
        <v>77</v>
      </c>
      <c r="K55" s="29" t="s">
        <v>78</v>
      </c>
      <c r="L55" s="29" t="s">
        <v>79</v>
      </c>
      <c r="M55" s="29" t="s">
        <v>80</v>
      </c>
      <c r="N55" s="29" t="s">
        <v>81</v>
      </c>
      <c r="O55" s="29" t="s">
        <v>82</v>
      </c>
      <c r="P55" s="29" t="s">
        <v>83</v>
      </c>
    </row>
    <row r="56" customFormat="false" ht="18" hidden="false" customHeight="true" outlineLevel="0" collapsed="false">
      <c r="B56" s="14" t="n">
        <v>1</v>
      </c>
      <c r="C56" s="32" t="str">
        <f aca="false">IF(C10="","",C10)</f>
        <v/>
      </c>
      <c r="D56" s="32" t="str">
        <f aca="false">IF(D10="","",D10)</f>
        <v/>
      </c>
      <c r="E56" s="21" t="n">
        <f aca="false">IF($D10="",0,IFERROR(N(INDEX(Funções!D$10:D$19,MATCH($D10,Funções!$C$10:$C$19,0))),0))</f>
        <v>0</v>
      </c>
      <c r="F56" s="21" t="n">
        <f aca="false">IF($D10="",0,IFERROR(N(INDEX(Funções!E$10:E$19,MATCH($D10,Funções!$C$10:$C$19,0))),0))</f>
        <v>0</v>
      </c>
      <c r="G56" s="21" t="n">
        <f aca="false">IF($D10="",0,IFERROR(N(INDEX(Funções!F$10:F$19,MATCH($D10,Funções!$C$10:$C$19,0))),0))</f>
        <v>0</v>
      </c>
      <c r="H56" s="21" t="n">
        <f aca="false">IF($D10="",0,IFERROR(N(INDEX(Funções!G$10:G$19,MATCH($D10,Funções!$C$10:$C$19,0))),0))</f>
        <v>0</v>
      </c>
      <c r="I56" s="21" t="n">
        <f aca="false">IF($D10="",0,IFERROR(N(INDEX(Funções!H$10:H$19,MATCH($D10,Funções!$C$10:$C$19,0))),0))</f>
        <v>0</v>
      </c>
      <c r="J56" s="21" t="n">
        <f aca="false">IF($D10="",0,IFERROR(N(INDEX(Funções!I$10:I$19,MATCH($D10,Funções!$C$10:$C$19,0))),0))</f>
        <v>0</v>
      </c>
      <c r="K56" s="21" t="n">
        <f aca="false">IF($D10="",0,IFERROR(N(INDEX(Funções!J$10:J$19,MATCH($D10,Funções!$C$10:$C$19,0))),0))</f>
        <v>0</v>
      </c>
      <c r="L56" s="21" t="n">
        <f aca="false">IF($D10="",0,IFERROR(N(INDEX(Funções!K$10:K$19,MATCH($D10,Funções!$C$10:$C$19,0))),0))</f>
        <v>0</v>
      </c>
      <c r="M56" s="21" t="n">
        <f aca="false">IF($D10="",0,IFERROR(N(INDEX(Funções!L$10:L$19,MATCH($D10,Funções!$C$10:$C$19,0))),0))</f>
        <v>0</v>
      </c>
      <c r="N56" s="21" t="n">
        <f aca="false">IF($D10="",0,IFERROR(N(INDEX(Funções!M$10:M$19,MATCH($D10,Funções!$C$10:$C$19,0))),0))</f>
        <v>0</v>
      </c>
      <c r="O56" s="21" t="n">
        <f aca="false">IF($D10="",0,IFERROR(N(INDEX(Funções!N$10:N$19,MATCH($D10,Funções!$C$10:$C$19,0))),0))</f>
        <v>0</v>
      </c>
      <c r="P56" s="21" t="n">
        <f aca="false">IF($D10="",0,IFERROR(N(INDEX(Funções!O$10:O$19,MATCH($D10,Funções!$C$10:$C$19,0))),0))</f>
        <v>0</v>
      </c>
    </row>
    <row r="57" customFormat="false" ht="18" hidden="false" customHeight="true" outlineLevel="0" collapsed="false">
      <c r="B57" s="14" t="n">
        <v>2</v>
      </c>
      <c r="C57" s="32" t="str">
        <f aca="false">IF(C11="","",C11)</f>
        <v/>
      </c>
      <c r="D57" s="32" t="str">
        <f aca="false">IF(D11="","",D11)</f>
        <v/>
      </c>
      <c r="E57" s="21" t="n">
        <f aca="false">IF($D11="",0,IFERROR(N(INDEX(Funções!D$10:D$19,MATCH($D11,Funções!$C$10:$C$19,0))),0))</f>
        <v>0</v>
      </c>
      <c r="F57" s="21" t="n">
        <f aca="false">IF($D11="",0,IFERROR(N(INDEX(Funções!E$10:E$19,MATCH($D11,Funções!$C$10:$C$19,0))),0))</f>
        <v>0</v>
      </c>
      <c r="G57" s="21" t="n">
        <f aca="false">IF($D11="",0,IFERROR(N(INDEX(Funções!F$10:F$19,MATCH($D11,Funções!$C$10:$C$19,0))),0))</f>
        <v>0</v>
      </c>
      <c r="H57" s="21" t="n">
        <f aca="false">IF($D11="",0,IFERROR(N(INDEX(Funções!G$10:G$19,MATCH($D11,Funções!$C$10:$C$19,0))),0))</f>
        <v>0</v>
      </c>
      <c r="I57" s="21" t="n">
        <f aca="false">IF($D11="",0,IFERROR(N(INDEX(Funções!H$10:H$19,MATCH($D11,Funções!$C$10:$C$19,0))),0))</f>
        <v>0</v>
      </c>
      <c r="J57" s="21" t="n">
        <f aca="false">IF($D11="",0,IFERROR(N(INDEX(Funções!I$10:I$19,MATCH($D11,Funções!$C$10:$C$19,0))),0))</f>
        <v>0</v>
      </c>
      <c r="K57" s="21" t="n">
        <f aca="false">IF($D11="",0,IFERROR(N(INDEX(Funções!J$10:J$19,MATCH($D11,Funções!$C$10:$C$19,0))),0))</f>
        <v>0</v>
      </c>
      <c r="L57" s="21" t="n">
        <f aca="false">IF($D11="",0,IFERROR(N(INDEX(Funções!K$10:K$19,MATCH($D11,Funções!$C$10:$C$19,0))),0))</f>
        <v>0</v>
      </c>
      <c r="M57" s="21" t="n">
        <f aca="false">IF($D11="",0,IFERROR(N(INDEX(Funções!L$10:L$19,MATCH($D11,Funções!$C$10:$C$19,0))),0))</f>
        <v>0</v>
      </c>
      <c r="N57" s="21" t="n">
        <f aca="false">IF($D11="",0,IFERROR(N(INDEX(Funções!M$10:M$19,MATCH($D11,Funções!$C$10:$C$19,0))),0))</f>
        <v>0</v>
      </c>
      <c r="O57" s="21" t="n">
        <f aca="false">IF($D11="",0,IFERROR(N(INDEX(Funções!N$10:N$19,MATCH($D11,Funções!$C$10:$C$19,0))),0))</f>
        <v>0</v>
      </c>
      <c r="P57" s="21" t="n">
        <f aca="false">IF($D11="",0,IFERROR(N(INDEX(Funções!O$10:O$19,MATCH($D11,Funções!$C$10:$C$19,0))),0))</f>
        <v>0</v>
      </c>
    </row>
    <row r="58" customFormat="false" ht="18" hidden="false" customHeight="true" outlineLevel="0" collapsed="false">
      <c r="B58" s="14" t="n">
        <v>3</v>
      </c>
      <c r="C58" s="32" t="str">
        <f aca="false">IF(C12="","",C12)</f>
        <v/>
      </c>
      <c r="D58" s="32" t="str">
        <f aca="false">IF(D12="","",D12)</f>
        <v/>
      </c>
      <c r="E58" s="21" t="n">
        <f aca="false">IF($D12="",0,IFERROR(N(INDEX(Funções!D$10:D$19,MATCH($D12,Funções!$C$10:$C$19,0))),0))</f>
        <v>0</v>
      </c>
      <c r="F58" s="21" t="n">
        <f aca="false">IF($D12="",0,IFERROR(N(INDEX(Funções!E$10:E$19,MATCH($D12,Funções!$C$10:$C$19,0))),0))</f>
        <v>0</v>
      </c>
      <c r="G58" s="21" t="n">
        <f aca="false">IF($D12="",0,IFERROR(N(INDEX(Funções!F$10:F$19,MATCH($D12,Funções!$C$10:$C$19,0))),0))</f>
        <v>0</v>
      </c>
      <c r="H58" s="21" t="n">
        <f aca="false">IF($D12="",0,IFERROR(N(INDEX(Funções!G$10:G$19,MATCH($D12,Funções!$C$10:$C$19,0))),0))</f>
        <v>0</v>
      </c>
      <c r="I58" s="21" t="n">
        <f aca="false">IF($D12="",0,IFERROR(N(INDEX(Funções!H$10:H$19,MATCH($D12,Funções!$C$10:$C$19,0))),0))</f>
        <v>0</v>
      </c>
      <c r="J58" s="21" t="n">
        <f aca="false">IF($D12="",0,IFERROR(N(INDEX(Funções!I$10:I$19,MATCH($D12,Funções!$C$10:$C$19,0))),0))</f>
        <v>0</v>
      </c>
      <c r="K58" s="21" t="n">
        <f aca="false">IF($D12="",0,IFERROR(N(INDEX(Funções!J$10:J$19,MATCH($D12,Funções!$C$10:$C$19,0))),0))</f>
        <v>0</v>
      </c>
      <c r="L58" s="21" t="n">
        <f aca="false">IF($D12="",0,IFERROR(N(INDEX(Funções!K$10:K$19,MATCH($D12,Funções!$C$10:$C$19,0))),0))</f>
        <v>0</v>
      </c>
      <c r="M58" s="21" t="n">
        <f aca="false">IF($D12="",0,IFERROR(N(INDEX(Funções!L$10:L$19,MATCH($D12,Funções!$C$10:$C$19,0))),0))</f>
        <v>0</v>
      </c>
      <c r="N58" s="21" t="n">
        <f aca="false">IF($D12="",0,IFERROR(N(INDEX(Funções!M$10:M$19,MATCH($D12,Funções!$C$10:$C$19,0))),0))</f>
        <v>0</v>
      </c>
      <c r="O58" s="21" t="n">
        <f aca="false">IF($D12="",0,IFERROR(N(INDEX(Funções!N$10:N$19,MATCH($D12,Funções!$C$10:$C$19,0))),0))</f>
        <v>0</v>
      </c>
      <c r="P58" s="21" t="n">
        <f aca="false">IF($D12="",0,IFERROR(N(INDEX(Funções!O$10:O$19,MATCH($D12,Funções!$C$10:$C$19,0))),0))</f>
        <v>0</v>
      </c>
    </row>
    <row r="59" customFormat="false" ht="18" hidden="false" customHeight="true" outlineLevel="0" collapsed="false">
      <c r="B59" s="14" t="n">
        <v>4</v>
      </c>
      <c r="C59" s="32" t="str">
        <f aca="false">IF(C13="","",C13)</f>
        <v/>
      </c>
      <c r="D59" s="32" t="str">
        <f aca="false">IF(D13="","",D13)</f>
        <v/>
      </c>
      <c r="E59" s="21" t="n">
        <f aca="false">IF($D13="",0,IFERROR(N(INDEX(Funções!D$10:D$19,MATCH($D13,Funções!$C$10:$C$19,0))),0))</f>
        <v>0</v>
      </c>
      <c r="F59" s="21" t="n">
        <f aca="false">IF($D13="",0,IFERROR(N(INDEX(Funções!E$10:E$19,MATCH($D13,Funções!$C$10:$C$19,0))),0))</f>
        <v>0</v>
      </c>
      <c r="G59" s="21" t="n">
        <f aca="false">IF($D13="",0,IFERROR(N(INDEX(Funções!F$10:F$19,MATCH($D13,Funções!$C$10:$C$19,0))),0))</f>
        <v>0</v>
      </c>
      <c r="H59" s="21" t="n">
        <f aca="false">IF($D13="",0,IFERROR(N(INDEX(Funções!G$10:G$19,MATCH($D13,Funções!$C$10:$C$19,0))),0))</f>
        <v>0</v>
      </c>
      <c r="I59" s="21" t="n">
        <f aca="false">IF($D13="",0,IFERROR(N(INDEX(Funções!H$10:H$19,MATCH($D13,Funções!$C$10:$C$19,0))),0))</f>
        <v>0</v>
      </c>
      <c r="J59" s="21" t="n">
        <f aca="false">IF($D13="",0,IFERROR(N(INDEX(Funções!I$10:I$19,MATCH($D13,Funções!$C$10:$C$19,0))),0))</f>
        <v>0</v>
      </c>
      <c r="K59" s="21" t="n">
        <f aca="false">IF($D13="",0,IFERROR(N(INDEX(Funções!J$10:J$19,MATCH($D13,Funções!$C$10:$C$19,0))),0))</f>
        <v>0</v>
      </c>
      <c r="L59" s="21" t="n">
        <f aca="false">IF($D13="",0,IFERROR(N(INDEX(Funções!K$10:K$19,MATCH($D13,Funções!$C$10:$C$19,0))),0))</f>
        <v>0</v>
      </c>
      <c r="M59" s="21" t="n">
        <f aca="false">IF($D13="",0,IFERROR(N(INDEX(Funções!L$10:L$19,MATCH($D13,Funções!$C$10:$C$19,0))),0))</f>
        <v>0</v>
      </c>
      <c r="N59" s="21" t="n">
        <f aca="false">IF($D13="",0,IFERROR(N(INDEX(Funções!M$10:M$19,MATCH($D13,Funções!$C$10:$C$19,0))),0))</f>
        <v>0</v>
      </c>
      <c r="O59" s="21" t="n">
        <f aca="false">IF($D13="",0,IFERROR(N(INDEX(Funções!N$10:N$19,MATCH($D13,Funções!$C$10:$C$19,0))),0))</f>
        <v>0</v>
      </c>
      <c r="P59" s="21" t="n">
        <f aca="false">IF($D13="",0,IFERROR(N(INDEX(Funções!O$10:O$19,MATCH($D13,Funções!$C$10:$C$19,0))),0))</f>
        <v>0</v>
      </c>
    </row>
    <row r="60" customFormat="false" ht="18" hidden="false" customHeight="true" outlineLevel="0" collapsed="false">
      <c r="B60" s="14" t="n">
        <v>5</v>
      </c>
      <c r="C60" s="32" t="str">
        <f aca="false">IF(C14="","",C14)</f>
        <v/>
      </c>
      <c r="D60" s="32" t="str">
        <f aca="false">IF(D14="","",D14)</f>
        <v/>
      </c>
      <c r="E60" s="21" t="n">
        <f aca="false">IF($D14="",0,IFERROR(N(INDEX(Funções!D$10:D$19,MATCH($D14,Funções!$C$10:$C$19,0))),0))</f>
        <v>0</v>
      </c>
      <c r="F60" s="21" t="n">
        <f aca="false">IF($D14="",0,IFERROR(N(INDEX(Funções!E$10:E$19,MATCH($D14,Funções!$C$10:$C$19,0))),0))</f>
        <v>0</v>
      </c>
      <c r="G60" s="21" t="n">
        <f aca="false">IF($D14="",0,IFERROR(N(INDEX(Funções!F$10:F$19,MATCH($D14,Funções!$C$10:$C$19,0))),0))</f>
        <v>0</v>
      </c>
      <c r="H60" s="21" t="n">
        <f aca="false">IF($D14="",0,IFERROR(N(INDEX(Funções!G$10:G$19,MATCH($D14,Funções!$C$10:$C$19,0))),0))</f>
        <v>0</v>
      </c>
      <c r="I60" s="21" t="n">
        <f aca="false">IF($D14="",0,IFERROR(N(INDEX(Funções!H$10:H$19,MATCH($D14,Funções!$C$10:$C$19,0))),0))</f>
        <v>0</v>
      </c>
      <c r="J60" s="21" t="n">
        <f aca="false">IF($D14="",0,IFERROR(N(INDEX(Funções!I$10:I$19,MATCH($D14,Funções!$C$10:$C$19,0))),0))</f>
        <v>0</v>
      </c>
      <c r="K60" s="21" t="n">
        <f aca="false">IF($D14="",0,IFERROR(N(INDEX(Funções!J$10:J$19,MATCH($D14,Funções!$C$10:$C$19,0))),0))</f>
        <v>0</v>
      </c>
      <c r="L60" s="21" t="n">
        <f aca="false">IF($D14="",0,IFERROR(N(INDEX(Funções!K$10:K$19,MATCH($D14,Funções!$C$10:$C$19,0))),0))</f>
        <v>0</v>
      </c>
      <c r="M60" s="21" t="n">
        <f aca="false">IF($D14="",0,IFERROR(N(INDEX(Funções!L$10:L$19,MATCH($D14,Funções!$C$10:$C$19,0))),0))</f>
        <v>0</v>
      </c>
      <c r="N60" s="21" t="n">
        <f aca="false">IF($D14="",0,IFERROR(N(INDEX(Funções!M$10:M$19,MATCH($D14,Funções!$C$10:$C$19,0))),0))</f>
        <v>0</v>
      </c>
      <c r="O60" s="21" t="n">
        <f aca="false">IF($D14="",0,IFERROR(N(INDEX(Funções!N$10:N$19,MATCH($D14,Funções!$C$10:$C$19,0))),0))</f>
        <v>0</v>
      </c>
      <c r="P60" s="21" t="n">
        <f aca="false">IF($D14="",0,IFERROR(N(INDEX(Funções!O$10:O$19,MATCH($D14,Funções!$C$10:$C$19,0))),0))</f>
        <v>0</v>
      </c>
    </row>
    <row r="61" customFormat="false" ht="18" hidden="false" customHeight="true" outlineLevel="0" collapsed="false">
      <c r="B61" s="14" t="n">
        <v>6</v>
      </c>
      <c r="C61" s="32" t="str">
        <f aca="false">IF(C15="","",C15)</f>
        <v/>
      </c>
      <c r="D61" s="32" t="str">
        <f aca="false">IF(D15="","",D15)</f>
        <v/>
      </c>
      <c r="E61" s="21" t="n">
        <f aca="false">IF($D15="",0,IFERROR(N(INDEX(Funções!D$10:D$19,MATCH($D15,Funções!$C$10:$C$19,0))),0))</f>
        <v>0</v>
      </c>
      <c r="F61" s="21" t="n">
        <f aca="false">IF($D15="",0,IFERROR(N(INDEX(Funções!E$10:E$19,MATCH($D15,Funções!$C$10:$C$19,0))),0))</f>
        <v>0</v>
      </c>
      <c r="G61" s="21" t="n">
        <f aca="false">IF($D15="",0,IFERROR(N(INDEX(Funções!F$10:F$19,MATCH($D15,Funções!$C$10:$C$19,0))),0))</f>
        <v>0</v>
      </c>
      <c r="H61" s="21" t="n">
        <f aca="false">IF($D15="",0,IFERROR(N(INDEX(Funções!G$10:G$19,MATCH($D15,Funções!$C$10:$C$19,0))),0))</f>
        <v>0</v>
      </c>
      <c r="I61" s="21" t="n">
        <f aca="false">IF($D15="",0,IFERROR(N(INDEX(Funções!H$10:H$19,MATCH($D15,Funções!$C$10:$C$19,0))),0))</f>
        <v>0</v>
      </c>
      <c r="J61" s="21" t="n">
        <f aca="false">IF($D15="",0,IFERROR(N(INDEX(Funções!I$10:I$19,MATCH($D15,Funções!$C$10:$C$19,0))),0))</f>
        <v>0</v>
      </c>
      <c r="K61" s="21" t="n">
        <f aca="false">IF($D15="",0,IFERROR(N(INDEX(Funções!J$10:J$19,MATCH($D15,Funções!$C$10:$C$19,0))),0))</f>
        <v>0</v>
      </c>
      <c r="L61" s="21" t="n">
        <f aca="false">IF($D15="",0,IFERROR(N(INDEX(Funções!K$10:K$19,MATCH($D15,Funções!$C$10:$C$19,0))),0))</f>
        <v>0</v>
      </c>
      <c r="M61" s="21" t="n">
        <f aca="false">IF($D15="",0,IFERROR(N(INDEX(Funções!L$10:L$19,MATCH($D15,Funções!$C$10:$C$19,0))),0))</f>
        <v>0</v>
      </c>
      <c r="N61" s="21" t="n">
        <f aca="false">IF($D15="",0,IFERROR(N(INDEX(Funções!M$10:M$19,MATCH($D15,Funções!$C$10:$C$19,0))),0))</f>
        <v>0</v>
      </c>
      <c r="O61" s="21" t="n">
        <f aca="false">IF($D15="",0,IFERROR(N(INDEX(Funções!N$10:N$19,MATCH($D15,Funções!$C$10:$C$19,0))),0))</f>
        <v>0</v>
      </c>
      <c r="P61" s="21" t="n">
        <f aca="false">IF($D15="",0,IFERROR(N(INDEX(Funções!O$10:O$19,MATCH($D15,Funções!$C$10:$C$19,0))),0))</f>
        <v>0</v>
      </c>
    </row>
    <row r="62" customFormat="false" ht="18" hidden="false" customHeight="true" outlineLevel="0" collapsed="false">
      <c r="B62" s="14" t="n">
        <v>7</v>
      </c>
      <c r="C62" s="32" t="str">
        <f aca="false">IF(C16="","",C16)</f>
        <v/>
      </c>
      <c r="D62" s="32" t="str">
        <f aca="false">IF(D16="","",D16)</f>
        <v/>
      </c>
      <c r="E62" s="21" t="n">
        <f aca="false">IF($D16="",0,IFERROR(N(INDEX(Funções!D$10:D$19,MATCH($D16,Funções!$C$10:$C$19,0))),0))</f>
        <v>0</v>
      </c>
      <c r="F62" s="21" t="n">
        <f aca="false">IF($D16="",0,IFERROR(N(INDEX(Funções!E$10:E$19,MATCH($D16,Funções!$C$10:$C$19,0))),0))</f>
        <v>0</v>
      </c>
      <c r="G62" s="21" t="n">
        <f aca="false">IF($D16="",0,IFERROR(N(INDEX(Funções!F$10:F$19,MATCH($D16,Funções!$C$10:$C$19,0))),0))</f>
        <v>0</v>
      </c>
      <c r="H62" s="21" t="n">
        <f aca="false">IF($D16="",0,IFERROR(N(INDEX(Funções!G$10:G$19,MATCH($D16,Funções!$C$10:$C$19,0))),0))</f>
        <v>0</v>
      </c>
      <c r="I62" s="21" t="n">
        <f aca="false">IF($D16="",0,IFERROR(N(INDEX(Funções!H$10:H$19,MATCH($D16,Funções!$C$10:$C$19,0))),0))</f>
        <v>0</v>
      </c>
      <c r="J62" s="21" t="n">
        <f aca="false">IF($D16="",0,IFERROR(N(INDEX(Funções!I$10:I$19,MATCH($D16,Funções!$C$10:$C$19,0))),0))</f>
        <v>0</v>
      </c>
      <c r="K62" s="21" t="n">
        <f aca="false">IF($D16="",0,IFERROR(N(INDEX(Funções!J$10:J$19,MATCH($D16,Funções!$C$10:$C$19,0))),0))</f>
        <v>0</v>
      </c>
      <c r="L62" s="21" t="n">
        <f aca="false">IF($D16="",0,IFERROR(N(INDEX(Funções!K$10:K$19,MATCH($D16,Funções!$C$10:$C$19,0))),0))</f>
        <v>0</v>
      </c>
      <c r="M62" s="21" t="n">
        <f aca="false">IF($D16="",0,IFERROR(N(INDEX(Funções!L$10:L$19,MATCH($D16,Funções!$C$10:$C$19,0))),0))</f>
        <v>0</v>
      </c>
      <c r="N62" s="21" t="n">
        <f aca="false">IF($D16="",0,IFERROR(N(INDEX(Funções!M$10:M$19,MATCH($D16,Funções!$C$10:$C$19,0))),0))</f>
        <v>0</v>
      </c>
      <c r="O62" s="21" t="n">
        <f aca="false">IF($D16="",0,IFERROR(N(INDEX(Funções!N$10:N$19,MATCH($D16,Funções!$C$10:$C$19,0))),0))</f>
        <v>0</v>
      </c>
      <c r="P62" s="21" t="n">
        <f aca="false">IF($D16="",0,IFERROR(N(INDEX(Funções!O$10:O$19,MATCH($D16,Funções!$C$10:$C$19,0))),0))</f>
        <v>0</v>
      </c>
    </row>
    <row r="63" customFormat="false" ht="18" hidden="false" customHeight="true" outlineLevel="0" collapsed="false">
      <c r="B63" s="14" t="n">
        <v>8</v>
      </c>
      <c r="C63" s="32" t="str">
        <f aca="false">IF(C17="","",C17)</f>
        <v/>
      </c>
      <c r="D63" s="32" t="str">
        <f aca="false">IF(D17="","",D17)</f>
        <v/>
      </c>
      <c r="E63" s="21" t="n">
        <f aca="false">IF($D17="",0,IFERROR(N(INDEX(Funções!D$10:D$19,MATCH($D17,Funções!$C$10:$C$19,0))),0))</f>
        <v>0</v>
      </c>
      <c r="F63" s="21" t="n">
        <f aca="false">IF($D17="",0,IFERROR(N(INDEX(Funções!E$10:E$19,MATCH($D17,Funções!$C$10:$C$19,0))),0))</f>
        <v>0</v>
      </c>
      <c r="G63" s="21" t="n">
        <f aca="false">IF($D17="",0,IFERROR(N(INDEX(Funções!F$10:F$19,MATCH($D17,Funções!$C$10:$C$19,0))),0))</f>
        <v>0</v>
      </c>
      <c r="H63" s="21" t="n">
        <f aca="false">IF($D17="",0,IFERROR(N(INDEX(Funções!G$10:G$19,MATCH($D17,Funções!$C$10:$C$19,0))),0))</f>
        <v>0</v>
      </c>
      <c r="I63" s="21" t="n">
        <f aca="false">IF($D17="",0,IFERROR(N(INDEX(Funções!H$10:H$19,MATCH($D17,Funções!$C$10:$C$19,0))),0))</f>
        <v>0</v>
      </c>
      <c r="J63" s="21" t="n">
        <f aca="false">IF($D17="",0,IFERROR(N(INDEX(Funções!I$10:I$19,MATCH($D17,Funções!$C$10:$C$19,0))),0))</f>
        <v>0</v>
      </c>
      <c r="K63" s="21" t="n">
        <f aca="false">IF($D17="",0,IFERROR(N(INDEX(Funções!J$10:J$19,MATCH($D17,Funções!$C$10:$C$19,0))),0))</f>
        <v>0</v>
      </c>
      <c r="L63" s="21" t="n">
        <f aca="false">IF($D17="",0,IFERROR(N(INDEX(Funções!K$10:K$19,MATCH($D17,Funções!$C$10:$C$19,0))),0))</f>
        <v>0</v>
      </c>
      <c r="M63" s="21" t="n">
        <f aca="false">IF($D17="",0,IFERROR(N(INDEX(Funções!L$10:L$19,MATCH($D17,Funções!$C$10:$C$19,0))),0))</f>
        <v>0</v>
      </c>
      <c r="N63" s="21" t="n">
        <f aca="false">IF($D17="",0,IFERROR(N(INDEX(Funções!M$10:M$19,MATCH($D17,Funções!$C$10:$C$19,0))),0))</f>
        <v>0</v>
      </c>
      <c r="O63" s="21" t="n">
        <f aca="false">IF($D17="",0,IFERROR(N(INDEX(Funções!N$10:N$19,MATCH($D17,Funções!$C$10:$C$19,0))),0))</f>
        <v>0</v>
      </c>
      <c r="P63" s="21" t="n">
        <f aca="false">IF($D17="",0,IFERROR(N(INDEX(Funções!O$10:O$19,MATCH($D17,Funções!$C$10:$C$19,0))),0))</f>
        <v>0</v>
      </c>
    </row>
    <row r="64" customFormat="false" ht="18" hidden="false" customHeight="true" outlineLevel="0" collapsed="false">
      <c r="B64" s="14" t="n">
        <v>9</v>
      </c>
      <c r="C64" s="32" t="str">
        <f aca="false">IF(C18="","",C18)</f>
        <v/>
      </c>
      <c r="D64" s="32" t="str">
        <f aca="false">IF(D18="","",D18)</f>
        <v/>
      </c>
      <c r="E64" s="21" t="n">
        <f aca="false">IF($D18="",0,IFERROR(N(INDEX(Funções!D$10:D$19,MATCH($D18,Funções!$C$10:$C$19,0))),0))</f>
        <v>0</v>
      </c>
      <c r="F64" s="21" t="n">
        <f aca="false">IF($D18="",0,IFERROR(N(INDEX(Funções!E$10:E$19,MATCH($D18,Funções!$C$10:$C$19,0))),0))</f>
        <v>0</v>
      </c>
      <c r="G64" s="21" t="n">
        <f aca="false">IF($D18="",0,IFERROR(N(INDEX(Funções!F$10:F$19,MATCH($D18,Funções!$C$10:$C$19,0))),0))</f>
        <v>0</v>
      </c>
      <c r="H64" s="21" t="n">
        <f aca="false">IF($D18="",0,IFERROR(N(INDEX(Funções!G$10:G$19,MATCH($D18,Funções!$C$10:$C$19,0))),0))</f>
        <v>0</v>
      </c>
      <c r="I64" s="21" t="n">
        <f aca="false">IF($D18="",0,IFERROR(N(INDEX(Funções!H$10:H$19,MATCH($D18,Funções!$C$10:$C$19,0))),0))</f>
        <v>0</v>
      </c>
      <c r="J64" s="21" t="n">
        <f aca="false">IF($D18="",0,IFERROR(N(INDEX(Funções!I$10:I$19,MATCH($D18,Funções!$C$10:$C$19,0))),0))</f>
        <v>0</v>
      </c>
      <c r="K64" s="21" t="n">
        <f aca="false">IF($D18="",0,IFERROR(N(INDEX(Funções!J$10:J$19,MATCH($D18,Funções!$C$10:$C$19,0))),0))</f>
        <v>0</v>
      </c>
      <c r="L64" s="21" t="n">
        <f aca="false">IF($D18="",0,IFERROR(N(INDEX(Funções!K$10:K$19,MATCH($D18,Funções!$C$10:$C$19,0))),0))</f>
        <v>0</v>
      </c>
      <c r="M64" s="21" t="n">
        <f aca="false">IF($D18="",0,IFERROR(N(INDEX(Funções!L$10:L$19,MATCH($D18,Funções!$C$10:$C$19,0))),0))</f>
        <v>0</v>
      </c>
      <c r="N64" s="21" t="n">
        <f aca="false">IF($D18="",0,IFERROR(N(INDEX(Funções!M$10:M$19,MATCH($D18,Funções!$C$10:$C$19,0))),0))</f>
        <v>0</v>
      </c>
      <c r="O64" s="21" t="n">
        <f aca="false">IF($D18="",0,IFERROR(N(INDEX(Funções!N$10:N$19,MATCH($D18,Funções!$C$10:$C$19,0))),0))</f>
        <v>0</v>
      </c>
      <c r="P64" s="21" t="n">
        <f aca="false">IF($D18="",0,IFERROR(N(INDEX(Funções!O$10:O$19,MATCH($D18,Funções!$C$10:$C$19,0))),0))</f>
        <v>0</v>
      </c>
    </row>
    <row r="65" customFormat="false" ht="18" hidden="false" customHeight="true" outlineLevel="0" collapsed="false">
      <c r="B65" s="14" t="n">
        <v>10</v>
      </c>
      <c r="C65" s="32" t="str">
        <f aca="false">IF(C19="","",C19)</f>
        <v/>
      </c>
      <c r="D65" s="32" t="str">
        <f aca="false">IF(D19="","",D19)</f>
        <v/>
      </c>
      <c r="E65" s="21" t="n">
        <f aca="false">IF($D19="",0,IFERROR(N(INDEX(Funções!D$10:D$19,MATCH($D19,Funções!$C$10:$C$19,0))),0))</f>
        <v>0</v>
      </c>
      <c r="F65" s="21" t="n">
        <f aca="false">IF($D19="",0,IFERROR(N(INDEX(Funções!E$10:E$19,MATCH($D19,Funções!$C$10:$C$19,0))),0))</f>
        <v>0</v>
      </c>
      <c r="G65" s="21" t="n">
        <f aca="false">IF($D19="",0,IFERROR(N(INDEX(Funções!F$10:F$19,MATCH($D19,Funções!$C$10:$C$19,0))),0))</f>
        <v>0</v>
      </c>
      <c r="H65" s="21" t="n">
        <f aca="false">IF($D19="",0,IFERROR(N(INDEX(Funções!G$10:G$19,MATCH($D19,Funções!$C$10:$C$19,0))),0))</f>
        <v>0</v>
      </c>
      <c r="I65" s="21" t="n">
        <f aca="false">IF($D19="",0,IFERROR(N(INDEX(Funções!H$10:H$19,MATCH($D19,Funções!$C$10:$C$19,0))),0))</f>
        <v>0</v>
      </c>
      <c r="J65" s="21" t="n">
        <f aca="false">IF($D19="",0,IFERROR(N(INDEX(Funções!I$10:I$19,MATCH($D19,Funções!$C$10:$C$19,0))),0))</f>
        <v>0</v>
      </c>
      <c r="K65" s="21" t="n">
        <f aca="false">IF($D19="",0,IFERROR(N(INDEX(Funções!J$10:J$19,MATCH($D19,Funções!$C$10:$C$19,0))),0))</f>
        <v>0</v>
      </c>
      <c r="L65" s="21" t="n">
        <f aca="false">IF($D19="",0,IFERROR(N(INDEX(Funções!K$10:K$19,MATCH($D19,Funções!$C$10:$C$19,0))),0))</f>
        <v>0</v>
      </c>
      <c r="M65" s="21" t="n">
        <f aca="false">IF($D19="",0,IFERROR(N(INDEX(Funções!L$10:L$19,MATCH($D19,Funções!$C$10:$C$19,0))),0))</f>
        <v>0</v>
      </c>
      <c r="N65" s="21" t="n">
        <f aca="false">IF($D19="",0,IFERROR(N(INDEX(Funções!M$10:M$19,MATCH($D19,Funções!$C$10:$C$19,0))),0))</f>
        <v>0</v>
      </c>
      <c r="O65" s="21" t="n">
        <f aca="false">IF($D19="",0,IFERROR(N(INDEX(Funções!N$10:N$19,MATCH($D19,Funções!$C$10:$C$19,0))),0))</f>
        <v>0</v>
      </c>
      <c r="P65" s="21" t="n">
        <f aca="false">IF($D19="",0,IFERROR(N(INDEX(Funções!O$10:O$19,MATCH($D19,Funções!$C$10:$C$19,0))),0))</f>
        <v>0</v>
      </c>
    </row>
    <row r="66" customFormat="false" ht="18" hidden="false" customHeight="true" outlineLevel="0" collapsed="false">
      <c r="B66" s="14" t="n">
        <v>11</v>
      </c>
      <c r="C66" s="32" t="str">
        <f aca="false">IF(C20="","",C20)</f>
        <v/>
      </c>
      <c r="D66" s="32" t="str">
        <f aca="false">IF(D20="","",D20)</f>
        <v/>
      </c>
      <c r="E66" s="21" t="n">
        <f aca="false">IF($D20="",0,IFERROR(N(INDEX(Funções!D$10:D$19,MATCH($D20,Funções!$C$10:$C$19,0))),0))</f>
        <v>0</v>
      </c>
      <c r="F66" s="21" t="n">
        <f aca="false">IF($D20="",0,IFERROR(N(INDEX(Funções!E$10:E$19,MATCH($D20,Funções!$C$10:$C$19,0))),0))</f>
        <v>0</v>
      </c>
      <c r="G66" s="21" t="n">
        <f aca="false">IF($D20="",0,IFERROR(N(INDEX(Funções!F$10:F$19,MATCH($D20,Funções!$C$10:$C$19,0))),0))</f>
        <v>0</v>
      </c>
      <c r="H66" s="21" t="n">
        <f aca="false">IF($D20="",0,IFERROR(N(INDEX(Funções!G$10:G$19,MATCH($D20,Funções!$C$10:$C$19,0))),0))</f>
        <v>0</v>
      </c>
      <c r="I66" s="21" t="n">
        <f aca="false">IF($D20="",0,IFERROR(N(INDEX(Funções!H$10:H$19,MATCH($D20,Funções!$C$10:$C$19,0))),0))</f>
        <v>0</v>
      </c>
      <c r="J66" s="21" t="n">
        <f aca="false">IF($D20="",0,IFERROR(N(INDEX(Funções!I$10:I$19,MATCH($D20,Funções!$C$10:$C$19,0))),0))</f>
        <v>0</v>
      </c>
      <c r="K66" s="21" t="n">
        <f aca="false">IF($D20="",0,IFERROR(N(INDEX(Funções!J$10:J$19,MATCH($D20,Funções!$C$10:$C$19,0))),0))</f>
        <v>0</v>
      </c>
      <c r="L66" s="21" t="n">
        <f aca="false">IF($D20="",0,IFERROR(N(INDEX(Funções!K$10:K$19,MATCH($D20,Funções!$C$10:$C$19,0))),0))</f>
        <v>0</v>
      </c>
      <c r="M66" s="21" t="n">
        <f aca="false">IF($D20="",0,IFERROR(N(INDEX(Funções!L$10:L$19,MATCH($D20,Funções!$C$10:$C$19,0))),0))</f>
        <v>0</v>
      </c>
      <c r="N66" s="21" t="n">
        <f aca="false">IF($D20="",0,IFERROR(N(INDEX(Funções!M$10:M$19,MATCH($D20,Funções!$C$10:$C$19,0))),0))</f>
        <v>0</v>
      </c>
      <c r="O66" s="21" t="n">
        <f aca="false">IF($D20="",0,IFERROR(N(INDEX(Funções!N$10:N$19,MATCH($D20,Funções!$C$10:$C$19,0))),0))</f>
        <v>0</v>
      </c>
      <c r="P66" s="21" t="n">
        <f aca="false">IF($D20="",0,IFERROR(N(INDEX(Funções!O$10:O$19,MATCH($D20,Funções!$C$10:$C$19,0))),0))</f>
        <v>0</v>
      </c>
    </row>
    <row r="67" customFormat="false" ht="18" hidden="false" customHeight="true" outlineLevel="0" collapsed="false">
      <c r="B67" s="14" t="n">
        <v>12</v>
      </c>
      <c r="C67" s="32" t="str">
        <f aca="false">IF(C21="","",C21)</f>
        <v/>
      </c>
      <c r="D67" s="32" t="str">
        <f aca="false">IF(D21="","",D21)</f>
        <v/>
      </c>
      <c r="E67" s="21" t="n">
        <f aca="false">IF($D21="",0,IFERROR(N(INDEX(Funções!D$10:D$19,MATCH($D21,Funções!$C$10:$C$19,0))),0))</f>
        <v>0</v>
      </c>
      <c r="F67" s="21" t="n">
        <f aca="false">IF($D21="",0,IFERROR(N(INDEX(Funções!E$10:E$19,MATCH($D21,Funções!$C$10:$C$19,0))),0))</f>
        <v>0</v>
      </c>
      <c r="G67" s="21" t="n">
        <f aca="false">IF($D21="",0,IFERROR(N(INDEX(Funções!F$10:F$19,MATCH($D21,Funções!$C$10:$C$19,0))),0))</f>
        <v>0</v>
      </c>
      <c r="H67" s="21" t="n">
        <f aca="false">IF($D21="",0,IFERROR(N(INDEX(Funções!G$10:G$19,MATCH($D21,Funções!$C$10:$C$19,0))),0))</f>
        <v>0</v>
      </c>
      <c r="I67" s="21" t="n">
        <f aca="false">IF($D21="",0,IFERROR(N(INDEX(Funções!H$10:H$19,MATCH($D21,Funções!$C$10:$C$19,0))),0))</f>
        <v>0</v>
      </c>
      <c r="J67" s="21" t="n">
        <f aca="false">IF($D21="",0,IFERROR(N(INDEX(Funções!I$10:I$19,MATCH($D21,Funções!$C$10:$C$19,0))),0))</f>
        <v>0</v>
      </c>
      <c r="K67" s="21" t="n">
        <f aca="false">IF($D21="",0,IFERROR(N(INDEX(Funções!J$10:J$19,MATCH($D21,Funções!$C$10:$C$19,0))),0))</f>
        <v>0</v>
      </c>
      <c r="L67" s="21" t="n">
        <f aca="false">IF($D21="",0,IFERROR(N(INDEX(Funções!K$10:K$19,MATCH($D21,Funções!$C$10:$C$19,0))),0))</f>
        <v>0</v>
      </c>
      <c r="M67" s="21" t="n">
        <f aca="false">IF($D21="",0,IFERROR(N(INDEX(Funções!L$10:L$19,MATCH($D21,Funções!$C$10:$C$19,0))),0))</f>
        <v>0</v>
      </c>
      <c r="N67" s="21" t="n">
        <f aca="false">IF($D21="",0,IFERROR(N(INDEX(Funções!M$10:M$19,MATCH($D21,Funções!$C$10:$C$19,0))),0))</f>
        <v>0</v>
      </c>
      <c r="O67" s="21" t="n">
        <f aca="false">IF($D21="",0,IFERROR(N(INDEX(Funções!N$10:N$19,MATCH($D21,Funções!$C$10:$C$19,0))),0))</f>
        <v>0</v>
      </c>
      <c r="P67" s="21" t="n">
        <f aca="false">IF($D21="",0,IFERROR(N(INDEX(Funções!O$10:O$19,MATCH($D21,Funções!$C$10:$C$19,0))),0))</f>
        <v>0</v>
      </c>
    </row>
    <row r="68" customFormat="false" ht="18" hidden="false" customHeight="true" outlineLevel="0" collapsed="false">
      <c r="B68" s="14" t="n">
        <v>13</v>
      </c>
      <c r="C68" s="32" t="str">
        <f aca="false">IF(C22="","",C22)</f>
        <v/>
      </c>
      <c r="D68" s="32" t="str">
        <f aca="false">IF(D22="","",D22)</f>
        <v/>
      </c>
      <c r="E68" s="21" t="n">
        <f aca="false">IF($D22="",0,IFERROR(N(INDEX(Funções!D$10:D$19,MATCH($D22,Funções!$C$10:$C$19,0))),0))</f>
        <v>0</v>
      </c>
      <c r="F68" s="21" t="n">
        <f aca="false">IF($D22="",0,IFERROR(N(INDEX(Funções!E$10:E$19,MATCH($D22,Funções!$C$10:$C$19,0))),0))</f>
        <v>0</v>
      </c>
      <c r="G68" s="21" t="n">
        <f aca="false">IF($D22="",0,IFERROR(N(INDEX(Funções!F$10:F$19,MATCH($D22,Funções!$C$10:$C$19,0))),0))</f>
        <v>0</v>
      </c>
      <c r="H68" s="21" t="n">
        <f aca="false">IF($D22="",0,IFERROR(N(INDEX(Funções!G$10:G$19,MATCH($D22,Funções!$C$10:$C$19,0))),0))</f>
        <v>0</v>
      </c>
      <c r="I68" s="21" t="n">
        <f aca="false">IF($D22="",0,IFERROR(N(INDEX(Funções!H$10:H$19,MATCH($D22,Funções!$C$10:$C$19,0))),0))</f>
        <v>0</v>
      </c>
      <c r="J68" s="21" t="n">
        <f aca="false">IF($D22="",0,IFERROR(N(INDEX(Funções!I$10:I$19,MATCH($D22,Funções!$C$10:$C$19,0))),0))</f>
        <v>0</v>
      </c>
      <c r="K68" s="21" t="n">
        <f aca="false">IF($D22="",0,IFERROR(N(INDEX(Funções!J$10:J$19,MATCH($D22,Funções!$C$10:$C$19,0))),0))</f>
        <v>0</v>
      </c>
      <c r="L68" s="21" t="n">
        <f aca="false">IF($D22="",0,IFERROR(N(INDEX(Funções!K$10:K$19,MATCH($D22,Funções!$C$10:$C$19,0))),0))</f>
        <v>0</v>
      </c>
      <c r="M68" s="21" t="n">
        <f aca="false">IF($D22="",0,IFERROR(N(INDEX(Funções!L$10:L$19,MATCH($D22,Funções!$C$10:$C$19,0))),0))</f>
        <v>0</v>
      </c>
      <c r="N68" s="21" t="n">
        <f aca="false">IF($D22="",0,IFERROR(N(INDEX(Funções!M$10:M$19,MATCH($D22,Funções!$C$10:$C$19,0))),0))</f>
        <v>0</v>
      </c>
      <c r="O68" s="21" t="n">
        <f aca="false">IF($D22="",0,IFERROR(N(INDEX(Funções!N$10:N$19,MATCH($D22,Funções!$C$10:$C$19,0))),0))</f>
        <v>0</v>
      </c>
      <c r="P68" s="21" t="n">
        <f aca="false">IF($D22="",0,IFERROR(N(INDEX(Funções!O$10:O$19,MATCH($D22,Funções!$C$10:$C$19,0))),0))</f>
        <v>0</v>
      </c>
    </row>
    <row r="69" customFormat="false" ht="18" hidden="false" customHeight="true" outlineLevel="0" collapsed="false">
      <c r="B69" s="14" t="n">
        <v>14</v>
      </c>
      <c r="C69" s="32" t="str">
        <f aca="false">IF(C23="","",C23)</f>
        <v/>
      </c>
      <c r="D69" s="32" t="str">
        <f aca="false">IF(D23="","",D23)</f>
        <v/>
      </c>
      <c r="E69" s="21" t="n">
        <f aca="false">IF($D23="",0,IFERROR(N(INDEX(Funções!D$10:D$19,MATCH($D23,Funções!$C$10:$C$19,0))),0))</f>
        <v>0</v>
      </c>
      <c r="F69" s="21" t="n">
        <f aca="false">IF($D23="",0,IFERROR(N(INDEX(Funções!E$10:E$19,MATCH($D23,Funções!$C$10:$C$19,0))),0))</f>
        <v>0</v>
      </c>
      <c r="G69" s="21" t="n">
        <f aca="false">IF($D23="",0,IFERROR(N(INDEX(Funções!F$10:F$19,MATCH($D23,Funções!$C$10:$C$19,0))),0))</f>
        <v>0</v>
      </c>
      <c r="H69" s="21" t="n">
        <f aca="false">IF($D23="",0,IFERROR(N(INDEX(Funções!G$10:G$19,MATCH($D23,Funções!$C$10:$C$19,0))),0))</f>
        <v>0</v>
      </c>
      <c r="I69" s="21" t="n">
        <f aca="false">IF($D23="",0,IFERROR(N(INDEX(Funções!H$10:H$19,MATCH($D23,Funções!$C$10:$C$19,0))),0))</f>
        <v>0</v>
      </c>
      <c r="J69" s="21" t="n">
        <f aca="false">IF($D23="",0,IFERROR(N(INDEX(Funções!I$10:I$19,MATCH($D23,Funções!$C$10:$C$19,0))),0))</f>
        <v>0</v>
      </c>
      <c r="K69" s="21" t="n">
        <f aca="false">IF($D23="",0,IFERROR(N(INDEX(Funções!J$10:J$19,MATCH($D23,Funções!$C$10:$C$19,0))),0))</f>
        <v>0</v>
      </c>
      <c r="L69" s="21" t="n">
        <f aca="false">IF($D23="",0,IFERROR(N(INDEX(Funções!K$10:K$19,MATCH($D23,Funções!$C$10:$C$19,0))),0))</f>
        <v>0</v>
      </c>
      <c r="M69" s="21" t="n">
        <f aca="false">IF($D23="",0,IFERROR(N(INDEX(Funções!L$10:L$19,MATCH($D23,Funções!$C$10:$C$19,0))),0))</f>
        <v>0</v>
      </c>
      <c r="N69" s="21" t="n">
        <f aca="false">IF($D23="",0,IFERROR(N(INDEX(Funções!M$10:M$19,MATCH($D23,Funções!$C$10:$C$19,0))),0))</f>
        <v>0</v>
      </c>
      <c r="O69" s="21" t="n">
        <f aca="false">IF($D23="",0,IFERROR(N(INDEX(Funções!N$10:N$19,MATCH($D23,Funções!$C$10:$C$19,0))),0))</f>
        <v>0</v>
      </c>
      <c r="P69" s="21" t="n">
        <f aca="false">IF($D23="",0,IFERROR(N(INDEX(Funções!O$10:O$19,MATCH($D23,Funções!$C$10:$C$19,0))),0))</f>
        <v>0</v>
      </c>
    </row>
    <row r="70" customFormat="false" ht="18" hidden="false" customHeight="true" outlineLevel="0" collapsed="false">
      <c r="B70" s="14" t="n">
        <v>15</v>
      </c>
      <c r="C70" s="32" t="str">
        <f aca="false">IF(C24="","",C24)</f>
        <v/>
      </c>
      <c r="D70" s="32" t="str">
        <f aca="false">IF(D24="","",D24)</f>
        <v/>
      </c>
      <c r="E70" s="21" t="n">
        <f aca="false">IF($D24="",0,IFERROR(N(INDEX(Funções!D$10:D$19,MATCH($D24,Funções!$C$10:$C$19,0))),0))</f>
        <v>0</v>
      </c>
      <c r="F70" s="21" t="n">
        <f aca="false">IF($D24="",0,IFERROR(N(INDEX(Funções!E$10:E$19,MATCH($D24,Funções!$C$10:$C$19,0))),0))</f>
        <v>0</v>
      </c>
      <c r="G70" s="21" t="n">
        <f aca="false">IF($D24="",0,IFERROR(N(INDEX(Funções!F$10:F$19,MATCH($D24,Funções!$C$10:$C$19,0))),0))</f>
        <v>0</v>
      </c>
      <c r="H70" s="21" t="n">
        <f aca="false">IF($D24="",0,IFERROR(N(INDEX(Funções!G$10:G$19,MATCH($D24,Funções!$C$10:$C$19,0))),0))</f>
        <v>0</v>
      </c>
      <c r="I70" s="21" t="n">
        <f aca="false">IF($D24="",0,IFERROR(N(INDEX(Funções!H$10:H$19,MATCH($D24,Funções!$C$10:$C$19,0))),0))</f>
        <v>0</v>
      </c>
      <c r="J70" s="21" t="n">
        <f aca="false">IF($D24="",0,IFERROR(N(INDEX(Funções!I$10:I$19,MATCH($D24,Funções!$C$10:$C$19,0))),0))</f>
        <v>0</v>
      </c>
      <c r="K70" s="21" t="n">
        <f aca="false">IF($D24="",0,IFERROR(N(INDEX(Funções!J$10:J$19,MATCH($D24,Funções!$C$10:$C$19,0))),0))</f>
        <v>0</v>
      </c>
      <c r="L70" s="21" t="n">
        <f aca="false">IF($D24="",0,IFERROR(N(INDEX(Funções!K$10:K$19,MATCH($D24,Funções!$C$10:$C$19,0))),0))</f>
        <v>0</v>
      </c>
      <c r="M70" s="21" t="n">
        <f aca="false">IF($D24="",0,IFERROR(N(INDEX(Funções!L$10:L$19,MATCH($D24,Funções!$C$10:$C$19,0))),0))</f>
        <v>0</v>
      </c>
      <c r="N70" s="21" t="n">
        <f aca="false">IF($D24="",0,IFERROR(N(INDEX(Funções!M$10:M$19,MATCH($D24,Funções!$C$10:$C$19,0))),0))</f>
        <v>0</v>
      </c>
      <c r="O70" s="21" t="n">
        <f aca="false">IF($D24="",0,IFERROR(N(INDEX(Funções!N$10:N$19,MATCH($D24,Funções!$C$10:$C$19,0))),0))</f>
        <v>0</v>
      </c>
      <c r="P70" s="21" t="n">
        <f aca="false">IF($D24="",0,IFERROR(N(INDEX(Funções!O$10:O$19,MATCH($D24,Funções!$C$10:$C$19,0))),0))</f>
        <v>0</v>
      </c>
    </row>
    <row r="71" customFormat="false" ht="18" hidden="false" customHeight="true" outlineLevel="0" collapsed="false">
      <c r="B71" s="14" t="n">
        <v>16</v>
      </c>
      <c r="C71" s="32" t="str">
        <f aca="false">IF(C25="","",C25)</f>
        <v/>
      </c>
      <c r="D71" s="32" t="str">
        <f aca="false">IF(D25="","",D25)</f>
        <v/>
      </c>
      <c r="E71" s="21" t="n">
        <f aca="false">IF($D25="",0,IFERROR(N(INDEX(Funções!D$10:D$19,MATCH($D25,Funções!$C$10:$C$19,0))),0))</f>
        <v>0</v>
      </c>
      <c r="F71" s="21" t="n">
        <f aca="false">IF($D25="",0,IFERROR(N(INDEX(Funções!E$10:E$19,MATCH($D25,Funções!$C$10:$C$19,0))),0))</f>
        <v>0</v>
      </c>
      <c r="G71" s="21" t="n">
        <f aca="false">IF($D25="",0,IFERROR(N(INDEX(Funções!F$10:F$19,MATCH($D25,Funções!$C$10:$C$19,0))),0))</f>
        <v>0</v>
      </c>
      <c r="H71" s="21" t="n">
        <f aca="false">IF($D25="",0,IFERROR(N(INDEX(Funções!G$10:G$19,MATCH($D25,Funções!$C$10:$C$19,0))),0))</f>
        <v>0</v>
      </c>
      <c r="I71" s="21" t="n">
        <f aca="false">IF($D25="",0,IFERROR(N(INDEX(Funções!H$10:H$19,MATCH($D25,Funções!$C$10:$C$19,0))),0))</f>
        <v>0</v>
      </c>
      <c r="J71" s="21" t="n">
        <f aca="false">IF($D25="",0,IFERROR(N(INDEX(Funções!I$10:I$19,MATCH($D25,Funções!$C$10:$C$19,0))),0))</f>
        <v>0</v>
      </c>
      <c r="K71" s="21" t="n">
        <f aca="false">IF($D25="",0,IFERROR(N(INDEX(Funções!J$10:J$19,MATCH($D25,Funções!$C$10:$C$19,0))),0))</f>
        <v>0</v>
      </c>
      <c r="L71" s="21" t="n">
        <f aca="false">IF($D25="",0,IFERROR(N(INDEX(Funções!K$10:K$19,MATCH($D25,Funções!$C$10:$C$19,0))),0))</f>
        <v>0</v>
      </c>
      <c r="M71" s="21" t="n">
        <f aca="false">IF($D25="",0,IFERROR(N(INDEX(Funções!L$10:L$19,MATCH($D25,Funções!$C$10:$C$19,0))),0))</f>
        <v>0</v>
      </c>
      <c r="N71" s="21" t="n">
        <f aca="false">IF($D25="",0,IFERROR(N(INDEX(Funções!M$10:M$19,MATCH($D25,Funções!$C$10:$C$19,0))),0))</f>
        <v>0</v>
      </c>
      <c r="O71" s="21" t="n">
        <f aca="false">IF($D25="",0,IFERROR(N(INDEX(Funções!N$10:N$19,MATCH($D25,Funções!$C$10:$C$19,0))),0))</f>
        <v>0</v>
      </c>
      <c r="P71" s="21" t="n">
        <f aca="false">IF($D25="",0,IFERROR(N(INDEX(Funções!O$10:O$19,MATCH($D25,Funções!$C$10:$C$19,0))),0))</f>
        <v>0</v>
      </c>
    </row>
    <row r="72" customFormat="false" ht="18" hidden="false" customHeight="true" outlineLevel="0" collapsed="false">
      <c r="B72" s="14" t="n">
        <v>17</v>
      </c>
      <c r="C72" s="32" t="str">
        <f aca="false">IF(C26="","",C26)</f>
        <v/>
      </c>
      <c r="D72" s="32" t="str">
        <f aca="false">IF(D26="","",D26)</f>
        <v/>
      </c>
      <c r="E72" s="21" t="n">
        <f aca="false">IF($D26="",0,IFERROR(N(INDEX(Funções!D$10:D$19,MATCH($D26,Funções!$C$10:$C$19,0))),0))</f>
        <v>0</v>
      </c>
      <c r="F72" s="21" t="n">
        <f aca="false">IF($D26="",0,IFERROR(N(INDEX(Funções!E$10:E$19,MATCH($D26,Funções!$C$10:$C$19,0))),0))</f>
        <v>0</v>
      </c>
      <c r="G72" s="21" t="n">
        <f aca="false">IF($D26="",0,IFERROR(N(INDEX(Funções!F$10:F$19,MATCH($D26,Funções!$C$10:$C$19,0))),0))</f>
        <v>0</v>
      </c>
      <c r="H72" s="21" t="n">
        <f aca="false">IF($D26="",0,IFERROR(N(INDEX(Funções!G$10:G$19,MATCH($D26,Funções!$C$10:$C$19,0))),0))</f>
        <v>0</v>
      </c>
      <c r="I72" s="21" t="n">
        <f aca="false">IF($D26="",0,IFERROR(N(INDEX(Funções!H$10:H$19,MATCH($D26,Funções!$C$10:$C$19,0))),0))</f>
        <v>0</v>
      </c>
      <c r="J72" s="21" t="n">
        <f aca="false">IF($D26="",0,IFERROR(N(INDEX(Funções!I$10:I$19,MATCH($D26,Funções!$C$10:$C$19,0))),0))</f>
        <v>0</v>
      </c>
      <c r="K72" s="21" t="n">
        <f aca="false">IF($D26="",0,IFERROR(N(INDEX(Funções!J$10:J$19,MATCH($D26,Funções!$C$10:$C$19,0))),0))</f>
        <v>0</v>
      </c>
      <c r="L72" s="21" t="n">
        <f aca="false">IF($D26="",0,IFERROR(N(INDEX(Funções!K$10:K$19,MATCH($D26,Funções!$C$10:$C$19,0))),0))</f>
        <v>0</v>
      </c>
      <c r="M72" s="21" t="n">
        <f aca="false">IF($D26="",0,IFERROR(N(INDEX(Funções!L$10:L$19,MATCH($D26,Funções!$C$10:$C$19,0))),0))</f>
        <v>0</v>
      </c>
      <c r="N72" s="21" t="n">
        <f aca="false">IF($D26="",0,IFERROR(N(INDEX(Funções!M$10:M$19,MATCH($D26,Funções!$C$10:$C$19,0))),0))</f>
        <v>0</v>
      </c>
      <c r="O72" s="21" t="n">
        <f aca="false">IF($D26="",0,IFERROR(N(INDEX(Funções!N$10:N$19,MATCH($D26,Funções!$C$10:$C$19,0))),0))</f>
        <v>0</v>
      </c>
      <c r="P72" s="21" t="n">
        <f aca="false">IF($D26="",0,IFERROR(N(INDEX(Funções!O$10:O$19,MATCH($D26,Funções!$C$10:$C$19,0))),0))</f>
        <v>0</v>
      </c>
    </row>
    <row r="73" customFormat="false" ht="18" hidden="false" customHeight="true" outlineLevel="0" collapsed="false">
      <c r="B73" s="14" t="n">
        <v>18</v>
      </c>
      <c r="C73" s="32" t="str">
        <f aca="false">IF(C27="","",C27)</f>
        <v/>
      </c>
      <c r="D73" s="32" t="str">
        <f aca="false">IF(D27="","",D27)</f>
        <v/>
      </c>
      <c r="E73" s="21" t="n">
        <f aca="false">IF($D27="",0,IFERROR(N(INDEX(Funções!D$10:D$19,MATCH($D27,Funções!$C$10:$C$19,0))),0))</f>
        <v>0</v>
      </c>
      <c r="F73" s="21" t="n">
        <f aca="false">IF($D27="",0,IFERROR(N(INDEX(Funções!E$10:E$19,MATCH($D27,Funções!$C$10:$C$19,0))),0))</f>
        <v>0</v>
      </c>
      <c r="G73" s="21" t="n">
        <f aca="false">IF($D27="",0,IFERROR(N(INDEX(Funções!F$10:F$19,MATCH($D27,Funções!$C$10:$C$19,0))),0))</f>
        <v>0</v>
      </c>
      <c r="H73" s="21" t="n">
        <f aca="false">IF($D27="",0,IFERROR(N(INDEX(Funções!G$10:G$19,MATCH($D27,Funções!$C$10:$C$19,0))),0))</f>
        <v>0</v>
      </c>
      <c r="I73" s="21" t="n">
        <f aca="false">IF($D27="",0,IFERROR(N(INDEX(Funções!H$10:H$19,MATCH($D27,Funções!$C$10:$C$19,0))),0))</f>
        <v>0</v>
      </c>
      <c r="J73" s="21" t="n">
        <f aca="false">IF($D27="",0,IFERROR(N(INDEX(Funções!I$10:I$19,MATCH($D27,Funções!$C$10:$C$19,0))),0))</f>
        <v>0</v>
      </c>
      <c r="K73" s="21" t="n">
        <f aca="false">IF($D27="",0,IFERROR(N(INDEX(Funções!J$10:J$19,MATCH($D27,Funções!$C$10:$C$19,0))),0))</f>
        <v>0</v>
      </c>
      <c r="L73" s="21" t="n">
        <f aca="false">IF($D27="",0,IFERROR(N(INDEX(Funções!K$10:K$19,MATCH($D27,Funções!$C$10:$C$19,0))),0))</f>
        <v>0</v>
      </c>
      <c r="M73" s="21" t="n">
        <f aca="false">IF($D27="",0,IFERROR(N(INDEX(Funções!L$10:L$19,MATCH($D27,Funções!$C$10:$C$19,0))),0))</f>
        <v>0</v>
      </c>
      <c r="N73" s="21" t="n">
        <f aca="false">IF($D27="",0,IFERROR(N(INDEX(Funções!M$10:M$19,MATCH($D27,Funções!$C$10:$C$19,0))),0))</f>
        <v>0</v>
      </c>
      <c r="O73" s="21" t="n">
        <f aca="false">IF($D27="",0,IFERROR(N(INDEX(Funções!N$10:N$19,MATCH($D27,Funções!$C$10:$C$19,0))),0))</f>
        <v>0</v>
      </c>
      <c r="P73" s="21" t="n">
        <f aca="false">IF($D27="",0,IFERROR(N(INDEX(Funções!O$10:O$19,MATCH($D27,Funções!$C$10:$C$19,0))),0))</f>
        <v>0</v>
      </c>
    </row>
    <row r="74" customFormat="false" ht="18" hidden="false" customHeight="true" outlineLevel="0" collapsed="false">
      <c r="B74" s="14" t="n">
        <v>19</v>
      </c>
      <c r="C74" s="32" t="str">
        <f aca="false">IF(C28="","",C28)</f>
        <v/>
      </c>
      <c r="D74" s="32" t="str">
        <f aca="false">IF(D28="","",D28)</f>
        <v/>
      </c>
      <c r="E74" s="21" t="n">
        <f aca="false">IF($D28="",0,IFERROR(N(INDEX(Funções!D$10:D$19,MATCH($D28,Funções!$C$10:$C$19,0))),0))</f>
        <v>0</v>
      </c>
      <c r="F74" s="21" t="n">
        <f aca="false">IF($D28="",0,IFERROR(N(INDEX(Funções!E$10:E$19,MATCH($D28,Funções!$C$10:$C$19,0))),0))</f>
        <v>0</v>
      </c>
      <c r="G74" s="21" t="n">
        <f aca="false">IF($D28="",0,IFERROR(N(INDEX(Funções!F$10:F$19,MATCH($D28,Funções!$C$10:$C$19,0))),0))</f>
        <v>0</v>
      </c>
      <c r="H74" s="21" t="n">
        <f aca="false">IF($D28="",0,IFERROR(N(INDEX(Funções!G$10:G$19,MATCH($D28,Funções!$C$10:$C$19,0))),0))</f>
        <v>0</v>
      </c>
      <c r="I74" s="21" t="n">
        <f aca="false">IF($D28="",0,IFERROR(N(INDEX(Funções!H$10:H$19,MATCH($D28,Funções!$C$10:$C$19,0))),0))</f>
        <v>0</v>
      </c>
      <c r="J74" s="21" t="n">
        <f aca="false">IF($D28="",0,IFERROR(N(INDEX(Funções!I$10:I$19,MATCH($D28,Funções!$C$10:$C$19,0))),0))</f>
        <v>0</v>
      </c>
      <c r="K74" s="21" t="n">
        <f aca="false">IF($D28="",0,IFERROR(N(INDEX(Funções!J$10:J$19,MATCH($D28,Funções!$C$10:$C$19,0))),0))</f>
        <v>0</v>
      </c>
      <c r="L74" s="21" t="n">
        <f aca="false">IF($D28="",0,IFERROR(N(INDEX(Funções!K$10:K$19,MATCH($D28,Funções!$C$10:$C$19,0))),0))</f>
        <v>0</v>
      </c>
      <c r="M74" s="21" t="n">
        <f aca="false">IF($D28="",0,IFERROR(N(INDEX(Funções!L$10:L$19,MATCH($D28,Funções!$C$10:$C$19,0))),0))</f>
        <v>0</v>
      </c>
      <c r="N74" s="21" t="n">
        <f aca="false">IF($D28="",0,IFERROR(N(INDEX(Funções!M$10:M$19,MATCH($D28,Funções!$C$10:$C$19,0))),0))</f>
        <v>0</v>
      </c>
      <c r="O74" s="21" t="n">
        <f aca="false">IF($D28="",0,IFERROR(N(INDEX(Funções!N$10:N$19,MATCH($D28,Funções!$C$10:$C$19,0))),0))</f>
        <v>0</v>
      </c>
      <c r="P74" s="21" t="n">
        <f aca="false">IF($D28="",0,IFERROR(N(INDEX(Funções!O$10:O$19,MATCH($D28,Funções!$C$10:$C$19,0))),0))</f>
        <v>0</v>
      </c>
    </row>
    <row r="75" customFormat="false" ht="18" hidden="false" customHeight="true" outlineLevel="0" collapsed="false">
      <c r="B75" s="14" t="n">
        <v>20</v>
      </c>
      <c r="C75" s="32" t="str">
        <f aca="false">IF(C29="","",C29)</f>
        <v/>
      </c>
      <c r="D75" s="32" t="str">
        <f aca="false">IF(D29="","",D29)</f>
        <v/>
      </c>
      <c r="E75" s="21" t="n">
        <f aca="false">IF($D29="",0,IFERROR(N(INDEX(Funções!D$10:D$19,MATCH($D29,Funções!$C$10:$C$19,0))),0))</f>
        <v>0</v>
      </c>
      <c r="F75" s="21" t="n">
        <f aca="false">IF($D29="",0,IFERROR(N(INDEX(Funções!E$10:E$19,MATCH($D29,Funções!$C$10:$C$19,0))),0))</f>
        <v>0</v>
      </c>
      <c r="G75" s="21" t="n">
        <f aca="false">IF($D29="",0,IFERROR(N(INDEX(Funções!F$10:F$19,MATCH($D29,Funções!$C$10:$C$19,0))),0))</f>
        <v>0</v>
      </c>
      <c r="H75" s="21" t="n">
        <f aca="false">IF($D29="",0,IFERROR(N(INDEX(Funções!G$10:G$19,MATCH($D29,Funções!$C$10:$C$19,0))),0))</f>
        <v>0</v>
      </c>
      <c r="I75" s="21" t="n">
        <f aca="false">IF($D29="",0,IFERROR(N(INDEX(Funções!H$10:H$19,MATCH($D29,Funções!$C$10:$C$19,0))),0))</f>
        <v>0</v>
      </c>
      <c r="J75" s="21" t="n">
        <f aca="false">IF($D29="",0,IFERROR(N(INDEX(Funções!I$10:I$19,MATCH($D29,Funções!$C$10:$C$19,0))),0))</f>
        <v>0</v>
      </c>
      <c r="K75" s="21" t="n">
        <f aca="false">IF($D29="",0,IFERROR(N(INDEX(Funções!J$10:J$19,MATCH($D29,Funções!$C$10:$C$19,0))),0))</f>
        <v>0</v>
      </c>
      <c r="L75" s="21" t="n">
        <f aca="false">IF($D29="",0,IFERROR(N(INDEX(Funções!K$10:K$19,MATCH($D29,Funções!$C$10:$C$19,0))),0))</f>
        <v>0</v>
      </c>
      <c r="M75" s="21" t="n">
        <f aca="false">IF($D29="",0,IFERROR(N(INDEX(Funções!L$10:L$19,MATCH($D29,Funções!$C$10:$C$19,0))),0))</f>
        <v>0</v>
      </c>
      <c r="N75" s="21" t="n">
        <f aca="false">IF($D29="",0,IFERROR(N(INDEX(Funções!M$10:M$19,MATCH($D29,Funções!$C$10:$C$19,0))),0))</f>
        <v>0</v>
      </c>
      <c r="O75" s="21" t="n">
        <f aca="false">IF($D29="",0,IFERROR(N(INDEX(Funções!N$10:N$19,MATCH($D29,Funções!$C$10:$C$19,0))),0))</f>
        <v>0</v>
      </c>
      <c r="P75" s="21" t="n">
        <f aca="false">IF($D29="",0,IFERROR(N(INDEX(Funções!O$10:O$19,MATCH($D29,Funções!$C$10:$C$19,0))),0))</f>
        <v>0</v>
      </c>
    </row>
  </sheetData>
  <mergeCells count="37">
    <mergeCell ref="B1:T1"/>
    <mergeCell ref="B2:T2"/>
    <mergeCell ref="B4:C4"/>
    <mergeCell ref="D4:G4"/>
    <mergeCell ref="B5:C5"/>
    <mergeCell ref="C8:D8"/>
    <mergeCell ref="B31:T31"/>
    <mergeCell ref="B32:D32"/>
    <mergeCell ref="B33:D33"/>
    <mergeCell ref="B34:D34"/>
    <mergeCell ref="B35:D35"/>
    <mergeCell ref="B36:D36"/>
    <mergeCell ref="B38:H38"/>
    <mergeCell ref="J38:P38"/>
    <mergeCell ref="B39:D39"/>
    <mergeCell ref="E39:H39"/>
    <mergeCell ref="J39:O39"/>
    <mergeCell ref="B40:D40"/>
    <mergeCell ref="E40:H40"/>
    <mergeCell ref="J40:O40"/>
    <mergeCell ref="B41:D41"/>
    <mergeCell ref="E41:H41"/>
    <mergeCell ref="J41:O41"/>
    <mergeCell ref="B42:D42"/>
    <mergeCell ref="E42:H42"/>
    <mergeCell ref="J42:O42"/>
    <mergeCell ref="B43:D43"/>
    <mergeCell ref="E43:H43"/>
    <mergeCell ref="J43:O43"/>
    <mergeCell ref="J44:O44"/>
    <mergeCell ref="J45:O45"/>
    <mergeCell ref="J46:O46"/>
    <mergeCell ref="J47:O47"/>
    <mergeCell ref="J48:O48"/>
    <mergeCell ref="J49:O49"/>
    <mergeCell ref="J50:O50"/>
    <mergeCell ref="B54:T54"/>
  </mergeCells>
  <conditionalFormatting sqref="E10:P29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  <cfRule type="expression" priority="6" aboveAverage="0" equalAverage="0" bottom="0" percent="0" rank="0" text="" dxfId="6">
      <formula>AND($C10&lt;&gt;"",E56&gt;N(E10))</formula>
    </cfRule>
  </conditionalFormatting>
  <conditionalFormatting sqref="T10:T29">
    <cfRule type="expression" priority="7" aboveAverage="0" equalAverage="0" bottom="0" percent="0" rank="0" text="" dxfId="4">
      <formula>T10="Sem lacunas"</formula>
    </cfRule>
    <cfRule type="expression" priority="8" aboveAverage="0" equalAverage="0" bottom="0" percent="0" rank="0" text="" dxfId="5">
      <formula>T10="Com lacunas"</formula>
    </cfRule>
    <cfRule type="expression" priority="9" aboveAverage="0" equalAverage="0" bottom="0" percent="0" rank="0" text="" dxfId="7">
      <formula>LEN(T10)&gt;0</formula>
    </cfRule>
  </conditionalFormatting>
  <conditionalFormatting sqref="E36:P36">
    <cfRule type="expression" priority="10" aboveAverage="0" equalAverage="0" bottom="0" percent="0" rank="0" text="" dxfId="4">
      <formula>E36="Coberta"</formula>
    </cfRule>
    <cfRule type="expression" priority="11" aboveAverage="0" equalAverage="0" bottom="0" percent="0" rank="0" text="" dxfId="5">
      <formula>E36="Uma só pessoa"</formula>
    </cfRule>
    <cfRule type="expression" priority="12" aboveAverage="0" equalAverage="0" bottom="0" percent="0" rank="0" text="" dxfId="7">
      <formula>E36="Ninguém no nível 2"</formula>
    </cfRule>
  </conditionalFormatting>
  <conditionalFormatting sqref="E43:H43">
    <cfRule type="expression" priority="13" aboveAverage="0" equalAverage="0" bottom="0" percent="0" rank="0" text="" dxfId="4">
      <formula>OR(E43="OK")</formula>
    </cfRule>
    <cfRule type="expression" priority="14" aboveAverage="0" equalAverage="0" bottom="0" percent="0" rank="0" text="" dxfId="5">
      <formula>AND(LEN(E43)&gt;0,NOT(OR(E43="OK")))</formula>
    </cfRule>
  </conditionalFormatting>
  <dataValidations count="2">
    <dataValidation allowBlank="true" error="Digite 0, 1, 2 ou 3." errorStyle="stop" errorTitle="Nível inválido" operator="between" prompt="0 não conhece · 1 com acompanhamento · 2 sozinho · 3 treina os outros" promptTitle="Nível" showDropDown="false" showErrorMessage="true" showInputMessage="true" sqref="E10:P29" type="whole">
      <formula1>0</formula1>
      <formula2>3</formula2>
    </dataValidation>
    <dataValidation allowBlank="true" error="Escolha uma função cadastrada na aba Funções." errorStyle="stop" errorTitle="Função inválida" operator="between" prompt="Escolha uma função da aba Funções." promptTitle="Função" showDropDown="false" showErrorMessage="true" showInputMessage="true" sqref="D10:D29" type="list">
      <formula1>Funções!$C$10:$C$19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11" min="7" style="0" width="12"/>
    <col collapsed="false" customWidth="true" hidden="false" outlineLevel="0" max="12" min="12" style="0" width="30"/>
    <col collapsed="false" customWidth="true" hidden="false" outlineLevel="0" max="13" min="13" style="0" width="24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16" t="s">
        <v>85</v>
      </c>
      <c r="C4" s="16" t="s">
        <v>95</v>
      </c>
      <c r="D4" s="16" t="s">
        <v>84</v>
      </c>
      <c r="E4" s="16" t="s">
        <v>117</v>
      </c>
      <c r="F4" s="16" t="s">
        <v>118</v>
      </c>
      <c r="G4" s="16" t="s">
        <v>119</v>
      </c>
      <c r="H4" s="16" t="s">
        <v>120</v>
      </c>
      <c r="I4" s="16" t="s">
        <v>121</v>
      </c>
      <c r="J4" s="16" t="s">
        <v>59</v>
      </c>
      <c r="K4" s="16" t="s">
        <v>122</v>
      </c>
      <c r="L4" s="16" t="s">
        <v>123</v>
      </c>
      <c r="M4" s="16" t="s">
        <v>124</v>
      </c>
    </row>
    <row r="5" customFormat="false" ht="30" hidden="false" customHeight="true" outlineLevel="0" collapsed="false">
      <c r="B5" s="24"/>
      <c r="C5" s="24" t="s">
        <v>125</v>
      </c>
      <c r="D5" s="24" t="s">
        <v>126</v>
      </c>
      <c r="E5" s="24" t="s">
        <v>127</v>
      </c>
      <c r="F5" s="24" t="s">
        <v>128</v>
      </c>
      <c r="G5" s="24" t="s">
        <v>129</v>
      </c>
      <c r="H5" s="24" t="s">
        <v>130</v>
      </c>
      <c r="I5" s="24" t="s">
        <v>131</v>
      </c>
      <c r="J5" s="24" t="s">
        <v>132</v>
      </c>
      <c r="K5" s="24" t="s">
        <v>133</v>
      </c>
      <c r="L5" s="24" t="s">
        <v>134</v>
      </c>
      <c r="M5" s="24" t="s">
        <v>104</v>
      </c>
    </row>
    <row r="6" customFormat="false" ht="30" hidden="false" customHeight="true" outlineLevel="0" collapsed="false">
      <c r="B6" s="24" t="s">
        <v>135</v>
      </c>
      <c r="C6" s="13" t="s">
        <v>136</v>
      </c>
      <c r="D6" s="33" t="s">
        <v>74</v>
      </c>
      <c r="E6" s="13" t="s">
        <v>137</v>
      </c>
      <c r="F6" s="13" t="s">
        <v>138</v>
      </c>
      <c r="G6" s="34" t="n">
        <v>46409</v>
      </c>
      <c r="H6" s="34" t="n">
        <v>46407</v>
      </c>
      <c r="I6" s="24" t="s">
        <v>139</v>
      </c>
      <c r="J6" s="24" t="s">
        <v>140</v>
      </c>
      <c r="K6" s="34" t="n">
        <v>46430</v>
      </c>
      <c r="L6" s="13" t="s">
        <v>141</v>
      </c>
      <c r="M6" s="24" t="s">
        <v>140</v>
      </c>
    </row>
    <row r="7" customFormat="false" ht="30" hidden="false" customHeight="true" outlineLevel="0" collapsed="false">
      <c r="B7" s="14" t="n">
        <v>1</v>
      </c>
      <c r="C7" s="5"/>
      <c r="D7" s="35"/>
      <c r="E7" s="5"/>
      <c r="F7" s="5"/>
      <c r="G7" s="36"/>
      <c r="H7" s="36"/>
      <c r="I7" s="15"/>
      <c r="J7" s="15"/>
      <c r="K7" s="36"/>
      <c r="L7" s="5"/>
      <c r="M7" s="21" t="str">
        <f aca="true">IF(E7="","",IF(H7="",IF(G7="","Falta o prazo",IF(G7&lt;IF(Funções!$D$5="",TODAY(),Funções!$D$5),"Atrasada","Planejada")),IF(I7="","Falta a avaliação de aprendizado",IF(I7="Não","Não eficaz: refazer",IF(J7="",IF(H7+60&lt;=IF(Funções!$D$5="",TODAY(),Funções!$D$5),"Avaliar a eficácia","Em acompanhamento"),IF(J7="Eficaz","Eficaz",IF(J7="Parcial","Parcial: reforçar","Não eficaz: refazer")))))))</f>
        <v/>
      </c>
    </row>
    <row r="8" customFormat="false" ht="30" hidden="false" customHeight="true" outlineLevel="0" collapsed="false">
      <c r="B8" s="14" t="n">
        <v>2</v>
      </c>
      <c r="C8" s="5"/>
      <c r="D8" s="35"/>
      <c r="E8" s="5"/>
      <c r="F8" s="5"/>
      <c r="G8" s="36"/>
      <c r="H8" s="36"/>
      <c r="I8" s="15"/>
      <c r="J8" s="15"/>
      <c r="K8" s="36"/>
      <c r="L8" s="5"/>
      <c r="M8" s="21" t="str">
        <f aca="true">IF(E8="","",IF(H8="",IF(G8="","Falta o prazo",IF(G8&lt;IF(Funções!$D$5="",TODAY(),Funções!$D$5),"Atrasada","Planejada")),IF(I8="","Falta a avaliação de aprendizado",IF(I8="Não","Não eficaz: refazer",IF(J8="",IF(H8+60&lt;=IF(Funções!$D$5="",TODAY(),Funções!$D$5),"Avaliar a eficácia","Em acompanhamento"),IF(J8="Eficaz","Eficaz",IF(J8="Parcial","Parcial: reforçar","Não eficaz: refazer")))))))</f>
        <v/>
      </c>
    </row>
    <row r="9" customFormat="false" ht="30" hidden="false" customHeight="true" outlineLevel="0" collapsed="false">
      <c r="B9" s="14" t="n">
        <v>3</v>
      </c>
      <c r="C9" s="5"/>
      <c r="D9" s="35"/>
      <c r="E9" s="5"/>
      <c r="F9" s="5"/>
      <c r="G9" s="36"/>
      <c r="H9" s="36"/>
      <c r="I9" s="15"/>
      <c r="J9" s="15"/>
      <c r="K9" s="36"/>
      <c r="L9" s="5"/>
      <c r="M9" s="21" t="str">
        <f aca="true">IF(E9="","",IF(H9="",IF(G9="","Falta o prazo",IF(G9&lt;IF(Funções!$D$5="",TODAY(),Funções!$D$5),"Atrasada","Planejada")),IF(I9="","Falta a avaliação de aprendizado",IF(I9="Não","Não eficaz: refazer",IF(J9="",IF(H9+60&lt;=IF(Funções!$D$5="",TODAY(),Funções!$D$5),"Avaliar a eficácia","Em acompanhamento"),IF(J9="Eficaz","Eficaz",IF(J9="Parcial","Parcial: reforçar","Não eficaz: refazer")))))))</f>
        <v/>
      </c>
    </row>
    <row r="10" customFormat="false" ht="30" hidden="false" customHeight="true" outlineLevel="0" collapsed="false">
      <c r="B10" s="14" t="n">
        <v>4</v>
      </c>
      <c r="C10" s="5"/>
      <c r="D10" s="35"/>
      <c r="E10" s="5"/>
      <c r="F10" s="5"/>
      <c r="G10" s="36"/>
      <c r="H10" s="36"/>
      <c r="I10" s="15"/>
      <c r="J10" s="15"/>
      <c r="K10" s="36"/>
      <c r="L10" s="5"/>
      <c r="M10" s="21" t="str">
        <f aca="true">IF(E10="","",IF(H10="",IF(G10="","Falta o prazo",IF(G10&lt;IF(Funções!$D$5="",TODAY(),Funções!$D$5),"Atrasada","Planejada")),IF(I10="","Falta a avaliação de aprendizado",IF(I10="Não","Não eficaz: refazer",IF(J10="",IF(H10+60&lt;=IF(Funções!$D$5="",TODAY(),Funções!$D$5),"Avaliar a eficácia","Em acompanhamento"),IF(J10="Eficaz","Eficaz",IF(J10="Parcial","Parcial: reforçar","Não eficaz: refazer")))))))</f>
        <v/>
      </c>
    </row>
    <row r="11" customFormat="false" ht="30" hidden="false" customHeight="true" outlineLevel="0" collapsed="false">
      <c r="B11" s="14" t="n">
        <v>5</v>
      </c>
      <c r="C11" s="5"/>
      <c r="D11" s="35"/>
      <c r="E11" s="5"/>
      <c r="F11" s="5"/>
      <c r="G11" s="36"/>
      <c r="H11" s="36"/>
      <c r="I11" s="15"/>
      <c r="J11" s="15"/>
      <c r="K11" s="36"/>
      <c r="L11" s="5"/>
      <c r="M11" s="21" t="str">
        <f aca="true">IF(E11="","",IF(H11="",IF(G11="","Falta o prazo",IF(G11&lt;IF(Funções!$D$5="",TODAY(),Funções!$D$5),"Atrasada","Planejada")),IF(I11="","Falta a avaliação de aprendizado",IF(I11="Não","Não eficaz: refazer",IF(J11="",IF(H11+60&lt;=IF(Funções!$D$5="",TODAY(),Funções!$D$5),"Avaliar a eficácia","Em acompanhamento"),IF(J11="Eficaz","Eficaz",IF(J11="Parcial","Parcial: reforçar","Não eficaz: refazer")))))))</f>
        <v/>
      </c>
    </row>
    <row r="12" customFormat="false" ht="30" hidden="false" customHeight="true" outlineLevel="0" collapsed="false">
      <c r="B12" s="14" t="n">
        <v>6</v>
      </c>
      <c r="C12" s="5"/>
      <c r="D12" s="35"/>
      <c r="E12" s="5"/>
      <c r="F12" s="5"/>
      <c r="G12" s="36"/>
      <c r="H12" s="36"/>
      <c r="I12" s="15"/>
      <c r="J12" s="15"/>
      <c r="K12" s="36"/>
      <c r="L12" s="5"/>
      <c r="M12" s="21" t="str">
        <f aca="true">IF(E12="","",IF(H12="",IF(G12="","Falta o prazo",IF(G12&lt;IF(Funções!$D$5="",TODAY(),Funções!$D$5),"Atrasada","Planejada")),IF(I12="","Falta a avaliação de aprendizado",IF(I12="Não","Não eficaz: refazer",IF(J12="",IF(H12+60&lt;=IF(Funções!$D$5="",TODAY(),Funções!$D$5),"Avaliar a eficácia","Em acompanhamento"),IF(J12="Eficaz","Eficaz",IF(J12="Parcial","Parcial: reforçar","Não eficaz: refazer")))))))</f>
        <v/>
      </c>
    </row>
    <row r="13" customFormat="false" ht="30" hidden="false" customHeight="true" outlineLevel="0" collapsed="false">
      <c r="B13" s="14" t="n">
        <v>7</v>
      </c>
      <c r="C13" s="5"/>
      <c r="D13" s="35"/>
      <c r="E13" s="5"/>
      <c r="F13" s="5"/>
      <c r="G13" s="36"/>
      <c r="H13" s="36"/>
      <c r="I13" s="15"/>
      <c r="J13" s="15"/>
      <c r="K13" s="36"/>
      <c r="L13" s="5"/>
      <c r="M13" s="21" t="str">
        <f aca="true">IF(E13="","",IF(H13="",IF(G13="","Falta o prazo",IF(G13&lt;IF(Funções!$D$5="",TODAY(),Funções!$D$5),"Atrasada","Planejada")),IF(I13="","Falta a avaliação de aprendizado",IF(I13="Não","Não eficaz: refazer",IF(J13="",IF(H13+60&lt;=IF(Funções!$D$5="",TODAY(),Funções!$D$5),"Avaliar a eficácia","Em acompanhamento"),IF(J13="Eficaz","Eficaz",IF(J13="Parcial","Parcial: reforçar","Não eficaz: refazer")))))))</f>
        <v/>
      </c>
    </row>
    <row r="14" customFormat="false" ht="30" hidden="false" customHeight="true" outlineLevel="0" collapsed="false">
      <c r="B14" s="14" t="n">
        <v>8</v>
      </c>
      <c r="C14" s="5"/>
      <c r="D14" s="35"/>
      <c r="E14" s="5"/>
      <c r="F14" s="5"/>
      <c r="G14" s="36"/>
      <c r="H14" s="36"/>
      <c r="I14" s="15"/>
      <c r="J14" s="15"/>
      <c r="K14" s="36"/>
      <c r="L14" s="5"/>
      <c r="M14" s="21" t="str">
        <f aca="true">IF(E14="","",IF(H14="",IF(G14="","Falta o prazo",IF(G14&lt;IF(Funções!$D$5="",TODAY(),Funções!$D$5),"Atrasada","Planejada")),IF(I14="","Falta a avaliação de aprendizado",IF(I14="Não","Não eficaz: refazer",IF(J14="",IF(H14+60&lt;=IF(Funções!$D$5="",TODAY(),Funções!$D$5),"Avaliar a eficácia","Em acompanhamento"),IF(J14="Eficaz","Eficaz",IF(J14="Parcial","Parcial: reforçar","Não eficaz: refazer")))))))</f>
        <v/>
      </c>
    </row>
    <row r="15" customFormat="false" ht="30" hidden="false" customHeight="true" outlineLevel="0" collapsed="false">
      <c r="B15" s="14" t="n">
        <v>9</v>
      </c>
      <c r="C15" s="5"/>
      <c r="D15" s="35"/>
      <c r="E15" s="5"/>
      <c r="F15" s="5"/>
      <c r="G15" s="36"/>
      <c r="H15" s="36"/>
      <c r="I15" s="15"/>
      <c r="J15" s="15"/>
      <c r="K15" s="36"/>
      <c r="L15" s="5"/>
      <c r="M15" s="21" t="str">
        <f aca="true">IF(E15="","",IF(H15="",IF(G15="","Falta o prazo",IF(G15&lt;IF(Funções!$D$5="",TODAY(),Funções!$D$5),"Atrasada","Planejada")),IF(I15="","Falta a avaliação de aprendizado",IF(I15="Não","Não eficaz: refazer",IF(J15="",IF(H15+60&lt;=IF(Funções!$D$5="",TODAY(),Funções!$D$5),"Avaliar a eficácia","Em acompanhamento"),IF(J15="Eficaz","Eficaz",IF(J15="Parcial","Parcial: reforçar","Não eficaz: refazer")))))))</f>
        <v/>
      </c>
    </row>
    <row r="16" customFormat="false" ht="30" hidden="false" customHeight="true" outlineLevel="0" collapsed="false">
      <c r="B16" s="14" t="n">
        <v>10</v>
      </c>
      <c r="C16" s="5"/>
      <c r="D16" s="35"/>
      <c r="E16" s="5"/>
      <c r="F16" s="5"/>
      <c r="G16" s="36"/>
      <c r="H16" s="36"/>
      <c r="I16" s="15"/>
      <c r="J16" s="15"/>
      <c r="K16" s="36"/>
      <c r="L16" s="5"/>
      <c r="M16" s="21" t="str">
        <f aca="true">IF(E16="","",IF(H16="",IF(G16="","Falta o prazo",IF(G16&lt;IF(Funções!$D$5="",TODAY(),Funções!$D$5),"Atrasada","Planejada")),IF(I16="","Falta a avaliação de aprendizado",IF(I16="Não","Não eficaz: refazer",IF(J16="",IF(H16+60&lt;=IF(Funções!$D$5="",TODAY(),Funções!$D$5),"Avaliar a eficácia","Em acompanhamento"),IF(J16="Eficaz","Eficaz",IF(J16="Parcial","Parcial: reforçar","Não eficaz: refazer")))))))</f>
        <v/>
      </c>
    </row>
    <row r="17" customFormat="false" ht="30" hidden="false" customHeight="true" outlineLevel="0" collapsed="false">
      <c r="B17" s="14" t="n">
        <v>11</v>
      </c>
      <c r="C17" s="5"/>
      <c r="D17" s="35"/>
      <c r="E17" s="5"/>
      <c r="F17" s="5"/>
      <c r="G17" s="36"/>
      <c r="H17" s="36"/>
      <c r="I17" s="15"/>
      <c r="J17" s="15"/>
      <c r="K17" s="36"/>
      <c r="L17" s="5"/>
      <c r="M17" s="21" t="str">
        <f aca="true">IF(E17="","",IF(H17="",IF(G17="","Falta o prazo",IF(G17&lt;IF(Funções!$D$5="",TODAY(),Funções!$D$5),"Atrasada","Planejada")),IF(I17="","Falta a avaliação de aprendizado",IF(I17="Não","Não eficaz: refazer",IF(J17="",IF(H17+60&lt;=IF(Funções!$D$5="",TODAY(),Funções!$D$5),"Avaliar a eficácia","Em acompanhamento"),IF(J17="Eficaz","Eficaz",IF(J17="Parcial","Parcial: reforçar","Não eficaz: refazer")))))))</f>
        <v/>
      </c>
    </row>
    <row r="18" customFormat="false" ht="30" hidden="false" customHeight="true" outlineLevel="0" collapsed="false">
      <c r="B18" s="14" t="n">
        <v>12</v>
      </c>
      <c r="C18" s="5"/>
      <c r="D18" s="35"/>
      <c r="E18" s="5"/>
      <c r="F18" s="5"/>
      <c r="G18" s="36"/>
      <c r="H18" s="36"/>
      <c r="I18" s="15"/>
      <c r="J18" s="15"/>
      <c r="K18" s="36"/>
      <c r="L18" s="5"/>
      <c r="M18" s="21" t="str">
        <f aca="true">IF(E18="","",IF(H18="",IF(G18="","Falta o prazo",IF(G18&lt;IF(Funções!$D$5="",TODAY(),Funções!$D$5),"Atrasada","Planejada")),IF(I18="","Falta a avaliação de aprendizado",IF(I18="Não","Não eficaz: refazer",IF(J18="",IF(H18+60&lt;=IF(Funções!$D$5="",TODAY(),Funções!$D$5),"Avaliar a eficácia","Em acompanhamento"),IF(J18="Eficaz","Eficaz",IF(J18="Parcial","Parcial: reforçar","Não eficaz: refazer")))))))</f>
        <v/>
      </c>
    </row>
    <row r="19" customFormat="false" ht="30" hidden="false" customHeight="true" outlineLevel="0" collapsed="false">
      <c r="B19" s="14" t="n">
        <v>13</v>
      </c>
      <c r="C19" s="5"/>
      <c r="D19" s="35"/>
      <c r="E19" s="5"/>
      <c r="F19" s="5"/>
      <c r="G19" s="36"/>
      <c r="H19" s="36"/>
      <c r="I19" s="15"/>
      <c r="J19" s="15"/>
      <c r="K19" s="36"/>
      <c r="L19" s="5"/>
      <c r="M19" s="21" t="str">
        <f aca="true">IF(E19="","",IF(H19="",IF(G19="","Falta o prazo",IF(G19&lt;IF(Funções!$D$5="",TODAY(),Funções!$D$5),"Atrasada","Planejada")),IF(I19="","Falta a avaliação de aprendizado",IF(I19="Não","Não eficaz: refazer",IF(J19="",IF(H19+60&lt;=IF(Funções!$D$5="",TODAY(),Funções!$D$5),"Avaliar a eficácia","Em acompanhamento"),IF(J19="Eficaz","Eficaz",IF(J19="Parcial","Parcial: reforçar","Não eficaz: refazer")))))))</f>
        <v/>
      </c>
    </row>
    <row r="20" customFormat="false" ht="30" hidden="false" customHeight="true" outlineLevel="0" collapsed="false">
      <c r="B20" s="14" t="n">
        <v>14</v>
      </c>
      <c r="C20" s="5"/>
      <c r="D20" s="35"/>
      <c r="E20" s="5"/>
      <c r="F20" s="5"/>
      <c r="G20" s="36"/>
      <c r="H20" s="36"/>
      <c r="I20" s="15"/>
      <c r="J20" s="15"/>
      <c r="K20" s="36"/>
      <c r="L20" s="5"/>
      <c r="M20" s="21" t="str">
        <f aca="true">IF(E20="","",IF(H20="",IF(G20="","Falta o prazo",IF(G20&lt;IF(Funções!$D$5="",TODAY(),Funções!$D$5),"Atrasada","Planejada")),IF(I20="","Falta a avaliação de aprendizado",IF(I20="Não","Não eficaz: refazer",IF(J20="",IF(H20+60&lt;=IF(Funções!$D$5="",TODAY(),Funções!$D$5),"Avaliar a eficácia","Em acompanhamento"),IF(J20="Eficaz","Eficaz",IF(J20="Parcial","Parcial: reforçar","Não eficaz: refazer")))))))</f>
        <v/>
      </c>
    </row>
    <row r="21" customFormat="false" ht="30" hidden="false" customHeight="true" outlineLevel="0" collapsed="false">
      <c r="B21" s="14" t="n">
        <v>15</v>
      </c>
      <c r="C21" s="5"/>
      <c r="D21" s="35"/>
      <c r="E21" s="5"/>
      <c r="F21" s="5"/>
      <c r="G21" s="36"/>
      <c r="H21" s="36"/>
      <c r="I21" s="15"/>
      <c r="J21" s="15"/>
      <c r="K21" s="36"/>
      <c r="L21" s="5"/>
      <c r="M21" s="21" t="str">
        <f aca="true">IF(E21="","",IF(H21="",IF(G21="","Falta o prazo",IF(G21&lt;IF(Funções!$D$5="",TODAY(),Funções!$D$5),"Atrasada","Planejada")),IF(I21="","Falta a avaliação de aprendizado",IF(I21="Não","Não eficaz: refazer",IF(J21="",IF(H21+60&lt;=IF(Funções!$D$5="",TODAY(),Funções!$D$5),"Avaliar a eficácia","Em acompanhamento"),IF(J21="Eficaz","Eficaz",IF(J21="Parcial","Parcial: reforçar","Não eficaz: refazer")))))))</f>
        <v/>
      </c>
    </row>
    <row r="22" customFormat="false" ht="30" hidden="false" customHeight="true" outlineLevel="0" collapsed="false">
      <c r="B22" s="14" t="n">
        <v>16</v>
      </c>
      <c r="C22" s="5"/>
      <c r="D22" s="35"/>
      <c r="E22" s="5"/>
      <c r="F22" s="5"/>
      <c r="G22" s="36"/>
      <c r="H22" s="36"/>
      <c r="I22" s="15"/>
      <c r="J22" s="15"/>
      <c r="K22" s="36"/>
      <c r="L22" s="5"/>
      <c r="M22" s="21" t="str">
        <f aca="true">IF(E22="","",IF(H22="",IF(G22="","Falta o prazo",IF(G22&lt;IF(Funções!$D$5="",TODAY(),Funções!$D$5),"Atrasada","Planejada")),IF(I22="","Falta a avaliação de aprendizado",IF(I22="Não","Não eficaz: refazer",IF(J22="",IF(H22+60&lt;=IF(Funções!$D$5="",TODAY(),Funções!$D$5),"Avaliar a eficácia","Em acompanhamento"),IF(J22="Eficaz","Eficaz",IF(J22="Parcial","Parcial: reforçar","Não eficaz: refazer")))))))</f>
        <v/>
      </c>
    </row>
    <row r="23" customFormat="false" ht="30" hidden="false" customHeight="true" outlineLevel="0" collapsed="false">
      <c r="B23" s="14" t="n">
        <v>17</v>
      </c>
      <c r="C23" s="5"/>
      <c r="D23" s="35"/>
      <c r="E23" s="5"/>
      <c r="F23" s="5"/>
      <c r="G23" s="36"/>
      <c r="H23" s="36"/>
      <c r="I23" s="15"/>
      <c r="J23" s="15"/>
      <c r="K23" s="36"/>
      <c r="L23" s="5"/>
      <c r="M23" s="21" t="str">
        <f aca="true">IF(E23="","",IF(H23="",IF(G23="","Falta o prazo",IF(G23&lt;IF(Funções!$D$5="",TODAY(),Funções!$D$5),"Atrasada","Planejada")),IF(I23="","Falta a avaliação de aprendizado",IF(I23="Não","Não eficaz: refazer",IF(J23="",IF(H23+60&lt;=IF(Funções!$D$5="",TODAY(),Funções!$D$5),"Avaliar a eficácia","Em acompanhamento"),IF(J23="Eficaz","Eficaz",IF(J23="Parcial","Parcial: reforçar","Não eficaz: refazer")))))))</f>
        <v/>
      </c>
    </row>
    <row r="24" customFormat="false" ht="30" hidden="false" customHeight="true" outlineLevel="0" collapsed="false">
      <c r="B24" s="14" t="n">
        <v>18</v>
      </c>
      <c r="C24" s="5"/>
      <c r="D24" s="35"/>
      <c r="E24" s="5"/>
      <c r="F24" s="5"/>
      <c r="G24" s="36"/>
      <c r="H24" s="36"/>
      <c r="I24" s="15"/>
      <c r="J24" s="15"/>
      <c r="K24" s="36"/>
      <c r="L24" s="5"/>
      <c r="M24" s="21" t="str">
        <f aca="true">IF(E24="","",IF(H24="",IF(G24="","Falta o prazo",IF(G24&lt;IF(Funções!$D$5="",TODAY(),Funções!$D$5),"Atrasada","Planejada")),IF(I24="","Falta a avaliação de aprendizado",IF(I24="Não","Não eficaz: refazer",IF(J24="",IF(H24+60&lt;=IF(Funções!$D$5="",TODAY(),Funções!$D$5),"Avaliar a eficácia","Em acompanhamento"),IF(J24="Eficaz","Eficaz",IF(J24="Parcial","Parcial: reforçar","Não eficaz: refazer")))))))</f>
        <v/>
      </c>
    </row>
    <row r="25" customFormat="false" ht="30" hidden="false" customHeight="true" outlineLevel="0" collapsed="false">
      <c r="B25" s="14" t="n">
        <v>19</v>
      </c>
      <c r="C25" s="5"/>
      <c r="D25" s="35"/>
      <c r="E25" s="5"/>
      <c r="F25" s="5"/>
      <c r="G25" s="36"/>
      <c r="H25" s="36"/>
      <c r="I25" s="15"/>
      <c r="J25" s="15"/>
      <c r="K25" s="36"/>
      <c r="L25" s="5"/>
      <c r="M25" s="21" t="str">
        <f aca="true">IF(E25="","",IF(H25="",IF(G25="","Falta o prazo",IF(G25&lt;IF(Funções!$D$5="",TODAY(),Funções!$D$5),"Atrasada","Planejada")),IF(I25="","Falta a avaliação de aprendizado",IF(I25="Não","Não eficaz: refazer",IF(J25="",IF(H25+60&lt;=IF(Funções!$D$5="",TODAY(),Funções!$D$5),"Avaliar a eficácia","Em acompanhamento"),IF(J25="Eficaz","Eficaz",IF(J25="Parcial","Parcial: reforçar","Não eficaz: refazer")))))))</f>
        <v/>
      </c>
    </row>
    <row r="26" customFormat="false" ht="30" hidden="false" customHeight="true" outlineLevel="0" collapsed="false">
      <c r="B26" s="14" t="n">
        <v>20</v>
      </c>
      <c r="C26" s="5"/>
      <c r="D26" s="35"/>
      <c r="E26" s="5"/>
      <c r="F26" s="5"/>
      <c r="G26" s="36"/>
      <c r="H26" s="36"/>
      <c r="I26" s="15"/>
      <c r="J26" s="15"/>
      <c r="K26" s="36"/>
      <c r="L26" s="5"/>
      <c r="M26" s="21" t="str">
        <f aca="true">IF(E26="","",IF(H26="",IF(G26="","Falta o prazo",IF(G26&lt;IF(Funções!$D$5="",TODAY(),Funções!$D$5),"Atrasada","Planejada")),IF(I26="","Falta a avaliação de aprendizado",IF(I26="Não","Não eficaz: refazer",IF(J26="",IF(H26+60&lt;=IF(Funções!$D$5="",TODAY(),Funções!$D$5),"Avaliar a eficácia","Em acompanhamento"),IF(J26="Eficaz","Eficaz",IF(J26="Parcial","Parcial: reforçar","Não eficaz: refazer")))))))</f>
        <v/>
      </c>
    </row>
    <row r="27" customFormat="false" ht="30" hidden="false" customHeight="true" outlineLevel="0" collapsed="false">
      <c r="B27" s="14" t="n">
        <v>21</v>
      </c>
      <c r="C27" s="5"/>
      <c r="D27" s="35"/>
      <c r="E27" s="5"/>
      <c r="F27" s="5"/>
      <c r="G27" s="36"/>
      <c r="H27" s="36"/>
      <c r="I27" s="15"/>
      <c r="J27" s="15"/>
      <c r="K27" s="36"/>
      <c r="L27" s="5"/>
      <c r="M27" s="21" t="str">
        <f aca="true">IF(E27="","",IF(H27="",IF(G27="","Falta o prazo",IF(G27&lt;IF(Funções!$D$5="",TODAY(),Funções!$D$5),"Atrasada","Planejada")),IF(I27="","Falta a avaliação de aprendizado",IF(I27="Não","Não eficaz: refazer",IF(J27="",IF(H27+60&lt;=IF(Funções!$D$5="",TODAY(),Funções!$D$5),"Avaliar a eficácia","Em acompanhamento"),IF(J27="Eficaz","Eficaz",IF(J27="Parcial","Parcial: reforçar","Não eficaz: refazer")))))))</f>
        <v/>
      </c>
    </row>
    <row r="28" customFormat="false" ht="30" hidden="false" customHeight="true" outlineLevel="0" collapsed="false">
      <c r="B28" s="14" t="n">
        <v>22</v>
      </c>
      <c r="C28" s="5"/>
      <c r="D28" s="35"/>
      <c r="E28" s="5"/>
      <c r="F28" s="5"/>
      <c r="G28" s="36"/>
      <c r="H28" s="36"/>
      <c r="I28" s="15"/>
      <c r="J28" s="15"/>
      <c r="K28" s="36"/>
      <c r="L28" s="5"/>
      <c r="M28" s="21" t="str">
        <f aca="true">IF(E28="","",IF(H28="",IF(G28="","Falta o prazo",IF(G28&lt;IF(Funções!$D$5="",TODAY(),Funções!$D$5),"Atrasada","Planejada")),IF(I28="","Falta a avaliação de aprendizado",IF(I28="Não","Não eficaz: refazer",IF(J28="",IF(H28+60&lt;=IF(Funções!$D$5="",TODAY(),Funções!$D$5),"Avaliar a eficácia","Em acompanhamento"),IF(J28="Eficaz","Eficaz",IF(J28="Parcial","Parcial: reforçar","Não eficaz: refazer")))))))</f>
        <v/>
      </c>
    </row>
    <row r="29" customFormat="false" ht="30" hidden="false" customHeight="true" outlineLevel="0" collapsed="false">
      <c r="B29" s="14" t="n">
        <v>23</v>
      </c>
      <c r="C29" s="5"/>
      <c r="D29" s="35"/>
      <c r="E29" s="5"/>
      <c r="F29" s="5"/>
      <c r="G29" s="36"/>
      <c r="H29" s="36"/>
      <c r="I29" s="15"/>
      <c r="J29" s="15"/>
      <c r="K29" s="36"/>
      <c r="L29" s="5"/>
      <c r="M29" s="21" t="str">
        <f aca="true">IF(E29="","",IF(H29="",IF(G29="","Falta o prazo",IF(G29&lt;IF(Funções!$D$5="",TODAY(),Funções!$D$5),"Atrasada","Planejada")),IF(I29="","Falta a avaliação de aprendizado",IF(I29="Não","Não eficaz: refazer",IF(J29="",IF(H29+60&lt;=IF(Funções!$D$5="",TODAY(),Funções!$D$5),"Avaliar a eficácia","Em acompanhamento"),IF(J29="Eficaz","Eficaz",IF(J29="Parcial","Parcial: reforçar","Não eficaz: refazer")))))))</f>
        <v/>
      </c>
    </row>
    <row r="30" customFormat="false" ht="30" hidden="false" customHeight="true" outlineLevel="0" collapsed="false">
      <c r="B30" s="14" t="n">
        <v>24</v>
      </c>
      <c r="C30" s="5"/>
      <c r="D30" s="35"/>
      <c r="E30" s="5"/>
      <c r="F30" s="5"/>
      <c r="G30" s="36"/>
      <c r="H30" s="36"/>
      <c r="I30" s="15"/>
      <c r="J30" s="15"/>
      <c r="K30" s="36"/>
      <c r="L30" s="5"/>
      <c r="M30" s="21" t="str">
        <f aca="true">IF(E30="","",IF(H30="",IF(G30="","Falta o prazo",IF(G30&lt;IF(Funções!$D$5="",TODAY(),Funções!$D$5),"Atrasada","Planejada")),IF(I30="","Falta a avaliação de aprendizado",IF(I30="Não","Não eficaz: refazer",IF(J30="",IF(H30+60&lt;=IF(Funções!$D$5="",TODAY(),Funções!$D$5),"Avaliar a eficácia","Em acompanhamento"),IF(J30="Eficaz","Eficaz",IF(J30="Parcial","Parcial: reforçar","Não eficaz: refazer")))))))</f>
        <v/>
      </c>
    </row>
    <row r="31" customFormat="false" ht="30" hidden="false" customHeight="true" outlineLevel="0" collapsed="false">
      <c r="B31" s="14" t="n">
        <v>25</v>
      </c>
      <c r="C31" s="5"/>
      <c r="D31" s="35"/>
      <c r="E31" s="5"/>
      <c r="F31" s="5"/>
      <c r="G31" s="36"/>
      <c r="H31" s="36"/>
      <c r="I31" s="15"/>
      <c r="J31" s="15"/>
      <c r="K31" s="36"/>
      <c r="L31" s="5"/>
      <c r="M31" s="21" t="str">
        <f aca="true">IF(E31="","",IF(H31="",IF(G31="","Falta o prazo",IF(G31&lt;IF(Funções!$D$5="",TODAY(),Funções!$D$5),"Atrasada","Planejada")),IF(I31="","Falta a avaliação de aprendizado",IF(I31="Não","Não eficaz: refazer",IF(J31="",IF(H31+60&lt;=IF(Funções!$D$5="",TODAY(),Funções!$D$5),"Avaliar a eficácia","Em acompanhamento"),IF(J31="Eficaz","Eficaz",IF(J31="Parcial","Parcial: reforçar","Não eficaz: refazer")))))))</f>
        <v/>
      </c>
    </row>
    <row r="33" customFormat="false" ht="21.75" hidden="false" customHeight="true" outlineLevel="0" collapsed="false">
      <c r="B33" s="18" t="s">
        <v>89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customFormat="false" ht="21.75" hidden="false" customHeight="true" outlineLevel="0" collapsed="false">
      <c r="B34" s="19" t="s">
        <v>142</v>
      </c>
      <c r="C34" s="19"/>
      <c r="D34" s="19"/>
      <c r="E34" s="20" t="n">
        <f aca="false">COUNTA(E7:E31)</f>
        <v>0</v>
      </c>
      <c r="F34" s="20"/>
    </row>
    <row r="35" customFormat="false" ht="21.75" hidden="false" customHeight="true" outlineLevel="0" collapsed="false">
      <c r="B35" s="19" t="s">
        <v>143</v>
      </c>
      <c r="C35" s="19"/>
      <c r="D35" s="19"/>
      <c r="E35" s="20" t="n">
        <f aca="false">COUNTIF(M7:M31,"Planejada")</f>
        <v>0</v>
      </c>
      <c r="F35" s="20"/>
    </row>
    <row r="36" customFormat="false" ht="21.75" hidden="false" customHeight="true" outlineLevel="0" collapsed="false">
      <c r="B36" s="19" t="s">
        <v>144</v>
      </c>
      <c r="C36" s="19"/>
      <c r="D36" s="19"/>
      <c r="E36" s="20" t="n">
        <f aca="false">COUNTIF(M7:M31,"Atrasada")</f>
        <v>0</v>
      </c>
      <c r="F36" s="20"/>
    </row>
    <row r="37" customFormat="false" ht="21.75" hidden="false" customHeight="true" outlineLevel="0" collapsed="false">
      <c r="B37" s="19" t="s">
        <v>145</v>
      </c>
      <c r="C37" s="19"/>
      <c r="D37" s="19"/>
      <c r="E37" s="20" t="n">
        <f aca="false">COUNTIF(M7:M31,"Avaliar a eficácia")+COUNTIF(M7:M31,"Falta a avaliação de aprendizado")</f>
        <v>0</v>
      </c>
      <c r="F37" s="20"/>
    </row>
    <row r="38" customFormat="false" ht="21.75" hidden="false" customHeight="true" outlineLevel="0" collapsed="false">
      <c r="B38" s="19" t="s">
        <v>146</v>
      </c>
      <c r="C38" s="19"/>
      <c r="D38" s="19"/>
      <c r="E38" s="20" t="n">
        <f aca="false">COUNTIF(M7:M31,"Eficaz")</f>
        <v>0</v>
      </c>
      <c r="F38" s="20"/>
    </row>
    <row r="39" customFormat="false" ht="21.75" hidden="false" customHeight="true" outlineLevel="0" collapsed="false">
      <c r="B39" s="19" t="s">
        <v>147</v>
      </c>
      <c r="C39" s="19"/>
      <c r="D39" s="19"/>
      <c r="E39" s="20" t="n">
        <f aca="false">COUNTIF(M7:M31,"Parcial: reforçar")+COUNTIF(M7:M31,"Não eficaz: refazer")</f>
        <v>0</v>
      </c>
      <c r="F39" s="20"/>
    </row>
    <row r="40" customFormat="false" ht="21.75" hidden="false" customHeight="true" outlineLevel="0" collapsed="false">
      <c r="B40" s="19" t="s">
        <v>92</v>
      </c>
      <c r="C40" s="19"/>
      <c r="D40" s="19"/>
      <c r="E40" s="21" t="str">
        <f aca="false">IF(E34=0,"Registre as ações",IF(COUNTIF(M7:M31,"Falta o prazo")&gt;0,"Há ação sem prazo",IF(E36&gt;0,"Há ação atrasada",IF(E37&gt;0,"Há treinamento realizado com avaliação pendente",IF(E39&gt;0,"Há ação a reforçar ou refazer","OK")))))</f>
        <v>Registre as ações</v>
      </c>
      <c r="F40" s="21"/>
    </row>
  </sheetData>
  <mergeCells count="17">
    <mergeCell ref="B1:M1"/>
    <mergeCell ref="B2:M2"/>
    <mergeCell ref="B33:M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</mergeCells>
  <conditionalFormatting sqref="M7:M31">
    <cfRule type="expression" priority="2" aboveAverage="0" equalAverage="0" bottom="0" percent="0" rank="0" text="" dxfId="4">
      <formula>M7="Eficaz"</formula>
    </cfRule>
    <cfRule type="expression" priority="3" aboveAverage="0" equalAverage="0" bottom="0" percent="0" rank="0" text="" dxfId="0">
      <formula>M7="Em acompanhamento"</formula>
    </cfRule>
    <cfRule type="expression" priority="4" aboveAverage="0" equalAverage="0" bottom="0" percent="0" rank="0" text="" dxfId="8">
      <formula>M7="Planejada"</formula>
    </cfRule>
    <cfRule type="expression" priority="5" aboveAverage="0" equalAverage="0" bottom="0" percent="0" rank="0" text="" dxfId="5">
      <formula>M7="Parcial: reforçar"</formula>
    </cfRule>
    <cfRule type="expression" priority="6" aboveAverage="0" equalAverage="0" bottom="0" percent="0" rank="0" text="" dxfId="5">
      <formula>M7="Avaliar a eficácia"</formula>
    </cfRule>
    <cfRule type="expression" priority="7" aboveAverage="0" equalAverage="0" bottom="0" percent="0" rank="0" text="" dxfId="5">
      <formula>M7="Falta a avaliação de aprendizado"</formula>
    </cfRule>
    <cfRule type="expression" priority="8" aboveAverage="0" equalAverage="0" bottom="0" percent="0" rank="0" text="" dxfId="7">
      <formula>M7="Atrasada"</formula>
    </cfRule>
    <cfRule type="expression" priority="9" aboveAverage="0" equalAverage="0" bottom="0" percent="0" rank="0" text="" dxfId="7">
      <formula>M7="Não eficaz: refazer"</formula>
    </cfRule>
    <cfRule type="expression" priority="10" aboveAverage="0" equalAverage="0" bottom="0" percent="0" rank="0" text="" dxfId="5">
      <formula>LEN(M7)&gt;0</formula>
    </cfRule>
  </conditionalFormatting>
  <conditionalFormatting sqref="E40:F40">
    <cfRule type="expression" priority="11" aboveAverage="0" equalAverage="0" bottom="0" percent="0" rank="0" text="" dxfId="4">
      <formula>OR(E40="OK")</formula>
    </cfRule>
    <cfRule type="expression" priority="12" aboveAverage="0" equalAverage="0" bottom="0" percent="0" rank="0" text="" dxfId="5">
      <formula>AND(LEN(E40)&gt;0,NOT(OR(E40="OK")))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G7:H31 K7:K31" type="date">
      <formula1>36526</formula1>
      <formula2>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I7:I31" type="list">
      <formula1>"Sim,Não"</formula1>
      <formula2>0</formula2>
    </dataValidation>
    <dataValidation allowBlank="true" error="Escolha uma das opções da lista." errorStyle="stop" errorTitle="Valor inválido" operator="between" prompt="Eficaz, Parcial ou Não eficaz" promptTitle="Opções" showDropDown="false" showErrorMessage="true" showInputMessage="true" sqref="J7:J31" type="list">
      <formula1>"Eficaz,Parcial,Não eficaz"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  <c r="I2" s="2"/>
      <c r="J2" s="2"/>
    </row>
    <row r="4" customFormat="false" ht="33" hidden="false" customHeight="true" outlineLevel="0" collapsed="false">
      <c r="B4" s="16" t="s">
        <v>85</v>
      </c>
      <c r="C4" s="16" t="s">
        <v>150</v>
      </c>
      <c r="D4" s="16" t="s">
        <v>151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99</v>
      </c>
    </row>
    <row r="5" customFormat="false" ht="30" hidden="false" customHeight="true" outlineLevel="0" collapsed="false">
      <c r="B5" s="24"/>
      <c r="C5" s="24" t="s">
        <v>157</v>
      </c>
      <c r="D5" s="24" t="s">
        <v>158</v>
      </c>
      <c r="E5" s="24" t="s">
        <v>128</v>
      </c>
      <c r="F5" s="24" t="s">
        <v>159</v>
      </c>
      <c r="G5" s="24" t="s">
        <v>160</v>
      </c>
      <c r="H5" s="24" t="s">
        <v>131</v>
      </c>
      <c r="I5" s="24" t="s">
        <v>161</v>
      </c>
      <c r="J5" s="24" t="s">
        <v>104</v>
      </c>
    </row>
    <row r="6" customFormat="false" ht="24" hidden="false" customHeight="true" outlineLevel="0" collapsed="false">
      <c r="B6" s="24" t="s">
        <v>135</v>
      </c>
      <c r="C6" s="34" t="n">
        <v>46323</v>
      </c>
      <c r="D6" s="13" t="s">
        <v>162</v>
      </c>
      <c r="E6" s="13" t="s">
        <v>163</v>
      </c>
      <c r="F6" s="24" t="n">
        <v>2</v>
      </c>
      <c r="G6" s="24" t="n">
        <v>1</v>
      </c>
      <c r="H6" s="24" t="s">
        <v>139</v>
      </c>
      <c r="I6" s="13" t="s">
        <v>164</v>
      </c>
      <c r="J6" s="24" t="s">
        <v>165</v>
      </c>
    </row>
    <row r="7" customFormat="false" ht="24" hidden="false" customHeight="true" outlineLevel="0" collapsed="false">
      <c r="B7" s="14" t="n">
        <v>1</v>
      </c>
      <c r="C7" s="36"/>
      <c r="D7" s="5"/>
      <c r="E7" s="5"/>
      <c r="F7" s="15"/>
      <c r="G7" s="15"/>
      <c r="H7" s="15"/>
      <c r="I7" s="5"/>
      <c r="J7" s="21" t="str">
        <f aca="false">IF(D7="","",IF(C7="","Falta a data",IF(I7="","Falta a evidência",IF(H7="","Falta a avaliação de aprendizado",IF(H7="Não","Sem avaliação de aprendizado","Completo")))))</f>
        <v/>
      </c>
    </row>
    <row r="8" customFormat="false" ht="24" hidden="false" customHeight="true" outlineLevel="0" collapsed="false">
      <c r="B8" s="14" t="n">
        <v>2</v>
      </c>
      <c r="C8" s="36"/>
      <c r="D8" s="5"/>
      <c r="E8" s="5"/>
      <c r="F8" s="15"/>
      <c r="G8" s="15"/>
      <c r="H8" s="15"/>
      <c r="I8" s="5"/>
      <c r="J8" s="21" t="str">
        <f aca="false">IF(D8="","",IF(C8="","Falta a data",IF(I8="","Falta a evidência",IF(H8="","Falta a avaliação de aprendizado",IF(H8="Não","Sem avaliação de aprendizado","Completo")))))</f>
        <v/>
      </c>
    </row>
    <row r="9" customFormat="false" ht="24" hidden="false" customHeight="true" outlineLevel="0" collapsed="false">
      <c r="B9" s="14" t="n">
        <v>3</v>
      </c>
      <c r="C9" s="36"/>
      <c r="D9" s="5"/>
      <c r="E9" s="5"/>
      <c r="F9" s="15"/>
      <c r="G9" s="15"/>
      <c r="H9" s="15"/>
      <c r="I9" s="5"/>
      <c r="J9" s="21" t="str">
        <f aca="false">IF(D9="","",IF(C9="","Falta a data",IF(I9="","Falta a evidência",IF(H9="","Falta a avaliação de aprendizado",IF(H9="Não","Sem avaliação de aprendizado","Completo")))))</f>
        <v/>
      </c>
    </row>
    <row r="10" customFormat="false" ht="24" hidden="false" customHeight="true" outlineLevel="0" collapsed="false">
      <c r="B10" s="14" t="n">
        <v>4</v>
      </c>
      <c r="C10" s="36"/>
      <c r="D10" s="5"/>
      <c r="E10" s="5"/>
      <c r="F10" s="15"/>
      <c r="G10" s="15"/>
      <c r="H10" s="15"/>
      <c r="I10" s="5"/>
      <c r="J10" s="21" t="str">
        <f aca="false">IF(D10="","",IF(C10="","Falta a data",IF(I10="","Falta a evidência",IF(H10="","Falta a avaliação de aprendizado",IF(H10="Não","Sem avaliação de aprendizado","Completo")))))</f>
        <v/>
      </c>
    </row>
    <row r="11" customFormat="false" ht="24" hidden="false" customHeight="true" outlineLevel="0" collapsed="false">
      <c r="B11" s="14" t="n">
        <v>5</v>
      </c>
      <c r="C11" s="36"/>
      <c r="D11" s="5"/>
      <c r="E11" s="5"/>
      <c r="F11" s="15"/>
      <c r="G11" s="15"/>
      <c r="H11" s="15"/>
      <c r="I11" s="5"/>
      <c r="J11" s="21" t="str">
        <f aca="false">IF(D11="","",IF(C11="","Falta a data",IF(I11="","Falta a evidência",IF(H11="","Falta a avaliação de aprendizado",IF(H11="Não","Sem avaliação de aprendizado","Completo")))))</f>
        <v/>
      </c>
    </row>
    <row r="12" customFormat="false" ht="24" hidden="false" customHeight="true" outlineLevel="0" collapsed="false">
      <c r="B12" s="14" t="n">
        <v>6</v>
      </c>
      <c r="C12" s="36"/>
      <c r="D12" s="5"/>
      <c r="E12" s="5"/>
      <c r="F12" s="15"/>
      <c r="G12" s="15"/>
      <c r="H12" s="15"/>
      <c r="I12" s="5"/>
      <c r="J12" s="21" t="str">
        <f aca="false">IF(D12="","",IF(C12="","Falta a data",IF(I12="","Falta a evidência",IF(H12="","Falta a avaliação de aprendizado",IF(H12="Não","Sem avaliação de aprendizado","Completo")))))</f>
        <v/>
      </c>
    </row>
    <row r="13" customFormat="false" ht="24" hidden="false" customHeight="true" outlineLevel="0" collapsed="false">
      <c r="B13" s="14" t="n">
        <v>7</v>
      </c>
      <c r="C13" s="36"/>
      <c r="D13" s="5"/>
      <c r="E13" s="5"/>
      <c r="F13" s="15"/>
      <c r="G13" s="15"/>
      <c r="H13" s="15"/>
      <c r="I13" s="5"/>
      <c r="J13" s="21" t="str">
        <f aca="false">IF(D13="","",IF(C13="","Falta a data",IF(I13="","Falta a evidência",IF(H13="","Falta a avaliação de aprendizado",IF(H13="Não","Sem avaliação de aprendizado","Completo")))))</f>
        <v/>
      </c>
    </row>
    <row r="14" customFormat="false" ht="24" hidden="false" customHeight="true" outlineLevel="0" collapsed="false">
      <c r="B14" s="14" t="n">
        <v>8</v>
      </c>
      <c r="C14" s="36"/>
      <c r="D14" s="5"/>
      <c r="E14" s="5"/>
      <c r="F14" s="15"/>
      <c r="G14" s="15"/>
      <c r="H14" s="15"/>
      <c r="I14" s="5"/>
      <c r="J14" s="21" t="str">
        <f aca="false">IF(D14="","",IF(C14="","Falta a data",IF(I14="","Falta a evidência",IF(H14="","Falta a avaliação de aprendizado",IF(H14="Não","Sem avaliação de aprendizado","Completo")))))</f>
        <v/>
      </c>
    </row>
    <row r="15" customFormat="false" ht="24" hidden="false" customHeight="true" outlineLevel="0" collapsed="false">
      <c r="B15" s="14" t="n">
        <v>9</v>
      </c>
      <c r="C15" s="36"/>
      <c r="D15" s="5"/>
      <c r="E15" s="5"/>
      <c r="F15" s="15"/>
      <c r="G15" s="15"/>
      <c r="H15" s="15"/>
      <c r="I15" s="5"/>
      <c r="J15" s="21" t="str">
        <f aca="false">IF(D15="","",IF(C15="","Falta a data",IF(I15="","Falta a evidência",IF(H15="","Falta a avaliação de aprendizado",IF(H15="Não","Sem avaliação de aprendizado","Completo")))))</f>
        <v/>
      </c>
    </row>
    <row r="16" customFormat="false" ht="24" hidden="false" customHeight="true" outlineLevel="0" collapsed="false">
      <c r="B16" s="14" t="n">
        <v>10</v>
      </c>
      <c r="C16" s="36"/>
      <c r="D16" s="5"/>
      <c r="E16" s="5"/>
      <c r="F16" s="15"/>
      <c r="G16" s="15"/>
      <c r="H16" s="15"/>
      <c r="I16" s="5"/>
      <c r="J16" s="21" t="str">
        <f aca="false">IF(D16="","",IF(C16="","Falta a data",IF(I16="","Falta a evidência",IF(H16="","Falta a avaliação de aprendizado",IF(H16="Não","Sem avaliação de aprendizado","Completo")))))</f>
        <v/>
      </c>
    </row>
    <row r="17" customFormat="false" ht="24" hidden="false" customHeight="true" outlineLevel="0" collapsed="false">
      <c r="B17" s="14" t="n">
        <v>11</v>
      </c>
      <c r="C17" s="36"/>
      <c r="D17" s="5"/>
      <c r="E17" s="5"/>
      <c r="F17" s="15"/>
      <c r="G17" s="15"/>
      <c r="H17" s="15"/>
      <c r="I17" s="5"/>
      <c r="J17" s="21" t="str">
        <f aca="false">IF(D17="","",IF(C17="","Falta a data",IF(I17="","Falta a evidência",IF(H17="","Falta a avaliação de aprendizado",IF(H17="Não","Sem avaliação de aprendizado","Completo")))))</f>
        <v/>
      </c>
    </row>
    <row r="18" customFormat="false" ht="24" hidden="false" customHeight="true" outlineLevel="0" collapsed="false">
      <c r="B18" s="14" t="n">
        <v>12</v>
      </c>
      <c r="C18" s="36"/>
      <c r="D18" s="5"/>
      <c r="E18" s="5"/>
      <c r="F18" s="15"/>
      <c r="G18" s="15"/>
      <c r="H18" s="15"/>
      <c r="I18" s="5"/>
      <c r="J18" s="21" t="str">
        <f aca="false">IF(D18="","",IF(C18="","Falta a data",IF(I18="","Falta a evidência",IF(H18="","Falta a avaliação de aprendizado",IF(H18="Não","Sem avaliação de aprendizado","Completo")))))</f>
        <v/>
      </c>
    </row>
    <row r="19" customFormat="false" ht="24" hidden="false" customHeight="true" outlineLevel="0" collapsed="false">
      <c r="B19" s="14" t="n">
        <v>13</v>
      </c>
      <c r="C19" s="36"/>
      <c r="D19" s="5"/>
      <c r="E19" s="5"/>
      <c r="F19" s="15"/>
      <c r="G19" s="15"/>
      <c r="H19" s="15"/>
      <c r="I19" s="5"/>
      <c r="J19" s="21" t="str">
        <f aca="false">IF(D19="","",IF(C19="","Falta a data",IF(I19="","Falta a evidência",IF(H19="","Falta a avaliação de aprendizado",IF(H19="Não","Sem avaliação de aprendizado","Completo")))))</f>
        <v/>
      </c>
    </row>
    <row r="20" customFormat="false" ht="24" hidden="false" customHeight="true" outlineLevel="0" collapsed="false">
      <c r="B20" s="14" t="n">
        <v>14</v>
      </c>
      <c r="C20" s="36"/>
      <c r="D20" s="5"/>
      <c r="E20" s="5"/>
      <c r="F20" s="15"/>
      <c r="G20" s="15"/>
      <c r="H20" s="15"/>
      <c r="I20" s="5"/>
      <c r="J20" s="21" t="str">
        <f aca="false">IF(D20="","",IF(C20="","Falta a data",IF(I20="","Falta a evidência",IF(H20="","Falta a avaliação de aprendizado",IF(H20="Não","Sem avaliação de aprendizado","Completo")))))</f>
        <v/>
      </c>
    </row>
    <row r="21" customFormat="false" ht="24" hidden="false" customHeight="true" outlineLevel="0" collapsed="false">
      <c r="B21" s="14" t="n">
        <v>15</v>
      </c>
      <c r="C21" s="36"/>
      <c r="D21" s="5"/>
      <c r="E21" s="5"/>
      <c r="F21" s="15"/>
      <c r="G21" s="15"/>
      <c r="H21" s="15"/>
      <c r="I21" s="5"/>
      <c r="J21" s="21" t="str">
        <f aca="false">IF(D21="","",IF(C21="","Falta a data",IF(I21="","Falta a evidência",IF(H21="","Falta a avaliação de aprendizado",IF(H21="Não","Sem avaliação de aprendizado","Completo")))))</f>
        <v/>
      </c>
    </row>
    <row r="22" customFormat="false" ht="24" hidden="false" customHeight="true" outlineLevel="0" collapsed="false">
      <c r="B22" s="14" t="n">
        <v>16</v>
      </c>
      <c r="C22" s="36"/>
      <c r="D22" s="5"/>
      <c r="E22" s="5"/>
      <c r="F22" s="15"/>
      <c r="G22" s="15"/>
      <c r="H22" s="15"/>
      <c r="I22" s="5"/>
      <c r="J22" s="21" t="str">
        <f aca="false">IF(D22="","",IF(C22="","Falta a data",IF(I22="","Falta a evidência",IF(H22="","Falta a avaliação de aprendizado",IF(H22="Não","Sem avaliação de aprendizado","Completo")))))</f>
        <v/>
      </c>
    </row>
    <row r="23" customFormat="false" ht="24" hidden="false" customHeight="true" outlineLevel="0" collapsed="false">
      <c r="B23" s="14" t="n">
        <v>17</v>
      </c>
      <c r="C23" s="36"/>
      <c r="D23" s="5"/>
      <c r="E23" s="5"/>
      <c r="F23" s="15"/>
      <c r="G23" s="15"/>
      <c r="H23" s="15"/>
      <c r="I23" s="5"/>
      <c r="J23" s="21" t="str">
        <f aca="false">IF(D23="","",IF(C23="","Falta a data",IF(I23="","Falta a evidência",IF(H23="","Falta a avaliação de aprendizado",IF(H23="Não","Sem avaliação de aprendizado","Completo")))))</f>
        <v/>
      </c>
    </row>
    <row r="24" customFormat="false" ht="24" hidden="false" customHeight="true" outlineLevel="0" collapsed="false">
      <c r="B24" s="14" t="n">
        <v>18</v>
      </c>
      <c r="C24" s="36"/>
      <c r="D24" s="5"/>
      <c r="E24" s="5"/>
      <c r="F24" s="15"/>
      <c r="G24" s="15"/>
      <c r="H24" s="15"/>
      <c r="I24" s="5"/>
      <c r="J24" s="21" t="str">
        <f aca="false">IF(D24="","",IF(C24="","Falta a data",IF(I24="","Falta a evidência",IF(H24="","Falta a avaliação de aprendizado",IF(H24="Não","Sem avaliação de aprendizado","Completo")))))</f>
        <v/>
      </c>
    </row>
    <row r="25" customFormat="false" ht="24" hidden="false" customHeight="true" outlineLevel="0" collapsed="false">
      <c r="B25" s="14" t="n">
        <v>19</v>
      </c>
      <c r="C25" s="36"/>
      <c r="D25" s="5"/>
      <c r="E25" s="5"/>
      <c r="F25" s="15"/>
      <c r="G25" s="15"/>
      <c r="H25" s="15"/>
      <c r="I25" s="5"/>
      <c r="J25" s="21" t="str">
        <f aca="false">IF(D25="","",IF(C25="","Falta a data",IF(I25="","Falta a evidência",IF(H25="","Falta a avaliação de aprendizado",IF(H25="Não","Sem avaliação de aprendizado","Completo")))))</f>
        <v/>
      </c>
    </row>
    <row r="26" customFormat="false" ht="24" hidden="false" customHeight="true" outlineLevel="0" collapsed="false">
      <c r="B26" s="14" t="n">
        <v>20</v>
      </c>
      <c r="C26" s="36"/>
      <c r="D26" s="5"/>
      <c r="E26" s="5"/>
      <c r="F26" s="15"/>
      <c r="G26" s="15"/>
      <c r="H26" s="15"/>
      <c r="I26" s="5"/>
      <c r="J26" s="21" t="str">
        <f aca="false">IF(D26="","",IF(C26="","Falta a data",IF(I26="","Falta a evidência",IF(H26="","Falta a avaliação de aprendizado",IF(H26="Não","Sem avaliação de aprendizado","Completo")))))</f>
        <v/>
      </c>
    </row>
    <row r="27" customFormat="false" ht="24" hidden="false" customHeight="true" outlineLevel="0" collapsed="false">
      <c r="B27" s="14" t="n">
        <v>21</v>
      </c>
      <c r="C27" s="36"/>
      <c r="D27" s="5"/>
      <c r="E27" s="5"/>
      <c r="F27" s="15"/>
      <c r="G27" s="15"/>
      <c r="H27" s="15"/>
      <c r="I27" s="5"/>
      <c r="J27" s="21" t="str">
        <f aca="false">IF(D27="","",IF(C27="","Falta a data",IF(I27="","Falta a evidência",IF(H27="","Falta a avaliação de aprendizado",IF(H27="Não","Sem avaliação de aprendizado","Completo")))))</f>
        <v/>
      </c>
    </row>
    <row r="28" customFormat="false" ht="24" hidden="false" customHeight="true" outlineLevel="0" collapsed="false">
      <c r="B28" s="14" t="n">
        <v>22</v>
      </c>
      <c r="C28" s="36"/>
      <c r="D28" s="5"/>
      <c r="E28" s="5"/>
      <c r="F28" s="15"/>
      <c r="G28" s="15"/>
      <c r="H28" s="15"/>
      <c r="I28" s="5"/>
      <c r="J28" s="21" t="str">
        <f aca="false">IF(D28="","",IF(C28="","Falta a data",IF(I28="","Falta a evidência",IF(H28="","Falta a avaliação de aprendizado",IF(H28="Não","Sem avaliação de aprendizado","Completo")))))</f>
        <v/>
      </c>
    </row>
    <row r="29" customFormat="false" ht="24" hidden="false" customHeight="true" outlineLevel="0" collapsed="false">
      <c r="B29" s="14" t="n">
        <v>23</v>
      </c>
      <c r="C29" s="36"/>
      <c r="D29" s="5"/>
      <c r="E29" s="5"/>
      <c r="F29" s="15"/>
      <c r="G29" s="15"/>
      <c r="H29" s="15"/>
      <c r="I29" s="5"/>
      <c r="J29" s="21" t="str">
        <f aca="false">IF(D29="","",IF(C29="","Falta a data",IF(I29="","Falta a evidência",IF(H29="","Falta a avaliação de aprendizado",IF(H29="Não","Sem avaliação de aprendizado","Completo")))))</f>
        <v/>
      </c>
    </row>
    <row r="30" customFormat="false" ht="24" hidden="false" customHeight="true" outlineLevel="0" collapsed="false">
      <c r="B30" s="14" t="n">
        <v>24</v>
      </c>
      <c r="C30" s="36"/>
      <c r="D30" s="5"/>
      <c r="E30" s="5"/>
      <c r="F30" s="15"/>
      <c r="G30" s="15"/>
      <c r="H30" s="15"/>
      <c r="I30" s="5"/>
      <c r="J30" s="21" t="str">
        <f aca="false">IF(D30="","",IF(C30="","Falta a data",IF(I30="","Falta a evidência",IF(H30="","Falta a avaliação de aprendizado",IF(H30="Não","Sem avaliação de aprendizado","Completo")))))</f>
        <v/>
      </c>
    </row>
    <row r="31" customFormat="false" ht="24" hidden="false" customHeight="true" outlineLevel="0" collapsed="false">
      <c r="B31" s="14" t="n">
        <v>25</v>
      </c>
      <c r="C31" s="36"/>
      <c r="D31" s="5"/>
      <c r="E31" s="5"/>
      <c r="F31" s="15"/>
      <c r="G31" s="15"/>
      <c r="H31" s="15"/>
      <c r="I31" s="5"/>
      <c r="J31" s="21" t="str">
        <f aca="false">IF(D31="","",IF(C31="","Falta a data",IF(I31="","Falta a evidência",IF(H31="","Falta a avaliação de aprendizado",IF(H31="Não","Sem avaliação de aprendizado","Completo")))))</f>
        <v/>
      </c>
    </row>
    <row r="33" customFormat="false" ht="21.75" hidden="false" customHeight="true" outlineLevel="0" collapsed="false">
      <c r="B33" s="18" t="s">
        <v>89</v>
      </c>
      <c r="C33" s="18"/>
      <c r="D33" s="18"/>
      <c r="E33" s="18"/>
      <c r="F33" s="18"/>
      <c r="G33" s="18"/>
      <c r="H33" s="18"/>
      <c r="I33" s="18"/>
      <c r="J33" s="18"/>
    </row>
    <row r="34" customFormat="false" ht="21.75" hidden="false" customHeight="true" outlineLevel="0" collapsed="false">
      <c r="B34" s="19" t="s">
        <v>166</v>
      </c>
      <c r="C34" s="19"/>
      <c r="D34" s="19"/>
      <c r="E34" s="20" t="n">
        <f aca="false">COUNTA(D7:D31)</f>
        <v>0</v>
      </c>
      <c r="F34" s="20"/>
    </row>
    <row r="35" customFormat="false" ht="21.75" hidden="false" customHeight="true" outlineLevel="0" collapsed="false">
      <c r="B35" s="19" t="s">
        <v>167</v>
      </c>
      <c r="C35" s="19"/>
      <c r="D35" s="19"/>
      <c r="E35" s="20" t="n">
        <f aca="false">SUM(F7:F31)</f>
        <v>0</v>
      </c>
      <c r="F35" s="20"/>
    </row>
    <row r="36" customFormat="false" ht="21.75" hidden="false" customHeight="true" outlineLevel="0" collapsed="false">
      <c r="B36" s="19" t="s">
        <v>168</v>
      </c>
      <c r="C36" s="19"/>
      <c r="D36" s="19"/>
      <c r="E36" s="20" t="n">
        <f aca="false">SUMPRODUCT(F7:F31,G7:G31)</f>
        <v>0</v>
      </c>
      <c r="F36" s="20"/>
    </row>
    <row r="37" customFormat="false" ht="21.75" hidden="false" customHeight="true" outlineLevel="0" collapsed="false">
      <c r="B37" s="19" t="s">
        <v>92</v>
      </c>
      <c r="C37" s="19"/>
      <c r="D37" s="19"/>
      <c r="E37" s="21" t="str">
        <f aca="false">IF(E34=0,"Registre os treinamentos",IF(COUNTIF(J7:J31,"Falta*")&gt;0,"Há treinamento com campos em branco: veja a coluna Conferência",IF(COUNTIF(J7:J31,"Sem avaliação*")&gt;0,"Há treinamento sem avaliação de aprendizado","OK")))</f>
        <v>Registre os treinamentos</v>
      </c>
      <c r="F37" s="21"/>
    </row>
  </sheetData>
  <mergeCells count="11">
    <mergeCell ref="B1:J1"/>
    <mergeCell ref="B2:J2"/>
    <mergeCell ref="B33:J33"/>
    <mergeCell ref="B34:D34"/>
    <mergeCell ref="E34:F34"/>
    <mergeCell ref="B35:D35"/>
    <mergeCell ref="E35:F35"/>
    <mergeCell ref="B36:D36"/>
    <mergeCell ref="E36:F36"/>
    <mergeCell ref="B37:D37"/>
    <mergeCell ref="E37:F37"/>
  </mergeCells>
  <conditionalFormatting sqref="J7:J31">
    <cfRule type="expression" priority="2" aboveAverage="0" equalAverage="0" bottom="0" percent="0" rank="0" text="" dxfId="4">
      <formula>J7="Completo"</formula>
    </cfRule>
    <cfRule type="expression" priority="3" aboveAverage="0" equalAverage="0" bottom="0" percent="0" rank="0" text="" dxfId="5">
      <formula>LEN(J7)&gt;0</formula>
    </cfRule>
  </conditionalFormatting>
  <conditionalFormatting sqref="E37:F37">
    <cfRule type="expression" priority="4" aboveAverage="0" equalAverage="0" bottom="0" percent="0" rank="0" text="" dxfId="4">
      <formula>OR(E37="OK")</formula>
    </cfRule>
    <cfRule type="expression" priority="5" aboveAverage="0" equalAverage="0" bottom="0" percent="0" rank="0" text="" dxfId="5">
      <formula>AND(LEN(E37)&gt;0,NOT(OR(E37="OK")))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C7:C31" type="date">
      <formula1>36526</formula1>
      <formula2>0</formula2>
    </dataValidation>
    <dataValidation allowBlank="true" error="Digite um número de 0 a 200." errorStyle="stop" errorTitle="Número inválido" operator="between" prompt="Carga horária, em horas." promptTitle="Número" showDropDown="false" showErrorMessage="true" showInputMessage="true" sqref="F7:F31" type="decimal">
      <formula1>0</formula1>
      <formula2>200</formula2>
    </dataValidation>
    <dataValidation allowBlank="true" error="Digite um número de 0 a 500." errorStyle="stop" errorTitle="Número inválido" operator="between" prompt="Número de participantes." promptTitle="Número" showDropDown="false" showErrorMessage="true" showInputMessage="true" sqref="G7:G31" type="decimal">
      <formula1>0</formula1>
      <formula2>500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H7:H31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169</v>
      </c>
      <c r="C1" s="1"/>
      <c r="D1" s="1"/>
      <c r="E1" s="1"/>
    </row>
    <row r="2" customFormat="false" ht="19.5" hidden="false" customHeight="true" outlineLevel="0" collapsed="false">
      <c r="B2" s="2" t="s">
        <v>170</v>
      </c>
      <c r="C2" s="2"/>
      <c r="D2" s="2"/>
      <c r="E2" s="2"/>
    </row>
    <row r="4" customFormat="false" ht="21.75" hidden="false" customHeight="true" outlineLevel="0" collapsed="false">
      <c r="B4" s="16" t="s">
        <v>85</v>
      </c>
      <c r="C4" s="16" t="s">
        <v>171</v>
      </c>
      <c r="D4" s="16" t="s">
        <v>172</v>
      </c>
      <c r="E4" s="16" t="s">
        <v>173</v>
      </c>
    </row>
    <row r="5" customFormat="false" ht="30" hidden="false" customHeight="true" outlineLevel="0" collapsed="false">
      <c r="B5" s="14" t="n">
        <v>1</v>
      </c>
      <c r="C5" s="6" t="s">
        <v>174</v>
      </c>
      <c r="D5" s="15"/>
      <c r="E5" s="5"/>
    </row>
    <row r="6" customFormat="false" ht="30" hidden="false" customHeight="true" outlineLevel="0" collapsed="false">
      <c r="B6" s="14" t="n">
        <v>2</v>
      </c>
      <c r="C6" s="6" t="s">
        <v>175</v>
      </c>
      <c r="D6" s="15"/>
      <c r="E6" s="5"/>
    </row>
    <row r="7" customFormat="false" ht="30" hidden="false" customHeight="true" outlineLevel="0" collapsed="false">
      <c r="B7" s="14" t="n">
        <v>3</v>
      </c>
      <c r="C7" s="6" t="s">
        <v>176</v>
      </c>
      <c r="D7" s="15"/>
      <c r="E7" s="5"/>
    </row>
    <row r="8" customFormat="false" ht="30" hidden="false" customHeight="true" outlineLevel="0" collapsed="false">
      <c r="B8" s="14" t="n">
        <v>4</v>
      </c>
      <c r="C8" s="6" t="s">
        <v>177</v>
      </c>
      <c r="D8" s="15"/>
      <c r="E8" s="5"/>
    </row>
    <row r="9" customFormat="false" ht="30" hidden="false" customHeight="true" outlineLevel="0" collapsed="false">
      <c r="B9" s="14" t="n">
        <v>5</v>
      </c>
      <c r="C9" s="6" t="s">
        <v>178</v>
      </c>
      <c r="D9" s="15"/>
      <c r="E9" s="5"/>
    </row>
    <row r="10" customFormat="false" ht="30" hidden="false" customHeight="true" outlineLevel="0" collapsed="false">
      <c r="B10" s="14" t="n">
        <v>6</v>
      </c>
      <c r="C10" s="6" t="s">
        <v>179</v>
      </c>
      <c r="D10" s="15"/>
      <c r="E10" s="5"/>
    </row>
    <row r="11" customFormat="false" ht="30" hidden="false" customHeight="true" outlineLevel="0" collapsed="false">
      <c r="B11" s="14" t="n">
        <v>7</v>
      </c>
      <c r="C11" s="6" t="s">
        <v>180</v>
      </c>
      <c r="D11" s="15"/>
      <c r="E11" s="5"/>
    </row>
    <row r="12" customFormat="false" ht="30" hidden="false" customHeight="true" outlineLevel="0" collapsed="false">
      <c r="B12" s="14" t="n">
        <v>8</v>
      </c>
      <c r="C12" s="6" t="s">
        <v>181</v>
      </c>
      <c r="D12" s="15"/>
      <c r="E12" s="5"/>
    </row>
    <row r="13" customFormat="false" ht="30" hidden="false" customHeight="true" outlineLevel="0" collapsed="false">
      <c r="B13" s="14" t="n">
        <v>9</v>
      </c>
      <c r="C13" s="6" t="s">
        <v>182</v>
      </c>
      <c r="D13" s="15"/>
      <c r="E13" s="5"/>
    </row>
    <row r="14" customFormat="false" ht="30" hidden="false" customHeight="true" outlineLevel="0" collapsed="false">
      <c r="B14" s="14" t="n">
        <v>10</v>
      </c>
      <c r="C14" s="6" t="s">
        <v>183</v>
      </c>
      <c r="D14" s="15"/>
      <c r="E14" s="5"/>
    </row>
    <row r="15" customFormat="false" ht="30" hidden="false" customHeight="true" outlineLevel="0" collapsed="false">
      <c r="B15" s="14" t="n">
        <v>11</v>
      </c>
      <c r="C15" s="6" t="s">
        <v>184</v>
      </c>
      <c r="D15" s="15"/>
      <c r="E15" s="5"/>
    </row>
    <row r="16" customFormat="false" ht="30" hidden="false" customHeight="true" outlineLevel="0" collapsed="false">
      <c r="B16" s="14" t="n">
        <v>12</v>
      </c>
      <c r="C16" s="6" t="s">
        <v>185</v>
      </c>
      <c r="D16" s="15"/>
      <c r="E16" s="5"/>
    </row>
    <row r="18" customFormat="false" ht="21.75" hidden="false" customHeight="true" outlineLevel="0" collapsed="false">
      <c r="B18" s="18" t="s">
        <v>89</v>
      </c>
      <c r="C18" s="18"/>
      <c r="D18" s="18"/>
      <c r="E18" s="18"/>
    </row>
    <row r="19" customFormat="false" ht="19.5" hidden="false" customHeight="true" outlineLevel="0" collapsed="false">
      <c r="B19" s="19" t="s">
        <v>186</v>
      </c>
      <c r="C19" s="19"/>
      <c r="D19" s="29" t="n">
        <f aca="false">COUNTIF(D5:D16,"Sim")</f>
        <v>0</v>
      </c>
    </row>
    <row r="20" customFormat="false" ht="19.5" hidden="false" customHeight="true" outlineLevel="0" collapsed="false">
      <c r="B20" s="19" t="s">
        <v>187</v>
      </c>
      <c r="C20" s="19"/>
      <c r="D20" s="29" t="n">
        <f aca="false">COUNTIF(D5:D16,"Parcial")</f>
        <v>0</v>
      </c>
    </row>
    <row r="21" customFormat="false" ht="19.5" hidden="false" customHeight="true" outlineLevel="0" collapsed="false">
      <c r="B21" s="19" t="s">
        <v>188</v>
      </c>
      <c r="C21" s="19"/>
      <c r="D21" s="29" t="n">
        <f aca="false">COUNTIF(D5:D16,"Não")</f>
        <v>0</v>
      </c>
    </row>
    <row r="22" customFormat="false" ht="19.5" hidden="false" customHeight="true" outlineLevel="0" collapsed="false">
      <c r="B22" s="19" t="s">
        <v>189</v>
      </c>
      <c r="C22" s="19"/>
      <c r="D22" s="29" t="n">
        <f aca="false">COUNTBLANK(D5:D16)</f>
        <v>12</v>
      </c>
    </row>
    <row r="23" customFormat="false" ht="19.5" hidden="false" customHeight="true" outlineLevel="0" collapsed="false">
      <c r="B23" s="19" t="s">
        <v>190</v>
      </c>
      <c r="C23" s="19"/>
      <c r="D23" s="30" t="n">
        <f aca="false">D19/ROWS(D5:D16)</f>
        <v>0</v>
      </c>
    </row>
    <row r="24" customFormat="false" ht="19.5" hidden="false" customHeight="true" outlineLevel="0" collapsed="false">
      <c r="B24" s="19" t="s">
        <v>124</v>
      </c>
      <c r="C24" s="19"/>
      <c r="D24" s="29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4">
      <formula>"Sim"</formula>
    </cfRule>
    <cfRule type="cellIs" priority="3" operator="equal" aboveAverage="0" equalAverage="0" bottom="0" percent="0" rank="0" text="" dxfId="5">
      <formula>"Parcial"</formula>
    </cfRule>
    <cfRule type="cellIs" priority="4" operator="equal" aboveAverage="0" equalAverage="0" bottom="0" percent="0" rank="0" text="" dxfId="7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11" min="4" style="0" width="9.5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69</v>
      </c>
      <c r="C4" s="37" t="s">
        <v>193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customFormat="false" ht="19.5" hidden="false" customHeight="true" outlineLevel="0" collapsed="false">
      <c r="B5" s="4" t="s">
        <v>61</v>
      </c>
      <c r="C5" s="38" t="n">
        <v>46430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customFormat="false" ht="19.5" hidden="false" customHeight="true" outlineLevel="0" collapsed="false">
      <c r="B6" s="4" t="s">
        <v>154</v>
      </c>
      <c r="C6" s="37" t="s">
        <v>194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customFormat="false" ht="19.5" hidden="false" customHeight="true" outlineLevel="0" collapsed="false">
      <c r="B7" s="4" t="s">
        <v>195</v>
      </c>
      <c r="C7" s="37" t="s">
        <v>196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customFormat="false" ht="19.5" hidden="false" customHeight="true" outlineLevel="0" collapsed="false">
      <c r="B8" s="4" t="s">
        <v>197</v>
      </c>
      <c r="C8" s="37" t="s">
        <v>198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10" customFormat="false" ht="21.75" hidden="false" customHeight="true" outlineLevel="0" collapsed="false">
      <c r="B10" s="39" t="s">
        <v>199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customFormat="false" ht="21.75" hidden="false" customHeight="true" outlineLevel="0" collapsed="false">
      <c r="B11" s="29" t="s">
        <v>86</v>
      </c>
      <c r="C11" s="29" t="s">
        <v>200</v>
      </c>
      <c r="D11" s="29" t="s">
        <v>72</v>
      </c>
      <c r="E11" s="29" t="s">
        <v>73</v>
      </c>
      <c r="F11" s="29" t="s">
        <v>74</v>
      </c>
      <c r="G11" s="29" t="s">
        <v>75</v>
      </c>
      <c r="H11" s="29" t="s">
        <v>76</v>
      </c>
      <c r="I11" s="29" t="s">
        <v>77</v>
      </c>
      <c r="J11" s="29" t="s">
        <v>78</v>
      </c>
      <c r="K11" s="29" t="s">
        <v>79</v>
      </c>
    </row>
    <row r="12" customFormat="false" ht="48" hidden="false" customHeight="true" outlineLevel="0" collapsed="false">
      <c r="B12" s="6"/>
      <c r="C12" s="24" t="s">
        <v>201</v>
      </c>
      <c r="D12" s="25" t="s">
        <v>202</v>
      </c>
      <c r="E12" s="25" t="s">
        <v>203</v>
      </c>
      <c r="F12" s="25" t="s">
        <v>204</v>
      </c>
      <c r="G12" s="25" t="s">
        <v>205</v>
      </c>
      <c r="H12" s="25" t="s">
        <v>206</v>
      </c>
      <c r="I12" s="25" t="s">
        <v>207</v>
      </c>
      <c r="J12" s="25" t="s">
        <v>208</v>
      </c>
      <c r="K12" s="25" t="s">
        <v>209</v>
      </c>
    </row>
    <row r="13" customFormat="false" ht="19.5" hidden="false" customHeight="true" outlineLevel="0" collapsed="false">
      <c r="B13" s="40" t="s">
        <v>210</v>
      </c>
      <c r="C13" s="40"/>
      <c r="D13" s="41" t="n">
        <v>2</v>
      </c>
      <c r="E13" s="41" t="n">
        <v>1</v>
      </c>
      <c r="F13" s="41" t="n">
        <v>1</v>
      </c>
      <c r="G13" s="41" t="n">
        <v>2</v>
      </c>
      <c r="H13" s="41" t="n">
        <v>1</v>
      </c>
      <c r="I13" s="41" t="n">
        <v>2</v>
      </c>
      <c r="J13" s="41" t="n">
        <v>0</v>
      </c>
      <c r="K13" s="41" t="n">
        <v>3</v>
      </c>
    </row>
    <row r="14" customFormat="false" ht="19.5" hidden="false" customHeight="true" outlineLevel="0" collapsed="false">
      <c r="B14" s="40" t="s">
        <v>211</v>
      </c>
      <c r="C14" s="40"/>
      <c r="D14" s="41" t="n">
        <v>2</v>
      </c>
      <c r="E14" s="41" t="n">
        <v>0</v>
      </c>
      <c r="F14" s="41" t="n">
        <v>0</v>
      </c>
      <c r="G14" s="41" t="n">
        <v>1</v>
      </c>
      <c r="H14" s="41" t="n">
        <v>2</v>
      </c>
      <c r="I14" s="41" t="n">
        <v>1</v>
      </c>
      <c r="J14" s="41" t="n">
        <v>0</v>
      </c>
      <c r="K14" s="41" t="n">
        <v>2</v>
      </c>
    </row>
    <row r="15" customFormat="false" ht="19.5" hidden="false" customHeight="true" outlineLevel="0" collapsed="false">
      <c r="B15" s="40" t="s">
        <v>212</v>
      </c>
      <c r="C15" s="40"/>
      <c r="D15" s="41" t="n">
        <v>0</v>
      </c>
      <c r="E15" s="41" t="n">
        <v>3</v>
      </c>
      <c r="F15" s="41" t="n">
        <v>2</v>
      </c>
      <c r="G15" s="41" t="n">
        <v>3</v>
      </c>
      <c r="H15" s="41" t="n">
        <v>2</v>
      </c>
      <c r="I15" s="41" t="n">
        <v>0</v>
      </c>
      <c r="J15" s="41" t="n">
        <v>0</v>
      </c>
      <c r="K15" s="41" t="n">
        <v>0</v>
      </c>
    </row>
    <row r="16" customFormat="false" ht="19.5" hidden="false" customHeight="true" outlineLevel="0" collapsed="false">
      <c r="B16" s="40" t="s">
        <v>213</v>
      </c>
      <c r="C16" s="40"/>
      <c r="D16" s="41" t="n">
        <v>1</v>
      </c>
      <c r="E16" s="41" t="n">
        <v>0</v>
      </c>
      <c r="F16" s="41" t="n">
        <v>0</v>
      </c>
      <c r="G16" s="41" t="n">
        <v>1</v>
      </c>
      <c r="H16" s="41" t="n">
        <v>3</v>
      </c>
      <c r="I16" s="41" t="n">
        <v>3</v>
      </c>
      <c r="J16" s="41" t="n">
        <v>2</v>
      </c>
      <c r="K16" s="41" t="n">
        <v>0</v>
      </c>
    </row>
    <row r="17" customFormat="false" ht="19.5" hidden="false" customHeight="true" outlineLevel="0" collapsed="false">
      <c r="B17" s="40" t="s">
        <v>214</v>
      </c>
      <c r="C17" s="40"/>
      <c r="D17" s="41" t="n">
        <v>0</v>
      </c>
      <c r="E17" s="41" t="n">
        <v>0</v>
      </c>
      <c r="F17" s="41" t="n">
        <v>0</v>
      </c>
      <c r="G17" s="41" t="n">
        <v>1</v>
      </c>
      <c r="H17" s="41" t="n">
        <v>1</v>
      </c>
      <c r="I17" s="41" t="n">
        <v>2</v>
      </c>
      <c r="J17" s="41" t="n">
        <v>2</v>
      </c>
      <c r="K17" s="41" t="n">
        <v>0</v>
      </c>
    </row>
    <row r="19" customFormat="false" ht="21.75" hidden="false" customHeight="true" outlineLevel="0" collapsed="false">
      <c r="B19" s="42" t="s">
        <v>215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customFormat="false" ht="21.75" hidden="false" customHeight="true" outlineLevel="0" collapsed="false">
      <c r="B20" s="29" t="s">
        <v>95</v>
      </c>
      <c r="C20" s="29" t="s">
        <v>86</v>
      </c>
      <c r="D20" s="29" t="s">
        <v>72</v>
      </c>
      <c r="E20" s="29" t="s">
        <v>73</v>
      </c>
      <c r="F20" s="29" t="s">
        <v>74</v>
      </c>
      <c r="G20" s="29" t="s">
        <v>75</v>
      </c>
      <c r="H20" s="29" t="s">
        <v>76</v>
      </c>
      <c r="I20" s="29" t="s">
        <v>77</v>
      </c>
      <c r="J20" s="29" t="s">
        <v>78</v>
      </c>
      <c r="K20" s="29" t="s">
        <v>79</v>
      </c>
      <c r="L20" s="29" t="s">
        <v>97</v>
      </c>
      <c r="M20" s="29" t="s">
        <v>98</v>
      </c>
      <c r="N20" s="20" t="s">
        <v>124</v>
      </c>
      <c r="O20" s="20"/>
    </row>
    <row r="21" customFormat="false" ht="19.5" hidden="false" customHeight="true" outlineLevel="0" collapsed="false">
      <c r="B21" s="40" t="s">
        <v>216</v>
      </c>
      <c r="C21" s="7" t="s">
        <v>210</v>
      </c>
      <c r="D21" s="41" t="n">
        <v>3</v>
      </c>
      <c r="E21" s="41" t="n">
        <v>1</v>
      </c>
      <c r="F21" s="41" t="n">
        <v>1</v>
      </c>
      <c r="G21" s="41" t="n">
        <v>2</v>
      </c>
      <c r="H21" s="41" t="n">
        <v>2</v>
      </c>
      <c r="I21" s="41" t="n">
        <v>2</v>
      </c>
      <c r="J21" s="41" t="n">
        <v>0</v>
      </c>
      <c r="K21" s="41" t="n">
        <v>3</v>
      </c>
      <c r="L21" s="17" t="n">
        <f aca="false">SUMPRODUCT((D13:K13&gt;D21:K21)*1)</f>
        <v>0</v>
      </c>
      <c r="M21" s="26" t="n">
        <f aca="false">1-L21/COUNTIF(D13:K13,"&gt;0")</f>
        <v>1</v>
      </c>
      <c r="N21" s="21" t="str">
        <f aca="false">IF(L21=0,"Sem lacunas","Com lacunas")</f>
        <v>Sem lacunas</v>
      </c>
      <c r="O21" s="21"/>
    </row>
    <row r="22" customFormat="false" ht="19.5" hidden="false" customHeight="true" outlineLevel="0" collapsed="false">
      <c r="B22" s="40" t="s">
        <v>217</v>
      </c>
      <c r="C22" s="7" t="s">
        <v>211</v>
      </c>
      <c r="D22" s="41" t="n">
        <v>3</v>
      </c>
      <c r="E22" s="41" t="n">
        <v>0</v>
      </c>
      <c r="F22" s="41" t="n">
        <v>0</v>
      </c>
      <c r="G22" s="41" t="n">
        <v>1</v>
      </c>
      <c r="H22" s="41" t="n">
        <v>2</v>
      </c>
      <c r="I22" s="41" t="n">
        <v>2</v>
      </c>
      <c r="J22" s="41" t="n">
        <v>0</v>
      </c>
      <c r="K22" s="41" t="n">
        <v>2</v>
      </c>
      <c r="L22" s="17" t="n">
        <f aca="false">SUMPRODUCT((D14:K14&gt;D22:K22)*1)</f>
        <v>0</v>
      </c>
      <c r="M22" s="26" t="n">
        <f aca="false">1-L22/COUNTIF(D14:K14,"&gt;0")</f>
        <v>1</v>
      </c>
      <c r="N22" s="21" t="str">
        <f aca="false">IF(L22=0,"Sem lacunas","Com lacunas")</f>
        <v>Sem lacunas</v>
      </c>
      <c r="O22" s="21"/>
    </row>
    <row r="23" customFormat="false" ht="19.5" hidden="false" customHeight="true" outlineLevel="0" collapsed="false">
      <c r="B23" s="40" t="s">
        <v>218</v>
      </c>
      <c r="C23" s="7" t="s">
        <v>211</v>
      </c>
      <c r="D23" s="41" t="n">
        <v>2</v>
      </c>
      <c r="E23" s="41" t="n">
        <v>0</v>
      </c>
      <c r="F23" s="41" t="n">
        <v>0</v>
      </c>
      <c r="G23" s="41" t="n">
        <v>1</v>
      </c>
      <c r="H23" s="43" t="n">
        <v>1</v>
      </c>
      <c r="I23" s="41" t="n">
        <v>1</v>
      </c>
      <c r="J23" s="41" t="n">
        <v>0</v>
      </c>
      <c r="K23" s="43" t="n">
        <v>1</v>
      </c>
      <c r="L23" s="17" t="n">
        <f aca="false">SUMPRODUCT((D14:K14&gt;D23:K23)*1)</f>
        <v>2</v>
      </c>
      <c r="M23" s="26" t="n">
        <f aca="false">1-L23/COUNTIF(D14:K14,"&gt;0")</f>
        <v>0.6</v>
      </c>
      <c r="N23" s="21" t="str">
        <f aca="false">IF(L23=0,"Sem lacunas","Com lacunas")</f>
        <v>Com lacunas</v>
      </c>
      <c r="O23" s="21"/>
    </row>
    <row r="24" customFormat="false" ht="19.5" hidden="false" customHeight="true" outlineLevel="0" collapsed="false">
      <c r="B24" s="40" t="s">
        <v>138</v>
      </c>
      <c r="C24" s="7" t="s">
        <v>212</v>
      </c>
      <c r="D24" s="41" t="n">
        <v>0</v>
      </c>
      <c r="E24" s="41" t="n">
        <v>3</v>
      </c>
      <c r="F24" s="41" t="n">
        <v>3</v>
      </c>
      <c r="G24" s="41" t="n">
        <v>3</v>
      </c>
      <c r="H24" s="41" t="n">
        <v>2</v>
      </c>
      <c r="I24" s="41" t="n">
        <v>0</v>
      </c>
      <c r="J24" s="41" t="n">
        <v>0</v>
      </c>
      <c r="K24" s="41" t="n">
        <v>0</v>
      </c>
      <c r="L24" s="17" t="n">
        <f aca="false">SUMPRODUCT((D15:K15&gt;D24:K24)*1)</f>
        <v>0</v>
      </c>
      <c r="M24" s="26" t="n">
        <f aca="false">1-L24/COUNTIF(D15:K15,"&gt;0")</f>
        <v>1</v>
      </c>
      <c r="N24" s="21" t="str">
        <f aca="false">IF(L24=0,"Sem lacunas","Com lacunas")</f>
        <v>Sem lacunas</v>
      </c>
      <c r="O24" s="21"/>
    </row>
    <row r="25" customFormat="false" ht="19.5" hidden="false" customHeight="true" outlineLevel="0" collapsed="false">
      <c r="B25" s="40" t="s">
        <v>136</v>
      </c>
      <c r="C25" s="7" t="s">
        <v>212</v>
      </c>
      <c r="D25" s="41" t="n">
        <v>0</v>
      </c>
      <c r="E25" s="43" t="n">
        <v>2</v>
      </c>
      <c r="F25" s="41" t="n">
        <v>2</v>
      </c>
      <c r="G25" s="43" t="n">
        <v>2</v>
      </c>
      <c r="H25" s="41" t="n">
        <v>2</v>
      </c>
      <c r="I25" s="41" t="n">
        <v>0</v>
      </c>
      <c r="J25" s="41" t="n">
        <v>0</v>
      </c>
      <c r="K25" s="41" t="n">
        <v>0</v>
      </c>
      <c r="L25" s="17" t="n">
        <f aca="false">SUMPRODUCT((D15:K15&gt;D25:K25)*1)</f>
        <v>2</v>
      </c>
      <c r="M25" s="26" t="n">
        <f aca="false">1-L25/COUNTIF(D15:K15,"&gt;0")</f>
        <v>0.5</v>
      </c>
      <c r="N25" s="21" t="str">
        <f aca="false">IF(L25=0,"Sem lacunas","Com lacunas")</f>
        <v>Com lacunas</v>
      </c>
      <c r="O25" s="21"/>
    </row>
    <row r="26" customFormat="false" ht="19.5" hidden="false" customHeight="true" outlineLevel="0" collapsed="false">
      <c r="B26" s="40" t="s">
        <v>219</v>
      </c>
      <c r="C26" s="7" t="s">
        <v>213</v>
      </c>
      <c r="D26" s="41" t="n">
        <v>1</v>
      </c>
      <c r="E26" s="41" t="n">
        <v>0</v>
      </c>
      <c r="F26" s="41" t="n">
        <v>0</v>
      </c>
      <c r="G26" s="41" t="n">
        <v>1</v>
      </c>
      <c r="H26" s="41" t="n">
        <v>3</v>
      </c>
      <c r="I26" s="41" t="n">
        <v>3</v>
      </c>
      <c r="J26" s="41" t="n">
        <v>2</v>
      </c>
      <c r="K26" s="41" t="n">
        <v>0</v>
      </c>
      <c r="L26" s="17" t="n">
        <f aca="false">SUMPRODUCT((D16:K16&gt;D26:K26)*1)</f>
        <v>0</v>
      </c>
      <c r="M26" s="26" t="n">
        <f aca="false">1-L26/COUNTIF(D16:K16,"&gt;0")</f>
        <v>1</v>
      </c>
      <c r="N26" s="21" t="str">
        <f aca="false">IF(L26=0,"Sem lacunas","Com lacunas")</f>
        <v>Sem lacunas</v>
      </c>
      <c r="O26" s="21"/>
    </row>
    <row r="27" customFormat="false" ht="19.5" hidden="false" customHeight="true" outlineLevel="0" collapsed="false">
      <c r="B27" s="40" t="s">
        <v>220</v>
      </c>
      <c r="C27" s="7" t="s">
        <v>214</v>
      </c>
      <c r="D27" s="41" t="n">
        <v>0</v>
      </c>
      <c r="E27" s="41" t="n">
        <v>0</v>
      </c>
      <c r="F27" s="41" t="n">
        <v>0</v>
      </c>
      <c r="G27" s="41" t="n">
        <v>1</v>
      </c>
      <c r="H27" s="41" t="n">
        <v>1</v>
      </c>
      <c r="I27" s="41" t="n">
        <v>2</v>
      </c>
      <c r="J27" s="41" t="n">
        <v>2</v>
      </c>
      <c r="K27" s="41" t="n">
        <v>0</v>
      </c>
      <c r="L27" s="17" t="n">
        <f aca="false">SUMPRODUCT((D17:K17&gt;D27:K27)*1)</f>
        <v>0</v>
      </c>
      <c r="M27" s="26" t="n">
        <f aca="false">1-L27/COUNTIF(D17:K17,"&gt;0")</f>
        <v>1</v>
      </c>
      <c r="N27" s="21" t="str">
        <f aca="false">IF(L27=0,"Sem lacunas","Com lacunas")</f>
        <v>Sem lacunas</v>
      </c>
      <c r="O27" s="21"/>
    </row>
    <row r="28" customFormat="false" ht="19.5" hidden="false" customHeight="true" outlineLevel="0" collapsed="false">
      <c r="B28" s="40" t="s">
        <v>221</v>
      </c>
      <c r="C28" s="7" t="s">
        <v>214</v>
      </c>
      <c r="D28" s="41" t="n">
        <v>0</v>
      </c>
      <c r="E28" s="41" t="n">
        <v>0</v>
      </c>
      <c r="F28" s="41" t="n">
        <v>0</v>
      </c>
      <c r="G28" s="43" t="n">
        <v>0</v>
      </c>
      <c r="H28" s="41" t="n">
        <v>1</v>
      </c>
      <c r="I28" s="43" t="n">
        <v>1</v>
      </c>
      <c r="J28" s="41" t="n">
        <v>2</v>
      </c>
      <c r="K28" s="41" t="n">
        <v>0</v>
      </c>
      <c r="L28" s="17" t="n">
        <f aca="false">SUMPRODUCT((D17:K17&gt;D28:K28)*1)</f>
        <v>2</v>
      </c>
      <c r="M28" s="26" t="n">
        <f aca="false">1-L28/COUNTIF(D17:K17,"&gt;0")</f>
        <v>0.5</v>
      </c>
      <c r="N28" s="21" t="str">
        <f aca="false">IF(L28=0,"Sem lacunas","Com lacunas")</f>
        <v>Com lacunas</v>
      </c>
      <c r="O28" s="21"/>
    </row>
    <row r="29" customFormat="false" ht="21.75" hidden="false" customHeight="true" outlineLevel="0" collapsed="false">
      <c r="B29" s="19" t="s">
        <v>108</v>
      </c>
      <c r="C29" s="19"/>
      <c r="D29" s="29" t="n">
        <f aca="false">COUNTIF(D21:D28,"&gt;=2")</f>
        <v>3</v>
      </c>
      <c r="E29" s="29" t="n">
        <f aca="false">COUNTIF(E21:E28,"&gt;=2")</f>
        <v>2</v>
      </c>
      <c r="F29" s="29" t="n">
        <f aca="false">COUNTIF(F21:F28,"&gt;=2")</f>
        <v>2</v>
      </c>
      <c r="G29" s="29" t="n">
        <f aca="false">COUNTIF(G21:G28,"&gt;=2")</f>
        <v>3</v>
      </c>
      <c r="H29" s="29" t="n">
        <f aca="false">COUNTIF(H21:H28,"&gt;=2")</f>
        <v>5</v>
      </c>
      <c r="I29" s="29" t="n">
        <f aca="false">COUNTIF(I21:I28,"&gt;=2")</f>
        <v>4</v>
      </c>
      <c r="J29" s="29" t="n">
        <f aca="false">COUNTIF(J21:J28,"&gt;=2")</f>
        <v>3</v>
      </c>
      <c r="K29" s="29" t="n">
        <f aca="false">COUNTIF(K21:K28,"&gt;=2")</f>
        <v>2</v>
      </c>
      <c r="L29" s="6"/>
      <c r="M29" s="6"/>
      <c r="N29" s="6"/>
      <c r="O29" s="6"/>
    </row>
    <row r="30" customFormat="false" ht="21.75" hidden="false" customHeight="true" outlineLevel="0" collapsed="false">
      <c r="B30" s="19" t="s">
        <v>109</v>
      </c>
      <c r="C30" s="19"/>
      <c r="D30" s="29" t="n">
        <f aca="false">COUNTIF(D21:D28,3)</f>
        <v>2</v>
      </c>
      <c r="E30" s="29" t="n">
        <f aca="false">COUNTIF(E21:E28,3)</f>
        <v>1</v>
      </c>
      <c r="F30" s="29" t="n">
        <f aca="false">COUNTIF(F21:F28,3)</f>
        <v>1</v>
      </c>
      <c r="G30" s="29" t="n">
        <f aca="false">COUNTIF(G21:G28,3)</f>
        <v>1</v>
      </c>
      <c r="H30" s="29" t="n">
        <f aca="false">COUNTIF(H21:H28,3)</f>
        <v>1</v>
      </c>
      <c r="I30" s="29" t="n">
        <f aca="false">COUNTIF(I21:I28,3)</f>
        <v>1</v>
      </c>
      <c r="J30" s="29" t="n">
        <f aca="false">COUNTIF(J21:J28,3)</f>
        <v>0</v>
      </c>
      <c r="K30" s="29" t="n">
        <f aca="false">COUNTIF(K21:K28,3)</f>
        <v>1</v>
      </c>
      <c r="L30" s="6"/>
      <c r="M30" s="6"/>
      <c r="N30" s="6"/>
      <c r="O30" s="6"/>
    </row>
    <row r="31" customFormat="false" ht="15" hidden="false" customHeight="true" outlineLevel="0" collapsed="false">
      <c r="B31" s="44" t="s">
        <v>222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3" customFormat="false" ht="21.75" hidden="false" customHeight="true" outlineLevel="0" collapsed="false">
      <c r="B33" s="45" t="s">
        <v>115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</row>
    <row r="34" customFormat="false" ht="24" hidden="false" customHeight="true" outlineLevel="0" collapsed="false">
      <c r="B34" s="29" t="s">
        <v>95</v>
      </c>
      <c r="C34" s="29" t="s">
        <v>223</v>
      </c>
      <c r="D34" s="20" t="s">
        <v>117</v>
      </c>
      <c r="E34" s="20"/>
      <c r="F34" s="20"/>
      <c r="G34" s="20"/>
      <c r="H34" s="20" t="s">
        <v>118</v>
      </c>
      <c r="I34" s="20"/>
      <c r="J34" s="20" t="s">
        <v>119</v>
      </c>
      <c r="K34" s="20"/>
      <c r="L34" s="29" t="s">
        <v>224</v>
      </c>
      <c r="M34" s="29" t="s">
        <v>121</v>
      </c>
      <c r="N34" s="29" t="s">
        <v>59</v>
      </c>
      <c r="O34" s="29" t="s">
        <v>124</v>
      </c>
    </row>
    <row r="35" customFormat="false" ht="30.75" hidden="false" customHeight="true" outlineLevel="0" collapsed="false">
      <c r="B35" s="40" t="s">
        <v>136</v>
      </c>
      <c r="C35" s="41" t="s">
        <v>74</v>
      </c>
      <c r="D35" s="7" t="s">
        <v>137</v>
      </c>
      <c r="E35" s="7"/>
      <c r="F35" s="7"/>
      <c r="G35" s="7"/>
      <c r="H35" s="7" t="s">
        <v>138</v>
      </c>
      <c r="I35" s="7"/>
      <c r="J35" s="46" t="n">
        <v>46409</v>
      </c>
      <c r="K35" s="46"/>
      <c r="L35" s="46" t="n">
        <v>46407</v>
      </c>
      <c r="M35" s="41" t="s">
        <v>139</v>
      </c>
      <c r="N35" s="41" t="s">
        <v>140</v>
      </c>
      <c r="O35" s="21" t="str">
        <f aca="false">IF(D35="","",IF(L35="",IF(J35="","Falta o prazo",IF(J35&lt;$C$5,"Atrasada","Planejada")),IF(M35="","Falta a avaliação de aprendizado",IF(M35="Não","Não eficaz: refazer",IF(N35="",IF(L35+60&lt;=$C$5,"Avaliar a eficácia","Em acompanhamento"),IF(N35="Eficaz","Eficaz",IF(N35="Parcial","Parcial: reforçar","Não eficaz: refazer")))))))</f>
        <v>Eficaz</v>
      </c>
    </row>
    <row r="36" customFormat="false" ht="42.75" hidden="false" customHeight="true" outlineLevel="0" collapsed="false">
      <c r="B36" s="40" t="s">
        <v>136</v>
      </c>
      <c r="C36" s="41" t="s">
        <v>73</v>
      </c>
      <c r="D36" s="7" t="s">
        <v>225</v>
      </c>
      <c r="E36" s="7"/>
      <c r="F36" s="7"/>
      <c r="G36" s="7"/>
      <c r="H36" s="7" t="s">
        <v>138</v>
      </c>
      <c r="I36" s="7"/>
      <c r="J36" s="46" t="n">
        <v>46458</v>
      </c>
      <c r="K36" s="46"/>
      <c r="L36" s="46" t="n">
        <v>46423</v>
      </c>
      <c r="M36" s="41" t="s">
        <v>139</v>
      </c>
      <c r="N36" s="41"/>
      <c r="O36" s="21" t="str">
        <f aca="false">IF(D36="","",IF(L36="",IF(J36="","Falta o prazo",IF(J36&lt;$C$5,"Atrasada","Planejada")),IF(M36="","Falta a avaliação de aprendizado",IF(M36="Não","Não eficaz: refazer",IF(N36="",IF(L36+60&lt;=$C$5,"Avaliar a eficácia","Em acompanhamento"),IF(N36="Eficaz","Eficaz",IF(N36="Parcial","Parcial: reforçar","Não eficaz: refazer")))))))</f>
        <v>Em acompanhamento</v>
      </c>
    </row>
    <row r="37" customFormat="false" ht="30.75" hidden="false" customHeight="true" outlineLevel="0" collapsed="false">
      <c r="B37" s="40" t="s">
        <v>136</v>
      </c>
      <c r="C37" s="41" t="s">
        <v>75</v>
      </c>
      <c r="D37" s="7" t="s">
        <v>226</v>
      </c>
      <c r="E37" s="7"/>
      <c r="F37" s="7"/>
      <c r="G37" s="7"/>
      <c r="H37" s="7" t="s">
        <v>216</v>
      </c>
      <c r="I37" s="7"/>
      <c r="J37" s="46" t="n">
        <v>46444</v>
      </c>
      <c r="K37" s="46"/>
      <c r="L37" s="46" t="n">
        <v>46428</v>
      </c>
      <c r="M37" s="41" t="s">
        <v>139</v>
      </c>
      <c r="N37" s="41"/>
      <c r="O37" s="21" t="str">
        <f aca="false">IF(D37="","",IF(L37="",IF(J37="","Falta o prazo",IF(J37&lt;$C$5,"Atrasada","Planejada")),IF(M37="","Falta a avaliação de aprendizado",IF(M37="Não","Não eficaz: refazer",IF(N37="",IF(L37+60&lt;=$C$5,"Avaliar a eficácia","Em acompanhamento"),IF(N37="Eficaz","Eficaz",IF(N37="Parcial","Parcial: reforçar","Não eficaz: refazer")))))))</f>
        <v>Em acompanhamento</v>
      </c>
    </row>
    <row r="38" customFormat="false" ht="30.75" hidden="false" customHeight="true" outlineLevel="0" collapsed="false">
      <c r="B38" s="40" t="s">
        <v>218</v>
      </c>
      <c r="C38" s="41" t="s">
        <v>76</v>
      </c>
      <c r="D38" s="7" t="s">
        <v>227</v>
      </c>
      <c r="E38" s="7"/>
      <c r="F38" s="7"/>
      <c r="G38" s="7"/>
      <c r="H38" s="7" t="s">
        <v>219</v>
      </c>
      <c r="I38" s="7"/>
      <c r="J38" s="46" t="n">
        <v>46444</v>
      </c>
      <c r="K38" s="46"/>
      <c r="L38" s="46"/>
      <c r="M38" s="41"/>
      <c r="N38" s="41"/>
      <c r="O38" s="21" t="str">
        <f aca="false">IF(D38="","",IF(L38="",IF(J38="","Falta o prazo",IF(J38&lt;$C$5,"Atrasada","Planejada")),IF(M38="","Falta a avaliação de aprendizado",IF(M38="Não","Não eficaz: refazer",IF(N38="",IF(L38+60&lt;=$C$5,"Avaliar a eficácia","Em acompanhamento"),IF(N38="Eficaz","Eficaz",IF(N38="Parcial","Parcial: reforçar","Não eficaz: refazer")))))))</f>
        <v>Planejada</v>
      </c>
    </row>
    <row r="39" customFormat="false" ht="30.75" hidden="false" customHeight="true" outlineLevel="0" collapsed="false">
      <c r="B39" s="40" t="s">
        <v>218</v>
      </c>
      <c r="C39" s="41" t="s">
        <v>79</v>
      </c>
      <c r="D39" s="7" t="s">
        <v>228</v>
      </c>
      <c r="E39" s="7"/>
      <c r="F39" s="7"/>
      <c r="G39" s="7"/>
      <c r="H39" s="7" t="s">
        <v>216</v>
      </c>
      <c r="I39" s="7"/>
      <c r="J39" s="46" t="n">
        <v>46472</v>
      </c>
      <c r="K39" s="46"/>
      <c r="L39" s="46"/>
      <c r="M39" s="41"/>
      <c r="N39" s="41"/>
      <c r="O39" s="21" t="str">
        <f aca="false">IF(D39="","",IF(L39="",IF(J39="","Falta o prazo",IF(J39&lt;$C$5,"Atrasada","Planejada")),IF(M39="","Falta a avaliação de aprendizado",IF(M39="Não","Não eficaz: refazer",IF(N39="",IF(L39+60&lt;=$C$5,"Avaliar a eficácia","Em acompanhamento"),IF(N39="Eficaz","Eficaz",IF(N39="Parcial","Parcial: reforçar","Não eficaz: refazer")))))))</f>
        <v>Planejada</v>
      </c>
    </row>
    <row r="40" customFormat="false" ht="30.75" hidden="false" customHeight="true" outlineLevel="0" collapsed="false">
      <c r="B40" s="40" t="s">
        <v>221</v>
      </c>
      <c r="C40" s="41" t="s">
        <v>77</v>
      </c>
      <c r="D40" s="7" t="s">
        <v>229</v>
      </c>
      <c r="E40" s="7"/>
      <c r="F40" s="7"/>
      <c r="G40" s="7"/>
      <c r="H40" s="7" t="s">
        <v>219</v>
      </c>
      <c r="I40" s="7"/>
      <c r="J40" s="46" t="n">
        <v>46325</v>
      </c>
      <c r="K40" s="46"/>
      <c r="L40" s="46" t="n">
        <v>46323</v>
      </c>
      <c r="M40" s="41" t="s">
        <v>139</v>
      </c>
      <c r="N40" s="41" t="s">
        <v>230</v>
      </c>
      <c r="O40" s="21" t="str">
        <f aca="false">IF(D40="","",IF(L40="",IF(J40="","Falta o prazo",IF(J40&lt;$C$5,"Atrasada","Planejada")),IF(M40="","Falta a avaliação de aprendizado",IF(M40="Não","Não eficaz: refazer",IF(N40="",IF(L40+60&lt;=$C$5,"Avaliar a eficácia","Em acompanhamento"),IF(N40="Eficaz","Eficaz",IF(N40="Parcial","Parcial: reforçar","Não eficaz: refazer")))))))</f>
        <v>Parcial: reforçar</v>
      </c>
    </row>
    <row r="41" customFormat="false" ht="30.75" hidden="false" customHeight="true" outlineLevel="0" collapsed="false">
      <c r="B41" s="40" t="s">
        <v>221</v>
      </c>
      <c r="C41" s="41" t="s">
        <v>75</v>
      </c>
      <c r="D41" s="7" t="s">
        <v>231</v>
      </c>
      <c r="E41" s="7"/>
      <c r="F41" s="7"/>
      <c r="G41" s="7"/>
      <c r="H41" s="7" t="s">
        <v>216</v>
      </c>
      <c r="I41" s="7"/>
      <c r="J41" s="46" t="n">
        <v>46416</v>
      </c>
      <c r="K41" s="46"/>
      <c r="L41" s="46"/>
      <c r="M41" s="41"/>
      <c r="N41" s="41"/>
      <c r="O41" s="21" t="str">
        <f aca="false">IF(D41="","",IF(L41="",IF(J41="","Falta o prazo",IF(J41&lt;$C$5,"Atrasada","Planejada")),IF(M41="","Falta a avaliação de aprendizado",IF(M41="Não","Não eficaz: refazer",IF(N41="",IF(L41+60&lt;=$C$5,"Avaliar a eficácia","Em acompanhamento"),IF(N41="Eficaz","Eficaz",IF(N41="Parcial","Parcial: reforçar","Não eficaz: refazer")))))))</f>
        <v>Atrasada</v>
      </c>
    </row>
    <row r="43" customFormat="false" ht="21.75" hidden="false" customHeight="true" outlineLevel="0" collapsed="false">
      <c r="B43" s="18" t="s">
        <v>89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customFormat="false" ht="21.75" hidden="false" customHeight="true" outlineLevel="0" collapsed="false">
      <c r="B44" s="19" t="s">
        <v>111</v>
      </c>
      <c r="C44" s="19"/>
      <c r="D44" s="19"/>
      <c r="E44" s="19"/>
      <c r="F44" s="29" t="n">
        <f aca="false">COUNTA(B21:B28)</f>
        <v>8</v>
      </c>
    </row>
    <row r="45" customFormat="false" ht="21.75" hidden="false" customHeight="true" outlineLevel="0" collapsed="false">
      <c r="B45" s="19" t="s">
        <v>97</v>
      </c>
      <c r="C45" s="19"/>
      <c r="D45" s="19"/>
      <c r="E45" s="19"/>
      <c r="F45" s="29" t="n">
        <f aca="false">SUM(L21:L28)</f>
        <v>6</v>
      </c>
    </row>
    <row r="46" customFormat="false" ht="21.75" hidden="false" customHeight="true" outlineLevel="0" collapsed="false">
      <c r="B46" s="19" t="s">
        <v>232</v>
      </c>
      <c r="C46" s="19"/>
      <c r="D46" s="19"/>
      <c r="E46" s="19"/>
      <c r="F46" s="29" t="n">
        <f aca="false">COUNTIF(D29:K29,"&lt;2")</f>
        <v>0</v>
      </c>
    </row>
    <row r="47" customFormat="false" ht="21.75" hidden="false" customHeight="true" outlineLevel="0" collapsed="false">
      <c r="B47" s="19" t="s">
        <v>233</v>
      </c>
      <c r="C47" s="19"/>
      <c r="D47" s="19"/>
      <c r="E47" s="19"/>
      <c r="F47" s="29" t="n">
        <f aca="false">COUNTIF(D30:K30,0)</f>
        <v>1</v>
      </c>
    </row>
    <row r="48" customFormat="false" ht="21.75" hidden="false" customHeight="true" outlineLevel="0" collapsed="false">
      <c r="B48" s="19" t="s">
        <v>234</v>
      </c>
      <c r="C48" s="19"/>
      <c r="D48" s="19"/>
      <c r="E48" s="19"/>
      <c r="F48" s="29" t="n">
        <f aca="false">COUNTA(B35:B41)</f>
        <v>7</v>
      </c>
    </row>
    <row r="49" customFormat="false" ht="21.75" hidden="false" customHeight="true" outlineLevel="0" collapsed="false">
      <c r="B49" s="19" t="s">
        <v>235</v>
      </c>
      <c r="C49" s="19"/>
      <c r="D49" s="19"/>
      <c r="E49" s="19"/>
      <c r="F49" s="29" t="n">
        <f aca="false">COUNTIF(O35:O41,"Eficaz")</f>
        <v>1</v>
      </c>
    </row>
    <row r="50" customFormat="false" ht="21.75" hidden="false" customHeight="true" outlineLevel="0" collapsed="false">
      <c r="B50" s="19" t="s">
        <v>236</v>
      </c>
      <c r="C50" s="19"/>
      <c r="D50" s="19"/>
      <c r="E50" s="19"/>
      <c r="F50" s="29" t="n">
        <f aca="false">COUNTIF(O35:O41,"Atrasada")+COUNTIF(O35:O41,"Não eficaz: refazer")</f>
        <v>1</v>
      </c>
    </row>
  </sheetData>
  <mergeCells count="59">
    <mergeCell ref="B1:O1"/>
    <mergeCell ref="B2:O2"/>
    <mergeCell ref="C4:O4"/>
    <mergeCell ref="C5:O5"/>
    <mergeCell ref="C6:O6"/>
    <mergeCell ref="C7:O7"/>
    <mergeCell ref="C8:O8"/>
    <mergeCell ref="B10:O10"/>
    <mergeCell ref="B13:C13"/>
    <mergeCell ref="B14:C14"/>
    <mergeCell ref="B15:C15"/>
    <mergeCell ref="B16:C16"/>
    <mergeCell ref="B17:C17"/>
    <mergeCell ref="B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B29:C29"/>
    <mergeCell ref="B30:C30"/>
    <mergeCell ref="B31:O31"/>
    <mergeCell ref="B33:O33"/>
    <mergeCell ref="D34:G34"/>
    <mergeCell ref="H34:I34"/>
    <mergeCell ref="J34:K34"/>
    <mergeCell ref="D35:G35"/>
    <mergeCell ref="H35:I35"/>
    <mergeCell ref="J35:K35"/>
    <mergeCell ref="D36:G36"/>
    <mergeCell ref="H36:I36"/>
    <mergeCell ref="J36:K36"/>
    <mergeCell ref="D37:G37"/>
    <mergeCell ref="H37:I37"/>
    <mergeCell ref="J37:K37"/>
    <mergeCell ref="D38:G38"/>
    <mergeCell ref="H38:I38"/>
    <mergeCell ref="J38:K38"/>
    <mergeCell ref="D39:G39"/>
    <mergeCell ref="H39:I39"/>
    <mergeCell ref="J39:K39"/>
    <mergeCell ref="D40:G40"/>
    <mergeCell ref="H40:I40"/>
    <mergeCell ref="J40:K40"/>
    <mergeCell ref="D41:G41"/>
    <mergeCell ref="H41:I41"/>
    <mergeCell ref="J41:K41"/>
    <mergeCell ref="B43:O43"/>
    <mergeCell ref="B44:E44"/>
    <mergeCell ref="B45:E45"/>
    <mergeCell ref="B46:E46"/>
    <mergeCell ref="B47:E47"/>
    <mergeCell ref="B48:E48"/>
    <mergeCell ref="B49:E49"/>
    <mergeCell ref="B50:E50"/>
  </mergeCells>
  <conditionalFormatting sqref="D13:K17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conditionalFormatting sqref="D21:K28">
    <cfRule type="cellIs" priority="6" operator="equal" aboveAverage="0" equalAverage="0" bottom="0" percent="0" rank="0" text="" dxfId="0">
      <formula>3</formula>
    </cfRule>
    <cfRule type="cellIs" priority="7" operator="equal" aboveAverage="0" equalAverage="0" bottom="0" percent="0" rank="0" text="" dxfId="1">
      <formula>2</formula>
    </cfRule>
    <cfRule type="cellIs" priority="8" operator="equal" aboveAverage="0" equalAverage="0" bottom="0" percent="0" rank="0" text="" dxfId="2">
      <formula>1</formula>
    </cfRule>
    <cfRule type="cellIs" priority="9" operator="equal" aboveAverage="0" equalAverage="0" bottom="0" percent="0" rank="0" text="" dxfId="3">
      <formula>0</formula>
    </cfRule>
  </conditionalFormatting>
  <conditionalFormatting sqref="N21:N28">
    <cfRule type="expression" priority="10" aboveAverage="0" equalAverage="0" bottom="0" percent="0" rank="0" text="" dxfId="4">
      <formula>N21="Sem lacunas"</formula>
    </cfRule>
    <cfRule type="expression" priority="11" aboveAverage="0" equalAverage="0" bottom="0" percent="0" rank="0" text="" dxfId="5">
      <formula>N21="Com lacunas"</formula>
    </cfRule>
  </conditionalFormatting>
  <conditionalFormatting sqref="O35:O41">
    <cfRule type="expression" priority="12" aboveAverage="0" equalAverage="0" bottom="0" percent="0" rank="0" text="" dxfId="4">
      <formula>O35="Eficaz"</formula>
    </cfRule>
    <cfRule type="expression" priority="13" aboveAverage="0" equalAverage="0" bottom="0" percent="0" rank="0" text="" dxfId="0">
      <formula>O35="Em acompanhamento"</formula>
    </cfRule>
    <cfRule type="expression" priority="14" aboveAverage="0" equalAverage="0" bottom="0" percent="0" rank="0" text="" dxfId="8">
      <formula>O35="Planejada"</formula>
    </cfRule>
    <cfRule type="expression" priority="15" aboveAverage="0" equalAverage="0" bottom="0" percent="0" rank="0" text="" dxfId="5">
      <formula>O35="Parcial: reforçar"</formula>
    </cfRule>
    <cfRule type="expression" priority="16" aboveAverage="0" equalAverage="0" bottom="0" percent="0" rank="0" text="" dxfId="5">
      <formula>O35="Avaliar a eficácia"</formula>
    </cfRule>
    <cfRule type="expression" priority="17" aboveAverage="0" equalAverage="0" bottom="0" percent="0" rank="0" text="" dxfId="5">
      <formula>O35="Falta a avaliação de aprendizado"</formula>
    </cfRule>
    <cfRule type="expression" priority="18" aboveAverage="0" equalAverage="0" bottom="0" percent="0" rank="0" text="" dxfId="7">
      <formula>O35="Atrasada"</formula>
    </cfRule>
    <cfRule type="expression" priority="19" aboveAverage="0" equalAverage="0" bottom="0" percent="0" rank="0" text="" dxfId="7">
      <formula>O35="Não eficaz: refazer"</formula>
    </cfRule>
    <cfRule type="expression" priority="20" aboveAverage="0" equalAverage="0" bottom="0" percent="0" rank="0" text="" dxfId="5">
      <formula>LEN(O35)&gt;0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11" min="4" style="0" width="9.5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69</v>
      </c>
      <c r="C4" s="37" t="s">
        <v>237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customFormat="false" ht="19.5" hidden="false" customHeight="true" outlineLevel="0" collapsed="false">
      <c r="B5" s="4" t="s">
        <v>61</v>
      </c>
      <c r="C5" s="38" t="n">
        <v>46458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customFormat="false" ht="19.5" hidden="false" customHeight="true" outlineLevel="0" collapsed="false">
      <c r="B6" s="4" t="s">
        <v>154</v>
      </c>
      <c r="C6" s="37" t="s">
        <v>238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customFormat="false" ht="19.5" hidden="false" customHeight="true" outlineLevel="0" collapsed="false">
      <c r="B7" s="4" t="s">
        <v>195</v>
      </c>
      <c r="C7" s="37" t="s">
        <v>239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customFormat="false" ht="19.5" hidden="false" customHeight="true" outlineLevel="0" collapsed="false">
      <c r="B8" s="4" t="s">
        <v>197</v>
      </c>
      <c r="C8" s="37" t="s">
        <v>240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10" customFormat="false" ht="21.75" hidden="false" customHeight="true" outlineLevel="0" collapsed="false">
      <c r="B10" s="39" t="s">
        <v>199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customFormat="false" ht="21.75" hidden="false" customHeight="true" outlineLevel="0" collapsed="false">
      <c r="B11" s="29" t="s">
        <v>86</v>
      </c>
      <c r="C11" s="29" t="s">
        <v>200</v>
      </c>
      <c r="D11" s="29" t="s">
        <v>241</v>
      </c>
      <c r="E11" s="29" t="s">
        <v>242</v>
      </c>
      <c r="F11" s="29" t="s">
        <v>243</v>
      </c>
      <c r="G11" s="29" t="s">
        <v>244</v>
      </c>
      <c r="H11" s="29" t="s">
        <v>245</v>
      </c>
      <c r="I11" s="29" t="s">
        <v>246</v>
      </c>
      <c r="J11" s="29" t="s">
        <v>247</v>
      </c>
      <c r="K11" s="29" t="s">
        <v>248</v>
      </c>
    </row>
    <row r="12" customFormat="false" ht="48" hidden="false" customHeight="true" outlineLevel="0" collapsed="false">
      <c r="B12" s="6"/>
      <c r="C12" s="24" t="s">
        <v>201</v>
      </c>
      <c r="D12" s="25" t="s">
        <v>249</v>
      </c>
      <c r="E12" s="25" t="s">
        <v>250</v>
      </c>
      <c r="F12" s="25" t="s">
        <v>251</v>
      </c>
      <c r="G12" s="25" t="s">
        <v>252</v>
      </c>
      <c r="H12" s="25" t="s">
        <v>253</v>
      </c>
      <c r="I12" s="25" t="s">
        <v>254</v>
      </c>
      <c r="J12" s="25" t="s">
        <v>255</v>
      </c>
      <c r="K12" s="25" t="s">
        <v>256</v>
      </c>
    </row>
    <row r="13" customFormat="false" ht="19.5" hidden="false" customHeight="true" outlineLevel="0" collapsed="false">
      <c r="B13" s="40" t="s">
        <v>257</v>
      </c>
      <c r="C13" s="40"/>
      <c r="D13" s="41" t="n">
        <v>3</v>
      </c>
      <c r="E13" s="41" t="n">
        <v>2</v>
      </c>
      <c r="F13" s="41" t="n">
        <v>3</v>
      </c>
      <c r="G13" s="41" t="n">
        <v>3</v>
      </c>
      <c r="H13" s="41" t="n">
        <v>2</v>
      </c>
      <c r="I13" s="41" t="n">
        <v>1</v>
      </c>
      <c r="J13" s="41" t="n">
        <v>2</v>
      </c>
      <c r="K13" s="41" t="n">
        <v>1</v>
      </c>
    </row>
    <row r="14" customFormat="false" ht="19.5" hidden="false" customHeight="true" outlineLevel="0" collapsed="false">
      <c r="B14" s="40" t="s">
        <v>258</v>
      </c>
      <c r="C14" s="40"/>
      <c r="D14" s="41" t="n">
        <v>3</v>
      </c>
      <c r="E14" s="41" t="n">
        <v>2</v>
      </c>
      <c r="F14" s="41" t="n">
        <v>2</v>
      </c>
      <c r="G14" s="41" t="n">
        <v>2</v>
      </c>
      <c r="H14" s="41" t="n">
        <v>3</v>
      </c>
      <c r="I14" s="41" t="n">
        <v>1</v>
      </c>
      <c r="J14" s="41" t="n">
        <v>1</v>
      </c>
      <c r="K14" s="41" t="n">
        <v>0</v>
      </c>
    </row>
    <row r="15" customFormat="false" ht="19.5" hidden="false" customHeight="true" outlineLevel="0" collapsed="false">
      <c r="B15" s="40" t="s">
        <v>259</v>
      </c>
      <c r="C15" s="40"/>
      <c r="D15" s="41" t="n">
        <v>1</v>
      </c>
      <c r="E15" s="41" t="n">
        <v>2</v>
      </c>
      <c r="F15" s="41" t="n">
        <v>0</v>
      </c>
      <c r="G15" s="41" t="n">
        <v>0</v>
      </c>
      <c r="H15" s="41" t="n">
        <v>2</v>
      </c>
      <c r="I15" s="41" t="n">
        <v>3</v>
      </c>
      <c r="J15" s="41" t="n">
        <v>1</v>
      </c>
      <c r="K15" s="41" t="n">
        <v>0</v>
      </c>
    </row>
    <row r="17" customFormat="false" ht="21.75" hidden="false" customHeight="true" outlineLevel="0" collapsed="false">
      <c r="B17" s="42" t="s">
        <v>260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</row>
    <row r="18" customFormat="false" ht="21.75" hidden="false" customHeight="true" outlineLevel="0" collapsed="false">
      <c r="B18" s="29" t="s">
        <v>95</v>
      </c>
      <c r="C18" s="29" t="s">
        <v>86</v>
      </c>
      <c r="D18" s="29" t="s">
        <v>241</v>
      </c>
      <c r="E18" s="29" t="s">
        <v>242</v>
      </c>
      <c r="F18" s="29" t="s">
        <v>243</v>
      </c>
      <c r="G18" s="29" t="s">
        <v>244</v>
      </c>
      <c r="H18" s="29" t="s">
        <v>245</v>
      </c>
      <c r="I18" s="29" t="s">
        <v>246</v>
      </c>
      <c r="J18" s="29" t="s">
        <v>247</v>
      </c>
      <c r="K18" s="29" t="s">
        <v>248</v>
      </c>
      <c r="L18" s="29" t="s">
        <v>97</v>
      </c>
      <c r="M18" s="29" t="s">
        <v>98</v>
      </c>
      <c r="N18" s="20" t="s">
        <v>124</v>
      </c>
      <c r="O18" s="20"/>
    </row>
    <row r="19" customFormat="false" ht="19.5" hidden="false" customHeight="true" outlineLevel="0" collapsed="false">
      <c r="B19" s="40" t="s">
        <v>261</v>
      </c>
      <c r="C19" s="7" t="s">
        <v>257</v>
      </c>
      <c r="D19" s="41" t="n">
        <v>3</v>
      </c>
      <c r="E19" s="41" t="n">
        <v>2</v>
      </c>
      <c r="F19" s="41" t="n">
        <v>3</v>
      </c>
      <c r="G19" s="41" t="n">
        <v>3</v>
      </c>
      <c r="H19" s="41" t="n">
        <v>2</v>
      </c>
      <c r="I19" s="41" t="n">
        <v>1</v>
      </c>
      <c r="J19" s="41" t="n">
        <v>2</v>
      </c>
      <c r="K19" s="43" t="n">
        <v>0</v>
      </c>
      <c r="L19" s="17" t="n">
        <f aca="false">SUMPRODUCT((D13:K13&gt;D19:K19)*1)</f>
        <v>1</v>
      </c>
      <c r="M19" s="26" t="n">
        <f aca="false">1-L19/COUNTIF(D13:K13,"&gt;0")</f>
        <v>0.875</v>
      </c>
      <c r="N19" s="21" t="str">
        <f aca="false">IF(L19=0,"Sem lacunas","Com lacunas")</f>
        <v>Com lacunas</v>
      </c>
      <c r="O19" s="21"/>
    </row>
    <row r="20" customFormat="false" ht="19.5" hidden="false" customHeight="true" outlineLevel="0" collapsed="false">
      <c r="B20" s="40" t="s">
        <v>262</v>
      </c>
      <c r="C20" s="7" t="s">
        <v>258</v>
      </c>
      <c r="D20" s="41" t="n">
        <v>3</v>
      </c>
      <c r="E20" s="41" t="n">
        <v>3</v>
      </c>
      <c r="F20" s="41" t="n">
        <v>3</v>
      </c>
      <c r="G20" s="41" t="n">
        <v>3</v>
      </c>
      <c r="H20" s="41" t="n">
        <v>3</v>
      </c>
      <c r="I20" s="41" t="n">
        <v>1</v>
      </c>
      <c r="J20" s="41" t="n">
        <v>2</v>
      </c>
      <c r="K20" s="41" t="n">
        <v>1</v>
      </c>
      <c r="L20" s="17" t="n">
        <f aca="false">SUMPRODUCT((D14:K14&gt;D20:K20)*1)</f>
        <v>0</v>
      </c>
      <c r="M20" s="26" t="n">
        <f aca="false">1-L20/COUNTIF(D14:K14,"&gt;0")</f>
        <v>1</v>
      </c>
      <c r="N20" s="21" t="str">
        <f aca="false">IF(L20=0,"Sem lacunas","Com lacunas")</f>
        <v>Sem lacunas</v>
      </c>
      <c r="O20" s="21"/>
    </row>
    <row r="21" customFormat="false" ht="19.5" hidden="false" customHeight="true" outlineLevel="0" collapsed="false">
      <c r="B21" s="40" t="s">
        <v>263</v>
      </c>
      <c r="C21" s="7" t="s">
        <v>258</v>
      </c>
      <c r="D21" s="43" t="n">
        <v>2</v>
      </c>
      <c r="E21" s="41" t="n">
        <v>2</v>
      </c>
      <c r="F21" s="41" t="n">
        <v>2</v>
      </c>
      <c r="G21" s="43" t="n">
        <v>1</v>
      </c>
      <c r="H21" s="41" t="n">
        <v>3</v>
      </c>
      <c r="I21" s="41" t="n">
        <v>1</v>
      </c>
      <c r="J21" s="41" t="n">
        <v>1</v>
      </c>
      <c r="K21" s="41" t="n">
        <v>0</v>
      </c>
      <c r="L21" s="17" t="n">
        <f aca="false">SUMPRODUCT((D14:K14&gt;D21:K21)*1)</f>
        <v>2</v>
      </c>
      <c r="M21" s="26" t="n">
        <f aca="false">1-L21/COUNTIF(D14:K14,"&gt;0")</f>
        <v>0.714285714285714</v>
      </c>
      <c r="N21" s="21" t="str">
        <f aca="false">IF(L21=0,"Sem lacunas","Com lacunas")</f>
        <v>Com lacunas</v>
      </c>
      <c r="O21" s="21"/>
    </row>
    <row r="22" customFormat="false" ht="19.5" hidden="false" customHeight="true" outlineLevel="0" collapsed="false">
      <c r="B22" s="40" t="s">
        <v>264</v>
      </c>
      <c r="C22" s="7" t="s">
        <v>258</v>
      </c>
      <c r="D22" s="41" t="n">
        <v>3</v>
      </c>
      <c r="E22" s="41" t="n">
        <v>2</v>
      </c>
      <c r="F22" s="41" t="n">
        <v>2</v>
      </c>
      <c r="G22" s="41" t="n">
        <v>2</v>
      </c>
      <c r="H22" s="41" t="n">
        <v>3</v>
      </c>
      <c r="I22" s="41" t="n">
        <v>1</v>
      </c>
      <c r="J22" s="43" t="n">
        <v>0</v>
      </c>
      <c r="K22" s="41" t="n">
        <v>0</v>
      </c>
      <c r="L22" s="17" t="n">
        <f aca="false">SUMPRODUCT((D14:K14&gt;D22:K22)*1)</f>
        <v>1</v>
      </c>
      <c r="M22" s="26" t="n">
        <f aca="false">1-L22/COUNTIF(D14:K14,"&gt;0")</f>
        <v>0.857142857142857</v>
      </c>
      <c r="N22" s="21" t="str">
        <f aca="false">IF(L22=0,"Sem lacunas","Com lacunas")</f>
        <v>Com lacunas</v>
      </c>
      <c r="O22" s="21"/>
    </row>
    <row r="23" customFormat="false" ht="19.5" hidden="false" customHeight="true" outlineLevel="0" collapsed="false">
      <c r="B23" s="40" t="s">
        <v>265</v>
      </c>
      <c r="C23" s="7" t="s">
        <v>258</v>
      </c>
      <c r="D23" s="43" t="n">
        <v>1</v>
      </c>
      <c r="E23" s="43" t="n">
        <v>1</v>
      </c>
      <c r="F23" s="43" t="n">
        <v>1</v>
      </c>
      <c r="G23" s="43" t="n">
        <v>0</v>
      </c>
      <c r="H23" s="43" t="n">
        <v>2</v>
      </c>
      <c r="I23" s="43" t="n">
        <v>0</v>
      </c>
      <c r="J23" s="43" t="n">
        <v>0</v>
      </c>
      <c r="K23" s="41" t="n">
        <v>0</v>
      </c>
      <c r="L23" s="17" t="n">
        <f aca="false">SUMPRODUCT((D14:K14&gt;D23:K23)*1)</f>
        <v>7</v>
      </c>
      <c r="M23" s="26" t="n">
        <f aca="false">1-L23/COUNTIF(D14:K14,"&gt;0")</f>
        <v>0</v>
      </c>
      <c r="N23" s="21" t="str">
        <f aca="false">IF(L23=0,"Sem lacunas","Com lacunas")</f>
        <v>Com lacunas</v>
      </c>
      <c r="O23" s="21"/>
    </row>
    <row r="24" customFormat="false" ht="19.5" hidden="false" customHeight="true" outlineLevel="0" collapsed="false">
      <c r="B24" s="40" t="s">
        <v>266</v>
      </c>
      <c r="C24" s="7" t="s">
        <v>259</v>
      </c>
      <c r="D24" s="41" t="n">
        <v>1</v>
      </c>
      <c r="E24" s="41" t="n">
        <v>2</v>
      </c>
      <c r="F24" s="41" t="n">
        <v>0</v>
      </c>
      <c r="G24" s="41" t="n">
        <v>0</v>
      </c>
      <c r="H24" s="41" t="n">
        <v>2</v>
      </c>
      <c r="I24" s="41" t="n">
        <v>3</v>
      </c>
      <c r="J24" s="41" t="n">
        <v>1</v>
      </c>
      <c r="K24" s="41" t="n">
        <v>0</v>
      </c>
      <c r="L24" s="17" t="n">
        <f aca="false">SUMPRODUCT((D15:K15&gt;D24:K24)*1)</f>
        <v>0</v>
      </c>
      <c r="M24" s="26" t="n">
        <f aca="false">1-L24/COUNTIF(D15:K15,"&gt;0")</f>
        <v>1</v>
      </c>
      <c r="N24" s="21" t="str">
        <f aca="false">IF(L24=0,"Sem lacunas","Com lacunas")</f>
        <v>Sem lacunas</v>
      </c>
      <c r="O24" s="21"/>
    </row>
    <row r="25" customFormat="false" ht="21.75" hidden="false" customHeight="true" outlineLevel="0" collapsed="false">
      <c r="B25" s="19" t="s">
        <v>108</v>
      </c>
      <c r="C25" s="19"/>
      <c r="D25" s="29" t="n">
        <f aca="false">COUNTIF(D19:D24,"&gt;=2")</f>
        <v>4</v>
      </c>
      <c r="E25" s="29" t="n">
        <f aca="false">COUNTIF(E19:E24,"&gt;=2")</f>
        <v>5</v>
      </c>
      <c r="F25" s="29" t="n">
        <f aca="false">COUNTIF(F19:F24,"&gt;=2")</f>
        <v>4</v>
      </c>
      <c r="G25" s="29" t="n">
        <f aca="false">COUNTIF(G19:G24,"&gt;=2")</f>
        <v>3</v>
      </c>
      <c r="H25" s="29" t="n">
        <f aca="false">COUNTIF(H19:H24,"&gt;=2")</f>
        <v>6</v>
      </c>
      <c r="I25" s="29" t="n">
        <f aca="false">COUNTIF(I19:I24,"&gt;=2")</f>
        <v>1</v>
      </c>
      <c r="J25" s="29" t="n">
        <f aca="false">COUNTIF(J19:J24,"&gt;=2")</f>
        <v>2</v>
      </c>
      <c r="K25" s="29" t="n">
        <f aca="false">COUNTIF(K19:K24,"&gt;=2")</f>
        <v>0</v>
      </c>
      <c r="L25" s="6"/>
      <c r="M25" s="6"/>
      <c r="N25" s="6"/>
      <c r="O25" s="6"/>
    </row>
    <row r="26" customFormat="false" ht="21.75" hidden="false" customHeight="true" outlineLevel="0" collapsed="false">
      <c r="B26" s="19" t="s">
        <v>109</v>
      </c>
      <c r="C26" s="19"/>
      <c r="D26" s="29" t="n">
        <f aca="false">COUNTIF(D19:D24,3)</f>
        <v>3</v>
      </c>
      <c r="E26" s="29" t="n">
        <f aca="false">COUNTIF(E19:E24,3)</f>
        <v>1</v>
      </c>
      <c r="F26" s="29" t="n">
        <f aca="false">COUNTIF(F19:F24,3)</f>
        <v>2</v>
      </c>
      <c r="G26" s="29" t="n">
        <f aca="false">COUNTIF(G19:G24,3)</f>
        <v>2</v>
      </c>
      <c r="H26" s="29" t="n">
        <f aca="false">COUNTIF(H19:H24,3)</f>
        <v>3</v>
      </c>
      <c r="I26" s="29" t="n">
        <f aca="false">COUNTIF(I19:I24,3)</f>
        <v>1</v>
      </c>
      <c r="J26" s="29" t="n">
        <f aca="false">COUNTIF(J19:J24,3)</f>
        <v>0</v>
      </c>
      <c r="K26" s="29" t="n">
        <f aca="false">COUNTIF(K19:K24,3)</f>
        <v>0</v>
      </c>
      <c r="L26" s="6"/>
      <c r="M26" s="6"/>
      <c r="N26" s="6"/>
      <c r="O26" s="6"/>
    </row>
    <row r="27" customFormat="false" ht="15" hidden="false" customHeight="true" outlineLevel="0" collapsed="false">
      <c r="B27" s="44" t="s">
        <v>222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9" customFormat="false" ht="21.75" hidden="false" customHeight="true" outlineLevel="0" collapsed="false">
      <c r="B29" s="45" t="s">
        <v>115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customFormat="false" ht="24" hidden="false" customHeight="true" outlineLevel="0" collapsed="false">
      <c r="B30" s="29" t="s">
        <v>95</v>
      </c>
      <c r="C30" s="29" t="s">
        <v>223</v>
      </c>
      <c r="D30" s="20" t="s">
        <v>117</v>
      </c>
      <c r="E30" s="20"/>
      <c r="F30" s="20"/>
      <c r="G30" s="20"/>
      <c r="H30" s="20" t="s">
        <v>118</v>
      </c>
      <c r="I30" s="20"/>
      <c r="J30" s="20" t="s">
        <v>119</v>
      </c>
      <c r="K30" s="20"/>
      <c r="L30" s="29" t="s">
        <v>224</v>
      </c>
      <c r="M30" s="29" t="s">
        <v>121</v>
      </c>
      <c r="N30" s="29" t="s">
        <v>59</v>
      </c>
      <c r="O30" s="29" t="s">
        <v>124</v>
      </c>
    </row>
    <row r="31" customFormat="false" ht="30.75" hidden="false" customHeight="true" outlineLevel="0" collapsed="false">
      <c r="B31" s="40" t="s">
        <v>265</v>
      </c>
      <c r="C31" s="41" t="s">
        <v>241</v>
      </c>
      <c r="D31" s="7" t="s">
        <v>267</v>
      </c>
      <c r="E31" s="7"/>
      <c r="F31" s="7"/>
      <c r="G31" s="7"/>
      <c r="H31" s="7" t="s">
        <v>262</v>
      </c>
      <c r="I31" s="7"/>
      <c r="J31" s="46" t="n">
        <v>46409</v>
      </c>
      <c r="K31" s="46"/>
      <c r="L31" s="46" t="n">
        <v>46402</v>
      </c>
      <c r="M31" s="41" t="s">
        <v>139</v>
      </c>
      <c r="N31" s="41" t="s">
        <v>140</v>
      </c>
      <c r="O31" s="21" t="str">
        <f aca="false">IF(D31="","",IF(L31="",IF(J31="","Falta o prazo",IF(J31&lt;$C$5,"Atrasada","Planejada")),IF(M31="","Falta a avaliação de aprendizado",IF(M31="Não","Não eficaz: refazer",IF(N31="",IF(L31+60&lt;=$C$5,"Avaliar a eficácia","Em acompanhamento"),IF(N31="Eficaz","Eficaz",IF(N31="Parcial","Parcial: reforçar","Não eficaz: refazer")))))))</f>
        <v>Eficaz</v>
      </c>
    </row>
    <row r="32" customFormat="false" ht="30.75" hidden="false" customHeight="true" outlineLevel="0" collapsed="false">
      <c r="B32" s="40" t="s">
        <v>265</v>
      </c>
      <c r="C32" s="41" t="s">
        <v>245</v>
      </c>
      <c r="D32" s="7" t="s">
        <v>268</v>
      </c>
      <c r="E32" s="7"/>
      <c r="F32" s="7"/>
      <c r="G32" s="7"/>
      <c r="H32" s="7" t="s">
        <v>262</v>
      </c>
      <c r="I32" s="7"/>
      <c r="J32" s="46" t="n">
        <v>46430</v>
      </c>
      <c r="K32" s="46"/>
      <c r="L32" s="46" t="n">
        <v>46423</v>
      </c>
      <c r="M32" s="41" t="s">
        <v>139</v>
      </c>
      <c r="N32" s="41"/>
      <c r="O32" s="21" t="str">
        <f aca="false">IF(D32="","",IF(L32="",IF(J32="","Falta o prazo",IF(J32&lt;$C$5,"Atrasada","Planejada")),IF(M32="","Falta a avaliação de aprendizado",IF(M32="Não","Não eficaz: refazer",IF(N32="",IF(L32+60&lt;=$C$5,"Avaliar a eficácia","Em acompanhamento"),IF(N32="Eficaz","Eficaz",IF(N32="Parcial","Parcial: reforçar","Não eficaz: refazer")))))))</f>
        <v>Em acompanhamento</v>
      </c>
    </row>
    <row r="33" customFormat="false" ht="30.75" hidden="false" customHeight="true" outlineLevel="0" collapsed="false">
      <c r="B33" s="40" t="s">
        <v>265</v>
      </c>
      <c r="C33" s="41" t="s">
        <v>242</v>
      </c>
      <c r="D33" s="7" t="s">
        <v>269</v>
      </c>
      <c r="E33" s="7"/>
      <c r="F33" s="7"/>
      <c r="G33" s="7"/>
      <c r="H33" s="7" t="s">
        <v>270</v>
      </c>
      <c r="I33" s="7"/>
      <c r="J33" s="46" t="n">
        <v>46477</v>
      </c>
      <c r="K33" s="46"/>
      <c r="L33" s="46"/>
      <c r="M33" s="41"/>
      <c r="N33" s="41"/>
      <c r="O33" s="21" t="str">
        <f aca="false">IF(D33="","",IF(L33="",IF(J33="","Falta o prazo",IF(J33&lt;$C$5,"Atrasada","Planejada")),IF(M33="","Falta a avaliação de aprendizado",IF(M33="Não","Não eficaz: refazer",IF(N33="",IF(L33+60&lt;=$C$5,"Avaliar a eficácia","Em acompanhamento"),IF(N33="Eficaz","Eficaz",IF(N33="Parcial","Parcial: reforçar","Não eficaz: refazer")))))))</f>
        <v>Planejada</v>
      </c>
    </row>
    <row r="34" customFormat="false" ht="30.75" hidden="false" customHeight="true" outlineLevel="0" collapsed="false">
      <c r="B34" s="40" t="s">
        <v>265</v>
      </c>
      <c r="C34" s="41" t="s">
        <v>243</v>
      </c>
      <c r="D34" s="7" t="s">
        <v>271</v>
      </c>
      <c r="E34" s="7"/>
      <c r="F34" s="7"/>
      <c r="G34" s="7"/>
      <c r="H34" s="7" t="s">
        <v>262</v>
      </c>
      <c r="I34" s="7"/>
      <c r="J34" s="46" t="n">
        <v>46507</v>
      </c>
      <c r="K34" s="46"/>
      <c r="L34" s="46"/>
      <c r="M34" s="41"/>
      <c r="N34" s="41"/>
      <c r="O34" s="21" t="str">
        <f aca="false">IF(D34="","",IF(L34="",IF(J34="","Falta o prazo",IF(J34&lt;$C$5,"Atrasada","Planejada")),IF(M34="","Falta a avaliação de aprendizado",IF(M34="Não","Não eficaz: refazer",IF(N34="",IF(L34+60&lt;=$C$5,"Avaliar a eficácia","Em acompanhamento"),IF(N34="Eficaz","Eficaz",IF(N34="Parcial","Parcial: reforçar","Não eficaz: refazer")))))))</f>
        <v>Planejada</v>
      </c>
    </row>
    <row r="35" customFormat="false" ht="30.75" hidden="false" customHeight="true" outlineLevel="0" collapsed="false">
      <c r="B35" s="40" t="s">
        <v>265</v>
      </c>
      <c r="C35" s="41" t="s">
        <v>244</v>
      </c>
      <c r="D35" s="7" t="s">
        <v>272</v>
      </c>
      <c r="E35" s="7"/>
      <c r="F35" s="7"/>
      <c r="G35" s="7"/>
      <c r="H35" s="7" t="s">
        <v>262</v>
      </c>
      <c r="I35" s="7"/>
      <c r="J35" s="46" t="n">
        <v>46535</v>
      </c>
      <c r="K35" s="46"/>
      <c r="L35" s="46"/>
      <c r="M35" s="41"/>
      <c r="N35" s="41"/>
      <c r="O35" s="21" t="str">
        <f aca="false">IF(D35="","",IF(L35="",IF(J35="","Falta o prazo",IF(J35&lt;$C$5,"Atrasada","Planejada")),IF(M35="","Falta a avaliação de aprendizado",IF(M35="Não","Não eficaz: refazer",IF(N35="",IF(L35+60&lt;=$C$5,"Avaliar a eficácia","Em acompanhamento"),IF(N35="Eficaz","Eficaz",IF(N35="Parcial","Parcial: reforçar","Não eficaz: refazer")))))))</f>
        <v>Planejada</v>
      </c>
    </row>
    <row r="36" customFormat="false" ht="30.75" hidden="false" customHeight="true" outlineLevel="0" collapsed="false">
      <c r="B36" s="40" t="s">
        <v>263</v>
      </c>
      <c r="C36" s="41" t="s">
        <v>241</v>
      </c>
      <c r="D36" s="7" t="s">
        <v>273</v>
      </c>
      <c r="E36" s="7"/>
      <c r="F36" s="7"/>
      <c r="G36" s="7"/>
      <c r="H36" s="7" t="s">
        <v>261</v>
      </c>
      <c r="I36" s="7"/>
      <c r="J36" s="46" t="n">
        <v>46339</v>
      </c>
      <c r="K36" s="46"/>
      <c r="L36" s="46" t="n">
        <v>46336</v>
      </c>
      <c r="M36" s="41" t="s">
        <v>139</v>
      </c>
      <c r="N36" s="41" t="s">
        <v>274</v>
      </c>
      <c r="O36" s="21" t="str">
        <f aca="false">IF(D36="","",IF(L36="",IF(J36="","Falta o prazo",IF(J36&lt;$C$5,"Atrasada","Planejada")),IF(M36="","Falta a avaliação de aprendizado",IF(M36="Não","Não eficaz: refazer",IF(N36="",IF(L36+60&lt;=$C$5,"Avaliar a eficácia","Em acompanhamento"),IF(N36="Eficaz","Eficaz",IF(N36="Parcial","Parcial: reforçar","Não eficaz: refazer")))))))</f>
        <v>Não eficaz: refazer</v>
      </c>
    </row>
    <row r="37" customFormat="false" ht="42.75" hidden="false" customHeight="true" outlineLevel="0" collapsed="false">
      <c r="B37" s="40" t="s">
        <v>263</v>
      </c>
      <c r="C37" s="41" t="s">
        <v>244</v>
      </c>
      <c r="D37" s="7" t="s">
        <v>275</v>
      </c>
      <c r="E37" s="7"/>
      <c r="F37" s="7"/>
      <c r="G37" s="7"/>
      <c r="H37" s="7" t="s">
        <v>262</v>
      </c>
      <c r="I37" s="7"/>
      <c r="J37" s="46" t="n">
        <v>46568</v>
      </c>
      <c r="K37" s="46"/>
      <c r="L37" s="46"/>
      <c r="M37" s="41"/>
      <c r="N37" s="41"/>
      <c r="O37" s="21" t="str">
        <f aca="false">IF(D37="","",IF(L37="",IF(J37="","Falta o prazo",IF(J37&lt;$C$5,"Atrasada","Planejada")),IF(M37="","Falta a avaliação de aprendizado",IF(M37="Não","Não eficaz: refazer",IF(N37="",IF(L37+60&lt;=$C$5,"Avaliar a eficácia","Em acompanhamento"),IF(N37="Eficaz","Eficaz",IF(N37="Parcial","Parcial: reforçar","Não eficaz: refazer")))))))</f>
        <v>Planejada</v>
      </c>
    </row>
    <row r="38" customFormat="false" ht="30.75" hidden="false" customHeight="true" outlineLevel="0" collapsed="false">
      <c r="B38" s="40" t="s">
        <v>264</v>
      </c>
      <c r="C38" s="41" t="s">
        <v>247</v>
      </c>
      <c r="D38" s="7" t="s">
        <v>276</v>
      </c>
      <c r="E38" s="7"/>
      <c r="F38" s="7"/>
      <c r="G38" s="7"/>
      <c r="H38" s="7" t="s">
        <v>277</v>
      </c>
      <c r="I38" s="7"/>
      <c r="J38" s="46" t="n">
        <v>46444</v>
      </c>
      <c r="K38" s="46"/>
      <c r="L38" s="46" t="n">
        <v>46442</v>
      </c>
      <c r="M38" s="41" t="s">
        <v>139</v>
      </c>
      <c r="N38" s="41"/>
      <c r="O38" s="21" t="str">
        <f aca="false">IF(D38="","",IF(L38="",IF(J38="","Falta o prazo",IF(J38&lt;$C$5,"Atrasada","Planejada")),IF(M38="","Falta a avaliação de aprendizado",IF(M38="Não","Não eficaz: refazer",IF(N38="",IF(L38+60&lt;=$C$5,"Avaliar a eficácia","Em acompanhamento"),IF(N38="Eficaz","Eficaz",IF(N38="Parcial","Parcial: reforçar","Não eficaz: refazer")))))))</f>
        <v>Em acompanhamento</v>
      </c>
    </row>
    <row r="39" customFormat="false" ht="30.75" hidden="false" customHeight="true" outlineLevel="0" collapsed="false">
      <c r="B39" s="40" t="s">
        <v>261</v>
      </c>
      <c r="C39" s="41" t="s">
        <v>248</v>
      </c>
      <c r="D39" s="7" t="s">
        <v>278</v>
      </c>
      <c r="E39" s="7"/>
      <c r="F39" s="7"/>
      <c r="G39" s="7"/>
      <c r="H39" s="7" t="s">
        <v>277</v>
      </c>
      <c r="I39" s="7"/>
      <c r="J39" s="46" t="n">
        <v>46535</v>
      </c>
      <c r="K39" s="46"/>
      <c r="L39" s="46"/>
      <c r="M39" s="41"/>
      <c r="N39" s="41"/>
      <c r="O39" s="21" t="str">
        <f aca="false">IF(D39="","",IF(L39="",IF(J39="","Falta o prazo",IF(J39&lt;$C$5,"Atrasada","Planejada")),IF(M39="","Falta a avaliação de aprendizado",IF(M39="Não","Não eficaz: refazer",IF(N39="",IF(L39+60&lt;=$C$5,"Avaliar a eficácia","Em acompanhamento"),IF(N39="Eficaz","Eficaz",IF(N39="Parcial","Parcial: reforçar","Não eficaz: refazer")))))))</f>
        <v>Planejada</v>
      </c>
    </row>
    <row r="41" customFormat="false" ht="21.75" hidden="false" customHeight="true" outlineLevel="0" collapsed="false">
      <c r="B41" s="18" t="s">
        <v>89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customFormat="false" ht="21.75" hidden="false" customHeight="true" outlineLevel="0" collapsed="false">
      <c r="B42" s="19" t="s">
        <v>111</v>
      </c>
      <c r="C42" s="19"/>
      <c r="D42" s="19"/>
      <c r="E42" s="19"/>
      <c r="F42" s="29" t="n">
        <f aca="false">COUNTA(B19:B24)</f>
        <v>6</v>
      </c>
    </row>
    <row r="43" customFormat="false" ht="21.75" hidden="false" customHeight="true" outlineLevel="0" collapsed="false">
      <c r="B43" s="19" t="s">
        <v>97</v>
      </c>
      <c r="C43" s="19"/>
      <c r="D43" s="19"/>
      <c r="E43" s="19"/>
      <c r="F43" s="29" t="n">
        <f aca="false">SUM(L19:L24)</f>
        <v>11</v>
      </c>
    </row>
    <row r="44" customFormat="false" ht="21.75" hidden="false" customHeight="true" outlineLevel="0" collapsed="false">
      <c r="B44" s="19" t="s">
        <v>232</v>
      </c>
      <c r="C44" s="19"/>
      <c r="D44" s="19"/>
      <c r="E44" s="19"/>
      <c r="F44" s="29" t="n">
        <f aca="false">COUNTIF(D25:K25,"&lt;2")</f>
        <v>2</v>
      </c>
    </row>
    <row r="45" customFormat="false" ht="21.75" hidden="false" customHeight="true" outlineLevel="0" collapsed="false">
      <c r="B45" s="19" t="s">
        <v>233</v>
      </c>
      <c r="C45" s="19"/>
      <c r="D45" s="19"/>
      <c r="E45" s="19"/>
      <c r="F45" s="29" t="n">
        <f aca="false">COUNTIF(D26:K26,0)</f>
        <v>2</v>
      </c>
    </row>
    <row r="46" customFormat="false" ht="21.75" hidden="false" customHeight="true" outlineLevel="0" collapsed="false">
      <c r="B46" s="19" t="s">
        <v>234</v>
      </c>
      <c r="C46" s="19"/>
      <c r="D46" s="19"/>
      <c r="E46" s="19"/>
      <c r="F46" s="29" t="n">
        <f aca="false">COUNTA(B31:B39)</f>
        <v>9</v>
      </c>
    </row>
    <row r="47" customFormat="false" ht="21.75" hidden="false" customHeight="true" outlineLevel="0" collapsed="false">
      <c r="B47" s="19" t="s">
        <v>235</v>
      </c>
      <c r="C47" s="19"/>
      <c r="D47" s="19"/>
      <c r="E47" s="19"/>
      <c r="F47" s="29" t="n">
        <f aca="false">COUNTIF(O31:O39,"Eficaz")</f>
        <v>1</v>
      </c>
    </row>
    <row r="48" customFormat="false" ht="21.75" hidden="false" customHeight="true" outlineLevel="0" collapsed="false">
      <c r="B48" s="19" t="s">
        <v>236</v>
      </c>
      <c r="C48" s="19"/>
      <c r="D48" s="19"/>
      <c r="E48" s="19"/>
      <c r="F48" s="29" t="n">
        <f aca="false">COUNTIF(O31:O39,"Atrasada")+COUNTIF(O31:O39,"Não eficaz: refazer")</f>
        <v>1</v>
      </c>
    </row>
  </sheetData>
  <mergeCells count="61">
    <mergeCell ref="B1:O1"/>
    <mergeCell ref="B2:O2"/>
    <mergeCell ref="C4:O4"/>
    <mergeCell ref="C5:O5"/>
    <mergeCell ref="C6:O6"/>
    <mergeCell ref="C7:O7"/>
    <mergeCell ref="C8:O8"/>
    <mergeCell ref="B10:O10"/>
    <mergeCell ref="B13:C13"/>
    <mergeCell ref="B14:C14"/>
    <mergeCell ref="B15:C15"/>
    <mergeCell ref="B17:O17"/>
    <mergeCell ref="N18:O18"/>
    <mergeCell ref="N19:O19"/>
    <mergeCell ref="N20:O20"/>
    <mergeCell ref="N21:O21"/>
    <mergeCell ref="N22:O22"/>
    <mergeCell ref="N23:O23"/>
    <mergeCell ref="N24:O24"/>
    <mergeCell ref="B25:C25"/>
    <mergeCell ref="B26:C26"/>
    <mergeCell ref="B27:O27"/>
    <mergeCell ref="B29:O29"/>
    <mergeCell ref="D30:G30"/>
    <mergeCell ref="H30:I30"/>
    <mergeCell ref="J30:K30"/>
    <mergeCell ref="D31:G31"/>
    <mergeCell ref="H31:I31"/>
    <mergeCell ref="J31:K31"/>
    <mergeCell ref="D32:G32"/>
    <mergeCell ref="H32:I32"/>
    <mergeCell ref="J32:K32"/>
    <mergeCell ref="D33:G33"/>
    <mergeCell ref="H33:I33"/>
    <mergeCell ref="J33:K33"/>
    <mergeCell ref="D34:G34"/>
    <mergeCell ref="H34:I34"/>
    <mergeCell ref="J34:K34"/>
    <mergeCell ref="D35:G35"/>
    <mergeCell ref="H35:I35"/>
    <mergeCell ref="J35:K35"/>
    <mergeCell ref="D36:G36"/>
    <mergeCell ref="H36:I36"/>
    <mergeCell ref="J36:K36"/>
    <mergeCell ref="D37:G37"/>
    <mergeCell ref="H37:I37"/>
    <mergeCell ref="J37:K37"/>
    <mergeCell ref="D38:G38"/>
    <mergeCell ref="H38:I38"/>
    <mergeCell ref="J38:K38"/>
    <mergeCell ref="D39:G39"/>
    <mergeCell ref="H39:I39"/>
    <mergeCell ref="J39:K39"/>
    <mergeCell ref="B41:O41"/>
    <mergeCell ref="B42:E42"/>
    <mergeCell ref="B43:E43"/>
    <mergeCell ref="B44:E44"/>
    <mergeCell ref="B45:E45"/>
    <mergeCell ref="B46:E46"/>
    <mergeCell ref="B47:E47"/>
    <mergeCell ref="B48:E48"/>
  </mergeCells>
  <conditionalFormatting sqref="D13:K15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conditionalFormatting sqref="D19:K24">
    <cfRule type="cellIs" priority="6" operator="equal" aboveAverage="0" equalAverage="0" bottom="0" percent="0" rank="0" text="" dxfId="0">
      <formula>3</formula>
    </cfRule>
    <cfRule type="cellIs" priority="7" operator="equal" aboveAverage="0" equalAverage="0" bottom="0" percent="0" rank="0" text="" dxfId="1">
      <formula>2</formula>
    </cfRule>
    <cfRule type="cellIs" priority="8" operator="equal" aboveAverage="0" equalAverage="0" bottom="0" percent="0" rank="0" text="" dxfId="2">
      <formula>1</formula>
    </cfRule>
    <cfRule type="cellIs" priority="9" operator="equal" aboveAverage="0" equalAverage="0" bottom="0" percent="0" rank="0" text="" dxfId="3">
      <formula>0</formula>
    </cfRule>
  </conditionalFormatting>
  <conditionalFormatting sqref="N19:N24">
    <cfRule type="expression" priority="10" aboveAverage="0" equalAverage="0" bottom="0" percent="0" rank="0" text="" dxfId="4">
      <formula>N19="Sem lacunas"</formula>
    </cfRule>
    <cfRule type="expression" priority="11" aboveAverage="0" equalAverage="0" bottom="0" percent="0" rank="0" text="" dxfId="5">
      <formula>N19="Com lacunas"</formula>
    </cfRule>
  </conditionalFormatting>
  <conditionalFormatting sqref="O31:O39">
    <cfRule type="expression" priority="12" aboveAverage="0" equalAverage="0" bottom="0" percent="0" rank="0" text="" dxfId="4">
      <formula>O31="Eficaz"</formula>
    </cfRule>
    <cfRule type="expression" priority="13" aboveAverage="0" equalAverage="0" bottom="0" percent="0" rank="0" text="" dxfId="0">
      <formula>O31="Em acompanhamento"</formula>
    </cfRule>
    <cfRule type="expression" priority="14" aboveAverage="0" equalAverage="0" bottom="0" percent="0" rank="0" text="" dxfId="8">
      <formula>O31="Planejada"</formula>
    </cfRule>
    <cfRule type="expression" priority="15" aboveAverage="0" equalAverage="0" bottom="0" percent="0" rank="0" text="" dxfId="5">
      <formula>O31="Parcial: reforçar"</formula>
    </cfRule>
    <cfRule type="expression" priority="16" aboveAverage="0" equalAverage="0" bottom="0" percent="0" rank="0" text="" dxfId="5">
      <formula>O31="Avaliar a eficácia"</formula>
    </cfRule>
    <cfRule type="expression" priority="17" aboveAverage="0" equalAverage="0" bottom="0" percent="0" rank="0" text="" dxfId="5">
      <formula>O31="Falta a avaliação de aprendizado"</formula>
    </cfRule>
    <cfRule type="expression" priority="18" aboveAverage="0" equalAverage="0" bottom="0" percent="0" rank="0" text="" dxfId="7">
      <formula>O31="Atrasada"</formula>
    </cfRule>
    <cfRule type="expression" priority="19" aboveAverage="0" equalAverage="0" bottom="0" percent="0" rank="0" text="" dxfId="7">
      <formula>O31="Não eficaz: refazer"</formula>
    </cfRule>
    <cfRule type="expression" priority="20" aboveAverage="0" equalAverage="0" bottom="0" percent="0" rank="0" text="" dxfId="5">
      <formula>LEN(O31)&gt;0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2026-09-30T02:37:36Z</dcterms:created>
  <dc:creator>Modelo Competências</dc:creator>
  <dc:description/>
  <dc:language>pt-BR</dc:language>
  <cp:lastModifiedBy/>
  <dcterms:modified xsi:type="dcterms:W3CDTF">2026-09-30T02:37:37Z</dcterms:modified>
  <cp:revision>0</cp:revision>
  <dc:subject/>
  <dc:title>Matriz de competências e treinamento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