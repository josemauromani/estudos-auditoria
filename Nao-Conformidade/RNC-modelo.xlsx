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ontrole" sheetId="2" state="visible" r:id="rId4"/>
    <sheet name="Registro" sheetId="3" state="visible" r:id="rId5"/>
    <sheet name="Plano de ação" sheetId="4" state="visible" r:id="rId6"/>
    <sheet name="Eficácia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1" name="_xlnm.Print_Area" vbProcedure="false">Controle!$B$1:$N$56</definedName>
    <definedName function="false" hidden="false" localSheetId="1" name="_xlnm.Print_Titles" vbProcedure="false">Controle!$7:$7</definedName>
    <definedName function="false" hidden="false" localSheetId="4" name="_xlnm.Print_Area" vbProcedure="false">Eficácia!$B$1:$O$30</definedName>
    <definedName function="false" hidden="false" localSheetId="6" name="_xlnm.Print_Area" vbProcedure="false">'Exemplo 1 - Pizzaria'!$B$1:$H$78</definedName>
    <definedName function="false" hidden="false" localSheetId="7" name="_xlnm.Print_Area" vbProcedure="false">'Exemplo 2 - Compras'!$B$1:$H$82</definedName>
    <definedName function="false" hidden="false" localSheetId="0" name="_xlnm.Print_Area" vbProcedure="false">Instruções!$B$1:$C$41</definedName>
    <definedName function="false" hidden="false" localSheetId="3" name="_xlnm.Print_Area" vbProcedure="false">'Plano de ação'!$B$1:$L$29</definedName>
    <definedName function="false" hidden="false" localSheetId="2" name="_xlnm.Print_Area" vbProcedure="false">Registro!$B$1:$G$46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7" authorId="0">
      <text>
        <r>
          <rPr>
            <sz val="10"/>
            <rFont val="Arial"/>
            <family val="2"/>
          </rPr>
          <t xml:space="preserve">Toda não conformidade recebe correção. A ação corretiva depende da avaliação da abrangência e do efeito. Registre a decisão na aba Registro.</t>
        </r>
      </text>
    </comment>
    <comment ref="L7" authorId="0">
      <text>
        <r>
          <rPr>
            <sz val="10"/>
            <rFont val="Arial"/>
            <family val="2"/>
          </rPr>
          <t xml:space="preserve">Marque Sim quando a mesma falha já tinha sido tratada e encerrada. Reincidência indica que a causa não foi eliminada.</t>
        </r>
      </text>
    </comment>
    <comment ref="M7" authorId="0">
      <text>
        <r>
          <rPr>
            <sz val="10"/>
            <rFont val="Arial"/>
            <family val="2"/>
          </rPr>
          <t xml:space="preserve">Para registros encerrados, conta os dias entre a abertura e o encerramento. Para os demais, conta até hoje.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28" authorId="0">
      <text>
        <r>
          <rPr>
            <sz val="10"/>
            <rFont val="Arial"/>
            <family val="2"/>
          </rPr>
          <t xml:space="preserve">Comece pela declaração da não conformidade.
Ex.: "Por que as requisições chegam sem especificação?"</t>
        </r>
      </text>
    </comment>
    <comment ref="D9" authorId="0">
      <text>
        <r>
          <rPr>
            <sz val="10"/>
            <rFont val="Arial"/>
            <family val="2"/>
          </rPr>
          <t xml:space="preserve">O que foi combinado, e onde está escrito.
Ex.: "PR-SUP-01 rev. 5, item 4.2: toda requisição deve conter a especificação técnica."</t>
        </r>
      </text>
    </comment>
    <comment ref="D10" authorId="0">
      <text>
        <r>
          <rPr>
            <sz val="10"/>
            <rFont val="Arial"/>
            <family val="2"/>
          </rPr>
          <t xml:space="preserve">O que foi encontrado, com identificação e amostra.
Ex.: "Requisições RC-0412 e RC-0433 sem especificação, em amostra de 10."</t>
        </r>
      </text>
    </comment>
    <comment ref="D11" authorId="0">
      <text>
        <r>
          <rPr>
            <sz val="10"/>
            <rFont val="Arial"/>
            <family val="2"/>
          </rPr>
          <t xml:space="preserve">O desvio, em uma frase, sem causa e sem solução.
Ex.: "Requisições são aceitas sem a especificação exigida."</t>
        </r>
      </text>
    </comment>
    <comment ref="D19" authorId="0">
      <text>
        <r>
          <rPr>
            <sz val="10"/>
            <rFont val="Arial"/>
            <family val="2"/>
          </rPr>
          <t xml:space="preserve">O que foi feito pelo cliente ou pela área afetada: contato, reposição, devolução, desconto.</t>
        </r>
      </text>
    </comment>
    <comment ref="D23" authorId="0">
      <text>
        <r>
          <rPr>
            <sz val="10"/>
            <rFont val="Arial"/>
            <family val="2"/>
          </rPr>
          <t xml:space="preserve">Onde a equipe procurou a mesma falha, e o que encontrou, com números.</t>
        </r>
      </text>
    </comment>
    <comment ref="D24" authorId="0">
      <text>
        <r>
          <rPr>
            <sz val="10"/>
            <rFont val="Arial"/>
            <family val="2"/>
          </rPr>
          <t xml:space="preserve">Por que a não conformidade pede, ou não pede, ação corretiva.</t>
        </r>
      </text>
    </comment>
    <comment ref="D33" authorId="0">
      <text>
        <r>
          <rPr>
            <sz val="10"/>
            <rFont val="Arial"/>
            <family val="2"/>
          </rPr>
          <t xml:space="preserve">A causa que, eliminada, impede a repetição. Ela descreve o processo, e não a pessoa.</t>
        </r>
      </text>
    </comment>
    <comment ref="D36" authorId="0">
      <text>
        <r>
          <rPr>
            <sz val="10"/>
            <rFont val="Arial"/>
            <family val="2"/>
          </rPr>
          <t xml:space="preserve">Procedimentos, instruções, sistemas e treinamentos alterados pela ação corretiva.</t>
        </r>
      </text>
    </comment>
    <comment ref="F27" authorId="0">
      <text>
        <r>
          <rPr>
            <sz val="10"/>
            <rFont val="Arial"/>
            <family val="2"/>
          </rPr>
          <t xml:space="preserve">O fato ou o dado que comprova a resposta: uma observação, um teste, um levantamento. Resposta sem confirmação é hipótese.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6" authorId="0">
      <text>
        <r>
          <rPr>
            <sz val="10"/>
            <rFont val="Arial"/>
            <family val="2"/>
          </rPr>
          <t xml:space="preserve">Teste: se só esta ação for feita, o problema pode voltar no mês que vem? Se sim, é uma correção.</t>
        </r>
      </text>
    </comment>
    <comment ref="E6" authorId="0">
      <text>
        <r>
          <rPr>
            <sz val="10"/>
            <rFont val="Arial"/>
            <family val="2"/>
          </rPr>
          <t xml:space="preserve">Copie a causa confirmada da aba Registro. Ação corretiva sem causa é tentativa.</t>
        </r>
      </text>
    </comment>
    <comment ref="J6" authorId="0">
      <text>
        <r>
          <rPr>
            <sz val="10"/>
            <rFont val="Arial"/>
            <family val="2"/>
          </rPr>
          <t xml:space="preserve">Evidência de que a ação foi implantada. A evidência de que ela funcionou fica na aba Eficácia.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indicador mede a não conformidade, e não a ação.
Ex.: "Requisições com especificação ausente ou insuficiente".</t>
        </r>
      </text>
    </comment>
    <comment ref="D7" authorId="0">
      <text>
        <r>
          <rPr>
            <sz val="10"/>
            <rFont val="Arial"/>
            <family val="2"/>
          </rPr>
          <t xml:space="preserve">Quantos períodos seguidos o indicador precisa ficar dentro da meta para a ação ser considerada eficaz.
Ex.: 3 meses, 4 semanas.</t>
        </r>
      </text>
    </comment>
    <comment ref="H9" authorId="0">
      <text>
        <r>
          <rPr>
            <sz val="10"/>
            <rFont val="Arial"/>
            <family val="2"/>
          </rPr>
          <t xml:space="preserve">Conta os períodos seguidos dentro da meta, depois das ações. Volta a zero quando um período fica fora da meta.</t>
        </r>
      </text>
    </comment>
    <comment ref="L5" authorId="0">
      <text>
        <r>
          <rPr>
            <sz val="10"/>
            <rFont val="Arial"/>
            <family val="2"/>
          </rPr>
          <t xml:space="preserve">Convém que a verificação seja feita por quem não executou as ações. É uma convenção deste material.</t>
        </r>
      </text>
    </comment>
  </commentList>
</comments>
</file>

<file path=xl/sharedStrings.xml><?xml version="1.0" encoding="utf-8"?>
<sst xmlns="http://schemas.openxmlformats.org/spreadsheetml/2006/main" count="541" uniqueCount="351">
  <si>
    <t xml:space="preserve">Não conformidade e ação corretiva — Como usar esta planilha</t>
  </si>
  <si>
    <t xml:space="preserve">Modelo para registrar a não conformidade, planejar as ações e verificar a eficácia.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</si>
  <si>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</si>
  <si>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</si>
  <si>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</si>
  <si>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</si>
  <si>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</si>
  <si>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</si>
  <si>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</si>
  <si>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</si>
  <si>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origem, etapa, tipo, status e momento aceitam apenas as opções da lista. Datas e números são conferidos na digitação.</t>
  </si>
  <si>
    <t xml:space="preserve">Comentários</t>
  </si>
  <si>
    <t xml:space="preserve">Células com triângulo vermelho no canto trazem uma dica de preenchimento. Passe o mouse sobre elas.</t>
  </si>
  <si>
    <t xml:space="preserve">Os três conceitos</t>
  </si>
  <si>
    <t xml:space="preserve">Não conformidade</t>
  </si>
  <si>
    <t xml:space="preserve">O não atendimento de um requisito. É descrita com requisito, evidência e declaração.</t>
  </si>
  <si>
    <t xml:space="preserve">Correção</t>
  </si>
  <si>
    <t xml:space="preserve">Ação para eliminar a não conformidade encontrada. Trata o efeito: o que já saiu errado.</t>
  </si>
  <si>
    <t xml:space="preserve">Ação corretiva</t>
  </si>
  <si>
    <t xml:space="preserve">Ação para eliminar a causa da não conformidade e evitar que ela se repita. Depende da análise da causa.</t>
  </si>
  <si>
    <t xml:space="preserve">Ordem recomendada de preenchimento</t>
  </si>
  <si>
    <t xml:space="preserve">Passo 1</t>
  </si>
  <si>
    <t xml:space="preserve">Aba Controle: inclua a não conformidade na lista, com a origem, o processo e o responsável.</t>
  </si>
  <si>
    <t xml:space="preserve">Passo 2</t>
  </si>
  <si>
    <t xml:space="preserve">Aba Registro: descreva a não conformidade e registre a correção e o que foi feito pelo cliente afetado.</t>
  </si>
  <si>
    <t xml:space="preserve">Passo 3</t>
  </si>
  <si>
    <t xml:space="preserve">Aba Registro: verifique a abrangência e registre a decisão sobre a ação corretiva.</t>
  </si>
  <si>
    <t xml:space="preserve">Passo 4</t>
  </si>
  <si>
    <t xml:space="preserve">Aba Registro: preencha os porquês, com a forma de confirmação de cada resposta, e a causa raiz.</t>
  </si>
  <si>
    <t xml:space="preserve">Passo 5</t>
  </si>
  <si>
    <t xml:space="preserve">Aba Plano de ação: escreva as correções e uma ação corretiva para cada causa confirmada.</t>
  </si>
  <si>
    <t xml:space="preserve">Passo 6</t>
  </si>
  <si>
    <t xml:space="preserve">Aba Eficácia: defina o indicador, a meta e o critério antes de implantar as ações. Depois, registre as medições.</t>
  </si>
  <si>
    <t xml:space="preserve">Passo 7</t>
  </si>
  <si>
    <t xml:space="preserve">Aba Checklist: valide o tratamento. Abas Registro e Controle: registre o encerramento.</t>
  </si>
  <si>
    <t xml:space="preserve">Abas da planilha</t>
  </si>
  <si>
    <t xml:space="preserve">Controle</t>
  </si>
  <si>
    <t xml:space="preserve">Lista de todas as não conformidades, com situação, tempo de encerramento e gráfico por origem.</t>
  </si>
  <si>
    <t xml:space="preserve">Registro</t>
  </si>
  <si>
    <t xml:space="preserve">Formulário de uma não conformidade: descrição, correção, abrangência, decisão, causa e encerramento.</t>
  </si>
  <si>
    <t xml:space="preserve">Plano de ação</t>
  </si>
  <si>
    <t xml:space="preserve">Correções e ações corretivas, com causa tratada, responsável, prazo, status e evidência.</t>
  </si>
  <si>
    <t xml:space="preserve">Eficácia</t>
  </si>
  <si>
    <t xml:space="preserve">Indicador, meta, critério e medições, com a conclusão sobre a eficácia e o gráfico.</t>
  </si>
  <si>
    <t xml:space="preserve">Checklist</t>
  </si>
  <si>
    <t xml:space="preserve">Doze verificações de qualidade do tratamento, com percentual de conclusão.</t>
  </si>
  <si>
    <t xml:space="preserve">Exemplo 1 - Pizzaria</t>
  </si>
  <si>
    <t xml:space="preserve">Tratamento de uma não conformidade de auditoria, com padrões da própria organização.</t>
  </si>
  <si>
    <t xml:space="preserve">Exemplo 2 - Compras</t>
  </si>
  <si>
    <t xml:space="preserve">Tratamento de uma não conformidade de auditoria, com procedimento interno e indicador mensal.</t>
  </si>
  <si>
    <t xml:space="preserve">Regras e premissas do modelo</t>
  </si>
  <si>
    <t xml:space="preserve">Um registro por vez</t>
  </si>
  <si>
    <t xml:space="preserve">As abas Registro, Plano de ação e Eficácia servem a uma não conformidade. Para a seguinte, salve uma cópia do arquivo ou duplique as três abas. A aba Controle reúne todas.</t>
  </si>
  <si>
    <t xml:space="preserve">Situação</t>
  </si>
  <si>
    <t xml:space="preserve">Uma não conformidade ou uma ação é considerada atrasada quando o prazo é anterior à data de hoje e ela ainda não foi concluída.</t>
  </si>
  <si>
    <t xml:space="preserve">A ação é considerada eficaz quando os últimos períodos medidos depois das ações ficam dentro da meta, na quantidade definida no critério, e a não conformidade não voltou.</t>
  </si>
  <si>
    <t xml:space="preserve">Medições</t>
  </si>
  <si>
    <t xml:space="preserve">Preencha as medições em sequência, sem pular linhas. O modelo lê a última linha preenchida para concluir.</t>
  </si>
  <si>
    <t xml:space="preserve">Conferência</t>
  </si>
  <si>
    <t xml:space="preserve">As conferências apontam campos vazios. Elas não avaliam a qualidade do texto: uma causa mal definida passa pela conferência.</t>
  </si>
  <si>
    <t xml:space="preserve">Exemplos</t>
  </si>
  <si>
    <t xml:space="preserve">Os dados das abas de exemplo são ilustrativos, criados para este material.</t>
  </si>
  <si>
    <t xml:space="preserve">Controle de não conformidades</t>
  </si>
  <si>
    <t xml:space="preserve">Uma linha por não conformidade. Preencha as células em amarelo-claro.</t>
  </si>
  <si>
    <t xml:space="preserve">Organização ou unidade</t>
  </si>
  <si>
    <t xml:space="preserve">Responsável pelo controle</t>
  </si>
  <si>
    <t xml:space="preserve">Período</t>
  </si>
  <si>
    <t xml:space="preserve">Atualizado em</t>
  </si>
  <si>
    <t xml:space="preserve">Nº</t>
  </si>
  <si>
    <t xml:space="preserve">Aberta em</t>
  </si>
  <si>
    <t xml:space="preserve">Origem</t>
  </si>
  <si>
    <t xml:space="preserve">Processo</t>
  </si>
  <si>
    <t xml:space="preserve">Descrição resumida</t>
  </si>
  <si>
    <t xml:space="preserve">Ação corretiva?</t>
  </si>
  <si>
    <t xml:space="preserve">Responsável</t>
  </si>
  <si>
    <t xml:space="preserve">Prazo</t>
  </si>
  <si>
    <t xml:space="preserve">Etapa atual</t>
  </si>
  <si>
    <t xml:space="preserve">Encerrada em</t>
  </si>
  <si>
    <t xml:space="preserve">Reincidente?</t>
  </si>
  <si>
    <t xml:space="preserve">Dias em aberto</t>
  </si>
  <si>
    <t xml:space="preserve">Data</t>
  </si>
  <si>
    <t xml:space="preserve">De onde veio</t>
  </si>
  <si>
    <t xml:space="preserve">Onde ocorreu</t>
  </si>
  <si>
    <t xml:space="preserve">A declaração, em uma frase</t>
  </si>
  <si>
    <t xml:space="preserve">Sim ou Não</t>
  </si>
  <si>
    <t xml:space="preserve">Do tratamento</t>
  </si>
  <si>
    <t xml:space="preserve">Das ações</t>
  </si>
  <si>
    <t xml:space="preserve">Já tinha sido tratada?</t>
  </si>
  <si>
    <t xml:space="preserve">Calculado</t>
  </si>
  <si>
    <t xml:space="preserve">Calculada</t>
  </si>
  <si>
    <t xml:space="preserve">Ex.</t>
  </si>
  <si>
    <t xml:space="preserve">Auditoria interna</t>
  </si>
  <si>
    <t xml:space="preserve">Requisição de compra</t>
  </si>
  <si>
    <t xml:space="preserve">Requisições de compra são aceitas sem a especificação técnica exigida pelo procedimento.</t>
  </si>
  <si>
    <t xml:space="preserve">Sim</t>
  </si>
  <si>
    <t xml:space="preserve">Gerente de Suprimentos</t>
  </si>
  <si>
    <t xml:space="preserve">Ação em implantação</t>
  </si>
  <si>
    <t xml:space="preserve">Não</t>
  </si>
  <si>
    <t xml:space="preserve">No prazo</t>
  </si>
  <si>
    <t xml:space="preserve">Resumo automático</t>
  </si>
  <si>
    <t xml:space="preserve">Não conformidades registradas</t>
  </si>
  <si>
    <t xml:space="preserve">Registros</t>
  </si>
  <si>
    <t xml:space="preserve">Encerradas</t>
  </si>
  <si>
    <t xml:space="preserve">Em aberto</t>
  </si>
  <si>
    <t xml:space="preserve">Auditoria externa</t>
  </si>
  <si>
    <t xml:space="preserve">Atrasadas</t>
  </si>
  <si>
    <t xml:space="preserve">Reclamação de cliente</t>
  </si>
  <si>
    <t xml:space="preserve">Tempo médio de encerramento, em dias</t>
  </si>
  <si>
    <t xml:space="preserve">Produto ou serviço não conforme</t>
  </si>
  <si>
    <t xml:space="preserve">Com ação corretiva</t>
  </si>
  <si>
    <t xml:space="preserve">Fornecedor</t>
  </si>
  <si>
    <t xml:space="preserve">Reincidentes</t>
  </si>
  <si>
    <t xml:space="preserve">Indicador fora da meta</t>
  </si>
  <si>
    <t xml:space="preserve">Aviso</t>
  </si>
  <si>
    <t xml:space="preserve">Outra</t>
  </si>
  <si>
    <t xml:space="preserve">Registro de não conformidade</t>
  </si>
  <si>
    <t xml:space="preserve">Um registro por não conformidade. Preencha os blocos na ordem.</t>
  </si>
  <si>
    <t xml:space="preserve">Registro nº</t>
  </si>
  <si>
    <t xml:space="preserve">Data de abertura</t>
  </si>
  <si>
    <t xml:space="preserve">Registrado por</t>
  </si>
  <si>
    <t xml:space="preserve">1. Descrição da não conformidade</t>
  </si>
  <si>
    <t xml:space="preserve">Requisito</t>
  </si>
  <si>
    <t xml:space="preserve">Evidência</t>
  </si>
  <si>
    <t xml:space="preserve">Declaração</t>
  </si>
  <si>
    <t xml:space="preserve">2. Correção e consequências</t>
  </si>
  <si>
    <t xml:space="preserve">#</t>
  </si>
  <si>
    <t xml:space="preserve">O que foi feito para corrigir e conter</t>
  </si>
  <si>
    <t xml:space="preserve">Status</t>
  </si>
  <si>
    <t xml:space="preserve">Consequências tratadas</t>
  </si>
  <si>
    <t xml:space="preserve">3. Abrangência e decisão</t>
  </si>
  <si>
    <t xml:space="preserve">A falha existe em outro lugar?</t>
  </si>
  <si>
    <t xml:space="preserve">Ação corretiva necessária?</t>
  </si>
  <si>
    <t xml:space="preserve">O que foi verificado</t>
  </si>
  <si>
    <t xml:space="preserve">Justificativa da decisão</t>
  </si>
  <si>
    <t xml:space="preserve">4. Análise da causa</t>
  </si>
  <si>
    <t xml:space="preserve">Pergunta</t>
  </si>
  <si>
    <t xml:space="preserve">Resposta</t>
  </si>
  <si>
    <t xml:space="preserve">Como foi confirmada</t>
  </si>
  <si>
    <t xml:space="preserve">Por quê?</t>
  </si>
  <si>
    <t xml:space="preserve">Causa raiz</t>
  </si>
  <si>
    <t xml:space="preserve">5. Encerramento</t>
  </si>
  <si>
    <t xml:space="preserve">Mudanças no sistema de gestão</t>
  </si>
  <si>
    <t xml:space="preserve">Riscos atualizados?</t>
  </si>
  <si>
    <t xml:space="preserve">Data de encerramento</t>
  </si>
  <si>
    <t xml:space="preserve">Aprovado por</t>
  </si>
  <si>
    <t xml:space="preserve">Eficácia (aba Eficácia)</t>
  </si>
  <si>
    <t xml:space="preserve">Conferência automática</t>
  </si>
  <si>
    <t xml:space="preserve">1. Descrição</t>
  </si>
  <si>
    <t xml:space="preserve">2. Correção</t>
  </si>
  <si>
    <t xml:space="preserve">Situação do registro</t>
  </si>
  <si>
    <t xml:space="preserve">Registre as correções e as ações corretivas. Cada ação corretiva trata uma causa confirmada.</t>
  </si>
  <si>
    <t xml:space="preserve">Tipo</t>
  </si>
  <si>
    <t xml:space="preserve">O que será feito</t>
  </si>
  <si>
    <t xml:space="preserve">Causa tratada</t>
  </si>
  <si>
    <t xml:space="preserve">Concluída em</t>
  </si>
  <si>
    <t xml:space="preserve">Evidência de implantação</t>
  </si>
  <si>
    <t xml:space="preserve">Efeito ou causa</t>
  </si>
  <si>
    <t xml:space="preserve">Verbo no infinitivo e resultado esperado</t>
  </si>
  <si>
    <t xml:space="preserve">Só para ação corretiva</t>
  </si>
  <si>
    <t xml:space="preserve">Cargo ou nome</t>
  </si>
  <si>
    <t xml:space="preserve">Da ação</t>
  </si>
  <si>
    <t xml:space="preserve">Documento, registro ou teste</t>
  </si>
  <si>
    <t xml:space="preserve">Campos da linha</t>
  </si>
  <si>
    <t xml:space="preserve">Tornar obrigatório o campo de especificação, com bloqueio do envio da requisição incompleta.</t>
  </si>
  <si>
    <t xml:space="preserve">O campo de especificação é opcional.</t>
  </si>
  <si>
    <t xml:space="preserve">Analista de sistemas</t>
  </si>
  <si>
    <t xml:space="preserve">Concluída</t>
  </si>
  <si>
    <t xml:space="preserve">Chamado 4471 encerrado. Teste com 5 requisições.</t>
  </si>
  <si>
    <t xml:space="preserve">Completa</t>
  </si>
  <si>
    <t xml:space="preserve">Ações registradas</t>
  </si>
  <si>
    <t xml:space="preserve">Correções</t>
  </si>
  <si>
    <t xml:space="preserve">Ações corretivas</t>
  </si>
  <si>
    <t xml:space="preserve">Concluídas</t>
  </si>
  <si>
    <t xml:space="preserve">Percentual concluído</t>
  </si>
  <si>
    <t xml:space="preserve">Verificação da eficácia</t>
  </si>
  <si>
    <t xml:space="preserve">Defina o indicador, a meta e o critério antes de implantar as ações. Depois, registre as medições.</t>
  </si>
  <si>
    <t xml:space="preserve">Indicador</t>
  </si>
  <si>
    <t xml:space="preserve">Unidade</t>
  </si>
  <si>
    <t xml:space="preserve">Método de medição</t>
  </si>
  <si>
    <t xml:space="preserve">Verificado por</t>
  </si>
  <si>
    <t xml:space="preserve">Sentido</t>
  </si>
  <si>
    <t xml:space="preserve">Meta</t>
  </si>
  <si>
    <t xml:space="preserve">Data da verificação</t>
  </si>
  <si>
    <t xml:space="preserve">Critério: períodos seguidos na meta</t>
  </si>
  <si>
    <t xml:space="preserve">A falha voltou?</t>
  </si>
  <si>
    <t xml:space="preserve">Momento</t>
  </si>
  <si>
    <t xml:space="preserve">Valor</t>
  </si>
  <si>
    <t xml:space="preserve">Dentro da meta?</t>
  </si>
  <si>
    <t xml:space="preserve">Seguidos na meta</t>
  </si>
  <si>
    <t xml:space="preserve">Nov/2026</t>
  </si>
  <si>
    <t xml:space="preserve">Depois</t>
  </si>
  <si>
    <t xml:space="preserve">Medições antes das ações</t>
  </si>
  <si>
    <t xml:space="preserve">Média antes</t>
  </si>
  <si>
    <t xml:space="preserve">Medições depois das ações</t>
  </si>
  <si>
    <t xml:space="preserve">Média depois</t>
  </si>
  <si>
    <t xml:space="preserve">Conclusão</t>
  </si>
  <si>
    <t xml:space="preserve">Checklist de validação do tratamento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</si>
  <si>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</si>
  <si>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</si>
  <si>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</si>
  <si>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não conformidade está descrita com requisito, evidência e declaração.</t>
  </si>
  <si>
    <t xml:space="preserve">A correção foi feita e registrada, com data e responsável.</t>
  </si>
  <si>
    <t xml:space="preserve">As consequências para o cliente foram tratadas.</t>
  </si>
  <si>
    <t xml:space="preserve">A abrangência foi verificada em outros produtos, locais e períodos.</t>
  </si>
  <si>
    <t xml:space="preserve">A decisão sobre a ação corretiva está registrada e justificada.</t>
  </si>
  <si>
    <t xml:space="preserve">A causa foi analisada com quem executa o processo.</t>
  </si>
  <si>
    <t xml:space="preserve">Cada causa foi confirmada com um fato ou um dado.</t>
  </si>
  <si>
    <t xml:space="preserve">Cada ação corretiva trata uma causa confirmada.</t>
  </si>
  <si>
    <t xml:space="preserve">Cada ação tem responsável, prazo e evidência de implantação.</t>
  </si>
  <si>
    <t xml:space="preserve">O indicador, a meta e o período de observação foram definidos antes da implantação.</t>
  </si>
  <si>
    <t xml:space="preserve">A eficácia foi verificada, de preferência por quem não executou as ações.</t>
  </si>
  <si>
    <t xml:space="preserve">Os riscos, os procedimentos e os treinamentos foram atualizados.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</si>
  <si>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</si>
  <si>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</si>
  <si>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</si>
  <si>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</si>
  <si>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</si>
  <si>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Não conformidade e ação corretiva — do registro ao encerramento</t>
  </si>
  <si>
    <t xml:space="preserve">Exemplo preenchido, para consulta. Use as abas Registro, Plano de ação e Eficácia para o seu tratamento.</t>
  </si>
  <si>
    <t xml:space="preserve">RNC 2026-05</t>
  </si>
  <si>
    <t xml:space="preserve">Aberto em</t>
  </si>
  <si>
    <t xml:space="preserve">Auditoria interna. Auditoria 2026-03, constatação nº 1</t>
  </si>
  <si>
    <t xml:space="preserve">Registro do pedido</t>
  </si>
  <si>
    <t xml:space="preserve">Atendente do turno da tarde, auditor líder</t>
  </si>
  <si>
    <t xml:space="preserve">Atendente líder</t>
  </si>
  <si>
    <t xml:space="preserve">IT-EXP-01 rev. 2, item 2: todo pedido deve ser registrado com o complemento do endereço.</t>
  </si>
  <si>
    <t xml:space="preserve">Em 10 pedidos recebidos por telefone em 19/09, 6 foram registrados sem complemento.</t>
  </si>
  <si>
    <t xml:space="preserve">Pedidos recebidos por telefone são registrados sem o complemento do endereço exigido pela instrução.</t>
  </si>
  <si>
    <t xml:space="preserve">2 e 3. Abrangência, consequências e decisão</t>
  </si>
  <si>
    <t xml:space="preserve">Abrangência</t>
  </si>
  <si>
    <t xml:space="preserve">Site e aplicativo: o campo é obrigatório, e os 20 pedidos da amostra estavam completos. WhatsApp: 3 de 8 pedidos sem complemento, em 26/09. O canal entrou no tratamento.</t>
  </si>
  <si>
    <t xml:space="preserve">Consequências</t>
  </si>
  <si>
    <t xml:space="preserve">Em setembro, 9 entregas atrasaram por endereço incompleto, com 2 reclamações. Os 2 clientes receberam contato e um cupom de desconto.</t>
  </si>
  <si>
    <t xml:space="preserve">Decisão</t>
  </si>
  <si>
    <t xml:space="preserve">Ação corretiva necessária. A falha se repete em mais da metade dos pedidos por telefone e atrasa a entrega ao cliente.</t>
  </si>
  <si>
    <t xml:space="preserve">Por que os pedidos por telefone ficam sem complemento?</t>
  </si>
  <si>
    <t xml:space="preserve">O atendente não pergunta o complemento, e a tela aceita o pedido sem ele.</t>
  </si>
  <si>
    <t xml:space="preserve">Observação de 12 atendimentos em 26/09: a pergunta foi feita em 4. Teste na tela do sistema.</t>
  </si>
  <si>
    <t xml:space="preserve">Por que o atendente não pergunta?</t>
  </si>
  <si>
    <t xml:space="preserve">O roteiro de atendimento por telefone não traz essa pergunta.</t>
  </si>
  <si>
    <t xml:space="preserve">Leitura do roteiro afixado no balcão, de março de 2026.</t>
  </si>
  <si>
    <t xml:space="preserve">Por que o roteiro não traz a pergunta?</t>
  </si>
  <si>
    <t xml:space="preserve">O roteiro foi escrito antes da revisão 2 da instrução, de setembro de 2026, e não foi atualizado.</t>
  </si>
  <si>
    <t xml:space="preserve">Comparação das datas dos dois documentos.</t>
  </si>
  <si>
    <t xml:space="preserve">Por que o roteiro não foi atualizado?</t>
  </si>
  <si>
    <t xml:space="preserve">Quando uma instrução muda, ninguém confere os roteiros, as telas e os formulários ligados a ela.</t>
  </si>
  <si>
    <t xml:space="preserve">Entrevista com o gerente: a revisão 2 alterou só a instrução.</t>
  </si>
  <si>
    <t xml:space="preserve">A mudança de uma instrução não leva à revisão dos roteiros, das telas e dos formulários ligados a ela.</t>
  </si>
  <si>
    <t xml:space="preserve">5. Plano de ação</t>
  </si>
  <si>
    <t xml:space="preserve">O que foi feito</t>
  </si>
  <si>
    <t xml:space="preserve">Ligar para os clientes dos pedidos da noite que estavam sem complemento e completar o endereço antes da saída.</t>
  </si>
  <si>
    <t xml:space="preserve">Trata o efeito.</t>
  </si>
  <si>
    <t xml:space="preserve">5 pedidos completados antes da saída.</t>
  </si>
  <si>
    <t xml:space="preserve">Conferir o endereço de todo pedido por telefone e por WhatsApp antes da saída, até a ação corretiva entrar em vigor.</t>
  </si>
  <si>
    <t xml:space="preserve">Líder da expedição</t>
  </si>
  <si>
    <t xml:space="preserve">Conferência anotada na etiqueta, de 26/09 a 11/10.</t>
  </si>
  <si>
    <t xml:space="preserve">Tornar obrigatório o campo de complemento na tela de pedidos por telefone e por WhatsApp, com a opção “casa, sem complemento”.</t>
  </si>
  <si>
    <t xml:space="preserve">A tela aceita o pedido sem complemento.</t>
  </si>
  <si>
    <t xml:space="preserve">Gerente da loja</t>
  </si>
  <si>
    <t xml:space="preserve">Tela alterada pelo fornecedor do sistema. Teste com 5 pedidos.</t>
  </si>
  <si>
    <t xml:space="preserve">Revisar o roteiro de atendimento, com a pergunta do complemento, e treinar os atendentes dos dois turnos.</t>
  </si>
  <si>
    <t xml:space="preserve">O roteiro não traz a pergunta.</t>
  </si>
  <si>
    <t xml:space="preserve">Roteiro rev. 2 afixado. Lista de presença com 7 atendentes.</t>
  </si>
  <si>
    <t xml:space="preserve">Incluir na rotina de revisão de instruções a conferência dos roteiros, das telas e dos formulários ligados.</t>
  </si>
  <si>
    <t xml:space="preserve">A mudança de instrução não leva à revisão dos documentos ligados.</t>
  </si>
  <si>
    <t xml:space="preserve">Rotina de documentos rev. 3, item 4.</t>
  </si>
  <si>
    <t xml:space="preserve">6. Verificação da eficácia</t>
  </si>
  <si>
    <t xml:space="preserve">Pedidos por telefone e por WhatsApp registrados sem complemento, em percentual.</t>
  </si>
  <si>
    <t xml:space="preserve">Amostra de 30 pedidos por semana, escolhida pelo gerente.</t>
  </si>
  <si>
    <t xml:space="preserve">Gerente da loja, em 09/11/2026.</t>
  </si>
  <si>
    <t xml:space="preserve">Observação</t>
  </si>
  <si>
    <t xml:space="preserve">Entregas atrasadas por endereço incompleto: 9 em setembro, nenhuma de 12/10 a 08/11.</t>
  </si>
  <si>
    <t xml:space="preserve">Menor é melhor</t>
  </si>
  <si>
    <t xml:space="preserve">Critério</t>
  </si>
  <si>
    <t xml:space="preserve">Na meta?</t>
  </si>
  <si>
    <t xml:space="preserve">Períodos seguidos na meta</t>
  </si>
  <si>
    <t xml:space="preserve">Auditoria, 19/09</t>
  </si>
  <si>
    <t xml:space="preserve">Antes</t>
  </si>
  <si>
    <t xml:space="preserve">Semana de 21/09</t>
  </si>
  <si>
    <t xml:space="preserve">Semana de 28/09</t>
  </si>
  <si>
    <t xml:space="preserve">Semana de 05/10</t>
  </si>
  <si>
    <t xml:space="preserve">Durante</t>
  </si>
  <si>
    <t xml:space="preserve">Semana de 12/10</t>
  </si>
  <si>
    <t xml:space="preserve">Semana de 19/10</t>
  </si>
  <si>
    <t xml:space="preserve">Semana de 26/10</t>
  </si>
  <si>
    <t xml:space="preserve">Semana de 02/11</t>
  </si>
  <si>
    <t xml:space="preserve">7. Encerramento</t>
  </si>
  <si>
    <t xml:space="preserve">Mudanças no sistema</t>
  </si>
  <si>
    <t xml:space="preserve">Rotina de revisão de instruções, rev. 3, e roteiro de atendimento, rev. 2.</t>
  </si>
  <si>
    <t xml:space="preserve">Riscos</t>
  </si>
  <si>
    <t xml:space="preserve">Sem alteração. A loja não mantém registro formal de riscos.</t>
  </si>
  <si>
    <t xml:space="preserve">Encerrado em</t>
  </si>
  <si>
    <t xml:space="preserve">Média antes das ações</t>
  </si>
  <si>
    <t xml:space="preserve">Média depois das ações</t>
  </si>
  <si>
    <t xml:space="preserve">Dias entre a abertura e o encerramento</t>
  </si>
  <si>
    <t xml:space="preserve">RNC 2026-31</t>
  </si>
  <si>
    <t xml:space="preserve">Auditoria interna. Auditoria 2026-07, constatação nº 1</t>
  </si>
  <si>
    <t xml:space="preserve">Analista da Qualidade, auditor líder</t>
  </si>
  <si>
    <t xml:space="preserve">PR-SUP-01 rev. 5, item 4.2: toda requisição deve conter a especificação técnica do item.</t>
  </si>
  <si>
    <t xml:space="preserve">Requisições RC-0412, RC-0433, RC-0457 e RC-0461 sem especificação técnica, em amostra de 10.</t>
  </si>
  <si>
    <t xml:space="preserve">Levantamento das 312 requisições de janeiro a agosto: 97 sem especificação técnica, ou 31%. Delas, 58 são da Manutenção, e 71 pedem itens sem cadastro.</t>
  </si>
  <si>
    <t xml:space="preserve">No período, 7 itens foram devolvidos a fornecedores por serem diferentes do necessário, com atraso médio de 9 dias por devolução.</t>
  </si>
  <si>
    <t xml:space="preserve">Ação corretiva necessária. A falha atinge quase um terço das requisições e já causou compra de item errado.</t>
  </si>
  <si>
    <t xml:space="preserve">Por que as requisições chegam sem especificação técnica?</t>
  </si>
  <si>
    <t xml:space="preserve">O campo de especificação do sistema é opcional e de texto livre.</t>
  </si>
  <si>
    <t xml:space="preserve">Teste no sistema: a requisição é enviada com o campo vazio.</t>
  </si>
  <si>
    <t xml:space="preserve">Por que o requisitante deixa o campo vazio?</t>
  </si>
  <si>
    <t xml:space="preserve">Para itens sem cadastro, ele não sabe o que informar.</t>
  </si>
  <si>
    <t xml:space="preserve">71 das 97 requisições sem especificação pedem itens sem cadastro.</t>
  </si>
  <si>
    <t xml:space="preserve">Por que os itens não têm cadastro com especificação?</t>
  </si>
  <si>
    <t xml:space="preserve">Não existe rotina para cadastrar o item antes da primeira compra.</t>
  </si>
  <si>
    <t xml:space="preserve">Leitura do PR-SUP-01 e entrevista com 3 requisitantes.</t>
  </si>
  <si>
    <t xml:space="preserve">Por que o comprador aceita a requisição incompleta?</t>
  </si>
  <si>
    <t xml:space="preserve">Devolver a requisição atrasa a compra, e o comprador é medido só pelo prazo de atendimento.</t>
  </si>
  <si>
    <t xml:space="preserve">Entrevista com os 4 compradores e leitura do indicador da área.</t>
  </si>
  <si>
    <t xml:space="preserve">O processo permite requisitar sem especificação: o campo é opcional, os itens novos não têm cadastro e o indicador do comprador considera só o prazo.</t>
  </si>
  <si>
    <t xml:space="preserve">Completar a especificação das requisições RC-0412, RC-0433, RC-0457 e RC-0461 com as áreas requisitantes.</t>
  </si>
  <si>
    <t xml:space="preserve">Comprador sênior</t>
  </si>
  <si>
    <t xml:space="preserve">4 requisições completadas no sistema.</t>
  </si>
  <si>
    <t xml:space="preserve">Conferir os itens já recebidos dessas requisições contra a necessidade da área.</t>
  </si>
  <si>
    <t xml:space="preserve">Líder do Recebimento</t>
  </si>
  <si>
    <t xml:space="preserve">3 itens conformes. Rolamento da RC-0457 diferente do necessário: devolvido ao fornecedor.</t>
  </si>
  <si>
    <t xml:space="preserve">Devolver ao requisitante toda requisição sem especificação, a partir de 23/09.</t>
  </si>
  <si>
    <t xml:space="preserve">Compradores</t>
  </si>
  <si>
    <t xml:space="preserve">Comunicado da gerência, de 23/09.</t>
  </si>
  <si>
    <t xml:space="preserve">Revisar o PR-SUP-01: cadastro do item antes da primeira compra, devolução da requisição incompleta em 1 dia útil e prazo do comprador contado a partir da requisição completa.</t>
  </si>
  <si>
    <t xml:space="preserve">Não há rotina de cadastro, e o indicador considera só o prazo.</t>
  </si>
  <si>
    <t xml:space="preserve">PR-SUP-01 rev. 6 publicado.</t>
  </si>
  <si>
    <t xml:space="preserve">Cadastrar a especificação padrão dos 120 itens de manutenção mais comprados.</t>
  </si>
  <si>
    <t xml:space="preserve">Itens sem cadastro não têm especificação.</t>
  </si>
  <si>
    <t xml:space="preserve">Supervisor de manutenção</t>
  </si>
  <si>
    <t xml:space="preserve">120 itens cadastrados, com conferência do comprador sênior.</t>
  </si>
  <si>
    <t xml:space="preserve">Treinar os requisitantes das 6 áreas na revisão 6 do procedimento.</t>
  </si>
  <si>
    <t xml:space="preserve">O requisitante não sabe o que informar.</t>
  </si>
  <si>
    <t xml:space="preserve">Listas de presença: 31 requisitantes.</t>
  </si>
  <si>
    <t xml:space="preserve">Requisições com especificação ausente ou insuficiente, em percentual.</t>
  </si>
  <si>
    <t xml:space="preserve">Todas as requisições do mês, na conferência do comprador.</t>
  </si>
  <si>
    <t xml:space="preserve">Analista da Qualidade, em 05/02/2027.</t>
  </si>
  <si>
    <t xml:space="preserve">Devoluções a fornecedor por item diferente do necessário: 7 de janeiro a agosto, nenhuma de novembro a janeiro.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</si>
  <si>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</si>
  <si>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</si>
  <si>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</si>
  <si>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</si>
  <si>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</si>
  <si>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</si>
  <si>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</si>
  <si>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Dez/2026</t>
  </si>
  <si>
    <t xml:space="preserve">Jan/2027</t>
  </si>
  <si>
    <t xml:space="preserve">PR-SUP-01 rev. 6 e campo obrigatório no sistema de requisições.</t>
  </si>
  <si>
    <t xml:space="preserve">Risco “compra de item diferente do necessário” reavaliado: probabilidade de alta para baixa.</t>
  </si>
  <si>
    <t xml:space="preserve">Coordenador da Qualidade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</si>
</sst>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"/>
    <numFmt numFmtId="167" formatCode="General"/>
    <numFmt numFmtId="168" formatCode="0%"/>
    <numFmt numFmtId="169" formatCode="0.0"/>
    <numFmt numFmtId="170" formatCode="0\%"/>
    <numFmt numFmtId="171" formatCode="0&quot; semanas seguidos na meta&quot;"/>
    <numFmt numFmtId="172" formatCode="0.0\%"/>
    <numFmt numFmtId="173" formatCode="0&quot; meses seguidos na meta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9"/>
      <color rgb="FF16242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CDE7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1F3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DE7E3"/>
      <rgbColor rgb="FFD8EFDD"/>
      <rgbColor rgb="FFFBEBC8"/>
      <rgbColor rgb="FFD3DBE0"/>
      <rgbColor rgb="FFF5DEDC"/>
      <rgbColor rgb="FFF6E8C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Controle!M32</c:f>
              <c:strCache>
                <c:ptCount val="1"/>
                <c:pt idx="0">
                  <c:v>Registros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Controle!$J$33:$J$39</c:f>
              <c:strCache>
                <c:ptCount val="7"/>
                <c:pt idx="0">
                  <c:v>Auditoria interna</c:v>
                </c:pt>
                <c:pt idx="1">
                  <c:v>Auditoria externa</c:v>
                </c:pt>
                <c:pt idx="2">
                  <c:v>Reclamação de cliente</c:v>
                </c:pt>
                <c:pt idx="3">
                  <c:v>Produto ou serviço não conforme</c:v>
                </c:pt>
                <c:pt idx="4">
                  <c:v>Fornecedor</c:v>
                </c:pt>
                <c:pt idx="5">
                  <c:v>Indicador fora da meta</c:v>
                </c:pt>
                <c:pt idx="6">
                  <c:v>Outra</c:v>
                </c:pt>
              </c:strCache>
            </c:strRef>
          </c:cat>
          <c:val>
            <c:numRef>
              <c:f>Controle!$M$33:$M$39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49742610"/>
        <c:axId val="43803319"/>
      </c:barChart>
      <c:catAx>
        <c:axId val="497426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03319"/>
        <c:crosses val="autoZero"/>
        <c:auto val="1"/>
        <c:lblAlgn val="ctr"/>
        <c:lblOffset val="100"/>
        <c:noMultiLvlLbl val="0"/>
      </c:catAx>
      <c:valAx>
        <c:axId val="438033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4261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Eficácia!$C$11:$C$22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Eficácia!$E$11:$E$22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Eficácia!$C$11:$C$22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Eficácia!$F$11:$F$22</c:f>
              <c:numCache>
                <c:formatCode>General</c:formatCode>
                <c:ptCount val="1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858793"/>
        <c:axId val="50596471"/>
      </c:lineChart>
      <c:catAx>
        <c:axId val="52858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6471"/>
        <c:crosses val="autoZero"/>
        <c:auto val="1"/>
        <c:lblAlgn val="ctr"/>
        <c:lblOffset val="100"/>
        <c:noMultiLvlLbl val="0"/>
      </c:catAx>
      <c:valAx>
        <c:axId val="505964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587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Pizzaria'!$C$45:$C$52</c:f>
              <c:strCache>
                <c:ptCount val="8"/>
                <c:pt idx="0">
                  <c:v>Auditoria, 19/09</c:v>
                </c:pt>
                <c:pt idx="1">
                  <c:v>Semana de 21/09</c:v>
                </c:pt>
                <c:pt idx="2">
                  <c:v>Semana de 28/09</c:v>
                </c:pt>
                <c:pt idx="3">
                  <c:v>Semana de 05/10</c:v>
                </c:pt>
                <c:pt idx="4">
                  <c:v>Semana de 12/10</c:v>
                </c:pt>
                <c:pt idx="5">
                  <c:v>Semana de 19/10</c:v>
                </c:pt>
                <c:pt idx="6">
                  <c:v>Semana de 26/10</c:v>
                </c:pt>
                <c:pt idx="7">
                  <c:v>Semana de 02/11</c:v>
                </c:pt>
              </c:strCache>
            </c:strRef>
          </c:cat>
          <c:val>
            <c:numRef>
              <c:f>'Exemplo 1 - Pizzaria'!$E$45:$E$52</c:f>
              <c:numCache>
                <c:formatCode>0\%</c:formatCode>
                <c:ptCount val="8"/>
                <c:pt idx="0">
                  <c:v>60</c:v>
                </c:pt>
                <c:pt idx="1">
                  <c:v>57</c:v>
                </c:pt>
                <c:pt idx="2">
                  <c:v>53</c:v>
                </c:pt>
                <c:pt idx="3">
                  <c:v>37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Pizzaria'!$C$45:$C$52</c:f>
              <c:strCache>
                <c:ptCount val="8"/>
                <c:pt idx="0">
                  <c:v>Auditoria, 19/09</c:v>
                </c:pt>
                <c:pt idx="1">
                  <c:v>Semana de 21/09</c:v>
                </c:pt>
                <c:pt idx="2">
                  <c:v>Semana de 28/09</c:v>
                </c:pt>
                <c:pt idx="3">
                  <c:v>Semana de 05/10</c:v>
                </c:pt>
                <c:pt idx="4">
                  <c:v>Semana de 12/10</c:v>
                </c:pt>
                <c:pt idx="5">
                  <c:v>Semana de 19/10</c:v>
                </c:pt>
                <c:pt idx="6">
                  <c:v>Semana de 26/10</c:v>
                </c:pt>
                <c:pt idx="7">
                  <c:v>Semana de 02/11</c:v>
                </c:pt>
              </c:strCache>
            </c:strRef>
          </c:cat>
          <c:val>
            <c:numRef>
              <c:f>'Exemplo 1 - Pizzaria'!$F$45:$F$52</c:f>
              <c:numCache>
                <c:formatCode>0\%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075038"/>
        <c:axId val="80335472"/>
      </c:lineChart>
      <c:catAx>
        <c:axId val="10075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35472"/>
        <c:crosses val="autoZero"/>
        <c:auto val="1"/>
        <c:lblAlgn val="ctr"/>
        <c:lblOffset val="100"/>
        <c:noMultiLvlLbl val="0"/>
      </c:catAx>
      <c:valAx>
        <c:axId val="8033547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750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Compras'!$C$47:$C$56</c:f>
              <c:strCache>
                <c:ptCount val="10"/>
                <c:pt idx="0">
                  <c:v>Abr/2026</c:v>
                </c:pt>
                <c:pt idx="1">
                  <c:v>Mai/2026</c:v>
                </c:pt>
                <c:pt idx="2">
                  <c:v>Jun/2026</c:v>
                </c:pt>
                <c:pt idx="3">
                  <c:v>Jul/2026</c:v>
                </c:pt>
                <c:pt idx="4">
                  <c:v>Ago/2026</c:v>
                </c:pt>
                <c:pt idx="5">
                  <c:v>Set/2026</c:v>
                </c:pt>
                <c:pt idx="6">
                  <c:v>Out/2026</c:v>
                </c:pt>
                <c:pt idx="7">
                  <c:v>Nov/2026</c:v>
                </c:pt>
                <c:pt idx="8">
                  <c:v>Dez/2026</c:v>
                </c:pt>
                <c:pt idx="9">
                  <c:v>Jan/2027</c:v>
                </c:pt>
              </c:strCache>
            </c:strRef>
          </c:cat>
          <c:val>
            <c:numRef>
              <c:f>'Exemplo 2 - Compras'!$E$47:$E$56</c:f>
              <c:numCache>
                <c:formatCode>0\%</c:formatCode>
                <c:ptCount val="10"/>
                <c:pt idx="0">
                  <c:v>29</c:v>
                </c:pt>
                <c:pt idx="1">
                  <c:v>31</c:v>
                </c:pt>
                <c:pt idx="2">
                  <c:v>33</c:v>
                </c:pt>
                <c:pt idx="3">
                  <c:v>30</c:v>
                </c:pt>
                <c:pt idx="4">
                  <c:v>31</c:v>
                </c:pt>
                <c:pt idx="5">
                  <c:v>29</c:v>
                </c:pt>
                <c:pt idx="6">
                  <c:v>14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Compras'!$C$47:$C$56</c:f>
              <c:strCache>
                <c:ptCount val="10"/>
                <c:pt idx="0">
                  <c:v>Abr/2026</c:v>
                </c:pt>
                <c:pt idx="1">
                  <c:v>Mai/2026</c:v>
                </c:pt>
                <c:pt idx="2">
                  <c:v>Jun/2026</c:v>
                </c:pt>
                <c:pt idx="3">
                  <c:v>Jul/2026</c:v>
                </c:pt>
                <c:pt idx="4">
                  <c:v>Ago/2026</c:v>
                </c:pt>
                <c:pt idx="5">
                  <c:v>Set/2026</c:v>
                </c:pt>
                <c:pt idx="6">
                  <c:v>Out/2026</c:v>
                </c:pt>
                <c:pt idx="7">
                  <c:v>Nov/2026</c:v>
                </c:pt>
                <c:pt idx="8">
                  <c:v>Dez/2026</c:v>
                </c:pt>
                <c:pt idx="9">
                  <c:v>Jan/2027</c:v>
                </c:pt>
              </c:strCache>
            </c:strRef>
          </c:cat>
          <c:val>
            <c:numRef>
              <c:f>'Exemplo 2 - Compras'!$F$47:$F$56</c:f>
              <c:numCache>
                <c:formatCode>0\%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653689"/>
        <c:axId val="79556181"/>
      </c:lineChart>
      <c:catAx>
        <c:axId val="10653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56181"/>
        <c:crosses val="autoZero"/>
        <c:auto val="1"/>
        <c:lblAlgn val="ctr"/>
        <c:lblOffset val="100"/>
        <c:noMultiLvlLbl val="0"/>
      </c:catAx>
      <c:valAx>
        <c:axId val="7955618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536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7</xdr:col>
      <xdr:colOff>1042560</xdr:colOff>
      <xdr:row>54</xdr:row>
      <xdr:rowOff>32760</xdr:rowOff>
    </xdr:to>
    <xdr:graphicFrame>
      <xdr:nvGraphicFramePr>
        <xdr:cNvPr id="0" name="Chart 1"/>
        <xdr:cNvGraphicFramePr/>
      </xdr:nvGraphicFramePr>
      <xdr:xfrm>
        <a:off x="141120" y="1335420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8</xdr:row>
      <xdr:rowOff>0</xdr:rowOff>
    </xdr:from>
    <xdr:to>
      <xdr:col>14</xdr:col>
      <xdr:colOff>638280</xdr:colOff>
      <xdr:row>19</xdr:row>
      <xdr:rowOff>276480</xdr:rowOff>
    </xdr:to>
    <xdr:graphicFrame>
      <xdr:nvGraphicFramePr>
        <xdr:cNvPr id="1" name="Chart 1"/>
        <xdr:cNvGraphicFramePr/>
      </xdr:nvGraphicFramePr>
      <xdr:xfrm>
        <a:off x="7894440" y="2371680"/>
        <a:ext cx="52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53</xdr:row>
      <xdr:rowOff>0</xdr:rowOff>
    </xdr:from>
    <xdr:to>
      <xdr:col>6</xdr:col>
      <xdr:colOff>189000</xdr:colOff>
      <xdr:row>62</xdr:row>
      <xdr:rowOff>74880</xdr:rowOff>
    </xdr:to>
    <xdr:graphicFrame>
      <xdr:nvGraphicFramePr>
        <xdr:cNvPr id="2" name="Chart 1"/>
        <xdr:cNvGraphicFramePr/>
      </xdr:nvGraphicFramePr>
      <xdr:xfrm>
        <a:off x="141120" y="16144920"/>
        <a:ext cx="89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57</xdr:row>
      <xdr:rowOff>0</xdr:rowOff>
    </xdr:from>
    <xdr:to>
      <xdr:col>6</xdr:col>
      <xdr:colOff>189000</xdr:colOff>
      <xdr:row>66</xdr:row>
      <xdr:rowOff>74880</xdr:rowOff>
    </xdr:to>
    <xdr:graphicFrame>
      <xdr:nvGraphicFramePr>
        <xdr:cNvPr id="3" name="Chart 1"/>
        <xdr:cNvGraphicFramePr/>
      </xdr:nvGraphicFramePr>
      <xdr:xfrm>
        <a:off x="141120" y="17354520"/>
        <a:ext cx="89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31.5" hidden="false" customHeight="true" outlineLevel="0" collapsed="false">
      <c r="B14" s="12" t="s">
        <v>18</v>
      </c>
      <c r="C14" s="13" t="s">
        <v>19</v>
      </c>
    </row>
    <row r="16" customFormat="false" ht="21.75" hidden="false" customHeight="true" outlineLevel="0" collapsed="false">
      <c r="B16" s="3" t="s">
        <v>20</v>
      </c>
      <c r="C16" s="3"/>
    </row>
    <row r="17" customFormat="false" ht="19.5" hidden="false" customHeight="true" outlineLevel="0" collapsed="false">
      <c r="B17" s="4" t="s">
        <v>21</v>
      </c>
      <c r="C17" s="7" t="s">
        <v>22</v>
      </c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31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31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42</v>
      </c>
      <c r="C37" s="7" t="s">
        <v>55</v>
      </c>
    </row>
    <row r="38" customFormat="false" ht="31.5" hidden="false" customHeight="true" outlineLevel="0" collapsed="false">
      <c r="B38" s="4" t="s">
        <v>56</v>
      </c>
      <c r="C38" s="7" t="s">
        <v>57</v>
      </c>
    </row>
    <row r="39" customFormat="false" ht="31.5" hidden="false" customHeight="true" outlineLevel="0" collapsed="false">
      <c r="B39" s="4" t="s">
        <v>58</v>
      </c>
      <c r="C39" s="7" t="s">
        <v>59</v>
      </c>
    </row>
    <row r="40" customFormat="false" ht="19.5" hidden="false" customHeight="true" outlineLevel="0" collapsed="false">
      <c r="B40" s="4" t="s">
        <v>60</v>
      </c>
      <c r="C40" s="7" t="s">
        <v>61</v>
      </c>
    </row>
  </sheetData>
  <mergeCells count="7">
    <mergeCell ref="B1:C1"/>
    <mergeCell ref="B2:C2"/>
    <mergeCell ref="B4:C4"/>
    <mergeCell ref="B11:C11"/>
    <mergeCell ref="B16:C16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64</v>
      </c>
      <c r="C4" s="4"/>
      <c r="D4" s="4"/>
      <c r="E4" s="5"/>
      <c r="F4" s="5"/>
      <c r="G4" s="4" t="s">
        <v>65</v>
      </c>
      <c r="H4" s="4"/>
      <c r="I4" s="5"/>
      <c r="J4" s="5"/>
      <c r="K4" s="5"/>
      <c r="L4" s="5"/>
      <c r="M4" s="5"/>
      <c r="N4" s="5"/>
    </row>
    <row r="5" customFormat="false" ht="21.75" hidden="false" customHeight="true" outlineLevel="0" collapsed="false">
      <c r="B5" s="4" t="s">
        <v>66</v>
      </c>
      <c r="C5" s="4"/>
      <c r="D5" s="4"/>
      <c r="E5" s="5"/>
      <c r="F5" s="5"/>
      <c r="G5" s="4" t="s">
        <v>67</v>
      </c>
      <c r="H5" s="4"/>
      <c r="I5" s="14"/>
      <c r="J5" s="14"/>
      <c r="K5" s="14"/>
      <c r="L5" s="14"/>
      <c r="M5" s="14"/>
      <c r="N5" s="14"/>
    </row>
    <row r="7" customFormat="false" ht="30" hidden="false" customHeight="true" outlineLevel="0" collapsed="false">
      <c r="B7" s="15" t="s">
        <v>68</v>
      </c>
      <c r="C7" s="15" t="s">
        <v>69</v>
      </c>
      <c r="D7" s="15" t="s">
        <v>70</v>
      </c>
      <c r="E7" s="15" t="s">
        <v>71</v>
      </c>
      <c r="F7" s="15" t="s">
        <v>72</v>
      </c>
      <c r="G7" s="15" t="s">
        <v>73</v>
      </c>
      <c r="H7" s="15" t="s">
        <v>74</v>
      </c>
      <c r="I7" s="15" t="s">
        <v>75</v>
      </c>
      <c r="J7" s="15" t="s">
        <v>76</v>
      </c>
      <c r="K7" s="15" t="s">
        <v>77</v>
      </c>
      <c r="L7" s="15" t="s">
        <v>78</v>
      </c>
      <c r="M7" s="15" t="s">
        <v>79</v>
      </c>
      <c r="N7" s="15" t="s">
        <v>53</v>
      </c>
    </row>
    <row r="8" customFormat="false" ht="30" hidden="false" customHeight="true" outlineLevel="0" collapsed="false">
      <c r="B8" s="16"/>
      <c r="C8" s="16" t="s">
        <v>80</v>
      </c>
      <c r="D8" s="16" t="s">
        <v>81</v>
      </c>
      <c r="E8" s="16" t="s">
        <v>82</v>
      </c>
      <c r="F8" s="16" t="s">
        <v>83</v>
      </c>
      <c r="G8" s="16" t="s">
        <v>84</v>
      </c>
      <c r="H8" s="16" t="s">
        <v>85</v>
      </c>
      <c r="I8" s="16" t="s">
        <v>86</v>
      </c>
      <c r="J8" s="16" t="s">
        <v>85</v>
      </c>
      <c r="K8" s="16" t="s">
        <v>80</v>
      </c>
      <c r="L8" s="16" t="s">
        <v>87</v>
      </c>
      <c r="M8" s="16" t="s">
        <v>88</v>
      </c>
      <c r="N8" s="16" t="s">
        <v>89</v>
      </c>
    </row>
    <row r="9" customFormat="false" ht="33" hidden="false" customHeight="true" outlineLevel="0" collapsed="false">
      <c r="B9" s="16" t="s">
        <v>90</v>
      </c>
      <c r="C9" s="17" t="n">
        <v>46287</v>
      </c>
      <c r="D9" s="18" t="s">
        <v>91</v>
      </c>
      <c r="E9" s="18" t="s">
        <v>92</v>
      </c>
      <c r="F9" s="18" t="s">
        <v>93</v>
      </c>
      <c r="G9" s="16" t="s">
        <v>94</v>
      </c>
      <c r="H9" s="18" t="s">
        <v>95</v>
      </c>
      <c r="I9" s="17" t="n">
        <v>46318</v>
      </c>
      <c r="J9" s="16" t="s">
        <v>96</v>
      </c>
      <c r="K9" s="16"/>
      <c r="L9" s="16" t="s">
        <v>97</v>
      </c>
      <c r="M9" s="16" t="n">
        <v>7</v>
      </c>
      <c r="N9" s="16" t="s">
        <v>98</v>
      </c>
    </row>
    <row r="10" customFormat="false" ht="30" hidden="false" customHeight="true" outlineLevel="0" collapsed="false">
      <c r="B10" s="19" t="n">
        <v>1</v>
      </c>
      <c r="C10" s="20"/>
      <c r="D10" s="5"/>
      <c r="E10" s="5"/>
      <c r="F10" s="5"/>
      <c r="G10" s="21"/>
      <c r="H10" s="5"/>
      <c r="I10" s="20"/>
      <c r="J10" s="21"/>
      <c r="K10" s="20"/>
      <c r="L10" s="21"/>
      <c r="M10" s="22" t="str">
        <f aca="true">IF(C10="","",IF(K10&lt;&gt;"",K10-C10,TODAY()-C10))</f>
        <v/>
      </c>
      <c r="N10" s="23" t="str">
        <f aca="true">IF(C10="","",IF(OR(J10="Encerrada",K10&lt;&gt;""),IF(K10="","Falta a data",IF(J10="Encerrada","Encerrada","Confira a etapa")),IF(I10="","Sem prazo",IF(I10&lt;TODAY(),"Atrasada","No prazo"))))</f>
        <v/>
      </c>
    </row>
    <row r="11" customFormat="false" ht="30" hidden="false" customHeight="true" outlineLevel="0" collapsed="false">
      <c r="B11" s="19" t="n">
        <v>2</v>
      </c>
      <c r="C11" s="20"/>
      <c r="D11" s="5"/>
      <c r="E11" s="5"/>
      <c r="F11" s="5"/>
      <c r="G11" s="21"/>
      <c r="H11" s="5"/>
      <c r="I11" s="20"/>
      <c r="J11" s="21"/>
      <c r="K11" s="20"/>
      <c r="L11" s="21"/>
      <c r="M11" s="22" t="str">
        <f aca="true">IF(C11="","",IF(K11&lt;&gt;"",K11-C11,TODAY()-C11))</f>
        <v/>
      </c>
      <c r="N11" s="23" t="str">
        <f aca="true">IF(C11="","",IF(OR(J11="Encerrada",K11&lt;&gt;""),IF(K11="","Falta a data",IF(J11="Encerrada","Encerrada","Confira a etapa")),IF(I11="","Sem prazo",IF(I11&lt;TODAY(),"Atrasada","No prazo"))))</f>
        <v/>
      </c>
    </row>
    <row r="12" customFormat="false" ht="30" hidden="false" customHeight="true" outlineLevel="0" collapsed="false">
      <c r="B12" s="19" t="n">
        <v>3</v>
      </c>
      <c r="C12" s="20"/>
      <c r="D12" s="5"/>
      <c r="E12" s="5"/>
      <c r="F12" s="5"/>
      <c r="G12" s="21"/>
      <c r="H12" s="5"/>
      <c r="I12" s="20"/>
      <c r="J12" s="21"/>
      <c r="K12" s="20"/>
      <c r="L12" s="21"/>
      <c r="M12" s="22" t="str">
        <f aca="true">IF(C12="","",IF(K12&lt;&gt;"",K12-C12,TODAY()-C12))</f>
        <v/>
      </c>
      <c r="N12" s="23" t="str">
        <f aca="true">IF(C12="","",IF(OR(J12="Encerrada",K12&lt;&gt;""),IF(K12="","Falta a data",IF(J12="Encerrada","Encerrada","Confira a etapa")),IF(I12="","Sem prazo",IF(I12&lt;TODAY(),"Atrasada","No prazo"))))</f>
        <v/>
      </c>
    </row>
    <row r="13" customFormat="false" ht="30" hidden="false" customHeight="true" outlineLevel="0" collapsed="false">
      <c r="B13" s="19" t="n">
        <v>4</v>
      </c>
      <c r="C13" s="20"/>
      <c r="D13" s="5"/>
      <c r="E13" s="5"/>
      <c r="F13" s="5"/>
      <c r="G13" s="21"/>
      <c r="H13" s="5"/>
      <c r="I13" s="20"/>
      <c r="J13" s="21"/>
      <c r="K13" s="20"/>
      <c r="L13" s="21"/>
      <c r="M13" s="22" t="str">
        <f aca="true">IF(C13="","",IF(K13&lt;&gt;"",K13-C13,TODAY()-C13))</f>
        <v/>
      </c>
      <c r="N13" s="23" t="str">
        <f aca="true">IF(C13="","",IF(OR(J13="Encerrada",K13&lt;&gt;""),IF(K13="","Falta a data",IF(J13="Encerrada","Encerrada","Confira a etapa")),IF(I13="","Sem prazo",IF(I13&lt;TODAY(),"Atrasada","No prazo"))))</f>
        <v/>
      </c>
    </row>
    <row r="14" customFormat="false" ht="30" hidden="false" customHeight="true" outlineLevel="0" collapsed="false">
      <c r="B14" s="19" t="n">
        <v>5</v>
      </c>
      <c r="C14" s="20"/>
      <c r="D14" s="5"/>
      <c r="E14" s="5"/>
      <c r="F14" s="5"/>
      <c r="G14" s="21"/>
      <c r="H14" s="5"/>
      <c r="I14" s="20"/>
      <c r="J14" s="21"/>
      <c r="K14" s="20"/>
      <c r="L14" s="21"/>
      <c r="M14" s="22" t="str">
        <f aca="true">IF(C14="","",IF(K14&lt;&gt;"",K14-C14,TODAY()-C14))</f>
        <v/>
      </c>
      <c r="N14" s="23" t="str">
        <f aca="true">IF(C14="","",IF(OR(J14="Encerrada",K14&lt;&gt;""),IF(K14="","Falta a data",IF(J14="Encerrada","Encerrada","Confira a etapa")),IF(I14="","Sem prazo",IF(I14&lt;TODAY(),"Atrasada","No prazo"))))</f>
        <v/>
      </c>
    </row>
    <row r="15" customFormat="false" ht="30" hidden="false" customHeight="true" outlineLevel="0" collapsed="false">
      <c r="B15" s="19" t="n">
        <v>6</v>
      </c>
      <c r="C15" s="20"/>
      <c r="D15" s="5"/>
      <c r="E15" s="5"/>
      <c r="F15" s="5"/>
      <c r="G15" s="21"/>
      <c r="H15" s="5"/>
      <c r="I15" s="20"/>
      <c r="J15" s="21"/>
      <c r="K15" s="20"/>
      <c r="L15" s="21"/>
      <c r="M15" s="22" t="str">
        <f aca="true">IF(C15="","",IF(K15&lt;&gt;"",K15-C15,TODAY()-C15))</f>
        <v/>
      </c>
      <c r="N15" s="23" t="str">
        <f aca="true">IF(C15="","",IF(OR(J15="Encerrada",K15&lt;&gt;""),IF(K15="","Falta a data",IF(J15="Encerrada","Encerrada","Confira a etapa")),IF(I15="","Sem prazo",IF(I15&lt;TODAY(),"Atrasada","No prazo"))))</f>
        <v/>
      </c>
    </row>
    <row r="16" customFormat="false" ht="30" hidden="false" customHeight="true" outlineLevel="0" collapsed="false">
      <c r="B16" s="19" t="n">
        <v>7</v>
      </c>
      <c r="C16" s="20"/>
      <c r="D16" s="5"/>
      <c r="E16" s="5"/>
      <c r="F16" s="5"/>
      <c r="G16" s="21"/>
      <c r="H16" s="5"/>
      <c r="I16" s="20"/>
      <c r="J16" s="21"/>
      <c r="K16" s="20"/>
      <c r="L16" s="21"/>
      <c r="M16" s="22" t="str">
        <f aca="true">IF(C16="","",IF(K16&lt;&gt;"",K16-C16,TODAY()-C16))</f>
        <v/>
      </c>
      <c r="N16" s="23" t="str">
        <f aca="true">IF(C16="","",IF(OR(J16="Encerrada",K16&lt;&gt;""),IF(K16="","Falta a data",IF(J16="Encerrada","Encerrada","Confira a etapa")),IF(I16="","Sem prazo",IF(I16&lt;TODAY(),"Atrasada","No prazo"))))</f>
        <v/>
      </c>
    </row>
    <row r="17" customFormat="false" ht="30" hidden="false" customHeight="true" outlineLevel="0" collapsed="false">
      <c r="B17" s="19" t="n">
        <v>8</v>
      </c>
      <c r="C17" s="20"/>
      <c r="D17" s="5"/>
      <c r="E17" s="5"/>
      <c r="F17" s="5"/>
      <c r="G17" s="21"/>
      <c r="H17" s="5"/>
      <c r="I17" s="20"/>
      <c r="J17" s="21"/>
      <c r="K17" s="20"/>
      <c r="L17" s="21"/>
      <c r="M17" s="22" t="str">
        <f aca="true">IF(C17="","",IF(K17&lt;&gt;"",K17-C17,TODAY()-C17))</f>
        <v/>
      </c>
      <c r="N17" s="23" t="str">
        <f aca="true">IF(C17="","",IF(OR(J17="Encerrada",K17&lt;&gt;""),IF(K17="","Falta a data",IF(J17="Encerrada","Encerrada","Confira a etapa")),IF(I17="","Sem prazo",IF(I17&lt;TODAY(),"Atrasada","No prazo"))))</f>
        <v/>
      </c>
    </row>
    <row r="18" customFormat="false" ht="30" hidden="false" customHeight="true" outlineLevel="0" collapsed="false">
      <c r="B18" s="19" t="n">
        <v>9</v>
      </c>
      <c r="C18" s="20"/>
      <c r="D18" s="5"/>
      <c r="E18" s="5"/>
      <c r="F18" s="5"/>
      <c r="G18" s="21"/>
      <c r="H18" s="5"/>
      <c r="I18" s="20"/>
      <c r="J18" s="21"/>
      <c r="K18" s="20"/>
      <c r="L18" s="21"/>
      <c r="M18" s="22" t="str">
        <f aca="true">IF(C18="","",IF(K18&lt;&gt;"",K18-C18,TODAY()-C18))</f>
        <v/>
      </c>
      <c r="N18" s="23" t="str">
        <f aca="true">IF(C18="","",IF(OR(J18="Encerrada",K18&lt;&gt;""),IF(K18="","Falta a data",IF(J18="Encerrada","Encerrada","Confira a etapa")),IF(I18="","Sem prazo",IF(I18&lt;TODAY(),"Atrasada","No prazo"))))</f>
        <v/>
      </c>
    </row>
    <row r="19" customFormat="false" ht="30" hidden="false" customHeight="true" outlineLevel="0" collapsed="false">
      <c r="B19" s="19" t="n">
        <v>10</v>
      </c>
      <c r="C19" s="20"/>
      <c r="D19" s="5"/>
      <c r="E19" s="5"/>
      <c r="F19" s="5"/>
      <c r="G19" s="21"/>
      <c r="H19" s="5"/>
      <c r="I19" s="20"/>
      <c r="J19" s="21"/>
      <c r="K19" s="20"/>
      <c r="L19" s="21"/>
      <c r="M19" s="22" t="str">
        <f aca="true">IF(C19="","",IF(K19&lt;&gt;"",K19-C19,TODAY()-C19))</f>
        <v/>
      </c>
      <c r="N19" s="23" t="str">
        <f aca="true">IF(C19="","",IF(OR(J19="Encerrada",K19&lt;&gt;""),IF(K19="","Falta a data",IF(J19="Encerrada","Encerrada","Confira a etapa")),IF(I19="","Sem prazo",IF(I19&lt;TODAY(),"Atrasada","No prazo"))))</f>
        <v/>
      </c>
    </row>
    <row r="20" customFormat="false" ht="30" hidden="false" customHeight="true" outlineLevel="0" collapsed="false">
      <c r="B20" s="19" t="n">
        <v>11</v>
      </c>
      <c r="C20" s="20"/>
      <c r="D20" s="5"/>
      <c r="E20" s="5"/>
      <c r="F20" s="5"/>
      <c r="G20" s="21"/>
      <c r="H20" s="5"/>
      <c r="I20" s="20"/>
      <c r="J20" s="21"/>
      <c r="K20" s="20"/>
      <c r="L20" s="21"/>
      <c r="M20" s="22" t="str">
        <f aca="true">IF(C20="","",IF(K20&lt;&gt;"",K20-C20,TODAY()-C20))</f>
        <v/>
      </c>
      <c r="N20" s="23" t="str">
        <f aca="true">IF(C20="","",IF(OR(J20="Encerrada",K20&lt;&gt;""),IF(K20="","Falta a data",IF(J20="Encerrada","Encerrada","Confira a etapa")),IF(I20="","Sem prazo",IF(I20&lt;TODAY(),"Atrasada","No prazo"))))</f>
        <v/>
      </c>
    </row>
    <row r="21" customFormat="false" ht="30" hidden="false" customHeight="true" outlineLevel="0" collapsed="false">
      <c r="B21" s="19" t="n">
        <v>12</v>
      </c>
      <c r="C21" s="20"/>
      <c r="D21" s="5"/>
      <c r="E21" s="5"/>
      <c r="F21" s="5"/>
      <c r="G21" s="21"/>
      <c r="H21" s="5"/>
      <c r="I21" s="20"/>
      <c r="J21" s="21"/>
      <c r="K21" s="20"/>
      <c r="L21" s="21"/>
      <c r="M21" s="22" t="str">
        <f aca="true">IF(C21="","",IF(K21&lt;&gt;"",K21-C21,TODAY()-C21))</f>
        <v/>
      </c>
      <c r="N21" s="23" t="str">
        <f aca="true">IF(C21="","",IF(OR(J21="Encerrada",K21&lt;&gt;""),IF(K21="","Falta a data",IF(J21="Encerrada","Encerrada","Confira a etapa")),IF(I21="","Sem prazo",IF(I21&lt;TODAY(),"Atrasada","No prazo"))))</f>
        <v/>
      </c>
    </row>
    <row r="22" customFormat="false" ht="30" hidden="false" customHeight="true" outlineLevel="0" collapsed="false">
      <c r="B22" s="19" t="n">
        <v>13</v>
      </c>
      <c r="C22" s="20"/>
      <c r="D22" s="5"/>
      <c r="E22" s="5"/>
      <c r="F22" s="5"/>
      <c r="G22" s="21"/>
      <c r="H22" s="5"/>
      <c r="I22" s="20"/>
      <c r="J22" s="21"/>
      <c r="K22" s="20"/>
      <c r="L22" s="21"/>
      <c r="M22" s="22" t="str">
        <f aca="true">IF(C22="","",IF(K22&lt;&gt;"",K22-C22,TODAY()-C22))</f>
        <v/>
      </c>
      <c r="N22" s="23" t="str">
        <f aca="true">IF(C22="","",IF(OR(J22="Encerrada",K22&lt;&gt;""),IF(K22="","Falta a data",IF(J22="Encerrada","Encerrada","Confira a etapa")),IF(I22="","Sem prazo",IF(I22&lt;TODAY(),"Atrasada","No prazo"))))</f>
        <v/>
      </c>
    </row>
    <row r="23" customFormat="false" ht="30" hidden="false" customHeight="true" outlineLevel="0" collapsed="false">
      <c r="B23" s="19" t="n">
        <v>14</v>
      </c>
      <c r="C23" s="20"/>
      <c r="D23" s="5"/>
      <c r="E23" s="5"/>
      <c r="F23" s="5"/>
      <c r="G23" s="21"/>
      <c r="H23" s="5"/>
      <c r="I23" s="20"/>
      <c r="J23" s="21"/>
      <c r="K23" s="20"/>
      <c r="L23" s="21"/>
      <c r="M23" s="22" t="str">
        <f aca="true">IF(C23="","",IF(K23&lt;&gt;"",K23-C23,TODAY()-C23))</f>
        <v/>
      </c>
      <c r="N23" s="23" t="str">
        <f aca="true">IF(C23="","",IF(OR(J23="Encerrada",K23&lt;&gt;""),IF(K23="","Falta a data",IF(J23="Encerrada","Encerrada","Confira a etapa")),IF(I23="","Sem prazo",IF(I23&lt;TODAY(),"Atrasada","No prazo"))))</f>
        <v/>
      </c>
    </row>
    <row r="24" customFormat="false" ht="30" hidden="false" customHeight="true" outlineLevel="0" collapsed="false">
      <c r="B24" s="19" t="n">
        <v>15</v>
      </c>
      <c r="C24" s="20"/>
      <c r="D24" s="5"/>
      <c r="E24" s="5"/>
      <c r="F24" s="5"/>
      <c r="G24" s="21"/>
      <c r="H24" s="5"/>
      <c r="I24" s="20"/>
      <c r="J24" s="21"/>
      <c r="K24" s="20"/>
      <c r="L24" s="21"/>
      <c r="M24" s="22" t="str">
        <f aca="true">IF(C24="","",IF(K24&lt;&gt;"",K24-C24,TODAY()-C24))</f>
        <v/>
      </c>
      <c r="N24" s="23" t="str">
        <f aca="true">IF(C24="","",IF(OR(J24="Encerrada",K24&lt;&gt;""),IF(K24="","Falta a data",IF(J24="Encerrada","Encerrada","Confira a etapa")),IF(I24="","Sem prazo",IF(I24&lt;TODAY(),"Atrasada","No prazo"))))</f>
        <v/>
      </c>
    </row>
    <row r="25" customFormat="false" ht="30" hidden="false" customHeight="true" outlineLevel="0" collapsed="false">
      <c r="B25" s="19" t="n">
        <v>16</v>
      </c>
      <c r="C25" s="20"/>
      <c r="D25" s="5"/>
      <c r="E25" s="5"/>
      <c r="F25" s="5"/>
      <c r="G25" s="21"/>
      <c r="H25" s="5"/>
      <c r="I25" s="20"/>
      <c r="J25" s="21"/>
      <c r="K25" s="20"/>
      <c r="L25" s="21"/>
      <c r="M25" s="22" t="str">
        <f aca="true">IF(C25="","",IF(K25&lt;&gt;"",K25-C25,TODAY()-C25))</f>
        <v/>
      </c>
      <c r="N25" s="23" t="str">
        <f aca="true">IF(C25="","",IF(OR(J25="Encerrada",K25&lt;&gt;""),IF(K25="","Falta a data",IF(J25="Encerrada","Encerrada","Confira a etapa")),IF(I25="","Sem prazo",IF(I25&lt;TODAY(),"Atrasada","No prazo"))))</f>
        <v/>
      </c>
    </row>
    <row r="26" customFormat="false" ht="30" hidden="false" customHeight="true" outlineLevel="0" collapsed="false">
      <c r="B26" s="19" t="n">
        <v>17</v>
      </c>
      <c r="C26" s="20"/>
      <c r="D26" s="5"/>
      <c r="E26" s="5"/>
      <c r="F26" s="5"/>
      <c r="G26" s="21"/>
      <c r="H26" s="5"/>
      <c r="I26" s="20"/>
      <c r="J26" s="21"/>
      <c r="K26" s="20"/>
      <c r="L26" s="21"/>
      <c r="M26" s="22" t="str">
        <f aca="true">IF(C26="","",IF(K26&lt;&gt;"",K26-C26,TODAY()-C26))</f>
        <v/>
      </c>
      <c r="N26" s="23" t="str">
        <f aca="true">IF(C26="","",IF(OR(J26="Encerrada",K26&lt;&gt;""),IF(K26="","Falta a data",IF(J26="Encerrada","Encerrada","Confira a etapa")),IF(I26="","Sem prazo",IF(I26&lt;TODAY(),"Atrasada","No prazo"))))</f>
        <v/>
      </c>
    </row>
    <row r="27" customFormat="false" ht="30" hidden="false" customHeight="true" outlineLevel="0" collapsed="false">
      <c r="B27" s="19" t="n">
        <v>18</v>
      </c>
      <c r="C27" s="20"/>
      <c r="D27" s="5"/>
      <c r="E27" s="5"/>
      <c r="F27" s="5"/>
      <c r="G27" s="21"/>
      <c r="H27" s="5"/>
      <c r="I27" s="20"/>
      <c r="J27" s="21"/>
      <c r="K27" s="20"/>
      <c r="L27" s="21"/>
      <c r="M27" s="22" t="str">
        <f aca="true">IF(C27="","",IF(K27&lt;&gt;"",K27-C27,TODAY()-C27))</f>
        <v/>
      </c>
      <c r="N27" s="23" t="str">
        <f aca="true">IF(C27="","",IF(OR(J27="Encerrada",K27&lt;&gt;""),IF(K27="","Falta a data",IF(J27="Encerrada","Encerrada","Confira a etapa")),IF(I27="","Sem prazo",IF(I27&lt;TODAY(),"Atrasada","No prazo"))))</f>
        <v/>
      </c>
    </row>
    <row r="28" customFormat="false" ht="30" hidden="false" customHeight="true" outlineLevel="0" collapsed="false">
      <c r="B28" s="19" t="n">
        <v>19</v>
      </c>
      <c r="C28" s="20"/>
      <c r="D28" s="5"/>
      <c r="E28" s="5"/>
      <c r="F28" s="5"/>
      <c r="G28" s="21"/>
      <c r="H28" s="5"/>
      <c r="I28" s="20"/>
      <c r="J28" s="21"/>
      <c r="K28" s="20"/>
      <c r="L28" s="21"/>
      <c r="M28" s="22" t="str">
        <f aca="true">IF(C28="","",IF(K28&lt;&gt;"",K28-C28,TODAY()-C28))</f>
        <v/>
      </c>
      <c r="N28" s="23" t="str">
        <f aca="true">IF(C28="","",IF(OR(J28="Encerrada",K28&lt;&gt;""),IF(K28="","Falta a data",IF(J28="Encerrada","Encerrada","Confira a etapa")),IF(I28="","Sem prazo",IF(I28&lt;TODAY(),"Atrasada","No prazo"))))</f>
        <v/>
      </c>
    </row>
    <row r="29" customFormat="false" ht="30" hidden="false" customHeight="true" outlineLevel="0" collapsed="false">
      <c r="B29" s="19" t="n">
        <v>20</v>
      </c>
      <c r="C29" s="20"/>
      <c r="D29" s="5"/>
      <c r="E29" s="5"/>
      <c r="F29" s="5"/>
      <c r="G29" s="21"/>
      <c r="H29" s="5"/>
      <c r="I29" s="20"/>
      <c r="J29" s="21"/>
      <c r="K29" s="20"/>
      <c r="L29" s="21"/>
      <c r="M29" s="22" t="str">
        <f aca="true">IF(C29="","",IF(K29&lt;&gt;"",K29-C29,TODAY()-C29))</f>
        <v/>
      </c>
      <c r="N29" s="23" t="str">
        <f aca="true">IF(C29="","",IF(OR(J29="Encerrada",K29&lt;&gt;""),IF(K29="","Falta a data",IF(J29="Encerrada","Encerrada","Confira a etapa")),IF(I29="","Sem prazo",IF(I29&lt;TODAY(),"Atrasada","No prazo"))))</f>
        <v/>
      </c>
    </row>
    <row r="31" customFormat="false" ht="21.75" hidden="false" customHeight="true" outlineLevel="0" collapsed="false">
      <c r="B31" s="24" t="s">
        <v>99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customFormat="false" ht="21.75" hidden="false" customHeight="true" outlineLevel="0" collapsed="false">
      <c r="B32" s="25" t="s">
        <v>100</v>
      </c>
      <c r="C32" s="25"/>
      <c r="D32" s="25"/>
      <c r="E32" s="25"/>
      <c r="F32" s="25"/>
      <c r="G32" s="26" t="n">
        <f aca="false">COUNT(C10:C29)</f>
        <v>0</v>
      </c>
      <c r="H32" s="26"/>
      <c r="J32" s="27" t="s">
        <v>70</v>
      </c>
      <c r="K32" s="27"/>
      <c r="L32" s="27"/>
      <c r="M32" s="26" t="s">
        <v>101</v>
      </c>
      <c r="N32" s="26"/>
    </row>
    <row r="33" customFormat="false" ht="21.75" hidden="false" customHeight="true" outlineLevel="0" collapsed="false">
      <c r="B33" s="25" t="s">
        <v>102</v>
      </c>
      <c r="C33" s="25"/>
      <c r="D33" s="25"/>
      <c r="E33" s="25"/>
      <c r="F33" s="25"/>
      <c r="G33" s="26" t="n">
        <f aca="false">COUNTIF(N10:N29,"Encerrada")</f>
        <v>0</v>
      </c>
      <c r="H33" s="26"/>
      <c r="J33" s="4" t="s">
        <v>91</v>
      </c>
      <c r="K33" s="4"/>
      <c r="L33" s="4"/>
      <c r="M33" s="26" t="n">
        <f aca="false">COUNTIF(D10:D29,"Auditoria interna")</f>
        <v>0</v>
      </c>
      <c r="N33" s="26"/>
    </row>
    <row r="34" customFormat="false" ht="21.75" hidden="false" customHeight="true" outlineLevel="0" collapsed="false">
      <c r="B34" s="25" t="s">
        <v>103</v>
      </c>
      <c r="C34" s="25"/>
      <c r="D34" s="25"/>
      <c r="E34" s="25"/>
      <c r="F34" s="25"/>
      <c r="G34" s="26" t="n">
        <f aca="false">G32-G33</f>
        <v>0</v>
      </c>
      <c r="H34" s="26"/>
      <c r="J34" s="4" t="s">
        <v>104</v>
      </c>
      <c r="K34" s="4"/>
      <c r="L34" s="4"/>
      <c r="M34" s="26" t="n">
        <f aca="false">COUNTIF(D10:D29,"Auditoria externa")</f>
        <v>0</v>
      </c>
      <c r="N34" s="26"/>
    </row>
    <row r="35" customFormat="false" ht="21.75" hidden="false" customHeight="true" outlineLevel="0" collapsed="false">
      <c r="B35" s="25" t="s">
        <v>105</v>
      </c>
      <c r="C35" s="25"/>
      <c r="D35" s="25"/>
      <c r="E35" s="25"/>
      <c r="F35" s="25"/>
      <c r="G35" s="26" t="n">
        <f aca="false">COUNTIF(N10:N29,"Atrasada")</f>
        <v>0</v>
      </c>
      <c r="H35" s="26"/>
      <c r="J35" s="4" t="s">
        <v>106</v>
      </c>
      <c r="K35" s="4"/>
      <c r="L35" s="4"/>
      <c r="M35" s="26" t="n">
        <f aca="false">COUNTIF(D10:D29,"Reclamação de cliente")</f>
        <v>0</v>
      </c>
      <c r="N35" s="26"/>
    </row>
    <row r="36" customFormat="false" ht="21.75" hidden="false" customHeight="true" outlineLevel="0" collapsed="false">
      <c r="B36" s="25" t="s">
        <v>107</v>
      </c>
      <c r="C36" s="25"/>
      <c r="D36" s="25"/>
      <c r="E36" s="25"/>
      <c r="F36" s="25"/>
      <c r="G36" s="28" t="str">
        <f aca="false">IF(G33=0,"",AVERAGEIF(N10:N29,"Encerrada",M10:M29))</f>
        <v/>
      </c>
      <c r="H36" s="28"/>
      <c r="J36" s="4" t="s">
        <v>108</v>
      </c>
      <c r="K36" s="4"/>
      <c r="L36" s="4"/>
      <c r="M36" s="26" t="n">
        <f aca="false">COUNTIF(D10:D29,"Produto ou serviço não conforme")</f>
        <v>0</v>
      </c>
      <c r="N36" s="26"/>
    </row>
    <row r="37" customFormat="false" ht="21.75" hidden="false" customHeight="true" outlineLevel="0" collapsed="false">
      <c r="B37" s="25" t="s">
        <v>109</v>
      </c>
      <c r="C37" s="25"/>
      <c r="D37" s="25"/>
      <c r="E37" s="25"/>
      <c r="F37" s="25"/>
      <c r="G37" s="26" t="n">
        <f aca="false">COUNTIF(G10:G29,"Sim")</f>
        <v>0</v>
      </c>
      <c r="H37" s="26"/>
      <c r="J37" s="4" t="s">
        <v>110</v>
      </c>
      <c r="K37" s="4"/>
      <c r="L37" s="4"/>
      <c r="M37" s="26" t="n">
        <f aca="false">COUNTIF(D10:D29,"Fornecedor")</f>
        <v>0</v>
      </c>
      <c r="N37" s="26"/>
    </row>
    <row r="38" customFormat="false" ht="21.75" hidden="false" customHeight="true" outlineLevel="0" collapsed="false">
      <c r="B38" s="25" t="s">
        <v>111</v>
      </c>
      <c r="C38" s="25"/>
      <c r="D38" s="25"/>
      <c r="E38" s="25"/>
      <c r="F38" s="25"/>
      <c r="G38" s="26" t="n">
        <f aca="false">COUNTIF(L10:L29,"Sim")</f>
        <v>0</v>
      </c>
      <c r="H38" s="26"/>
      <c r="J38" s="4" t="s">
        <v>112</v>
      </c>
      <c r="K38" s="4"/>
      <c r="L38" s="4"/>
      <c r="M38" s="26" t="n">
        <f aca="false">COUNTIF(D10:D29,"Indicador fora da meta")</f>
        <v>0</v>
      </c>
      <c r="N38" s="26"/>
    </row>
    <row r="39" customFormat="false" ht="30" hidden="false" customHeight="true" outlineLevel="0" collapsed="false">
      <c r="B39" s="25" t="s">
        <v>113</v>
      </c>
      <c r="C39" s="25"/>
      <c r="D39" s="25"/>
      <c r="E39" s="25"/>
      <c r="F39" s="25"/>
      <c r="G39" s="23" t="str">
        <f aca="false">IF(G32=0,"Registre as não conformidades",IF(COUNTIF(N10:N29,"Falta a data")&gt;0,"Há registro encerrado sem data",IF(COUNTIF(N10:N29,"Confira a etapa")&gt;0,"Há registro com data de encerramento e etapa em aberto",IF(SUMPRODUCT((C10:C29&lt;&gt;"")*(H10:H29=""))&gt;0,"Há registro sem responsável",IF(G35&gt;0,"Há não conformidade atrasada","OK")))))</f>
        <v>Registre as não conformidades</v>
      </c>
      <c r="H39" s="23"/>
      <c r="J39" s="4" t="s">
        <v>114</v>
      </c>
      <c r="K39" s="4"/>
      <c r="L39" s="4"/>
      <c r="M39" s="26" t="n">
        <f aca="false">COUNTIF(D10:D29,"Outra")</f>
        <v>0</v>
      </c>
      <c r="N39" s="26"/>
    </row>
  </sheetData>
  <mergeCells count="43">
    <mergeCell ref="B1:N1"/>
    <mergeCell ref="B2:N2"/>
    <mergeCell ref="B4:D4"/>
    <mergeCell ref="E4:F4"/>
    <mergeCell ref="G4:H4"/>
    <mergeCell ref="I4:N4"/>
    <mergeCell ref="B5:D5"/>
    <mergeCell ref="E5:F5"/>
    <mergeCell ref="G5:H5"/>
    <mergeCell ref="I5:N5"/>
    <mergeCell ref="B31:N31"/>
    <mergeCell ref="B32:F32"/>
    <mergeCell ref="G32:H32"/>
    <mergeCell ref="J32:L32"/>
    <mergeCell ref="M32:N32"/>
    <mergeCell ref="B33:F33"/>
    <mergeCell ref="G33:H33"/>
    <mergeCell ref="J33:L33"/>
    <mergeCell ref="M33:N33"/>
    <mergeCell ref="B34:F34"/>
    <mergeCell ref="G34:H34"/>
    <mergeCell ref="J34:L34"/>
    <mergeCell ref="M34:N34"/>
    <mergeCell ref="B35:F35"/>
    <mergeCell ref="G35:H35"/>
    <mergeCell ref="J35:L35"/>
    <mergeCell ref="M35:N35"/>
    <mergeCell ref="B36:F36"/>
    <mergeCell ref="G36:H36"/>
    <mergeCell ref="J36:L36"/>
    <mergeCell ref="M36:N36"/>
    <mergeCell ref="B37:F37"/>
    <mergeCell ref="G37:H37"/>
    <mergeCell ref="J37:L37"/>
    <mergeCell ref="M37:N37"/>
    <mergeCell ref="B38:F38"/>
    <mergeCell ref="G38:H38"/>
    <mergeCell ref="J38:L38"/>
    <mergeCell ref="M38:N38"/>
    <mergeCell ref="B39:F39"/>
    <mergeCell ref="G39:H39"/>
    <mergeCell ref="J39:L39"/>
    <mergeCell ref="M39:N39"/>
  </mergeCells>
  <conditionalFormatting sqref="N10:N29">
    <cfRule type="cellIs" priority="2" operator="equal" aboveAverage="0" equalAverage="0" bottom="0" percent="0" rank="0" text="" dxfId="0">
      <formula>"Encerrada"</formula>
    </cfRule>
    <cfRule type="cellIs" priority="3" operator="equal" aboveAverage="0" equalAverage="0" bottom="0" percent="0" rank="0" text="" dxfId="0">
      <formula>"Concluída"</formula>
    </cfRule>
    <cfRule type="cellIs" priority="4" operator="equal" aboveAverage="0" equalAverage="0" bottom="0" percent="0" rank="0" text="" dxfId="0">
      <formula>"No prazo"</formula>
    </cfRule>
    <cfRule type="cellIs" priority="5" operator="equal" aboveAverage="0" equalAverage="0" bottom="0" percent="0" rank="0" text="" dxfId="1">
      <formula>"Sem prazo"</formula>
    </cfRule>
    <cfRule type="cellIs" priority="6" operator="equal" aboveAverage="0" equalAverage="0" bottom="0" percent="0" rank="0" text="" dxfId="1">
      <formula>"Falta a data"</formula>
    </cfRule>
    <cfRule type="cellIs" priority="7" operator="equal" aboveAverage="0" equalAverage="0" bottom="0" percent="0" rank="0" text="" dxfId="1">
      <formula>"Confira a etapa"</formula>
    </cfRule>
    <cfRule type="cellIs" priority="8" operator="equal" aboveAverage="0" equalAverage="0" bottom="0" percent="0" rank="0" text="" dxfId="2">
      <formula>"Atrasada"</formula>
    </cfRule>
  </conditionalFormatting>
  <conditionalFormatting sqref="L10:L29">
    <cfRule type="cellIs" priority="9" operator="equal" aboveAverage="0" equalAverage="0" bottom="0" percent="0" rank="0" text="" dxfId="2">
      <formula>"Sim"</formula>
    </cfRule>
  </conditionalFormatting>
  <conditionalFormatting sqref="J10:J29">
    <cfRule type="cellIs" priority="10" operator="equal" aboveAverage="0" equalAverage="0" bottom="0" percent="0" rank="0" text="" dxfId="0">
      <formula>"Encerrada"</formula>
    </cfRule>
  </conditionalFormatting>
  <conditionalFormatting sqref="G39:H39">
    <cfRule type="expression" priority="11" aboveAverage="0" equalAverage="0" bottom="0" percent="0" rank="0" text="" dxfId="0">
      <formula>OR(G39="OK")</formula>
    </cfRule>
    <cfRule type="expression" priority="12" aboveAverage="0" equalAverage="0" bottom="0" percent="0" rank="0" text="" dxfId="1">
      <formula>AND(LEN(G39)&gt;0,NOT(OR(G39="OK")))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I5 C10:C29 I10:I29 K10:K29" type="date">
      <formula1>36526</formula1>
      <formula2>0</formula2>
    </dataValidation>
    <dataValidation allowBlank="true" error="Escolha uma das opções da lista." errorStyle="stop" errorTitle="Valor inválido" operator="between" prompt="Escolha a origem da não conformidade" promptTitle="Opções" showDropDown="false" showErrorMessage="true" showInputMessage="true" sqref="D10:D29" type="list">
      <formula1>"Auditoria interna,Auditoria externa,Reclamação de cliente,Produto ou serviço não conforme,Fornecedor,Indicador fora da meta,Outra"</formula1>
      <formula2>0</formula2>
    </dataValidation>
    <dataValidation allowBlank="true" error="Escolha uma das opções da lista." errorStyle="stop" errorTitle="Valor inválido" operator="between" prompt="A não conformidade pede ação corretiva?" promptTitle="Opções" showDropDown="false" showErrorMessage="true" showInputMessage="true" sqref="G10:G29" type="list">
      <formula1>"Sim,Não"</formula1>
      <formula2>0</formula2>
    </dataValidation>
    <dataValidation allowBlank="true" error="Escolha uma das opções da lista." errorStyle="stop" errorTitle="Valor inválido" operator="between" prompt="Escolha a etapa atual do tratamento" promptTitle="Opções" showDropDown="false" showErrorMessage="true" showInputMessage="true" sqref="J10:J29" type="list">
      <formula1>"Registrada,Correção feita,Causa em análise,Ação em implantação,Eficácia em observação,Encerrada"</formula1>
      <formula2>0</formula2>
    </dataValidation>
    <dataValidation allowBlank="true" error="Escolha uma das opções da lista." errorStyle="stop" errorTitle="Valor inválido" operator="between" prompt="A mesma não conformidade já tinha sido tratada antes?" promptTitle="Opções" showDropDown="false" showErrorMessage="true" showInputMessage="true" sqref="L10:L29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0" man="true" max="16383" min="0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7" min="6" style="0" width="17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115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116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117</v>
      </c>
      <c r="C4" s="4"/>
      <c r="D4" s="5"/>
      <c r="E4" s="4" t="s">
        <v>118</v>
      </c>
      <c r="F4" s="14"/>
      <c r="G4" s="14"/>
    </row>
    <row r="5" customFormat="false" ht="21.75" hidden="false" customHeight="true" outlineLevel="0" collapsed="false">
      <c r="B5" s="4" t="s">
        <v>70</v>
      </c>
      <c r="C5" s="4"/>
      <c r="D5" s="5"/>
      <c r="E5" s="4" t="s">
        <v>71</v>
      </c>
      <c r="F5" s="5"/>
      <c r="G5" s="5"/>
    </row>
    <row r="6" customFormat="false" ht="21.75" hidden="false" customHeight="true" outlineLevel="0" collapsed="false">
      <c r="B6" s="4" t="s">
        <v>119</v>
      </c>
      <c r="C6" s="4"/>
      <c r="D6" s="5"/>
      <c r="E6" s="4" t="s">
        <v>74</v>
      </c>
      <c r="F6" s="5"/>
      <c r="G6" s="5"/>
    </row>
    <row r="8" customFormat="false" ht="21.75" hidden="false" customHeight="true" outlineLevel="0" collapsed="false">
      <c r="B8" s="29" t="s">
        <v>120</v>
      </c>
      <c r="C8" s="29"/>
      <c r="D8" s="29"/>
      <c r="E8" s="29"/>
      <c r="F8" s="29"/>
      <c r="G8" s="29"/>
    </row>
    <row r="9" customFormat="false" ht="36" hidden="false" customHeight="true" outlineLevel="0" collapsed="false">
      <c r="B9" s="4" t="s">
        <v>121</v>
      </c>
      <c r="C9" s="4"/>
      <c r="D9" s="5"/>
      <c r="E9" s="5"/>
      <c r="F9" s="5"/>
      <c r="G9" s="5"/>
    </row>
    <row r="10" customFormat="false" ht="36" hidden="false" customHeight="true" outlineLevel="0" collapsed="false">
      <c r="B10" s="4" t="s">
        <v>122</v>
      </c>
      <c r="C10" s="4"/>
      <c r="D10" s="5"/>
      <c r="E10" s="5"/>
      <c r="F10" s="5"/>
      <c r="G10" s="5"/>
    </row>
    <row r="11" customFormat="false" ht="36" hidden="false" customHeight="true" outlineLevel="0" collapsed="false">
      <c r="B11" s="4" t="s">
        <v>123</v>
      </c>
      <c r="C11" s="4"/>
      <c r="D11" s="5"/>
      <c r="E11" s="5"/>
      <c r="F11" s="5"/>
      <c r="G11" s="5"/>
    </row>
    <row r="13" customFormat="false" ht="21.75" hidden="false" customHeight="true" outlineLevel="0" collapsed="false">
      <c r="B13" s="30" t="s">
        <v>124</v>
      </c>
      <c r="C13" s="30"/>
      <c r="D13" s="30"/>
      <c r="E13" s="30"/>
      <c r="F13" s="30"/>
      <c r="G13" s="30"/>
    </row>
    <row r="14" customFormat="false" ht="21.75" hidden="false" customHeight="true" outlineLevel="0" collapsed="false">
      <c r="B14" s="27" t="s">
        <v>125</v>
      </c>
      <c r="C14" s="26" t="s">
        <v>126</v>
      </c>
      <c r="D14" s="26"/>
      <c r="E14" s="27" t="s">
        <v>74</v>
      </c>
      <c r="F14" s="27" t="s">
        <v>80</v>
      </c>
      <c r="G14" s="27" t="s">
        <v>127</v>
      </c>
    </row>
    <row r="15" customFormat="false" ht="30" hidden="false" customHeight="true" outlineLevel="0" collapsed="false">
      <c r="B15" s="19" t="n">
        <v>1</v>
      </c>
      <c r="C15" s="5"/>
      <c r="D15" s="5"/>
      <c r="E15" s="5"/>
      <c r="F15" s="20"/>
      <c r="G15" s="21"/>
    </row>
    <row r="16" customFormat="false" ht="30" hidden="false" customHeight="true" outlineLevel="0" collapsed="false">
      <c r="B16" s="19" t="n">
        <v>2</v>
      </c>
      <c r="C16" s="5"/>
      <c r="D16" s="5"/>
      <c r="E16" s="5"/>
      <c r="F16" s="20"/>
      <c r="G16" s="21"/>
    </row>
    <row r="17" customFormat="false" ht="30" hidden="false" customHeight="true" outlineLevel="0" collapsed="false">
      <c r="B17" s="19" t="n">
        <v>3</v>
      </c>
      <c r="C17" s="5"/>
      <c r="D17" s="5"/>
      <c r="E17" s="5"/>
      <c r="F17" s="20"/>
      <c r="G17" s="21"/>
    </row>
    <row r="18" customFormat="false" ht="30" hidden="false" customHeight="true" outlineLevel="0" collapsed="false">
      <c r="B18" s="19" t="n">
        <v>4</v>
      </c>
      <c r="C18" s="5"/>
      <c r="D18" s="5"/>
      <c r="E18" s="5"/>
      <c r="F18" s="20"/>
      <c r="G18" s="21"/>
    </row>
    <row r="19" customFormat="false" ht="36" hidden="false" customHeight="true" outlineLevel="0" collapsed="false">
      <c r="B19" s="4" t="s">
        <v>128</v>
      </c>
      <c r="C19" s="4"/>
      <c r="D19" s="5"/>
      <c r="E19" s="5"/>
      <c r="F19" s="5"/>
      <c r="G19" s="5"/>
    </row>
    <row r="21" customFormat="false" ht="21.75" hidden="false" customHeight="true" outlineLevel="0" collapsed="false">
      <c r="B21" s="31" t="s">
        <v>129</v>
      </c>
      <c r="C21" s="31"/>
      <c r="D21" s="31"/>
      <c r="E21" s="31"/>
      <c r="F21" s="31"/>
      <c r="G21" s="31"/>
    </row>
    <row r="22" customFormat="false" ht="30" hidden="false" customHeight="true" outlineLevel="0" collapsed="false">
      <c r="B22" s="4" t="s">
        <v>130</v>
      </c>
      <c r="C22" s="4"/>
      <c r="D22" s="21"/>
      <c r="E22" s="4" t="s">
        <v>131</v>
      </c>
      <c r="F22" s="21"/>
      <c r="G22" s="21"/>
    </row>
    <row r="23" customFormat="false" ht="36" hidden="false" customHeight="true" outlineLevel="0" collapsed="false">
      <c r="B23" s="4" t="s">
        <v>132</v>
      </c>
      <c r="C23" s="4"/>
      <c r="D23" s="5"/>
      <c r="E23" s="5"/>
      <c r="F23" s="5"/>
      <c r="G23" s="5"/>
    </row>
    <row r="24" customFormat="false" ht="36" hidden="false" customHeight="true" outlineLevel="0" collapsed="false">
      <c r="B24" s="4" t="s">
        <v>133</v>
      </c>
      <c r="C24" s="4"/>
      <c r="D24" s="5"/>
      <c r="E24" s="5"/>
      <c r="F24" s="5"/>
      <c r="G24" s="5"/>
    </row>
    <row r="26" customFormat="false" ht="21.75" hidden="false" customHeight="true" outlineLevel="0" collapsed="false">
      <c r="B26" s="31" t="s">
        <v>134</v>
      </c>
      <c r="C26" s="31"/>
      <c r="D26" s="31"/>
      <c r="E26" s="31"/>
      <c r="F26" s="31"/>
      <c r="G26" s="31"/>
    </row>
    <row r="27" customFormat="false" ht="21.75" hidden="false" customHeight="true" outlineLevel="0" collapsed="false">
      <c r="B27" s="27" t="s">
        <v>125</v>
      </c>
      <c r="C27" s="27" t="s">
        <v>135</v>
      </c>
      <c r="D27" s="26" t="s">
        <v>136</v>
      </c>
      <c r="E27" s="26"/>
      <c r="F27" s="26" t="s">
        <v>137</v>
      </c>
      <c r="G27" s="26"/>
    </row>
    <row r="28" customFormat="false" ht="36" hidden="false" customHeight="true" outlineLevel="0" collapsed="false">
      <c r="B28" s="19" t="n">
        <v>1</v>
      </c>
      <c r="C28" s="5"/>
      <c r="D28" s="5"/>
      <c r="E28" s="5"/>
      <c r="F28" s="5"/>
      <c r="G28" s="5"/>
    </row>
    <row r="29" customFormat="false" ht="36" hidden="false" customHeight="true" outlineLevel="0" collapsed="false">
      <c r="B29" s="19" t="n">
        <v>2</v>
      </c>
      <c r="C29" s="5" t="s">
        <v>138</v>
      </c>
      <c r="D29" s="5"/>
      <c r="E29" s="5"/>
      <c r="F29" s="5"/>
      <c r="G29" s="5"/>
    </row>
    <row r="30" customFormat="false" ht="36" hidden="false" customHeight="true" outlineLevel="0" collapsed="false">
      <c r="B30" s="19" t="n">
        <v>3</v>
      </c>
      <c r="C30" s="5" t="s">
        <v>138</v>
      </c>
      <c r="D30" s="5"/>
      <c r="E30" s="5"/>
      <c r="F30" s="5"/>
      <c r="G30" s="5"/>
    </row>
    <row r="31" customFormat="false" ht="36" hidden="false" customHeight="true" outlineLevel="0" collapsed="false">
      <c r="B31" s="19" t="n">
        <v>4</v>
      </c>
      <c r="C31" s="5" t="s">
        <v>138</v>
      </c>
      <c r="D31" s="5"/>
      <c r="E31" s="5"/>
      <c r="F31" s="5"/>
      <c r="G31" s="5"/>
    </row>
    <row r="32" customFormat="false" ht="36" hidden="false" customHeight="true" outlineLevel="0" collapsed="false">
      <c r="B32" s="19" t="n">
        <v>5</v>
      </c>
      <c r="C32" s="5" t="s">
        <v>138</v>
      </c>
      <c r="D32" s="5"/>
      <c r="E32" s="5"/>
      <c r="F32" s="5"/>
      <c r="G32" s="5"/>
    </row>
    <row r="33" customFormat="false" ht="36" hidden="false" customHeight="true" outlineLevel="0" collapsed="false">
      <c r="B33" s="4" t="s">
        <v>139</v>
      </c>
      <c r="C33" s="4"/>
      <c r="D33" s="5"/>
      <c r="E33" s="5"/>
      <c r="F33" s="5"/>
      <c r="G33" s="5"/>
    </row>
    <row r="35" customFormat="false" ht="21.75" hidden="false" customHeight="true" outlineLevel="0" collapsed="false">
      <c r="B35" s="24" t="s">
        <v>140</v>
      </c>
      <c r="C35" s="24"/>
      <c r="D35" s="24"/>
      <c r="E35" s="24"/>
      <c r="F35" s="24"/>
      <c r="G35" s="24"/>
    </row>
    <row r="36" customFormat="false" ht="36" hidden="false" customHeight="true" outlineLevel="0" collapsed="false">
      <c r="B36" s="4" t="s">
        <v>141</v>
      </c>
      <c r="C36" s="4"/>
      <c r="D36" s="5"/>
      <c r="E36" s="5"/>
      <c r="F36" s="5"/>
      <c r="G36" s="5"/>
    </row>
    <row r="37" customFormat="false" ht="21.75" hidden="false" customHeight="true" outlineLevel="0" collapsed="false">
      <c r="B37" s="4" t="s">
        <v>142</v>
      </c>
      <c r="C37" s="4"/>
      <c r="D37" s="21"/>
      <c r="E37" s="4" t="s">
        <v>143</v>
      </c>
      <c r="F37" s="20"/>
      <c r="G37" s="20"/>
    </row>
    <row r="38" customFormat="false" ht="21.75" hidden="false" customHeight="true" outlineLevel="0" collapsed="false">
      <c r="B38" s="4" t="s">
        <v>144</v>
      </c>
      <c r="C38" s="4"/>
      <c r="D38" s="5"/>
      <c r="E38" s="4" t="s">
        <v>145</v>
      </c>
      <c r="F38" s="23" t="str">
        <f aca="false">IF(LEFT(Eficácia!E29,6)="Eficaz","Eficaz",IF(LEFT(Eficácia!E29,3)="Não","Não eficaz","Não comprovada"))</f>
        <v>Não comprovada</v>
      </c>
      <c r="G38" s="23"/>
    </row>
    <row r="40" customFormat="false" ht="21.75" hidden="false" customHeight="true" outlineLevel="0" collapsed="false">
      <c r="B40" s="24" t="s">
        <v>146</v>
      </c>
      <c r="C40" s="24"/>
      <c r="D40" s="24"/>
      <c r="E40" s="24"/>
      <c r="F40" s="24"/>
      <c r="G40" s="24"/>
    </row>
    <row r="41" customFormat="false" ht="21.75" hidden="false" customHeight="true" outlineLevel="0" collapsed="false">
      <c r="B41" s="4" t="s">
        <v>147</v>
      </c>
      <c r="C41" s="4"/>
      <c r="D41" s="32" t="str">
        <f aca="false">IF(COUNTA(D9:D11)=3,"Completa","Falta "&amp;IF(D9="","o requisito",IF(D10="","a evidência","a declaração")))</f>
        <v>Falta o requisito</v>
      </c>
      <c r="E41" s="32"/>
      <c r="F41" s="32"/>
      <c r="G41" s="32"/>
    </row>
    <row r="42" customFormat="false" ht="21.75" hidden="false" customHeight="true" outlineLevel="0" collapsed="false">
      <c r="B42" s="4" t="s">
        <v>148</v>
      </c>
      <c r="C42" s="4"/>
      <c r="D42" s="32" t="str">
        <f aca="false">IF(COUNTA(C15:C18)=0,"Registre a correção",IF(SUMPRODUCT((C15:C18&lt;&gt;"")*(((E15:E18="")+(F15:F18=""))&gt;0))&gt;0,"Há correção sem responsável ou sem data",IF(COUNTIF(G15:G18,"Pendente")&gt;0,"Há correção pendente","Completa")))</f>
        <v>Registre a correção</v>
      </c>
      <c r="E42" s="32"/>
      <c r="F42" s="32"/>
      <c r="G42" s="32"/>
    </row>
    <row r="43" customFormat="false" ht="21.75" hidden="false" customHeight="true" outlineLevel="0" collapsed="false">
      <c r="B43" s="4" t="s">
        <v>129</v>
      </c>
      <c r="C43" s="4"/>
      <c r="D43" s="32" t="str">
        <f aca="false">IF(D22="","Informe se a falha existe em outro lugar",IF(D22="Não verificado","Verifique a abrangência",IF(F22="","Registre a decisão",IF(D24="","Justifique a decisão","Completa"))))</f>
        <v>Informe se a falha existe em outro lugar</v>
      </c>
      <c r="E43" s="32"/>
      <c r="F43" s="32"/>
      <c r="G43" s="32"/>
    </row>
    <row r="44" customFormat="false" ht="21.75" hidden="false" customHeight="true" outlineLevel="0" collapsed="false">
      <c r="B44" s="4" t="s">
        <v>134</v>
      </c>
      <c r="C44" s="4"/>
      <c r="D44" s="32" t="str">
        <f aca="false">IF(F22="Não","Não se aplica",IF(COUNTA(D28:D32)&lt;2,"Responda a pelo menos dois porquês",IF(COUNTA(F28:F32)&lt;COUNTA(D28:D32),"Há resposta sem confirmação",IF(D33="","Escreva a causa raiz","Completa"))))</f>
        <v>Responda a pelo menos dois porquês</v>
      </c>
      <c r="E44" s="32"/>
      <c r="F44" s="32"/>
      <c r="G44" s="32"/>
    </row>
    <row r="45" customFormat="false" ht="21.75" hidden="false" customHeight="true" outlineLevel="0" collapsed="false">
      <c r="B45" s="4" t="s">
        <v>140</v>
      </c>
      <c r="C45" s="4"/>
      <c r="D45" s="32" t="str">
        <f aca="false">IF(F37="","Em aberto",IF(AND(F22="Sim",F38&lt;&gt;"Eficaz"),"Encerrado sem eficácia comprovada","Encerrado"))</f>
        <v>Em aberto</v>
      </c>
      <c r="E45" s="32"/>
      <c r="F45" s="32"/>
      <c r="G45" s="32"/>
    </row>
    <row r="46" customFormat="false" ht="21.75" hidden="false" customHeight="true" outlineLevel="0" collapsed="false">
      <c r="B46" s="4" t="s">
        <v>149</v>
      </c>
      <c r="C46" s="4"/>
      <c r="D46" s="33" t="str">
        <f aca="false">IF(COUNTA(D9:D11,C15:C18,D22,F22)=0,"Registro em branco",IF(SUMPRODUCT((D41:D44&lt;&gt;"Completa")*(D41:D44&lt;&gt;"Não se aplica"))&gt;0,"Há blocos incompletos",IF(F22="Não","Registro completo: só correção","Pronto para o plano de ação")))</f>
        <v>Registro em branco</v>
      </c>
      <c r="E46" s="33"/>
      <c r="F46" s="33"/>
      <c r="G46" s="33"/>
    </row>
  </sheetData>
  <mergeCells count="65">
    <mergeCell ref="B1:G1"/>
    <mergeCell ref="B2:G2"/>
    <mergeCell ref="B4:C4"/>
    <mergeCell ref="F4:G4"/>
    <mergeCell ref="B5:C5"/>
    <mergeCell ref="F5:G5"/>
    <mergeCell ref="B6:C6"/>
    <mergeCell ref="F6:G6"/>
    <mergeCell ref="B8:G8"/>
    <mergeCell ref="B9:C9"/>
    <mergeCell ref="D9:G9"/>
    <mergeCell ref="B10:C10"/>
    <mergeCell ref="D10:G10"/>
    <mergeCell ref="B11:C11"/>
    <mergeCell ref="D11:G11"/>
    <mergeCell ref="B13:G13"/>
    <mergeCell ref="C14:D14"/>
    <mergeCell ref="C15:D15"/>
    <mergeCell ref="C16:D16"/>
    <mergeCell ref="C17:D17"/>
    <mergeCell ref="C18:D18"/>
    <mergeCell ref="B19:C19"/>
    <mergeCell ref="D19:G19"/>
    <mergeCell ref="B21:G21"/>
    <mergeCell ref="B22:C22"/>
    <mergeCell ref="F22:G22"/>
    <mergeCell ref="B23:C23"/>
    <mergeCell ref="D23:G23"/>
    <mergeCell ref="B24:C24"/>
    <mergeCell ref="D24:G24"/>
    <mergeCell ref="B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B33:C33"/>
    <mergeCell ref="D33:G33"/>
    <mergeCell ref="B35:G35"/>
    <mergeCell ref="B36:C36"/>
    <mergeCell ref="D36:G36"/>
    <mergeCell ref="B37:C37"/>
    <mergeCell ref="F37:G37"/>
    <mergeCell ref="B38:C38"/>
    <mergeCell ref="F38:G38"/>
    <mergeCell ref="B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</mergeCells>
  <conditionalFormatting sqref="G15:G18">
    <cfRule type="cellIs" priority="2" operator="equal" aboveAverage="0" equalAverage="0" bottom="0" percent="0" rank="0" text="" dxfId="0">
      <formula>"Feita"</formula>
    </cfRule>
    <cfRule type="cellIs" priority="3" operator="equal" aboveAverage="0" equalAverage="0" bottom="0" percent="0" rank="0" text="" dxfId="2">
      <formula>"Pendente"</formula>
    </cfRule>
  </conditionalFormatting>
  <conditionalFormatting sqref="D41:D44">
    <cfRule type="expression" priority="4" aboveAverage="0" equalAverage="0" bottom="0" percent="0" rank="0" text="" dxfId="0">
      <formula>OR(D41="Completa",D41="Não se aplica")</formula>
    </cfRule>
    <cfRule type="expression" priority="5" aboveAverage="0" equalAverage="0" bottom="0" percent="0" rank="0" text="" dxfId="1">
      <formula>AND(LEN(D41)&gt;0,NOT(OR(D41="Completa",D41="Não se aplica")))</formula>
    </cfRule>
  </conditionalFormatting>
  <conditionalFormatting sqref="D45">
    <cfRule type="expression" priority="6" aboveAverage="0" equalAverage="0" bottom="0" percent="0" rank="0" text="" dxfId="0">
      <formula>OR(D45="Encerrado",D45="Em aberto")</formula>
    </cfRule>
    <cfRule type="expression" priority="7" aboveAverage="0" equalAverage="0" bottom="0" percent="0" rank="0" text="" dxfId="1">
      <formula>AND(LEN(D45)&gt;0,NOT(OR(D45="Encerrado",D45="Em aberto")))</formula>
    </cfRule>
  </conditionalFormatting>
  <conditionalFormatting sqref="D46">
    <cfRule type="expression" priority="8" aboveAverage="0" equalAverage="0" bottom="0" percent="0" rank="0" text="" dxfId="0">
      <formula>OR(D46="Pronto para o plano de ação",D46="Registro completo: só correção")</formula>
    </cfRule>
    <cfRule type="expression" priority="9" aboveAverage="0" equalAverage="0" bottom="0" percent="0" rank="0" text="" dxfId="1">
      <formula>AND(LEN(D46)&gt;0,NOT(OR(D46="Pronto para o plano de ação",D46="Registro completo: só correção")))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F4 F15:F18 F37" type="date">
      <formula1>36526</formula1>
      <formula2>0</formula2>
    </dataValidation>
    <dataValidation allowBlank="true" error="Escolha uma das opções da lista." errorStyle="stop" errorTitle="Valor inválido" operator="between" prompt="Escolha a origem da não conformidade" promptTitle="Opções" showDropDown="false" showErrorMessage="true" showInputMessage="true" sqref="D5" type="list">
      <formula1>"Auditoria interna,Auditoria externa,Reclamação de cliente,Produto ou serviço não conforme,Fornecedor,Indicador fora da meta,Outra"</formula1>
      <formula2>0</formula2>
    </dataValidation>
    <dataValidation allowBlank="true" error="Escolha uma das opções da lista." errorStyle="stop" errorTitle="Valor inválido" operator="between" prompt="Feita ou Pendente" promptTitle="Opções" showDropDown="false" showErrorMessage="true" showInputMessage="true" sqref="G15:G18" type="list">
      <formula1>"Feita,Pendente"</formula1>
      <formula2>0</formula2>
    </dataValidation>
    <dataValidation allowBlank="true" error="Escolha uma das opções da lista." errorStyle="stop" errorTitle="Valor inválido" operator="between" prompt="Outros produtos, locais, turnos ou períodos" promptTitle="Opções" showDropDown="false" showErrorMessage="true" showInputMessage="true" sqref="D22" type="list">
      <formula1>"Sim,Não,Não verificado"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F22" type="list">
      <formula1>"Sim,Não"</formula1>
      <formula2>0</formula2>
    </dataValidation>
    <dataValidation allowBlank="true" error="Escolha uma das opções da lista." errorStyle="stop" errorTitle="Valor inválido" operator="between" prompt="Sim, Não ou Não se aplica" promptTitle="Opções" showDropDown="false" showErrorMessage="true" showInputMessage="true" sqref="D37" type="list">
      <formula1>"Sim,Não,Não se aplica"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1" min="11" style="0" width="24"/>
    <col collapsed="false" customWidth="true" hidden="false" outlineLevel="0" max="12" min="12" style="0" width="14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40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B4" s="4" t="s">
        <v>117</v>
      </c>
      <c r="C4" s="4"/>
      <c r="D4" s="6" t="str">
        <f aca="false">IF(Registro!D4="","",Registro!D4)</f>
        <v/>
      </c>
      <c r="E4" s="4" t="s">
        <v>14</v>
      </c>
      <c r="F4" s="32" t="str">
        <f aca="false">IF(Registro!D11="","",Registro!D11)</f>
        <v/>
      </c>
      <c r="G4" s="32"/>
      <c r="H4" s="32"/>
      <c r="I4" s="32"/>
      <c r="J4" s="32"/>
      <c r="K4" s="32"/>
      <c r="L4" s="32"/>
    </row>
    <row r="6" customFormat="false" ht="21.75" hidden="false" customHeight="true" outlineLevel="0" collapsed="false">
      <c r="B6" s="15" t="s">
        <v>125</v>
      </c>
      <c r="C6" s="15" t="s">
        <v>151</v>
      </c>
      <c r="D6" s="15" t="s">
        <v>152</v>
      </c>
      <c r="E6" s="15" t="s">
        <v>153</v>
      </c>
      <c r="F6" s="15" t="s">
        <v>74</v>
      </c>
      <c r="G6" s="15" t="s">
        <v>75</v>
      </c>
      <c r="H6" s="15" t="s">
        <v>127</v>
      </c>
      <c r="I6" s="15" t="s">
        <v>154</v>
      </c>
      <c r="J6" s="15" t="s">
        <v>155</v>
      </c>
      <c r="K6" s="15" t="s">
        <v>58</v>
      </c>
      <c r="L6" s="15" t="s">
        <v>53</v>
      </c>
    </row>
    <row r="7" customFormat="false" ht="30" hidden="false" customHeight="true" outlineLevel="0" collapsed="false">
      <c r="B7" s="16"/>
      <c r="C7" s="16" t="s">
        <v>156</v>
      </c>
      <c r="D7" s="16" t="s">
        <v>157</v>
      </c>
      <c r="E7" s="16" t="s">
        <v>158</v>
      </c>
      <c r="F7" s="16" t="s">
        <v>159</v>
      </c>
      <c r="G7" s="16" t="s">
        <v>80</v>
      </c>
      <c r="H7" s="16" t="s">
        <v>160</v>
      </c>
      <c r="I7" s="16" t="s">
        <v>80</v>
      </c>
      <c r="J7" s="16" t="s">
        <v>161</v>
      </c>
      <c r="K7" s="16" t="s">
        <v>162</v>
      </c>
      <c r="L7" s="16" t="s">
        <v>89</v>
      </c>
    </row>
    <row r="8" customFormat="false" ht="36" hidden="false" customHeight="true" outlineLevel="0" collapsed="false">
      <c r="B8" s="16" t="s">
        <v>90</v>
      </c>
      <c r="C8" s="16" t="s">
        <v>18</v>
      </c>
      <c r="D8" s="18" t="s">
        <v>163</v>
      </c>
      <c r="E8" s="18" t="s">
        <v>164</v>
      </c>
      <c r="F8" s="18" t="s">
        <v>165</v>
      </c>
      <c r="G8" s="17" t="n">
        <v>46311</v>
      </c>
      <c r="H8" s="16" t="s">
        <v>166</v>
      </c>
      <c r="I8" s="17" t="n">
        <v>46309</v>
      </c>
      <c r="J8" s="18" t="s">
        <v>167</v>
      </c>
      <c r="K8" s="16" t="s">
        <v>168</v>
      </c>
      <c r="L8" s="16" t="s">
        <v>166</v>
      </c>
    </row>
    <row r="9" customFormat="false" ht="36" hidden="false" customHeight="true" outlineLevel="0" collapsed="false">
      <c r="B9" s="19" t="n">
        <v>1</v>
      </c>
      <c r="C9" s="21"/>
      <c r="D9" s="5"/>
      <c r="E9" s="5"/>
      <c r="F9" s="5"/>
      <c r="G9" s="20"/>
      <c r="H9" s="21"/>
      <c r="I9" s="20"/>
      <c r="J9" s="5"/>
      <c r="K9" s="23" t="str">
        <f aca="false">IF(C9="","",IF(D9="","Falta a ação",IF(AND(C9="Ação corretiva",E9=""),"Falta a causa tratada",IF(OR(F9="",G9=""),"Falta responsável ou prazo",IF(AND(H9="Concluída",J9=""),"Falta a evidência","Completa")))))</f>
        <v/>
      </c>
      <c r="L9" s="23" t="str">
        <f aca="true">IF(C9="","",IF(H9="Concluída","Concluída",IF(H9="Cancelada","Cancelada",IF(G9="","Sem prazo",IF(G9&lt;TODAY(),"Atrasada","No prazo")))))</f>
        <v/>
      </c>
    </row>
    <row r="10" customFormat="false" ht="36" hidden="false" customHeight="true" outlineLevel="0" collapsed="false">
      <c r="B10" s="19" t="n">
        <v>2</v>
      </c>
      <c r="C10" s="21"/>
      <c r="D10" s="5"/>
      <c r="E10" s="5"/>
      <c r="F10" s="5"/>
      <c r="G10" s="20"/>
      <c r="H10" s="21"/>
      <c r="I10" s="20"/>
      <c r="J10" s="5"/>
      <c r="K10" s="23" t="str">
        <f aca="false">IF(C10="","",IF(D10="","Falta a ação",IF(AND(C10="Ação corretiva",E10=""),"Falta a causa tratada",IF(OR(F10="",G10=""),"Falta responsável ou prazo",IF(AND(H10="Concluída",J10=""),"Falta a evidência","Completa")))))</f>
        <v/>
      </c>
      <c r="L10" s="23" t="str">
        <f aca="true">IF(C10="","",IF(H10="Concluída","Concluída",IF(H10="Cancelada","Cancelada",IF(G10="","Sem prazo",IF(G10&lt;TODAY(),"Atrasada","No prazo")))))</f>
        <v/>
      </c>
    </row>
    <row r="11" customFormat="false" ht="36" hidden="false" customHeight="true" outlineLevel="0" collapsed="false">
      <c r="B11" s="19" t="n">
        <v>3</v>
      </c>
      <c r="C11" s="21"/>
      <c r="D11" s="5"/>
      <c r="E11" s="5"/>
      <c r="F11" s="5"/>
      <c r="G11" s="20"/>
      <c r="H11" s="21"/>
      <c r="I11" s="20"/>
      <c r="J11" s="5"/>
      <c r="K11" s="23" t="str">
        <f aca="false">IF(C11="","",IF(D11="","Falta a ação",IF(AND(C11="Ação corretiva",E11=""),"Falta a causa tratada",IF(OR(F11="",G11=""),"Falta responsável ou prazo",IF(AND(H11="Concluída",J11=""),"Falta a evidência","Completa")))))</f>
        <v/>
      </c>
      <c r="L11" s="23" t="str">
        <f aca="true">IF(C11="","",IF(H11="Concluída","Concluída",IF(H11="Cancelada","Cancelada",IF(G11="","Sem prazo",IF(G11&lt;TODAY(),"Atrasada","No prazo")))))</f>
        <v/>
      </c>
    </row>
    <row r="12" customFormat="false" ht="36" hidden="false" customHeight="true" outlineLevel="0" collapsed="false">
      <c r="B12" s="19" t="n">
        <v>4</v>
      </c>
      <c r="C12" s="21"/>
      <c r="D12" s="5"/>
      <c r="E12" s="5"/>
      <c r="F12" s="5"/>
      <c r="G12" s="20"/>
      <c r="H12" s="21"/>
      <c r="I12" s="20"/>
      <c r="J12" s="5"/>
      <c r="K12" s="23" t="str">
        <f aca="false">IF(C12="","",IF(D12="","Falta a ação",IF(AND(C12="Ação corretiva",E12=""),"Falta a causa tratada",IF(OR(F12="",G12=""),"Falta responsável ou prazo",IF(AND(H12="Concluída",J12=""),"Falta a evidência","Completa")))))</f>
        <v/>
      </c>
      <c r="L12" s="23" t="str">
        <f aca="true">IF(C12="","",IF(H12="Concluída","Concluída",IF(H12="Cancelada","Cancelada",IF(G12="","Sem prazo",IF(G12&lt;TODAY(),"Atrasada","No prazo")))))</f>
        <v/>
      </c>
    </row>
    <row r="13" customFormat="false" ht="36" hidden="false" customHeight="true" outlineLevel="0" collapsed="false">
      <c r="B13" s="19" t="n">
        <v>5</v>
      </c>
      <c r="C13" s="21"/>
      <c r="D13" s="5"/>
      <c r="E13" s="5"/>
      <c r="F13" s="5"/>
      <c r="G13" s="20"/>
      <c r="H13" s="21"/>
      <c r="I13" s="20"/>
      <c r="J13" s="5"/>
      <c r="K13" s="23" t="str">
        <f aca="false">IF(C13="","",IF(D13="","Falta a ação",IF(AND(C13="Ação corretiva",E13=""),"Falta a causa tratada",IF(OR(F13="",G13=""),"Falta responsável ou prazo",IF(AND(H13="Concluída",J13=""),"Falta a evidência","Completa")))))</f>
        <v/>
      </c>
      <c r="L13" s="23" t="str">
        <f aca="true">IF(C13="","",IF(H13="Concluída","Concluída",IF(H13="Cancelada","Cancelada",IF(G13="","Sem prazo",IF(G13&lt;TODAY(),"Atrasada","No prazo")))))</f>
        <v/>
      </c>
    </row>
    <row r="14" customFormat="false" ht="36" hidden="false" customHeight="true" outlineLevel="0" collapsed="false">
      <c r="B14" s="19" t="n">
        <v>6</v>
      </c>
      <c r="C14" s="21"/>
      <c r="D14" s="5"/>
      <c r="E14" s="5"/>
      <c r="F14" s="5"/>
      <c r="G14" s="20"/>
      <c r="H14" s="21"/>
      <c r="I14" s="20"/>
      <c r="J14" s="5"/>
      <c r="K14" s="23" t="str">
        <f aca="false">IF(C14="","",IF(D14="","Falta a ação",IF(AND(C14="Ação corretiva",E14=""),"Falta a causa tratada",IF(OR(F14="",G14=""),"Falta responsável ou prazo",IF(AND(H14="Concluída",J14=""),"Falta a evidência","Completa")))))</f>
        <v/>
      </c>
      <c r="L14" s="23" t="str">
        <f aca="true">IF(C14="","",IF(H14="Concluída","Concluída",IF(H14="Cancelada","Cancelada",IF(G14="","Sem prazo",IF(G14&lt;TODAY(),"Atrasada","No prazo")))))</f>
        <v/>
      </c>
    </row>
    <row r="15" customFormat="false" ht="36" hidden="false" customHeight="true" outlineLevel="0" collapsed="false">
      <c r="B15" s="19" t="n">
        <v>7</v>
      </c>
      <c r="C15" s="21"/>
      <c r="D15" s="5"/>
      <c r="E15" s="5"/>
      <c r="F15" s="5"/>
      <c r="G15" s="20"/>
      <c r="H15" s="21"/>
      <c r="I15" s="20"/>
      <c r="J15" s="5"/>
      <c r="K15" s="23" t="str">
        <f aca="false">IF(C15="","",IF(D15="","Falta a ação",IF(AND(C15="Ação corretiva",E15=""),"Falta a causa tratada",IF(OR(F15="",G15=""),"Falta responsável ou prazo",IF(AND(H15="Concluída",J15=""),"Falta a evidência","Completa")))))</f>
        <v/>
      </c>
      <c r="L15" s="23" t="str">
        <f aca="true">IF(C15="","",IF(H15="Concluída","Concluída",IF(H15="Cancelada","Cancelada",IF(G15="","Sem prazo",IF(G15&lt;TODAY(),"Atrasada","No prazo")))))</f>
        <v/>
      </c>
    </row>
    <row r="16" customFormat="false" ht="36" hidden="false" customHeight="true" outlineLevel="0" collapsed="false">
      <c r="B16" s="19" t="n">
        <v>8</v>
      </c>
      <c r="C16" s="21"/>
      <c r="D16" s="5"/>
      <c r="E16" s="5"/>
      <c r="F16" s="5"/>
      <c r="G16" s="20"/>
      <c r="H16" s="21"/>
      <c r="I16" s="20"/>
      <c r="J16" s="5"/>
      <c r="K16" s="23" t="str">
        <f aca="false">IF(C16="","",IF(D16="","Falta a ação",IF(AND(C16="Ação corretiva",E16=""),"Falta a causa tratada",IF(OR(F16="",G16=""),"Falta responsável ou prazo",IF(AND(H16="Concluída",J16=""),"Falta a evidência","Completa")))))</f>
        <v/>
      </c>
      <c r="L16" s="23" t="str">
        <f aca="true">IF(C16="","",IF(H16="Concluída","Concluída",IF(H16="Cancelada","Cancelada",IF(G16="","Sem prazo",IF(G16&lt;TODAY(),"Atrasada","No prazo")))))</f>
        <v/>
      </c>
    </row>
    <row r="17" customFormat="false" ht="36" hidden="false" customHeight="true" outlineLevel="0" collapsed="false">
      <c r="B17" s="19" t="n">
        <v>9</v>
      </c>
      <c r="C17" s="21"/>
      <c r="D17" s="5"/>
      <c r="E17" s="5"/>
      <c r="F17" s="5"/>
      <c r="G17" s="20"/>
      <c r="H17" s="21"/>
      <c r="I17" s="20"/>
      <c r="J17" s="5"/>
      <c r="K17" s="23" t="str">
        <f aca="false">IF(C17="","",IF(D17="","Falta a ação",IF(AND(C17="Ação corretiva",E17=""),"Falta a causa tratada",IF(OR(F17="",G17=""),"Falta responsável ou prazo",IF(AND(H17="Concluída",J17=""),"Falta a evidência","Completa")))))</f>
        <v/>
      </c>
      <c r="L17" s="23" t="str">
        <f aca="true">IF(C17="","",IF(H17="Concluída","Concluída",IF(H17="Cancelada","Cancelada",IF(G17="","Sem prazo",IF(G17&lt;TODAY(),"Atrasada","No prazo")))))</f>
        <v/>
      </c>
    </row>
    <row r="18" customFormat="false" ht="36" hidden="false" customHeight="true" outlineLevel="0" collapsed="false">
      <c r="B18" s="19" t="n">
        <v>10</v>
      </c>
      <c r="C18" s="21"/>
      <c r="D18" s="5"/>
      <c r="E18" s="5"/>
      <c r="F18" s="5"/>
      <c r="G18" s="20"/>
      <c r="H18" s="21"/>
      <c r="I18" s="20"/>
      <c r="J18" s="5"/>
      <c r="K18" s="23" t="str">
        <f aca="false">IF(C18="","",IF(D18="","Falta a ação",IF(AND(C18="Ação corretiva",E18=""),"Falta a causa tratada",IF(OR(F18="",G18=""),"Falta responsável ou prazo",IF(AND(H18="Concluída",J18=""),"Falta a evidência","Completa")))))</f>
        <v/>
      </c>
      <c r="L18" s="23" t="str">
        <f aca="true">IF(C18="","",IF(H18="Concluída","Concluída",IF(H18="Cancelada","Cancelada",IF(G18="","Sem prazo",IF(G18&lt;TODAY(),"Atrasada","No prazo")))))</f>
        <v/>
      </c>
    </row>
    <row r="19" customFormat="false" ht="36" hidden="false" customHeight="true" outlineLevel="0" collapsed="false">
      <c r="B19" s="19" t="n">
        <v>11</v>
      </c>
      <c r="C19" s="21"/>
      <c r="D19" s="5"/>
      <c r="E19" s="5"/>
      <c r="F19" s="5"/>
      <c r="G19" s="20"/>
      <c r="H19" s="21"/>
      <c r="I19" s="20"/>
      <c r="J19" s="5"/>
      <c r="K19" s="23" t="str">
        <f aca="false">IF(C19="","",IF(D19="","Falta a ação",IF(AND(C19="Ação corretiva",E19=""),"Falta a causa tratada",IF(OR(F19="",G19=""),"Falta responsável ou prazo",IF(AND(H19="Concluída",J19=""),"Falta a evidência","Completa")))))</f>
        <v/>
      </c>
      <c r="L19" s="23" t="str">
        <f aca="true">IF(C19="","",IF(H19="Concluída","Concluída",IF(H19="Cancelada","Cancelada",IF(G19="","Sem prazo",IF(G19&lt;TODAY(),"Atrasada","No prazo")))))</f>
        <v/>
      </c>
    </row>
    <row r="20" customFormat="false" ht="36" hidden="false" customHeight="true" outlineLevel="0" collapsed="false">
      <c r="B20" s="19" t="n">
        <v>12</v>
      </c>
      <c r="C20" s="21"/>
      <c r="D20" s="5"/>
      <c r="E20" s="5"/>
      <c r="F20" s="5"/>
      <c r="G20" s="20"/>
      <c r="H20" s="21"/>
      <c r="I20" s="20"/>
      <c r="J20" s="5"/>
      <c r="K20" s="23" t="str">
        <f aca="false">IF(C20="","",IF(D20="","Falta a ação",IF(AND(C20="Ação corretiva",E20=""),"Falta a causa tratada",IF(OR(F20="",G20=""),"Falta responsável ou prazo",IF(AND(H20="Concluída",J20=""),"Falta a evidência","Completa")))))</f>
        <v/>
      </c>
      <c r="L20" s="23" t="str">
        <f aca="true">IF(C20="","",IF(H20="Concluída","Concluída",IF(H20="Cancelada","Cancelada",IF(G20="","Sem prazo",IF(G20&lt;TODAY(),"Atrasada","No prazo")))))</f>
        <v/>
      </c>
    </row>
    <row r="22" customFormat="false" ht="21.75" hidden="false" customHeight="true" outlineLevel="0" collapsed="false">
      <c r="B22" s="24" t="s">
        <v>99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customFormat="false" ht="21.75" hidden="false" customHeight="true" outlineLevel="0" collapsed="false">
      <c r="B23" s="25" t="s">
        <v>169</v>
      </c>
      <c r="C23" s="25"/>
      <c r="D23" s="25"/>
      <c r="E23" s="26" t="n">
        <f aca="false">COUNTA(C9:C20)</f>
        <v>0</v>
      </c>
      <c r="F23" s="26"/>
    </row>
    <row r="24" customFormat="false" ht="21.75" hidden="false" customHeight="true" outlineLevel="0" collapsed="false">
      <c r="B24" s="25" t="s">
        <v>170</v>
      </c>
      <c r="C24" s="25"/>
      <c r="D24" s="25"/>
      <c r="E24" s="26" t="n">
        <f aca="false">COUNTIF(C9:C20,"Correção")</f>
        <v>0</v>
      </c>
      <c r="F24" s="26"/>
    </row>
    <row r="25" customFormat="false" ht="21.75" hidden="false" customHeight="true" outlineLevel="0" collapsed="false">
      <c r="B25" s="25" t="s">
        <v>171</v>
      </c>
      <c r="C25" s="25"/>
      <c r="D25" s="25"/>
      <c r="E25" s="26" t="n">
        <f aca="false">COUNTIF(C9:C20,"Ação corretiva")</f>
        <v>0</v>
      </c>
      <c r="F25" s="26"/>
    </row>
    <row r="26" customFormat="false" ht="21.75" hidden="false" customHeight="true" outlineLevel="0" collapsed="false">
      <c r="B26" s="25" t="s">
        <v>172</v>
      </c>
      <c r="C26" s="25"/>
      <c r="D26" s="25"/>
      <c r="E26" s="26" t="n">
        <f aca="false">COUNTIF(L9:L20,"Concluída")</f>
        <v>0</v>
      </c>
      <c r="F26" s="26"/>
    </row>
    <row r="27" customFormat="false" ht="21.75" hidden="false" customHeight="true" outlineLevel="0" collapsed="false">
      <c r="B27" s="25" t="s">
        <v>105</v>
      </c>
      <c r="C27" s="25"/>
      <c r="D27" s="25"/>
      <c r="E27" s="26" t="n">
        <f aca="false">COUNTIF(L9:L20,"Atrasada")</f>
        <v>0</v>
      </c>
      <c r="F27" s="26"/>
    </row>
    <row r="28" customFormat="false" ht="21.75" hidden="false" customHeight="true" outlineLevel="0" collapsed="false">
      <c r="B28" s="25" t="s">
        <v>173</v>
      </c>
      <c r="C28" s="25"/>
      <c r="D28" s="25"/>
      <c r="E28" s="34" t="n">
        <f aca="false">IF(E23-COUNTIF(L9:L20,"Cancelada")&lt;=0,0,E26/(E23-COUNTIF(L9:L20,"Cancelada")))</f>
        <v>0</v>
      </c>
      <c r="F28" s="34"/>
    </row>
    <row r="29" customFormat="false" ht="30" hidden="false" customHeight="true" outlineLevel="0" collapsed="false">
      <c r="B29" s="25" t="s">
        <v>113</v>
      </c>
      <c r="C29" s="25"/>
      <c r="D29" s="25"/>
      <c r="E29" s="23" t="str">
        <f aca="false">IF(E23=0,"Registre as ações",IF(AND(Registro!F22="Sim",E25=0),"A decisão pede ação corretiva, e nenhuma foi registrada",IF(COUNTIF(K9:K20,"Falta*")&gt;0,"Há ação incompleta: veja a coluna Conferência",IF(E27&gt;0,"Há ação atrasada","OK"))))</f>
        <v>Registre as ações</v>
      </c>
      <c r="F29" s="23"/>
    </row>
  </sheetData>
  <mergeCells count="19">
    <mergeCell ref="B1:L1"/>
    <mergeCell ref="B2:L2"/>
    <mergeCell ref="B4:C4"/>
    <mergeCell ref="F4:L4"/>
    <mergeCell ref="B22:L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</mergeCells>
  <conditionalFormatting sqref="C9:C20">
    <cfRule type="cellIs" priority="2" operator="equal" aboveAverage="0" equalAverage="0" bottom="0" percent="0" rank="0" text="" dxfId="1">
      <formula>"Correção"</formula>
    </cfRule>
    <cfRule type="cellIs" priority="3" operator="equal" aboveAverage="0" equalAverage="0" bottom="0" percent="0" rank="0" text="" dxfId="3">
      <formula>"Ação corretiva"</formula>
    </cfRule>
  </conditionalFormatting>
  <conditionalFormatting sqref="H9:H20">
    <cfRule type="cellIs" priority="4" operator="equal" aboveAverage="0" equalAverage="0" bottom="0" percent="0" rank="0" text="" dxfId="0">
      <formula>"Concluída"</formula>
    </cfRule>
    <cfRule type="cellIs" priority="5" operator="equal" aboveAverage="0" equalAverage="0" bottom="0" percent="0" rank="0" text="" dxfId="1">
      <formula>"Em andamento"</formula>
    </cfRule>
    <cfRule type="cellIs" priority="6" operator="equal" aboveAverage="0" equalAverage="0" bottom="0" percent="0" rank="0" text="" dxfId="2">
      <formula>"Não iniciada"</formula>
    </cfRule>
  </conditionalFormatting>
  <conditionalFormatting sqref="K9:K20">
    <cfRule type="expression" priority="7" aboveAverage="0" equalAverage="0" bottom="0" percent="0" rank="0" text="" dxfId="0">
      <formula>OR(K9="Completa")</formula>
    </cfRule>
    <cfRule type="expression" priority="8" aboveAverage="0" equalAverage="0" bottom="0" percent="0" rank="0" text="" dxfId="1">
      <formula>AND(LEN(K9)&gt;0,NOT(OR(K9="Completa")))</formula>
    </cfRule>
  </conditionalFormatting>
  <conditionalFormatting sqref="L9:L20">
    <cfRule type="cellIs" priority="9" operator="equal" aboveAverage="0" equalAverage="0" bottom="0" percent="0" rank="0" text="" dxfId="0">
      <formula>"Encerrada"</formula>
    </cfRule>
    <cfRule type="cellIs" priority="10" operator="equal" aboveAverage="0" equalAverage="0" bottom="0" percent="0" rank="0" text="" dxfId="0">
      <formula>"Concluída"</formula>
    </cfRule>
    <cfRule type="cellIs" priority="11" operator="equal" aboveAverage="0" equalAverage="0" bottom="0" percent="0" rank="0" text="" dxfId="0">
      <formula>"No prazo"</formula>
    </cfRule>
    <cfRule type="cellIs" priority="12" operator="equal" aboveAverage="0" equalAverage="0" bottom="0" percent="0" rank="0" text="" dxfId="1">
      <formula>"Sem prazo"</formula>
    </cfRule>
    <cfRule type="cellIs" priority="13" operator="equal" aboveAverage="0" equalAverage="0" bottom="0" percent="0" rank="0" text="" dxfId="1">
      <formula>"Falta a data"</formula>
    </cfRule>
    <cfRule type="cellIs" priority="14" operator="equal" aboveAverage="0" equalAverage="0" bottom="0" percent="0" rank="0" text="" dxfId="1">
      <formula>"Confira a etapa"</formula>
    </cfRule>
    <cfRule type="cellIs" priority="15" operator="equal" aboveAverage="0" equalAverage="0" bottom="0" percent="0" rank="0" text="" dxfId="2">
      <formula>"Atrasada"</formula>
    </cfRule>
  </conditionalFormatting>
  <conditionalFormatting sqref="E29:F29">
    <cfRule type="expression" priority="16" aboveAverage="0" equalAverage="0" bottom="0" percent="0" rank="0" text="" dxfId="0">
      <formula>OR(E29="OK")</formula>
    </cfRule>
    <cfRule type="expression" priority="17" aboveAverage="0" equalAverage="0" bottom="0" percent="0" rank="0" text="" dxfId="1">
      <formula>AND(LEN(E29)&gt;0,NOT(OR(E29="OK")))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G9:G20 I9:I20" type="date">
      <formula1>36526</formula1>
      <formula2>0</formula2>
    </dataValidation>
    <dataValidation allowBlank="true" error="Escolha uma das opções da lista." errorStyle="stop" errorTitle="Valor inválido" operator="between" prompt="Correção trata o efeito. Ação corretiva trata a causa." promptTitle="Opções" showDropDown="false" showErrorMessage="true" showInputMessage="true" sqref="C9:C20" type="list">
      <formula1>"Correção,Ação corretiva"</formula1>
      <formula2>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H9:H20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5" min="10" style="0" width="13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7" hidden="false" customHeight="true" outlineLevel="0" collapsed="false">
      <c r="B4" s="4" t="s">
        <v>176</v>
      </c>
      <c r="C4" s="4"/>
      <c r="D4" s="5"/>
      <c r="E4" s="5"/>
      <c r="F4" s="5"/>
      <c r="G4" s="5"/>
      <c r="H4" s="5"/>
      <c r="J4" s="4" t="s">
        <v>177</v>
      </c>
      <c r="K4" s="4"/>
      <c r="L4" s="5"/>
      <c r="M4" s="5"/>
      <c r="N4" s="5"/>
      <c r="O4" s="5"/>
    </row>
    <row r="5" customFormat="false" ht="27" hidden="false" customHeight="true" outlineLevel="0" collapsed="false">
      <c r="B5" s="4" t="s">
        <v>178</v>
      </c>
      <c r="C5" s="4"/>
      <c r="D5" s="5"/>
      <c r="E5" s="5"/>
      <c r="F5" s="5"/>
      <c r="G5" s="5"/>
      <c r="H5" s="5"/>
      <c r="J5" s="4" t="s">
        <v>179</v>
      </c>
      <c r="K5" s="4"/>
      <c r="L5" s="5"/>
      <c r="M5" s="5"/>
      <c r="N5" s="5"/>
      <c r="O5" s="5"/>
    </row>
    <row r="6" customFormat="false" ht="21.75" hidden="false" customHeight="true" outlineLevel="0" collapsed="false">
      <c r="B6" s="4" t="s">
        <v>180</v>
      </c>
      <c r="C6" s="4"/>
      <c r="D6" s="21"/>
      <c r="E6" s="21"/>
      <c r="F6" s="4" t="s">
        <v>181</v>
      </c>
      <c r="G6" s="21"/>
      <c r="H6" s="21"/>
      <c r="J6" s="4" t="s">
        <v>182</v>
      </c>
      <c r="K6" s="4"/>
      <c r="L6" s="20"/>
      <c r="M6" s="20"/>
      <c r="N6" s="20"/>
      <c r="O6" s="20"/>
    </row>
    <row r="7" customFormat="false" ht="30" hidden="false" customHeight="true" outlineLevel="0" collapsed="false">
      <c r="B7" s="4" t="s">
        <v>183</v>
      </c>
      <c r="C7" s="4"/>
      <c r="D7" s="21"/>
      <c r="E7" s="21"/>
      <c r="F7" s="4" t="s">
        <v>184</v>
      </c>
      <c r="G7" s="21"/>
      <c r="H7" s="21"/>
      <c r="J7" s="4" t="s">
        <v>117</v>
      </c>
      <c r="K7" s="4"/>
      <c r="L7" s="32" t="str">
        <f aca="false">IF(Registro!D4="","",Registro!D4)</f>
        <v/>
      </c>
      <c r="M7" s="32"/>
      <c r="N7" s="32"/>
      <c r="O7" s="32"/>
    </row>
    <row r="9" customFormat="false" ht="30" hidden="false" customHeight="true" outlineLevel="0" collapsed="false">
      <c r="B9" s="15" t="s">
        <v>125</v>
      </c>
      <c r="C9" s="15" t="s">
        <v>66</v>
      </c>
      <c r="D9" s="15" t="s">
        <v>185</v>
      </c>
      <c r="E9" s="15" t="s">
        <v>186</v>
      </c>
      <c r="F9" s="15" t="s">
        <v>181</v>
      </c>
      <c r="G9" s="15" t="s">
        <v>187</v>
      </c>
      <c r="H9" s="15" t="s">
        <v>188</v>
      </c>
    </row>
    <row r="10" customFormat="false" ht="21.75" hidden="false" customHeight="true" outlineLevel="0" collapsed="false">
      <c r="B10" s="16" t="s">
        <v>90</v>
      </c>
      <c r="C10" s="18" t="s">
        <v>189</v>
      </c>
      <c r="D10" s="16" t="s">
        <v>190</v>
      </c>
      <c r="E10" s="16" t="n">
        <v>4</v>
      </c>
      <c r="F10" s="16" t="n">
        <v>5</v>
      </c>
      <c r="G10" s="16" t="s">
        <v>94</v>
      </c>
      <c r="H10" s="16" t="n">
        <v>1</v>
      </c>
    </row>
    <row r="11" customFormat="false" ht="21.75" hidden="false" customHeight="true" outlineLevel="0" collapsed="false">
      <c r="B11" s="19" t="n">
        <v>1</v>
      </c>
      <c r="C11" s="5"/>
      <c r="D11" s="21"/>
      <c r="E11" s="21"/>
      <c r="F11" s="35" t="str">
        <f aca="false">IF(OR(E11="",$G$6=""),"",$G$6)</f>
        <v/>
      </c>
      <c r="G11" s="36" t="str">
        <f aca="false">IF(OR(E11="",$G$6=""),"",IF($D$6="Maior é melhor",IF(E11&gt;=$G$6,"Sim","Não"),IF(E11&lt;=$G$6,"Sim","Não")))</f>
        <v/>
      </c>
      <c r="H11" s="22" t="str">
        <f aca="false">IF(OR(E11="",D11&lt;&gt;"Depois"),"",IF(G11="Sim",1,0))</f>
        <v/>
      </c>
    </row>
    <row r="12" customFormat="false" ht="21.75" hidden="false" customHeight="true" outlineLevel="0" collapsed="false">
      <c r="B12" s="19" t="n">
        <v>2</v>
      </c>
      <c r="C12" s="5"/>
      <c r="D12" s="21"/>
      <c r="E12" s="21"/>
      <c r="F12" s="35" t="str">
        <f aca="false">IF(OR(E12="",$G$6=""),"",$G$6)</f>
        <v/>
      </c>
      <c r="G12" s="36" t="str">
        <f aca="false">IF(OR(E12="",$G$6=""),"",IF($D$6="Maior é melhor",IF(E12&gt;=$G$6,"Sim","Não"),IF(E12&lt;=$G$6,"Sim","Não")))</f>
        <v/>
      </c>
      <c r="H12" s="22" t="str">
        <f aca="false">IF(OR(E12="",D12&lt;&gt;"Depois"),"",IF(G12="Sim",N(H11)+1,0))</f>
        <v/>
      </c>
    </row>
    <row r="13" customFormat="false" ht="21.75" hidden="false" customHeight="true" outlineLevel="0" collapsed="false">
      <c r="B13" s="19" t="n">
        <v>3</v>
      </c>
      <c r="C13" s="5"/>
      <c r="D13" s="21"/>
      <c r="E13" s="21"/>
      <c r="F13" s="35" t="str">
        <f aca="false">IF(OR(E13="",$G$6=""),"",$G$6)</f>
        <v/>
      </c>
      <c r="G13" s="36" t="str">
        <f aca="false">IF(OR(E13="",$G$6=""),"",IF($D$6="Maior é melhor",IF(E13&gt;=$G$6,"Sim","Não"),IF(E13&lt;=$G$6,"Sim","Não")))</f>
        <v/>
      </c>
      <c r="H13" s="22" t="str">
        <f aca="false">IF(OR(E13="",D13&lt;&gt;"Depois"),"",IF(G13="Sim",N(H12)+1,0))</f>
        <v/>
      </c>
    </row>
    <row r="14" customFormat="false" ht="21.75" hidden="false" customHeight="true" outlineLevel="0" collapsed="false">
      <c r="B14" s="19" t="n">
        <v>4</v>
      </c>
      <c r="C14" s="5"/>
      <c r="D14" s="21"/>
      <c r="E14" s="21"/>
      <c r="F14" s="35" t="str">
        <f aca="false">IF(OR(E14="",$G$6=""),"",$G$6)</f>
        <v/>
      </c>
      <c r="G14" s="36" t="str">
        <f aca="false">IF(OR(E14="",$G$6=""),"",IF($D$6="Maior é melhor",IF(E14&gt;=$G$6,"Sim","Não"),IF(E14&lt;=$G$6,"Sim","Não")))</f>
        <v/>
      </c>
      <c r="H14" s="22" t="str">
        <f aca="false">IF(OR(E14="",D14&lt;&gt;"Depois"),"",IF(G14="Sim",N(H13)+1,0))</f>
        <v/>
      </c>
    </row>
    <row r="15" customFormat="false" ht="21.75" hidden="false" customHeight="true" outlineLevel="0" collapsed="false">
      <c r="B15" s="19" t="n">
        <v>5</v>
      </c>
      <c r="C15" s="5"/>
      <c r="D15" s="21"/>
      <c r="E15" s="21"/>
      <c r="F15" s="35" t="str">
        <f aca="false">IF(OR(E15="",$G$6=""),"",$G$6)</f>
        <v/>
      </c>
      <c r="G15" s="36" t="str">
        <f aca="false">IF(OR(E15="",$G$6=""),"",IF($D$6="Maior é melhor",IF(E15&gt;=$G$6,"Sim","Não"),IF(E15&lt;=$G$6,"Sim","Não")))</f>
        <v/>
      </c>
      <c r="H15" s="22" t="str">
        <f aca="false">IF(OR(E15="",D15&lt;&gt;"Depois"),"",IF(G15="Sim",N(H14)+1,0))</f>
        <v/>
      </c>
    </row>
    <row r="16" customFormat="false" ht="21.75" hidden="false" customHeight="true" outlineLevel="0" collapsed="false">
      <c r="B16" s="19" t="n">
        <v>6</v>
      </c>
      <c r="C16" s="5"/>
      <c r="D16" s="21"/>
      <c r="E16" s="21"/>
      <c r="F16" s="35" t="str">
        <f aca="false">IF(OR(E16="",$G$6=""),"",$G$6)</f>
        <v/>
      </c>
      <c r="G16" s="36" t="str">
        <f aca="false">IF(OR(E16="",$G$6=""),"",IF($D$6="Maior é melhor",IF(E16&gt;=$G$6,"Sim","Não"),IF(E16&lt;=$G$6,"Sim","Não")))</f>
        <v/>
      </c>
      <c r="H16" s="22" t="str">
        <f aca="false">IF(OR(E16="",D16&lt;&gt;"Depois"),"",IF(G16="Sim",N(H15)+1,0))</f>
        <v/>
      </c>
    </row>
    <row r="17" customFormat="false" ht="21.75" hidden="false" customHeight="true" outlineLevel="0" collapsed="false">
      <c r="B17" s="19" t="n">
        <v>7</v>
      </c>
      <c r="C17" s="5"/>
      <c r="D17" s="21"/>
      <c r="E17" s="21"/>
      <c r="F17" s="35" t="str">
        <f aca="false">IF(OR(E17="",$G$6=""),"",$G$6)</f>
        <v/>
      </c>
      <c r="G17" s="36" t="str">
        <f aca="false">IF(OR(E17="",$G$6=""),"",IF($D$6="Maior é melhor",IF(E17&gt;=$G$6,"Sim","Não"),IF(E17&lt;=$G$6,"Sim","Não")))</f>
        <v/>
      </c>
      <c r="H17" s="22" t="str">
        <f aca="false">IF(OR(E17="",D17&lt;&gt;"Depois"),"",IF(G17="Sim",N(H16)+1,0))</f>
        <v/>
      </c>
    </row>
    <row r="18" customFormat="false" ht="21.75" hidden="false" customHeight="true" outlineLevel="0" collapsed="false">
      <c r="B18" s="19" t="n">
        <v>8</v>
      </c>
      <c r="C18" s="5"/>
      <c r="D18" s="21"/>
      <c r="E18" s="21"/>
      <c r="F18" s="35" t="str">
        <f aca="false">IF(OR(E18="",$G$6=""),"",$G$6)</f>
        <v/>
      </c>
      <c r="G18" s="36" t="str">
        <f aca="false">IF(OR(E18="",$G$6=""),"",IF($D$6="Maior é melhor",IF(E18&gt;=$G$6,"Sim","Não"),IF(E18&lt;=$G$6,"Sim","Não")))</f>
        <v/>
      </c>
      <c r="H18" s="22" t="str">
        <f aca="false">IF(OR(E18="",D18&lt;&gt;"Depois"),"",IF(G18="Sim",N(H17)+1,0))</f>
        <v/>
      </c>
    </row>
    <row r="19" customFormat="false" ht="21.75" hidden="false" customHeight="true" outlineLevel="0" collapsed="false">
      <c r="B19" s="19" t="n">
        <v>9</v>
      </c>
      <c r="C19" s="5"/>
      <c r="D19" s="21"/>
      <c r="E19" s="21"/>
      <c r="F19" s="35" t="str">
        <f aca="false">IF(OR(E19="",$G$6=""),"",$G$6)</f>
        <v/>
      </c>
      <c r="G19" s="36" t="str">
        <f aca="false">IF(OR(E19="",$G$6=""),"",IF($D$6="Maior é melhor",IF(E19&gt;=$G$6,"Sim","Não"),IF(E19&lt;=$G$6,"Sim","Não")))</f>
        <v/>
      </c>
      <c r="H19" s="22" t="str">
        <f aca="false">IF(OR(E19="",D19&lt;&gt;"Depois"),"",IF(G19="Sim",N(H18)+1,0))</f>
        <v/>
      </c>
    </row>
    <row r="20" customFormat="false" ht="21.75" hidden="false" customHeight="true" outlineLevel="0" collapsed="false">
      <c r="B20" s="19" t="n">
        <v>10</v>
      </c>
      <c r="C20" s="5"/>
      <c r="D20" s="21"/>
      <c r="E20" s="21"/>
      <c r="F20" s="35" t="str">
        <f aca="false">IF(OR(E20="",$G$6=""),"",$G$6)</f>
        <v/>
      </c>
      <c r="G20" s="36" t="str">
        <f aca="false">IF(OR(E20="",$G$6=""),"",IF($D$6="Maior é melhor",IF(E20&gt;=$G$6,"Sim","Não"),IF(E20&lt;=$G$6,"Sim","Não")))</f>
        <v/>
      </c>
      <c r="H20" s="22" t="str">
        <f aca="false">IF(OR(E20="",D20&lt;&gt;"Depois"),"",IF(G20="Sim",N(H19)+1,0))</f>
        <v/>
      </c>
    </row>
    <row r="21" customFormat="false" ht="21.75" hidden="false" customHeight="true" outlineLevel="0" collapsed="false">
      <c r="B21" s="19" t="n">
        <v>11</v>
      </c>
      <c r="C21" s="5"/>
      <c r="D21" s="21"/>
      <c r="E21" s="21"/>
      <c r="F21" s="35" t="str">
        <f aca="false">IF(OR(E21="",$G$6=""),"",$G$6)</f>
        <v/>
      </c>
      <c r="G21" s="36" t="str">
        <f aca="false">IF(OR(E21="",$G$6=""),"",IF($D$6="Maior é melhor",IF(E21&gt;=$G$6,"Sim","Não"),IF(E21&lt;=$G$6,"Sim","Não")))</f>
        <v/>
      </c>
      <c r="H21" s="22" t="str">
        <f aca="false">IF(OR(E21="",D21&lt;&gt;"Depois"),"",IF(G21="Sim",N(H20)+1,0))</f>
        <v/>
      </c>
    </row>
    <row r="22" customFormat="false" ht="21.75" hidden="false" customHeight="true" outlineLevel="0" collapsed="false">
      <c r="B22" s="19" t="n">
        <v>12</v>
      </c>
      <c r="C22" s="5"/>
      <c r="D22" s="21"/>
      <c r="E22" s="21"/>
      <c r="F22" s="35" t="str">
        <f aca="false">IF(OR(E22="",$G$6=""),"",$G$6)</f>
        <v/>
      </c>
      <c r="G22" s="36" t="str">
        <f aca="false">IF(OR(E22="",$G$6=""),"",IF($D$6="Maior é melhor",IF(E22&gt;=$G$6,"Sim","Não"),IF(E22&lt;=$G$6,"Sim","Não")))</f>
        <v/>
      </c>
      <c r="H22" s="22" t="str">
        <f aca="false">IF(OR(E22="",D22&lt;&gt;"Depois"),"",IF(G22="Sim",N(H21)+1,0))</f>
        <v/>
      </c>
    </row>
    <row r="24" customFormat="false" ht="21.75" hidden="false" customHeight="true" outlineLevel="0" collapsed="false">
      <c r="B24" s="24" t="s">
        <v>99</v>
      </c>
      <c r="C24" s="24"/>
      <c r="D24" s="24"/>
      <c r="E24" s="24"/>
      <c r="F24" s="24"/>
      <c r="G24" s="24"/>
      <c r="H24" s="24"/>
    </row>
    <row r="25" customFormat="false" ht="21.75" hidden="false" customHeight="true" outlineLevel="0" collapsed="false">
      <c r="B25" s="25" t="s">
        <v>191</v>
      </c>
      <c r="C25" s="25"/>
      <c r="D25" s="25"/>
      <c r="E25" s="26" t="n">
        <f aca="false">SUMPRODUCT((D11:D22="Antes")*(E11:E22&lt;&gt;""))</f>
        <v>0</v>
      </c>
      <c r="F25" s="26"/>
      <c r="G25" s="26"/>
      <c r="H25" s="26"/>
    </row>
    <row r="26" customFormat="false" ht="21.75" hidden="false" customHeight="true" outlineLevel="0" collapsed="false">
      <c r="B26" s="25" t="s">
        <v>192</v>
      </c>
      <c r="C26" s="25"/>
      <c r="D26" s="25"/>
      <c r="E26" s="37" t="str">
        <f aca="false">IF(E25=0,"",AVERAGEIF(D11:D22,"Antes",E11:E22))</f>
        <v/>
      </c>
      <c r="F26" s="37"/>
      <c r="G26" s="37"/>
      <c r="H26" s="37"/>
    </row>
    <row r="27" customFormat="false" ht="21.75" hidden="false" customHeight="true" outlineLevel="0" collapsed="false">
      <c r="B27" s="25" t="s">
        <v>193</v>
      </c>
      <c r="C27" s="25"/>
      <c r="D27" s="25"/>
      <c r="E27" s="26" t="n">
        <f aca="false">SUMPRODUCT((D11:D22="Depois")*(E11:E22&lt;&gt;""))</f>
        <v>0</v>
      </c>
      <c r="F27" s="26"/>
      <c r="G27" s="26"/>
      <c r="H27" s="26"/>
    </row>
    <row r="28" customFormat="false" ht="21.75" hidden="false" customHeight="true" outlineLevel="0" collapsed="false">
      <c r="B28" s="25" t="s">
        <v>194</v>
      </c>
      <c r="C28" s="25"/>
      <c r="D28" s="25"/>
      <c r="E28" s="37" t="str">
        <f aca="false">IF(E27=0,"",AVERAGEIF(D11:D22,"Depois",E11:E22))</f>
        <v/>
      </c>
      <c r="F28" s="37"/>
      <c r="G28" s="37"/>
      <c r="H28" s="37"/>
    </row>
    <row r="29" customFormat="false" ht="30" hidden="false" customHeight="true" outlineLevel="0" collapsed="false">
      <c r="B29" s="25" t="s">
        <v>195</v>
      </c>
      <c r="C29" s="25"/>
      <c r="D29" s="25"/>
      <c r="E29" s="38" t="str">
        <f aca="false">IF(E27=0,"Sem medição depois das ações",IF($G$7="Sim","Não eficaz: a falha voltou. Refaça a análise da causa",IF(OR($G$6="",$D$7=""),"Informe a meta e o critério",IF(N(INDEX(H11:H22,MAX(1,COUNT(E11:E22))))&gt;=$D$7,"Eficaz: encerre e padronize",IF(AND(E27&gt;=$D$7,INDEX(G11:G22,MAX(1,COUNT(E11:E22)))="Não"),IF(AND(E25&gt;0,IF($D$6="Maior é melhor",E28&gt;E26,E28&lt;E26)),"Parcial: melhorou, mas não atingiu a meta. Complete as ações","Não eficaz: meta não atingida. Refaça a análise da causa"),IF($D$7-N(INDEX(H11:H22,MAX(1,COUNT(E11:E22))))=1,"Em observação: falta 1 período seguido na meta","Em observação: faltam "&amp;($D$7-N(INDEX(H11:H22,MAX(1,COUNT(E11:E22)))))&amp;" períodos seguidos na meta"))))))</f>
        <v>Sem medição depois das ações</v>
      </c>
      <c r="F29" s="38"/>
      <c r="G29" s="38"/>
      <c r="H29" s="38"/>
    </row>
    <row r="30" customFormat="false" ht="30" hidden="false" customHeight="true" outlineLevel="0" collapsed="false">
      <c r="B30" s="25" t="s">
        <v>113</v>
      </c>
      <c r="C30" s="25"/>
      <c r="D30" s="25"/>
      <c r="E30" s="23" t="str">
        <f aca="false">IF(COUNT(E11:E22)=0,"Registre as medições",IF(COUNTBLANK(INDEX(E11:E22,1):INDEX(E11:E22,COUNT(E11:E22)))&gt;0,"Preencha as medições em sequência, sem pular linhas",IF(SUMPRODUCT((E11:E22&lt;&gt;"")*(D11:D22=""))&gt;0,"Há medição sem o momento",IF(OR($G$6="",$D$7="",$D$6=""),"Informe o sentido, a meta e o critério",IF($G$7="","Informe se a falha voltou","OK")))))</f>
        <v>Registre as medições</v>
      </c>
      <c r="F30" s="23"/>
      <c r="G30" s="23"/>
      <c r="H30" s="23"/>
    </row>
  </sheetData>
  <mergeCells count="33">
    <mergeCell ref="B1:O1"/>
    <mergeCell ref="B2:O2"/>
    <mergeCell ref="B4:C4"/>
    <mergeCell ref="D4:H4"/>
    <mergeCell ref="J4:K4"/>
    <mergeCell ref="L4:O4"/>
    <mergeCell ref="B5:C5"/>
    <mergeCell ref="D5:H5"/>
    <mergeCell ref="J5:K5"/>
    <mergeCell ref="L5:O5"/>
    <mergeCell ref="B6:C6"/>
    <mergeCell ref="D6:E6"/>
    <mergeCell ref="G6:H6"/>
    <mergeCell ref="J6:K6"/>
    <mergeCell ref="L6:O6"/>
    <mergeCell ref="B7:C7"/>
    <mergeCell ref="D7:E7"/>
    <mergeCell ref="G7:H7"/>
    <mergeCell ref="J7:K7"/>
    <mergeCell ref="L7:O7"/>
    <mergeCell ref="B24:H24"/>
    <mergeCell ref="B25:D25"/>
    <mergeCell ref="E25:H25"/>
    <mergeCell ref="B26:D26"/>
    <mergeCell ref="E26:H26"/>
    <mergeCell ref="B27:D27"/>
    <mergeCell ref="E27:H27"/>
    <mergeCell ref="B28:D28"/>
    <mergeCell ref="E28:H28"/>
    <mergeCell ref="B29:D29"/>
    <mergeCell ref="E29:H29"/>
    <mergeCell ref="B30:D30"/>
    <mergeCell ref="E30:H30"/>
  </mergeCells>
  <conditionalFormatting sqref="G11:G22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"Não"</formula>
    </cfRule>
  </conditionalFormatting>
  <conditionalFormatting sqref="D11:D22">
    <cfRule type="cellIs" priority="4" operator="equal" aboveAverage="0" equalAverage="0" bottom="0" percent="0" rank="0" text="" dxfId="3">
      <formula>"Depois"</formula>
    </cfRule>
  </conditionalFormatting>
  <conditionalFormatting sqref="E29:H29">
    <cfRule type="expression" priority="5" aboveAverage="0" equalAverage="0" bottom="0" percent="0" rank="0" text="" dxfId="0">
      <formula>LEFT(E29,6)="Eficaz"</formula>
    </cfRule>
    <cfRule type="expression" priority="6" aboveAverage="0" equalAverage="0" bottom="0" percent="0" rank="0" text="" dxfId="2">
      <formula>LEFT(E29,3)="Não"</formula>
    </cfRule>
    <cfRule type="expression" priority="7" aboveAverage="0" equalAverage="0" bottom="0" percent="0" rank="0" text="" dxfId="1">
      <formula>LEN(E29)&gt;0</formula>
    </cfRule>
  </conditionalFormatting>
  <conditionalFormatting sqref="E30:H30">
    <cfRule type="expression" priority="8" aboveAverage="0" equalAverage="0" bottom="0" percent="0" rank="0" text="" dxfId="0">
      <formula>OR(E30="OK")</formula>
    </cfRule>
    <cfRule type="expression" priority="9" aboveAverage="0" equalAverage="0" bottom="0" percent="0" rank="0" text="" dxfId="1">
      <formula>AND(LEN(E30)&gt;0,NOT(OR(E30="OK")))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L6" type="date">
      <formula1>36526</formula1>
      <formula2>0</formula2>
    </dataValidation>
    <dataValidation allowBlank="true" error="Escolha uma das opções da lista." errorStyle="stop" errorTitle="Valor inválido" operator="between" prompt="Menor é melhor: falhas, atrasos. Maior é melhor: entregas no prazo." promptTitle="Opções" showDropDown="false" showErrorMessage="true" showInputMessage="true" sqref="D6" type="list">
      <formula1>"Menor é melhor,Maior é melhor"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7" type="decimal">
      <formula1>-1000000000</formula1>
      <formula2>1000000000</formula2>
    </dataValidation>
    <dataValidation allowBlank="true" error="Escolha uma das opções da lista." errorStyle="stop" errorTitle="Valor inválido" operator="between" prompt="A mesma não conformidade ocorreu de novo depois das ações?" promptTitle="Opções" showDropDown="false" showErrorMessage="true" showInputMessage="true" sqref="G7" type="list">
      <formula1>"Sim,Não"</formula1>
      <formula2>0</formula2>
    </dataValidation>
    <dataValidation allowBlank="true" error="Escolha uma das opções da lista." errorStyle="stop" errorTitle="Valor inválido" operator="between" prompt="Antes, Durante ou Depois das ações" promptTitle="Opções" showDropDown="false" showErrorMessage="true" showInputMessage="true" sqref="D11:D22" type="list">
      <formula1>"Antes,Durante,Depois"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1:E2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196</v>
      </c>
      <c r="C1" s="1"/>
      <c r="D1" s="1"/>
      <c r="E1" s="1"/>
    </row>
    <row r="2" customFormat="false" ht="19.5" hidden="false" customHeight="true" outlineLevel="0" collapsed="false">
      <c r="B2" s="2" t="s">
        <v>197</v>
      </c>
      <c r="C2" s="2"/>
      <c r="D2" s="2"/>
      <c r="E2" s="2"/>
    </row>
    <row r="4" customFormat="false" ht="21.75" hidden="false" customHeight="true" outlineLevel="0" collapsed="false">
      <c r="B4" s="15" t="s">
        <v>125</v>
      </c>
      <c r="C4" s="15" t="s">
        <v>198</v>
      </c>
      <c r="D4" s="15" t="s">
        <v>127</v>
      </c>
      <c r="E4" s="15" t="s">
        <v>199</v>
      </c>
    </row>
    <row r="5" customFormat="false" ht="30" hidden="false" customHeight="true" outlineLevel="0" collapsed="false">
      <c r="B5" s="19" t="n">
        <v>1</v>
      </c>
      <c r="C5" s="6" t="s">
        <v>200</v>
      </c>
      <c r="D5" s="21"/>
      <c r="E5" s="5"/>
    </row>
    <row r="6" customFormat="false" ht="30" hidden="false" customHeight="true" outlineLevel="0" collapsed="false">
      <c r="B6" s="19" t="n">
        <v>2</v>
      </c>
      <c r="C6" s="6" t="s">
        <v>201</v>
      </c>
      <c r="D6" s="21"/>
      <c r="E6" s="5"/>
    </row>
    <row r="7" customFormat="false" ht="30" hidden="false" customHeight="true" outlineLevel="0" collapsed="false">
      <c r="B7" s="19" t="n">
        <v>3</v>
      </c>
      <c r="C7" s="6" t="s">
        <v>202</v>
      </c>
      <c r="D7" s="21"/>
      <c r="E7" s="5"/>
    </row>
    <row r="8" customFormat="false" ht="30" hidden="false" customHeight="true" outlineLevel="0" collapsed="false">
      <c r="B8" s="19" t="n">
        <v>4</v>
      </c>
      <c r="C8" s="6" t="s">
        <v>203</v>
      </c>
      <c r="D8" s="21"/>
      <c r="E8" s="5"/>
    </row>
    <row r="9" customFormat="false" ht="30" hidden="false" customHeight="true" outlineLevel="0" collapsed="false">
      <c r="B9" s="19" t="n">
        <v>5</v>
      </c>
      <c r="C9" s="6" t="s">
        <v>204</v>
      </c>
      <c r="D9" s="21"/>
      <c r="E9" s="5"/>
    </row>
    <row r="10" customFormat="false" ht="30" hidden="false" customHeight="true" outlineLevel="0" collapsed="false">
      <c r="B10" s="19" t="n">
        <v>6</v>
      </c>
      <c r="C10" s="6" t="s">
        <v>205</v>
      </c>
      <c r="D10" s="21"/>
      <c r="E10" s="5"/>
    </row>
    <row r="11" customFormat="false" ht="30" hidden="false" customHeight="true" outlineLevel="0" collapsed="false">
      <c r="B11" s="19" t="n">
        <v>7</v>
      </c>
      <c r="C11" s="6" t="s">
        <v>206</v>
      </c>
      <c r="D11" s="21"/>
      <c r="E11" s="5"/>
    </row>
    <row r="12" customFormat="false" ht="30" hidden="false" customHeight="true" outlineLevel="0" collapsed="false">
      <c r="B12" s="19" t="n">
        <v>8</v>
      </c>
      <c r="C12" s="6" t="s">
        <v>207</v>
      </c>
      <c r="D12" s="21"/>
      <c r="E12" s="5"/>
    </row>
    <row r="13" customFormat="false" ht="30" hidden="false" customHeight="true" outlineLevel="0" collapsed="false">
      <c r="B13" s="19" t="n">
        <v>9</v>
      </c>
      <c r="C13" s="6" t="s">
        <v>208</v>
      </c>
      <c r="D13" s="21"/>
      <c r="E13" s="5"/>
    </row>
    <row r="14" customFormat="false" ht="30" hidden="false" customHeight="true" outlineLevel="0" collapsed="false">
      <c r="B14" s="19" t="n">
        <v>10</v>
      </c>
      <c r="C14" s="6" t="s">
        <v>209</v>
      </c>
      <c r="D14" s="21"/>
      <c r="E14" s="5"/>
    </row>
    <row r="15" customFormat="false" ht="30" hidden="false" customHeight="true" outlineLevel="0" collapsed="false">
      <c r="B15" s="19" t="n">
        <v>11</v>
      </c>
      <c r="C15" s="6" t="s">
        <v>210</v>
      </c>
      <c r="D15" s="21"/>
      <c r="E15" s="5"/>
    </row>
    <row r="16" customFormat="false" ht="30" hidden="false" customHeight="true" outlineLevel="0" collapsed="false">
      <c r="B16" s="19" t="n">
        <v>12</v>
      </c>
      <c r="C16" s="6" t="s">
        <v>211</v>
      </c>
      <c r="D16" s="21"/>
      <c r="E16" s="5"/>
    </row>
    <row r="18" customFormat="false" ht="21.75" hidden="false" customHeight="true" outlineLevel="0" collapsed="false">
      <c r="B18" s="24" t="s">
        <v>99</v>
      </c>
      <c r="C18" s="24"/>
      <c r="D18" s="24"/>
      <c r="E18" s="24"/>
    </row>
    <row r="19" customFormat="false" ht="19.5" hidden="false" customHeight="true" outlineLevel="0" collapsed="false">
      <c r="B19" s="25" t="s">
        <v>212</v>
      </c>
      <c r="C19" s="25"/>
      <c r="D19" s="27" t="n">
        <f aca="false">COUNTIF(D5:D16,"Sim")</f>
        <v>0</v>
      </c>
    </row>
    <row r="20" customFormat="false" ht="19.5" hidden="false" customHeight="true" outlineLevel="0" collapsed="false">
      <c r="B20" s="25" t="s">
        <v>213</v>
      </c>
      <c r="C20" s="25"/>
      <c r="D20" s="27" t="n">
        <f aca="false">COUNTIF(D5:D16,"Parcial")</f>
        <v>0</v>
      </c>
    </row>
    <row r="21" customFormat="false" ht="19.5" hidden="false" customHeight="true" outlineLevel="0" collapsed="false">
      <c r="B21" s="25" t="s">
        <v>214</v>
      </c>
      <c r="C21" s="25"/>
      <c r="D21" s="27" t="n">
        <f aca="false">COUNTIF(D5:D16,"Não")</f>
        <v>0</v>
      </c>
    </row>
    <row r="22" customFormat="false" ht="19.5" hidden="false" customHeight="true" outlineLevel="0" collapsed="false">
      <c r="B22" s="25" t="s">
        <v>215</v>
      </c>
      <c r="C22" s="25"/>
      <c r="D22" s="27" t="n">
        <f aca="false">COUNTBLANK(D5:D16)</f>
        <v>12</v>
      </c>
    </row>
    <row r="23" customFormat="false" ht="19.5" hidden="false" customHeight="true" outlineLevel="0" collapsed="false">
      <c r="B23" s="25" t="s">
        <v>216</v>
      </c>
      <c r="C23" s="25"/>
      <c r="D23" s="34" t="n">
        <f aca="false">D19/ROWS(D5:D16)</f>
        <v>0</v>
      </c>
    </row>
    <row r="24" customFormat="false" ht="19.5" hidden="false" customHeight="true" outlineLevel="0" collapsed="false">
      <c r="B24" s="25" t="s">
        <v>53</v>
      </c>
      <c r="C24" s="25"/>
      <c r="D24" s="27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217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117</v>
      </c>
      <c r="C4" s="4"/>
      <c r="D4" s="39" t="s">
        <v>219</v>
      </c>
      <c r="E4" s="39"/>
      <c r="F4" s="39"/>
      <c r="G4" s="39"/>
      <c r="H4" s="39"/>
    </row>
    <row r="5" customFormat="false" ht="21.75" hidden="false" customHeight="true" outlineLevel="0" collapsed="false">
      <c r="B5" s="4" t="s">
        <v>220</v>
      </c>
      <c r="C5" s="4"/>
      <c r="D5" s="40" t="n">
        <v>46290</v>
      </c>
      <c r="E5" s="40"/>
      <c r="F5" s="40"/>
      <c r="G5" s="40"/>
      <c r="H5" s="40"/>
    </row>
    <row r="6" customFormat="false" ht="21.75" hidden="false" customHeight="true" outlineLevel="0" collapsed="false">
      <c r="B6" s="4" t="s">
        <v>70</v>
      </c>
      <c r="C6" s="4"/>
      <c r="D6" s="39" t="s">
        <v>221</v>
      </c>
      <c r="E6" s="39"/>
      <c r="F6" s="39"/>
      <c r="G6" s="39"/>
      <c r="H6" s="39"/>
    </row>
    <row r="7" customFormat="false" ht="21.75" hidden="false" customHeight="true" outlineLevel="0" collapsed="false">
      <c r="B7" s="4" t="s">
        <v>71</v>
      </c>
      <c r="C7" s="4"/>
      <c r="D7" s="39" t="s">
        <v>222</v>
      </c>
      <c r="E7" s="39"/>
      <c r="F7" s="39"/>
      <c r="G7" s="39"/>
      <c r="H7" s="39"/>
    </row>
    <row r="8" customFormat="false" ht="21.75" hidden="false" customHeight="true" outlineLevel="0" collapsed="false">
      <c r="B8" s="4" t="s">
        <v>119</v>
      </c>
      <c r="C8" s="4"/>
      <c r="D8" s="39" t="s">
        <v>223</v>
      </c>
      <c r="E8" s="39"/>
      <c r="F8" s="39"/>
      <c r="G8" s="39"/>
      <c r="H8" s="39"/>
    </row>
    <row r="9" customFormat="false" ht="21.75" hidden="false" customHeight="true" outlineLevel="0" collapsed="false">
      <c r="B9" s="4" t="s">
        <v>74</v>
      </c>
      <c r="C9" s="4"/>
      <c r="D9" s="39" t="s">
        <v>224</v>
      </c>
      <c r="E9" s="39"/>
      <c r="F9" s="39"/>
      <c r="G9" s="39"/>
      <c r="H9" s="39"/>
    </row>
    <row r="11" customFormat="false" ht="21.75" hidden="false" customHeight="true" outlineLevel="0" collapsed="false">
      <c r="B11" s="29" t="s">
        <v>120</v>
      </c>
      <c r="C11" s="29"/>
      <c r="D11" s="29"/>
      <c r="E11" s="29"/>
      <c r="F11" s="29"/>
      <c r="G11" s="29"/>
      <c r="H11" s="29"/>
    </row>
    <row r="12" customFormat="false" ht="21.75" hidden="false" customHeight="true" outlineLevel="0" collapsed="false">
      <c r="B12" s="4" t="s">
        <v>121</v>
      </c>
      <c r="C12" s="4"/>
      <c r="D12" s="39" t="s">
        <v>225</v>
      </c>
      <c r="E12" s="39"/>
      <c r="F12" s="39"/>
      <c r="G12" s="39"/>
      <c r="H12" s="39"/>
    </row>
    <row r="13" customFormat="false" ht="21.75" hidden="false" customHeight="true" outlineLevel="0" collapsed="false">
      <c r="B13" s="4" t="s">
        <v>122</v>
      </c>
      <c r="C13" s="4"/>
      <c r="D13" s="39" t="s">
        <v>226</v>
      </c>
      <c r="E13" s="39"/>
      <c r="F13" s="39"/>
      <c r="G13" s="39"/>
      <c r="H13" s="39"/>
    </row>
    <row r="14" customFormat="false" ht="21.75" hidden="false" customHeight="true" outlineLevel="0" collapsed="false">
      <c r="B14" s="4" t="s">
        <v>123</v>
      </c>
      <c r="C14" s="4"/>
      <c r="D14" s="39" t="s">
        <v>227</v>
      </c>
      <c r="E14" s="39"/>
      <c r="F14" s="39"/>
      <c r="G14" s="39"/>
      <c r="H14" s="39"/>
    </row>
    <row r="16" customFormat="false" ht="21.75" hidden="false" customHeight="true" outlineLevel="0" collapsed="false">
      <c r="B16" s="31" t="s">
        <v>228</v>
      </c>
      <c r="C16" s="31"/>
      <c r="D16" s="31"/>
      <c r="E16" s="31"/>
      <c r="F16" s="31"/>
      <c r="G16" s="31"/>
      <c r="H16" s="31"/>
    </row>
    <row r="17" customFormat="false" ht="34.5" hidden="false" customHeight="true" outlineLevel="0" collapsed="false">
      <c r="B17" s="4" t="s">
        <v>229</v>
      </c>
      <c r="C17" s="4"/>
      <c r="D17" s="39" t="s">
        <v>230</v>
      </c>
      <c r="E17" s="39"/>
      <c r="F17" s="39"/>
      <c r="G17" s="39"/>
      <c r="H17" s="39"/>
    </row>
    <row r="18" customFormat="false" ht="21.75" hidden="false" customHeight="true" outlineLevel="0" collapsed="false">
      <c r="B18" s="4" t="s">
        <v>231</v>
      </c>
      <c r="C18" s="4"/>
      <c r="D18" s="39" t="s">
        <v>232</v>
      </c>
      <c r="E18" s="39"/>
      <c r="F18" s="39"/>
      <c r="G18" s="39"/>
      <c r="H18" s="39"/>
    </row>
    <row r="19" customFormat="false" ht="21.75" hidden="false" customHeight="true" outlineLevel="0" collapsed="false">
      <c r="B19" s="4" t="s">
        <v>233</v>
      </c>
      <c r="C19" s="4"/>
      <c r="D19" s="39" t="s">
        <v>234</v>
      </c>
      <c r="E19" s="39"/>
      <c r="F19" s="39"/>
      <c r="G19" s="39"/>
      <c r="H19" s="39"/>
    </row>
    <row r="21" customFormat="false" ht="21.75" hidden="false" customHeight="true" outlineLevel="0" collapsed="false">
      <c r="B21" s="31" t="s">
        <v>134</v>
      </c>
      <c r="C21" s="31"/>
      <c r="D21" s="31"/>
      <c r="E21" s="31"/>
      <c r="F21" s="31"/>
      <c r="G21" s="31"/>
      <c r="H21" s="31"/>
    </row>
    <row r="22" customFormat="false" ht="21.75" hidden="false" customHeight="true" outlineLevel="0" collapsed="false">
      <c r="B22" s="27" t="s">
        <v>125</v>
      </c>
      <c r="C22" s="26" t="s">
        <v>135</v>
      </c>
      <c r="D22" s="26"/>
      <c r="E22" s="26" t="s">
        <v>136</v>
      </c>
      <c r="F22" s="26"/>
      <c r="G22" s="26" t="s">
        <v>137</v>
      </c>
      <c r="H22" s="26"/>
    </row>
    <row r="23" customFormat="false" ht="34.5" hidden="false" customHeight="true" outlineLevel="0" collapsed="false">
      <c r="B23" s="19" t="n">
        <v>1</v>
      </c>
      <c r="C23" s="7" t="s">
        <v>235</v>
      </c>
      <c r="D23" s="7"/>
      <c r="E23" s="7" t="s">
        <v>236</v>
      </c>
      <c r="F23" s="7"/>
      <c r="G23" s="7" t="s">
        <v>237</v>
      </c>
      <c r="H23" s="7"/>
    </row>
    <row r="24" customFormat="false" ht="21.75" hidden="false" customHeight="true" outlineLevel="0" collapsed="false">
      <c r="B24" s="19" t="n">
        <v>2</v>
      </c>
      <c r="C24" s="7" t="s">
        <v>238</v>
      </c>
      <c r="D24" s="7"/>
      <c r="E24" s="7" t="s">
        <v>239</v>
      </c>
      <c r="F24" s="7"/>
      <c r="G24" s="7" t="s">
        <v>240</v>
      </c>
      <c r="H24" s="7"/>
    </row>
    <row r="25" customFormat="false" ht="34.5" hidden="false" customHeight="true" outlineLevel="0" collapsed="false">
      <c r="B25" s="19" t="n">
        <v>3</v>
      </c>
      <c r="C25" s="7" t="s">
        <v>241</v>
      </c>
      <c r="D25" s="7"/>
      <c r="E25" s="7" t="s">
        <v>242</v>
      </c>
      <c r="F25" s="7"/>
      <c r="G25" s="7" t="s">
        <v>243</v>
      </c>
      <c r="H25" s="7"/>
    </row>
    <row r="26" customFormat="false" ht="34.5" hidden="false" customHeight="true" outlineLevel="0" collapsed="false">
      <c r="B26" s="19" t="n">
        <v>4</v>
      </c>
      <c r="C26" s="7" t="s">
        <v>244</v>
      </c>
      <c r="D26" s="7"/>
      <c r="E26" s="7" t="s">
        <v>245</v>
      </c>
      <c r="F26" s="7"/>
      <c r="G26" s="7" t="s">
        <v>246</v>
      </c>
      <c r="H26" s="7"/>
    </row>
    <row r="27" customFormat="false" ht="21.75" hidden="false" customHeight="true" outlineLevel="0" collapsed="false">
      <c r="B27" s="4" t="s">
        <v>139</v>
      </c>
      <c r="C27" s="4"/>
      <c r="D27" s="13" t="s">
        <v>247</v>
      </c>
      <c r="E27" s="13"/>
      <c r="F27" s="13"/>
      <c r="G27" s="13"/>
      <c r="H27" s="13"/>
    </row>
    <row r="29" customFormat="false" ht="21.75" hidden="false" customHeight="true" outlineLevel="0" collapsed="false">
      <c r="B29" s="30" t="s">
        <v>248</v>
      </c>
      <c r="C29" s="30"/>
      <c r="D29" s="30"/>
      <c r="E29" s="30"/>
      <c r="F29" s="30"/>
      <c r="G29" s="30"/>
      <c r="H29" s="30"/>
    </row>
    <row r="30" customFormat="false" ht="21.75" hidden="false" customHeight="true" outlineLevel="0" collapsed="false">
      <c r="B30" s="27" t="s">
        <v>125</v>
      </c>
      <c r="C30" s="27" t="s">
        <v>151</v>
      </c>
      <c r="D30" s="27" t="s">
        <v>249</v>
      </c>
      <c r="E30" s="27" t="s">
        <v>153</v>
      </c>
      <c r="F30" s="27" t="s">
        <v>74</v>
      </c>
      <c r="G30" s="27" t="s">
        <v>154</v>
      </c>
      <c r="H30" s="27" t="s">
        <v>155</v>
      </c>
    </row>
    <row r="31" customFormat="false" ht="47.25" hidden="false" customHeight="true" outlineLevel="0" collapsed="false">
      <c r="B31" s="19" t="n">
        <v>1</v>
      </c>
      <c r="C31" s="41" t="s">
        <v>16</v>
      </c>
      <c r="D31" s="7" t="s">
        <v>250</v>
      </c>
      <c r="E31" s="7" t="s">
        <v>251</v>
      </c>
      <c r="F31" s="7" t="s">
        <v>224</v>
      </c>
      <c r="G31" s="42" t="n">
        <v>46290</v>
      </c>
      <c r="H31" s="7" t="s">
        <v>252</v>
      </c>
    </row>
    <row r="32" customFormat="false" ht="47.25" hidden="false" customHeight="true" outlineLevel="0" collapsed="false">
      <c r="B32" s="19" t="n">
        <v>2</v>
      </c>
      <c r="C32" s="41" t="s">
        <v>16</v>
      </c>
      <c r="D32" s="7" t="s">
        <v>253</v>
      </c>
      <c r="E32" s="7" t="s">
        <v>251</v>
      </c>
      <c r="F32" s="7" t="s">
        <v>254</v>
      </c>
      <c r="G32" s="42" t="n">
        <v>46291</v>
      </c>
      <c r="H32" s="7" t="s">
        <v>255</v>
      </c>
    </row>
    <row r="33" customFormat="false" ht="47.25" hidden="false" customHeight="true" outlineLevel="0" collapsed="false">
      <c r="B33" s="19" t="n">
        <v>3</v>
      </c>
      <c r="C33" s="41" t="s">
        <v>18</v>
      </c>
      <c r="D33" s="7" t="s">
        <v>256</v>
      </c>
      <c r="E33" s="7" t="s">
        <v>257</v>
      </c>
      <c r="F33" s="7" t="s">
        <v>258</v>
      </c>
      <c r="G33" s="42" t="n">
        <v>46302</v>
      </c>
      <c r="H33" s="7" t="s">
        <v>259</v>
      </c>
    </row>
    <row r="34" customFormat="false" ht="47.25" hidden="false" customHeight="true" outlineLevel="0" collapsed="false">
      <c r="B34" s="19" t="n">
        <v>4</v>
      </c>
      <c r="C34" s="41" t="s">
        <v>18</v>
      </c>
      <c r="D34" s="7" t="s">
        <v>260</v>
      </c>
      <c r="E34" s="7" t="s">
        <v>261</v>
      </c>
      <c r="F34" s="7" t="s">
        <v>224</v>
      </c>
      <c r="G34" s="42" t="n">
        <v>46303</v>
      </c>
      <c r="H34" s="7" t="s">
        <v>262</v>
      </c>
    </row>
    <row r="35" customFormat="false" ht="47.25" hidden="false" customHeight="true" outlineLevel="0" collapsed="false">
      <c r="B35" s="19" t="n">
        <v>5</v>
      </c>
      <c r="C35" s="41" t="s">
        <v>18</v>
      </c>
      <c r="D35" s="7" t="s">
        <v>263</v>
      </c>
      <c r="E35" s="7" t="s">
        <v>264</v>
      </c>
      <c r="F35" s="7" t="s">
        <v>258</v>
      </c>
      <c r="G35" s="42" t="n">
        <v>46309</v>
      </c>
      <c r="H35" s="7" t="s">
        <v>265</v>
      </c>
    </row>
    <row r="37" customFormat="false" ht="21.75" hidden="false" customHeight="true" outlineLevel="0" collapsed="false">
      <c r="B37" s="31" t="s">
        <v>266</v>
      </c>
      <c r="C37" s="31"/>
      <c r="D37" s="31"/>
      <c r="E37" s="31"/>
      <c r="F37" s="31"/>
      <c r="G37" s="31"/>
      <c r="H37" s="31"/>
    </row>
    <row r="38" customFormat="false" ht="21.75" hidden="false" customHeight="true" outlineLevel="0" collapsed="false">
      <c r="B38" s="4" t="s">
        <v>176</v>
      </c>
      <c r="C38" s="4"/>
      <c r="D38" s="39" t="s">
        <v>267</v>
      </c>
      <c r="E38" s="39"/>
      <c r="F38" s="39"/>
      <c r="G38" s="39"/>
      <c r="H38" s="39"/>
    </row>
    <row r="39" customFormat="false" ht="21.75" hidden="false" customHeight="true" outlineLevel="0" collapsed="false">
      <c r="B39" s="4" t="s">
        <v>178</v>
      </c>
      <c r="C39" s="4"/>
      <c r="D39" s="39" t="s">
        <v>268</v>
      </c>
      <c r="E39" s="39"/>
      <c r="F39" s="39"/>
      <c r="G39" s="39"/>
      <c r="H39" s="39"/>
    </row>
    <row r="40" customFormat="false" ht="21.75" hidden="false" customHeight="true" outlineLevel="0" collapsed="false">
      <c r="B40" s="4" t="s">
        <v>179</v>
      </c>
      <c r="C40" s="4"/>
      <c r="D40" s="39" t="s">
        <v>269</v>
      </c>
      <c r="E40" s="39"/>
      <c r="F40" s="39"/>
      <c r="G40" s="39"/>
      <c r="H40" s="39"/>
    </row>
    <row r="41" customFormat="false" ht="21.75" hidden="false" customHeight="true" outlineLevel="0" collapsed="false">
      <c r="B41" s="4" t="s">
        <v>270</v>
      </c>
      <c r="C41" s="4"/>
      <c r="D41" s="39" t="s">
        <v>271</v>
      </c>
      <c r="E41" s="39"/>
      <c r="F41" s="39"/>
      <c r="G41" s="39"/>
      <c r="H41" s="39"/>
    </row>
    <row r="42" customFormat="false" ht="21.75" hidden="false" customHeight="true" outlineLevel="0" collapsed="false">
      <c r="B42" s="4" t="s">
        <v>180</v>
      </c>
      <c r="C42" s="4"/>
      <c r="D42" s="7" t="s">
        <v>272</v>
      </c>
      <c r="E42" s="4" t="s">
        <v>181</v>
      </c>
      <c r="F42" s="43" t="n">
        <v>5</v>
      </c>
      <c r="G42" s="4" t="s">
        <v>273</v>
      </c>
      <c r="H42" s="44" t="n">
        <v>4</v>
      </c>
    </row>
    <row r="44" customFormat="false" ht="21.75" hidden="false" customHeight="true" outlineLevel="0" collapsed="false">
      <c r="B44" s="27" t="s">
        <v>125</v>
      </c>
      <c r="C44" s="27" t="s">
        <v>66</v>
      </c>
      <c r="D44" s="27" t="s">
        <v>185</v>
      </c>
      <c r="E44" s="27" t="s">
        <v>186</v>
      </c>
      <c r="F44" s="27" t="s">
        <v>181</v>
      </c>
      <c r="G44" s="27" t="s">
        <v>274</v>
      </c>
      <c r="H44" s="27" t="s">
        <v>275</v>
      </c>
    </row>
    <row r="45" customFormat="false" ht="19.5" hidden="false" customHeight="true" outlineLevel="0" collapsed="false">
      <c r="B45" s="19" t="n">
        <v>1</v>
      </c>
      <c r="C45" s="7" t="s">
        <v>276</v>
      </c>
      <c r="D45" s="41" t="s">
        <v>277</v>
      </c>
      <c r="E45" s="43" t="n">
        <v>60</v>
      </c>
      <c r="F45" s="45" t="n">
        <f aca="false">$F$42</f>
        <v>5</v>
      </c>
      <c r="G45" s="36" t="str">
        <f aca="false">IF($D$42="Maior é melhor",IF(E45&gt;=$F$42,"Sim","Não"),IF(E45&lt;=$F$42,"Sim","Não"))</f>
        <v>Não</v>
      </c>
      <c r="H45" s="22" t="str">
        <f aca="false">IF(D45&lt;&gt;"Depois","",IF(G45="Sim",1,0))</f>
        <v/>
      </c>
    </row>
    <row r="46" customFormat="false" ht="19.5" hidden="false" customHeight="true" outlineLevel="0" collapsed="false">
      <c r="B46" s="19" t="n">
        <v>2</v>
      </c>
      <c r="C46" s="7" t="s">
        <v>278</v>
      </c>
      <c r="D46" s="41" t="s">
        <v>277</v>
      </c>
      <c r="E46" s="43" t="n">
        <v>57</v>
      </c>
      <c r="F46" s="45" t="n">
        <f aca="false">$F$42</f>
        <v>5</v>
      </c>
      <c r="G46" s="36" t="str">
        <f aca="false">IF($D$42="Maior é melhor",IF(E46&gt;=$F$42,"Sim","Não"),IF(E46&lt;=$F$42,"Sim","Não"))</f>
        <v>Não</v>
      </c>
      <c r="H46" s="22" t="str">
        <f aca="false">IF(D46&lt;&gt;"Depois","",IF(G46="Sim",N(H45)+1,0))</f>
        <v/>
      </c>
    </row>
    <row r="47" customFormat="false" ht="19.5" hidden="false" customHeight="true" outlineLevel="0" collapsed="false">
      <c r="B47" s="19" t="n">
        <v>3</v>
      </c>
      <c r="C47" s="7" t="s">
        <v>279</v>
      </c>
      <c r="D47" s="41" t="s">
        <v>277</v>
      </c>
      <c r="E47" s="43" t="n">
        <v>53</v>
      </c>
      <c r="F47" s="45" t="n">
        <f aca="false">$F$42</f>
        <v>5</v>
      </c>
      <c r="G47" s="36" t="str">
        <f aca="false">IF($D$42="Maior é melhor",IF(E47&gt;=$F$42,"Sim","Não"),IF(E47&lt;=$F$42,"Sim","Não"))</f>
        <v>Não</v>
      </c>
      <c r="H47" s="22" t="str">
        <f aca="false">IF(D47&lt;&gt;"Depois","",IF(G47="Sim",N(H46)+1,0))</f>
        <v/>
      </c>
    </row>
    <row r="48" customFormat="false" ht="19.5" hidden="false" customHeight="true" outlineLevel="0" collapsed="false">
      <c r="B48" s="19" t="n">
        <v>4</v>
      </c>
      <c r="C48" s="7" t="s">
        <v>280</v>
      </c>
      <c r="D48" s="41" t="s">
        <v>281</v>
      </c>
      <c r="E48" s="43" t="n">
        <v>37</v>
      </c>
      <c r="F48" s="45" t="n">
        <f aca="false">$F$42</f>
        <v>5</v>
      </c>
      <c r="G48" s="36" t="str">
        <f aca="false">IF($D$42="Maior é melhor",IF(E48&gt;=$F$42,"Sim","Não"),IF(E48&lt;=$F$42,"Sim","Não"))</f>
        <v>Não</v>
      </c>
      <c r="H48" s="22" t="str">
        <f aca="false">IF(D48&lt;&gt;"Depois","",IF(G48="Sim",N(H47)+1,0))</f>
        <v/>
      </c>
    </row>
    <row r="49" customFormat="false" ht="19.5" hidden="false" customHeight="true" outlineLevel="0" collapsed="false">
      <c r="B49" s="19" t="n">
        <v>5</v>
      </c>
      <c r="C49" s="7" t="s">
        <v>282</v>
      </c>
      <c r="D49" s="41" t="s">
        <v>190</v>
      </c>
      <c r="E49" s="43" t="n">
        <v>3</v>
      </c>
      <c r="F49" s="45" t="n">
        <f aca="false">$F$42</f>
        <v>5</v>
      </c>
      <c r="G49" s="36" t="str">
        <f aca="false">IF($D$42="Maior é melhor",IF(E49&gt;=$F$42,"Sim","Não"),IF(E49&lt;=$F$42,"Sim","Não"))</f>
        <v>Sim</v>
      </c>
      <c r="H49" s="22" t="n">
        <f aca="false">IF(D49&lt;&gt;"Depois","",IF(G49="Sim",N(H48)+1,0))</f>
        <v>1</v>
      </c>
    </row>
    <row r="50" customFormat="false" ht="19.5" hidden="false" customHeight="true" outlineLevel="0" collapsed="false">
      <c r="B50" s="19" t="n">
        <v>6</v>
      </c>
      <c r="C50" s="7" t="s">
        <v>283</v>
      </c>
      <c r="D50" s="41" t="s">
        <v>190</v>
      </c>
      <c r="E50" s="43" t="n">
        <v>0</v>
      </c>
      <c r="F50" s="45" t="n">
        <f aca="false">$F$42</f>
        <v>5</v>
      </c>
      <c r="G50" s="36" t="str">
        <f aca="false">IF($D$42="Maior é melhor",IF(E50&gt;=$F$42,"Sim","Não"),IF(E50&lt;=$F$42,"Sim","Não"))</f>
        <v>Sim</v>
      </c>
      <c r="H50" s="22" t="n">
        <f aca="false">IF(D50&lt;&gt;"Depois","",IF(G50="Sim",N(H49)+1,0))</f>
        <v>2</v>
      </c>
    </row>
    <row r="51" customFormat="false" ht="19.5" hidden="false" customHeight="true" outlineLevel="0" collapsed="false">
      <c r="B51" s="19" t="n">
        <v>7</v>
      </c>
      <c r="C51" s="7" t="s">
        <v>284</v>
      </c>
      <c r="D51" s="41" t="s">
        <v>190</v>
      </c>
      <c r="E51" s="43" t="n">
        <v>3</v>
      </c>
      <c r="F51" s="45" t="n">
        <f aca="false">$F$42</f>
        <v>5</v>
      </c>
      <c r="G51" s="36" t="str">
        <f aca="false">IF($D$42="Maior é melhor",IF(E51&gt;=$F$42,"Sim","Não"),IF(E51&lt;=$F$42,"Sim","Não"))</f>
        <v>Sim</v>
      </c>
      <c r="H51" s="22" t="n">
        <f aca="false">IF(D51&lt;&gt;"Depois","",IF(G51="Sim",N(H50)+1,0))</f>
        <v>3</v>
      </c>
    </row>
    <row r="52" customFormat="false" ht="19.5" hidden="false" customHeight="true" outlineLevel="0" collapsed="false">
      <c r="B52" s="19" t="n">
        <v>8</v>
      </c>
      <c r="C52" s="7" t="s">
        <v>285</v>
      </c>
      <c r="D52" s="41" t="s">
        <v>190</v>
      </c>
      <c r="E52" s="43" t="n">
        <v>0</v>
      </c>
      <c r="F52" s="45" t="n">
        <f aca="false">$F$42</f>
        <v>5</v>
      </c>
      <c r="G52" s="36" t="str">
        <f aca="false">IF($D$42="Maior é melhor",IF(E52&gt;=$F$42,"Sim","Não"),IF(E52&lt;=$F$42,"Sim","Não"))</f>
        <v>Sim</v>
      </c>
      <c r="H52" s="22" t="n">
        <f aca="false">IF(D52&lt;&gt;"Depois","",IF(G52="Sim",N(H51)+1,0))</f>
        <v>4</v>
      </c>
    </row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5" customFormat="false" ht="21.75" hidden="false" customHeight="true" outlineLevel="0" collapsed="false">
      <c r="B65" s="24" t="s">
        <v>286</v>
      </c>
      <c r="C65" s="24"/>
      <c r="D65" s="24"/>
      <c r="E65" s="24"/>
      <c r="F65" s="24"/>
      <c r="G65" s="24"/>
      <c r="H65" s="24"/>
    </row>
    <row r="66" customFormat="false" ht="21.75" hidden="false" customHeight="true" outlineLevel="0" collapsed="false">
      <c r="B66" s="4" t="s">
        <v>287</v>
      </c>
      <c r="C66" s="4"/>
      <c r="D66" s="39" t="s">
        <v>288</v>
      </c>
      <c r="E66" s="39"/>
      <c r="F66" s="39"/>
      <c r="G66" s="39"/>
      <c r="H66" s="39"/>
    </row>
    <row r="67" customFormat="false" ht="21.75" hidden="false" customHeight="true" outlineLevel="0" collapsed="false">
      <c r="B67" s="4" t="s">
        <v>289</v>
      </c>
      <c r="C67" s="4"/>
      <c r="D67" s="39" t="s">
        <v>290</v>
      </c>
      <c r="E67" s="39"/>
      <c r="F67" s="39"/>
      <c r="G67" s="39"/>
      <c r="H67" s="39"/>
    </row>
    <row r="68" customFormat="false" ht="21.75" hidden="false" customHeight="true" outlineLevel="0" collapsed="false">
      <c r="B68" s="4" t="s">
        <v>291</v>
      </c>
      <c r="C68" s="4"/>
      <c r="D68" s="40" t="n">
        <v>46336</v>
      </c>
      <c r="E68" s="40"/>
      <c r="F68" s="40"/>
      <c r="G68" s="40"/>
      <c r="H68" s="40"/>
    </row>
    <row r="69" customFormat="false" ht="21.75" hidden="false" customHeight="true" outlineLevel="0" collapsed="false">
      <c r="B69" s="4" t="s">
        <v>144</v>
      </c>
      <c r="C69" s="4"/>
      <c r="D69" s="39" t="s">
        <v>258</v>
      </c>
      <c r="E69" s="39"/>
      <c r="F69" s="39"/>
      <c r="G69" s="39"/>
      <c r="H69" s="39"/>
    </row>
    <row r="71" customFormat="false" ht="21.75" hidden="false" customHeight="true" outlineLevel="0" collapsed="false">
      <c r="B71" s="24" t="s">
        <v>99</v>
      </c>
      <c r="C71" s="24"/>
      <c r="D71" s="24"/>
      <c r="E71" s="24"/>
      <c r="F71" s="24"/>
      <c r="G71" s="24"/>
      <c r="H71" s="24"/>
    </row>
    <row r="72" customFormat="false" ht="21.75" hidden="false" customHeight="true" outlineLevel="0" collapsed="false">
      <c r="B72" s="25" t="s">
        <v>170</v>
      </c>
      <c r="C72" s="25"/>
      <c r="D72" s="25"/>
      <c r="E72" s="27" t="n">
        <f aca="false">COUNTIF(C31:C35,"Correção")</f>
        <v>2</v>
      </c>
    </row>
    <row r="73" customFormat="false" ht="21.75" hidden="false" customHeight="true" outlineLevel="0" collapsed="false">
      <c r="B73" s="25" t="s">
        <v>171</v>
      </c>
      <c r="C73" s="25"/>
      <c r="D73" s="25"/>
      <c r="E73" s="27" t="n">
        <f aca="false">COUNTIF(C31:C35,"Ação corretiva")</f>
        <v>3</v>
      </c>
    </row>
    <row r="74" customFormat="false" ht="21.75" hidden="false" customHeight="true" outlineLevel="0" collapsed="false">
      <c r="B74" s="25" t="s">
        <v>292</v>
      </c>
      <c r="C74" s="25"/>
      <c r="D74" s="25"/>
      <c r="E74" s="46" t="n">
        <f aca="false">AVERAGEIF(D45:D52,"Antes",E45:E52)</f>
        <v>56.6666666666667</v>
      </c>
    </row>
    <row r="75" customFormat="false" ht="21.75" hidden="false" customHeight="true" outlineLevel="0" collapsed="false">
      <c r="B75" s="25" t="s">
        <v>293</v>
      </c>
      <c r="C75" s="25"/>
      <c r="D75" s="25"/>
      <c r="E75" s="46" t="n">
        <f aca="false">AVERAGEIF(D45:D52,"Depois",E45:E52)</f>
        <v>1.5</v>
      </c>
    </row>
    <row r="76" customFormat="false" ht="21.75" hidden="false" customHeight="true" outlineLevel="0" collapsed="false">
      <c r="B76" s="25" t="s">
        <v>275</v>
      </c>
      <c r="C76" s="25"/>
      <c r="D76" s="25"/>
      <c r="E76" s="27" t="n">
        <f aca="false">N(H52)</f>
        <v>4</v>
      </c>
    </row>
    <row r="77" customFormat="false" ht="21.75" hidden="false" customHeight="true" outlineLevel="0" collapsed="false">
      <c r="B77" s="25" t="s">
        <v>294</v>
      </c>
      <c r="C77" s="25"/>
      <c r="D77" s="25"/>
      <c r="E77" s="28" t="n">
        <f aca="false">D68-D5</f>
        <v>46</v>
      </c>
    </row>
    <row r="78" customFormat="false" ht="21.75" hidden="false" customHeight="true" outlineLevel="0" collapsed="false">
      <c r="B78" s="25" t="s">
        <v>195</v>
      </c>
      <c r="C78" s="25"/>
      <c r="D78" s="25"/>
      <c r="E78" s="26" t="str">
        <f aca="false">IF(N(H52)&gt;=$H$42,"Eficaz: encerre e padronize","Em observação")</f>
        <v>Eficaz: encerre e padronize</v>
      </c>
    </row>
  </sheetData>
  <mergeCells count="74">
    <mergeCell ref="B1:H1"/>
    <mergeCell ref="B2:H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1:H11"/>
    <mergeCell ref="B12:C12"/>
    <mergeCell ref="D12:H12"/>
    <mergeCell ref="B13:C13"/>
    <mergeCell ref="D13:H13"/>
    <mergeCell ref="B14:C14"/>
    <mergeCell ref="D14:H14"/>
    <mergeCell ref="B16:H16"/>
    <mergeCell ref="B17:C17"/>
    <mergeCell ref="D17:H17"/>
    <mergeCell ref="B18:C18"/>
    <mergeCell ref="D18:H18"/>
    <mergeCell ref="B19:C19"/>
    <mergeCell ref="D19:H19"/>
    <mergeCell ref="B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27:C27"/>
    <mergeCell ref="D27:H27"/>
    <mergeCell ref="B29:H29"/>
    <mergeCell ref="B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2:C42"/>
    <mergeCell ref="B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1:H71"/>
    <mergeCell ref="B72:D72"/>
    <mergeCell ref="B73:D73"/>
    <mergeCell ref="B74:D74"/>
    <mergeCell ref="B75:D75"/>
    <mergeCell ref="B76:D76"/>
    <mergeCell ref="B77:D77"/>
    <mergeCell ref="B78:D78"/>
  </mergeCells>
  <conditionalFormatting sqref="C31:C35">
    <cfRule type="cellIs" priority="2" operator="equal" aboveAverage="0" equalAverage="0" bottom="0" percent="0" rank="0" text="" dxfId="1">
      <formula>"Correção"</formula>
    </cfRule>
    <cfRule type="cellIs" priority="3" operator="equal" aboveAverage="0" equalAverage="0" bottom="0" percent="0" rank="0" text="" dxfId="3">
      <formula>"Ação corretiva"</formula>
    </cfRule>
  </conditionalFormatting>
  <conditionalFormatting sqref="G45:G52">
    <cfRule type="cellIs" priority="4" operator="equal" aboveAverage="0" equalAverage="0" bottom="0" percent="0" rank="0" text="" dxfId="0">
      <formula>"Sim"</formula>
    </cfRule>
    <cfRule type="cellIs" priority="5" operator="equal" aboveAverage="0" equalAverage="0" bottom="0" percent="0" rank="0" text="" dxfId="2">
      <formula>"Não"</formula>
    </cfRule>
  </conditionalFormatting>
  <conditionalFormatting sqref="D45:D52">
    <cfRule type="cellIs" priority="6" operator="equal" aboveAverage="0" equalAverage="0" bottom="0" percent="0" rank="0" text="" dxfId="3">
      <formula>"Depois"</formula>
    </cfRule>
  </conditionalFormatting>
  <conditionalFormatting sqref="E78">
    <cfRule type="expression" priority="7" aboveAverage="0" equalAverage="0" bottom="0" percent="0" rank="0" text="" dxfId="0">
      <formula>LEFT(E78,6)="Eficaz"</formula>
    </cfRule>
    <cfRule type="expression" priority="8" aboveAverage="0" equalAverage="0" bottom="0" percent="0" rank="0" text="" dxfId="2">
      <formula>LEFT(E78,3)="Não"</formula>
    </cfRule>
    <cfRule type="expression" priority="9" aboveAverage="0" equalAverage="0" bottom="0" percent="0" rank="0" text="" dxfId="1">
      <formula>LEN(E78)&gt;0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8" man="true" max="16383" min="0"/>
    <brk id="36" man="true" max="16383" min="0"/>
    <brk id="64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217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117</v>
      </c>
      <c r="C4" s="4"/>
      <c r="D4" s="39" t="s">
        <v>295</v>
      </c>
      <c r="E4" s="39"/>
      <c r="F4" s="39"/>
      <c r="G4" s="39"/>
      <c r="H4" s="39"/>
    </row>
    <row r="5" customFormat="false" ht="21.75" hidden="false" customHeight="true" outlineLevel="0" collapsed="false">
      <c r="B5" s="4" t="s">
        <v>220</v>
      </c>
      <c r="C5" s="4"/>
      <c r="D5" s="40" t="n">
        <v>46287</v>
      </c>
      <c r="E5" s="40"/>
      <c r="F5" s="40"/>
      <c r="G5" s="40"/>
      <c r="H5" s="40"/>
    </row>
    <row r="6" customFormat="false" ht="21.75" hidden="false" customHeight="true" outlineLevel="0" collapsed="false">
      <c r="B6" s="4" t="s">
        <v>70</v>
      </c>
      <c r="C6" s="4"/>
      <c r="D6" s="39" t="s">
        <v>296</v>
      </c>
      <c r="E6" s="39"/>
      <c r="F6" s="39"/>
      <c r="G6" s="39"/>
      <c r="H6" s="39"/>
    </row>
    <row r="7" customFormat="false" ht="21.75" hidden="false" customHeight="true" outlineLevel="0" collapsed="false">
      <c r="B7" s="4" t="s">
        <v>71</v>
      </c>
      <c r="C7" s="4"/>
      <c r="D7" s="39" t="s">
        <v>92</v>
      </c>
      <c r="E7" s="39"/>
      <c r="F7" s="39"/>
      <c r="G7" s="39"/>
      <c r="H7" s="39"/>
    </row>
    <row r="8" customFormat="false" ht="21.75" hidden="false" customHeight="true" outlineLevel="0" collapsed="false">
      <c r="B8" s="4" t="s">
        <v>119</v>
      </c>
      <c r="C8" s="4"/>
      <c r="D8" s="39" t="s">
        <v>297</v>
      </c>
      <c r="E8" s="39"/>
      <c r="F8" s="39"/>
      <c r="G8" s="39"/>
      <c r="H8" s="39"/>
    </row>
    <row r="9" customFormat="false" ht="21.75" hidden="false" customHeight="true" outlineLevel="0" collapsed="false">
      <c r="B9" s="4" t="s">
        <v>74</v>
      </c>
      <c r="C9" s="4"/>
      <c r="D9" s="39" t="s">
        <v>95</v>
      </c>
      <c r="E9" s="39"/>
      <c r="F9" s="39"/>
      <c r="G9" s="39"/>
      <c r="H9" s="39"/>
    </row>
    <row r="11" customFormat="false" ht="21.75" hidden="false" customHeight="true" outlineLevel="0" collapsed="false">
      <c r="B11" s="29" t="s">
        <v>120</v>
      </c>
      <c r="C11" s="29"/>
      <c r="D11" s="29"/>
      <c r="E11" s="29"/>
      <c r="F11" s="29"/>
      <c r="G11" s="29"/>
      <c r="H11" s="29"/>
    </row>
    <row r="12" customFormat="false" ht="21.75" hidden="false" customHeight="true" outlineLevel="0" collapsed="false">
      <c r="B12" s="4" t="s">
        <v>121</v>
      </c>
      <c r="C12" s="4"/>
      <c r="D12" s="39" t="s">
        <v>298</v>
      </c>
      <c r="E12" s="39"/>
      <c r="F12" s="39"/>
      <c r="G12" s="39"/>
      <c r="H12" s="39"/>
    </row>
    <row r="13" customFormat="false" ht="21.75" hidden="false" customHeight="true" outlineLevel="0" collapsed="false">
      <c r="B13" s="4" t="s">
        <v>122</v>
      </c>
      <c r="C13" s="4"/>
      <c r="D13" s="39" t="s">
        <v>299</v>
      </c>
      <c r="E13" s="39"/>
      <c r="F13" s="39"/>
      <c r="G13" s="39"/>
      <c r="H13" s="39"/>
    </row>
    <row r="14" customFormat="false" ht="21.75" hidden="false" customHeight="true" outlineLevel="0" collapsed="false">
      <c r="B14" s="4" t="s">
        <v>123</v>
      </c>
      <c r="C14" s="4"/>
      <c r="D14" s="39" t="s">
        <v>93</v>
      </c>
      <c r="E14" s="39"/>
      <c r="F14" s="39"/>
      <c r="G14" s="39"/>
      <c r="H14" s="39"/>
    </row>
    <row r="16" customFormat="false" ht="21.75" hidden="false" customHeight="true" outlineLevel="0" collapsed="false">
      <c r="B16" s="31" t="s">
        <v>228</v>
      </c>
      <c r="C16" s="31"/>
      <c r="D16" s="31"/>
      <c r="E16" s="31"/>
      <c r="F16" s="31"/>
      <c r="G16" s="31"/>
      <c r="H16" s="31"/>
    </row>
    <row r="17" customFormat="false" ht="21.75" hidden="false" customHeight="true" outlineLevel="0" collapsed="false">
      <c r="B17" s="4" t="s">
        <v>229</v>
      </c>
      <c r="C17" s="4"/>
      <c r="D17" s="39" t="s">
        <v>300</v>
      </c>
      <c r="E17" s="39"/>
      <c r="F17" s="39"/>
      <c r="G17" s="39"/>
      <c r="H17" s="39"/>
    </row>
    <row r="18" customFormat="false" ht="21.75" hidden="false" customHeight="true" outlineLevel="0" collapsed="false">
      <c r="B18" s="4" t="s">
        <v>231</v>
      </c>
      <c r="C18" s="4"/>
      <c r="D18" s="39" t="s">
        <v>301</v>
      </c>
      <c r="E18" s="39"/>
      <c r="F18" s="39"/>
      <c r="G18" s="39"/>
      <c r="H18" s="39"/>
    </row>
    <row r="19" customFormat="false" ht="21.75" hidden="false" customHeight="true" outlineLevel="0" collapsed="false">
      <c r="B19" s="4" t="s">
        <v>233</v>
      </c>
      <c r="C19" s="4"/>
      <c r="D19" s="39" t="s">
        <v>302</v>
      </c>
      <c r="E19" s="39"/>
      <c r="F19" s="39"/>
      <c r="G19" s="39"/>
      <c r="H19" s="39"/>
    </row>
    <row r="21" customFormat="false" ht="21.75" hidden="false" customHeight="true" outlineLevel="0" collapsed="false">
      <c r="B21" s="31" t="s">
        <v>134</v>
      </c>
      <c r="C21" s="31"/>
      <c r="D21" s="31"/>
      <c r="E21" s="31"/>
      <c r="F21" s="31"/>
      <c r="G21" s="31"/>
      <c r="H21" s="31"/>
    </row>
    <row r="22" customFormat="false" ht="21.75" hidden="false" customHeight="true" outlineLevel="0" collapsed="false">
      <c r="B22" s="27" t="s">
        <v>125</v>
      </c>
      <c r="C22" s="26" t="s">
        <v>135</v>
      </c>
      <c r="D22" s="26"/>
      <c r="E22" s="26" t="s">
        <v>136</v>
      </c>
      <c r="F22" s="26"/>
      <c r="G22" s="26" t="s">
        <v>137</v>
      </c>
      <c r="H22" s="26"/>
    </row>
    <row r="23" customFormat="false" ht="34.5" hidden="false" customHeight="true" outlineLevel="0" collapsed="false">
      <c r="B23" s="19" t="n">
        <v>1</v>
      </c>
      <c r="C23" s="7" t="s">
        <v>303</v>
      </c>
      <c r="D23" s="7"/>
      <c r="E23" s="7" t="s">
        <v>304</v>
      </c>
      <c r="F23" s="7"/>
      <c r="G23" s="7" t="s">
        <v>305</v>
      </c>
      <c r="H23" s="7"/>
    </row>
    <row r="24" customFormat="false" ht="34.5" hidden="false" customHeight="true" outlineLevel="0" collapsed="false">
      <c r="B24" s="19" t="n">
        <v>2</v>
      </c>
      <c r="C24" s="7" t="s">
        <v>306</v>
      </c>
      <c r="D24" s="7"/>
      <c r="E24" s="7" t="s">
        <v>307</v>
      </c>
      <c r="F24" s="7"/>
      <c r="G24" s="7" t="s">
        <v>308</v>
      </c>
      <c r="H24" s="7"/>
    </row>
    <row r="25" customFormat="false" ht="34.5" hidden="false" customHeight="true" outlineLevel="0" collapsed="false">
      <c r="B25" s="19" t="n">
        <v>3</v>
      </c>
      <c r="C25" s="7" t="s">
        <v>309</v>
      </c>
      <c r="D25" s="7"/>
      <c r="E25" s="7" t="s">
        <v>310</v>
      </c>
      <c r="F25" s="7"/>
      <c r="G25" s="7" t="s">
        <v>311</v>
      </c>
      <c r="H25" s="7"/>
    </row>
    <row r="26" customFormat="false" ht="34.5" hidden="false" customHeight="true" outlineLevel="0" collapsed="false">
      <c r="B26" s="19" t="n">
        <v>4</v>
      </c>
      <c r="C26" s="7" t="s">
        <v>312</v>
      </c>
      <c r="D26" s="7"/>
      <c r="E26" s="7" t="s">
        <v>313</v>
      </c>
      <c r="F26" s="7"/>
      <c r="G26" s="7" t="s">
        <v>314</v>
      </c>
      <c r="H26" s="7"/>
    </row>
    <row r="27" customFormat="false" ht="21.75" hidden="false" customHeight="true" outlineLevel="0" collapsed="false">
      <c r="B27" s="4" t="s">
        <v>139</v>
      </c>
      <c r="C27" s="4"/>
      <c r="D27" s="13" t="s">
        <v>315</v>
      </c>
      <c r="E27" s="13"/>
      <c r="F27" s="13"/>
      <c r="G27" s="13"/>
      <c r="H27" s="13"/>
    </row>
    <row r="29" customFormat="false" ht="21.75" hidden="false" customHeight="true" outlineLevel="0" collapsed="false">
      <c r="B29" s="30" t="s">
        <v>248</v>
      </c>
      <c r="C29" s="30"/>
      <c r="D29" s="30"/>
      <c r="E29" s="30"/>
      <c r="F29" s="30"/>
      <c r="G29" s="30"/>
      <c r="H29" s="30"/>
    </row>
    <row r="30" customFormat="false" ht="21.75" hidden="false" customHeight="true" outlineLevel="0" collapsed="false">
      <c r="B30" s="27" t="s">
        <v>125</v>
      </c>
      <c r="C30" s="27" t="s">
        <v>151</v>
      </c>
      <c r="D30" s="27" t="s">
        <v>249</v>
      </c>
      <c r="E30" s="27" t="s">
        <v>153</v>
      </c>
      <c r="F30" s="27" t="s">
        <v>74</v>
      </c>
      <c r="G30" s="27" t="s">
        <v>154</v>
      </c>
      <c r="H30" s="27" t="s">
        <v>155</v>
      </c>
    </row>
    <row r="31" customFormat="false" ht="47.25" hidden="false" customHeight="true" outlineLevel="0" collapsed="false">
      <c r="B31" s="19" t="n">
        <v>1</v>
      </c>
      <c r="C31" s="41" t="s">
        <v>16</v>
      </c>
      <c r="D31" s="7" t="s">
        <v>316</v>
      </c>
      <c r="E31" s="7" t="s">
        <v>251</v>
      </c>
      <c r="F31" s="7" t="s">
        <v>317</v>
      </c>
      <c r="G31" s="42" t="n">
        <v>46290</v>
      </c>
      <c r="H31" s="7" t="s">
        <v>318</v>
      </c>
    </row>
    <row r="32" customFormat="false" ht="47.25" hidden="false" customHeight="true" outlineLevel="0" collapsed="false">
      <c r="B32" s="19" t="n">
        <v>2</v>
      </c>
      <c r="C32" s="41" t="s">
        <v>16</v>
      </c>
      <c r="D32" s="7" t="s">
        <v>319</v>
      </c>
      <c r="E32" s="7" t="s">
        <v>251</v>
      </c>
      <c r="F32" s="7" t="s">
        <v>320</v>
      </c>
      <c r="G32" s="42" t="n">
        <v>46291</v>
      </c>
      <c r="H32" s="7" t="s">
        <v>321</v>
      </c>
    </row>
    <row r="33" customFormat="false" ht="34.5" hidden="false" customHeight="true" outlineLevel="0" collapsed="false">
      <c r="B33" s="19" t="n">
        <v>3</v>
      </c>
      <c r="C33" s="41" t="s">
        <v>16</v>
      </c>
      <c r="D33" s="7" t="s">
        <v>322</v>
      </c>
      <c r="E33" s="7" t="s">
        <v>251</v>
      </c>
      <c r="F33" s="7" t="s">
        <v>323</v>
      </c>
      <c r="G33" s="42" t="n">
        <v>46288</v>
      </c>
      <c r="H33" s="7" t="s">
        <v>324</v>
      </c>
    </row>
    <row r="34" customFormat="false" ht="34.5" hidden="false" customHeight="true" outlineLevel="0" collapsed="false">
      <c r="B34" s="19" t="n">
        <v>4</v>
      </c>
      <c r="C34" s="41" t="s">
        <v>18</v>
      </c>
      <c r="D34" s="7" t="s">
        <v>163</v>
      </c>
      <c r="E34" s="7" t="s">
        <v>164</v>
      </c>
      <c r="F34" s="7" t="s">
        <v>165</v>
      </c>
      <c r="G34" s="42" t="n">
        <v>46309</v>
      </c>
      <c r="H34" s="7" t="s">
        <v>167</v>
      </c>
    </row>
    <row r="35" customFormat="false" ht="60" hidden="false" customHeight="true" outlineLevel="0" collapsed="false">
      <c r="B35" s="19" t="n">
        <v>5</v>
      </c>
      <c r="C35" s="41" t="s">
        <v>18</v>
      </c>
      <c r="D35" s="7" t="s">
        <v>325</v>
      </c>
      <c r="E35" s="7" t="s">
        <v>326</v>
      </c>
      <c r="F35" s="7" t="s">
        <v>95</v>
      </c>
      <c r="G35" s="42" t="n">
        <v>46311</v>
      </c>
      <c r="H35" s="7" t="s">
        <v>327</v>
      </c>
    </row>
    <row r="36" customFormat="false" ht="34.5" hidden="false" customHeight="true" outlineLevel="0" collapsed="false">
      <c r="B36" s="19" t="n">
        <v>6</v>
      </c>
      <c r="C36" s="41" t="s">
        <v>18</v>
      </c>
      <c r="D36" s="7" t="s">
        <v>328</v>
      </c>
      <c r="E36" s="7" t="s">
        <v>329</v>
      </c>
      <c r="F36" s="7" t="s">
        <v>330</v>
      </c>
      <c r="G36" s="42" t="n">
        <v>46318</v>
      </c>
      <c r="H36" s="7" t="s">
        <v>331</v>
      </c>
    </row>
    <row r="37" customFormat="false" ht="34.5" hidden="false" customHeight="true" outlineLevel="0" collapsed="false">
      <c r="B37" s="19" t="n">
        <v>7</v>
      </c>
      <c r="C37" s="41" t="s">
        <v>18</v>
      </c>
      <c r="D37" s="7" t="s">
        <v>332</v>
      </c>
      <c r="E37" s="7" t="s">
        <v>333</v>
      </c>
      <c r="F37" s="7" t="s">
        <v>317</v>
      </c>
      <c r="G37" s="42" t="n">
        <v>46317</v>
      </c>
      <c r="H37" s="7" t="s">
        <v>334</v>
      </c>
    </row>
    <row r="39" customFormat="false" ht="21.75" hidden="false" customHeight="true" outlineLevel="0" collapsed="false">
      <c r="B39" s="31" t="s">
        <v>266</v>
      </c>
      <c r="C39" s="31"/>
      <c r="D39" s="31"/>
      <c r="E39" s="31"/>
      <c r="F39" s="31"/>
      <c r="G39" s="31"/>
      <c r="H39" s="31"/>
    </row>
    <row r="40" customFormat="false" ht="21.75" hidden="false" customHeight="true" outlineLevel="0" collapsed="false">
      <c r="B40" s="4" t="s">
        <v>176</v>
      </c>
      <c r="C40" s="4"/>
      <c r="D40" s="39" t="s">
        <v>335</v>
      </c>
      <c r="E40" s="39"/>
      <c r="F40" s="39"/>
      <c r="G40" s="39"/>
      <c r="H40" s="39"/>
    </row>
    <row r="41" customFormat="false" ht="21.75" hidden="false" customHeight="true" outlineLevel="0" collapsed="false">
      <c r="B41" s="4" t="s">
        <v>178</v>
      </c>
      <c r="C41" s="4"/>
      <c r="D41" s="39" t="s">
        <v>336</v>
      </c>
      <c r="E41" s="39"/>
      <c r="F41" s="39"/>
      <c r="G41" s="39"/>
      <c r="H41" s="39"/>
    </row>
    <row r="42" customFormat="false" ht="21.75" hidden="false" customHeight="true" outlineLevel="0" collapsed="false">
      <c r="B42" s="4" t="s">
        <v>179</v>
      </c>
      <c r="C42" s="4"/>
      <c r="D42" s="39" t="s">
        <v>337</v>
      </c>
      <c r="E42" s="39"/>
      <c r="F42" s="39"/>
      <c r="G42" s="39"/>
      <c r="H42" s="39"/>
    </row>
    <row r="43" customFormat="false" ht="21.75" hidden="false" customHeight="true" outlineLevel="0" collapsed="false">
      <c r="B43" s="4" t="s">
        <v>270</v>
      </c>
      <c r="C43" s="4"/>
      <c r="D43" s="39" t="s">
        <v>338</v>
      </c>
      <c r="E43" s="39"/>
      <c r="F43" s="39"/>
      <c r="G43" s="39"/>
      <c r="H43" s="39"/>
    </row>
    <row r="44" customFormat="false" ht="21.75" hidden="false" customHeight="true" outlineLevel="0" collapsed="false">
      <c r="B44" s="4" t="s">
        <v>180</v>
      </c>
      <c r="C44" s="4"/>
      <c r="D44" s="7" t="s">
        <v>272</v>
      </c>
      <c r="E44" s="4" t="s">
        <v>181</v>
      </c>
      <c r="F44" s="43" t="n">
        <v>5</v>
      </c>
      <c r="G44" s="4" t="s">
        <v>273</v>
      </c>
      <c r="H44" s="47" t="n">
        <v>3</v>
      </c>
    </row>
    <row r="46" customFormat="false" ht="21.75" hidden="false" customHeight="true" outlineLevel="0" collapsed="false">
      <c r="B46" s="27" t="s">
        <v>125</v>
      </c>
      <c r="C46" s="27" t="s">
        <v>66</v>
      </c>
      <c r="D46" s="27" t="s">
        <v>185</v>
      </c>
      <c r="E46" s="27" t="s">
        <v>186</v>
      </c>
      <c r="F46" s="27" t="s">
        <v>181</v>
      </c>
      <c r="G46" s="27" t="s">
        <v>274</v>
      </c>
      <c r="H46" s="27" t="s">
        <v>275</v>
      </c>
    </row>
    <row r="47" customFormat="false" ht="19.5" hidden="false" customHeight="true" outlineLevel="0" collapsed="false">
      <c r="B47" s="19" t="n">
        <v>1</v>
      </c>
      <c r="C47" s="7" t="s">
        <v>339</v>
      </c>
      <c r="D47" s="41" t="s">
        <v>277</v>
      </c>
      <c r="E47" s="43" t="n">
        <v>29</v>
      </c>
      <c r="F47" s="45" t="n">
        <f aca="false">$F$44</f>
        <v>5</v>
      </c>
      <c r="G47" s="36" t="str">
        <f aca="false">IF($D$44="Maior é melhor",IF(E47&gt;=$F$44,"Sim","Não"),IF(E47&lt;=$F$44,"Sim","Não"))</f>
        <v>Não</v>
      </c>
      <c r="H47" s="22" t="str">
        <f aca="false">IF(D47&lt;&gt;"Depois","",IF(G47="Sim",1,0))</f>
        <v/>
      </c>
    </row>
    <row r="48" customFormat="false" ht="19.5" hidden="false" customHeight="true" outlineLevel="0" collapsed="false">
      <c r="B48" s="19" t="n">
        <v>2</v>
      </c>
      <c r="C48" s="7" t="s">
        <v>340</v>
      </c>
      <c r="D48" s="41" t="s">
        <v>277</v>
      </c>
      <c r="E48" s="43" t="n">
        <v>31</v>
      </c>
      <c r="F48" s="45" t="n">
        <f aca="false">$F$44</f>
        <v>5</v>
      </c>
      <c r="G48" s="36" t="str">
        <f aca="false">IF($D$44="Maior é melhor",IF(E48&gt;=$F$44,"Sim","Não"),IF(E48&lt;=$F$44,"Sim","Não"))</f>
        <v>Não</v>
      </c>
      <c r="H48" s="22" t="str">
        <f aca="false">IF(D48&lt;&gt;"Depois","",IF(G48="Sim",N(H47)+1,0))</f>
        <v/>
      </c>
    </row>
    <row r="49" customFormat="false" ht="19.5" hidden="false" customHeight="true" outlineLevel="0" collapsed="false">
      <c r="B49" s="19" t="n">
        <v>3</v>
      </c>
      <c r="C49" s="7" t="s">
        <v>341</v>
      </c>
      <c r="D49" s="41" t="s">
        <v>277</v>
      </c>
      <c r="E49" s="43" t="n">
        <v>33</v>
      </c>
      <c r="F49" s="45" t="n">
        <f aca="false">$F$44</f>
        <v>5</v>
      </c>
      <c r="G49" s="36" t="str">
        <f aca="false">IF($D$44="Maior é melhor",IF(E49&gt;=$F$44,"Sim","Não"),IF(E49&lt;=$F$44,"Sim","Não"))</f>
        <v>Não</v>
      </c>
      <c r="H49" s="22" t="str">
        <f aca="false">IF(D49&lt;&gt;"Depois","",IF(G49="Sim",N(H48)+1,0))</f>
        <v/>
      </c>
    </row>
    <row r="50" customFormat="false" ht="19.5" hidden="false" customHeight="true" outlineLevel="0" collapsed="false">
      <c r="B50" s="19" t="n">
        <v>4</v>
      </c>
      <c r="C50" s="7" t="s">
        <v>342</v>
      </c>
      <c r="D50" s="41" t="s">
        <v>277</v>
      </c>
      <c r="E50" s="43" t="n">
        <v>30</v>
      </c>
      <c r="F50" s="45" t="n">
        <f aca="false">$F$44</f>
        <v>5</v>
      </c>
      <c r="G50" s="36" t="str">
        <f aca="false">IF($D$44="Maior é melhor",IF(E50&gt;=$F$44,"Sim","Não"),IF(E50&lt;=$F$44,"Sim","Não"))</f>
        <v>Não</v>
      </c>
      <c r="H50" s="22" t="str">
        <f aca="false">IF(D50&lt;&gt;"Depois","",IF(G50="Sim",N(H49)+1,0))</f>
        <v/>
      </c>
    </row>
    <row r="51" customFormat="false" ht="19.5" hidden="false" customHeight="true" outlineLevel="0" collapsed="false">
      <c r="B51" s="19" t="n">
        <v>5</v>
      </c>
      <c r="C51" s="7" t="s">
        <v>343</v>
      </c>
      <c r="D51" s="41" t="s">
        <v>277</v>
      </c>
      <c r="E51" s="43" t="n">
        <v>31</v>
      </c>
      <c r="F51" s="45" t="n">
        <f aca="false">$F$44</f>
        <v>5</v>
      </c>
      <c r="G51" s="36" t="str">
        <f aca="false">IF($D$44="Maior é melhor",IF(E51&gt;=$F$44,"Sim","Não"),IF(E51&lt;=$F$44,"Sim","Não"))</f>
        <v>Não</v>
      </c>
      <c r="H51" s="22" t="str">
        <f aca="false">IF(D51&lt;&gt;"Depois","",IF(G51="Sim",N(H50)+1,0))</f>
        <v/>
      </c>
    </row>
    <row r="52" customFormat="false" ht="19.5" hidden="false" customHeight="true" outlineLevel="0" collapsed="false">
      <c r="B52" s="19" t="n">
        <v>6</v>
      </c>
      <c r="C52" s="7" t="s">
        <v>344</v>
      </c>
      <c r="D52" s="41" t="s">
        <v>277</v>
      </c>
      <c r="E52" s="43" t="n">
        <v>29</v>
      </c>
      <c r="F52" s="45" t="n">
        <f aca="false">$F$44</f>
        <v>5</v>
      </c>
      <c r="G52" s="36" t="str">
        <f aca="false">IF($D$44="Maior é melhor",IF(E52&gt;=$F$44,"Sim","Não"),IF(E52&lt;=$F$44,"Sim","Não"))</f>
        <v>Não</v>
      </c>
      <c r="H52" s="22" t="str">
        <f aca="false">IF(D52&lt;&gt;"Depois","",IF(G52="Sim",N(H51)+1,0))</f>
        <v/>
      </c>
    </row>
    <row r="53" customFormat="false" ht="19.5" hidden="false" customHeight="true" outlineLevel="0" collapsed="false">
      <c r="B53" s="19" t="n">
        <v>7</v>
      </c>
      <c r="C53" s="7" t="s">
        <v>345</v>
      </c>
      <c r="D53" s="41" t="s">
        <v>281</v>
      </c>
      <c r="E53" s="43" t="n">
        <v>14</v>
      </c>
      <c r="F53" s="45" t="n">
        <f aca="false">$F$44</f>
        <v>5</v>
      </c>
      <c r="G53" s="36" t="str">
        <f aca="false">IF($D$44="Maior é melhor",IF(E53&gt;=$F$44,"Sim","Não"),IF(E53&lt;=$F$44,"Sim","Não"))</f>
        <v>Não</v>
      </c>
      <c r="H53" s="22" t="str">
        <f aca="false">IF(D53&lt;&gt;"Depois","",IF(G53="Sim",N(H52)+1,0))</f>
        <v/>
      </c>
    </row>
    <row r="54" customFormat="false" ht="19.5" hidden="false" customHeight="true" outlineLevel="0" collapsed="false">
      <c r="B54" s="19" t="n">
        <v>8</v>
      </c>
      <c r="C54" s="7" t="s">
        <v>189</v>
      </c>
      <c r="D54" s="41" t="s">
        <v>190</v>
      </c>
      <c r="E54" s="43" t="n">
        <v>4</v>
      </c>
      <c r="F54" s="45" t="n">
        <f aca="false">$F$44</f>
        <v>5</v>
      </c>
      <c r="G54" s="36" t="str">
        <f aca="false">IF($D$44="Maior é melhor",IF(E54&gt;=$F$44,"Sim","Não"),IF(E54&lt;=$F$44,"Sim","Não"))</f>
        <v>Sim</v>
      </c>
      <c r="H54" s="22" t="n">
        <f aca="false">IF(D54&lt;&gt;"Depois","",IF(G54="Sim",N(H53)+1,0))</f>
        <v>1</v>
      </c>
    </row>
    <row r="55" customFormat="false" ht="19.5" hidden="false" customHeight="true" outlineLevel="0" collapsed="false">
      <c r="B55" s="19" t="n">
        <v>9</v>
      </c>
      <c r="C55" s="7" t="s">
        <v>346</v>
      </c>
      <c r="D55" s="41" t="s">
        <v>190</v>
      </c>
      <c r="E55" s="43" t="n">
        <v>3</v>
      </c>
      <c r="F55" s="45" t="n">
        <f aca="false">$F$44</f>
        <v>5</v>
      </c>
      <c r="G55" s="36" t="str">
        <f aca="false">IF($D$44="Maior é melhor",IF(E55&gt;=$F$44,"Sim","Não"),IF(E55&lt;=$F$44,"Sim","Não"))</f>
        <v>Sim</v>
      </c>
      <c r="H55" s="22" t="n">
        <f aca="false">IF(D55&lt;&gt;"Depois","",IF(G55="Sim",N(H54)+1,0))</f>
        <v>2</v>
      </c>
    </row>
    <row r="56" customFormat="false" ht="19.5" hidden="false" customHeight="true" outlineLevel="0" collapsed="false">
      <c r="B56" s="19" t="n">
        <v>10</v>
      </c>
      <c r="C56" s="7" t="s">
        <v>347</v>
      </c>
      <c r="D56" s="41" t="s">
        <v>190</v>
      </c>
      <c r="E56" s="43" t="n">
        <v>2</v>
      </c>
      <c r="F56" s="45" t="n">
        <f aca="false">$F$44</f>
        <v>5</v>
      </c>
      <c r="G56" s="36" t="str">
        <f aca="false">IF($D$44="Maior é melhor",IF(E56&gt;=$F$44,"Sim","Não"),IF(E56&lt;=$F$44,"Sim","Não"))</f>
        <v>Sim</v>
      </c>
      <c r="H56" s="22" t="n">
        <f aca="false">IF(D56&lt;&gt;"Depois","",IF(G56="Sim",N(H55)+1,0))</f>
        <v>3</v>
      </c>
    </row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9" customFormat="false" ht="21.75" hidden="false" customHeight="true" outlineLevel="0" collapsed="false">
      <c r="B69" s="24" t="s">
        <v>286</v>
      </c>
      <c r="C69" s="24"/>
      <c r="D69" s="24"/>
      <c r="E69" s="24"/>
      <c r="F69" s="24"/>
      <c r="G69" s="24"/>
      <c r="H69" s="24"/>
    </row>
    <row r="70" customFormat="false" ht="21.75" hidden="false" customHeight="true" outlineLevel="0" collapsed="false">
      <c r="B70" s="4" t="s">
        <v>287</v>
      </c>
      <c r="C70" s="4"/>
      <c r="D70" s="39" t="s">
        <v>348</v>
      </c>
      <c r="E70" s="39"/>
      <c r="F70" s="39"/>
      <c r="G70" s="39"/>
      <c r="H70" s="39"/>
    </row>
    <row r="71" customFormat="false" ht="21.75" hidden="false" customHeight="true" outlineLevel="0" collapsed="false">
      <c r="B71" s="4" t="s">
        <v>289</v>
      </c>
      <c r="C71" s="4"/>
      <c r="D71" s="39" t="s">
        <v>349</v>
      </c>
      <c r="E71" s="39"/>
      <c r="F71" s="39"/>
      <c r="G71" s="39"/>
      <c r="H71" s="39"/>
    </row>
    <row r="72" customFormat="false" ht="21.75" hidden="false" customHeight="true" outlineLevel="0" collapsed="false">
      <c r="B72" s="4" t="s">
        <v>291</v>
      </c>
      <c r="C72" s="4"/>
      <c r="D72" s="40" t="n">
        <v>46423</v>
      </c>
      <c r="E72" s="40"/>
      <c r="F72" s="40"/>
      <c r="G72" s="40"/>
      <c r="H72" s="40"/>
    </row>
    <row r="73" customFormat="false" ht="21.75" hidden="false" customHeight="true" outlineLevel="0" collapsed="false">
      <c r="B73" s="4" t="s">
        <v>144</v>
      </c>
      <c r="C73" s="4"/>
      <c r="D73" s="39" t="s">
        <v>350</v>
      </c>
      <c r="E73" s="39"/>
      <c r="F73" s="39"/>
      <c r="G73" s="39"/>
      <c r="H73" s="39"/>
    </row>
    <row r="75" customFormat="false" ht="21.75" hidden="false" customHeight="true" outlineLevel="0" collapsed="false">
      <c r="B75" s="24" t="s">
        <v>99</v>
      </c>
      <c r="C75" s="24"/>
      <c r="D75" s="24"/>
      <c r="E75" s="24"/>
      <c r="F75" s="24"/>
      <c r="G75" s="24"/>
      <c r="H75" s="24"/>
    </row>
    <row r="76" customFormat="false" ht="21.75" hidden="false" customHeight="true" outlineLevel="0" collapsed="false">
      <c r="B76" s="25" t="s">
        <v>170</v>
      </c>
      <c r="C76" s="25"/>
      <c r="D76" s="25"/>
      <c r="E76" s="27" t="n">
        <f aca="false">COUNTIF(C31:C37,"Correção")</f>
        <v>3</v>
      </c>
    </row>
    <row r="77" customFormat="false" ht="21.75" hidden="false" customHeight="true" outlineLevel="0" collapsed="false">
      <c r="B77" s="25" t="s">
        <v>171</v>
      </c>
      <c r="C77" s="25"/>
      <c r="D77" s="25"/>
      <c r="E77" s="27" t="n">
        <f aca="false">COUNTIF(C31:C37,"Ação corretiva")</f>
        <v>4</v>
      </c>
    </row>
    <row r="78" customFormat="false" ht="21.75" hidden="false" customHeight="true" outlineLevel="0" collapsed="false">
      <c r="B78" s="25" t="s">
        <v>292</v>
      </c>
      <c r="C78" s="25"/>
      <c r="D78" s="25"/>
      <c r="E78" s="46" t="n">
        <f aca="false">AVERAGEIF(D47:D56,"Antes",E47:E56)</f>
        <v>30.5</v>
      </c>
    </row>
    <row r="79" customFormat="false" ht="21.75" hidden="false" customHeight="true" outlineLevel="0" collapsed="false">
      <c r="B79" s="25" t="s">
        <v>293</v>
      </c>
      <c r="C79" s="25"/>
      <c r="D79" s="25"/>
      <c r="E79" s="46" t="n">
        <f aca="false">AVERAGEIF(D47:D56,"Depois",E47:E56)</f>
        <v>3</v>
      </c>
    </row>
    <row r="80" customFormat="false" ht="21.75" hidden="false" customHeight="true" outlineLevel="0" collapsed="false">
      <c r="B80" s="25" t="s">
        <v>275</v>
      </c>
      <c r="C80" s="25"/>
      <c r="D80" s="25"/>
      <c r="E80" s="27" t="n">
        <f aca="false">N(H56)</f>
        <v>3</v>
      </c>
    </row>
    <row r="81" customFormat="false" ht="21.75" hidden="false" customHeight="true" outlineLevel="0" collapsed="false">
      <c r="B81" s="25" t="s">
        <v>294</v>
      </c>
      <c r="C81" s="25"/>
      <c r="D81" s="25"/>
      <c r="E81" s="28" t="n">
        <f aca="false">D72-D5</f>
        <v>136</v>
      </c>
    </row>
    <row r="82" customFormat="false" ht="21.75" hidden="false" customHeight="true" outlineLevel="0" collapsed="false">
      <c r="B82" s="25" t="s">
        <v>195</v>
      </c>
      <c r="C82" s="25"/>
      <c r="D82" s="25"/>
      <c r="E82" s="26" t="str">
        <f aca="false">IF(N(H56)&gt;=$H$44,"Eficaz: encerre e padronize","Em observação")</f>
        <v>Eficaz: encerre e padronize</v>
      </c>
    </row>
  </sheetData>
  <mergeCells count="74">
    <mergeCell ref="B1:H1"/>
    <mergeCell ref="B2:H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1:H11"/>
    <mergeCell ref="B12:C12"/>
    <mergeCell ref="D12:H12"/>
    <mergeCell ref="B13:C13"/>
    <mergeCell ref="D13:H13"/>
    <mergeCell ref="B14:C14"/>
    <mergeCell ref="D14:H14"/>
    <mergeCell ref="B16:H16"/>
    <mergeCell ref="B17:C17"/>
    <mergeCell ref="D17:H17"/>
    <mergeCell ref="B18:C18"/>
    <mergeCell ref="D18:H18"/>
    <mergeCell ref="B19:C19"/>
    <mergeCell ref="D19:H19"/>
    <mergeCell ref="B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27:C27"/>
    <mergeCell ref="D27:H27"/>
    <mergeCell ref="B29:H29"/>
    <mergeCell ref="B39:H39"/>
    <mergeCell ref="B40:C40"/>
    <mergeCell ref="D40:H40"/>
    <mergeCell ref="B41:C41"/>
    <mergeCell ref="D41:H41"/>
    <mergeCell ref="B42:C42"/>
    <mergeCell ref="D42:H42"/>
    <mergeCell ref="B43:C43"/>
    <mergeCell ref="D43:H43"/>
    <mergeCell ref="B44:C44"/>
    <mergeCell ref="B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5:H75"/>
    <mergeCell ref="B76:D76"/>
    <mergeCell ref="B77:D77"/>
    <mergeCell ref="B78:D78"/>
    <mergeCell ref="B79:D79"/>
    <mergeCell ref="B80:D80"/>
    <mergeCell ref="B81:D81"/>
    <mergeCell ref="B82:D82"/>
  </mergeCells>
  <conditionalFormatting sqref="C31:C37">
    <cfRule type="cellIs" priority="2" operator="equal" aboveAverage="0" equalAverage="0" bottom="0" percent="0" rank="0" text="" dxfId="1">
      <formula>"Correção"</formula>
    </cfRule>
    <cfRule type="cellIs" priority="3" operator="equal" aboveAverage="0" equalAverage="0" bottom="0" percent="0" rank="0" text="" dxfId="3">
      <formula>"Ação corretiva"</formula>
    </cfRule>
  </conditionalFormatting>
  <conditionalFormatting sqref="G47:G56">
    <cfRule type="cellIs" priority="4" operator="equal" aboveAverage="0" equalAverage="0" bottom="0" percent="0" rank="0" text="" dxfId="0">
      <formula>"Sim"</formula>
    </cfRule>
    <cfRule type="cellIs" priority="5" operator="equal" aboveAverage="0" equalAverage="0" bottom="0" percent="0" rank="0" text="" dxfId="2">
      <formula>"Não"</formula>
    </cfRule>
  </conditionalFormatting>
  <conditionalFormatting sqref="D47:D56">
    <cfRule type="cellIs" priority="6" operator="equal" aboveAverage="0" equalAverage="0" bottom="0" percent="0" rank="0" text="" dxfId="3">
      <formula>"Depois"</formula>
    </cfRule>
  </conditionalFormatting>
  <conditionalFormatting sqref="E82">
    <cfRule type="expression" priority="7" aboveAverage="0" equalAverage="0" bottom="0" percent="0" rank="0" text="" dxfId="0">
      <formula>LEFT(E82,6)="Eficaz"</formula>
    </cfRule>
    <cfRule type="expression" priority="8" aboveAverage="0" equalAverage="0" bottom="0" percent="0" rank="0" text="" dxfId="2">
      <formula>LEFT(E82,3)="Não"</formula>
    </cfRule>
    <cfRule type="expression" priority="9" aboveAverage="0" equalAverage="0" bottom="0" percent="0" rank="0" text="" dxfId="1">
      <formula>LEN(E82)&gt;0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8" man="true" max="16383" min="0"/>
    <brk id="38" man="true" max="16383" min="0"/>
    <brk id="6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2026-10-04T16:09:44Z</dcterms:created>
  <dc:creator>Modelo RNC</dc:creator>
  <dc:description/>
  <dc:language>pt-BR</dc:language>
  <cp:lastModifiedBy/>
  <dcterms:modified xsi:type="dcterms:W3CDTF">2026-10-04T16:09:44Z</dcterms:modified>
  <cp:revision>0</cp:revision>
  <dc:subject/>
  <dc:title>Não conformidade e ação corretiva — Modelo de registro, plano e verificação da eficácia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