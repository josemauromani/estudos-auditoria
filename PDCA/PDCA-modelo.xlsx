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PDCA" sheetId="2" state="visible" r:id="rId4"/>
    <sheet name="Plano de ação" sheetId="3" state="visible" r:id="rId5"/>
    <sheet name="Verificação" sheetId="4" state="visible" r:id="rId6"/>
    <sheet name="Checklist" sheetId="5" state="visible" r:id="rId7"/>
    <sheet name="Padronização" sheetId="6" state="visible" r:id="rId8"/>
    <sheet name="Exemplo 1 - Pizzaria" sheetId="7" state="visible" r:id="rId9"/>
    <sheet name="Exemplo 2 - Compras" sheetId="8" state="visible" r:id="rId10"/>
  </sheets>
  <definedNames>
    <definedName function="false" hidden="false" localSheetId="4" name="_xlnm.Print_Area" vbProcedure="false">Checklist!$B$1:$E$24</definedName>
    <definedName function="false" hidden="false" localSheetId="6" name="_xlnm.Print_Area" vbProcedure="false">'Exemplo 1 - Pizzaria'!$B$1:$J$81</definedName>
    <definedName function="false" hidden="false" localSheetId="7" name="_xlnm.Print_Area" vbProcedure="false">'Exemplo 2 - Compras'!$B$1:$J$81</definedName>
    <definedName function="false" hidden="false" localSheetId="0" name="_xlnm.Print_Area" vbProcedure="false">Instruções!$B$1:$C$44</definedName>
    <definedName function="false" hidden="false" localSheetId="5" name="_xlnm.Print_Area" vbProcedure="false">Padronização!$B$1:$I$28</definedName>
    <definedName function="false" hidden="false" localSheetId="1" name="_xlnm.Print_Area" vbProcedure="false">PDCA!$B$1:$J$31</definedName>
    <definedName function="false" hidden="false" localSheetId="2" name="_xlnm.Print_Area" vbProcedure="false">'Plano de ação'!$B$1:$K$30</definedName>
    <definedName function="false" hidden="false" localSheetId="3" name="_xlnm.Print_Area" vbProcedure="false">Verificação!$B$1:$H$57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4" authorId="0">
      <text>
        <r>
          <rPr>
            <sz val="10"/>
            <rFont val="Arial"/>
            <family val="2"/>
          </rPr>
          <t xml:space="preserve">Nome curto do ciclo, com verbo + objeto.
Ex.: "Reduzir os atrasos nas entregas".</t>
        </r>
      </text>
    </comment>
    <comment ref="D7" authorId="0">
      <text>
        <r>
          <rPr>
            <sz val="10"/>
            <rFont val="Arial"/>
            <family val="2"/>
          </rPr>
          <t xml:space="preserve">Resultado indesejado, com número, local e período. Sem causa e sem solução.
Ex.: "18% das entregas chegam depois de 40 minutos".</t>
        </r>
      </text>
    </comment>
    <comment ref="D8" authorId="0">
      <text>
        <r>
          <rPr>
            <sz val="10"/>
            <rFont val="Arial"/>
            <family val="2"/>
          </rPr>
          <t xml:space="preserve">Como o problema é medido.
Ex.: "% de entregas em até 40 minutos".</t>
        </r>
      </text>
    </comment>
    <comment ref="D9" authorId="0">
      <text>
        <r>
          <rPr>
            <sz val="10"/>
            <rFont val="Arial"/>
            <family val="2"/>
          </rPr>
          <t xml:space="preserve">Valor do indicador antes das ações. Digite só o número, na unidade do indicador.
Ex.: 82 para 82%.</t>
        </r>
      </text>
    </comment>
    <comment ref="D10" authorId="0">
      <text>
        <r>
          <rPr>
            <sz val="10"/>
            <rFont val="Arial"/>
            <family val="2"/>
          </rPr>
          <t xml:space="preserve">Maior é melhor: % de entregas no prazo.
Menor é melhor: dias de prazo, número de erros.</t>
        </r>
      </text>
    </comment>
    <comment ref="D11" authorId="0">
      <text>
        <r>
          <rPr>
            <sz val="10"/>
            <rFont val="Arial"/>
            <family val="2"/>
          </rPr>
          <t xml:space="preserve">O que este ciclo não vai tratar.
Ex.: "Atendimento no salão; compra de ingredientes".</t>
        </r>
      </text>
    </comment>
    <comment ref="H4" authorId="0">
      <text>
        <r>
          <rPr>
            <sz val="10"/>
            <rFont val="Arial"/>
            <family val="2"/>
          </rPr>
          <t xml:space="preserve">Pessoa que responde pelo resultado e conduz o ciclo até o fim.</t>
        </r>
      </text>
    </comment>
    <comment ref="H9" authorId="0">
      <text>
        <r>
          <rPr>
            <sz val="10"/>
            <rFont val="Arial"/>
            <family val="2"/>
          </rPr>
          <t xml:space="preserve">Valor a alcançar. Digite só o número, na mesma unidade da situação inicial.
Ex.: 95 para 95%.</t>
        </r>
      </text>
    </comment>
  </commentList>
</comments>
</file>

<file path=xl/sharedStrings.xml><?xml version="1.0" encoding="utf-8"?>
<sst xmlns="http://schemas.openxmlformats.org/spreadsheetml/2006/main" count="515" uniqueCount="280">
  <si>
    <t xml:space="preserve">PDCA — Como usar esta planilha</t>
  </si>
  <si>
    <t xml:space="preserve">Modelo para conduzir um ciclo de melhoria: Planejar, Executar, Verificar e Agir.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</si>
  <si>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</si>
  <si>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</si>
  <si>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</si>
  <si>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</si>
  <si>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contagens,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</si>
  <si>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</si>
  <si>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</si>
  <si>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</si>
  <si>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status, tipo, momento e sentido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</si>
  <si>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</si>
  <si>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</si>
  <si>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As quatro fases</t>
  </si>
  <si>
    <t xml:space="preserve">P</t>
  </si>
  <si>
    <t xml:space="preserve">Planejar: identificar o problema, observar, analisar as causas e montar o plano de ação.</t>
  </si>
  <si>
    <t xml:space="preserve">D</t>
  </si>
  <si>
    <t xml:space="preserve">Executar: treinar as pessoas, executar o plano e registrar os desvios.</t>
  </si>
  <si>
    <t xml:space="preserve">C</t>
  </si>
  <si>
    <t xml:space="preserve">Verificar: medir o resultado, comparar com a meta e avaliar efeitos colaterais.</t>
  </si>
  <si>
    <t xml:space="preserve">A</t>
  </si>
  <si>
    <t xml:space="preserve">Agir: padronizar o que funcionou, registrar as lições e definir o próximo ciclo.</t>
  </si>
  <si>
    <t xml:space="preserve">Ordem recomendada de preenchimento</t>
  </si>
  <si>
    <t xml:space="preserve">Passo 1</t>
  </si>
  <si>
    <t xml:space="preserve">Aba PDCA: preencha o cabeçalho, com o tema, o dono, a descrição do problema, o indicador, a situação inicial e a meta.</t>
  </si>
  <si>
    <t xml:space="preserve">Passo 2</t>
  </si>
  <si>
    <t xml:space="preserve">Aba PDCA, etapas 1 a 3: registre o problema, o que foi observado e as causas confirmadas com dados.</t>
  </si>
  <si>
    <t xml:space="preserve">Passo 3</t>
  </si>
  <si>
    <t xml:space="preserve">Aba Plano de ação: detalhe as ações no formato 5W2H. Depois, conclua a etapa 4 na aba PDCA.</t>
  </si>
  <si>
    <t xml:space="preserve">Passo 4</t>
  </si>
  <si>
    <t xml:space="preserve">Aba Verificação: registre as medições de antes das ações.</t>
  </si>
  <si>
    <t xml:space="preserve">Passo 5</t>
  </si>
  <si>
    <t xml:space="preserve">Aba Plano de ação: atualize o status durante a execução. Registre os desvios na etapa 5 da aba PDCA.</t>
  </si>
  <si>
    <t xml:space="preserve">Passo 6</t>
  </si>
  <si>
    <t xml:space="preserve">Aba Verificação: registre as medições de depois das ações e leia o resultado do ciclo.</t>
  </si>
  <si>
    <t xml:space="preserve">Passo 7</t>
  </si>
  <si>
    <t xml:space="preserve">Aba Padronização: registre padrões, treinamentos, pendências e lições aprendidas.</t>
  </si>
  <si>
    <t xml:space="preserve">Passo 8</t>
  </si>
  <si>
    <t xml:space="preserve">Aba PDCA, etapas 7 e 8: registre o que virou padrão e qual é o próximo ciclo.</t>
  </si>
  <si>
    <t xml:space="preserve">Passo 9</t>
  </si>
  <si>
    <t xml:space="preserve">Aba Checklist: valide o ciclo com a equipe e com o dono do problema.</t>
  </si>
  <si>
    <t xml:space="preserve">Abas da planilha</t>
  </si>
  <si>
    <t xml:space="preserve">PDCA</t>
  </si>
  <si>
    <t xml:space="preserve">Modelo principal. Cabeçalho do ciclo, registro das oito etapas e resumo automático.</t>
  </si>
  <si>
    <t xml:space="preserve">Plano de ação</t>
  </si>
  <si>
    <t xml:space="preserve">Ações no formato 5W2H, com situação calculada a partir do prazo e do status.</t>
  </si>
  <si>
    <t xml:space="preserve">Verificação</t>
  </si>
  <si>
    <t xml:space="preserve">Medições do indicador, comparação com a meta e gráfico de tendência.</t>
  </si>
  <si>
    <t xml:space="preserve">Checklist</t>
  </si>
  <si>
    <t xml:space="preserve">Doze verificações de qualidade do ciclo, com percentual de conclusão.</t>
  </si>
  <si>
    <t xml:space="preserve">Padronização</t>
  </si>
  <si>
    <t xml:space="preserve">Registro de padrões, treinamentos, pendências e lições aprendidas.</t>
  </si>
  <si>
    <t xml:space="preserve">Exemplo 1 - Pizzaria</t>
  </si>
  <si>
    <t xml:space="preserve">Ciclo preenchido em que a meta foi atingida: reduzir os atrasos nas entregas.</t>
  </si>
  <si>
    <t xml:space="preserve">Exemplo 2 - Compras</t>
  </si>
  <si>
    <t xml:space="preserve">Ciclo preenchido em que a meta não foi atingida: reduzir o prazo de compra.</t>
  </si>
  <si>
    <t xml:space="preserve">Regras e premissas do modelo</t>
  </si>
  <si>
    <t xml:space="preserve">Etapas</t>
  </si>
  <si>
    <t xml:space="preserve">O ciclo tem oito etapas fixas, as mesmas do MASP. O aviso de sequência aparece quando uma etapa está concluída e a anterior não. O PDCA permite voltar etapas, mas não pular.</t>
  </si>
  <si>
    <t xml:space="preserve">Indicador e meta</t>
  </si>
  <si>
    <t xml:space="preserve">Digite a situação inicial, a meta e as medições só com números, na unidade do indicador: 82 para 82%. O sentido do indicador define a comparação com a meta.</t>
  </si>
  <si>
    <t xml:space="preserve">Resultado do ciclo</t>
  </si>
  <si>
    <t xml:space="preserve">A aba Verificação compara a média das medições marcadas como “Depois” com a meta. As medições marcadas como “Durante” aparecem no gráfico, mas não entram nas médias.</t>
  </si>
  <si>
    <t xml:space="preserve">Ação atrasada</t>
  </si>
  <si>
    <t xml:space="preserve">Uma ação é considerada atrasada quando o prazo é anterior à data de hoje e o status não é Concluída nem Cancelada.</t>
  </si>
  <si>
    <t xml:space="preserve">Capacidade</t>
  </si>
  <si>
    <t xml:space="preserve">A planilha comporta 15 ações, 16 medições e 15 itens de padronização. Se faltar espaço, o ciclo provavelmente está grande demais: divida o problema.</t>
  </si>
  <si>
    <t xml:space="preserve">Exemplos</t>
  </si>
  <si>
    <t xml:space="preserve">Os dados das abas de exemplo são ilustrativos, criados para este material.</t>
  </si>
  <si>
    <t xml:space="preserve">PDCA — Registro do ciclo de melhoria</t>
  </si>
  <si>
    <t xml:space="preserve">Preencha as células em amarelo-claro. As células cinza são calculadas automaticamente.</t>
  </si>
  <si>
    <t xml:space="preserve">Tema do ciclo</t>
  </si>
  <si>
    <t xml:space="preserve">Dono do problema</t>
  </si>
  <si>
    <t xml:space="preserve">Área / unidade</t>
  </si>
  <si>
    <t xml:space="preserve">Data de início</t>
  </si>
  <si>
    <t xml:space="preserve">Elaborado por</t>
  </si>
  <si>
    <t xml:space="preserve">Versão</t>
  </si>
  <si>
    <t xml:space="preserve">Descrição do problema</t>
  </si>
  <si>
    <t xml:space="preserve">Indicador</t>
  </si>
  <si>
    <t xml:space="preserve">Unidade de medida</t>
  </si>
  <si>
    <t xml:space="preserve">Situação inicial (valor)</t>
  </si>
  <si>
    <t xml:space="preserve">Meta (valor)</t>
  </si>
  <si>
    <t xml:space="preserve">Sentido do indicador</t>
  </si>
  <si>
    <t xml:space="preserve">Prazo da meta</t>
  </si>
  <si>
    <t xml:space="preserve">Fora do escopo</t>
  </si>
  <si>
    <t xml:space="preserve">#</t>
  </si>
  <si>
    <t xml:space="preserve">Fase</t>
  </si>
  <si>
    <t xml:space="preserve">Etapa</t>
  </si>
  <si>
    <t xml:space="preserve">Pergunta-guia</t>
  </si>
  <si>
    <t xml:space="preserve">Registro: o que foi feito ou decidido</t>
  </si>
  <si>
    <t xml:space="preserve">Ferramenta ou evidência</t>
  </si>
  <si>
    <t xml:space="preserve">Responsável</t>
  </si>
  <si>
    <t xml:space="preserve">Conclusão</t>
  </si>
  <si>
    <t xml:space="preserve">Status</t>
  </si>
  <si>
    <t xml:space="preserve">Ex.</t>
  </si>
  <si>
    <t xml:space="preserve">Identificar o problema</t>
  </si>
  <si>
    <t xml:space="preserve">Qual é o problema, quanto ele pesa e qual é a meta?</t>
  </si>
  <si>
    <t xml:space="preserve">18% das entregas chegam depois de 40 minutos. Meta: passar de 82% para 95% em 12 semanas.</t>
  </si>
  <si>
    <t xml:space="preserve">Relatório do aplicativo de delivery</t>
  </si>
  <si>
    <t xml:space="preserve">Gerente da loja</t>
  </si>
  <si>
    <t xml:space="preserve">Concluída</t>
  </si>
  <si>
    <t xml:space="preserve">P
Planejar</t>
  </si>
  <si>
    <t xml:space="preserve">Observar</t>
  </si>
  <si>
    <t xml:space="preserve">Onde, quando e com quem o problema acontece?</t>
  </si>
  <si>
    <t xml:space="preserve">Analisar as causas</t>
  </si>
  <si>
    <t xml:space="preserve">Por que acontece? Qual é a causa raiz, confirmada com dados?</t>
  </si>
  <si>
    <t xml:space="preserve">Planejar a ação</t>
  </si>
  <si>
    <t xml:space="preserve">O que será feito, por quem e até quando?</t>
  </si>
  <si>
    <t xml:space="preserve">D
Executar</t>
  </si>
  <si>
    <t xml:space="preserve">Executar</t>
  </si>
  <si>
    <t xml:space="preserve">O plano foi executado como previsto? O que foi diferente?</t>
  </si>
  <si>
    <t xml:space="preserve">C
Verificar</t>
  </si>
  <si>
    <t xml:space="preserve">Verificar</t>
  </si>
  <si>
    <t xml:space="preserve">A meta foi atingida? Houve efeito colateral?</t>
  </si>
  <si>
    <t xml:space="preserve">A
Agir</t>
  </si>
  <si>
    <t xml:space="preserve">Padronizar</t>
  </si>
  <si>
    <t xml:space="preserve">O que vira padrão e quem precisa ser treinado?</t>
  </si>
  <si>
    <t xml:space="preserve">Concluir</t>
  </si>
  <si>
    <t xml:space="preserve">O que aprendemos e qual é o próximo ciclo?</t>
  </si>
  <si>
    <t xml:space="preserve">Resumo automático</t>
  </si>
  <si>
    <t xml:space="preserve">Etapas concluídas</t>
  </si>
  <si>
    <t xml:space="preserve">Fase atual do ciclo</t>
  </si>
  <si>
    <t xml:space="preserve">Aviso: sequência das etapas</t>
  </si>
  <si>
    <t xml:space="preserve">Aviso: registro das etapas</t>
  </si>
  <si>
    <t xml:space="preserve">Aviso: meta</t>
  </si>
  <si>
    <t xml:space="preserve">Diferença entre a meta e a situação inicial</t>
  </si>
  <si>
    <t xml:space="preserve">Campos do cabeçalho preenchidos</t>
  </si>
  <si>
    <t xml:space="preserve">Plano de ação (5W2H)</t>
  </si>
  <si>
    <t xml:space="preserve">Uma linha por ação. Cada ação ataca uma causa confirmada e tem um único responsável.</t>
  </si>
  <si>
    <t xml:space="preserve">O quê (ação)</t>
  </si>
  <si>
    <t xml:space="preserve">Por quê (causa atacada)</t>
  </si>
  <si>
    <t xml:space="preserve">Quem</t>
  </si>
  <si>
    <t xml:space="preserve">Onde</t>
  </si>
  <si>
    <t xml:space="preserve">Quando (prazo)</t>
  </si>
  <si>
    <t xml:space="preserve">Como</t>
  </si>
  <si>
    <t xml:space="preserve">Quanto custa</t>
  </si>
  <si>
    <t xml:space="preserve">Situação</t>
  </si>
  <si>
    <t xml:space="preserve">Reforçar a escala de entregadores às sextas e sábados, das 19h às 22h</t>
  </si>
  <si>
    <t xml:space="preserve">A escala não acompanha o pico de pedidos</t>
  </si>
  <si>
    <t xml:space="preserve">Loja</t>
  </si>
  <si>
    <t xml:space="preserve">Contratar dois entregadores parceiros para o horário de pico</t>
  </si>
  <si>
    <t xml:space="preserve">Em andamento</t>
  </si>
  <si>
    <t xml:space="preserve">No prazo</t>
  </si>
  <si>
    <t xml:space="preserve">Ações registradas</t>
  </si>
  <si>
    <t xml:space="preserve">Concluídas</t>
  </si>
  <si>
    <t xml:space="preserve">Não iniciadas</t>
  </si>
  <si>
    <t xml:space="preserve">Atrasadas</t>
  </si>
  <si>
    <t xml:space="preserve">Ações sem responsável ou sem prazo</t>
  </si>
  <si>
    <t xml:space="preserve">Percentual concluído</t>
  </si>
  <si>
    <t xml:space="preserve">Custo total previsto</t>
  </si>
  <si>
    <t xml:space="preserve">Verificação — medições do indicador</t>
  </si>
  <si>
    <t xml:space="preserve">As células cinza do cabeçalho vêm da aba PDCA. Preencha as colunas em amarelo-claro.</t>
  </si>
  <si>
    <t xml:space="preserve">Unidade</t>
  </si>
  <si>
    <t xml:space="preserve">Situação inicial</t>
  </si>
  <si>
    <t xml:space="preserve">Meta</t>
  </si>
  <si>
    <t xml:space="preserve">Sentido</t>
  </si>
  <si>
    <t xml:space="preserve">Período</t>
  </si>
  <si>
    <t xml:space="preserve">Momento</t>
  </si>
  <si>
    <t xml:space="preserve">Valor medido</t>
  </si>
  <si>
    <t xml:space="preserve">Observações</t>
  </si>
  <si>
    <t xml:space="preserve">Atingiu a meta?</t>
  </si>
  <si>
    <t xml:space="preserve">Semana 1</t>
  </si>
  <si>
    <t xml:space="preserve">Antes</t>
  </si>
  <si>
    <t xml:space="preserve">Semana com feriado na sexta-feira</t>
  </si>
  <si>
    <t xml:space="preserve">Não</t>
  </si>
  <si>
    <t xml:space="preserve">Medições registradas</t>
  </si>
  <si>
    <t xml:space="preserve">Média antes das ações</t>
  </si>
  <si>
    <t xml:space="preserve">Média depois das ações</t>
  </si>
  <si>
    <t xml:space="preserve">Variação (depois menos antes)</t>
  </si>
  <si>
    <t xml:space="preserve">Medições de depois que atingiram a meta</t>
  </si>
  <si>
    <t xml:space="preserve">Gráfico: indicador ao longo do tempo</t>
  </si>
  <si>
    <t xml:space="preserve">Checklist de validação do ciclo PDCA</t>
  </si>
  <si>
    <t xml:space="preserve">Escolha o status de cada item na lista suspensa (coluna em amarelo-claro).</t>
  </si>
  <si>
    <t xml:space="preserve">Item de verificação</t>
  </si>
  <si>
    <t xml:space="preserve">O problema está descrito com fatos e dados, sem causa nem solução embutida.</t>
  </si>
  <si>
    <t xml:space="preserve">Existe um indicador, e a situação inicial foi medida.</t>
  </si>
  <si>
    <t xml:space="preserve">A meta tem objetivo, valor e prazo.</t>
  </si>
  <si>
    <t xml:space="preserve">O problema foi observado no local e os dados foram estratificados.</t>
  </si>
  <si>
    <t xml:space="preserve">A causa raiz foi identificada e confirmada com dados.</t>
  </si>
  <si>
    <t xml:space="preserve">Cada ação do plano ataca uma causa confirmada e tem responsável e prazo.</t>
  </si>
  <si>
    <t xml:space="preserve">As pessoas envolvidas foram treinadas, e os desvios da execução foram registrados.</t>
  </si>
  <si>
    <t xml:space="preserve">O resultado foi medido com o mesmo indicador e o mesmo método da situação inicial.</t>
  </si>
  <si>
    <t xml:space="preserve">O resultado foi comparado com a meta, e os efeitos colaterais foram avaliados.</t>
  </si>
  <si>
    <t xml:space="preserve">O que funcionou virou padrão: documentos atualizados e pessoas treinadas.</t>
  </si>
  <si>
    <t xml:space="preserve">As lições aprendidas e as pendências foram registradas.</t>
  </si>
  <si>
    <t xml:space="preserve">O próximo ciclo foi definido.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</si>
  <si>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</si>
  <si>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</si>
  <si>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</si>
  <si>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</si>
  <si>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</si>
  <si>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Padronização e lições aprendidas</t>
  </si>
  <si>
    <t xml:space="preserve">Registre aqui o que vira padrão, quem precisa ser treinado, o que ficou pendente e o que se aprendeu.</t>
  </si>
  <si>
    <t xml:space="preserve">Item</t>
  </si>
  <si>
    <t xml:space="preserve">Tipo</t>
  </si>
  <si>
    <t xml:space="preserve">Documento ou processo afetado</t>
  </si>
  <si>
    <t xml:space="preserve">Ação</t>
  </si>
  <si>
    <t xml:space="preserve">Prazo</t>
  </si>
  <si>
    <t xml:space="preserve">Nova escala de entregadores para sextas e sábados</t>
  </si>
  <si>
    <t xml:space="preserve">Padrão</t>
  </si>
  <si>
    <t xml:space="preserve">Instrução de trabalho da expedição</t>
  </si>
  <si>
    <t xml:space="preserve">Revisar a instrução e divulgar à equipe</t>
  </si>
  <si>
    <t xml:space="preserve">Aberta</t>
  </si>
  <si>
    <t xml:space="preserve">Itens registrados</t>
  </si>
  <si>
    <t xml:space="preserve">Abertos</t>
  </si>
  <si>
    <t xml:space="preserve">Concluídos</t>
  </si>
  <si>
    <t xml:space="preserve">Padrões e treinamentos ainda não concluídos</t>
  </si>
  <si>
    <t xml:space="preserve">Lições aprendidas registradas</t>
  </si>
  <si>
    <t xml:space="preserve">Exemplo preenchido, para consulta. Use a aba PDCA para o seu ciclo.</t>
  </si>
  <si>
    <t xml:space="preserve">Reduzir os atrasos nas entregas de delivery</t>
  </si>
  <si>
    <t xml:space="preserve">Pizzaria (loja)</t>
  </si>
  <si>
    <t xml:space="preserve">Equipe da loja</t>
  </si>
  <si>
    <t xml:space="preserve">1.0</t>
  </si>
  <si>
    <t xml:space="preserve">18% das entregas de delivery chegam ao cliente depois de 40 minutos. Os atrasos geram reclamações e pedidos cancelados.</t>
  </si>
  <si>
    <t xml:space="preserve">% de entregas em até 40 minutos</t>
  </si>
  <si>
    <t xml:space="preserve">%</t>
  </si>
  <si>
    <t xml:space="preserve">Maior é melhor</t>
  </si>
  <si>
    <t xml:space="preserve">Atendimento no salão, compra de ingredientes e cardápio.</t>
  </si>
  <si>
    <t xml:space="preserve">Leia de cima para baixo: cada etapa só começa quando a anterior está concluída. O registro resume o que foi feito; a evidência diz onde está a prova.</t>
  </si>
  <si>
    <t xml:space="preserve">18% das entregas chegam depois de 40 minutos. Meta: passar de 82% para 95% de entregas no prazo, em até 12 semanas.</t>
  </si>
  <si>
    <t xml:space="preserve">Os atrasos se concentram nas sextas e sábados, das 19h às 22h. Em 46% deles, a pizza pronta ficou esperando entregador.</t>
  </si>
  <si>
    <t xml:space="preserve">Estratificação por dia e horário; gráfico de Pareto</t>
  </si>
  <si>
    <t xml:space="preserve">Líder da expedição</t>
  </si>
  <si>
    <t xml:space="preserve">Causas confirmadas: a escala de entregadores é igual em todos os dias; os pedidos saem sem agrupamento por bairro; o formulário aceita endereço sem complemento.</t>
  </si>
  <si>
    <t xml:space="preserve">Diagrama de Ishikawa; 5 porquês</t>
  </si>
  <si>
    <t xml:space="preserve">Três ações: reforçar a escala no pico, agrupar pedidos por bairro na expedição e tornar o complemento do endereço obrigatório.</t>
  </si>
  <si>
    <t xml:space="preserve">Plano de ação 5W2H</t>
  </si>
  <si>
    <t xml:space="preserve">Ações implantadas nas semanas 7 e 8, com treinamento da expedição. Desvio: o agrupamento por bairro só começou na semana 8.</t>
  </si>
  <si>
    <t xml:space="preserve">Plano de ação com datas reais; lista de presença</t>
  </si>
  <si>
    <t xml:space="preserve">Média de 95,5% nas semanas 9 a 12. Meta atingida. Efeito colateral: o custo com entregadores subiu R$ 600 por mês.</t>
  </si>
  <si>
    <t xml:space="preserve">Gráfico de tendência, antes e depois</t>
  </si>
  <si>
    <t xml:space="preserve">A nova escala virou padrão, a instrução de trabalho da expedição foi atualizada e o campo obrigatório foi mantido.</t>
  </si>
  <si>
    <t xml:space="preserve">Instrução de trabalho revisada; registro de treinamento</t>
  </si>
  <si>
    <t xml:space="preserve">Lição: medir por faixa de horário, e não só pela média do dia. Próximo ciclo: a fila do forno, segundo item do Pareto.</t>
  </si>
  <si>
    <t xml:space="preserve">Registro de lições aprendidas</t>
  </si>
  <si>
    <t xml:space="preserve">Verificação: medições do indicador</t>
  </si>
  <si>
    <t xml:space="preserve">Semana 2</t>
  </si>
  <si>
    <t xml:space="preserve">Semana 3</t>
  </si>
  <si>
    <t xml:space="preserve">Chuva forte no sábado</t>
  </si>
  <si>
    <t xml:space="preserve">Semana 4</t>
  </si>
  <si>
    <t xml:space="preserve">Semana 5</t>
  </si>
  <si>
    <t xml:space="preserve">Semana 6</t>
  </si>
  <si>
    <t xml:space="preserve">Semana 7</t>
  </si>
  <si>
    <t xml:space="preserve">Durante</t>
  </si>
  <si>
    <t xml:space="preserve">Escala reforçada e campo obrigatório</t>
  </si>
  <si>
    <t xml:space="preserve">Semana 8</t>
  </si>
  <si>
    <t xml:space="preserve">Início do agrupamento por bairro</t>
  </si>
  <si>
    <t xml:space="preserve">Semana 9</t>
  </si>
  <si>
    <t xml:space="preserve">Depois</t>
  </si>
  <si>
    <t xml:space="preserve">Semana 10</t>
  </si>
  <si>
    <t xml:space="preserve">Semana 11</t>
  </si>
  <si>
    <t xml:space="preserve">Semana 12</t>
  </si>
  <si>
    <t xml:space="preserve">Reduzir o prazo de compra</t>
  </si>
  <si>
    <t xml:space="preserve">Gerente de Suprimentos</t>
  </si>
  <si>
    <t xml:space="preserve">Suprimentos</t>
  </si>
  <si>
    <t xml:space="preserve">Equipe de compras</t>
  </si>
  <si>
    <t xml:space="preserve">O pedido de compra leva, em média, 12 dias úteis para ser emitido depois da requisição aprovada. As áreas recebem os itens depois da data de necessidade.</t>
  </si>
  <si>
    <t xml:space="preserve">Dias úteis entre a requisição aprovada e o pedido emitido</t>
  </si>
  <si>
    <t xml:space="preserve">dias úteis</t>
  </si>
  <si>
    <t xml:space="preserve">Menor é melhor</t>
  </si>
  <si>
    <t xml:space="preserve">Homologação de fornecedores, pagamento e gestão de estoque.</t>
  </si>
  <si>
    <t xml:space="preserve">O pedido leva, em média, 12 dias úteis para ser emitido. Meta: reduzir para 7 dias úteis, em 3 meses.</t>
  </si>
  <si>
    <t xml:space="preserve">Relatório do sistema de compras</t>
  </si>
  <si>
    <t xml:space="preserve">40% das requisições são devolvidas por especificação incompleta. Compras de baixo valor demoram tanto quanto as de alto valor.</t>
  </si>
  <si>
    <t xml:space="preserve">Estratificação por valor e por motivo de devolução</t>
  </si>
  <si>
    <t xml:space="preserve">Analista de compras</t>
  </si>
  <si>
    <t xml:space="preserve">Causas confirmadas: o formulário de requisição não tem campos obrigatórios; a política exige três cotações para qualquer valor.</t>
  </si>
  <si>
    <t xml:space="preserve">5 porquês; mapa do processo</t>
  </si>
  <si>
    <t xml:space="preserve">Novo formulário com campos obrigatórios e catálogo de itens. Uma cotação só para compras de até R$ 2.000, com aprovação da Diretoria.</t>
  </si>
  <si>
    <t xml:space="preserve">Plano de ação 5W2H; política de compras revisada</t>
  </si>
  <si>
    <t xml:space="preserve">Piloto de 4 semanas em duas áreas requisitantes, com treinamento dos requisitantes e dos compradores.</t>
  </si>
  <si>
    <t xml:space="preserve">Registro do piloto</t>
  </si>
  <si>
    <t xml:space="preserve">O prazo caiu para 8 dias úteis. Meta não atingida. As devoluções caíram de 40% para 12%. O tempo restante está na revisão de contratos.</t>
  </si>
  <si>
    <t xml:space="preserve">Comparação antes e depois; novo Pareto</t>
  </si>
  <si>
    <t xml:space="preserve">O formulário e a nova alçada foram estendidos a todas as áreas, porque funcionaram. O procedimento de compras foi revisado.</t>
  </si>
  <si>
    <t xml:space="preserve">Procedimento revisado; comunicado às áreas</t>
  </si>
  <si>
    <t xml:space="preserve">A meta de 7 dias foi mantida. Novo ciclo aberto, com foco na etapa de revisão de contratos.</t>
  </si>
  <si>
    <t xml:space="preserve">Registro de lições aprendidas; novo ciclo</t>
  </si>
  <si>
    <t xml:space="preserve">Início do piloto em duas áreas</t>
  </si>
  <si>
    <t xml:space="preserve">Semana 13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</si>
</sst>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0&quot; de 8&quot;"/>
    <numFmt numFmtId="167" formatCode="General"/>
    <numFmt numFmtId="168" formatCode="\+0.0;\-0.0;0.0"/>
    <numFmt numFmtId="169" formatCode="0&quot; de 14&quot;"/>
    <numFmt numFmtId="170" formatCode="&quot;R$ &quot;#,##0.00"/>
    <numFmt numFmtId="171" formatCode="0%"/>
    <numFmt numFmtId="172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9EEEB"/>
      </patternFill>
    </fill>
    <fill>
      <patternFill patternType="solid">
        <fgColor rgb="FFFFF9DB"/>
        <bgColor rgb="FFFBEBC8"/>
      </patternFill>
    </fill>
    <fill>
      <patternFill patternType="solid">
        <fgColor rgb="FF2B5C8A"/>
        <bgColor rgb="FF1E7B73"/>
      </patternFill>
    </fill>
    <fill>
      <patternFill patternType="solid">
        <fgColor rgb="FFDCE8F3"/>
        <bgColor rgb="FFD9EEEB"/>
      </patternFill>
    </fill>
    <fill>
      <patternFill patternType="solid">
        <fgColor rgb="FFA96A12"/>
        <bgColor rgb="FFB0413E"/>
      </patternFill>
    </fill>
    <fill>
      <patternFill patternType="solid">
        <fgColor rgb="FFF6E8CF"/>
        <bgColor rgb="FFFBEBC8"/>
      </patternFill>
    </fill>
    <fill>
      <patternFill patternType="solid">
        <fgColor rgb="FF1E7B73"/>
        <bgColor rgb="FF008080"/>
      </patternFill>
    </fill>
    <fill>
      <patternFill patternType="solid">
        <fgColor rgb="FFD9EEEB"/>
        <bgColor rgb="FFD8EFDD"/>
      </patternFill>
    </fill>
    <fill>
      <patternFill patternType="solid">
        <fgColor rgb="FFB0413E"/>
        <bgColor rgb="FF993300"/>
      </patternFill>
    </fill>
    <fill>
      <patternFill patternType="solid">
        <fgColor rgb="FFF5DEDC"/>
        <bgColor rgb="FFF6D9D7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  <dxf>
      <font>
        <color rgb="FFEEF1F3"/>
      </font>
    </dxf>
  </dxfs>
  <colors>
    <indexedColors>
      <rgbColor rgb="FF000000"/>
      <rgbColor rgb="FFFFFFFF"/>
      <rgbColor rgb="FFFF0000"/>
      <rgbColor rgb="FF00FF00"/>
      <rgbColor rgb="FF0000FF"/>
      <rgbColor rgb="FFEEF1F3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9EEEB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3"/>
      <rgbColor rgb="FFD8EFDD"/>
      <rgbColor rgb="FFFBEBC8"/>
      <rgbColor rgb="FFD3DBE0"/>
      <rgbColor rgb="FFF5DEDC"/>
      <rgbColor rgb="FFF6E8C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Verificação!E9</c:f>
              <c:strCache>
                <c:ptCount val="1"/>
                <c:pt idx="0">
                  <c:v>Valor medido</c:v>
                </c:pt>
              </c:strCache>
            </c:strRef>
          </c:tx>
          <c:spPr>
            <a:solidFill>
              <a:srgbClr val="2b5c8a"/>
            </a:solidFill>
            <a:ln w="25560">
              <a:solidFill>
                <a:srgbClr val="2b5c8a"/>
              </a:solidFill>
              <a:round/>
            </a:ln>
          </c:spPr>
          <c:marker>
            <c:symbol val="circle"/>
            <c:size val="7"/>
            <c:spPr>
              <a:solidFill>
                <a:srgbClr val="2b5c8a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Verificação!$C$11:$C$26</c:f>
              <c:strCache>
                <c:ptCount val="16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Verificação!$E$11:$E$26</c:f>
              <c:numCache>
                <c:formatCode>General</c:formatCode>
                <c:ptCount val="16"/>
              </c:numCache>
            </c:numRef>
          </c:val>
          <c:smooth val="0"/>
        </c:ser>
        <c:ser>
          <c:idx val="1"/>
          <c:order val="1"/>
          <c:tx>
            <c:strRef>
              <c:f>Verificação!G9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5b6b76"/>
            </a:solidFill>
            <a:ln w="19080">
              <a:solidFill>
                <a:srgbClr val="5b6b7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Verificação!$C$11:$C$26</c:f>
              <c:strCache>
                <c:ptCount val="16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Verificação!$G$11:$G$26</c:f>
              <c:numCache>
                <c:formatCode>General</c:formatCode>
                <c:ptCount val="16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7175937"/>
        <c:axId val="19572562"/>
      </c:lineChart>
      <c:catAx>
        <c:axId val="371759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72562"/>
        <c:crosses val="autoZero"/>
        <c:auto val="1"/>
        <c:lblAlgn val="ctr"/>
        <c:lblOffset val="100"/>
        <c:noMultiLvlLbl val="0"/>
      </c:catAx>
      <c:valAx>
        <c:axId val="19572562"/>
        <c:scaling>
          <c:orientation val="minMax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7593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'Exemplo 1 - Pizzaria'!E34</c:f>
              <c:strCache>
                <c:ptCount val="1"/>
                <c:pt idx="0">
                  <c:v>Valor medido</c:v>
                </c:pt>
              </c:strCache>
            </c:strRef>
          </c:tx>
          <c:spPr>
            <a:solidFill>
              <a:srgbClr val="2b5c8a"/>
            </a:solidFill>
            <a:ln w="25560">
              <a:solidFill>
                <a:srgbClr val="2b5c8a"/>
              </a:solidFill>
              <a:round/>
            </a:ln>
          </c:spPr>
          <c:marker>
            <c:symbol val="circle"/>
            <c:size val="7"/>
            <c:spPr>
              <a:solidFill>
                <a:srgbClr val="2b5c8a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Pizzaria'!$C$35:$C$50</c:f>
              <c:strCache>
                <c:ptCount val="16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'Exemplo 1 - Pizzaria'!$E$35:$E$50</c:f>
              <c:numCache>
                <c:formatCode>General</c:formatCode>
                <c:ptCount val="16"/>
                <c:pt idx="0">
                  <c:v>81</c:v>
                </c:pt>
                <c:pt idx="1">
                  <c:v>83</c:v>
                </c:pt>
                <c:pt idx="2">
                  <c:v>80</c:v>
                </c:pt>
                <c:pt idx="3">
                  <c:v>84</c:v>
                </c:pt>
                <c:pt idx="4">
                  <c:v>82</c:v>
                </c:pt>
                <c:pt idx="5">
                  <c:v>82</c:v>
                </c:pt>
                <c:pt idx="6">
                  <c:v>86</c:v>
                </c:pt>
                <c:pt idx="7">
                  <c:v>90</c:v>
                </c:pt>
                <c:pt idx="8">
                  <c:v>94</c:v>
                </c:pt>
                <c:pt idx="9">
                  <c:v>96</c:v>
                </c:pt>
                <c:pt idx="10">
                  <c:v>95</c:v>
                </c:pt>
                <c:pt idx="11">
                  <c:v>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'Exemplo 1 - Pizzaria'!G34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5b6b76"/>
            </a:solidFill>
            <a:ln w="19080">
              <a:solidFill>
                <a:srgbClr val="5b6b7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Pizzaria'!$C$35:$C$50</c:f>
              <c:strCache>
                <c:ptCount val="16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'Exemplo 1 - Pizzaria'!$G$35:$G$50</c:f>
              <c:numCache>
                <c:formatCode>General</c:formatCode>
                <c:ptCount val="16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  <c:pt idx="11">
                  <c:v>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856809"/>
        <c:axId val="23814726"/>
      </c:lineChart>
      <c:catAx>
        <c:axId val="718568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14726"/>
        <c:crosses val="autoZero"/>
        <c:auto val="1"/>
        <c:lblAlgn val="ctr"/>
        <c:lblOffset val="100"/>
        <c:noMultiLvlLbl val="0"/>
      </c:catAx>
      <c:valAx>
        <c:axId val="23814726"/>
        <c:scaling>
          <c:orientation val="minMax"/>
          <c:max val="100"/>
          <c:min val="7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568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'Exemplo 2 - Compras'!E34</c:f>
              <c:strCache>
                <c:ptCount val="1"/>
                <c:pt idx="0">
                  <c:v>Valor medido</c:v>
                </c:pt>
              </c:strCache>
            </c:strRef>
          </c:tx>
          <c:spPr>
            <a:solidFill>
              <a:srgbClr val="2b5c8a"/>
            </a:solidFill>
            <a:ln w="25560">
              <a:solidFill>
                <a:srgbClr val="2b5c8a"/>
              </a:solidFill>
              <a:round/>
            </a:ln>
          </c:spPr>
          <c:marker>
            <c:symbol val="circle"/>
            <c:size val="7"/>
            <c:spPr>
              <a:solidFill>
                <a:srgbClr val="2b5c8a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Compras'!$C$35:$C$50</c:f>
              <c:strCache>
                <c:ptCount val="16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  <c:pt idx="12">
                  <c:v>Semana 13</c:v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'Exemplo 2 - Compras'!$E$35:$E$50</c:f>
              <c:numCache>
                <c:formatCode>General</c:formatCode>
                <c:ptCount val="16"/>
                <c:pt idx="0">
                  <c:v>12.5</c:v>
                </c:pt>
                <c:pt idx="1">
                  <c:v>11.5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8.5</c:v>
                </c:pt>
                <c:pt idx="9">
                  <c:v>8</c:v>
                </c:pt>
                <c:pt idx="10">
                  <c:v>8.5</c:v>
                </c:pt>
                <c:pt idx="11">
                  <c:v>7.5</c:v>
                </c:pt>
                <c:pt idx="12">
                  <c:v>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'Exemplo 2 - Compras'!G34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5b6b76"/>
            </a:solidFill>
            <a:ln w="19080">
              <a:solidFill>
                <a:srgbClr val="5b6b7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Compras'!$C$35:$C$50</c:f>
              <c:strCache>
                <c:ptCount val="16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  <c:pt idx="12">
                  <c:v>Semana 13</c:v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'Exemplo 2 - Compras'!$G$35:$G$50</c:f>
              <c:numCache>
                <c:formatCode>General</c:formatCode>
                <c:ptCount val="16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000566"/>
        <c:axId val="22931790"/>
      </c:lineChart>
      <c:catAx>
        <c:axId val="90005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31790"/>
        <c:crosses val="autoZero"/>
        <c:auto val="1"/>
        <c:lblAlgn val="ctr"/>
        <c:lblOffset val="100"/>
        <c:noMultiLvlLbl val="0"/>
      </c:catAx>
      <c:valAx>
        <c:axId val="22931790"/>
        <c:scaling>
          <c:orientation val="minMax"/>
          <c:max val="14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05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36</xdr:row>
      <xdr:rowOff>0</xdr:rowOff>
    </xdr:from>
    <xdr:to>
      <xdr:col>6</xdr:col>
      <xdr:colOff>1332000</xdr:colOff>
      <xdr:row>53</xdr:row>
      <xdr:rowOff>181080</xdr:rowOff>
    </xdr:to>
    <xdr:graphicFrame>
      <xdr:nvGraphicFramePr>
        <xdr:cNvPr id="0" name="Chart 1"/>
        <xdr:cNvGraphicFramePr/>
      </xdr:nvGraphicFramePr>
      <xdr:xfrm>
        <a:off x="141120" y="10115640"/>
        <a:ext cx="97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60</xdr:row>
      <xdr:rowOff>0</xdr:rowOff>
    </xdr:from>
    <xdr:to>
      <xdr:col>6</xdr:col>
      <xdr:colOff>1332000</xdr:colOff>
      <xdr:row>77</xdr:row>
      <xdr:rowOff>181080</xdr:rowOff>
    </xdr:to>
    <xdr:graphicFrame>
      <xdr:nvGraphicFramePr>
        <xdr:cNvPr id="1" name="Chart 1"/>
        <xdr:cNvGraphicFramePr/>
      </xdr:nvGraphicFramePr>
      <xdr:xfrm>
        <a:off x="141120" y="20697840"/>
        <a:ext cx="97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60</xdr:row>
      <xdr:rowOff>0</xdr:rowOff>
    </xdr:from>
    <xdr:to>
      <xdr:col>6</xdr:col>
      <xdr:colOff>1332000</xdr:colOff>
      <xdr:row>77</xdr:row>
      <xdr:rowOff>181080</xdr:rowOff>
    </xdr:to>
    <xdr:graphicFrame>
      <xdr:nvGraphicFramePr>
        <xdr:cNvPr id="2" name="Chart 1"/>
        <xdr:cNvGraphicFramePr/>
      </xdr:nvGraphicFramePr>
      <xdr:xfrm>
        <a:off x="141120" y="20697840"/>
        <a:ext cx="97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8" t="s">
        <v>14</v>
      </c>
      <c r="C12" s="9" t="s">
        <v>15</v>
      </c>
    </row>
    <row r="13" customFormat="false" ht="19.5" hidden="false" customHeight="true" outlineLevel="0" collapsed="false">
      <c r="B13" s="10" t="s">
        <v>16</v>
      </c>
      <c r="C13" s="11" t="s">
        <v>17</v>
      </c>
    </row>
    <row r="14" customFormat="false" ht="19.5" hidden="false" customHeight="true" outlineLevel="0" collapsed="false">
      <c r="B14" s="12" t="s">
        <v>18</v>
      </c>
      <c r="C14" s="13" t="s">
        <v>19</v>
      </c>
    </row>
    <row r="15" customFormat="false" ht="19.5" hidden="false" customHeight="true" outlineLevel="0" collapsed="false">
      <c r="B15" s="14" t="s">
        <v>20</v>
      </c>
      <c r="C15" s="15" t="s">
        <v>21</v>
      </c>
    </row>
    <row r="17" customFormat="false" ht="21.75" hidden="false" customHeight="true" outlineLevel="0" collapsed="false">
      <c r="B17" s="3" t="s">
        <v>22</v>
      </c>
      <c r="C17" s="3"/>
    </row>
    <row r="18" customFormat="false" ht="31.5" hidden="false" customHeight="true" outlineLevel="0" collapsed="false">
      <c r="B18" s="4" t="s">
        <v>23</v>
      </c>
      <c r="C18" s="7" t="s">
        <v>24</v>
      </c>
    </row>
    <row r="19" customFormat="false" ht="31.5" hidden="false" customHeight="true" outlineLevel="0" collapsed="false">
      <c r="B19" s="4" t="s">
        <v>25</v>
      </c>
      <c r="C19" s="7" t="s">
        <v>26</v>
      </c>
    </row>
    <row r="20" customFormat="false" ht="19.5" hidden="false" customHeight="true" outlineLevel="0" collapsed="false">
      <c r="B20" s="4" t="s">
        <v>27</v>
      </c>
      <c r="C20" s="7" t="s">
        <v>28</v>
      </c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8" customFormat="false" ht="21.75" hidden="false" customHeight="true" outlineLevel="0" collapsed="false">
      <c r="B28" s="3" t="s">
        <v>41</v>
      </c>
      <c r="C28" s="3"/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7" customFormat="false" ht="21.75" hidden="false" customHeight="true" outlineLevel="0" collapsed="false">
      <c r="B37" s="3" t="s">
        <v>56</v>
      </c>
      <c r="C37" s="3"/>
    </row>
    <row r="38" customFormat="false" ht="45.75" hidden="false" customHeight="true" outlineLevel="0" collapsed="false">
      <c r="B38" s="4" t="s">
        <v>57</v>
      </c>
      <c r="C38" s="7" t="s">
        <v>58</v>
      </c>
    </row>
    <row r="39" customFormat="false" ht="45.75" hidden="false" customHeight="true" outlineLevel="0" collapsed="false">
      <c r="B39" s="4" t="s">
        <v>59</v>
      </c>
      <c r="C39" s="7" t="s">
        <v>60</v>
      </c>
    </row>
    <row r="40" customFormat="false" ht="45.75" hidden="false" customHeight="true" outlineLevel="0" collapsed="false">
      <c r="B40" s="4" t="s">
        <v>61</v>
      </c>
      <c r="C40" s="7" t="s">
        <v>62</v>
      </c>
    </row>
    <row r="41" customFormat="false" ht="45.75" hidden="false" customHeight="true" outlineLevel="0" collapsed="false">
      <c r="B41" s="4" t="s">
        <v>63</v>
      </c>
      <c r="C41" s="7" t="s">
        <v>64</v>
      </c>
    </row>
    <row r="42" customFormat="false" ht="45.75" hidden="false" customHeight="true" outlineLevel="0" collapsed="false">
      <c r="B42" s="4" t="s">
        <v>65</v>
      </c>
      <c r="C42" s="7" t="s">
        <v>66</v>
      </c>
    </row>
    <row r="43" customFormat="false" ht="31.5" hidden="false" customHeight="true" outlineLevel="0" collapsed="false">
      <c r="B43" s="4" t="s">
        <v>67</v>
      </c>
      <c r="C43" s="7" t="s">
        <v>68</v>
      </c>
    </row>
  </sheetData>
  <mergeCells count="7">
    <mergeCell ref="B1:C1"/>
    <mergeCell ref="B2:C2"/>
    <mergeCell ref="B4:C4"/>
    <mergeCell ref="B11:C11"/>
    <mergeCell ref="B17:C17"/>
    <mergeCell ref="B28:C28"/>
    <mergeCell ref="B37:C37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J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44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69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70</v>
      </c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B4" s="4" t="s">
        <v>71</v>
      </c>
      <c r="C4" s="4"/>
      <c r="D4" s="5"/>
      <c r="E4" s="5"/>
      <c r="F4" s="5"/>
      <c r="G4" s="4" t="s">
        <v>72</v>
      </c>
      <c r="H4" s="5"/>
      <c r="I4" s="5"/>
      <c r="J4" s="5"/>
    </row>
    <row r="5" customFormat="false" ht="21.75" hidden="false" customHeight="true" outlineLevel="0" collapsed="false">
      <c r="B5" s="4" t="s">
        <v>73</v>
      </c>
      <c r="C5" s="4"/>
      <c r="D5" s="5"/>
      <c r="E5" s="5"/>
      <c r="F5" s="5"/>
      <c r="G5" s="4" t="s">
        <v>74</v>
      </c>
      <c r="H5" s="16"/>
      <c r="I5" s="16"/>
      <c r="J5" s="16"/>
    </row>
    <row r="6" customFormat="false" ht="21.75" hidden="false" customHeight="true" outlineLevel="0" collapsed="false">
      <c r="B6" s="4" t="s">
        <v>75</v>
      </c>
      <c r="C6" s="4"/>
      <c r="D6" s="5"/>
      <c r="E6" s="5"/>
      <c r="F6" s="5"/>
      <c r="G6" s="4" t="s">
        <v>76</v>
      </c>
      <c r="H6" s="5"/>
      <c r="I6" s="5"/>
      <c r="J6" s="5"/>
    </row>
    <row r="7" customFormat="false" ht="30" hidden="false" customHeight="true" outlineLevel="0" collapsed="false">
      <c r="B7" s="4" t="s">
        <v>77</v>
      </c>
      <c r="C7" s="4"/>
      <c r="D7" s="5"/>
      <c r="E7" s="5"/>
      <c r="F7" s="5"/>
      <c r="G7" s="5"/>
      <c r="H7" s="5"/>
      <c r="I7" s="5"/>
      <c r="J7" s="5"/>
    </row>
    <row r="8" customFormat="false" ht="21.75" hidden="false" customHeight="true" outlineLevel="0" collapsed="false">
      <c r="B8" s="4" t="s">
        <v>78</v>
      </c>
      <c r="C8" s="4"/>
      <c r="D8" s="5"/>
      <c r="E8" s="5"/>
      <c r="F8" s="5"/>
      <c r="G8" s="4" t="s">
        <v>79</v>
      </c>
      <c r="H8" s="5"/>
      <c r="I8" s="5"/>
      <c r="J8" s="5"/>
    </row>
    <row r="9" customFormat="false" ht="21.75" hidden="false" customHeight="true" outlineLevel="0" collapsed="false">
      <c r="B9" s="4" t="s">
        <v>80</v>
      </c>
      <c r="C9" s="4"/>
      <c r="D9" s="5"/>
      <c r="E9" s="5"/>
      <c r="F9" s="5"/>
      <c r="G9" s="4" t="s">
        <v>81</v>
      </c>
      <c r="H9" s="5"/>
      <c r="I9" s="5"/>
      <c r="J9" s="5"/>
    </row>
    <row r="10" customFormat="false" ht="21.75" hidden="false" customHeight="true" outlineLevel="0" collapsed="false">
      <c r="B10" s="4" t="s">
        <v>82</v>
      </c>
      <c r="C10" s="4"/>
      <c r="D10" s="5"/>
      <c r="E10" s="5"/>
      <c r="F10" s="5"/>
      <c r="G10" s="4" t="s">
        <v>83</v>
      </c>
      <c r="H10" s="16"/>
      <c r="I10" s="16"/>
      <c r="J10" s="16"/>
    </row>
    <row r="11" customFormat="false" ht="30" hidden="false" customHeight="true" outlineLevel="0" collapsed="false">
      <c r="B11" s="4" t="s">
        <v>84</v>
      </c>
      <c r="C11" s="4"/>
      <c r="D11" s="5"/>
      <c r="E11" s="5"/>
      <c r="F11" s="5"/>
      <c r="G11" s="5"/>
      <c r="H11" s="5"/>
      <c r="I11" s="5"/>
      <c r="J11" s="5"/>
    </row>
    <row r="13" customFormat="false" ht="21.75" hidden="false" customHeight="true" outlineLevel="0" collapsed="false">
      <c r="B13" s="17" t="s">
        <v>85</v>
      </c>
      <c r="C13" s="17" t="s">
        <v>86</v>
      </c>
      <c r="D13" s="17" t="s">
        <v>87</v>
      </c>
      <c r="E13" s="17" t="s">
        <v>88</v>
      </c>
      <c r="F13" s="17" t="s">
        <v>89</v>
      </c>
      <c r="G13" s="17" t="s">
        <v>90</v>
      </c>
      <c r="H13" s="17" t="s">
        <v>91</v>
      </c>
      <c r="I13" s="17" t="s">
        <v>92</v>
      </c>
      <c r="J13" s="17" t="s">
        <v>93</v>
      </c>
    </row>
    <row r="14" customFormat="false" ht="30" hidden="false" customHeight="true" outlineLevel="0" collapsed="false">
      <c r="B14" s="18" t="s">
        <v>94</v>
      </c>
      <c r="C14" s="19" t="s">
        <v>14</v>
      </c>
      <c r="D14" s="20" t="s">
        <v>95</v>
      </c>
      <c r="E14" s="20" t="s">
        <v>96</v>
      </c>
      <c r="F14" s="20" t="s">
        <v>97</v>
      </c>
      <c r="G14" s="20" t="s">
        <v>98</v>
      </c>
      <c r="H14" s="20" t="s">
        <v>99</v>
      </c>
      <c r="I14" s="21" t="n">
        <v>46325</v>
      </c>
      <c r="J14" s="18" t="s">
        <v>100</v>
      </c>
    </row>
    <row r="15" customFormat="false" ht="45" hidden="false" customHeight="true" outlineLevel="0" collapsed="false">
      <c r="B15" s="22" t="n">
        <v>1</v>
      </c>
      <c r="C15" s="23" t="s">
        <v>101</v>
      </c>
      <c r="D15" s="24" t="s">
        <v>95</v>
      </c>
      <c r="E15" s="25" t="s">
        <v>96</v>
      </c>
      <c r="F15" s="5"/>
      <c r="G15" s="5"/>
      <c r="H15" s="5"/>
      <c r="I15" s="26"/>
      <c r="J15" s="27"/>
    </row>
    <row r="16" customFormat="false" ht="45" hidden="false" customHeight="true" outlineLevel="0" collapsed="false">
      <c r="B16" s="22" t="n">
        <v>2</v>
      </c>
      <c r="C16" s="23"/>
      <c r="D16" s="24" t="s">
        <v>102</v>
      </c>
      <c r="E16" s="25" t="s">
        <v>103</v>
      </c>
      <c r="F16" s="5"/>
      <c r="G16" s="5"/>
      <c r="H16" s="5"/>
      <c r="I16" s="26"/>
      <c r="J16" s="27"/>
    </row>
    <row r="17" customFormat="false" ht="45" hidden="false" customHeight="true" outlineLevel="0" collapsed="false">
      <c r="B17" s="22" t="n">
        <v>3</v>
      </c>
      <c r="C17" s="23"/>
      <c r="D17" s="24" t="s">
        <v>104</v>
      </c>
      <c r="E17" s="25" t="s">
        <v>105</v>
      </c>
      <c r="F17" s="5"/>
      <c r="G17" s="5"/>
      <c r="H17" s="5"/>
      <c r="I17" s="26"/>
      <c r="J17" s="27"/>
    </row>
    <row r="18" customFormat="false" ht="45" hidden="false" customHeight="true" outlineLevel="0" collapsed="false">
      <c r="B18" s="22" t="n">
        <v>4</v>
      </c>
      <c r="C18" s="23"/>
      <c r="D18" s="24" t="s">
        <v>106</v>
      </c>
      <c r="E18" s="25" t="s">
        <v>107</v>
      </c>
      <c r="F18" s="5"/>
      <c r="G18" s="5"/>
      <c r="H18" s="5"/>
      <c r="I18" s="26"/>
      <c r="J18" s="27"/>
    </row>
    <row r="19" customFormat="false" ht="45" hidden="false" customHeight="true" outlineLevel="0" collapsed="false">
      <c r="B19" s="22" t="n">
        <v>5</v>
      </c>
      <c r="C19" s="28" t="s">
        <v>108</v>
      </c>
      <c r="D19" s="29" t="s">
        <v>109</v>
      </c>
      <c r="E19" s="30" t="s">
        <v>110</v>
      </c>
      <c r="F19" s="5"/>
      <c r="G19" s="5"/>
      <c r="H19" s="5"/>
      <c r="I19" s="26"/>
      <c r="J19" s="27"/>
    </row>
    <row r="20" customFormat="false" ht="45" hidden="false" customHeight="true" outlineLevel="0" collapsed="false">
      <c r="B20" s="22" t="n">
        <v>6</v>
      </c>
      <c r="C20" s="31" t="s">
        <v>111</v>
      </c>
      <c r="D20" s="32" t="s">
        <v>112</v>
      </c>
      <c r="E20" s="33" t="s">
        <v>113</v>
      </c>
      <c r="F20" s="5"/>
      <c r="G20" s="5"/>
      <c r="H20" s="5"/>
      <c r="I20" s="26"/>
      <c r="J20" s="27"/>
    </row>
    <row r="21" customFormat="false" ht="45" hidden="false" customHeight="true" outlineLevel="0" collapsed="false">
      <c r="B21" s="22" t="n">
        <v>7</v>
      </c>
      <c r="C21" s="34" t="s">
        <v>114</v>
      </c>
      <c r="D21" s="35" t="s">
        <v>115</v>
      </c>
      <c r="E21" s="36" t="s">
        <v>116</v>
      </c>
      <c r="F21" s="5"/>
      <c r="G21" s="5"/>
      <c r="H21" s="5"/>
      <c r="I21" s="26"/>
      <c r="J21" s="27"/>
    </row>
    <row r="22" customFormat="false" ht="45" hidden="false" customHeight="true" outlineLevel="0" collapsed="false">
      <c r="B22" s="22" t="n">
        <v>8</v>
      </c>
      <c r="C22" s="34"/>
      <c r="D22" s="35" t="s">
        <v>117</v>
      </c>
      <c r="E22" s="36" t="s">
        <v>118</v>
      </c>
      <c r="F22" s="5"/>
      <c r="G22" s="5"/>
      <c r="H22" s="5"/>
      <c r="I22" s="26"/>
      <c r="J22" s="27"/>
    </row>
    <row r="24" customFormat="false" ht="21.75" hidden="false" customHeight="true" outlineLevel="0" collapsed="false">
      <c r="B24" s="37" t="s">
        <v>119</v>
      </c>
      <c r="C24" s="37"/>
      <c r="D24" s="37"/>
      <c r="E24" s="37"/>
      <c r="F24" s="37"/>
      <c r="G24" s="37"/>
      <c r="H24" s="37"/>
      <c r="I24" s="37"/>
      <c r="J24" s="37"/>
    </row>
    <row r="25" customFormat="false" ht="19.5" hidden="false" customHeight="true" outlineLevel="0" collapsed="false">
      <c r="B25" s="38" t="s">
        <v>120</v>
      </c>
      <c r="C25" s="38"/>
      <c r="D25" s="38"/>
      <c r="E25" s="38"/>
      <c r="F25" s="39" t="n">
        <f aca="false">COUNTIF(J15:J22,"Concluída")</f>
        <v>0</v>
      </c>
    </row>
    <row r="26" customFormat="false" ht="19.5" hidden="false" customHeight="true" outlineLevel="0" collapsed="false">
      <c r="B26" s="38" t="s">
        <v>121</v>
      </c>
      <c r="C26" s="38"/>
      <c r="D26" s="38"/>
      <c r="E26" s="38"/>
      <c r="F26" s="40" t="str">
        <f aca="false">IF(COUNTIF(J15:J18,"Concluída")&lt;4,"P — Planejar",IF(J19&lt;&gt;"Concluída","D — Executar",IF(J20&lt;&gt;"Concluída","C — Verificar",IF(COUNTIF(J21:J22,"Concluída")&lt;2,"A — Agir","Ciclo concluído"))))</f>
        <v>P — Planejar</v>
      </c>
    </row>
    <row r="27" customFormat="false" ht="19.5" hidden="false" customHeight="true" outlineLevel="0" collapsed="false">
      <c r="B27" s="38" t="s">
        <v>122</v>
      </c>
      <c r="C27" s="38"/>
      <c r="D27" s="38"/>
      <c r="E27" s="38"/>
      <c r="F27" s="41" t="str">
        <f aca="false">IF(SUMPRODUCT((J16:J22="Concluída")*(J15:J21&lt;&gt;"Concluída"))&gt;0,"Há etapa concluída antes da anterior","OK")</f>
        <v>OK</v>
      </c>
    </row>
    <row r="28" customFormat="false" ht="19.5" hidden="false" customHeight="true" outlineLevel="0" collapsed="false">
      <c r="B28" s="38" t="s">
        <v>123</v>
      </c>
      <c r="C28" s="38"/>
      <c r="D28" s="38"/>
      <c r="E28" s="38"/>
      <c r="F28" s="41" t="str">
        <f aca="false">IF(SUMPRODUCT((J15:J22="Concluída")*(F15:F22=""))&gt;0,"Há etapa concluída sem registro","OK")</f>
        <v>OK</v>
      </c>
    </row>
    <row r="29" customFormat="false" ht="19.5" hidden="false" customHeight="true" outlineLevel="0" collapsed="false">
      <c r="B29" s="38" t="s">
        <v>124</v>
      </c>
      <c r="C29" s="38"/>
      <c r="D29" s="38"/>
      <c r="E29" s="38"/>
      <c r="F29" s="41" t="str">
        <f aca="false">IF(OR(D9="",H9=""),"Informe a situação inicial e a meta",IF(D10="","Informe o sentido do indicador",IF(OR(AND(D10="Menor é melhor",H9&gt;=D9),AND(D10="Maior é melhor",H9&lt;=D9)),"A meta não melhora a situação inicial","OK")))</f>
        <v>Informe a situação inicial e a meta</v>
      </c>
    </row>
    <row r="30" customFormat="false" ht="19.5" hidden="false" customHeight="true" outlineLevel="0" collapsed="false">
      <c r="B30" s="38" t="s">
        <v>125</v>
      </c>
      <c r="C30" s="38"/>
      <c r="D30" s="38"/>
      <c r="E30" s="38"/>
      <c r="F30" s="42" t="str">
        <f aca="false">IF(OR(D9="",H9=""),"",H9-D9)</f>
        <v/>
      </c>
    </row>
    <row r="31" customFormat="false" ht="19.5" hidden="false" customHeight="true" outlineLevel="0" collapsed="false">
      <c r="B31" s="38" t="s">
        <v>126</v>
      </c>
      <c r="C31" s="38"/>
      <c r="D31" s="38"/>
      <c r="E31" s="38"/>
      <c r="F31" s="43" t="n">
        <f aca="false">COUNTA(D4,H4,D5,H5,D6,H6,D7,D8,H8,D9,H9,D10,H10,D11)</f>
        <v>0</v>
      </c>
    </row>
  </sheetData>
  <mergeCells count="34">
    <mergeCell ref="B1:J1"/>
    <mergeCell ref="B2:J2"/>
    <mergeCell ref="B4:C4"/>
    <mergeCell ref="D4:F4"/>
    <mergeCell ref="H4:J4"/>
    <mergeCell ref="B5:C5"/>
    <mergeCell ref="D5:F5"/>
    <mergeCell ref="H5:J5"/>
    <mergeCell ref="B6:C6"/>
    <mergeCell ref="D6:F6"/>
    <mergeCell ref="H6:J6"/>
    <mergeCell ref="B7:C7"/>
    <mergeCell ref="D7:J7"/>
    <mergeCell ref="B8:C8"/>
    <mergeCell ref="D8:F8"/>
    <mergeCell ref="H8:J8"/>
    <mergeCell ref="B9:C9"/>
    <mergeCell ref="D9:F9"/>
    <mergeCell ref="H9:J9"/>
    <mergeCell ref="B10:C10"/>
    <mergeCell ref="D10:F10"/>
    <mergeCell ref="H10:J10"/>
    <mergeCell ref="B11:C11"/>
    <mergeCell ref="D11:J11"/>
    <mergeCell ref="C15:C18"/>
    <mergeCell ref="C21:C22"/>
    <mergeCell ref="B24:J24"/>
    <mergeCell ref="B25:E25"/>
    <mergeCell ref="B26:E26"/>
    <mergeCell ref="B27:E27"/>
    <mergeCell ref="B28:E28"/>
    <mergeCell ref="B29:E29"/>
    <mergeCell ref="B30:E30"/>
    <mergeCell ref="B31:E31"/>
  </mergeCells>
  <conditionalFormatting sqref="J15:J22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1">
      <formula>"Em andamento"</formula>
    </cfRule>
    <cfRule type="cellIs" priority="4" operator="equal" aboveAverage="0" equalAverage="0" bottom="0" percent="0" rank="0" text="" dxfId="2">
      <formula>"Não iniciada"</formula>
    </cfRule>
  </conditionalFormatting>
  <conditionalFormatting sqref="F27:F29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5">
    <dataValidation allowBlank="true" error="Escolha uma das opções da lista." errorStyle="stop" errorTitle="Valor inválido" operator="between" prompt="O indicador melhora quando sobe ou quando desce?" promptTitle="Opções" showDropDown="false" showErrorMessage="true" showInputMessage="true" sqref="D10" type="list">
      <formula1>"Maior é melhor,Menor é melhor"</formula1>
      <formula2>0</formula2>
    </dataValidation>
    <dataValidation allowBlank="true" error="Digite uma data no formato dia/mês/ano." errorStyle="stop" errorTitle="Data inválida" operator="greaterThanOrEqual" showDropDown="false" showErrorMessage="true" showInputMessage="false" sqref="H5 H10 I15:I22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D9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H9" type="decimal">
      <formula1>-1000000000</formula1>
      <formula2>1000000000</formula2>
    </dataValidation>
    <dataValidation allowBlank="true" error="Escolha uma das opções da lista." errorStyle="stop" errorTitle="Valor inválido" operator="between" prompt="Não iniciada, Em andamento ou Concluída" promptTitle="Opções" showDropDown="false" showErrorMessage="true" showInputMessage="true" sqref="J15:J22" type="list">
      <formula1>"Não iniciada,Em andamento,Concluída"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127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128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B4" s="17" t="s">
        <v>85</v>
      </c>
      <c r="C4" s="17" t="s">
        <v>129</v>
      </c>
      <c r="D4" s="17" t="s">
        <v>130</v>
      </c>
      <c r="E4" s="17" t="s">
        <v>131</v>
      </c>
      <c r="F4" s="17" t="s">
        <v>132</v>
      </c>
      <c r="G4" s="17" t="s">
        <v>133</v>
      </c>
      <c r="H4" s="17" t="s">
        <v>134</v>
      </c>
      <c r="I4" s="17" t="s">
        <v>135</v>
      </c>
      <c r="J4" s="17" t="s">
        <v>93</v>
      </c>
      <c r="K4" s="17" t="s">
        <v>136</v>
      </c>
    </row>
    <row r="5" customFormat="false" ht="31.5" hidden="false" customHeight="true" outlineLevel="0" collapsed="false">
      <c r="B5" s="18" t="s">
        <v>94</v>
      </c>
      <c r="C5" s="20" t="s">
        <v>137</v>
      </c>
      <c r="D5" s="20" t="s">
        <v>138</v>
      </c>
      <c r="E5" s="20" t="s">
        <v>99</v>
      </c>
      <c r="F5" s="20" t="s">
        <v>139</v>
      </c>
      <c r="G5" s="21" t="n">
        <v>46325</v>
      </c>
      <c r="H5" s="20" t="s">
        <v>140</v>
      </c>
      <c r="I5" s="44" t="n">
        <v>600</v>
      </c>
      <c r="J5" s="18" t="s">
        <v>141</v>
      </c>
      <c r="K5" s="18" t="s">
        <v>142</v>
      </c>
    </row>
    <row r="6" customFormat="false" ht="30" hidden="false" customHeight="true" outlineLevel="0" collapsed="false">
      <c r="B6" s="22" t="n">
        <v>1</v>
      </c>
      <c r="C6" s="5"/>
      <c r="D6" s="5"/>
      <c r="E6" s="5"/>
      <c r="F6" s="5"/>
      <c r="G6" s="26"/>
      <c r="H6" s="5"/>
      <c r="I6" s="45"/>
      <c r="J6" s="27"/>
      <c r="K6" s="46" t="str">
        <f aca="true">IF(C6="","",IF(OR(J6="Concluída",J6="Cancelada"),J6,IF(G6="","Sem prazo",IF(G6&lt;TODAY(),"Atrasada","No prazo"))))</f>
        <v/>
      </c>
    </row>
    <row r="7" customFormat="false" ht="30" hidden="false" customHeight="true" outlineLevel="0" collapsed="false">
      <c r="B7" s="22" t="n">
        <v>2</v>
      </c>
      <c r="C7" s="5"/>
      <c r="D7" s="5"/>
      <c r="E7" s="5"/>
      <c r="F7" s="5"/>
      <c r="G7" s="26"/>
      <c r="H7" s="5"/>
      <c r="I7" s="45"/>
      <c r="J7" s="27"/>
      <c r="K7" s="46" t="str">
        <f aca="true">IF(C7="","",IF(OR(J7="Concluída",J7="Cancelada"),J7,IF(G7="","Sem prazo",IF(G7&lt;TODAY(),"Atrasada","No prazo"))))</f>
        <v/>
      </c>
    </row>
    <row r="8" customFormat="false" ht="30" hidden="false" customHeight="true" outlineLevel="0" collapsed="false">
      <c r="B8" s="22" t="n">
        <v>3</v>
      </c>
      <c r="C8" s="5"/>
      <c r="D8" s="5"/>
      <c r="E8" s="5"/>
      <c r="F8" s="5"/>
      <c r="G8" s="26"/>
      <c r="H8" s="5"/>
      <c r="I8" s="45"/>
      <c r="J8" s="27"/>
      <c r="K8" s="46" t="str">
        <f aca="true">IF(C8="","",IF(OR(J8="Concluída",J8="Cancelada"),J8,IF(G8="","Sem prazo",IF(G8&lt;TODAY(),"Atrasada","No prazo"))))</f>
        <v/>
      </c>
    </row>
    <row r="9" customFormat="false" ht="30" hidden="false" customHeight="true" outlineLevel="0" collapsed="false">
      <c r="B9" s="22" t="n">
        <v>4</v>
      </c>
      <c r="C9" s="5"/>
      <c r="D9" s="5"/>
      <c r="E9" s="5"/>
      <c r="F9" s="5"/>
      <c r="G9" s="26"/>
      <c r="H9" s="5"/>
      <c r="I9" s="45"/>
      <c r="J9" s="27"/>
      <c r="K9" s="46" t="str">
        <f aca="true">IF(C9="","",IF(OR(J9="Concluída",J9="Cancelada"),J9,IF(G9="","Sem prazo",IF(G9&lt;TODAY(),"Atrasada","No prazo"))))</f>
        <v/>
      </c>
    </row>
    <row r="10" customFormat="false" ht="30" hidden="false" customHeight="true" outlineLevel="0" collapsed="false">
      <c r="B10" s="22" t="n">
        <v>5</v>
      </c>
      <c r="C10" s="5"/>
      <c r="D10" s="5"/>
      <c r="E10" s="5"/>
      <c r="F10" s="5"/>
      <c r="G10" s="26"/>
      <c r="H10" s="5"/>
      <c r="I10" s="45"/>
      <c r="J10" s="27"/>
      <c r="K10" s="46" t="str">
        <f aca="true">IF(C10="","",IF(OR(J10="Concluída",J10="Cancelada"),J10,IF(G10="","Sem prazo",IF(G10&lt;TODAY(),"Atrasada","No prazo"))))</f>
        <v/>
      </c>
    </row>
    <row r="11" customFormat="false" ht="30" hidden="false" customHeight="true" outlineLevel="0" collapsed="false">
      <c r="B11" s="22" t="n">
        <v>6</v>
      </c>
      <c r="C11" s="5"/>
      <c r="D11" s="5"/>
      <c r="E11" s="5"/>
      <c r="F11" s="5"/>
      <c r="G11" s="26"/>
      <c r="H11" s="5"/>
      <c r="I11" s="45"/>
      <c r="J11" s="27"/>
      <c r="K11" s="46" t="str">
        <f aca="true">IF(C11="","",IF(OR(J11="Concluída",J11="Cancelada"),J11,IF(G11="","Sem prazo",IF(G11&lt;TODAY(),"Atrasada","No prazo"))))</f>
        <v/>
      </c>
    </row>
    <row r="12" customFormat="false" ht="30" hidden="false" customHeight="true" outlineLevel="0" collapsed="false">
      <c r="B12" s="22" t="n">
        <v>7</v>
      </c>
      <c r="C12" s="5"/>
      <c r="D12" s="5"/>
      <c r="E12" s="5"/>
      <c r="F12" s="5"/>
      <c r="G12" s="26"/>
      <c r="H12" s="5"/>
      <c r="I12" s="45"/>
      <c r="J12" s="27"/>
      <c r="K12" s="46" t="str">
        <f aca="true">IF(C12="","",IF(OR(J12="Concluída",J12="Cancelada"),J12,IF(G12="","Sem prazo",IF(G12&lt;TODAY(),"Atrasada","No prazo"))))</f>
        <v/>
      </c>
    </row>
    <row r="13" customFormat="false" ht="30" hidden="false" customHeight="true" outlineLevel="0" collapsed="false">
      <c r="B13" s="22" t="n">
        <v>8</v>
      </c>
      <c r="C13" s="5"/>
      <c r="D13" s="5"/>
      <c r="E13" s="5"/>
      <c r="F13" s="5"/>
      <c r="G13" s="26"/>
      <c r="H13" s="5"/>
      <c r="I13" s="45"/>
      <c r="J13" s="27"/>
      <c r="K13" s="46" t="str">
        <f aca="true">IF(C13="","",IF(OR(J13="Concluída",J13="Cancelada"),J13,IF(G13="","Sem prazo",IF(G13&lt;TODAY(),"Atrasada","No prazo"))))</f>
        <v/>
      </c>
    </row>
    <row r="14" customFormat="false" ht="30" hidden="false" customHeight="true" outlineLevel="0" collapsed="false">
      <c r="B14" s="22" t="n">
        <v>9</v>
      </c>
      <c r="C14" s="5"/>
      <c r="D14" s="5"/>
      <c r="E14" s="5"/>
      <c r="F14" s="5"/>
      <c r="G14" s="26"/>
      <c r="H14" s="5"/>
      <c r="I14" s="45"/>
      <c r="J14" s="27"/>
      <c r="K14" s="46" t="str">
        <f aca="true">IF(C14="","",IF(OR(J14="Concluída",J14="Cancelada"),J14,IF(G14="","Sem prazo",IF(G14&lt;TODAY(),"Atrasada","No prazo"))))</f>
        <v/>
      </c>
    </row>
    <row r="15" customFormat="false" ht="30" hidden="false" customHeight="true" outlineLevel="0" collapsed="false">
      <c r="B15" s="22" t="n">
        <v>10</v>
      </c>
      <c r="C15" s="5"/>
      <c r="D15" s="5"/>
      <c r="E15" s="5"/>
      <c r="F15" s="5"/>
      <c r="G15" s="26"/>
      <c r="H15" s="5"/>
      <c r="I15" s="45"/>
      <c r="J15" s="27"/>
      <c r="K15" s="46" t="str">
        <f aca="true">IF(C15="","",IF(OR(J15="Concluída",J15="Cancelada"),J15,IF(G15="","Sem prazo",IF(G15&lt;TODAY(),"Atrasada","No prazo"))))</f>
        <v/>
      </c>
    </row>
    <row r="16" customFormat="false" ht="30" hidden="false" customHeight="true" outlineLevel="0" collapsed="false">
      <c r="B16" s="22" t="n">
        <v>11</v>
      </c>
      <c r="C16" s="5"/>
      <c r="D16" s="5"/>
      <c r="E16" s="5"/>
      <c r="F16" s="5"/>
      <c r="G16" s="26"/>
      <c r="H16" s="5"/>
      <c r="I16" s="45"/>
      <c r="J16" s="27"/>
      <c r="K16" s="46" t="str">
        <f aca="true">IF(C16="","",IF(OR(J16="Concluída",J16="Cancelada"),J16,IF(G16="","Sem prazo",IF(G16&lt;TODAY(),"Atrasada","No prazo"))))</f>
        <v/>
      </c>
    </row>
    <row r="17" customFormat="false" ht="30" hidden="false" customHeight="true" outlineLevel="0" collapsed="false">
      <c r="B17" s="22" t="n">
        <v>12</v>
      </c>
      <c r="C17" s="5"/>
      <c r="D17" s="5"/>
      <c r="E17" s="5"/>
      <c r="F17" s="5"/>
      <c r="G17" s="26"/>
      <c r="H17" s="5"/>
      <c r="I17" s="45"/>
      <c r="J17" s="27"/>
      <c r="K17" s="46" t="str">
        <f aca="true">IF(C17="","",IF(OR(J17="Concluída",J17="Cancelada"),J17,IF(G17="","Sem prazo",IF(G17&lt;TODAY(),"Atrasada","No prazo"))))</f>
        <v/>
      </c>
    </row>
    <row r="18" customFormat="false" ht="30" hidden="false" customHeight="true" outlineLevel="0" collapsed="false">
      <c r="B18" s="22" t="n">
        <v>13</v>
      </c>
      <c r="C18" s="5"/>
      <c r="D18" s="5"/>
      <c r="E18" s="5"/>
      <c r="F18" s="5"/>
      <c r="G18" s="26"/>
      <c r="H18" s="5"/>
      <c r="I18" s="45"/>
      <c r="J18" s="27"/>
      <c r="K18" s="46" t="str">
        <f aca="true">IF(C18="","",IF(OR(J18="Concluída",J18="Cancelada"),J18,IF(G18="","Sem prazo",IF(G18&lt;TODAY(),"Atrasada","No prazo"))))</f>
        <v/>
      </c>
    </row>
    <row r="19" customFormat="false" ht="30" hidden="false" customHeight="true" outlineLevel="0" collapsed="false">
      <c r="B19" s="22" t="n">
        <v>14</v>
      </c>
      <c r="C19" s="5"/>
      <c r="D19" s="5"/>
      <c r="E19" s="5"/>
      <c r="F19" s="5"/>
      <c r="G19" s="26"/>
      <c r="H19" s="5"/>
      <c r="I19" s="45"/>
      <c r="J19" s="27"/>
      <c r="K19" s="46" t="str">
        <f aca="true">IF(C19="","",IF(OR(J19="Concluída",J19="Cancelada"),J19,IF(G19="","Sem prazo",IF(G19&lt;TODAY(),"Atrasada","No prazo"))))</f>
        <v/>
      </c>
    </row>
    <row r="20" customFormat="false" ht="30" hidden="false" customHeight="true" outlineLevel="0" collapsed="false">
      <c r="B20" s="22" t="n">
        <v>15</v>
      </c>
      <c r="C20" s="5"/>
      <c r="D20" s="5"/>
      <c r="E20" s="5"/>
      <c r="F20" s="5"/>
      <c r="G20" s="26"/>
      <c r="H20" s="5"/>
      <c r="I20" s="45"/>
      <c r="J20" s="27"/>
      <c r="K20" s="46" t="str">
        <f aca="true">IF(C20="","",IF(OR(J20="Concluída",J20="Cancelada"),J20,IF(G20="","Sem prazo",IF(G20&lt;TODAY(),"Atrasada","No prazo"))))</f>
        <v/>
      </c>
    </row>
    <row r="22" customFormat="false" ht="21.75" hidden="false" customHeight="true" outlineLevel="0" collapsed="false">
      <c r="B22" s="37" t="s">
        <v>119</v>
      </c>
      <c r="C22" s="37"/>
      <c r="D22" s="37"/>
      <c r="E22" s="37"/>
      <c r="F22" s="37"/>
      <c r="G22" s="37"/>
      <c r="H22" s="37"/>
      <c r="I22" s="37"/>
      <c r="J22" s="37"/>
      <c r="K22" s="37"/>
    </row>
    <row r="23" customFormat="false" ht="19.5" hidden="false" customHeight="true" outlineLevel="0" collapsed="false">
      <c r="B23" s="38" t="s">
        <v>143</v>
      </c>
      <c r="C23" s="38"/>
      <c r="D23" s="38"/>
      <c r="E23" s="38"/>
      <c r="F23" s="38"/>
      <c r="G23" s="38"/>
      <c r="H23" s="40" t="n">
        <f aca="false">COUNTA(C6:C20)</f>
        <v>0</v>
      </c>
    </row>
    <row r="24" customFormat="false" ht="19.5" hidden="false" customHeight="true" outlineLevel="0" collapsed="false">
      <c r="B24" s="38" t="s">
        <v>144</v>
      </c>
      <c r="C24" s="38"/>
      <c r="D24" s="38"/>
      <c r="E24" s="38"/>
      <c r="F24" s="38"/>
      <c r="G24" s="38"/>
      <c r="H24" s="40" t="n">
        <f aca="false">COUNTIF(J6:J20,"Concluída")</f>
        <v>0</v>
      </c>
    </row>
    <row r="25" customFormat="false" ht="19.5" hidden="false" customHeight="true" outlineLevel="0" collapsed="false">
      <c r="B25" s="38" t="s">
        <v>141</v>
      </c>
      <c r="C25" s="38"/>
      <c r="D25" s="38"/>
      <c r="E25" s="38"/>
      <c r="F25" s="38"/>
      <c r="G25" s="38"/>
      <c r="H25" s="40" t="n">
        <f aca="false">COUNTIF(J6:J20,"Em andamento")</f>
        <v>0</v>
      </c>
    </row>
    <row r="26" customFormat="false" ht="19.5" hidden="false" customHeight="true" outlineLevel="0" collapsed="false">
      <c r="B26" s="38" t="s">
        <v>145</v>
      </c>
      <c r="C26" s="38"/>
      <c r="D26" s="38"/>
      <c r="E26" s="38"/>
      <c r="F26" s="38"/>
      <c r="G26" s="38"/>
      <c r="H26" s="40" t="n">
        <f aca="false">COUNTIF(J6:J20,"Não iniciada")</f>
        <v>0</v>
      </c>
    </row>
    <row r="27" customFormat="false" ht="19.5" hidden="false" customHeight="true" outlineLevel="0" collapsed="false">
      <c r="B27" s="38" t="s">
        <v>146</v>
      </c>
      <c r="C27" s="38"/>
      <c r="D27" s="38"/>
      <c r="E27" s="38"/>
      <c r="F27" s="38"/>
      <c r="G27" s="38"/>
      <c r="H27" s="40" t="n">
        <f aca="false">COUNTIF(K6:K20,"Atrasada")</f>
        <v>0</v>
      </c>
    </row>
    <row r="28" customFormat="false" ht="19.5" hidden="false" customHeight="true" outlineLevel="0" collapsed="false">
      <c r="B28" s="38" t="s">
        <v>147</v>
      </c>
      <c r="C28" s="38"/>
      <c r="D28" s="38"/>
      <c r="E28" s="38"/>
      <c r="F28" s="38"/>
      <c r="G28" s="38"/>
      <c r="H28" s="40" t="n">
        <f aca="false">SUMPRODUCT((C6:C20&lt;&gt;"")*((E6:E20="")+(G6:G20="")&gt;0))</f>
        <v>0</v>
      </c>
    </row>
    <row r="29" customFormat="false" ht="19.5" hidden="false" customHeight="true" outlineLevel="0" collapsed="false">
      <c r="B29" s="38" t="s">
        <v>148</v>
      </c>
      <c r="C29" s="38"/>
      <c r="D29" s="38"/>
      <c r="E29" s="38"/>
      <c r="F29" s="38"/>
      <c r="G29" s="38"/>
      <c r="H29" s="47" t="n">
        <f aca="false">IF(H23=0,0,H24/H23)</f>
        <v>0</v>
      </c>
    </row>
    <row r="30" customFormat="false" ht="19.5" hidden="false" customHeight="true" outlineLevel="0" collapsed="false">
      <c r="B30" s="38" t="s">
        <v>149</v>
      </c>
      <c r="C30" s="38"/>
      <c r="D30" s="38"/>
      <c r="E30" s="38"/>
      <c r="F30" s="38"/>
      <c r="G30" s="38"/>
      <c r="H30" s="48" t="n">
        <f aca="false">SUM(I6:I20)</f>
        <v>0</v>
      </c>
    </row>
  </sheetData>
  <mergeCells count="11">
    <mergeCell ref="B1:K1"/>
    <mergeCell ref="B2:K2"/>
    <mergeCell ref="B22:K22"/>
    <mergeCell ref="B23:G23"/>
    <mergeCell ref="B24:G24"/>
    <mergeCell ref="B25:G25"/>
    <mergeCell ref="B26:G26"/>
    <mergeCell ref="B27:G27"/>
    <mergeCell ref="B28:G28"/>
    <mergeCell ref="B29:G29"/>
    <mergeCell ref="B30:G30"/>
  </mergeCells>
  <conditionalFormatting sqref="J6:J20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1">
      <formula>"Em andamento"</formula>
    </cfRule>
    <cfRule type="cellIs" priority="4" operator="equal" aboveAverage="0" equalAverage="0" bottom="0" percent="0" rank="0" text="" dxfId="2">
      <formula>"Não iniciada"</formula>
    </cfRule>
  </conditionalFormatting>
  <conditionalFormatting sqref="K6:K20">
    <cfRule type="cellIs" priority="5" operator="equal" aboveAverage="0" equalAverage="0" bottom="0" percent="0" rank="0" text="" dxfId="0">
      <formula>"Concluída"</formula>
    </cfRule>
    <cfRule type="cellIs" priority="6" operator="equal" aboveAverage="0" equalAverage="0" bottom="0" percent="0" rank="0" text="" dxfId="0">
      <formula>"No prazo"</formula>
    </cfRule>
    <cfRule type="cellIs" priority="7" operator="equal" aboveAverage="0" equalAverage="0" bottom="0" percent="0" rank="0" text="" dxfId="1">
      <formula>"Sem prazo"</formula>
    </cfRule>
    <cfRule type="cellIs" priority="8" operator="equal" aboveAverage="0" equalAverage="0" bottom="0" percent="0" rank="0" text="" dxfId="2">
      <formula>"Atrasada"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G6:G20" type="date">
      <formula1>36526</formula1>
      <formula2>0</formula2>
    </dataValidation>
    <dataValidation allowBlank="true" error="Escolha uma das opções da lista." errorStyle="stop" errorTitle="Valor inválido" operator="between" prompt="Não iniciada, Em andamento, Concluída ou Cancelada" promptTitle="Opções" showDropDown="false" showErrorMessage="true" showInputMessage="true" sqref="J6:J20" type="list">
      <formula1>"Não iniciada,Em andamento,Concluída,Cancelada"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6:I20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44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150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151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49" t="s">
        <v>59</v>
      </c>
      <c r="C4" s="49"/>
      <c r="D4" s="49"/>
      <c r="E4" s="49"/>
      <c r="F4" s="49"/>
      <c r="G4" s="49"/>
      <c r="H4" s="49"/>
    </row>
    <row r="5" customFormat="false" ht="21.75" hidden="false" customHeight="true" outlineLevel="0" collapsed="false">
      <c r="B5" s="4" t="s">
        <v>78</v>
      </c>
      <c r="C5" s="4"/>
      <c r="D5" s="50" t="str">
        <f aca="false">IF(PDCA!D8="","",PDCA!D8)</f>
        <v/>
      </c>
      <c r="E5" s="50"/>
      <c r="F5" s="50"/>
      <c r="G5" s="4" t="s">
        <v>152</v>
      </c>
      <c r="H5" s="6" t="str">
        <f aca="false">IF(PDCA!H8="","",PDCA!H8)</f>
        <v/>
      </c>
    </row>
    <row r="6" customFormat="false" ht="21.75" hidden="false" customHeight="true" outlineLevel="0" collapsed="false">
      <c r="B6" s="4" t="s">
        <v>153</v>
      </c>
      <c r="C6" s="4"/>
      <c r="D6" s="50" t="str">
        <f aca="false">IF(PDCA!D9="","",PDCA!D9)</f>
        <v/>
      </c>
      <c r="E6" s="50"/>
      <c r="F6" s="50"/>
      <c r="G6" s="4" t="s">
        <v>154</v>
      </c>
      <c r="H6" s="6" t="str">
        <f aca="false">IF(PDCA!H9="","",PDCA!H9)</f>
        <v/>
      </c>
    </row>
    <row r="7" customFormat="false" ht="21.75" hidden="false" customHeight="true" outlineLevel="0" collapsed="false">
      <c r="B7" s="4" t="s">
        <v>155</v>
      </c>
      <c r="C7" s="4"/>
      <c r="D7" s="50" t="str">
        <f aca="false">IF(PDCA!D10="","",PDCA!D10)</f>
        <v/>
      </c>
      <c r="E7" s="50"/>
      <c r="F7" s="50"/>
      <c r="G7" s="4" t="s">
        <v>83</v>
      </c>
      <c r="H7" s="51" t="str">
        <f aca="false">IF(PDCA!H10="","",PDCA!H10)</f>
        <v/>
      </c>
    </row>
    <row r="9" customFormat="false" ht="30" hidden="false" customHeight="true" outlineLevel="0" collapsed="false">
      <c r="B9" s="52" t="s">
        <v>85</v>
      </c>
      <c r="C9" s="52" t="s">
        <v>156</v>
      </c>
      <c r="D9" s="52" t="s">
        <v>157</v>
      </c>
      <c r="E9" s="52" t="s">
        <v>158</v>
      </c>
      <c r="F9" s="52" t="s">
        <v>159</v>
      </c>
      <c r="G9" s="52" t="s">
        <v>154</v>
      </c>
      <c r="H9" s="52" t="s">
        <v>160</v>
      </c>
    </row>
    <row r="10" customFormat="false" ht="24" hidden="false" customHeight="true" outlineLevel="0" collapsed="false">
      <c r="B10" s="18" t="s">
        <v>94</v>
      </c>
      <c r="C10" s="20" t="s">
        <v>161</v>
      </c>
      <c r="D10" s="18" t="s">
        <v>162</v>
      </c>
      <c r="E10" s="18" t="n">
        <v>81</v>
      </c>
      <c r="F10" s="20" t="s">
        <v>163</v>
      </c>
      <c r="G10" s="18" t="n">
        <v>95</v>
      </c>
      <c r="H10" s="18" t="s">
        <v>164</v>
      </c>
    </row>
    <row r="11" customFormat="false" ht="24" hidden="false" customHeight="true" outlineLevel="0" collapsed="false">
      <c r="B11" s="22" t="n">
        <v>1</v>
      </c>
      <c r="C11" s="5"/>
      <c r="D11" s="27"/>
      <c r="E11" s="27"/>
      <c r="F11" s="5"/>
      <c r="G11" s="46" t="e">
        <f aca="false">IF(OR($H$6="",E11=""),NA(),$H$6)</f>
        <v>#N/A</v>
      </c>
      <c r="H11" s="46" t="str">
        <f aca="false">IF(OR(E11="",$H$6=""),"",IF($D$7="Menor é melhor",IF(E11&lt;=$H$6,"Sim","Não"),IF(E11&gt;=$H$6,"Sim","Não")))</f>
        <v/>
      </c>
    </row>
    <row r="12" customFormat="false" ht="24" hidden="false" customHeight="true" outlineLevel="0" collapsed="false">
      <c r="B12" s="22" t="n">
        <v>2</v>
      </c>
      <c r="C12" s="5"/>
      <c r="D12" s="27"/>
      <c r="E12" s="27"/>
      <c r="F12" s="5"/>
      <c r="G12" s="46" t="e">
        <f aca="false">IF(OR($H$6="",E12=""),NA(),$H$6)</f>
        <v>#N/A</v>
      </c>
      <c r="H12" s="46" t="str">
        <f aca="false">IF(OR(E12="",$H$6=""),"",IF($D$7="Menor é melhor",IF(E12&lt;=$H$6,"Sim","Não"),IF(E12&gt;=$H$6,"Sim","Não")))</f>
        <v/>
      </c>
    </row>
    <row r="13" customFormat="false" ht="24" hidden="false" customHeight="true" outlineLevel="0" collapsed="false">
      <c r="B13" s="22" t="n">
        <v>3</v>
      </c>
      <c r="C13" s="5"/>
      <c r="D13" s="27"/>
      <c r="E13" s="27"/>
      <c r="F13" s="5"/>
      <c r="G13" s="46" t="e">
        <f aca="false">IF(OR($H$6="",E13=""),NA(),$H$6)</f>
        <v>#N/A</v>
      </c>
      <c r="H13" s="46" t="str">
        <f aca="false">IF(OR(E13="",$H$6=""),"",IF($D$7="Menor é melhor",IF(E13&lt;=$H$6,"Sim","Não"),IF(E13&gt;=$H$6,"Sim","Não")))</f>
        <v/>
      </c>
    </row>
    <row r="14" customFormat="false" ht="24" hidden="false" customHeight="true" outlineLevel="0" collapsed="false">
      <c r="B14" s="22" t="n">
        <v>4</v>
      </c>
      <c r="C14" s="5"/>
      <c r="D14" s="27"/>
      <c r="E14" s="27"/>
      <c r="F14" s="5"/>
      <c r="G14" s="46" t="e">
        <f aca="false">IF(OR($H$6="",E14=""),NA(),$H$6)</f>
        <v>#N/A</v>
      </c>
      <c r="H14" s="46" t="str">
        <f aca="false">IF(OR(E14="",$H$6=""),"",IF($D$7="Menor é melhor",IF(E14&lt;=$H$6,"Sim","Não"),IF(E14&gt;=$H$6,"Sim","Não")))</f>
        <v/>
      </c>
    </row>
    <row r="15" customFormat="false" ht="24" hidden="false" customHeight="true" outlineLevel="0" collapsed="false">
      <c r="B15" s="22" t="n">
        <v>5</v>
      </c>
      <c r="C15" s="5"/>
      <c r="D15" s="27"/>
      <c r="E15" s="27"/>
      <c r="F15" s="5"/>
      <c r="G15" s="46" t="e">
        <f aca="false">IF(OR($H$6="",E15=""),NA(),$H$6)</f>
        <v>#N/A</v>
      </c>
      <c r="H15" s="46" t="str">
        <f aca="false">IF(OR(E15="",$H$6=""),"",IF($D$7="Menor é melhor",IF(E15&lt;=$H$6,"Sim","Não"),IF(E15&gt;=$H$6,"Sim","Não")))</f>
        <v/>
      </c>
    </row>
    <row r="16" customFormat="false" ht="24" hidden="false" customHeight="true" outlineLevel="0" collapsed="false">
      <c r="B16" s="22" t="n">
        <v>6</v>
      </c>
      <c r="C16" s="5"/>
      <c r="D16" s="27"/>
      <c r="E16" s="27"/>
      <c r="F16" s="5"/>
      <c r="G16" s="46" t="e">
        <f aca="false">IF(OR($H$6="",E16=""),NA(),$H$6)</f>
        <v>#N/A</v>
      </c>
      <c r="H16" s="46" t="str">
        <f aca="false">IF(OR(E16="",$H$6=""),"",IF($D$7="Menor é melhor",IF(E16&lt;=$H$6,"Sim","Não"),IF(E16&gt;=$H$6,"Sim","Não")))</f>
        <v/>
      </c>
    </row>
    <row r="17" customFormat="false" ht="24" hidden="false" customHeight="true" outlineLevel="0" collapsed="false">
      <c r="B17" s="22" t="n">
        <v>7</v>
      </c>
      <c r="C17" s="5"/>
      <c r="D17" s="27"/>
      <c r="E17" s="27"/>
      <c r="F17" s="5"/>
      <c r="G17" s="46" t="e">
        <f aca="false">IF(OR($H$6="",E17=""),NA(),$H$6)</f>
        <v>#N/A</v>
      </c>
      <c r="H17" s="46" t="str">
        <f aca="false">IF(OR(E17="",$H$6=""),"",IF($D$7="Menor é melhor",IF(E17&lt;=$H$6,"Sim","Não"),IF(E17&gt;=$H$6,"Sim","Não")))</f>
        <v/>
      </c>
    </row>
    <row r="18" customFormat="false" ht="24" hidden="false" customHeight="true" outlineLevel="0" collapsed="false">
      <c r="B18" s="22" t="n">
        <v>8</v>
      </c>
      <c r="C18" s="5"/>
      <c r="D18" s="27"/>
      <c r="E18" s="27"/>
      <c r="F18" s="5"/>
      <c r="G18" s="46" t="e">
        <f aca="false">IF(OR($H$6="",E18=""),NA(),$H$6)</f>
        <v>#N/A</v>
      </c>
      <c r="H18" s="46" t="str">
        <f aca="false">IF(OR(E18="",$H$6=""),"",IF($D$7="Menor é melhor",IF(E18&lt;=$H$6,"Sim","Não"),IF(E18&gt;=$H$6,"Sim","Não")))</f>
        <v/>
      </c>
    </row>
    <row r="19" customFormat="false" ht="24" hidden="false" customHeight="true" outlineLevel="0" collapsed="false">
      <c r="B19" s="22" t="n">
        <v>9</v>
      </c>
      <c r="C19" s="5"/>
      <c r="D19" s="27"/>
      <c r="E19" s="27"/>
      <c r="F19" s="5"/>
      <c r="G19" s="46" t="e">
        <f aca="false">IF(OR($H$6="",E19=""),NA(),$H$6)</f>
        <v>#N/A</v>
      </c>
      <c r="H19" s="46" t="str">
        <f aca="false">IF(OR(E19="",$H$6=""),"",IF($D$7="Menor é melhor",IF(E19&lt;=$H$6,"Sim","Não"),IF(E19&gt;=$H$6,"Sim","Não")))</f>
        <v/>
      </c>
    </row>
    <row r="20" customFormat="false" ht="24" hidden="false" customHeight="true" outlineLevel="0" collapsed="false">
      <c r="B20" s="22" t="n">
        <v>10</v>
      </c>
      <c r="C20" s="5"/>
      <c r="D20" s="27"/>
      <c r="E20" s="27"/>
      <c r="F20" s="5"/>
      <c r="G20" s="46" t="e">
        <f aca="false">IF(OR($H$6="",E20=""),NA(),$H$6)</f>
        <v>#N/A</v>
      </c>
      <c r="H20" s="46" t="str">
        <f aca="false">IF(OR(E20="",$H$6=""),"",IF($D$7="Menor é melhor",IF(E20&lt;=$H$6,"Sim","Não"),IF(E20&gt;=$H$6,"Sim","Não")))</f>
        <v/>
      </c>
    </row>
    <row r="21" customFormat="false" ht="24" hidden="false" customHeight="true" outlineLevel="0" collapsed="false">
      <c r="B21" s="22" t="n">
        <v>11</v>
      </c>
      <c r="C21" s="5"/>
      <c r="D21" s="27"/>
      <c r="E21" s="27"/>
      <c r="F21" s="5"/>
      <c r="G21" s="46" t="e">
        <f aca="false">IF(OR($H$6="",E21=""),NA(),$H$6)</f>
        <v>#N/A</v>
      </c>
      <c r="H21" s="46" t="str">
        <f aca="false">IF(OR(E21="",$H$6=""),"",IF($D$7="Menor é melhor",IF(E21&lt;=$H$6,"Sim","Não"),IF(E21&gt;=$H$6,"Sim","Não")))</f>
        <v/>
      </c>
    </row>
    <row r="22" customFormat="false" ht="24" hidden="false" customHeight="true" outlineLevel="0" collapsed="false">
      <c r="B22" s="22" t="n">
        <v>12</v>
      </c>
      <c r="C22" s="5"/>
      <c r="D22" s="27"/>
      <c r="E22" s="27"/>
      <c r="F22" s="5"/>
      <c r="G22" s="46" t="e">
        <f aca="false">IF(OR($H$6="",E22=""),NA(),$H$6)</f>
        <v>#N/A</v>
      </c>
      <c r="H22" s="46" t="str">
        <f aca="false">IF(OR(E22="",$H$6=""),"",IF($D$7="Menor é melhor",IF(E22&lt;=$H$6,"Sim","Não"),IF(E22&gt;=$H$6,"Sim","Não")))</f>
        <v/>
      </c>
    </row>
    <row r="23" customFormat="false" ht="24" hidden="false" customHeight="true" outlineLevel="0" collapsed="false">
      <c r="B23" s="22" t="n">
        <v>13</v>
      </c>
      <c r="C23" s="5"/>
      <c r="D23" s="27"/>
      <c r="E23" s="27"/>
      <c r="F23" s="5"/>
      <c r="G23" s="46" t="e">
        <f aca="false">IF(OR($H$6="",E23=""),NA(),$H$6)</f>
        <v>#N/A</v>
      </c>
      <c r="H23" s="46" t="str">
        <f aca="false">IF(OR(E23="",$H$6=""),"",IF($D$7="Menor é melhor",IF(E23&lt;=$H$6,"Sim","Não"),IF(E23&gt;=$H$6,"Sim","Não")))</f>
        <v/>
      </c>
    </row>
    <row r="24" customFormat="false" ht="24" hidden="false" customHeight="true" outlineLevel="0" collapsed="false">
      <c r="B24" s="22" t="n">
        <v>14</v>
      </c>
      <c r="C24" s="5"/>
      <c r="D24" s="27"/>
      <c r="E24" s="27"/>
      <c r="F24" s="5"/>
      <c r="G24" s="46" t="e">
        <f aca="false">IF(OR($H$6="",E24=""),NA(),$H$6)</f>
        <v>#N/A</v>
      </c>
      <c r="H24" s="46" t="str">
        <f aca="false">IF(OR(E24="",$H$6=""),"",IF($D$7="Menor é melhor",IF(E24&lt;=$H$6,"Sim","Não"),IF(E24&gt;=$H$6,"Sim","Não")))</f>
        <v/>
      </c>
    </row>
    <row r="25" customFormat="false" ht="24" hidden="false" customHeight="true" outlineLevel="0" collapsed="false">
      <c r="B25" s="22" t="n">
        <v>15</v>
      </c>
      <c r="C25" s="5"/>
      <c r="D25" s="27"/>
      <c r="E25" s="27"/>
      <c r="F25" s="5"/>
      <c r="G25" s="46" t="e">
        <f aca="false">IF(OR($H$6="",E25=""),NA(),$H$6)</f>
        <v>#N/A</v>
      </c>
      <c r="H25" s="46" t="str">
        <f aca="false">IF(OR(E25="",$H$6=""),"",IF($D$7="Menor é melhor",IF(E25&lt;=$H$6,"Sim","Não"),IF(E25&gt;=$H$6,"Sim","Não")))</f>
        <v/>
      </c>
    </row>
    <row r="26" customFormat="false" ht="24" hidden="false" customHeight="true" outlineLevel="0" collapsed="false">
      <c r="B26" s="22" t="n">
        <v>16</v>
      </c>
      <c r="C26" s="5"/>
      <c r="D26" s="27"/>
      <c r="E26" s="27"/>
      <c r="F26" s="5"/>
      <c r="G26" s="46" t="e">
        <f aca="false">IF(OR($H$6="",E26=""),NA(),$H$6)</f>
        <v>#N/A</v>
      </c>
      <c r="H26" s="46" t="str">
        <f aca="false">IF(OR(E26="",$H$6=""),"",IF($D$7="Menor é melhor",IF(E26&lt;=$H$6,"Sim","Não"),IF(E26&gt;=$H$6,"Sim","Não")))</f>
        <v/>
      </c>
    </row>
    <row r="28" customFormat="false" ht="21.75" hidden="false" customHeight="true" outlineLevel="0" collapsed="false">
      <c r="B28" s="37" t="s">
        <v>119</v>
      </c>
      <c r="C28" s="37"/>
      <c r="D28" s="37"/>
      <c r="E28" s="37"/>
      <c r="F28" s="37"/>
      <c r="G28" s="37"/>
      <c r="H28" s="37"/>
    </row>
    <row r="29" customFormat="false" ht="19.5" hidden="false" customHeight="true" outlineLevel="0" collapsed="false">
      <c r="B29" s="38" t="s">
        <v>165</v>
      </c>
      <c r="C29" s="38"/>
      <c r="D29" s="38"/>
      <c r="E29" s="38"/>
      <c r="F29" s="40" t="n">
        <f aca="false">COUNT(E11:E26)</f>
        <v>0</v>
      </c>
    </row>
    <row r="30" customFormat="false" ht="19.5" hidden="false" customHeight="true" outlineLevel="0" collapsed="false">
      <c r="B30" s="38" t="s">
        <v>166</v>
      </c>
      <c r="C30" s="38"/>
      <c r="D30" s="38"/>
      <c r="E30" s="38"/>
      <c r="F30" s="53" t="str">
        <f aca="false">IFERROR(AVERAGEIF(D11:D26,"Antes",E11:E26),"Sem dados")</f>
        <v>Sem dados</v>
      </c>
    </row>
    <row r="31" customFormat="false" ht="19.5" hidden="false" customHeight="true" outlineLevel="0" collapsed="false">
      <c r="B31" s="38" t="s">
        <v>167</v>
      </c>
      <c r="C31" s="38"/>
      <c r="D31" s="38"/>
      <c r="E31" s="38"/>
      <c r="F31" s="53" t="str">
        <f aca="false">IFERROR(AVERAGEIF(D11:D26,"Depois",E11:E26),"Sem dados")</f>
        <v>Sem dados</v>
      </c>
    </row>
    <row r="32" customFormat="false" ht="19.5" hidden="false" customHeight="true" outlineLevel="0" collapsed="false">
      <c r="B32" s="38" t="s">
        <v>168</v>
      </c>
      <c r="C32" s="38"/>
      <c r="D32" s="38"/>
      <c r="E32" s="38"/>
      <c r="F32" s="42" t="str">
        <f aca="false">IF(AND(ISNUMBER(F30),ISNUMBER(F31)),F31-F30,"Sem dados")</f>
        <v>Sem dados</v>
      </c>
    </row>
    <row r="33" customFormat="false" ht="19.5" hidden="false" customHeight="true" outlineLevel="0" collapsed="false">
      <c r="B33" s="38" t="s">
        <v>169</v>
      </c>
      <c r="C33" s="38"/>
      <c r="D33" s="38"/>
      <c r="E33" s="38"/>
      <c r="F33" s="40" t="n">
        <f aca="false">COUNTIFS(D11:D26,"Depois",H11:H26,"Sim")</f>
        <v>0</v>
      </c>
    </row>
    <row r="34" customFormat="false" ht="19.5" hidden="false" customHeight="true" outlineLevel="0" collapsed="false">
      <c r="B34" s="38" t="s">
        <v>61</v>
      </c>
      <c r="C34" s="38"/>
      <c r="D34" s="38"/>
      <c r="E34" s="38"/>
      <c r="F34" s="40" t="str">
        <f aca="false">IF(OR(NOT(ISNUMBER(F31)),$H$6=""),"Sem dados para concluir",IF(OR(AND($D$7="Menor é melhor",F31&lt;=$H$6),AND($D$7&lt;&gt;"Menor é melhor",F31&gt;=$H$6)),"Meta atingida: padronize","Meta não atingida: volte à análise das causas"))</f>
        <v>Sem dados para concluir</v>
      </c>
    </row>
    <row r="36" customFormat="false" ht="21.75" hidden="false" customHeight="true" outlineLevel="0" collapsed="false">
      <c r="B36" s="37" t="s">
        <v>170</v>
      </c>
      <c r="C36" s="37"/>
      <c r="D36" s="37"/>
      <c r="E36" s="37"/>
      <c r="F36" s="37"/>
      <c r="G36" s="37"/>
      <c r="H36" s="37"/>
    </row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</sheetData>
  <mergeCells count="17">
    <mergeCell ref="B1:H1"/>
    <mergeCell ref="B2:H2"/>
    <mergeCell ref="B4:H4"/>
    <mergeCell ref="B5:C5"/>
    <mergeCell ref="D5:F5"/>
    <mergeCell ref="B6:C6"/>
    <mergeCell ref="D6:F6"/>
    <mergeCell ref="B7:C7"/>
    <mergeCell ref="D7:F7"/>
    <mergeCell ref="B28:H28"/>
    <mergeCell ref="B29:E29"/>
    <mergeCell ref="B30:E30"/>
    <mergeCell ref="B31:E31"/>
    <mergeCell ref="B32:E32"/>
    <mergeCell ref="B33:E33"/>
    <mergeCell ref="B34:E34"/>
    <mergeCell ref="B36:H36"/>
  </mergeCells>
  <conditionalFormatting sqref="H11:H2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2">
      <formula>"Não"</formula>
    </cfRule>
  </conditionalFormatting>
  <conditionalFormatting sqref="G11:G26">
    <cfRule type="expression" priority="4" aboveAverage="0" equalAverage="0" bottom="0" percent="0" rank="0" text="" dxfId="3">
      <formula>ISNA(G11)</formula>
    </cfRule>
  </conditionalFormatting>
  <conditionalFormatting sqref="F34">
    <cfRule type="cellIs" priority="5" operator="equal" aboveAverage="0" equalAverage="0" bottom="0" percent="0" rank="0" text="" dxfId="0">
      <formula>"Meta atingida: padronize"</formula>
    </cfRule>
    <cfRule type="cellIs" priority="6" operator="equal" aboveAverage="0" equalAverage="0" bottom="0" percent="0" rank="0" text="" dxfId="1">
      <formula>"Meta não atingida: volte à análise das causas"</formula>
    </cfRule>
  </conditionalFormatting>
  <dataValidations count="2">
    <dataValidation allowBlank="true" error="Escolha uma das opções da lista." errorStyle="stop" errorTitle="Valor inválido" operator="between" prompt="Antes, Durante ou Depois das ações" promptTitle="Opções" showDropDown="false" showErrorMessage="true" showInputMessage="true" sqref="D11:D26" type="list">
      <formula1>"Antes,Durante,Depois"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1:E26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171</v>
      </c>
      <c r="C1" s="1"/>
      <c r="D1" s="1"/>
      <c r="E1" s="1"/>
    </row>
    <row r="2" customFormat="false" ht="19.5" hidden="false" customHeight="true" outlineLevel="0" collapsed="false">
      <c r="B2" s="2" t="s">
        <v>172</v>
      </c>
      <c r="C2" s="2"/>
      <c r="D2" s="2"/>
      <c r="E2" s="2"/>
    </row>
    <row r="4" customFormat="false" ht="21.75" hidden="false" customHeight="true" outlineLevel="0" collapsed="false">
      <c r="B4" s="17" t="s">
        <v>85</v>
      </c>
      <c r="C4" s="17" t="s">
        <v>173</v>
      </c>
      <c r="D4" s="17" t="s">
        <v>93</v>
      </c>
      <c r="E4" s="17" t="s">
        <v>159</v>
      </c>
    </row>
    <row r="5" customFormat="false" ht="30" hidden="false" customHeight="true" outlineLevel="0" collapsed="false">
      <c r="B5" s="22" t="n">
        <v>1</v>
      </c>
      <c r="C5" s="6" t="s">
        <v>174</v>
      </c>
      <c r="D5" s="27"/>
      <c r="E5" s="5"/>
    </row>
    <row r="6" customFormat="false" ht="30" hidden="false" customHeight="true" outlineLevel="0" collapsed="false">
      <c r="B6" s="22" t="n">
        <v>2</v>
      </c>
      <c r="C6" s="6" t="s">
        <v>175</v>
      </c>
      <c r="D6" s="27"/>
      <c r="E6" s="5"/>
    </row>
    <row r="7" customFormat="false" ht="30" hidden="false" customHeight="true" outlineLevel="0" collapsed="false">
      <c r="B7" s="22" t="n">
        <v>3</v>
      </c>
      <c r="C7" s="6" t="s">
        <v>176</v>
      </c>
      <c r="D7" s="27"/>
      <c r="E7" s="5"/>
    </row>
    <row r="8" customFormat="false" ht="30" hidden="false" customHeight="true" outlineLevel="0" collapsed="false">
      <c r="B8" s="22" t="n">
        <v>4</v>
      </c>
      <c r="C8" s="6" t="s">
        <v>177</v>
      </c>
      <c r="D8" s="27"/>
      <c r="E8" s="5"/>
    </row>
    <row r="9" customFormat="false" ht="30" hidden="false" customHeight="true" outlineLevel="0" collapsed="false">
      <c r="B9" s="22" t="n">
        <v>5</v>
      </c>
      <c r="C9" s="6" t="s">
        <v>178</v>
      </c>
      <c r="D9" s="27"/>
      <c r="E9" s="5"/>
    </row>
    <row r="10" customFormat="false" ht="30" hidden="false" customHeight="true" outlineLevel="0" collapsed="false">
      <c r="B10" s="22" t="n">
        <v>6</v>
      </c>
      <c r="C10" s="6" t="s">
        <v>179</v>
      </c>
      <c r="D10" s="27"/>
      <c r="E10" s="5"/>
    </row>
    <row r="11" customFormat="false" ht="30" hidden="false" customHeight="true" outlineLevel="0" collapsed="false">
      <c r="B11" s="22" t="n">
        <v>7</v>
      </c>
      <c r="C11" s="6" t="s">
        <v>180</v>
      </c>
      <c r="D11" s="27"/>
      <c r="E11" s="5"/>
    </row>
    <row r="12" customFormat="false" ht="30" hidden="false" customHeight="true" outlineLevel="0" collapsed="false">
      <c r="B12" s="22" t="n">
        <v>8</v>
      </c>
      <c r="C12" s="6" t="s">
        <v>181</v>
      </c>
      <c r="D12" s="27"/>
      <c r="E12" s="5"/>
    </row>
    <row r="13" customFormat="false" ht="30" hidden="false" customHeight="true" outlineLevel="0" collapsed="false">
      <c r="B13" s="22" t="n">
        <v>9</v>
      </c>
      <c r="C13" s="6" t="s">
        <v>182</v>
      </c>
      <c r="D13" s="27"/>
      <c r="E13" s="5"/>
    </row>
    <row r="14" customFormat="false" ht="30" hidden="false" customHeight="true" outlineLevel="0" collapsed="false">
      <c r="B14" s="22" t="n">
        <v>10</v>
      </c>
      <c r="C14" s="6" t="s">
        <v>183</v>
      </c>
      <c r="D14" s="27"/>
      <c r="E14" s="5"/>
    </row>
    <row r="15" customFormat="false" ht="30" hidden="false" customHeight="true" outlineLevel="0" collapsed="false">
      <c r="B15" s="22" t="n">
        <v>11</v>
      </c>
      <c r="C15" s="6" t="s">
        <v>184</v>
      </c>
      <c r="D15" s="27"/>
      <c r="E15" s="5"/>
    </row>
    <row r="16" customFormat="false" ht="30" hidden="false" customHeight="true" outlineLevel="0" collapsed="false">
      <c r="B16" s="22" t="n">
        <v>12</v>
      </c>
      <c r="C16" s="6" t="s">
        <v>185</v>
      </c>
      <c r="D16" s="27"/>
      <c r="E16" s="5"/>
    </row>
    <row r="18" customFormat="false" ht="21.75" hidden="false" customHeight="true" outlineLevel="0" collapsed="false">
      <c r="B18" s="37" t="s">
        <v>119</v>
      </c>
      <c r="C18" s="37"/>
      <c r="D18" s="37"/>
      <c r="E18" s="37"/>
    </row>
    <row r="19" customFormat="false" ht="19.5" hidden="false" customHeight="true" outlineLevel="0" collapsed="false">
      <c r="B19" s="38" t="s">
        <v>186</v>
      </c>
      <c r="C19" s="38"/>
      <c r="D19" s="40" t="n">
        <f aca="false">COUNTIF(D5:D16,"Sim")</f>
        <v>0</v>
      </c>
    </row>
    <row r="20" customFormat="false" ht="19.5" hidden="false" customHeight="true" outlineLevel="0" collapsed="false">
      <c r="B20" s="38" t="s">
        <v>187</v>
      </c>
      <c r="C20" s="38"/>
      <c r="D20" s="40" t="n">
        <f aca="false">COUNTIF(D5:D16,"Parcial")</f>
        <v>0</v>
      </c>
    </row>
    <row r="21" customFormat="false" ht="19.5" hidden="false" customHeight="true" outlineLevel="0" collapsed="false">
      <c r="B21" s="38" t="s">
        <v>188</v>
      </c>
      <c r="C21" s="38"/>
      <c r="D21" s="40" t="n">
        <f aca="false">COUNTIF(D5:D16,"Não")</f>
        <v>0</v>
      </c>
    </row>
    <row r="22" customFormat="false" ht="19.5" hidden="false" customHeight="true" outlineLevel="0" collapsed="false">
      <c r="B22" s="38" t="s">
        <v>189</v>
      </c>
      <c r="C22" s="38"/>
      <c r="D22" s="40" t="n">
        <f aca="false">COUNTBLANK(D5:D16)</f>
        <v>12</v>
      </c>
    </row>
    <row r="23" customFormat="false" ht="19.5" hidden="false" customHeight="true" outlineLevel="0" collapsed="false">
      <c r="B23" s="38" t="s">
        <v>190</v>
      </c>
      <c r="C23" s="38"/>
      <c r="D23" s="47" t="n">
        <f aca="false">D19/ROWS(D5:D16)</f>
        <v>0</v>
      </c>
    </row>
    <row r="24" customFormat="false" ht="19.5" hidden="false" customHeight="true" outlineLevel="0" collapsed="false">
      <c r="B24" s="38" t="s">
        <v>136</v>
      </c>
      <c r="C24" s="38"/>
      <c r="D24" s="40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191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192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17" t="s">
        <v>85</v>
      </c>
      <c r="C4" s="17" t="s">
        <v>193</v>
      </c>
      <c r="D4" s="17" t="s">
        <v>194</v>
      </c>
      <c r="E4" s="17" t="s">
        <v>195</v>
      </c>
      <c r="F4" s="17" t="s">
        <v>196</v>
      </c>
      <c r="G4" s="17" t="s">
        <v>91</v>
      </c>
      <c r="H4" s="17" t="s">
        <v>197</v>
      </c>
      <c r="I4" s="17" t="s">
        <v>93</v>
      </c>
    </row>
    <row r="5" customFormat="false" ht="31.5" hidden="false" customHeight="true" outlineLevel="0" collapsed="false">
      <c r="B5" s="18" t="s">
        <v>94</v>
      </c>
      <c r="C5" s="20" t="s">
        <v>198</v>
      </c>
      <c r="D5" s="18" t="s">
        <v>199</v>
      </c>
      <c r="E5" s="20" t="s">
        <v>200</v>
      </c>
      <c r="F5" s="20" t="s">
        <v>201</v>
      </c>
      <c r="G5" s="20" t="s">
        <v>99</v>
      </c>
      <c r="H5" s="21" t="n">
        <v>46325</v>
      </c>
      <c r="I5" s="18" t="s">
        <v>202</v>
      </c>
    </row>
    <row r="6" customFormat="false" ht="30" hidden="false" customHeight="true" outlineLevel="0" collapsed="false">
      <c r="B6" s="22" t="n">
        <v>1</v>
      </c>
      <c r="C6" s="5"/>
      <c r="D6" s="27"/>
      <c r="E6" s="5"/>
      <c r="F6" s="5"/>
      <c r="G6" s="5"/>
      <c r="H6" s="26"/>
      <c r="I6" s="27"/>
    </row>
    <row r="7" customFormat="false" ht="30" hidden="false" customHeight="true" outlineLevel="0" collapsed="false">
      <c r="B7" s="22" t="n">
        <v>2</v>
      </c>
      <c r="C7" s="5"/>
      <c r="D7" s="27"/>
      <c r="E7" s="5"/>
      <c r="F7" s="5"/>
      <c r="G7" s="5"/>
      <c r="H7" s="26"/>
      <c r="I7" s="27"/>
    </row>
    <row r="8" customFormat="false" ht="30" hidden="false" customHeight="true" outlineLevel="0" collapsed="false">
      <c r="B8" s="22" t="n">
        <v>3</v>
      </c>
      <c r="C8" s="5"/>
      <c r="D8" s="27"/>
      <c r="E8" s="5"/>
      <c r="F8" s="5"/>
      <c r="G8" s="5"/>
      <c r="H8" s="26"/>
      <c r="I8" s="27"/>
    </row>
    <row r="9" customFormat="false" ht="30" hidden="false" customHeight="true" outlineLevel="0" collapsed="false">
      <c r="B9" s="22" t="n">
        <v>4</v>
      </c>
      <c r="C9" s="5"/>
      <c r="D9" s="27"/>
      <c r="E9" s="5"/>
      <c r="F9" s="5"/>
      <c r="G9" s="5"/>
      <c r="H9" s="26"/>
      <c r="I9" s="27"/>
    </row>
    <row r="10" customFormat="false" ht="30" hidden="false" customHeight="true" outlineLevel="0" collapsed="false">
      <c r="B10" s="22" t="n">
        <v>5</v>
      </c>
      <c r="C10" s="5"/>
      <c r="D10" s="27"/>
      <c r="E10" s="5"/>
      <c r="F10" s="5"/>
      <c r="G10" s="5"/>
      <c r="H10" s="26"/>
      <c r="I10" s="27"/>
    </row>
    <row r="11" customFormat="false" ht="30" hidden="false" customHeight="true" outlineLevel="0" collapsed="false">
      <c r="B11" s="22" t="n">
        <v>6</v>
      </c>
      <c r="C11" s="5"/>
      <c r="D11" s="27"/>
      <c r="E11" s="5"/>
      <c r="F11" s="5"/>
      <c r="G11" s="5"/>
      <c r="H11" s="26"/>
      <c r="I11" s="27"/>
    </row>
    <row r="12" customFormat="false" ht="30" hidden="false" customHeight="true" outlineLevel="0" collapsed="false">
      <c r="B12" s="22" t="n">
        <v>7</v>
      </c>
      <c r="C12" s="5"/>
      <c r="D12" s="27"/>
      <c r="E12" s="5"/>
      <c r="F12" s="5"/>
      <c r="G12" s="5"/>
      <c r="H12" s="26"/>
      <c r="I12" s="27"/>
    </row>
    <row r="13" customFormat="false" ht="30" hidden="false" customHeight="true" outlineLevel="0" collapsed="false">
      <c r="B13" s="22" t="n">
        <v>8</v>
      </c>
      <c r="C13" s="5"/>
      <c r="D13" s="27"/>
      <c r="E13" s="5"/>
      <c r="F13" s="5"/>
      <c r="G13" s="5"/>
      <c r="H13" s="26"/>
      <c r="I13" s="27"/>
    </row>
    <row r="14" customFormat="false" ht="30" hidden="false" customHeight="true" outlineLevel="0" collapsed="false">
      <c r="B14" s="22" t="n">
        <v>9</v>
      </c>
      <c r="C14" s="5"/>
      <c r="D14" s="27"/>
      <c r="E14" s="5"/>
      <c r="F14" s="5"/>
      <c r="G14" s="5"/>
      <c r="H14" s="26"/>
      <c r="I14" s="27"/>
    </row>
    <row r="15" customFormat="false" ht="30" hidden="false" customHeight="true" outlineLevel="0" collapsed="false">
      <c r="B15" s="22" t="n">
        <v>10</v>
      </c>
      <c r="C15" s="5"/>
      <c r="D15" s="27"/>
      <c r="E15" s="5"/>
      <c r="F15" s="5"/>
      <c r="G15" s="5"/>
      <c r="H15" s="26"/>
      <c r="I15" s="27"/>
    </row>
    <row r="16" customFormat="false" ht="30" hidden="false" customHeight="true" outlineLevel="0" collapsed="false">
      <c r="B16" s="22" t="n">
        <v>11</v>
      </c>
      <c r="C16" s="5"/>
      <c r="D16" s="27"/>
      <c r="E16" s="5"/>
      <c r="F16" s="5"/>
      <c r="G16" s="5"/>
      <c r="H16" s="26"/>
      <c r="I16" s="27"/>
    </row>
    <row r="17" customFormat="false" ht="30" hidden="false" customHeight="true" outlineLevel="0" collapsed="false">
      <c r="B17" s="22" t="n">
        <v>12</v>
      </c>
      <c r="C17" s="5"/>
      <c r="D17" s="27"/>
      <c r="E17" s="5"/>
      <c r="F17" s="5"/>
      <c r="G17" s="5"/>
      <c r="H17" s="26"/>
      <c r="I17" s="27"/>
    </row>
    <row r="18" customFormat="false" ht="30" hidden="false" customHeight="true" outlineLevel="0" collapsed="false">
      <c r="B18" s="22" t="n">
        <v>13</v>
      </c>
      <c r="C18" s="5"/>
      <c r="D18" s="27"/>
      <c r="E18" s="5"/>
      <c r="F18" s="5"/>
      <c r="G18" s="5"/>
      <c r="H18" s="26"/>
      <c r="I18" s="27"/>
    </row>
    <row r="19" customFormat="false" ht="30" hidden="false" customHeight="true" outlineLevel="0" collapsed="false">
      <c r="B19" s="22" t="n">
        <v>14</v>
      </c>
      <c r="C19" s="5"/>
      <c r="D19" s="27"/>
      <c r="E19" s="5"/>
      <c r="F19" s="5"/>
      <c r="G19" s="5"/>
      <c r="H19" s="26"/>
      <c r="I19" s="27"/>
    </row>
    <row r="20" customFormat="false" ht="30" hidden="false" customHeight="true" outlineLevel="0" collapsed="false">
      <c r="B20" s="22" t="n">
        <v>15</v>
      </c>
      <c r="C20" s="5"/>
      <c r="D20" s="27"/>
      <c r="E20" s="5"/>
      <c r="F20" s="5"/>
      <c r="G20" s="5"/>
      <c r="H20" s="26"/>
      <c r="I20" s="27"/>
    </row>
    <row r="22" customFormat="false" ht="21.75" hidden="false" customHeight="true" outlineLevel="0" collapsed="false">
      <c r="B22" s="37" t="s">
        <v>119</v>
      </c>
      <c r="C22" s="37"/>
      <c r="D22" s="37"/>
      <c r="E22" s="37"/>
      <c r="F22" s="37"/>
      <c r="G22" s="37"/>
      <c r="H22" s="37"/>
      <c r="I22" s="37"/>
    </row>
    <row r="23" customFormat="false" ht="19.5" hidden="false" customHeight="true" outlineLevel="0" collapsed="false">
      <c r="B23" s="38" t="s">
        <v>203</v>
      </c>
      <c r="C23" s="38"/>
      <c r="D23" s="38"/>
      <c r="E23" s="38"/>
      <c r="F23" s="38"/>
      <c r="G23" s="40" t="n">
        <f aca="false">COUNTA(C6:C20)</f>
        <v>0</v>
      </c>
    </row>
    <row r="24" customFormat="false" ht="19.5" hidden="false" customHeight="true" outlineLevel="0" collapsed="false">
      <c r="B24" s="38" t="s">
        <v>204</v>
      </c>
      <c r="C24" s="38"/>
      <c r="D24" s="38"/>
      <c r="E24" s="38"/>
      <c r="F24" s="38"/>
      <c r="G24" s="40" t="n">
        <f aca="false">COUNTIF(I6:I20,"Aberta")</f>
        <v>0</v>
      </c>
    </row>
    <row r="25" customFormat="false" ht="19.5" hidden="false" customHeight="true" outlineLevel="0" collapsed="false">
      <c r="B25" s="38" t="s">
        <v>141</v>
      </c>
      <c r="C25" s="38"/>
      <c r="D25" s="38"/>
      <c r="E25" s="38"/>
      <c r="F25" s="38"/>
      <c r="G25" s="40" t="n">
        <f aca="false">COUNTIF(I6:I20,"Em andamento")</f>
        <v>0</v>
      </c>
    </row>
    <row r="26" customFormat="false" ht="19.5" hidden="false" customHeight="true" outlineLevel="0" collapsed="false">
      <c r="B26" s="38" t="s">
        <v>205</v>
      </c>
      <c r="C26" s="38"/>
      <c r="D26" s="38"/>
      <c r="E26" s="38"/>
      <c r="F26" s="38"/>
      <c r="G26" s="40" t="n">
        <f aca="false">COUNTIF(I6:I20,"Concluída")</f>
        <v>0</v>
      </c>
    </row>
    <row r="27" customFormat="false" ht="19.5" hidden="false" customHeight="true" outlineLevel="0" collapsed="false">
      <c r="B27" s="38" t="s">
        <v>206</v>
      </c>
      <c r="C27" s="38"/>
      <c r="D27" s="38"/>
      <c r="E27" s="38"/>
      <c r="F27" s="38"/>
      <c r="G27" s="40" t="n">
        <f aca="false">COUNTIFS(D6:D20,"Padrão",I6:I20,"&lt;&gt;Concluída")+COUNTIFS(D6:D20,"Treinamento",I6:I20,"&lt;&gt;Concluída")</f>
        <v>0</v>
      </c>
    </row>
    <row r="28" customFormat="false" ht="19.5" hidden="false" customHeight="true" outlineLevel="0" collapsed="false">
      <c r="B28" s="38" t="s">
        <v>207</v>
      </c>
      <c r="C28" s="38"/>
      <c r="D28" s="38"/>
      <c r="E28" s="38"/>
      <c r="F28" s="38"/>
      <c r="G28" s="40" t="n">
        <f aca="false">COUNTIF(D6:D20,"Lição aprendida")</f>
        <v>0</v>
      </c>
    </row>
  </sheetData>
  <mergeCells count="9">
    <mergeCell ref="B1:I1"/>
    <mergeCell ref="B2:I2"/>
    <mergeCell ref="B22:I22"/>
    <mergeCell ref="B23:F23"/>
    <mergeCell ref="B24:F24"/>
    <mergeCell ref="B25:F25"/>
    <mergeCell ref="B26:F26"/>
    <mergeCell ref="B27:F27"/>
    <mergeCell ref="B28:F28"/>
  </mergeCells>
  <conditionalFormatting sqref="I6:I20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1">
      <formula>"Em andamento"</formula>
    </cfRule>
    <cfRule type="cellIs" priority="4" operator="equal" aboveAverage="0" equalAverage="0" bottom="0" percent="0" rank="0" text="" dxfId="2">
      <formula>"Aberta"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H6:H20" type="date">
      <formula1>36526</formula1>
      <formula2>0</formula2>
    </dataValidation>
    <dataValidation allowBlank="true" error="Escolha uma das opções da lista." errorStyle="stop" errorTitle="Valor inválido" operator="between" prompt="Padrão, Treinamento, Pendência ou Lição aprendida" promptTitle="Opções" showDropDown="false" showErrorMessage="true" showInputMessage="true" sqref="D6:D20" type="list">
      <formula1>"Padrão,Treinamento,Pendência,Lição aprendida"</formula1>
      <formula2>0</formula2>
    </dataValidation>
    <dataValidation allowBlank="true" error="Escolha uma das opções da lista." errorStyle="stop" errorTitle="Valor inválido" operator="between" prompt="Aberta, Em andamento ou Concluída" promptTitle="Opções" showDropDown="false" showErrorMessage="true" showInputMessage="true" sqref="I6:I20" type="list">
      <formula1>"Aberta,Em andamento,Concluída"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44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69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208</v>
      </c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B4" s="4" t="s">
        <v>71</v>
      </c>
      <c r="C4" s="4"/>
      <c r="D4" s="54" t="s">
        <v>209</v>
      </c>
      <c r="E4" s="54"/>
      <c r="F4" s="54"/>
      <c r="G4" s="4" t="s">
        <v>72</v>
      </c>
      <c r="H4" s="54" t="s">
        <v>99</v>
      </c>
      <c r="I4" s="54"/>
      <c r="J4" s="54"/>
    </row>
    <row r="5" customFormat="false" ht="21.75" hidden="false" customHeight="true" outlineLevel="0" collapsed="false">
      <c r="B5" s="4" t="s">
        <v>73</v>
      </c>
      <c r="C5" s="4"/>
      <c r="D5" s="54" t="s">
        <v>210</v>
      </c>
      <c r="E5" s="54"/>
      <c r="F5" s="54"/>
      <c r="G5" s="4" t="s">
        <v>74</v>
      </c>
      <c r="H5" s="55" t="n">
        <v>46188</v>
      </c>
      <c r="I5" s="55"/>
      <c r="J5" s="55"/>
    </row>
    <row r="6" customFormat="false" ht="21.75" hidden="false" customHeight="true" outlineLevel="0" collapsed="false">
      <c r="B6" s="4" t="s">
        <v>75</v>
      </c>
      <c r="C6" s="4"/>
      <c r="D6" s="54" t="s">
        <v>211</v>
      </c>
      <c r="E6" s="54"/>
      <c r="F6" s="54"/>
      <c r="G6" s="4" t="s">
        <v>76</v>
      </c>
      <c r="H6" s="54" t="s">
        <v>212</v>
      </c>
      <c r="I6" s="54"/>
      <c r="J6" s="54"/>
    </row>
    <row r="7" customFormat="false" ht="30" hidden="false" customHeight="true" outlineLevel="0" collapsed="false">
      <c r="B7" s="4" t="s">
        <v>77</v>
      </c>
      <c r="C7" s="4"/>
      <c r="D7" s="54" t="s">
        <v>213</v>
      </c>
      <c r="E7" s="54"/>
      <c r="F7" s="54"/>
      <c r="G7" s="54"/>
      <c r="H7" s="54"/>
      <c r="I7" s="54"/>
      <c r="J7" s="54"/>
    </row>
    <row r="8" customFormat="false" ht="21.75" hidden="false" customHeight="true" outlineLevel="0" collapsed="false">
      <c r="B8" s="4" t="s">
        <v>78</v>
      </c>
      <c r="C8" s="4"/>
      <c r="D8" s="54" t="s">
        <v>214</v>
      </c>
      <c r="E8" s="54"/>
      <c r="F8" s="54"/>
      <c r="G8" s="4" t="s">
        <v>79</v>
      </c>
      <c r="H8" s="54" t="s">
        <v>215</v>
      </c>
      <c r="I8" s="54"/>
      <c r="J8" s="54"/>
    </row>
    <row r="9" customFormat="false" ht="21.75" hidden="false" customHeight="true" outlineLevel="0" collapsed="false">
      <c r="B9" s="4" t="s">
        <v>80</v>
      </c>
      <c r="C9" s="4"/>
      <c r="D9" s="54" t="n">
        <v>82</v>
      </c>
      <c r="E9" s="54"/>
      <c r="F9" s="54"/>
      <c r="G9" s="4" t="s">
        <v>81</v>
      </c>
      <c r="H9" s="54" t="n">
        <v>95</v>
      </c>
      <c r="I9" s="54"/>
      <c r="J9" s="54"/>
    </row>
    <row r="10" customFormat="false" ht="21.75" hidden="false" customHeight="true" outlineLevel="0" collapsed="false">
      <c r="B10" s="4" t="s">
        <v>82</v>
      </c>
      <c r="C10" s="4"/>
      <c r="D10" s="54" t="s">
        <v>216</v>
      </c>
      <c r="E10" s="54"/>
      <c r="F10" s="54"/>
      <c r="G10" s="4" t="s">
        <v>83</v>
      </c>
      <c r="H10" s="55" t="n">
        <v>46271</v>
      </c>
      <c r="I10" s="55"/>
      <c r="J10" s="55"/>
    </row>
    <row r="11" customFormat="false" ht="30" hidden="false" customHeight="true" outlineLevel="0" collapsed="false">
      <c r="B11" s="4" t="s">
        <v>84</v>
      </c>
      <c r="C11" s="4"/>
      <c r="D11" s="54" t="s">
        <v>217</v>
      </c>
      <c r="E11" s="54"/>
      <c r="F11" s="54"/>
      <c r="G11" s="54"/>
      <c r="H11" s="54"/>
      <c r="I11" s="54"/>
      <c r="J11" s="54"/>
    </row>
    <row r="13" customFormat="false" ht="21.75" hidden="false" customHeight="true" outlineLevel="0" collapsed="false">
      <c r="B13" s="17" t="s">
        <v>85</v>
      </c>
      <c r="C13" s="17" t="s">
        <v>86</v>
      </c>
      <c r="D13" s="17" t="s">
        <v>87</v>
      </c>
      <c r="E13" s="17" t="s">
        <v>88</v>
      </c>
      <c r="F13" s="17" t="s">
        <v>89</v>
      </c>
      <c r="G13" s="17" t="s">
        <v>90</v>
      </c>
      <c r="H13" s="17" t="s">
        <v>91</v>
      </c>
      <c r="I13" s="17" t="s">
        <v>92</v>
      </c>
      <c r="J13" s="17" t="s">
        <v>93</v>
      </c>
    </row>
    <row r="14" customFormat="false" ht="30" hidden="false" customHeight="true" outlineLevel="0" collapsed="false">
      <c r="B14" s="20" t="s">
        <v>218</v>
      </c>
      <c r="C14" s="20"/>
      <c r="D14" s="20"/>
      <c r="E14" s="20"/>
      <c r="F14" s="20"/>
      <c r="G14" s="20"/>
      <c r="H14" s="20"/>
      <c r="I14" s="20"/>
      <c r="J14" s="20"/>
    </row>
    <row r="15" customFormat="false" ht="61.5" hidden="false" customHeight="true" outlineLevel="0" collapsed="false">
      <c r="B15" s="22" t="n">
        <v>1</v>
      </c>
      <c r="C15" s="23" t="s">
        <v>101</v>
      </c>
      <c r="D15" s="24" t="s">
        <v>95</v>
      </c>
      <c r="E15" s="25" t="s">
        <v>96</v>
      </c>
      <c r="F15" s="9" t="s">
        <v>219</v>
      </c>
      <c r="G15" s="9" t="s">
        <v>98</v>
      </c>
      <c r="H15" s="9" t="s">
        <v>99</v>
      </c>
      <c r="I15" s="56" t="n">
        <v>46199</v>
      </c>
      <c r="J15" s="57" t="s">
        <v>100</v>
      </c>
    </row>
    <row r="16" customFormat="false" ht="61.5" hidden="false" customHeight="true" outlineLevel="0" collapsed="false">
      <c r="B16" s="22" t="n">
        <v>2</v>
      </c>
      <c r="C16" s="23"/>
      <c r="D16" s="24" t="s">
        <v>102</v>
      </c>
      <c r="E16" s="25" t="s">
        <v>103</v>
      </c>
      <c r="F16" s="9" t="s">
        <v>220</v>
      </c>
      <c r="G16" s="9" t="s">
        <v>221</v>
      </c>
      <c r="H16" s="9" t="s">
        <v>222</v>
      </c>
      <c r="I16" s="56" t="n">
        <v>46213</v>
      </c>
      <c r="J16" s="57" t="s">
        <v>100</v>
      </c>
    </row>
    <row r="17" customFormat="false" ht="61.5" hidden="false" customHeight="true" outlineLevel="0" collapsed="false">
      <c r="B17" s="22" t="n">
        <v>3</v>
      </c>
      <c r="C17" s="23"/>
      <c r="D17" s="24" t="s">
        <v>104</v>
      </c>
      <c r="E17" s="25" t="s">
        <v>105</v>
      </c>
      <c r="F17" s="9" t="s">
        <v>223</v>
      </c>
      <c r="G17" s="9" t="s">
        <v>224</v>
      </c>
      <c r="H17" s="9" t="s">
        <v>211</v>
      </c>
      <c r="I17" s="56" t="n">
        <v>46220</v>
      </c>
      <c r="J17" s="57" t="s">
        <v>100</v>
      </c>
    </row>
    <row r="18" customFormat="false" ht="61.5" hidden="false" customHeight="true" outlineLevel="0" collapsed="false">
      <c r="B18" s="22" t="n">
        <v>4</v>
      </c>
      <c r="C18" s="23"/>
      <c r="D18" s="24" t="s">
        <v>106</v>
      </c>
      <c r="E18" s="25" t="s">
        <v>107</v>
      </c>
      <c r="F18" s="9" t="s">
        <v>225</v>
      </c>
      <c r="G18" s="9" t="s">
        <v>226</v>
      </c>
      <c r="H18" s="9" t="s">
        <v>99</v>
      </c>
      <c r="I18" s="56" t="n">
        <v>46227</v>
      </c>
      <c r="J18" s="57" t="s">
        <v>100</v>
      </c>
    </row>
    <row r="19" customFormat="false" ht="61.5" hidden="false" customHeight="true" outlineLevel="0" collapsed="false">
      <c r="B19" s="22" t="n">
        <v>5</v>
      </c>
      <c r="C19" s="28" t="s">
        <v>108</v>
      </c>
      <c r="D19" s="29" t="s">
        <v>109</v>
      </c>
      <c r="E19" s="30" t="s">
        <v>110</v>
      </c>
      <c r="F19" s="11" t="s">
        <v>227</v>
      </c>
      <c r="G19" s="11" t="s">
        <v>228</v>
      </c>
      <c r="H19" s="11" t="s">
        <v>222</v>
      </c>
      <c r="I19" s="58" t="n">
        <v>46241</v>
      </c>
      <c r="J19" s="59" t="s">
        <v>100</v>
      </c>
    </row>
    <row r="20" customFormat="false" ht="61.5" hidden="false" customHeight="true" outlineLevel="0" collapsed="false">
      <c r="B20" s="22" t="n">
        <v>6</v>
      </c>
      <c r="C20" s="31" t="s">
        <v>111</v>
      </c>
      <c r="D20" s="32" t="s">
        <v>112</v>
      </c>
      <c r="E20" s="33" t="s">
        <v>113</v>
      </c>
      <c r="F20" s="13" t="s">
        <v>229</v>
      </c>
      <c r="G20" s="13" t="s">
        <v>230</v>
      </c>
      <c r="H20" s="13" t="s">
        <v>99</v>
      </c>
      <c r="I20" s="60" t="n">
        <v>46273</v>
      </c>
      <c r="J20" s="61" t="s">
        <v>100</v>
      </c>
    </row>
    <row r="21" customFormat="false" ht="61.5" hidden="false" customHeight="true" outlineLevel="0" collapsed="false">
      <c r="B21" s="22" t="n">
        <v>7</v>
      </c>
      <c r="C21" s="34" t="s">
        <v>114</v>
      </c>
      <c r="D21" s="35" t="s">
        <v>115</v>
      </c>
      <c r="E21" s="36" t="s">
        <v>116</v>
      </c>
      <c r="F21" s="15" t="s">
        <v>231</v>
      </c>
      <c r="G21" s="15" t="s">
        <v>232</v>
      </c>
      <c r="H21" s="15" t="s">
        <v>99</v>
      </c>
      <c r="I21" s="62" t="n">
        <v>46280</v>
      </c>
      <c r="J21" s="63" t="s">
        <v>100</v>
      </c>
    </row>
    <row r="22" customFormat="false" ht="61.5" hidden="false" customHeight="true" outlineLevel="0" collapsed="false">
      <c r="B22" s="22" t="n">
        <v>8</v>
      </c>
      <c r="C22" s="34"/>
      <c r="D22" s="35" t="s">
        <v>117</v>
      </c>
      <c r="E22" s="36" t="s">
        <v>118</v>
      </c>
      <c r="F22" s="15" t="s">
        <v>233</v>
      </c>
      <c r="G22" s="15" t="s">
        <v>234</v>
      </c>
      <c r="H22" s="15" t="s">
        <v>211</v>
      </c>
      <c r="I22" s="62" t="n">
        <v>46283</v>
      </c>
      <c r="J22" s="63" t="s">
        <v>100</v>
      </c>
    </row>
    <row r="24" customFormat="false" ht="21.75" hidden="false" customHeight="true" outlineLevel="0" collapsed="false">
      <c r="B24" s="37" t="s">
        <v>119</v>
      </c>
      <c r="C24" s="37"/>
      <c r="D24" s="37"/>
      <c r="E24" s="37"/>
      <c r="F24" s="37"/>
      <c r="G24" s="37"/>
      <c r="H24" s="37"/>
      <c r="I24" s="37"/>
      <c r="J24" s="37"/>
    </row>
    <row r="25" customFormat="false" ht="19.5" hidden="false" customHeight="true" outlineLevel="0" collapsed="false">
      <c r="B25" s="38" t="s">
        <v>120</v>
      </c>
      <c r="C25" s="38"/>
      <c r="D25" s="38"/>
      <c r="E25" s="38"/>
      <c r="F25" s="39" t="n">
        <f aca="false">COUNTIF(J15:J22,"Concluída")</f>
        <v>8</v>
      </c>
    </row>
    <row r="26" customFormat="false" ht="19.5" hidden="false" customHeight="true" outlineLevel="0" collapsed="false">
      <c r="B26" s="38" t="s">
        <v>121</v>
      </c>
      <c r="C26" s="38"/>
      <c r="D26" s="38"/>
      <c r="E26" s="38"/>
      <c r="F26" s="40" t="str">
        <f aca="false">IF(COUNTIF(J15:J18,"Concluída")&lt;4,"P — Planejar",IF(J19&lt;&gt;"Concluída","D — Executar",IF(J20&lt;&gt;"Concluída","C — Verificar",IF(COUNTIF(J21:J22,"Concluída")&lt;2,"A — Agir","Ciclo concluído"))))</f>
        <v>Ciclo concluído</v>
      </c>
    </row>
    <row r="27" customFormat="false" ht="19.5" hidden="false" customHeight="true" outlineLevel="0" collapsed="false">
      <c r="B27" s="38" t="s">
        <v>122</v>
      </c>
      <c r="C27" s="38"/>
      <c r="D27" s="38"/>
      <c r="E27" s="38"/>
      <c r="F27" s="41" t="str">
        <f aca="false">IF(SUMPRODUCT((J16:J22="Concluída")*(J15:J21&lt;&gt;"Concluída"))&gt;0,"Há etapa concluída antes da anterior","OK")</f>
        <v>OK</v>
      </c>
    </row>
    <row r="28" customFormat="false" ht="19.5" hidden="false" customHeight="true" outlineLevel="0" collapsed="false">
      <c r="B28" s="38" t="s">
        <v>123</v>
      </c>
      <c r="C28" s="38"/>
      <c r="D28" s="38"/>
      <c r="E28" s="38"/>
      <c r="F28" s="41" t="str">
        <f aca="false">IF(SUMPRODUCT((J15:J22="Concluída")*(F15:F22=""))&gt;0,"Há etapa concluída sem registro","OK")</f>
        <v>OK</v>
      </c>
    </row>
    <row r="29" customFormat="false" ht="19.5" hidden="false" customHeight="true" outlineLevel="0" collapsed="false">
      <c r="B29" s="38" t="s">
        <v>124</v>
      </c>
      <c r="C29" s="38"/>
      <c r="D29" s="38"/>
      <c r="E29" s="38"/>
      <c r="F29" s="41" t="str">
        <f aca="false">IF(OR(D9="",H9=""),"Informe a situação inicial e a meta",IF(D10="","Informe o sentido do indicador",IF(OR(AND(D10="Menor é melhor",H9&gt;=D9),AND(D10="Maior é melhor",H9&lt;=D9)),"A meta não melhora a situação inicial","OK")))</f>
        <v>OK</v>
      </c>
    </row>
    <row r="30" customFormat="false" ht="19.5" hidden="false" customHeight="true" outlineLevel="0" collapsed="false">
      <c r="B30" s="38" t="s">
        <v>125</v>
      </c>
      <c r="C30" s="38"/>
      <c r="D30" s="38"/>
      <c r="E30" s="38"/>
      <c r="F30" s="42" t="n">
        <f aca="false">IF(OR(D9="",H9=""),"",H9-D9)</f>
        <v>13</v>
      </c>
    </row>
    <row r="31" customFormat="false" ht="19.5" hidden="false" customHeight="true" outlineLevel="0" collapsed="false">
      <c r="B31" s="38" t="s">
        <v>126</v>
      </c>
      <c r="C31" s="38"/>
      <c r="D31" s="38"/>
      <c r="E31" s="38"/>
      <c r="F31" s="43" t="n">
        <f aca="false">COUNTA(D4,H4,D5,H5,D6,H6,D7,D8,H8,D9,H9,D10,H10,D11)</f>
        <v>14</v>
      </c>
    </row>
    <row r="33" customFormat="false" ht="21.75" hidden="false" customHeight="true" outlineLevel="0" collapsed="false">
      <c r="B33" s="64" t="s">
        <v>235</v>
      </c>
      <c r="C33" s="64"/>
      <c r="D33" s="64"/>
      <c r="E33" s="64"/>
      <c r="F33" s="64"/>
      <c r="G33" s="64"/>
      <c r="H33" s="64"/>
    </row>
    <row r="34" customFormat="false" ht="30" hidden="false" customHeight="true" outlineLevel="0" collapsed="false">
      <c r="B34" s="52" t="s">
        <v>85</v>
      </c>
      <c r="C34" s="52" t="s">
        <v>156</v>
      </c>
      <c r="D34" s="52" t="s">
        <v>157</v>
      </c>
      <c r="E34" s="52" t="s">
        <v>158</v>
      </c>
      <c r="F34" s="52" t="s">
        <v>159</v>
      </c>
      <c r="G34" s="52" t="s">
        <v>154</v>
      </c>
      <c r="H34" s="52" t="s">
        <v>160</v>
      </c>
    </row>
    <row r="35" customFormat="false" ht="24" hidden="false" customHeight="true" outlineLevel="0" collapsed="false">
      <c r="B35" s="22" t="n">
        <v>1</v>
      </c>
      <c r="C35" s="54" t="s">
        <v>161</v>
      </c>
      <c r="D35" s="65" t="s">
        <v>162</v>
      </c>
      <c r="E35" s="65" t="n">
        <v>81</v>
      </c>
      <c r="F35" s="54"/>
      <c r="G35" s="46" t="n">
        <f aca="false">IF(OR($H$9="",E35=""),NA(),$H$9)</f>
        <v>95</v>
      </c>
      <c r="H35" s="46" t="str">
        <f aca="false">IF(OR(E35="",$H$9=""),"",IF($D$10="Menor é melhor",IF(E35&lt;=$H$9,"Sim","Não"),IF(E35&gt;=$H$9,"Sim","Não")))</f>
        <v>Não</v>
      </c>
    </row>
    <row r="36" customFormat="false" ht="24" hidden="false" customHeight="true" outlineLevel="0" collapsed="false">
      <c r="B36" s="22" t="n">
        <v>2</v>
      </c>
      <c r="C36" s="54" t="s">
        <v>236</v>
      </c>
      <c r="D36" s="65" t="s">
        <v>162</v>
      </c>
      <c r="E36" s="65" t="n">
        <v>83</v>
      </c>
      <c r="F36" s="54"/>
      <c r="G36" s="46" t="n">
        <f aca="false">IF(OR($H$9="",E36=""),NA(),$H$9)</f>
        <v>95</v>
      </c>
      <c r="H36" s="46" t="str">
        <f aca="false">IF(OR(E36="",$H$9=""),"",IF($D$10="Menor é melhor",IF(E36&lt;=$H$9,"Sim","Não"),IF(E36&gt;=$H$9,"Sim","Não")))</f>
        <v>Não</v>
      </c>
    </row>
    <row r="37" customFormat="false" ht="24" hidden="false" customHeight="true" outlineLevel="0" collapsed="false">
      <c r="B37" s="22" t="n">
        <v>3</v>
      </c>
      <c r="C37" s="54" t="s">
        <v>237</v>
      </c>
      <c r="D37" s="65" t="s">
        <v>162</v>
      </c>
      <c r="E37" s="65" t="n">
        <v>80</v>
      </c>
      <c r="F37" s="54" t="s">
        <v>238</v>
      </c>
      <c r="G37" s="46" t="n">
        <f aca="false">IF(OR($H$9="",E37=""),NA(),$H$9)</f>
        <v>95</v>
      </c>
      <c r="H37" s="46" t="str">
        <f aca="false">IF(OR(E37="",$H$9=""),"",IF($D$10="Menor é melhor",IF(E37&lt;=$H$9,"Sim","Não"),IF(E37&gt;=$H$9,"Sim","Não")))</f>
        <v>Não</v>
      </c>
    </row>
    <row r="38" customFormat="false" ht="24" hidden="false" customHeight="true" outlineLevel="0" collapsed="false">
      <c r="B38" s="22" t="n">
        <v>4</v>
      </c>
      <c r="C38" s="54" t="s">
        <v>239</v>
      </c>
      <c r="D38" s="65" t="s">
        <v>162</v>
      </c>
      <c r="E38" s="65" t="n">
        <v>84</v>
      </c>
      <c r="F38" s="54"/>
      <c r="G38" s="46" t="n">
        <f aca="false">IF(OR($H$9="",E38=""),NA(),$H$9)</f>
        <v>95</v>
      </c>
      <c r="H38" s="46" t="str">
        <f aca="false">IF(OR(E38="",$H$9=""),"",IF($D$10="Menor é melhor",IF(E38&lt;=$H$9,"Sim","Não"),IF(E38&gt;=$H$9,"Sim","Não")))</f>
        <v>Não</v>
      </c>
    </row>
    <row r="39" customFormat="false" ht="24" hidden="false" customHeight="true" outlineLevel="0" collapsed="false">
      <c r="B39" s="22" t="n">
        <v>5</v>
      </c>
      <c r="C39" s="54" t="s">
        <v>240</v>
      </c>
      <c r="D39" s="65" t="s">
        <v>162</v>
      </c>
      <c r="E39" s="65" t="n">
        <v>82</v>
      </c>
      <c r="F39" s="54"/>
      <c r="G39" s="46" t="n">
        <f aca="false">IF(OR($H$9="",E39=""),NA(),$H$9)</f>
        <v>95</v>
      </c>
      <c r="H39" s="46" t="str">
        <f aca="false">IF(OR(E39="",$H$9=""),"",IF($D$10="Menor é melhor",IF(E39&lt;=$H$9,"Sim","Não"),IF(E39&gt;=$H$9,"Sim","Não")))</f>
        <v>Não</v>
      </c>
    </row>
    <row r="40" customFormat="false" ht="24" hidden="false" customHeight="true" outlineLevel="0" collapsed="false">
      <c r="B40" s="22" t="n">
        <v>6</v>
      </c>
      <c r="C40" s="54" t="s">
        <v>241</v>
      </c>
      <c r="D40" s="65" t="s">
        <v>162</v>
      </c>
      <c r="E40" s="65" t="n">
        <v>82</v>
      </c>
      <c r="F40" s="54"/>
      <c r="G40" s="46" t="n">
        <f aca="false">IF(OR($H$9="",E40=""),NA(),$H$9)</f>
        <v>95</v>
      </c>
      <c r="H40" s="46" t="str">
        <f aca="false">IF(OR(E40="",$H$9=""),"",IF($D$10="Menor é melhor",IF(E40&lt;=$H$9,"Sim","Não"),IF(E40&gt;=$H$9,"Sim","Não")))</f>
        <v>Não</v>
      </c>
    </row>
    <row r="41" customFormat="false" ht="24" hidden="false" customHeight="true" outlineLevel="0" collapsed="false">
      <c r="B41" s="22" t="n">
        <v>7</v>
      </c>
      <c r="C41" s="54" t="s">
        <v>242</v>
      </c>
      <c r="D41" s="65" t="s">
        <v>243</v>
      </c>
      <c r="E41" s="65" t="n">
        <v>86</v>
      </c>
      <c r="F41" s="54" t="s">
        <v>244</v>
      </c>
      <c r="G41" s="46" t="n">
        <f aca="false">IF(OR($H$9="",E41=""),NA(),$H$9)</f>
        <v>95</v>
      </c>
      <c r="H41" s="46" t="str">
        <f aca="false">IF(OR(E41="",$H$9=""),"",IF($D$10="Menor é melhor",IF(E41&lt;=$H$9,"Sim","Não"),IF(E41&gt;=$H$9,"Sim","Não")))</f>
        <v>Não</v>
      </c>
    </row>
    <row r="42" customFormat="false" ht="24" hidden="false" customHeight="true" outlineLevel="0" collapsed="false">
      <c r="B42" s="22" t="n">
        <v>8</v>
      </c>
      <c r="C42" s="54" t="s">
        <v>245</v>
      </c>
      <c r="D42" s="65" t="s">
        <v>243</v>
      </c>
      <c r="E42" s="65" t="n">
        <v>90</v>
      </c>
      <c r="F42" s="54" t="s">
        <v>246</v>
      </c>
      <c r="G42" s="46" t="n">
        <f aca="false">IF(OR($H$9="",E42=""),NA(),$H$9)</f>
        <v>95</v>
      </c>
      <c r="H42" s="46" t="str">
        <f aca="false">IF(OR(E42="",$H$9=""),"",IF($D$10="Menor é melhor",IF(E42&lt;=$H$9,"Sim","Não"),IF(E42&gt;=$H$9,"Sim","Não")))</f>
        <v>Não</v>
      </c>
    </row>
    <row r="43" customFormat="false" ht="24" hidden="false" customHeight="true" outlineLevel="0" collapsed="false">
      <c r="B43" s="22" t="n">
        <v>9</v>
      </c>
      <c r="C43" s="54" t="s">
        <v>247</v>
      </c>
      <c r="D43" s="65" t="s">
        <v>248</v>
      </c>
      <c r="E43" s="65" t="n">
        <v>94</v>
      </c>
      <c r="F43" s="54"/>
      <c r="G43" s="46" t="n">
        <f aca="false">IF(OR($H$9="",E43=""),NA(),$H$9)</f>
        <v>95</v>
      </c>
      <c r="H43" s="46" t="str">
        <f aca="false">IF(OR(E43="",$H$9=""),"",IF($D$10="Menor é melhor",IF(E43&lt;=$H$9,"Sim","Não"),IF(E43&gt;=$H$9,"Sim","Não")))</f>
        <v>Não</v>
      </c>
    </row>
    <row r="44" customFormat="false" ht="24" hidden="false" customHeight="true" outlineLevel="0" collapsed="false">
      <c r="B44" s="22" t="n">
        <v>10</v>
      </c>
      <c r="C44" s="54" t="s">
        <v>249</v>
      </c>
      <c r="D44" s="65" t="s">
        <v>248</v>
      </c>
      <c r="E44" s="65" t="n">
        <v>96</v>
      </c>
      <c r="F44" s="54"/>
      <c r="G44" s="46" t="n">
        <f aca="false">IF(OR($H$9="",E44=""),NA(),$H$9)</f>
        <v>95</v>
      </c>
      <c r="H44" s="46" t="str">
        <f aca="false">IF(OR(E44="",$H$9=""),"",IF($D$10="Menor é melhor",IF(E44&lt;=$H$9,"Sim","Não"),IF(E44&gt;=$H$9,"Sim","Não")))</f>
        <v>Sim</v>
      </c>
    </row>
    <row r="45" customFormat="false" ht="24" hidden="false" customHeight="true" outlineLevel="0" collapsed="false">
      <c r="B45" s="22" t="n">
        <v>11</v>
      </c>
      <c r="C45" s="54" t="s">
        <v>250</v>
      </c>
      <c r="D45" s="65" t="s">
        <v>248</v>
      </c>
      <c r="E45" s="65" t="n">
        <v>95</v>
      </c>
      <c r="F45" s="54"/>
      <c r="G45" s="46" t="n">
        <f aca="false">IF(OR($H$9="",E45=""),NA(),$H$9)</f>
        <v>95</v>
      </c>
      <c r="H45" s="46" t="str">
        <f aca="false">IF(OR(E45="",$H$9=""),"",IF($D$10="Menor é melhor",IF(E45&lt;=$H$9,"Sim","Não"),IF(E45&gt;=$H$9,"Sim","Não")))</f>
        <v>Sim</v>
      </c>
    </row>
    <row r="46" customFormat="false" ht="24" hidden="false" customHeight="true" outlineLevel="0" collapsed="false">
      <c r="B46" s="22" t="n">
        <v>12</v>
      </c>
      <c r="C46" s="54" t="s">
        <v>251</v>
      </c>
      <c r="D46" s="65" t="s">
        <v>248</v>
      </c>
      <c r="E46" s="65" t="n">
        <v>97</v>
      </c>
      <c r="F46" s="54"/>
      <c r="G46" s="46" t="n">
        <f aca="false">IF(OR($H$9="",E46=""),NA(),$H$9)</f>
        <v>95</v>
      </c>
      <c r="H46" s="46" t="str">
        <f aca="false">IF(OR(E46="",$H$9=""),"",IF($D$10="Menor é melhor",IF(E46&lt;=$H$9,"Sim","Não"),IF(E46&gt;=$H$9,"Sim","Não")))</f>
        <v>Sim</v>
      </c>
    </row>
    <row r="47" customFormat="false" ht="24" hidden="false" customHeight="true" outlineLevel="0" collapsed="false">
      <c r="B47" s="22" t="n">
        <v>13</v>
      </c>
      <c r="C47" s="54"/>
      <c r="D47" s="65"/>
      <c r="E47" s="65"/>
      <c r="F47" s="54"/>
      <c r="G47" s="46" t="e">
        <f aca="false">IF(OR($H$9="",E47=""),NA(),$H$9)</f>
        <v>#N/A</v>
      </c>
      <c r="H47" s="46" t="str">
        <f aca="false">IF(OR(E47="",$H$9=""),"",IF($D$10="Menor é melhor",IF(E47&lt;=$H$9,"Sim","Não"),IF(E47&gt;=$H$9,"Sim","Não")))</f>
        <v/>
      </c>
    </row>
    <row r="48" customFormat="false" ht="24" hidden="false" customHeight="true" outlineLevel="0" collapsed="false">
      <c r="B48" s="22" t="n">
        <v>14</v>
      </c>
      <c r="C48" s="54"/>
      <c r="D48" s="65"/>
      <c r="E48" s="65"/>
      <c r="F48" s="54"/>
      <c r="G48" s="46" t="e">
        <f aca="false">IF(OR($H$9="",E48=""),NA(),$H$9)</f>
        <v>#N/A</v>
      </c>
      <c r="H48" s="46" t="str">
        <f aca="false">IF(OR(E48="",$H$9=""),"",IF($D$10="Menor é melhor",IF(E48&lt;=$H$9,"Sim","Não"),IF(E48&gt;=$H$9,"Sim","Não")))</f>
        <v/>
      </c>
    </row>
    <row r="49" customFormat="false" ht="24" hidden="false" customHeight="true" outlineLevel="0" collapsed="false">
      <c r="B49" s="22" t="n">
        <v>15</v>
      </c>
      <c r="C49" s="54"/>
      <c r="D49" s="65"/>
      <c r="E49" s="65"/>
      <c r="F49" s="54"/>
      <c r="G49" s="46" t="e">
        <f aca="false">IF(OR($H$9="",E49=""),NA(),$H$9)</f>
        <v>#N/A</v>
      </c>
      <c r="H49" s="46" t="str">
        <f aca="false">IF(OR(E49="",$H$9=""),"",IF($D$10="Menor é melhor",IF(E49&lt;=$H$9,"Sim","Não"),IF(E49&gt;=$H$9,"Sim","Não")))</f>
        <v/>
      </c>
    </row>
    <row r="50" customFormat="false" ht="24" hidden="false" customHeight="true" outlineLevel="0" collapsed="false">
      <c r="B50" s="22" t="n">
        <v>16</v>
      </c>
      <c r="C50" s="54"/>
      <c r="D50" s="65"/>
      <c r="E50" s="65"/>
      <c r="F50" s="54"/>
      <c r="G50" s="46" t="e">
        <f aca="false">IF(OR($H$9="",E50=""),NA(),$H$9)</f>
        <v>#N/A</v>
      </c>
      <c r="H50" s="46" t="str">
        <f aca="false">IF(OR(E50="",$H$9=""),"",IF($D$10="Menor é melhor",IF(E50&lt;=$H$9,"Sim","Não"),IF(E50&gt;=$H$9,"Sim","Não")))</f>
        <v/>
      </c>
    </row>
    <row r="52" customFormat="false" ht="21.75" hidden="false" customHeight="true" outlineLevel="0" collapsed="false">
      <c r="B52" s="37" t="s">
        <v>119</v>
      </c>
      <c r="C52" s="37"/>
      <c r="D52" s="37"/>
      <c r="E52" s="37"/>
      <c r="F52" s="37"/>
      <c r="G52" s="37"/>
      <c r="H52" s="37"/>
    </row>
    <row r="53" customFormat="false" ht="19.5" hidden="false" customHeight="true" outlineLevel="0" collapsed="false">
      <c r="B53" s="38" t="s">
        <v>165</v>
      </c>
      <c r="C53" s="38"/>
      <c r="D53" s="38"/>
      <c r="E53" s="38"/>
      <c r="F53" s="40" t="n">
        <f aca="false">COUNT(E35:E50)</f>
        <v>12</v>
      </c>
    </row>
    <row r="54" customFormat="false" ht="19.5" hidden="false" customHeight="true" outlineLevel="0" collapsed="false">
      <c r="B54" s="38" t="s">
        <v>166</v>
      </c>
      <c r="C54" s="38"/>
      <c r="D54" s="38"/>
      <c r="E54" s="38"/>
      <c r="F54" s="53" t="n">
        <f aca="false">IFERROR(AVERAGEIF(D35:D50,"Antes",E35:E50),"Sem dados")</f>
        <v>82</v>
      </c>
    </row>
    <row r="55" customFormat="false" ht="19.5" hidden="false" customHeight="true" outlineLevel="0" collapsed="false">
      <c r="B55" s="38" t="s">
        <v>167</v>
      </c>
      <c r="C55" s="38"/>
      <c r="D55" s="38"/>
      <c r="E55" s="38"/>
      <c r="F55" s="53" t="n">
        <f aca="false">IFERROR(AVERAGEIF(D35:D50,"Depois",E35:E50),"Sem dados")</f>
        <v>95.5</v>
      </c>
    </row>
    <row r="56" customFormat="false" ht="19.5" hidden="false" customHeight="true" outlineLevel="0" collapsed="false">
      <c r="B56" s="38" t="s">
        <v>168</v>
      </c>
      <c r="C56" s="38"/>
      <c r="D56" s="38"/>
      <c r="E56" s="38"/>
      <c r="F56" s="42" t="n">
        <f aca="false">IF(AND(ISNUMBER(F54),ISNUMBER(F55)),F55-F54,"Sem dados")</f>
        <v>13.5</v>
      </c>
    </row>
    <row r="57" customFormat="false" ht="19.5" hidden="false" customHeight="true" outlineLevel="0" collapsed="false">
      <c r="B57" s="38" t="s">
        <v>169</v>
      </c>
      <c r="C57" s="38"/>
      <c r="D57" s="38"/>
      <c r="E57" s="38"/>
      <c r="F57" s="40" t="n">
        <f aca="false">COUNTIFS(D35:D50,"Depois",H35:H50,"Sim")</f>
        <v>3</v>
      </c>
    </row>
    <row r="58" customFormat="false" ht="19.5" hidden="false" customHeight="true" outlineLevel="0" collapsed="false">
      <c r="B58" s="38" t="s">
        <v>61</v>
      </c>
      <c r="C58" s="38"/>
      <c r="D58" s="38"/>
      <c r="E58" s="38"/>
      <c r="F58" s="40" t="str">
        <f aca="false">IF(OR(NOT(ISNUMBER(F55)),$H$9=""),"Sem dados para concluir",IF(OR(AND($D$10="Menor é melhor",F55&lt;=$H$9),AND($D$10&lt;&gt;"Menor é melhor",F55&gt;=$H$9)),"Meta atingida: padronize","Meta não atingida: volte à análise das causas"))</f>
        <v>Meta atingida: padronize</v>
      </c>
    </row>
    <row r="60" customFormat="false" ht="21.75" hidden="false" customHeight="true" outlineLevel="0" collapsed="false">
      <c r="B60" s="37" t="s">
        <v>170</v>
      </c>
      <c r="C60" s="37"/>
      <c r="D60" s="37"/>
      <c r="E60" s="37"/>
      <c r="F60" s="37"/>
      <c r="G60" s="37"/>
      <c r="H60" s="37"/>
    </row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</sheetData>
  <mergeCells count="44">
    <mergeCell ref="B1:J1"/>
    <mergeCell ref="B2:J2"/>
    <mergeCell ref="B4:C4"/>
    <mergeCell ref="D4:F4"/>
    <mergeCell ref="H4:J4"/>
    <mergeCell ref="B5:C5"/>
    <mergeCell ref="D5:F5"/>
    <mergeCell ref="H5:J5"/>
    <mergeCell ref="B6:C6"/>
    <mergeCell ref="D6:F6"/>
    <mergeCell ref="H6:J6"/>
    <mergeCell ref="B7:C7"/>
    <mergeCell ref="D7:J7"/>
    <mergeCell ref="B8:C8"/>
    <mergeCell ref="D8:F8"/>
    <mergeCell ref="H8:J8"/>
    <mergeCell ref="B9:C9"/>
    <mergeCell ref="D9:F9"/>
    <mergeCell ref="H9:J9"/>
    <mergeCell ref="B10:C10"/>
    <mergeCell ref="D10:F10"/>
    <mergeCell ref="H10:J10"/>
    <mergeCell ref="B11:C11"/>
    <mergeCell ref="D11:J11"/>
    <mergeCell ref="B14:J14"/>
    <mergeCell ref="C15:C18"/>
    <mergeCell ref="C21:C22"/>
    <mergeCell ref="B24:J24"/>
    <mergeCell ref="B25:E25"/>
    <mergeCell ref="B26:E26"/>
    <mergeCell ref="B27:E27"/>
    <mergeCell ref="B28:E28"/>
    <mergeCell ref="B29:E29"/>
    <mergeCell ref="B30:E30"/>
    <mergeCell ref="B31:E31"/>
    <mergeCell ref="B33:H33"/>
    <mergeCell ref="B52:H52"/>
    <mergeCell ref="B53:E53"/>
    <mergeCell ref="B54:E54"/>
    <mergeCell ref="B55:E55"/>
    <mergeCell ref="B56:E56"/>
    <mergeCell ref="B57:E57"/>
    <mergeCell ref="B58:E58"/>
    <mergeCell ref="B60:H60"/>
  </mergeCells>
  <conditionalFormatting sqref="J15:J22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1">
      <formula>"Em andamento"</formula>
    </cfRule>
    <cfRule type="cellIs" priority="4" operator="equal" aboveAverage="0" equalAverage="0" bottom="0" percent="0" rank="0" text="" dxfId="2">
      <formula>"Não iniciada"</formula>
    </cfRule>
  </conditionalFormatting>
  <conditionalFormatting sqref="F27:F29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conditionalFormatting sqref="H35:H50">
    <cfRule type="cellIs" priority="7" operator="equal" aboveAverage="0" equalAverage="0" bottom="0" percent="0" rank="0" text="" dxfId="0">
      <formula>"Sim"</formula>
    </cfRule>
    <cfRule type="cellIs" priority="8" operator="equal" aboveAverage="0" equalAverage="0" bottom="0" percent="0" rank="0" text="" dxfId="2">
      <formula>"Não"</formula>
    </cfRule>
  </conditionalFormatting>
  <conditionalFormatting sqref="G35:G50">
    <cfRule type="expression" priority="9" aboveAverage="0" equalAverage="0" bottom="0" percent="0" rank="0" text="" dxfId="3">
      <formula>ISNA(G35)</formula>
    </cfRule>
  </conditionalFormatting>
  <conditionalFormatting sqref="F58">
    <cfRule type="cellIs" priority="10" operator="equal" aboveAverage="0" equalAverage="0" bottom="0" percent="0" rank="0" text="" dxfId="0">
      <formula>"Meta atingida: padronize"</formula>
    </cfRule>
    <cfRule type="cellIs" priority="11" operator="equal" aboveAverage="0" equalAverage="0" bottom="0" percent="0" rank="0" text="" dxfId="1">
      <formula>"Meta não atingida: volte à análise das causas"</formula>
    </cfRule>
  </conditionalFormatting>
  <dataValidations count="7">
    <dataValidation allowBlank="true" error="Escolha uma das opções da lista." errorStyle="stop" errorTitle="Valor inválido" operator="between" prompt="O indicador melhora quando sobe ou quando desce?" promptTitle="Opções" showDropDown="false" showErrorMessage="true" showInputMessage="true" sqref="D10" type="list">
      <formula1>"Maior é melhor,Menor é melhor"</formula1>
      <formula2>0</formula2>
    </dataValidation>
    <dataValidation allowBlank="true" error="Digite uma data no formato dia/mês/ano." errorStyle="stop" errorTitle="Data inválida" operator="greaterThanOrEqual" showDropDown="false" showErrorMessage="true" showInputMessage="false" sqref="H5 H10 I15:I22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D9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H9" type="decimal">
      <formula1>-1000000000</formula1>
      <formula2>1000000000</formula2>
    </dataValidation>
    <dataValidation allowBlank="true" error="Escolha uma das opções da lista." errorStyle="stop" errorTitle="Valor inválido" operator="between" prompt="Não iniciada, Em andamento ou Concluída" promptTitle="Opções" showDropDown="false" showErrorMessage="true" showInputMessage="true" sqref="J15:J22" type="list">
      <formula1>"Não iniciada,Em andamento,Concluída"</formula1>
      <formula2>0</formula2>
    </dataValidation>
    <dataValidation allowBlank="true" error="Escolha uma das opções da lista." errorStyle="stop" errorTitle="Valor inválido" operator="between" prompt="Antes, Durante ou Depois das ações" promptTitle="Opções" showDropDown="false" showErrorMessage="true" showInputMessage="true" sqref="D35:D50" type="list">
      <formula1>"Antes,Durante,Depois"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35:E50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2" man="true" max="16383" min="0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44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69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208</v>
      </c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B4" s="4" t="s">
        <v>71</v>
      </c>
      <c r="C4" s="4"/>
      <c r="D4" s="54" t="s">
        <v>252</v>
      </c>
      <c r="E4" s="54"/>
      <c r="F4" s="54"/>
      <c r="G4" s="4" t="s">
        <v>72</v>
      </c>
      <c r="H4" s="54" t="s">
        <v>253</v>
      </c>
      <c r="I4" s="54"/>
      <c r="J4" s="54"/>
    </row>
    <row r="5" customFormat="false" ht="21.75" hidden="false" customHeight="true" outlineLevel="0" collapsed="false">
      <c r="B5" s="4" t="s">
        <v>73</v>
      </c>
      <c r="C5" s="4"/>
      <c r="D5" s="54" t="s">
        <v>254</v>
      </c>
      <c r="E5" s="54"/>
      <c r="F5" s="54"/>
      <c r="G5" s="4" t="s">
        <v>74</v>
      </c>
      <c r="H5" s="55" t="n">
        <v>46174</v>
      </c>
      <c r="I5" s="55"/>
      <c r="J5" s="55"/>
    </row>
    <row r="6" customFormat="false" ht="21.75" hidden="false" customHeight="true" outlineLevel="0" collapsed="false">
      <c r="B6" s="4" t="s">
        <v>75</v>
      </c>
      <c r="C6" s="4"/>
      <c r="D6" s="54" t="s">
        <v>255</v>
      </c>
      <c r="E6" s="54"/>
      <c r="F6" s="54"/>
      <c r="G6" s="4" t="s">
        <v>76</v>
      </c>
      <c r="H6" s="54" t="s">
        <v>212</v>
      </c>
      <c r="I6" s="54"/>
      <c r="J6" s="54"/>
    </row>
    <row r="7" customFormat="false" ht="30" hidden="false" customHeight="true" outlineLevel="0" collapsed="false">
      <c r="B7" s="4" t="s">
        <v>77</v>
      </c>
      <c r="C7" s="4"/>
      <c r="D7" s="54" t="s">
        <v>256</v>
      </c>
      <c r="E7" s="54"/>
      <c r="F7" s="54"/>
      <c r="G7" s="54"/>
      <c r="H7" s="54"/>
      <c r="I7" s="54"/>
      <c r="J7" s="54"/>
    </row>
    <row r="8" customFormat="false" ht="21.75" hidden="false" customHeight="true" outlineLevel="0" collapsed="false">
      <c r="B8" s="4" t="s">
        <v>78</v>
      </c>
      <c r="C8" s="4"/>
      <c r="D8" s="54" t="s">
        <v>257</v>
      </c>
      <c r="E8" s="54"/>
      <c r="F8" s="54"/>
      <c r="G8" s="4" t="s">
        <v>79</v>
      </c>
      <c r="H8" s="54" t="s">
        <v>258</v>
      </c>
      <c r="I8" s="54"/>
      <c r="J8" s="54"/>
    </row>
    <row r="9" customFormat="false" ht="21.75" hidden="false" customHeight="true" outlineLevel="0" collapsed="false">
      <c r="B9" s="4" t="s">
        <v>80</v>
      </c>
      <c r="C9" s="4"/>
      <c r="D9" s="54" t="n">
        <v>12</v>
      </c>
      <c r="E9" s="54"/>
      <c r="F9" s="54"/>
      <c r="G9" s="4" t="s">
        <v>81</v>
      </c>
      <c r="H9" s="54" t="n">
        <v>7</v>
      </c>
      <c r="I9" s="54"/>
      <c r="J9" s="54"/>
    </row>
    <row r="10" customFormat="false" ht="21.75" hidden="false" customHeight="true" outlineLevel="0" collapsed="false">
      <c r="B10" s="4" t="s">
        <v>82</v>
      </c>
      <c r="C10" s="4"/>
      <c r="D10" s="54" t="s">
        <v>259</v>
      </c>
      <c r="E10" s="54"/>
      <c r="F10" s="54"/>
      <c r="G10" s="4" t="s">
        <v>83</v>
      </c>
      <c r="H10" s="55" t="n">
        <v>46265</v>
      </c>
      <c r="I10" s="55"/>
      <c r="J10" s="55"/>
    </row>
    <row r="11" customFormat="false" ht="30" hidden="false" customHeight="true" outlineLevel="0" collapsed="false">
      <c r="B11" s="4" t="s">
        <v>84</v>
      </c>
      <c r="C11" s="4"/>
      <c r="D11" s="54" t="s">
        <v>260</v>
      </c>
      <c r="E11" s="54"/>
      <c r="F11" s="54"/>
      <c r="G11" s="54"/>
      <c r="H11" s="54"/>
      <c r="I11" s="54"/>
      <c r="J11" s="54"/>
    </row>
    <row r="13" customFormat="false" ht="21.75" hidden="false" customHeight="true" outlineLevel="0" collapsed="false">
      <c r="B13" s="17" t="s">
        <v>85</v>
      </c>
      <c r="C13" s="17" t="s">
        <v>86</v>
      </c>
      <c r="D13" s="17" t="s">
        <v>87</v>
      </c>
      <c r="E13" s="17" t="s">
        <v>88</v>
      </c>
      <c r="F13" s="17" t="s">
        <v>89</v>
      </c>
      <c r="G13" s="17" t="s">
        <v>90</v>
      </c>
      <c r="H13" s="17" t="s">
        <v>91</v>
      </c>
      <c r="I13" s="17" t="s">
        <v>92</v>
      </c>
      <c r="J13" s="17" t="s">
        <v>93</v>
      </c>
    </row>
    <row r="14" customFormat="false" ht="30" hidden="false" customHeight="true" outlineLevel="0" collapsed="false">
      <c r="B14" s="20" t="s">
        <v>218</v>
      </c>
      <c r="C14" s="20"/>
      <c r="D14" s="20"/>
      <c r="E14" s="20"/>
      <c r="F14" s="20"/>
      <c r="G14" s="20"/>
      <c r="H14" s="20"/>
      <c r="I14" s="20"/>
      <c r="J14" s="20"/>
    </row>
    <row r="15" customFormat="false" ht="61.5" hidden="false" customHeight="true" outlineLevel="0" collapsed="false">
      <c r="B15" s="22" t="n">
        <v>1</v>
      </c>
      <c r="C15" s="23" t="s">
        <v>101</v>
      </c>
      <c r="D15" s="24" t="s">
        <v>95</v>
      </c>
      <c r="E15" s="25" t="s">
        <v>96</v>
      </c>
      <c r="F15" s="9" t="s">
        <v>261</v>
      </c>
      <c r="G15" s="9" t="s">
        <v>262</v>
      </c>
      <c r="H15" s="9" t="s">
        <v>253</v>
      </c>
      <c r="I15" s="56" t="n">
        <v>46178</v>
      </c>
      <c r="J15" s="57" t="s">
        <v>100</v>
      </c>
    </row>
    <row r="16" customFormat="false" ht="61.5" hidden="false" customHeight="true" outlineLevel="0" collapsed="false">
      <c r="B16" s="22" t="n">
        <v>2</v>
      </c>
      <c r="C16" s="23"/>
      <c r="D16" s="24" t="s">
        <v>102</v>
      </c>
      <c r="E16" s="25" t="s">
        <v>103</v>
      </c>
      <c r="F16" s="9" t="s">
        <v>263</v>
      </c>
      <c r="G16" s="9" t="s">
        <v>264</v>
      </c>
      <c r="H16" s="9" t="s">
        <v>265</v>
      </c>
      <c r="I16" s="56" t="n">
        <v>46192</v>
      </c>
      <c r="J16" s="57" t="s">
        <v>100</v>
      </c>
    </row>
    <row r="17" customFormat="false" ht="61.5" hidden="false" customHeight="true" outlineLevel="0" collapsed="false">
      <c r="B17" s="22" t="n">
        <v>3</v>
      </c>
      <c r="C17" s="23"/>
      <c r="D17" s="24" t="s">
        <v>104</v>
      </c>
      <c r="E17" s="25" t="s">
        <v>105</v>
      </c>
      <c r="F17" s="9" t="s">
        <v>266</v>
      </c>
      <c r="G17" s="9" t="s">
        <v>267</v>
      </c>
      <c r="H17" s="9" t="s">
        <v>255</v>
      </c>
      <c r="I17" s="56" t="n">
        <v>46199</v>
      </c>
      <c r="J17" s="57" t="s">
        <v>100</v>
      </c>
    </row>
    <row r="18" customFormat="false" ht="61.5" hidden="false" customHeight="true" outlineLevel="0" collapsed="false">
      <c r="B18" s="22" t="n">
        <v>4</v>
      </c>
      <c r="C18" s="23"/>
      <c r="D18" s="24" t="s">
        <v>106</v>
      </c>
      <c r="E18" s="25" t="s">
        <v>107</v>
      </c>
      <c r="F18" s="9" t="s">
        <v>268</v>
      </c>
      <c r="G18" s="9" t="s">
        <v>269</v>
      </c>
      <c r="H18" s="9" t="s">
        <v>253</v>
      </c>
      <c r="I18" s="56" t="n">
        <v>46206</v>
      </c>
      <c r="J18" s="57" t="s">
        <v>100</v>
      </c>
    </row>
    <row r="19" customFormat="false" ht="61.5" hidden="false" customHeight="true" outlineLevel="0" collapsed="false">
      <c r="B19" s="22" t="n">
        <v>5</v>
      </c>
      <c r="C19" s="28" t="s">
        <v>108</v>
      </c>
      <c r="D19" s="29" t="s">
        <v>109</v>
      </c>
      <c r="E19" s="30" t="s">
        <v>110</v>
      </c>
      <c r="F19" s="11" t="s">
        <v>270</v>
      </c>
      <c r="G19" s="11" t="s">
        <v>271</v>
      </c>
      <c r="H19" s="11" t="s">
        <v>265</v>
      </c>
      <c r="I19" s="58" t="n">
        <v>46234</v>
      </c>
      <c r="J19" s="59" t="s">
        <v>100</v>
      </c>
    </row>
    <row r="20" customFormat="false" ht="61.5" hidden="false" customHeight="true" outlineLevel="0" collapsed="false">
      <c r="B20" s="22" t="n">
        <v>6</v>
      </c>
      <c r="C20" s="31" t="s">
        <v>111</v>
      </c>
      <c r="D20" s="32" t="s">
        <v>112</v>
      </c>
      <c r="E20" s="33" t="s">
        <v>113</v>
      </c>
      <c r="F20" s="13" t="s">
        <v>272</v>
      </c>
      <c r="G20" s="13" t="s">
        <v>273</v>
      </c>
      <c r="H20" s="13" t="s">
        <v>253</v>
      </c>
      <c r="I20" s="60" t="n">
        <v>46262</v>
      </c>
      <c r="J20" s="61" t="s">
        <v>100</v>
      </c>
    </row>
    <row r="21" customFormat="false" ht="61.5" hidden="false" customHeight="true" outlineLevel="0" collapsed="false">
      <c r="B21" s="22" t="n">
        <v>7</v>
      </c>
      <c r="C21" s="34" t="s">
        <v>114</v>
      </c>
      <c r="D21" s="35" t="s">
        <v>115</v>
      </c>
      <c r="E21" s="36" t="s">
        <v>116</v>
      </c>
      <c r="F21" s="15" t="s">
        <v>274</v>
      </c>
      <c r="G21" s="15" t="s">
        <v>275</v>
      </c>
      <c r="H21" s="15" t="s">
        <v>253</v>
      </c>
      <c r="I21" s="62" t="n">
        <v>46276</v>
      </c>
      <c r="J21" s="63" t="s">
        <v>100</v>
      </c>
    </row>
    <row r="22" customFormat="false" ht="61.5" hidden="false" customHeight="true" outlineLevel="0" collapsed="false">
      <c r="B22" s="22" t="n">
        <v>8</v>
      </c>
      <c r="C22" s="34"/>
      <c r="D22" s="35" t="s">
        <v>117</v>
      </c>
      <c r="E22" s="36" t="s">
        <v>118</v>
      </c>
      <c r="F22" s="15" t="s">
        <v>276</v>
      </c>
      <c r="G22" s="15" t="s">
        <v>277</v>
      </c>
      <c r="H22" s="15" t="s">
        <v>255</v>
      </c>
      <c r="I22" s="62" t="n">
        <v>46283</v>
      </c>
      <c r="J22" s="63" t="s">
        <v>100</v>
      </c>
    </row>
    <row r="24" customFormat="false" ht="21.75" hidden="false" customHeight="true" outlineLevel="0" collapsed="false">
      <c r="B24" s="37" t="s">
        <v>119</v>
      </c>
      <c r="C24" s="37"/>
      <c r="D24" s="37"/>
      <c r="E24" s="37"/>
      <c r="F24" s="37"/>
      <c r="G24" s="37"/>
      <c r="H24" s="37"/>
      <c r="I24" s="37"/>
      <c r="J24" s="37"/>
    </row>
    <row r="25" customFormat="false" ht="19.5" hidden="false" customHeight="true" outlineLevel="0" collapsed="false">
      <c r="B25" s="38" t="s">
        <v>120</v>
      </c>
      <c r="C25" s="38"/>
      <c r="D25" s="38"/>
      <c r="E25" s="38"/>
      <c r="F25" s="39" t="n">
        <f aca="false">COUNTIF(J15:J22,"Concluída")</f>
        <v>8</v>
      </c>
    </row>
    <row r="26" customFormat="false" ht="19.5" hidden="false" customHeight="true" outlineLevel="0" collapsed="false">
      <c r="B26" s="38" t="s">
        <v>121</v>
      </c>
      <c r="C26" s="38"/>
      <c r="D26" s="38"/>
      <c r="E26" s="38"/>
      <c r="F26" s="40" t="str">
        <f aca="false">IF(COUNTIF(J15:J18,"Concluída")&lt;4,"P — Planejar",IF(J19&lt;&gt;"Concluída","D — Executar",IF(J20&lt;&gt;"Concluída","C — Verificar",IF(COUNTIF(J21:J22,"Concluída")&lt;2,"A — Agir","Ciclo concluído"))))</f>
        <v>Ciclo concluído</v>
      </c>
    </row>
    <row r="27" customFormat="false" ht="19.5" hidden="false" customHeight="true" outlineLevel="0" collapsed="false">
      <c r="B27" s="38" t="s">
        <v>122</v>
      </c>
      <c r="C27" s="38"/>
      <c r="D27" s="38"/>
      <c r="E27" s="38"/>
      <c r="F27" s="41" t="str">
        <f aca="false">IF(SUMPRODUCT((J16:J22="Concluída")*(J15:J21&lt;&gt;"Concluída"))&gt;0,"Há etapa concluída antes da anterior","OK")</f>
        <v>OK</v>
      </c>
    </row>
    <row r="28" customFormat="false" ht="19.5" hidden="false" customHeight="true" outlineLevel="0" collapsed="false">
      <c r="B28" s="38" t="s">
        <v>123</v>
      </c>
      <c r="C28" s="38"/>
      <c r="D28" s="38"/>
      <c r="E28" s="38"/>
      <c r="F28" s="41" t="str">
        <f aca="false">IF(SUMPRODUCT((J15:J22="Concluída")*(F15:F22=""))&gt;0,"Há etapa concluída sem registro","OK")</f>
        <v>OK</v>
      </c>
    </row>
    <row r="29" customFormat="false" ht="19.5" hidden="false" customHeight="true" outlineLevel="0" collapsed="false">
      <c r="B29" s="38" t="s">
        <v>124</v>
      </c>
      <c r="C29" s="38"/>
      <c r="D29" s="38"/>
      <c r="E29" s="38"/>
      <c r="F29" s="41" t="str">
        <f aca="false">IF(OR(D9="",H9=""),"Informe a situação inicial e a meta",IF(D10="","Informe o sentido do indicador",IF(OR(AND(D10="Menor é melhor",H9&gt;=D9),AND(D10="Maior é melhor",H9&lt;=D9)),"A meta não melhora a situação inicial","OK")))</f>
        <v>OK</v>
      </c>
    </row>
    <row r="30" customFormat="false" ht="19.5" hidden="false" customHeight="true" outlineLevel="0" collapsed="false">
      <c r="B30" s="38" t="s">
        <v>125</v>
      </c>
      <c r="C30" s="38"/>
      <c r="D30" s="38"/>
      <c r="E30" s="38"/>
      <c r="F30" s="42" t="n">
        <f aca="false">IF(OR(D9="",H9=""),"",H9-D9)</f>
        <v>-5</v>
      </c>
    </row>
    <row r="31" customFormat="false" ht="19.5" hidden="false" customHeight="true" outlineLevel="0" collapsed="false">
      <c r="B31" s="38" t="s">
        <v>126</v>
      </c>
      <c r="C31" s="38"/>
      <c r="D31" s="38"/>
      <c r="E31" s="38"/>
      <c r="F31" s="43" t="n">
        <f aca="false">COUNTA(D4,H4,D5,H5,D6,H6,D7,D8,H8,D9,H9,D10,H10,D11)</f>
        <v>14</v>
      </c>
    </row>
    <row r="33" customFormat="false" ht="21.75" hidden="false" customHeight="true" outlineLevel="0" collapsed="false">
      <c r="B33" s="64" t="s">
        <v>235</v>
      </c>
      <c r="C33" s="64"/>
      <c r="D33" s="64"/>
      <c r="E33" s="64"/>
      <c r="F33" s="64"/>
      <c r="G33" s="64"/>
      <c r="H33" s="64"/>
    </row>
    <row r="34" customFormat="false" ht="30" hidden="false" customHeight="true" outlineLevel="0" collapsed="false">
      <c r="B34" s="52" t="s">
        <v>85</v>
      </c>
      <c r="C34" s="52" t="s">
        <v>156</v>
      </c>
      <c r="D34" s="52" t="s">
        <v>157</v>
      </c>
      <c r="E34" s="52" t="s">
        <v>158</v>
      </c>
      <c r="F34" s="52" t="s">
        <v>159</v>
      </c>
      <c r="G34" s="52" t="s">
        <v>154</v>
      </c>
      <c r="H34" s="52" t="s">
        <v>160</v>
      </c>
    </row>
    <row r="35" customFormat="false" ht="24" hidden="false" customHeight="true" outlineLevel="0" collapsed="false">
      <c r="B35" s="22" t="n">
        <v>1</v>
      </c>
      <c r="C35" s="54" t="s">
        <v>161</v>
      </c>
      <c r="D35" s="65" t="s">
        <v>162</v>
      </c>
      <c r="E35" s="65" t="n">
        <v>12.5</v>
      </c>
      <c r="F35" s="54"/>
      <c r="G35" s="46" t="n">
        <f aca="false">IF(OR($H$9="",E35=""),NA(),$H$9)</f>
        <v>7</v>
      </c>
      <c r="H35" s="46" t="str">
        <f aca="false">IF(OR(E35="",$H$9=""),"",IF($D$10="Menor é melhor",IF(E35&lt;=$H$9,"Sim","Não"),IF(E35&gt;=$H$9,"Sim","Não")))</f>
        <v>Não</v>
      </c>
    </row>
    <row r="36" customFormat="false" ht="24" hidden="false" customHeight="true" outlineLevel="0" collapsed="false">
      <c r="B36" s="22" t="n">
        <v>2</v>
      </c>
      <c r="C36" s="54" t="s">
        <v>236</v>
      </c>
      <c r="D36" s="65" t="s">
        <v>162</v>
      </c>
      <c r="E36" s="65" t="n">
        <v>11.5</v>
      </c>
      <c r="F36" s="54"/>
      <c r="G36" s="46" t="n">
        <f aca="false">IF(OR($H$9="",E36=""),NA(),$H$9)</f>
        <v>7</v>
      </c>
      <c r="H36" s="46" t="str">
        <f aca="false">IF(OR(E36="",$H$9=""),"",IF($D$10="Menor é melhor",IF(E36&lt;=$H$9,"Sim","Não"),IF(E36&gt;=$H$9,"Sim","Não")))</f>
        <v>Não</v>
      </c>
    </row>
    <row r="37" customFormat="false" ht="24" hidden="false" customHeight="true" outlineLevel="0" collapsed="false">
      <c r="B37" s="22" t="n">
        <v>3</v>
      </c>
      <c r="C37" s="54" t="s">
        <v>237</v>
      </c>
      <c r="D37" s="65" t="s">
        <v>162</v>
      </c>
      <c r="E37" s="65" t="n">
        <v>12</v>
      </c>
      <c r="F37" s="54"/>
      <c r="G37" s="46" t="n">
        <f aca="false">IF(OR($H$9="",E37=""),NA(),$H$9)</f>
        <v>7</v>
      </c>
      <c r="H37" s="46" t="str">
        <f aca="false">IF(OR(E37="",$H$9=""),"",IF($D$10="Menor é melhor",IF(E37&lt;=$H$9,"Sim","Não"),IF(E37&gt;=$H$9,"Sim","Não")))</f>
        <v>Não</v>
      </c>
    </row>
    <row r="38" customFormat="false" ht="24" hidden="false" customHeight="true" outlineLevel="0" collapsed="false">
      <c r="B38" s="22" t="n">
        <v>4</v>
      </c>
      <c r="C38" s="54" t="s">
        <v>239</v>
      </c>
      <c r="D38" s="65" t="s">
        <v>162</v>
      </c>
      <c r="E38" s="65" t="n">
        <v>12</v>
      </c>
      <c r="F38" s="54"/>
      <c r="G38" s="46" t="n">
        <f aca="false">IF(OR($H$9="",E38=""),NA(),$H$9)</f>
        <v>7</v>
      </c>
      <c r="H38" s="46" t="str">
        <f aca="false">IF(OR(E38="",$H$9=""),"",IF($D$10="Menor é melhor",IF(E38&lt;=$H$9,"Sim","Não"),IF(E38&gt;=$H$9,"Sim","Não")))</f>
        <v>Não</v>
      </c>
    </row>
    <row r="39" customFormat="false" ht="24" hidden="false" customHeight="true" outlineLevel="0" collapsed="false">
      <c r="B39" s="22" t="n">
        <v>5</v>
      </c>
      <c r="C39" s="54" t="s">
        <v>240</v>
      </c>
      <c r="D39" s="65" t="s">
        <v>162</v>
      </c>
      <c r="E39" s="65" t="n">
        <v>12</v>
      </c>
      <c r="F39" s="54"/>
      <c r="G39" s="46" t="n">
        <f aca="false">IF(OR($H$9="",E39=""),NA(),$H$9)</f>
        <v>7</v>
      </c>
      <c r="H39" s="46" t="str">
        <f aca="false">IF(OR(E39="",$H$9=""),"",IF($D$10="Menor é melhor",IF(E39&lt;=$H$9,"Sim","Não"),IF(E39&gt;=$H$9,"Sim","Não")))</f>
        <v>Não</v>
      </c>
    </row>
    <row r="40" customFormat="false" ht="24" hidden="false" customHeight="true" outlineLevel="0" collapsed="false">
      <c r="B40" s="22" t="n">
        <v>6</v>
      </c>
      <c r="C40" s="54" t="s">
        <v>241</v>
      </c>
      <c r="D40" s="65" t="s">
        <v>243</v>
      </c>
      <c r="E40" s="65" t="n">
        <v>11</v>
      </c>
      <c r="F40" s="54" t="s">
        <v>278</v>
      </c>
      <c r="G40" s="46" t="n">
        <f aca="false">IF(OR($H$9="",E40=""),NA(),$H$9)</f>
        <v>7</v>
      </c>
      <c r="H40" s="46" t="str">
        <f aca="false">IF(OR(E40="",$H$9=""),"",IF($D$10="Menor é melhor",IF(E40&lt;=$H$9,"Sim","Não"),IF(E40&gt;=$H$9,"Sim","Não")))</f>
        <v>Não</v>
      </c>
    </row>
    <row r="41" customFormat="false" ht="24" hidden="false" customHeight="true" outlineLevel="0" collapsed="false">
      <c r="B41" s="22" t="n">
        <v>7</v>
      </c>
      <c r="C41" s="54" t="s">
        <v>242</v>
      </c>
      <c r="D41" s="65" t="s">
        <v>243</v>
      </c>
      <c r="E41" s="65" t="n">
        <v>10</v>
      </c>
      <c r="F41" s="54"/>
      <c r="G41" s="46" t="n">
        <f aca="false">IF(OR($H$9="",E41=""),NA(),$H$9)</f>
        <v>7</v>
      </c>
      <c r="H41" s="46" t="str">
        <f aca="false">IF(OR(E41="",$H$9=""),"",IF($D$10="Menor é melhor",IF(E41&lt;=$H$9,"Sim","Não"),IF(E41&gt;=$H$9,"Sim","Não")))</f>
        <v>Não</v>
      </c>
    </row>
    <row r="42" customFormat="false" ht="24" hidden="false" customHeight="true" outlineLevel="0" collapsed="false">
      <c r="B42" s="22" t="n">
        <v>8</v>
      </c>
      <c r="C42" s="54" t="s">
        <v>245</v>
      </c>
      <c r="D42" s="65" t="s">
        <v>243</v>
      </c>
      <c r="E42" s="65" t="n">
        <v>9</v>
      </c>
      <c r="F42" s="54"/>
      <c r="G42" s="46" t="n">
        <f aca="false">IF(OR($H$9="",E42=""),NA(),$H$9)</f>
        <v>7</v>
      </c>
      <c r="H42" s="46" t="str">
        <f aca="false">IF(OR(E42="",$H$9=""),"",IF($D$10="Menor é melhor",IF(E42&lt;=$H$9,"Sim","Não"),IF(E42&gt;=$H$9,"Sim","Não")))</f>
        <v>Não</v>
      </c>
    </row>
    <row r="43" customFormat="false" ht="24" hidden="false" customHeight="true" outlineLevel="0" collapsed="false">
      <c r="B43" s="22" t="n">
        <v>9</v>
      </c>
      <c r="C43" s="54" t="s">
        <v>247</v>
      </c>
      <c r="D43" s="65" t="s">
        <v>243</v>
      </c>
      <c r="E43" s="65" t="n">
        <v>8.5</v>
      </c>
      <c r="F43" s="54"/>
      <c r="G43" s="46" t="n">
        <f aca="false">IF(OR($H$9="",E43=""),NA(),$H$9)</f>
        <v>7</v>
      </c>
      <c r="H43" s="46" t="str">
        <f aca="false">IF(OR(E43="",$H$9=""),"",IF($D$10="Menor é melhor",IF(E43&lt;=$H$9,"Sim","Não"),IF(E43&gt;=$H$9,"Sim","Não")))</f>
        <v>Não</v>
      </c>
    </row>
    <row r="44" customFormat="false" ht="24" hidden="false" customHeight="true" outlineLevel="0" collapsed="false">
      <c r="B44" s="22" t="n">
        <v>10</v>
      </c>
      <c r="C44" s="54" t="s">
        <v>249</v>
      </c>
      <c r="D44" s="65" t="s">
        <v>248</v>
      </c>
      <c r="E44" s="65" t="n">
        <v>8</v>
      </c>
      <c r="F44" s="54"/>
      <c r="G44" s="46" t="n">
        <f aca="false">IF(OR($H$9="",E44=""),NA(),$H$9)</f>
        <v>7</v>
      </c>
      <c r="H44" s="46" t="str">
        <f aca="false">IF(OR(E44="",$H$9=""),"",IF($D$10="Menor é melhor",IF(E44&lt;=$H$9,"Sim","Não"),IF(E44&gt;=$H$9,"Sim","Não")))</f>
        <v>Não</v>
      </c>
    </row>
    <row r="45" customFormat="false" ht="24" hidden="false" customHeight="true" outlineLevel="0" collapsed="false">
      <c r="B45" s="22" t="n">
        <v>11</v>
      </c>
      <c r="C45" s="54" t="s">
        <v>250</v>
      </c>
      <c r="D45" s="65" t="s">
        <v>248</v>
      </c>
      <c r="E45" s="65" t="n">
        <v>8.5</v>
      </c>
      <c r="F45" s="54"/>
      <c r="G45" s="46" t="n">
        <f aca="false">IF(OR($H$9="",E45=""),NA(),$H$9)</f>
        <v>7</v>
      </c>
      <c r="H45" s="46" t="str">
        <f aca="false">IF(OR(E45="",$H$9=""),"",IF($D$10="Menor é melhor",IF(E45&lt;=$H$9,"Sim","Não"),IF(E45&gt;=$H$9,"Sim","Não")))</f>
        <v>Não</v>
      </c>
    </row>
    <row r="46" customFormat="false" ht="24" hidden="false" customHeight="true" outlineLevel="0" collapsed="false">
      <c r="B46" s="22" t="n">
        <v>12</v>
      </c>
      <c r="C46" s="54" t="s">
        <v>251</v>
      </c>
      <c r="D46" s="65" t="s">
        <v>248</v>
      </c>
      <c r="E46" s="65" t="n">
        <v>7.5</v>
      </c>
      <c r="F46" s="54"/>
      <c r="G46" s="46" t="n">
        <f aca="false">IF(OR($H$9="",E46=""),NA(),$H$9)</f>
        <v>7</v>
      </c>
      <c r="H46" s="46" t="str">
        <f aca="false">IF(OR(E46="",$H$9=""),"",IF($D$10="Menor é melhor",IF(E46&lt;=$H$9,"Sim","Não"),IF(E46&gt;=$H$9,"Sim","Não")))</f>
        <v>Não</v>
      </c>
    </row>
    <row r="47" customFormat="false" ht="24" hidden="false" customHeight="true" outlineLevel="0" collapsed="false">
      <c r="B47" s="22" t="n">
        <v>13</v>
      </c>
      <c r="C47" s="54" t="s">
        <v>279</v>
      </c>
      <c r="D47" s="65" t="s">
        <v>248</v>
      </c>
      <c r="E47" s="65" t="n">
        <v>8</v>
      </c>
      <c r="F47" s="54"/>
      <c r="G47" s="46" t="n">
        <f aca="false">IF(OR($H$9="",E47=""),NA(),$H$9)</f>
        <v>7</v>
      </c>
      <c r="H47" s="46" t="str">
        <f aca="false">IF(OR(E47="",$H$9=""),"",IF($D$10="Menor é melhor",IF(E47&lt;=$H$9,"Sim","Não"),IF(E47&gt;=$H$9,"Sim","Não")))</f>
        <v>Não</v>
      </c>
    </row>
    <row r="48" customFormat="false" ht="24" hidden="false" customHeight="true" outlineLevel="0" collapsed="false">
      <c r="B48" s="22" t="n">
        <v>14</v>
      </c>
      <c r="C48" s="54"/>
      <c r="D48" s="65"/>
      <c r="E48" s="65"/>
      <c r="F48" s="54"/>
      <c r="G48" s="46" t="e">
        <f aca="false">IF(OR($H$9="",E48=""),NA(),$H$9)</f>
        <v>#N/A</v>
      </c>
      <c r="H48" s="46" t="str">
        <f aca="false">IF(OR(E48="",$H$9=""),"",IF($D$10="Menor é melhor",IF(E48&lt;=$H$9,"Sim","Não"),IF(E48&gt;=$H$9,"Sim","Não")))</f>
        <v/>
      </c>
    </row>
    <row r="49" customFormat="false" ht="24" hidden="false" customHeight="true" outlineLevel="0" collapsed="false">
      <c r="B49" s="22" t="n">
        <v>15</v>
      </c>
      <c r="C49" s="54"/>
      <c r="D49" s="65"/>
      <c r="E49" s="65"/>
      <c r="F49" s="54"/>
      <c r="G49" s="46" t="e">
        <f aca="false">IF(OR($H$9="",E49=""),NA(),$H$9)</f>
        <v>#N/A</v>
      </c>
      <c r="H49" s="46" t="str">
        <f aca="false">IF(OR(E49="",$H$9=""),"",IF($D$10="Menor é melhor",IF(E49&lt;=$H$9,"Sim","Não"),IF(E49&gt;=$H$9,"Sim","Não")))</f>
        <v/>
      </c>
    </row>
    <row r="50" customFormat="false" ht="24" hidden="false" customHeight="true" outlineLevel="0" collapsed="false">
      <c r="B50" s="22" t="n">
        <v>16</v>
      </c>
      <c r="C50" s="54"/>
      <c r="D50" s="65"/>
      <c r="E50" s="65"/>
      <c r="F50" s="54"/>
      <c r="G50" s="46" t="e">
        <f aca="false">IF(OR($H$9="",E50=""),NA(),$H$9)</f>
        <v>#N/A</v>
      </c>
      <c r="H50" s="46" t="str">
        <f aca="false">IF(OR(E50="",$H$9=""),"",IF($D$10="Menor é melhor",IF(E50&lt;=$H$9,"Sim","Não"),IF(E50&gt;=$H$9,"Sim","Não")))</f>
        <v/>
      </c>
    </row>
    <row r="52" customFormat="false" ht="21.75" hidden="false" customHeight="true" outlineLevel="0" collapsed="false">
      <c r="B52" s="37" t="s">
        <v>119</v>
      </c>
      <c r="C52" s="37"/>
      <c r="D52" s="37"/>
      <c r="E52" s="37"/>
      <c r="F52" s="37"/>
      <c r="G52" s="37"/>
      <c r="H52" s="37"/>
    </row>
    <row r="53" customFormat="false" ht="19.5" hidden="false" customHeight="true" outlineLevel="0" collapsed="false">
      <c r="B53" s="38" t="s">
        <v>165</v>
      </c>
      <c r="C53" s="38"/>
      <c r="D53" s="38"/>
      <c r="E53" s="38"/>
      <c r="F53" s="40" t="n">
        <f aca="false">COUNT(E35:E50)</f>
        <v>13</v>
      </c>
    </row>
    <row r="54" customFormat="false" ht="19.5" hidden="false" customHeight="true" outlineLevel="0" collapsed="false">
      <c r="B54" s="38" t="s">
        <v>166</v>
      </c>
      <c r="C54" s="38"/>
      <c r="D54" s="38"/>
      <c r="E54" s="38"/>
      <c r="F54" s="53" t="n">
        <f aca="false">IFERROR(AVERAGEIF(D35:D50,"Antes",E35:E50),"Sem dados")</f>
        <v>12</v>
      </c>
    </row>
    <row r="55" customFormat="false" ht="19.5" hidden="false" customHeight="true" outlineLevel="0" collapsed="false">
      <c r="B55" s="38" t="s">
        <v>167</v>
      </c>
      <c r="C55" s="38"/>
      <c r="D55" s="38"/>
      <c r="E55" s="38"/>
      <c r="F55" s="53" t="n">
        <f aca="false">IFERROR(AVERAGEIF(D35:D50,"Depois",E35:E50),"Sem dados")</f>
        <v>8</v>
      </c>
    </row>
    <row r="56" customFormat="false" ht="19.5" hidden="false" customHeight="true" outlineLevel="0" collapsed="false">
      <c r="B56" s="38" t="s">
        <v>168</v>
      </c>
      <c r="C56" s="38"/>
      <c r="D56" s="38"/>
      <c r="E56" s="38"/>
      <c r="F56" s="42" t="n">
        <f aca="false">IF(AND(ISNUMBER(F54),ISNUMBER(F55)),F55-F54,"Sem dados")</f>
        <v>-4</v>
      </c>
    </row>
    <row r="57" customFormat="false" ht="19.5" hidden="false" customHeight="true" outlineLevel="0" collapsed="false">
      <c r="B57" s="38" t="s">
        <v>169</v>
      </c>
      <c r="C57" s="38"/>
      <c r="D57" s="38"/>
      <c r="E57" s="38"/>
      <c r="F57" s="40" t="n">
        <f aca="false">COUNTIFS(D35:D50,"Depois",H35:H50,"Sim")</f>
        <v>0</v>
      </c>
    </row>
    <row r="58" customFormat="false" ht="19.5" hidden="false" customHeight="true" outlineLevel="0" collapsed="false">
      <c r="B58" s="38" t="s">
        <v>61</v>
      </c>
      <c r="C58" s="38"/>
      <c r="D58" s="38"/>
      <c r="E58" s="38"/>
      <c r="F58" s="40" t="str">
        <f aca="false">IF(OR(NOT(ISNUMBER(F55)),$H$9=""),"Sem dados para concluir",IF(OR(AND($D$10="Menor é melhor",F55&lt;=$H$9),AND($D$10&lt;&gt;"Menor é melhor",F55&gt;=$H$9)),"Meta atingida: padronize","Meta não atingida: volte à análise das causas"))</f>
        <v>Meta não atingida: volte à análise das causas</v>
      </c>
    </row>
    <row r="60" customFormat="false" ht="21.75" hidden="false" customHeight="true" outlineLevel="0" collapsed="false">
      <c r="B60" s="37" t="s">
        <v>170</v>
      </c>
      <c r="C60" s="37"/>
      <c r="D60" s="37"/>
      <c r="E60" s="37"/>
      <c r="F60" s="37"/>
      <c r="G60" s="37"/>
      <c r="H60" s="37"/>
    </row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</sheetData>
  <mergeCells count="44">
    <mergeCell ref="B1:J1"/>
    <mergeCell ref="B2:J2"/>
    <mergeCell ref="B4:C4"/>
    <mergeCell ref="D4:F4"/>
    <mergeCell ref="H4:J4"/>
    <mergeCell ref="B5:C5"/>
    <mergeCell ref="D5:F5"/>
    <mergeCell ref="H5:J5"/>
    <mergeCell ref="B6:C6"/>
    <mergeCell ref="D6:F6"/>
    <mergeCell ref="H6:J6"/>
    <mergeCell ref="B7:C7"/>
    <mergeCell ref="D7:J7"/>
    <mergeCell ref="B8:C8"/>
    <mergeCell ref="D8:F8"/>
    <mergeCell ref="H8:J8"/>
    <mergeCell ref="B9:C9"/>
    <mergeCell ref="D9:F9"/>
    <mergeCell ref="H9:J9"/>
    <mergeCell ref="B10:C10"/>
    <mergeCell ref="D10:F10"/>
    <mergeCell ref="H10:J10"/>
    <mergeCell ref="B11:C11"/>
    <mergeCell ref="D11:J11"/>
    <mergeCell ref="B14:J14"/>
    <mergeCell ref="C15:C18"/>
    <mergeCell ref="C21:C22"/>
    <mergeCell ref="B24:J24"/>
    <mergeCell ref="B25:E25"/>
    <mergeCell ref="B26:E26"/>
    <mergeCell ref="B27:E27"/>
    <mergeCell ref="B28:E28"/>
    <mergeCell ref="B29:E29"/>
    <mergeCell ref="B30:E30"/>
    <mergeCell ref="B31:E31"/>
    <mergeCell ref="B33:H33"/>
    <mergeCell ref="B52:H52"/>
    <mergeCell ref="B53:E53"/>
    <mergeCell ref="B54:E54"/>
    <mergeCell ref="B55:E55"/>
    <mergeCell ref="B56:E56"/>
    <mergeCell ref="B57:E57"/>
    <mergeCell ref="B58:E58"/>
    <mergeCell ref="B60:H60"/>
  </mergeCells>
  <conditionalFormatting sqref="J15:J22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1">
      <formula>"Em andamento"</formula>
    </cfRule>
    <cfRule type="cellIs" priority="4" operator="equal" aboveAverage="0" equalAverage="0" bottom="0" percent="0" rank="0" text="" dxfId="2">
      <formula>"Não iniciada"</formula>
    </cfRule>
  </conditionalFormatting>
  <conditionalFormatting sqref="F27:F29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conditionalFormatting sqref="H35:H50">
    <cfRule type="cellIs" priority="7" operator="equal" aboveAverage="0" equalAverage="0" bottom="0" percent="0" rank="0" text="" dxfId="0">
      <formula>"Sim"</formula>
    </cfRule>
    <cfRule type="cellIs" priority="8" operator="equal" aboveAverage="0" equalAverage="0" bottom="0" percent="0" rank="0" text="" dxfId="2">
      <formula>"Não"</formula>
    </cfRule>
  </conditionalFormatting>
  <conditionalFormatting sqref="G35:G50">
    <cfRule type="expression" priority="9" aboveAverage="0" equalAverage="0" bottom="0" percent="0" rank="0" text="" dxfId="3">
      <formula>ISNA(G35)</formula>
    </cfRule>
  </conditionalFormatting>
  <conditionalFormatting sqref="F58">
    <cfRule type="cellIs" priority="10" operator="equal" aboveAverage="0" equalAverage="0" bottom="0" percent="0" rank="0" text="" dxfId="0">
      <formula>"Meta atingida: padronize"</formula>
    </cfRule>
    <cfRule type="cellIs" priority="11" operator="equal" aboveAverage="0" equalAverage="0" bottom="0" percent="0" rank="0" text="" dxfId="1">
      <formula>"Meta não atingida: volte à análise das causas"</formula>
    </cfRule>
  </conditionalFormatting>
  <dataValidations count="7">
    <dataValidation allowBlank="true" error="Escolha uma das opções da lista." errorStyle="stop" errorTitle="Valor inválido" operator="between" prompt="O indicador melhora quando sobe ou quando desce?" promptTitle="Opções" showDropDown="false" showErrorMessage="true" showInputMessage="true" sqref="D10" type="list">
      <formula1>"Maior é melhor,Menor é melhor"</formula1>
      <formula2>0</formula2>
    </dataValidation>
    <dataValidation allowBlank="true" error="Digite uma data no formato dia/mês/ano." errorStyle="stop" errorTitle="Data inválida" operator="greaterThanOrEqual" showDropDown="false" showErrorMessage="true" showInputMessage="false" sqref="H5 H10 I15:I22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D9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H9" type="decimal">
      <formula1>-1000000000</formula1>
      <formula2>1000000000</formula2>
    </dataValidation>
    <dataValidation allowBlank="true" error="Escolha uma das opções da lista." errorStyle="stop" errorTitle="Valor inválido" operator="between" prompt="Não iniciada, Em andamento ou Concluída" promptTitle="Opções" showDropDown="false" showErrorMessage="true" showInputMessage="true" sqref="J15:J22" type="list">
      <formula1>"Não iniciada,Em andamento,Concluída"</formula1>
      <formula2>0</formula2>
    </dataValidation>
    <dataValidation allowBlank="true" error="Escolha uma das opções da lista." errorStyle="stop" errorTitle="Valor inválido" operator="between" prompt="Antes, Durante ou Depois das ações" promptTitle="Opções" showDropDown="false" showErrorMessage="true" showInputMessage="true" sqref="D35:D50" type="list">
      <formula1>"Antes,Durante,Depois"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35:E50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2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2026-09-29T14:37:58Z</dcterms:created>
  <dc:creator>Modelo PDCA</dc:creator>
  <dc:description/>
  <dc:language>pt-BR</dc:language>
  <cp:lastModifiedBy/>
  <dcterms:modified xsi:type="dcterms:W3CDTF">2026-09-29T14:37:58Z</dcterms:modified>
  <cp:revision>0</cp:revision>
  <dc:subject/>
  <dc:title>PDCA — Modelo de ciclo de melhoria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