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Conhecimento" sheetId="2" state="visible" r:id="rId4"/>
    <sheet name="Lições" sheetId="3" state="visible" r:id="rId5"/>
    <sheet name="Pós-entrega" sheetId="4" state="visible" r:id="rId6"/>
    <sheet name="Atendimentos" sheetId="5" state="visible" r:id="rId7"/>
    <sheet name="Painel" sheetId="6" state="visible" r:id="rId8"/>
    <sheet name="Checklist" sheetId="7" state="visible" r:id="rId9"/>
    <sheet name="Exemplo 1 - Pizzaria" sheetId="8" state="visible" r:id="rId10"/>
    <sheet name="Exemplo 2 - Indústria" sheetId="9" state="visible" r:id="rId11"/>
  </sheets>
  <definedNames>
    <definedName function="false" hidden="false" localSheetId="4" name="_xlnm.Print_Area" vbProcedure="false">Atendimentos!$B$1:$P$91</definedName>
    <definedName function="false" hidden="false" localSheetId="6" name="_xlnm.Print_Area" vbProcedure="false">Checklist!$B$1:$E$24</definedName>
    <definedName function="false" hidden="false" localSheetId="1" name="_xlnm.Print_Area" vbProcedure="false">Conhecimento!$B$1:$O$52</definedName>
    <definedName function="false" hidden="false" localSheetId="7" name="_xlnm.Print_Area" vbProcedure="false">'Exemplo 1 - Pizzaria'!$B$1:$Q$50</definedName>
    <definedName function="false" hidden="false" localSheetId="8" name="_xlnm.Print_Area" vbProcedure="false">'Exemplo 2 - Indústria'!$B$1:$Q$51</definedName>
    <definedName function="false" hidden="false" localSheetId="0" name="_xlnm.Print_Area" vbProcedure="false">Instruções!$B$1:$C$44</definedName>
    <definedName function="false" hidden="false" localSheetId="2" name="_xlnm.Print_Area" vbProcedure="false">Lições!$B$1:$N$71</definedName>
    <definedName function="false" hidden="false" localSheetId="5" name="_xlnm.Print_Area" vbProcedure="false">Painel!$B$1:$F$45</definedName>
    <definedName function="false" hidden="false" localSheetId="3" name="_xlnm.Print_Area" vbProcedure="false">'Pós-entrega'!$B$1:$J$30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6" authorId="0">
      <text>
        <r>
          <rPr>
            <sz val="10"/>
            <rFont val="Arial"/>
            <family val="2"/>
          </rPr>
          <t xml:space="preserve">Só na cabeça: não está em lugar nenhum. Escrito: há documento. Escrito e treinado: há documento, e outras pessoas já fizeram sozinhas.</t>
        </r>
      </text>
    </comment>
    <comment ref="I6" authorId="0">
      <text>
        <r>
          <rPr>
            <sz val="10"/>
            <rFont val="Arial"/>
            <family val="2"/>
          </rPr>
          <t xml:space="preserve">Quantas pessoas fazem a tarefa sozinhas, com o resultado certo. Quem só leu o documento não conta.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4" authorId="0">
      <text>
        <r>
          <rPr>
            <sz val="10"/>
            <rFont val="Arial"/>
            <family val="2"/>
          </rPr>
          <t xml:space="preserve">A regra nova, numa frase: o que passa a ser feito de outro jeito. Não basta contar o caso.</t>
        </r>
      </text>
    </comment>
    <comment ref="H4" authorId="0">
      <text>
        <r>
          <rPr>
            <sz val="10"/>
            <rFont val="Arial"/>
            <family val="2"/>
          </rPr>
          <t xml:space="preserve">O documento, a instrução, a embalagem ou o treinamento em que a lição vai entrar. Sem destino, a lição não muda o processo.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4" authorId="0">
      <text>
        <r>
          <rPr>
            <sz val="10"/>
            <rFont val="Arial"/>
            <family val="2"/>
          </rPr>
          <t xml:space="preserve">O menor prazo que o cliente tem para reclamar, pela lei (consumidor) ou pelo contrato (entre empresas). Confira a legislação e os contratos vigentes.</t>
        </r>
      </text>
    </comment>
    <comment ref="H4" authorId="0">
      <text>
        <r>
          <rPr>
            <sz val="10"/>
            <rFont val="Arial"/>
            <family val="2"/>
          </rPr>
          <t xml:space="preserve">Em quantos dias corridos a organização se compromete a resolver um atendimento deste produto.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K4" authorId="0">
      <text>
        <r>
          <rPr>
            <sz val="10"/>
            <rFont val="Arial"/>
            <family val="2"/>
          </rPr>
          <t xml:space="preserve">Obrigatória quando o atendimento está resolvido e é reclamação, garantia, devolução. Sem causa, a reclamação volta.</t>
        </r>
      </text>
    </comment>
    <comment ref="L4" authorId="0">
      <text>
        <r>
          <rPr>
            <sz val="10"/>
            <rFont val="Arial"/>
            <family val="2"/>
          </rPr>
          <t xml:space="preserve">O número da lição aprendida que o atendimento gerou ou confirmou, na aba Lições.</t>
        </r>
      </text>
    </comment>
  </commentList>
</comments>
</file>

<file path=xl/sharedStrings.xml><?xml version="1.0" encoding="utf-8"?>
<sst xmlns="http://schemas.openxmlformats.org/spreadsheetml/2006/main" count="713" uniqueCount="422">
  <si>
    <t xml:space="preserve">Conhecimento organizacional e pós-entrega — Como usar esta planilha</t>
  </si>
  <si>
    <t xml:space="preserve">Modelo para mapear o conhecimento, registrar as lições aprendidas, definir o pós-entrega e acompanhar os atendimentos.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</si>
  <si>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</si>
  <si>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</si>
  <si>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</si>
  <si>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</si>
  <si>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(pontos, situações, dias, prazos, conferências).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</si>
  <si>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</si>
  <si>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</si>
  <si>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</si>
  <si>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Criticidade, forma, saída prevista, origem, produto, tipo de atendimento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</si>
  <si>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</si>
  <si>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</si>
  <si>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</si>
  <si>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Pontos de exposição</t>
  </si>
  <si>
    <t xml:space="preserve">Forma: só na cabeça 2, escrito 1, escrito e treinado 0. Pessoas que sabem fazer sozinhas: uma ou nenhuma 2, duas 1, três ou mais 0. Saída prevista: mais 1.</t>
  </si>
  <si>
    <t xml:space="preserve">Crítico</t>
  </si>
  <si>
    <t xml:space="preserve">Criticidade alta com 3 pontos ou mais.</t>
  </si>
  <si>
    <t xml:space="preserve">Em risco</t>
  </si>
  <si>
    <t xml:space="preserve">Criticidade alta ou média com 2 pontos ou mais, quando não é crítico.</t>
  </si>
  <si>
    <t xml:space="preserve">Sob controle</t>
  </si>
  <si>
    <t xml:space="preserve">Os demais, inclusive todo conhecimento de criticidade baixa.</t>
  </si>
  <si>
    <t xml:space="preserve">Lição pendente</t>
  </si>
  <si>
    <t xml:space="preserve">Sem data de incorporação. Vira aviso quando passa de 60 dias da data do caso.</t>
  </si>
  <si>
    <t xml:space="preserve">Prazo do atendimento</t>
  </si>
  <si>
    <t xml:space="preserve">O prazo de resposta do produto, na aba Pós-entrega.</t>
  </si>
  <si>
    <t xml:space="preserve">Dias do atendimento</t>
  </si>
  <si>
    <t xml:space="preserve">Da abertura à resolução. Se ainda está aberto, da abertura à data da leitura.</t>
  </si>
  <si>
    <t xml:space="preserve">Causa</t>
  </si>
  <si>
    <t xml:space="preserve">Obrigatória quando o atendimento está resolvido e é reclamação, garantia, devolução.</t>
  </si>
  <si>
    <t xml:space="preserve">Ordem recomendada de preenchimento</t>
  </si>
  <si>
    <t xml:space="preserve">Passo 1</t>
  </si>
  <si>
    <t xml:space="preserve">Aba Conhecimento: informe a data da leitura.</t>
  </si>
  <si>
    <t xml:space="preserve">Passo 2</t>
  </si>
  <si>
    <t xml:space="preserve">Aba Conhecimento: liste o que cada processo precisa saber, com criticidade, forma, onde está, quem sabe e saída prevista. Para o que estiver crítico ou em risco, a ação e o prazo.</t>
  </si>
  <si>
    <t xml:space="preserve">Passo 3</t>
  </si>
  <si>
    <t xml:space="preserve">Aba Lições: registre os casos que ensinaram alguma coisa, com o destino e o responsável.</t>
  </si>
  <si>
    <t xml:space="preserve">Passo 4</t>
  </si>
  <si>
    <t xml:space="preserve">Aba Pós-entrega: a política de cada produto, com o mínimo da lei ou do contrato, o prazo aceito, o que se faz e o prazo de resposta.</t>
  </si>
  <si>
    <t xml:space="preserve">Passo 5</t>
  </si>
  <si>
    <t xml:space="preserve">Aba Atendimentos: as reclamações, garantias, devoluções, assistências e orientações do período.</t>
  </si>
  <si>
    <t xml:space="preserve">Passo 6</t>
  </si>
  <si>
    <t xml:space="preserve">Aba Painel: leia os avisos. Depois, valide na aba Checklist.</t>
  </si>
  <si>
    <t xml:space="preserve">Abas da planilha</t>
  </si>
  <si>
    <t xml:space="preserve">Conhecimento</t>
  </si>
  <si>
    <t xml:space="preserve">A data da leitura e até 40 conhecimentos. Calcula os pontos, a situação e a conferência.</t>
  </si>
  <si>
    <t xml:space="preserve">Lições</t>
  </si>
  <si>
    <t xml:space="preserve">Até 60 lições aprendidas. Calcula a situação, os dias pendentes e a conferência.</t>
  </si>
  <si>
    <t xml:space="preserve">Pós-entrega</t>
  </si>
  <si>
    <t xml:space="preserve">Até 20 produtos ou serviços, com a política de cada um. Calcula a conferência.</t>
  </si>
  <si>
    <t xml:space="preserve">Atendimentos</t>
  </si>
  <si>
    <t xml:space="preserve">Até 80 atendimentos. Calcula o prazo, os dias, a situação e a conferência.</t>
  </si>
  <si>
    <t xml:space="preserve">Painel</t>
  </si>
  <si>
    <t xml:space="preserve">Os números das quatro abas, o gráfico do conhecimento e o aviso.</t>
  </si>
  <si>
    <t xml:space="preserve">Checklist</t>
  </si>
  <si>
    <t xml:space="preserve">Doze verificações do conhecimento e do pós-entrega, com percentual de conclusão.</t>
  </si>
  <si>
    <t xml:space="preserve">Exemplo 1 - Pizzaria</t>
  </si>
  <si>
    <t xml:space="preserve">A loja, lida em 31/05/2027.</t>
  </si>
  <si>
    <t xml:space="preserve">Exemplo 2 - Indústria</t>
  </si>
  <si>
    <t xml:space="preserve">A fábrica, lida em 30/09/2027.</t>
  </si>
  <si>
    <t xml:space="preserve">Regras e premissas do modelo</t>
  </si>
  <si>
    <t xml:space="preserve">Pessoas que sabem</t>
  </si>
  <si>
    <t xml:space="preserve">Conte quem faz sozinho, com o resultado certo. Quem só leu o documento não conta.</t>
  </si>
  <si>
    <t xml:space="preserve">Mínimo para reclamar</t>
  </si>
  <si>
    <t xml:space="preserve">O prazo da lei, para o consumidor, ou o do contrato, entre empresas. Confira a legislação e os contratos vigentes.</t>
  </si>
  <si>
    <t xml:space="preserve">Prazos em dias</t>
  </si>
  <si>
    <t xml:space="preserve">Todos os prazos são em dias corridos.</t>
  </si>
  <si>
    <t xml:space="preserve">Exemplos</t>
  </si>
  <si>
    <t xml:space="preserve">Os dados das abas de exemplo são ilustrativos, criados para este material.</t>
  </si>
  <si>
    <t xml:space="preserve">Mapa do conhecimento</t>
  </si>
  <si>
    <t xml:space="preserve">Um conhecimento por linha: quão exposto ele está, e o que se faz para protegê-lo.</t>
  </si>
  <si>
    <t xml:space="preserve">Data da leitura</t>
  </si>
  <si>
    <t xml:space="preserve">Usada para saber que ações venceram e há quanto tempo cada lição e cada atendimento estão abertos.</t>
  </si>
  <si>
    <t xml:space="preserve">#</t>
  </si>
  <si>
    <t xml:space="preserve">Código</t>
  </si>
  <si>
    <t xml:space="preserve">Processo</t>
  </si>
  <si>
    <t xml:space="preserve">Criticidade</t>
  </si>
  <si>
    <t xml:space="preserve">Forma</t>
  </si>
  <si>
    <t xml:space="preserve">Onde está</t>
  </si>
  <si>
    <t xml:space="preserve">Saída prevista?</t>
  </si>
  <si>
    <t xml:space="preserve">Ação de transferência</t>
  </si>
  <si>
    <t xml:space="preserve">Prazo</t>
  </si>
  <si>
    <t xml:space="preserve">Pontos</t>
  </si>
  <si>
    <t xml:space="preserve">Situação</t>
  </si>
  <si>
    <t xml:space="preserve">Conferência</t>
  </si>
  <si>
    <t xml:space="preserve">K-01</t>
  </si>
  <si>
    <t xml:space="preserve">O que é preciso saber</t>
  </si>
  <si>
    <t xml:space="preserve">Lista</t>
  </si>
  <si>
    <t xml:space="preserve">Documento</t>
  </si>
  <si>
    <t xml:space="preserve">Fazem sozinhas</t>
  </si>
  <si>
    <t xml:space="preserve">Se crítico ou em risco</t>
  </si>
  <si>
    <t xml:space="preserve">Data</t>
  </si>
  <si>
    <t xml:space="preserve">Calculado</t>
  </si>
  <si>
    <t xml:space="preserve">Calculada</t>
  </si>
  <si>
    <t xml:space="preserve">Resumo automático</t>
  </si>
  <si>
    <t xml:space="preserve">Conhecimentos mapeados</t>
  </si>
  <si>
    <t xml:space="preserve">Por situação</t>
  </si>
  <si>
    <t xml:space="preserve">Aviso</t>
  </si>
  <si>
    <t xml:space="preserve">Lições aprendidas</t>
  </si>
  <si>
    <t xml:space="preserve">Uma lição por linha: o caso, o que se aprendeu, para onde vai e quem leva.</t>
  </si>
  <si>
    <t xml:space="preserve">Nº</t>
  </si>
  <si>
    <t xml:space="preserve">Origem</t>
  </si>
  <si>
    <t xml:space="preserve">O que aconteceu</t>
  </si>
  <si>
    <t xml:space="preserve">O que aprendemos</t>
  </si>
  <si>
    <t xml:space="preserve">Onde incorporar</t>
  </si>
  <si>
    <t xml:space="preserve">Responsável</t>
  </si>
  <si>
    <t xml:space="preserve">Incorporada em</t>
  </si>
  <si>
    <t xml:space="preserve">Dias pendente</t>
  </si>
  <si>
    <t xml:space="preserve">L-01</t>
  </si>
  <si>
    <t xml:space="preserve">Data do caso</t>
  </si>
  <si>
    <t xml:space="preserve">A regra nova</t>
  </si>
  <si>
    <t xml:space="preserve">Documento ou treinamento</t>
  </si>
  <si>
    <t xml:space="preserve">Código, se houver</t>
  </si>
  <si>
    <t xml:space="preserve">Ex.</t>
  </si>
  <si>
    <t xml:space="preserve">Reclamação</t>
  </si>
  <si>
    <t xml:space="preserve">Pizza chegou fria</t>
  </si>
  <si>
    <t xml:space="preserve">Bolsa térmica fechada até a entrega</t>
  </si>
  <si>
    <t xml:space="preserve">Instrução IT-EXP-01</t>
  </si>
  <si>
    <t xml:space="preserve">Gerente</t>
  </si>
  <si>
    <t xml:space="preserve">K-04</t>
  </si>
  <si>
    <t xml:space="preserve">Incorporada</t>
  </si>
  <si>
    <t xml:space="preserve">OK</t>
  </si>
  <si>
    <t xml:space="preserve">Lições registradas</t>
  </si>
  <si>
    <t xml:space="preserve">Política de pós-entrega</t>
  </si>
  <si>
    <t xml:space="preserve">Um produto ou serviço por linha: o que se faz depois da entrega, e com que prazos.</t>
  </si>
  <si>
    <t xml:space="preserve">Produto ou serviço</t>
  </si>
  <si>
    <t xml:space="preserve">Vida útil</t>
  </si>
  <si>
    <t xml:space="preserve">Mínimo para reclamar (dias)</t>
  </si>
  <si>
    <t xml:space="preserve">Prazo aceito (dias)</t>
  </si>
  <si>
    <t xml:space="preserve">O que se faz depois da entrega</t>
  </si>
  <si>
    <t xml:space="preserve">Prazo de resposta (dias)</t>
  </si>
  <si>
    <t xml:space="preserve">O que se quer evitar no uso</t>
  </si>
  <si>
    <t xml:space="preserve">Validade, durabilidade</t>
  </si>
  <si>
    <t xml:space="preserve">Lei ou contrato</t>
  </si>
  <si>
    <t xml:space="preserve">O que a casa aceita</t>
  </si>
  <si>
    <t xml:space="preserve">Troca, laudo, visita, orientação</t>
  </si>
  <si>
    <t xml:space="preserve">Dias corridos</t>
  </si>
  <si>
    <t xml:space="preserve">Consequência indesejada</t>
  </si>
  <si>
    <t xml:space="preserve">Massa congelada para levar</t>
  </si>
  <si>
    <t xml:space="preserve">60 dias no freezer</t>
  </si>
  <si>
    <t xml:space="preserve">Troca ou devolução do valor</t>
  </si>
  <si>
    <t xml:space="preserve">Descongelar e congelar de novo</t>
  </si>
  <si>
    <t xml:space="preserve">Produtos com política</t>
  </si>
  <si>
    <t xml:space="preserve">Atendimentos depois da entrega</t>
  </si>
  <si>
    <t xml:space="preserve">Um atendimento por linha. O prazo vem da política do produto, na aba Pós-entrega.</t>
  </si>
  <si>
    <t xml:space="preserve">Abertura</t>
  </si>
  <si>
    <t xml:space="preserve">Cliente</t>
  </si>
  <si>
    <t xml:space="preserve">Produto</t>
  </si>
  <si>
    <t xml:space="preserve">Tipo</t>
  </si>
  <si>
    <t xml:space="preserve">Relato</t>
  </si>
  <si>
    <t xml:space="preserve">Resolução</t>
  </si>
  <si>
    <t xml:space="preserve">Custo</t>
  </si>
  <si>
    <t xml:space="preserve">Lição</t>
  </si>
  <si>
    <t xml:space="preserve">Dias</t>
  </si>
  <si>
    <t xml:space="preserve">A-01</t>
  </si>
  <si>
    <t xml:space="preserve">O que o cliente disse</t>
  </si>
  <si>
    <t xml:space="preserve">Data, se resolvido</t>
  </si>
  <si>
    <t xml:space="preserve">R$</t>
  </si>
  <si>
    <t xml:space="preserve">Por que aconteceu</t>
  </si>
  <si>
    <t xml:space="preserve">Cliente do bairro A</t>
  </si>
  <si>
    <t xml:space="preserve">Pizza entregue</t>
  </si>
  <si>
    <t xml:space="preserve">Pizza fria</t>
  </si>
  <si>
    <t xml:space="preserve">Entregador com 4 pedidos</t>
  </si>
  <si>
    <t xml:space="preserve">No prazo</t>
  </si>
  <si>
    <t xml:space="preserve">Painel do conhecimento e do pós-entrega</t>
  </si>
  <si>
    <t xml:space="preserve">Nada a preencher: tudo vem das outras abas.</t>
  </si>
  <si>
    <t xml:space="preserve">Indicador</t>
  </si>
  <si>
    <t xml:space="preserve">Resultado</t>
  </si>
  <si>
    <t xml:space="preserve">Como se lê</t>
  </si>
  <si>
    <t xml:space="preserve">CONHECIMENTO</t>
  </si>
  <si>
    <t xml:space="preserve">Da aba Conhecimento.</t>
  </si>
  <si>
    <t xml:space="preserve">Alta criticidade e muito exposto.</t>
  </si>
  <si>
    <t xml:space="preserve">Exposto, alta ou média criticidade.</t>
  </si>
  <si>
    <t xml:space="preserve">Protegido, ou de pouco efeito.</t>
  </si>
  <si>
    <t xml:space="preserve">Expostos sem ação de transferência</t>
  </si>
  <si>
    <t xml:space="preserve">Ninguém está transferindo.</t>
  </si>
  <si>
    <t xml:space="preserve">Ações de transferência vencidas</t>
  </si>
  <si>
    <t xml:space="preserve">O prazo passou.</t>
  </si>
  <si>
    <t xml:space="preserve">LIÇÕES APRENDIDAS</t>
  </si>
  <si>
    <t xml:space="preserve">Da aba Lições.</t>
  </si>
  <si>
    <t xml:space="preserve">Lições pendentes</t>
  </si>
  <si>
    <t xml:space="preserve">Sem data de incorporação.</t>
  </si>
  <si>
    <t xml:space="preserve">Pendentes há mais de 60 dias</t>
  </si>
  <si>
    <t xml:space="preserve">Paradas: dar dono e prazo.</t>
  </si>
  <si>
    <t xml:space="preserve">PÓS-ENTREGA</t>
  </si>
  <si>
    <t xml:space="preserve">Da aba Pós-entrega.</t>
  </si>
  <si>
    <t xml:space="preserve">Prazo aceito menor que o mínimo</t>
  </si>
  <si>
    <t xml:space="preserve">Abaixo da lei ou do contrato.</t>
  </si>
  <si>
    <t xml:space="preserve">Da aba Atendimentos.</t>
  </si>
  <si>
    <t xml:space="preserve">Abertos</t>
  </si>
  <si>
    <t xml:space="preserve">Ainda sem resolução.</t>
  </si>
  <si>
    <t xml:space="preserve">Fora do prazo, resolvidos ou não</t>
  </si>
  <si>
    <t xml:space="preserve">Passaram do prazo de resposta.</t>
  </si>
  <si>
    <t xml:space="preserve">Resolvidos no prazo</t>
  </si>
  <si>
    <t xml:space="preserve">Entre os resolvidos.</t>
  </si>
  <si>
    <t xml:space="preserve">Custo dos atendimentos</t>
  </si>
  <si>
    <t xml:space="preserve">Reposições, descontos, fretes, horas.</t>
  </si>
  <si>
    <t xml:space="preserve">Linhas a completar</t>
  </si>
  <si>
    <t xml:space="preserve">Conferências diferentes de OK nas quatro abas.</t>
  </si>
  <si>
    <t xml:space="preserve">Conhecimentos por situação</t>
  </si>
  <si>
    <t xml:space="preserve">Checklist do conhecimento e do pós-entrega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</si>
  <si>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</si>
  <si>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</si>
  <si>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</si>
  <si>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</si>
  <si>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O conhecimento necessário para cada processo está mapeado, com a criticidade.</t>
  </si>
  <si>
    <t xml:space="preserve">Para cada conhecimento, sabe-se quantas pessoas o dominam e onde está escrito.</t>
  </si>
  <si>
    <t xml:space="preserve">O conhecimento crítico que só uma pessoa sabe tem ação de transferência com prazo.</t>
  </si>
  <si>
    <t xml:space="preserve">Saídas previstas, como aposentadoria e mudança, entram no mapa com antecedência.</t>
  </si>
  <si>
    <t xml:space="preserve">As lições aprendidas são registradas, com o que aconteceu e o que se aprendeu.</t>
  </si>
  <si>
    <t xml:space="preserve">Cada lição tem destino: um documento, uma instrução ou um treinamento.</t>
  </si>
  <si>
    <t xml:space="preserve">Lições pendentes são lidas todo mês, e nenhuma fica parada sem responsável.</t>
  </si>
  <si>
    <t xml:space="preserve">O que a organização faz depois da entrega está definido para cada produto ou serviço.</t>
  </si>
  <si>
    <t xml:space="preserve">Os prazos aceitos para reclamar respeitam a lei e os contratos.</t>
  </si>
  <si>
    <t xml:space="preserve">As reclamações, garantias e assistências são registradas, com prazo de resposta.</t>
  </si>
  <si>
    <t xml:space="preserve">Cada reclamação resolvida tem a causa registrada.</t>
  </si>
  <si>
    <t xml:space="preserve">O que o pós-entrega ensina volta como lição aprendida.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</si>
  <si>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</si>
  <si>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</si>
  <si>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</si>
  <si>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</si>
  <si>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</si>
  <si>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Conhecimento organizacional e pós-entrega</t>
  </si>
  <si>
    <t xml:space="preserve">Exemplo preenchido, para consulta. Use as abas de entrada para a sua organização.</t>
  </si>
  <si>
    <t xml:space="preserve">Organização</t>
  </si>
  <si>
    <t xml:space="preserve">Pizzaria (loja com salão e delivery)</t>
  </si>
  <si>
    <t xml:space="preserve">Gerente da loja</t>
  </si>
  <si>
    <t xml:space="preserve">Mudança prevista</t>
  </si>
  <si>
    <t xml:space="preserve">O pizzaiolo líder, há 12 anos na loja, muda de cidade em agosto de 2027.</t>
  </si>
  <si>
    <t xml:space="preserve">Diagnóstico ISO de 2026: requisito 7.1.6 atendido em parte. As receitas estavam escritas, e a regulagem do forno só o pizzaiolo líder conhecia.</t>
  </si>
  <si>
    <t xml:space="preserve">Quem sabe</t>
  </si>
  <si>
    <t xml:space="preserve">Saída prevista</t>
  </si>
  <si>
    <t xml:space="preserve">Regulagem do forno e da chama do lastro</t>
  </si>
  <si>
    <t xml:space="preserve">Produção</t>
  </si>
  <si>
    <t xml:space="preserve">Alta</t>
  </si>
  <si>
    <t xml:space="preserve">Só na cabeça</t>
  </si>
  <si>
    <t xml:space="preserve">Sim</t>
  </si>
  <si>
    <t xml:space="preserve">O pizzaiolo líder escreve a regulagem, grava um vídeo e acompanha os dois pizzaiolos no forno.</t>
  </si>
  <si>
    <t xml:space="preserve">K-02</t>
  </si>
  <si>
    <t xml:space="preserve">Ponto da massa pela temperatura da cozinha</t>
  </si>
  <si>
    <t xml:space="preserve">Escrito</t>
  </si>
  <si>
    <t xml:space="preserve">Receita RC-01</t>
  </si>
  <si>
    <t xml:space="preserve">Não</t>
  </si>
  <si>
    <t xml:space="preserve">K-03</t>
  </si>
  <si>
    <t xml:space="preserve">Receitas das pizzas</t>
  </si>
  <si>
    <t xml:space="preserve">Escrito e treinado</t>
  </si>
  <si>
    <t xml:space="preserve">Receitas RC-01 a RC-24</t>
  </si>
  <si>
    <t xml:space="preserve">Montagem e conferência do pedido</t>
  </si>
  <si>
    <t xml:space="preserve">Expedição</t>
  </si>
  <si>
    <t xml:space="preserve">K-05</t>
  </si>
  <si>
    <t xml:space="preserve">Uso do sistema de pedidos novo</t>
  </si>
  <si>
    <t xml:space="preserve">Atendimento</t>
  </si>
  <si>
    <t xml:space="preserve">Média</t>
  </si>
  <si>
    <t xml:space="preserve">O gerente escreve o passo a passo do sábado, com as telas.</t>
  </si>
  <si>
    <t xml:space="preserve">K-06</t>
  </si>
  <si>
    <t xml:space="preserve">Contingência da câmara fria</t>
  </si>
  <si>
    <t xml:space="preserve">Estoque</t>
  </si>
  <si>
    <t xml:space="preserve">Contingência CT-02, na porta da câmara</t>
  </si>
  <si>
    <t xml:space="preserve">Treinar a equipe do domingo na contingência, com simulação.</t>
  </si>
  <si>
    <t xml:space="preserve">K-07</t>
  </si>
  <si>
    <t xml:space="preserve">Rotas e atalhos do bairro</t>
  </si>
  <si>
    <t xml:space="preserve">Entrega</t>
  </si>
  <si>
    <t xml:space="preserve">Baixa</t>
  </si>
  <si>
    <t xml:space="preserve">Conhec.</t>
  </si>
  <si>
    <t xml:space="preserve">Pizza chegou fria.</t>
  </si>
  <si>
    <t xml:space="preserve">A bolsa térmica fica fechada até a entrega, e a pizza sai com 65 °C ou mais.</t>
  </si>
  <si>
    <t xml:space="preserve">L-02</t>
  </si>
  <si>
    <t xml:space="preserve">Cliente pediu sem cebola e recebeu com cebola.</t>
  </si>
  <si>
    <t xml:space="preserve">A observação do pedido precisa sair em destaque na etiqueta.</t>
  </si>
  <si>
    <t xml:space="preserve">Etiqueta do sistema de pedidos</t>
  </si>
  <si>
    <t xml:space="preserve">L-03</t>
  </si>
  <si>
    <t xml:space="preserve">Câmara fria parou, e a contingência foi improvisada.</t>
  </si>
  <si>
    <t xml:space="preserve">Quebra</t>
  </si>
  <si>
    <t xml:space="preserve">A contingência precisa estar escrita e na porta da câmara.</t>
  </si>
  <si>
    <t xml:space="preserve">Contingência CT-02</t>
  </si>
  <si>
    <t xml:space="preserve">L-04</t>
  </si>
  <si>
    <t xml:space="preserve">Corrente da moto partiu na entrega.</t>
  </si>
  <si>
    <t xml:space="preserve">A revisão mensal precisa conferir a corrente.</t>
  </si>
  <si>
    <t xml:space="preserve">Roteiro de revisão das motos</t>
  </si>
  <si>
    <t xml:space="preserve">L-05</t>
  </si>
  <si>
    <t xml:space="preserve">Chama do forno apagando, e só o pizzaiolo líder sabia regular.</t>
  </si>
  <si>
    <t xml:space="preserve">A regulagem do forno precisa estar escrita.</t>
  </si>
  <si>
    <t xml:space="preserve">Instrução do forno IT-PRO-02</t>
  </si>
  <si>
    <t xml:space="preserve">Pizzaiolo líder</t>
  </si>
  <si>
    <t xml:space="preserve">L-06</t>
  </si>
  <si>
    <t xml:space="preserve">Clientes perguntam como reaquecer a pizza.</t>
  </si>
  <si>
    <t xml:space="preserve">Embalagem</t>
  </si>
  <si>
    <t xml:space="preserve">Mínimo (dias)</t>
  </si>
  <si>
    <t xml:space="preserve">Aceito (dias)</t>
  </si>
  <si>
    <t xml:space="preserve">O que se faz</t>
  </si>
  <si>
    <t xml:space="preserve">Resposta (dias)</t>
  </si>
  <si>
    <t xml:space="preserve">O que se quer evitar</t>
  </si>
  <si>
    <t xml:space="preserve">Consumo no dia; até 3 dias na geladeira</t>
  </si>
  <si>
    <t xml:space="preserve">Reposição ou desconto, e orientação de reaquecimento.</t>
  </si>
  <si>
    <t xml:space="preserve">Cliente comer a pizza depois de 3 dias.</t>
  </si>
  <si>
    <t xml:space="preserve">Pizza no salão</t>
  </si>
  <si>
    <t xml:space="preserve">Consumo no local</t>
  </si>
  <si>
    <t xml:space="preserve">Troca na hora.</t>
  </si>
  <si>
    <t xml:space="preserve">Troca ou devolução do valor, e orientação de armazenagem na embalagem.</t>
  </si>
  <si>
    <t xml:space="preserve">Descongelar e congelar de novo.</t>
  </si>
  <si>
    <t xml:space="preserve">Pizza fria.</t>
  </si>
  <si>
    <t xml:space="preserve">Entregador com 4 pedidos na mesma rota.</t>
  </si>
  <si>
    <t xml:space="preserve">A-02</t>
  </si>
  <si>
    <t xml:space="preserve">Sabor trocado: pediu sem cebola.</t>
  </si>
  <si>
    <t xml:space="preserve">Cliente do bairro B</t>
  </si>
  <si>
    <t xml:space="preserve">Observação do pedido sem destaque na etiqueta.</t>
  </si>
  <si>
    <t xml:space="preserve">A-03</t>
  </si>
  <si>
    <t xml:space="preserve">Borda queimada.</t>
  </si>
  <si>
    <t xml:space="preserve">Chama irregular no forno.</t>
  </si>
  <si>
    <t xml:space="preserve">A-04</t>
  </si>
  <si>
    <t xml:space="preserve">Como descongelar a massa.</t>
  </si>
  <si>
    <t xml:space="preserve">Orientação de uso</t>
  </si>
  <si>
    <t xml:space="preserve">Cliente do balcão</t>
  </si>
  <si>
    <t xml:space="preserve">A-05</t>
  </si>
  <si>
    <t xml:space="preserve">Atraso de uma hora.</t>
  </si>
  <si>
    <t xml:space="preserve">Cliente do bairro C</t>
  </si>
  <si>
    <t xml:space="preserve">A-06</t>
  </si>
  <si>
    <t xml:space="preserve">Pacote rasgado, massa com gelo.</t>
  </si>
  <si>
    <t xml:space="preserve">Devolução</t>
  </si>
  <si>
    <t xml:space="preserve">A-07</t>
  </si>
  <si>
    <t xml:space="preserve">Refrigerante quente.</t>
  </si>
  <si>
    <t xml:space="preserve">Mesa 12</t>
  </si>
  <si>
    <t xml:space="preserve">Geladeira do salão desligada à tarde.</t>
  </si>
  <si>
    <t xml:space="preserve">A-08</t>
  </si>
  <si>
    <t xml:space="preserve">Faltou o refrigerante do combo.</t>
  </si>
  <si>
    <t xml:space="preserve">Indústria de embalagens plásticas</t>
  </si>
  <si>
    <t xml:space="preserve">Analista da Qualidade, com o gerente de produção</t>
  </si>
  <si>
    <t xml:space="preserve">O operador sênior da extrusão se aposenta em dezembro de 2027. O filme D-07 entrou em produção em setembro.</t>
  </si>
  <si>
    <t xml:space="preserve">Análise crítica de julho: as quebras da extrusora 3 mostraram que o desgaste da rosca só era medido pelo técnico do fabricante.</t>
  </si>
  <si>
    <t xml:space="preserve">C-01</t>
  </si>
  <si>
    <t xml:space="preserve">Regulagem da extrusora 3 para filme de 38 a 42 µm</t>
  </si>
  <si>
    <t xml:space="preserve">Extrusão</t>
  </si>
  <si>
    <t xml:space="preserve">Ficha de regulagem FR-03</t>
  </si>
  <si>
    <t xml:space="preserve">O operador sênior acompanha os operadores do turno C por dois meses.</t>
  </si>
  <si>
    <t xml:space="preserve">C-02</t>
  </si>
  <si>
    <t xml:space="preserve">Troca de clichês e acerto de cor</t>
  </si>
  <si>
    <t xml:space="preserve">Impressão</t>
  </si>
  <si>
    <t xml:space="preserve">C-03</t>
  </si>
  <si>
    <t xml:space="preserve">Medição da rosca e diagnóstico de desgaste</t>
  </si>
  <si>
    <t xml:space="preserve">Manutenção</t>
  </si>
  <si>
    <t xml:space="preserve">O contrato com o fabricante inclui o treinamento do mecânico na medição.</t>
  </si>
  <si>
    <t xml:space="preserve">C-04</t>
  </si>
  <si>
    <t xml:space="preserve">Ensaio de resistência da solda</t>
  </si>
  <si>
    <t xml:space="preserve">Laboratório</t>
  </si>
  <si>
    <t xml:space="preserve">Procedimento PE-11</t>
  </si>
  <si>
    <t xml:space="preserve">C-05</t>
  </si>
  <si>
    <t xml:space="preserve">Formulação do filme D-07</t>
  </si>
  <si>
    <t xml:space="preserve">Projeto</t>
  </si>
  <si>
    <t xml:space="preserve">Dossiê do projeto D-07</t>
  </si>
  <si>
    <t xml:space="preserve">C-06</t>
  </si>
  <si>
    <t xml:space="preserve">Restauração do sistema de gestão</t>
  </si>
  <si>
    <t xml:space="preserve">TI</t>
  </si>
  <si>
    <t xml:space="preserve">O analista de TI treina o supervisor administrativo.</t>
  </si>
  <si>
    <t xml:space="preserve">C-07</t>
  </si>
  <si>
    <t xml:space="preserve">Tratamento de reclamação técnica</t>
  </si>
  <si>
    <t xml:space="preserve">Qualidade</t>
  </si>
  <si>
    <t xml:space="preserve">Procedimento PQ-08</t>
  </si>
  <si>
    <t xml:space="preserve">I-01</t>
  </si>
  <si>
    <t xml:space="preserve">Cliente A reclamou de filme fino no lote 135.</t>
  </si>
  <si>
    <t xml:space="preserve">Reclamação de espessura dispara a verificação do micrômetro do posto.</t>
  </si>
  <si>
    <t xml:space="preserve">Analista da Qualidade</t>
  </si>
  <si>
    <t xml:space="preserve">I-02</t>
  </si>
  <si>
    <t xml:space="preserve">Micrômetro de 1 µm era grosso demais para a tolerância.</t>
  </si>
  <si>
    <t xml:space="preserve">Não conformidade</t>
  </si>
  <si>
    <t xml:space="preserve">Na compra de instrumentos, a resolução cabe 10 vezes na tolerância.</t>
  </si>
  <si>
    <t xml:space="preserve">Procedimento de compras PC-02</t>
  </si>
  <si>
    <t xml:space="preserve">Comprador</t>
  </si>
  <si>
    <t xml:space="preserve">I-03</t>
  </si>
  <si>
    <t xml:space="preserve">Resistência da zona 3 queimou, com a preventiva adiada.</t>
  </si>
  <si>
    <t xml:space="preserve">Preventiva de item crítico só é adiada com análise da direção.</t>
  </si>
  <si>
    <t xml:space="preserve">Plano de manutenção PM-01</t>
  </si>
  <si>
    <t xml:space="preserve">Supervisor de manutenção</t>
  </si>
  <si>
    <t xml:space="preserve">I-04</t>
  </si>
  <si>
    <t xml:space="preserve">Rosca desgastada, medida só na preventiva.</t>
  </si>
  <si>
    <t xml:space="preserve">O desgaste da rosca é medido todo mês.</t>
  </si>
  <si>
    <t xml:space="preserve">I-05</t>
  </si>
  <si>
    <t xml:space="preserve">Chiller parou, e o produto afetado não foi registrado.</t>
  </si>
  <si>
    <t xml:space="preserve">Toda quebra registra o produto afetado e o destino dele.</t>
  </si>
  <si>
    <t xml:space="preserve">Formulário de manutenção FM-02</t>
  </si>
  <si>
    <t xml:space="preserve">I-06</t>
  </si>
  <si>
    <t xml:space="preserve">Ensaio a -18 °C quase feito com a câmara vencida.</t>
  </si>
  <si>
    <t xml:space="preserve">Ensaio só começa com os instrumentos conferidos.</t>
  </si>
  <si>
    <t xml:space="preserve">Procedimento PE-14</t>
  </si>
  <si>
    <t xml:space="preserve">I-07</t>
  </si>
  <si>
    <t xml:space="preserve">Bobina telescopada no transporte para o cliente B.</t>
  </si>
  <si>
    <t xml:space="preserve">Bobina acima de 600 mm viaja com cantoneira.</t>
  </si>
  <si>
    <t xml:space="preserve">Filme para congelados D-07</t>
  </si>
  <si>
    <t xml:space="preserve">12 meses em estoque, de 15 a 30 °C</t>
  </si>
  <si>
    <t xml:space="preserve">Laudo da reclamação técnica, visita técnica quando pedida, reposição do lote.</t>
  </si>
  <si>
    <t xml:space="preserve">Embalagem rompendo no freezer do consumidor.</t>
  </si>
  <si>
    <t xml:space="preserve">Filme liso padrão</t>
  </si>
  <si>
    <t xml:space="preserve">12 meses em estoque</t>
  </si>
  <si>
    <t xml:space="preserve">Laudo da reclamação técnica e reposição do lote.</t>
  </si>
  <si>
    <t xml:space="preserve">Filme impresso</t>
  </si>
  <si>
    <t xml:space="preserve">Laudo da reclamação técnica, prova de cor e reposição do lote.</t>
  </si>
  <si>
    <t xml:space="preserve">Cor diferente da marca do cliente na gôndola.</t>
  </si>
  <si>
    <t xml:space="preserve">N-01</t>
  </si>
  <si>
    <t xml:space="preserve">Cor fora do padrão no lote 151.</t>
  </si>
  <si>
    <t xml:space="preserve">Cliente A</t>
  </si>
  <si>
    <t xml:space="preserve">Acerto de cor feito sem a prova aprovada pelo cliente.</t>
  </si>
  <si>
    <t xml:space="preserve">N-02</t>
  </si>
  <si>
    <t xml:space="preserve">Bobinas com furos.</t>
  </si>
  <si>
    <t xml:space="preserve">Garantia</t>
  </si>
  <si>
    <t xml:space="preserve">Cliente B</t>
  </si>
  <si>
    <t xml:space="preserve">Contaminação no material reciclado.</t>
  </si>
  <si>
    <t xml:space="preserve">N-03</t>
  </si>
  <si>
    <t xml:space="preserve">Ajuste da seladora do cliente ao filme novo.</t>
  </si>
  <si>
    <t xml:space="preserve">Assistência técnica</t>
  </si>
  <si>
    <t xml:space="preserve">Cliente C</t>
  </si>
  <si>
    <t xml:space="preserve">N-04</t>
  </si>
  <si>
    <t xml:space="preserve">Rolo com emenda não sinalizada.</t>
  </si>
  <si>
    <t xml:space="preserve">Emenda sem fita colorida no turno C.</t>
  </si>
  <si>
    <t xml:space="preserve">N-05</t>
  </si>
  <si>
    <t xml:space="preserve">Bobina telescopada no transporte.</t>
  </si>
  <si>
    <t xml:space="preserve">Bobina larga sem cantoneira.</t>
  </si>
  <si>
    <t xml:space="preserve">N-06</t>
  </si>
  <si>
    <t xml:space="preserve">Temperatura de selagem.</t>
  </si>
  <si>
    <t xml:space="preserve">Cliente D</t>
  </si>
  <si>
    <t xml:space="preserve">N-07</t>
  </si>
  <si>
    <t xml:space="preserve">Odor de solvente nas bobinas.</t>
  </si>
  <si>
    <t xml:space="preserve">N-08</t>
  </si>
  <si>
    <t xml:space="preserve">Embalagem rasgando a -18 °C no teste do cliente.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</si>
</sst>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##"/>
    <numFmt numFmtId="167" formatCode="General"/>
    <numFmt numFmtId="168" formatCode="&quot;R$ &quot;#,##0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A96A12"/>
        <bgColor rgb="FFB0413E"/>
      </patternFill>
    </fill>
    <fill>
      <patternFill patternType="solid">
        <fgColor rgb="FF7A4A9A"/>
        <bgColor rgb="FF5B6B7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6D9D7"/>
        </patternFill>
      </fill>
    </dxf>
    <dxf>
      <fill>
        <patternFill>
          <bgColor rgb="FFF8EBCB"/>
        </patternFill>
      </fill>
    </dxf>
    <dxf>
      <fill>
        <patternFill>
          <bgColor rgb="FFD8EFDD"/>
        </patternFill>
      </fill>
    </dxf>
    <dxf>
      <fill>
        <patternFill>
          <bgColor rgb="FFFB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"Conhecimentos"</c:f>
              <c:strCache>
                <c:ptCount val="1"/>
                <c:pt idx="0">
                  <c:v>Conhecimentos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Painel!$B$31:$B$33</c:f>
              <c:strCache>
                <c:ptCount val="3"/>
                <c:pt idx="0">
                  <c:v>Crítico</c:v>
                </c:pt>
                <c:pt idx="1">
                  <c:v>Em risco</c:v>
                </c:pt>
                <c:pt idx="2">
                  <c:v>Sob controle</c:v>
                </c:pt>
              </c:strCache>
            </c:strRef>
          </c:cat>
          <c:val>
            <c:numRef>
              <c:f>Painel!$C$31:$C$33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70"/>
        <c:overlap val="0"/>
        <c:axId val="29803120"/>
        <c:axId val="25157057"/>
      </c:barChart>
      <c:catAx>
        <c:axId val="298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57057"/>
        <c:crosses val="autoZero"/>
        <c:auto val="1"/>
        <c:lblAlgn val="ctr"/>
        <c:lblOffset val="100"/>
        <c:noMultiLvlLbl val="0"/>
      </c:catAx>
      <c:valAx>
        <c:axId val="2515705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0312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29</xdr:row>
      <xdr:rowOff>0</xdr:rowOff>
    </xdr:from>
    <xdr:to>
      <xdr:col>5</xdr:col>
      <xdr:colOff>2346120</xdr:colOff>
      <xdr:row>42</xdr:row>
      <xdr:rowOff>43200</xdr:rowOff>
    </xdr:to>
    <xdr:graphicFrame>
      <xdr:nvGraphicFramePr>
        <xdr:cNvPr id="0" name="Chart 1"/>
        <xdr:cNvGraphicFramePr/>
      </xdr:nvGraphicFramePr>
      <xdr:xfrm>
        <a:off x="3806280" y="77630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31.5" hidden="false" customHeight="true" outlineLevel="0" collapsed="false">
      <c r="B12" s="4" t="s">
        <v>14</v>
      </c>
      <c r="C12" s="7" t="s">
        <v>15</v>
      </c>
    </row>
    <row r="13" customFormat="false" ht="19.5" hidden="false" customHeight="true" outlineLevel="0" collapsed="false">
      <c r="B13" s="4" t="s">
        <v>16</v>
      </c>
      <c r="C13" s="7" t="s">
        <v>17</v>
      </c>
    </row>
    <row r="14" customFormat="false" ht="19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7" customFormat="false" ht="19.5" hidden="false" customHeight="true" outlineLevel="0" collapsed="false">
      <c r="B17" s="4" t="s">
        <v>24</v>
      </c>
      <c r="C17" s="7" t="s">
        <v>25</v>
      </c>
    </row>
    <row r="18" customFormat="false" ht="19.5" hidden="false" customHeight="true" outlineLevel="0" collapsed="false">
      <c r="B18" s="4" t="s">
        <v>26</v>
      </c>
      <c r="C18" s="7" t="s">
        <v>27</v>
      </c>
    </row>
    <row r="19" customFormat="false" ht="19.5" hidden="false" customHeight="true" outlineLevel="0" collapsed="false">
      <c r="B19" s="4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  <row r="37" customFormat="false" ht="19.5" hidden="false" customHeight="true" outlineLevel="0" collapsed="false">
      <c r="B37" s="4" t="s">
        <v>58</v>
      </c>
      <c r="C37" s="7" t="s">
        <v>59</v>
      </c>
    </row>
    <row r="39" customFormat="false" ht="21.75" hidden="false" customHeight="true" outlineLevel="0" collapsed="false">
      <c r="B39" s="3" t="s">
        <v>60</v>
      </c>
      <c r="C39" s="3"/>
    </row>
    <row r="40" customFormat="false" ht="19.5" hidden="false" customHeight="true" outlineLevel="0" collapsed="false">
      <c r="B40" s="4" t="s">
        <v>61</v>
      </c>
      <c r="C40" s="7" t="s">
        <v>62</v>
      </c>
    </row>
    <row r="41" customFormat="false" ht="31.5" hidden="false" customHeight="true" outlineLevel="0" collapsed="false">
      <c r="B41" s="4" t="s">
        <v>63</v>
      </c>
      <c r="C41" s="7" t="s">
        <v>64</v>
      </c>
    </row>
    <row r="42" customFormat="false" ht="19.5" hidden="false" customHeight="true" outlineLevel="0" collapsed="false">
      <c r="B42" s="4" t="s">
        <v>65</v>
      </c>
      <c r="C42" s="7" t="s">
        <v>66</v>
      </c>
    </row>
    <row r="43" customFormat="false" ht="19.5" hidden="false" customHeight="true" outlineLevel="0" collapsed="false">
      <c r="B43" s="4" t="s">
        <v>67</v>
      </c>
      <c r="C43" s="7" t="s">
        <v>68</v>
      </c>
    </row>
  </sheetData>
  <mergeCells count="7">
    <mergeCell ref="B1:C1"/>
    <mergeCell ref="B2:C2"/>
    <mergeCell ref="B4:C4"/>
    <mergeCell ref="B11:C11"/>
    <mergeCell ref="B21:C21"/>
    <mergeCell ref="B29:C29"/>
    <mergeCell ref="B39:C3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O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10" min="9" style="0" width="10"/>
    <col collapsed="false" customWidth="true" hidden="false" outlineLevel="0" max="11" min="11" style="0" width="34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true" outlineLevel="0" collapsed="false">
      <c r="B4" s="4" t="s">
        <v>71</v>
      </c>
      <c r="C4" s="4"/>
      <c r="D4" s="4"/>
      <c r="E4" s="8"/>
      <c r="F4" s="9" t="s">
        <v>72</v>
      </c>
      <c r="G4" s="9"/>
      <c r="H4" s="9"/>
      <c r="I4" s="9"/>
      <c r="J4" s="9"/>
      <c r="K4" s="9"/>
      <c r="L4" s="9"/>
      <c r="M4" s="9"/>
      <c r="N4" s="9"/>
      <c r="O4" s="9"/>
    </row>
    <row r="6" customFormat="false" ht="33" hidden="false" customHeight="true" outlineLevel="0" collapsed="false">
      <c r="B6" s="10" t="s">
        <v>73</v>
      </c>
      <c r="C6" s="10" t="s">
        <v>74</v>
      </c>
      <c r="D6" s="10" t="s">
        <v>44</v>
      </c>
      <c r="E6" s="10" t="s">
        <v>75</v>
      </c>
      <c r="F6" s="10" t="s">
        <v>76</v>
      </c>
      <c r="G6" s="10" t="s">
        <v>77</v>
      </c>
      <c r="H6" s="10" t="s">
        <v>78</v>
      </c>
      <c r="I6" s="10" t="s">
        <v>61</v>
      </c>
      <c r="J6" s="10" t="s">
        <v>79</v>
      </c>
      <c r="K6" s="10" t="s">
        <v>80</v>
      </c>
      <c r="L6" s="10" t="s">
        <v>81</v>
      </c>
      <c r="M6" s="10" t="s">
        <v>82</v>
      </c>
      <c r="N6" s="10" t="s">
        <v>83</v>
      </c>
      <c r="O6" s="10" t="s">
        <v>84</v>
      </c>
    </row>
    <row r="7" customFormat="false" ht="30" hidden="false" customHeight="true" outlineLevel="0" collapsed="false">
      <c r="B7" s="11"/>
      <c r="C7" s="11" t="s">
        <v>85</v>
      </c>
      <c r="D7" s="11" t="s">
        <v>86</v>
      </c>
      <c r="E7" s="11"/>
      <c r="F7" s="11" t="s">
        <v>87</v>
      </c>
      <c r="G7" s="11" t="s">
        <v>87</v>
      </c>
      <c r="H7" s="11" t="s">
        <v>88</v>
      </c>
      <c r="I7" s="11" t="s">
        <v>89</v>
      </c>
      <c r="J7" s="11" t="s">
        <v>87</v>
      </c>
      <c r="K7" s="11" t="s">
        <v>90</v>
      </c>
      <c r="L7" s="11" t="s">
        <v>91</v>
      </c>
      <c r="M7" s="11" t="s">
        <v>92</v>
      </c>
      <c r="N7" s="11" t="s">
        <v>93</v>
      </c>
      <c r="O7" s="11" t="s">
        <v>93</v>
      </c>
    </row>
    <row r="8" customFormat="false" ht="30" hidden="false" customHeight="true" outlineLevel="0" collapsed="false">
      <c r="B8" s="12" t="n">
        <v>1</v>
      </c>
      <c r="C8" s="13"/>
      <c r="D8" s="5"/>
      <c r="E8" s="5"/>
      <c r="F8" s="13"/>
      <c r="G8" s="13"/>
      <c r="H8" s="5"/>
      <c r="I8" s="14"/>
      <c r="J8" s="13"/>
      <c r="K8" s="5"/>
      <c r="L8" s="8"/>
      <c r="M8" s="15" t="str">
        <f aca="false">IF(OR(G8="",I8=""),"",IF(G8="Só na cabeça",2,IF(G8="Escrito",1,0))+IF(I8&lt;=1,2,IF(I8=2,1,0))+IF(J8="Sim",1,0))</f>
        <v/>
      </c>
      <c r="N8" s="16" t="str">
        <f aca="false">IF(OR(M8="",F8=""),"",IF(AND(F8="Alta",M8&gt;=3),"Crítico",IF(AND(OR(F8="Alta",F8="Média"),M8&gt;=2),"Em risco","Sob controle")))</f>
        <v/>
      </c>
      <c r="O8" s="17" t="str">
        <f aca="false">IF(C8="","",IF(F8="","Falta a criticidade",IF(G8="","Falta a forma",IF(I8="","Falta quantas pessoas sabem",IF(OR(N8="Crítico",N8="Em risco"),IF(K8="","Falta a ação de transferência",IF(L8="","Falta o prazo da ação",IF(AND(ISNUMBER($E$4),L8&lt;$E$4),"Prazo da ação vencido",IF(AND(G8&lt;&gt;"Só na cabeça",H8=""),"Falta onde está escrito","OK")))),IF(AND(G8&lt;&gt;"Só na cabeça",H8=""),"Falta onde está escrito","OK"))))))</f>
        <v/>
      </c>
    </row>
    <row r="9" customFormat="false" ht="30" hidden="false" customHeight="true" outlineLevel="0" collapsed="false">
      <c r="B9" s="12" t="n">
        <v>2</v>
      </c>
      <c r="C9" s="13"/>
      <c r="D9" s="5"/>
      <c r="E9" s="5"/>
      <c r="F9" s="13"/>
      <c r="G9" s="13"/>
      <c r="H9" s="5"/>
      <c r="I9" s="14"/>
      <c r="J9" s="13"/>
      <c r="K9" s="5"/>
      <c r="L9" s="8"/>
      <c r="M9" s="15" t="str">
        <f aca="false">IF(OR(G9="",I9=""),"",IF(G9="Só na cabeça",2,IF(G9="Escrito",1,0))+IF(I9&lt;=1,2,IF(I9=2,1,0))+IF(J9="Sim",1,0))</f>
        <v/>
      </c>
      <c r="N9" s="16" t="str">
        <f aca="false">IF(OR(M9="",F9=""),"",IF(AND(F9="Alta",M9&gt;=3),"Crítico",IF(AND(OR(F9="Alta",F9="Média"),M9&gt;=2),"Em risco","Sob controle")))</f>
        <v/>
      </c>
      <c r="O9" s="17" t="str">
        <f aca="false">IF(C9="","",IF(F9="","Falta a criticidade",IF(G9="","Falta a forma",IF(I9="","Falta quantas pessoas sabem",IF(OR(N9="Crítico",N9="Em risco"),IF(K9="","Falta a ação de transferência",IF(L9="","Falta o prazo da ação",IF(AND(ISNUMBER($E$4),L9&lt;$E$4),"Prazo da ação vencido",IF(AND(G9&lt;&gt;"Só na cabeça",H9=""),"Falta onde está escrito","OK")))),IF(AND(G9&lt;&gt;"Só na cabeça",H9=""),"Falta onde está escrito","OK"))))))</f>
        <v/>
      </c>
    </row>
    <row r="10" customFormat="false" ht="30" hidden="false" customHeight="true" outlineLevel="0" collapsed="false">
      <c r="B10" s="12" t="n">
        <v>3</v>
      </c>
      <c r="C10" s="13"/>
      <c r="D10" s="5"/>
      <c r="E10" s="5"/>
      <c r="F10" s="13"/>
      <c r="G10" s="13"/>
      <c r="H10" s="5"/>
      <c r="I10" s="14"/>
      <c r="J10" s="13"/>
      <c r="K10" s="5"/>
      <c r="L10" s="8"/>
      <c r="M10" s="15" t="str">
        <f aca="false">IF(OR(G10="",I10=""),"",IF(G10="Só na cabeça",2,IF(G10="Escrito",1,0))+IF(I10&lt;=1,2,IF(I10=2,1,0))+IF(J10="Sim",1,0))</f>
        <v/>
      </c>
      <c r="N10" s="16" t="str">
        <f aca="false">IF(OR(M10="",F10=""),"",IF(AND(F10="Alta",M10&gt;=3),"Crítico",IF(AND(OR(F10="Alta",F10="Média"),M10&gt;=2),"Em risco","Sob controle")))</f>
        <v/>
      </c>
      <c r="O10" s="17" t="str">
        <f aca="false">IF(C10="","",IF(F10="","Falta a criticidade",IF(G10="","Falta a forma",IF(I10="","Falta quantas pessoas sabem",IF(OR(N10="Crítico",N10="Em risco"),IF(K10="","Falta a ação de transferência",IF(L10="","Falta o prazo da ação",IF(AND(ISNUMBER($E$4),L10&lt;$E$4),"Prazo da ação vencido",IF(AND(G10&lt;&gt;"Só na cabeça",H10=""),"Falta onde está escrito","OK")))),IF(AND(G10&lt;&gt;"Só na cabeça",H10=""),"Falta onde está escrito","OK"))))))</f>
        <v/>
      </c>
    </row>
    <row r="11" customFormat="false" ht="30" hidden="false" customHeight="true" outlineLevel="0" collapsed="false">
      <c r="B11" s="12" t="n">
        <v>4</v>
      </c>
      <c r="C11" s="13"/>
      <c r="D11" s="5"/>
      <c r="E11" s="5"/>
      <c r="F11" s="13"/>
      <c r="G11" s="13"/>
      <c r="H11" s="5"/>
      <c r="I11" s="14"/>
      <c r="J11" s="13"/>
      <c r="K11" s="5"/>
      <c r="L11" s="8"/>
      <c r="M11" s="15" t="str">
        <f aca="false">IF(OR(G11="",I11=""),"",IF(G11="Só na cabeça",2,IF(G11="Escrito",1,0))+IF(I11&lt;=1,2,IF(I11=2,1,0))+IF(J11="Sim",1,0))</f>
        <v/>
      </c>
      <c r="N11" s="16" t="str">
        <f aca="false">IF(OR(M11="",F11=""),"",IF(AND(F11="Alta",M11&gt;=3),"Crítico",IF(AND(OR(F11="Alta",F11="Média"),M11&gt;=2),"Em risco","Sob controle")))</f>
        <v/>
      </c>
      <c r="O11" s="17" t="str">
        <f aca="false">IF(C11="","",IF(F11="","Falta a criticidade",IF(G11="","Falta a forma",IF(I11="","Falta quantas pessoas sabem",IF(OR(N11="Crítico",N11="Em risco"),IF(K11="","Falta a ação de transferência",IF(L11="","Falta o prazo da ação",IF(AND(ISNUMBER($E$4),L11&lt;$E$4),"Prazo da ação vencido",IF(AND(G11&lt;&gt;"Só na cabeça",H11=""),"Falta onde está escrito","OK")))),IF(AND(G11&lt;&gt;"Só na cabeça",H11=""),"Falta onde está escrito","OK"))))))</f>
        <v/>
      </c>
    </row>
    <row r="12" customFormat="false" ht="30" hidden="false" customHeight="true" outlineLevel="0" collapsed="false">
      <c r="B12" s="12" t="n">
        <v>5</v>
      </c>
      <c r="C12" s="13"/>
      <c r="D12" s="5"/>
      <c r="E12" s="5"/>
      <c r="F12" s="13"/>
      <c r="G12" s="13"/>
      <c r="H12" s="5"/>
      <c r="I12" s="14"/>
      <c r="J12" s="13"/>
      <c r="K12" s="5"/>
      <c r="L12" s="8"/>
      <c r="M12" s="15" t="str">
        <f aca="false">IF(OR(G12="",I12=""),"",IF(G12="Só na cabeça",2,IF(G12="Escrito",1,0))+IF(I12&lt;=1,2,IF(I12=2,1,0))+IF(J12="Sim",1,0))</f>
        <v/>
      </c>
      <c r="N12" s="16" t="str">
        <f aca="false">IF(OR(M12="",F12=""),"",IF(AND(F12="Alta",M12&gt;=3),"Crítico",IF(AND(OR(F12="Alta",F12="Média"),M12&gt;=2),"Em risco","Sob controle")))</f>
        <v/>
      </c>
      <c r="O12" s="17" t="str">
        <f aca="false">IF(C12="","",IF(F12="","Falta a criticidade",IF(G12="","Falta a forma",IF(I12="","Falta quantas pessoas sabem",IF(OR(N12="Crítico",N12="Em risco"),IF(K12="","Falta a ação de transferência",IF(L12="","Falta o prazo da ação",IF(AND(ISNUMBER($E$4),L12&lt;$E$4),"Prazo da ação vencido",IF(AND(G12&lt;&gt;"Só na cabeça",H12=""),"Falta onde está escrito","OK")))),IF(AND(G12&lt;&gt;"Só na cabeça",H12=""),"Falta onde está escrito","OK"))))))</f>
        <v/>
      </c>
    </row>
    <row r="13" customFormat="false" ht="30" hidden="false" customHeight="true" outlineLevel="0" collapsed="false">
      <c r="B13" s="12" t="n">
        <v>6</v>
      </c>
      <c r="C13" s="13"/>
      <c r="D13" s="5"/>
      <c r="E13" s="5"/>
      <c r="F13" s="13"/>
      <c r="G13" s="13"/>
      <c r="H13" s="5"/>
      <c r="I13" s="14"/>
      <c r="J13" s="13"/>
      <c r="K13" s="5"/>
      <c r="L13" s="8"/>
      <c r="M13" s="15" t="str">
        <f aca="false">IF(OR(G13="",I13=""),"",IF(G13="Só na cabeça",2,IF(G13="Escrito",1,0))+IF(I13&lt;=1,2,IF(I13=2,1,0))+IF(J13="Sim",1,0))</f>
        <v/>
      </c>
      <c r="N13" s="16" t="str">
        <f aca="false">IF(OR(M13="",F13=""),"",IF(AND(F13="Alta",M13&gt;=3),"Crítico",IF(AND(OR(F13="Alta",F13="Média"),M13&gt;=2),"Em risco","Sob controle")))</f>
        <v/>
      </c>
      <c r="O13" s="17" t="str">
        <f aca="false">IF(C13="","",IF(F13="","Falta a criticidade",IF(G13="","Falta a forma",IF(I13="","Falta quantas pessoas sabem",IF(OR(N13="Crítico",N13="Em risco"),IF(K13="","Falta a ação de transferência",IF(L13="","Falta o prazo da ação",IF(AND(ISNUMBER($E$4),L13&lt;$E$4),"Prazo da ação vencido",IF(AND(G13&lt;&gt;"Só na cabeça",H13=""),"Falta onde está escrito","OK")))),IF(AND(G13&lt;&gt;"Só na cabeça",H13=""),"Falta onde está escrito","OK"))))))</f>
        <v/>
      </c>
    </row>
    <row r="14" customFormat="false" ht="30" hidden="false" customHeight="true" outlineLevel="0" collapsed="false">
      <c r="B14" s="12" t="n">
        <v>7</v>
      </c>
      <c r="C14" s="13"/>
      <c r="D14" s="5"/>
      <c r="E14" s="5"/>
      <c r="F14" s="13"/>
      <c r="G14" s="13"/>
      <c r="H14" s="5"/>
      <c r="I14" s="14"/>
      <c r="J14" s="13"/>
      <c r="K14" s="5"/>
      <c r="L14" s="8"/>
      <c r="M14" s="15" t="str">
        <f aca="false">IF(OR(G14="",I14=""),"",IF(G14="Só na cabeça",2,IF(G14="Escrito",1,0))+IF(I14&lt;=1,2,IF(I14=2,1,0))+IF(J14="Sim",1,0))</f>
        <v/>
      </c>
      <c r="N14" s="16" t="str">
        <f aca="false">IF(OR(M14="",F14=""),"",IF(AND(F14="Alta",M14&gt;=3),"Crítico",IF(AND(OR(F14="Alta",F14="Média"),M14&gt;=2),"Em risco","Sob controle")))</f>
        <v/>
      </c>
      <c r="O14" s="17" t="str">
        <f aca="false">IF(C14="","",IF(F14="","Falta a criticidade",IF(G14="","Falta a forma",IF(I14="","Falta quantas pessoas sabem",IF(OR(N14="Crítico",N14="Em risco"),IF(K14="","Falta a ação de transferência",IF(L14="","Falta o prazo da ação",IF(AND(ISNUMBER($E$4),L14&lt;$E$4),"Prazo da ação vencido",IF(AND(G14&lt;&gt;"Só na cabeça",H14=""),"Falta onde está escrito","OK")))),IF(AND(G14&lt;&gt;"Só na cabeça",H14=""),"Falta onde está escrito","OK"))))))</f>
        <v/>
      </c>
    </row>
    <row r="15" customFormat="false" ht="30" hidden="false" customHeight="true" outlineLevel="0" collapsed="false">
      <c r="B15" s="12" t="n">
        <v>8</v>
      </c>
      <c r="C15" s="13"/>
      <c r="D15" s="5"/>
      <c r="E15" s="5"/>
      <c r="F15" s="13"/>
      <c r="G15" s="13"/>
      <c r="H15" s="5"/>
      <c r="I15" s="14"/>
      <c r="J15" s="13"/>
      <c r="K15" s="5"/>
      <c r="L15" s="8"/>
      <c r="M15" s="15" t="str">
        <f aca="false">IF(OR(G15="",I15=""),"",IF(G15="Só na cabeça",2,IF(G15="Escrito",1,0))+IF(I15&lt;=1,2,IF(I15=2,1,0))+IF(J15="Sim",1,0))</f>
        <v/>
      </c>
      <c r="N15" s="16" t="str">
        <f aca="false">IF(OR(M15="",F15=""),"",IF(AND(F15="Alta",M15&gt;=3),"Crítico",IF(AND(OR(F15="Alta",F15="Média"),M15&gt;=2),"Em risco","Sob controle")))</f>
        <v/>
      </c>
      <c r="O15" s="17" t="str">
        <f aca="false">IF(C15="","",IF(F15="","Falta a criticidade",IF(G15="","Falta a forma",IF(I15="","Falta quantas pessoas sabem",IF(OR(N15="Crítico",N15="Em risco"),IF(K15="","Falta a ação de transferência",IF(L15="","Falta o prazo da ação",IF(AND(ISNUMBER($E$4),L15&lt;$E$4),"Prazo da ação vencido",IF(AND(G15&lt;&gt;"Só na cabeça",H15=""),"Falta onde está escrito","OK")))),IF(AND(G15&lt;&gt;"Só na cabeça",H15=""),"Falta onde está escrito","OK"))))))</f>
        <v/>
      </c>
    </row>
    <row r="16" customFormat="false" ht="30" hidden="false" customHeight="true" outlineLevel="0" collapsed="false">
      <c r="B16" s="12" t="n">
        <v>9</v>
      </c>
      <c r="C16" s="13"/>
      <c r="D16" s="5"/>
      <c r="E16" s="5"/>
      <c r="F16" s="13"/>
      <c r="G16" s="13"/>
      <c r="H16" s="5"/>
      <c r="I16" s="14"/>
      <c r="J16" s="13"/>
      <c r="K16" s="5"/>
      <c r="L16" s="8"/>
      <c r="M16" s="15" t="str">
        <f aca="false">IF(OR(G16="",I16=""),"",IF(G16="Só na cabeça",2,IF(G16="Escrito",1,0))+IF(I16&lt;=1,2,IF(I16=2,1,0))+IF(J16="Sim",1,0))</f>
        <v/>
      </c>
      <c r="N16" s="16" t="str">
        <f aca="false">IF(OR(M16="",F16=""),"",IF(AND(F16="Alta",M16&gt;=3),"Crítico",IF(AND(OR(F16="Alta",F16="Média"),M16&gt;=2),"Em risco","Sob controle")))</f>
        <v/>
      </c>
      <c r="O16" s="17" t="str">
        <f aca="false">IF(C16="","",IF(F16="","Falta a criticidade",IF(G16="","Falta a forma",IF(I16="","Falta quantas pessoas sabem",IF(OR(N16="Crítico",N16="Em risco"),IF(K16="","Falta a ação de transferência",IF(L16="","Falta o prazo da ação",IF(AND(ISNUMBER($E$4),L16&lt;$E$4),"Prazo da ação vencido",IF(AND(G16&lt;&gt;"Só na cabeça",H16=""),"Falta onde está escrito","OK")))),IF(AND(G16&lt;&gt;"Só na cabeça",H16=""),"Falta onde está escrito","OK"))))))</f>
        <v/>
      </c>
    </row>
    <row r="17" customFormat="false" ht="30" hidden="false" customHeight="true" outlineLevel="0" collapsed="false">
      <c r="B17" s="12" t="n">
        <v>10</v>
      </c>
      <c r="C17" s="13"/>
      <c r="D17" s="5"/>
      <c r="E17" s="5"/>
      <c r="F17" s="13"/>
      <c r="G17" s="13"/>
      <c r="H17" s="5"/>
      <c r="I17" s="14"/>
      <c r="J17" s="13"/>
      <c r="K17" s="5"/>
      <c r="L17" s="8"/>
      <c r="M17" s="15" t="str">
        <f aca="false">IF(OR(G17="",I17=""),"",IF(G17="Só na cabeça",2,IF(G17="Escrito",1,0))+IF(I17&lt;=1,2,IF(I17=2,1,0))+IF(J17="Sim",1,0))</f>
        <v/>
      </c>
      <c r="N17" s="16" t="str">
        <f aca="false">IF(OR(M17="",F17=""),"",IF(AND(F17="Alta",M17&gt;=3),"Crítico",IF(AND(OR(F17="Alta",F17="Média"),M17&gt;=2),"Em risco","Sob controle")))</f>
        <v/>
      </c>
      <c r="O17" s="17" t="str">
        <f aca="false">IF(C17="","",IF(F17="","Falta a criticidade",IF(G17="","Falta a forma",IF(I17="","Falta quantas pessoas sabem",IF(OR(N17="Crítico",N17="Em risco"),IF(K17="","Falta a ação de transferência",IF(L17="","Falta o prazo da ação",IF(AND(ISNUMBER($E$4),L17&lt;$E$4),"Prazo da ação vencido",IF(AND(G17&lt;&gt;"Só na cabeça",H17=""),"Falta onde está escrito","OK")))),IF(AND(G17&lt;&gt;"Só na cabeça",H17=""),"Falta onde está escrito","OK"))))))</f>
        <v/>
      </c>
    </row>
    <row r="18" customFormat="false" ht="30" hidden="false" customHeight="true" outlineLevel="0" collapsed="false">
      <c r="B18" s="12" t="n">
        <v>11</v>
      </c>
      <c r="C18" s="13"/>
      <c r="D18" s="5"/>
      <c r="E18" s="5"/>
      <c r="F18" s="13"/>
      <c r="G18" s="13"/>
      <c r="H18" s="5"/>
      <c r="I18" s="14"/>
      <c r="J18" s="13"/>
      <c r="K18" s="5"/>
      <c r="L18" s="8"/>
      <c r="M18" s="15" t="str">
        <f aca="false">IF(OR(G18="",I18=""),"",IF(G18="Só na cabeça",2,IF(G18="Escrito",1,0))+IF(I18&lt;=1,2,IF(I18=2,1,0))+IF(J18="Sim",1,0))</f>
        <v/>
      </c>
      <c r="N18" s="16" t="str">
        <f aca="false">IF(OR(M18="",F18=""),"",IF(AND(F18="Alta",M18&gt;=3),"Crítico",IF(AND(OR(F18="Alta",F18="Média"),M18&gt;=2),"Em risco","Sob controle")))</f>
        <v/>
      </c>
      <c r="O18" s="17" t="str">
        <f aca="false">IF(C18="","",IF(F18="","Falta a criticidade",IF(G18="","Falta a forma",IF(I18="","Falta quantas pessoas sabem",IF(OR(N18="Crítico",N18="Em risco"),IF(K18="","Falta a ação de transferência",IF(L18="","Falta o prazo da ação",IF(AND(ISNUMBER($E$4),L18&lt;$E$4),"Prazo da ação vencido",IF(AND(G18&lt;&gt;"Só na cabeça",H18=""),"Falta onde está escrito","OK")))),IF(AND(G18&lt;&gt;"Só na cabeça",H18=""),"Falta onde está escrito","OK"))))))</f>
        <v/>
      </c>
    </row>
    <row r="19" customFormat="false" ht="30" hidden="false" customHeight="true" outlineLevel="0" collapsed="false">
      <c r="B19" s="12" t="n">
        <v>12</v>
      </c>
      <c r="C19" s="13"/>
      <c r="D19" s="5"/>
      <c r="E19" s="5"/>
      <c r="F19" s="13"/>
      <c r="G19" s="13"/>
      <c r="H19" s="5"/>
      <c r="I19" s="14"/>
      <c r="J19" s="13"/>
      <c r="K19" s="5"/>
      <c r="L19" s="8"/>
      <c r="M19" s="15" t="str">
        <f aca="false">IF(OR(G19="",I19=""),"",IF(G19="Só na cabeça",2,IF(G19="Escrito",1,0))+IF(I19&lt;=1,2,IF(I19=2,1,0))+IF(J19="Sim",1,0))</f>
        <v/>
      </c>
      <c r="N19" s="16" t="str">
        <f aca="false">IF(OR(M19="",F19=""),"",IF(AND(F19="Alta",M19&gt;=3),"Crítico",IF(AND(OR(F19="Alta",F19="Média"),M19&gt;=2),"Em risco","Sob controle")))</f>
        <v/>
      </c>
      <c r="O19" s="17" t="str">
        <f aca="false">IF(C19="","",IF(F19="","Falta a criticidade",IF(G19="","Falta a forma",IF(I19="","Falta quantas pessoas sabem",IF(OR(N19="Crítico",N19="Em risco"),IF(K19="","Falta a ação de transferência",IF(L19="","Falta o prazo da ação",IF(AND(ISNUMBER($E$4),L19&lt;$E$4),"Prazo da ação vencido",IF(AND(G19&lt;&gt;"Só na cabeça",H19=""),"Falta onde está escrito","OK")))),IF(AND(G19&lt;&gt;"Só na cabeça",H19=""),"Falta onde está escrito","OK"))))))</f>
        <v/>
      </c>
    </row>
    <row r="20" customFormat="false" ht="30" hidden="false" customHeight="true" outlineLevel="0" collapsed="false">
      <c r="B20" s="12" t="n">
        <v>13</v>
      </c>
      <c r="C20" s="13"/>
      <c r="D20" s="5"/>
      <c r="E20" s="5"/>
      <c r="F20" s="13"/>
      <c r="G20" s="13"/>
      <c r="H20" s="5"/>
      <c r="I20" s="14"/>
      <c r="J20" s="13"/>
      <c r="K20" s="5"/>
      <c r="L20" s="8"/>
      <c r="M20" s="15" t="str">
        <f aca="false">IF(OR(G20="",I20=""),"",IF(G20="Só na cabeça",2,IF(G20="Escrito",1,0))+IF(I20&lt;=1,2,IF(I20=2,1,0))+IF(J20="Sim",1,0))</f>
        <v/>
      </c>
      <c r="N20" s="16" t="str">
        <f aca="false">IF(OR(M20="",F20=""),"",IF(AND(F20="Alta",M20&gt;=3),"Crítico",IF(AND(OR(F20="Alta",F20="Média"),M20&gt;=2),"Em risco","Sob controle")))</f>
        <v/>
      </c>
      <c r="O20" s="17" t="str">
        <f aca="false">IF(C20="","",IF(F20="","Falta a criticidade",IF(G20="","Falta a forma",IF(I20="","Falta quantas pessoas sabem",IF(OR(N20="Crítico",N20="Em risco"),IF(K20="","Falta a ação de transferência",IF(L20="","Falta o prazo da ação",IF(AND(ISNUMBER($E$4),L20&lt;$E$4),"Prazo da ação vencido",IF(AND(G20&lt;&gt;"Só na cabeça",H20=""),"Falta onde está escrito","OK")))),IF(AND(G20&lt;&gt;"Só na cabeça",H20=""),"Falta onde está escrito","OK"))))))</f>
        <v/>
      </c>
    </row>
    <row r="21" customFormat="false" ht="30" hidden="false" customHeight="true" outlineLevel="0" collapsed="false">
      <c r="B21" s="12" t="n">
        <v>14</v>
      </c>
      <c r="C21" s="13"/>
      <c r="D21" s="5"/>
      <c r="E21" s="5"/>
      <c r="F21" s="13"/>
      <c r="G21" s="13"/>
      <c r="H21" s="5"/>
      <c r="I21" s="14"/>
      <c r="J21" s="13"/>
      <c r="K21" s="5"/>
      <c r="L21" s="8"/>
      <c r="M21" s="15" t="str">
        <f aca="false">IF(OR(G21="",I21=""),"",IF(G21="Só na cabeça",2,IF(G21="Escrito",1,0))+IF(I21&lt;=1,2,IF(I21=2,1,0))+IF(J21="Sim",1,0))</f>
        <v/>
      </c>
      <c r="N21" s="16" t="str">
        <f aca="false">IF(OR(M21="",F21=""),"",IF(AND(F21="Alta",M21&gt;=3),"Crítico",IF(AND(OR(F21="Alta",F21="Média"),M21&gt;=2),"Em risco","Sob controle")))</f>
        <v/>
      </c>
      <c r="O21" s="17" t="str">
        <f aca="false">IF(C21="","",IF(F21="","Falta a criticidade",IF(G21="","Falta a forma",IF(I21="","Falta quantas pessoas sabem",IF(OR(N21="Crítico",N21="Em risco"),IF(K21="","Falta a ação de transferência",IF(L21="","Falta o prazo da ação",IF(AND(ISNUMBER($E$4),L21&lt;$E$4),"Prazo da ação vencido",IF(AND(G21&lt;&gt;"Só na cabeça",H21=""),"Falta onde está escrito","OK")))),IF(AND(G21&lt;&gt;"Só na cabeça",H21=""),"Falta onde está escrito","OK"))))))</f>
        <v/>
      </c>
    </row>
    <row r="22" customFormat="false" ht="30" hidden="false" customHeight="true" outlineLevel="0" collapsed="false">
      <c r="B22" s="12" t="n">
        <v>15</v>
      </c>
      <c r="C22" s="13"/>
      <c r="D22" s="5"/>
      <c r="E22" s="5"/>
      <c r="F22" s="13"/>
      <c r="G22" s="13"/>
      <c r="H22" s="5"/>
      <c r="I22" s="14"/>
      <c r="J22" s="13"/>
      <c r="K22" s="5"/>
      <c r="L22" s="8"/>
      <c r="M22" s="15" t="str">
        <f aca="false">IF(OR(G22="",I22=""),"",IF(G22="Só na cabeça",2,IF(G22="Escrito",1,0))+IF(I22&lt;=1,2,IF(I22=2,1,0))+IF(J22="Sim",1,0))</f>
        <v/>
      </c>
      <c r="N22" s="16" t="str">
        <f aca="false">IF(OR(M22="",F22=""),"",IF(AND(F22="Alta",M22&gt;=3),"Crítico",IF(AND(OR(F22="Alta",F22="Média"),M22&gt;=2),"Em risco","Sob controle")))</f>
        <v/>
      </c>
      <c r="O22" s="17" t="str">
        <f aca="false">IF(C22="","",IF(F22="","Falta a criticidade",IF(G22="","Falta a forma",IF(I22="","Falta quantas pessoas sabem",IF(OR(N22="Crítico",N22="Em risco"),IF(K22="","Falta a ação de transferência",IF(L22="","Falta o prazo da ação",IF(AND(ISNUMBER($E$4),L22&lt;$E$4),"Prazo da ação vencido",IF(AND(G22&lt;&gt;"Só na cabeça",H22=""),"Falta onde está escrito","OK")))),IF(AND(G22&lt;&gt;"Só na cabeça",H22=""),"Falta onde está escrito","OK"))))))</f>
        <v/>
      </c>
    </row>
    <row r="23" customFormat="false" ht="30" hidden="false" customHeight="true" outlineLevel="0" collapsed="false">
      <c r="B23" s="12" t="n">
        <v>16</v>
      </c>
      <c r="C23" s="13"/>
      <c r="D23" s="5"/>
      <c r="E23" s="5"/>
      <c r="F23" s="13"/>
      <c r="G23" s="13"/>
      <c r="H23" s="5"/>
      <c r="I23" s="14"/>
      <c r="J23" s="13"/>
      <c r="K23" s="5"/>
      <c r="L23" s="8"/>
      <c r="M23" s="15" t="str">
        <f aca="false">IF(OR(G23="",I23=""),"",IF(G23="Só na cabeça",2,IF(G23="Escrito",1,0))+IF(I23&lt;=1,2,IF(I23=2,1,0))+IF(J23="Sim",1,0))</f>
        <v/>
      </c>
      <c r="N23" s="16" t="str">
        <f aca="false">IF(OR(M23="",F23=""),"",IF(AND(F23="Alta",M23&gt;=3),"Crítico",IF(AND(OR(F23="Alta",F23="Média"),M23&gt;=2),"Em risco","Sob controle")))</f>
        <v/>
      </c>
      <c r="O23" s="17" t="str">
        <f aca="false">IF(C23="","",IF(F23="","Falta a criticidade",IF(G23="","Falta a forma",IF(I23="","Falta quantas pessoas sabem",IF(OR(N23="Crítico",N23="Em risco"),IF(K23="","Falta a ação de transferência",IF(L23="","Falta o prazo da ação",IF(AND(ISNUMBER($E$4),L23&lt;$E$4),"Prazo da ação vencido",IF(AND(G23&lt;&gt;"Só na cabeça",H23=""),"Falta onde está escrito","OK")))),IF(AND(G23&lt;&gt;"Só na cabeça",H23=""),"Falta onde está escrito","OK"))))))</f>
        <v/>
      </c>
    </row>
    <row r="24" customFormat="false" ht="30" hidden="false" customHeight="true" outlineLevel="0" collapsed="false">
      <c r="B24" s="12" t="n">
        <v>17</v>
      </c>
      <c r="C24" s="13"/>
      <c r="D24" s="5"/>
      <c r="E24" s="5"/>
      <c r="F24" s="13"/>
      <c r="G24" s="13"/>
      <c r="H24" s="5"/>
      <c r="I24" s="14"/>
      <c r="J24" s="13"/>
      <c r="K24" s="5"/>
      <c r="L24" s="8"/>
      <c r="M24" s="15" t="str">
        <f aca="false">IF(OR(G24="",I24=""),"",IF(G24="Só na cabeça",2,IF(G24="Escrito",1,0))+IF(I24&lt;=1,2,IF(I24=2,1,0))+IF(J24="Sim",1,0))</f>
        <v/>
      </c>
      <c r="N24" s="16" t="str">
        <f aca="false">IF(OR(M24="",F24=""),"",IF(AND(F24="Alta",M24&gt;=3),"Crítico",IF(AND(OR(F24="Alta",F24="Média"),M24&gt;=2),"Em risco","Sob controle")))</f>
        <v/>
      </c>
      <c r="O24" s="17" t="str">
        <f aca="false">IF(C24="","",IF(F24="","Falta a criticidade",IF(G24="","Falta a forma",IF(I24="","Falta quantas pessoas sabem",IF(OR(N24="Crítico",N24="Em risco"),IF(K24="","Falta a ação de transferência",IF(L24="","Falta o prazo da ação",IF(AND(ISNUMBER($E$4),L24&lt;$E$4),"Prazo da ação vencido",IF(AND(G24&lt;&gt;"Só na cabeça",H24=""),"Falta onde está escrito","OK")))),IF(AND(G24&lt;&gt;"Só na cabeça",H24=""),"Falta onde está escrito","OK"))))))</f>
        <v/>
      </c>
    </row>
    <row r="25" customFormat="false" ht="30" hidden="false" customHeight="true" outlineLevel="0" collapsed="false">
      <c r="B25" s="12" t="n">
        <v>18</v>
      </c>
      <c r="C25" s="13"/>
      <c r="D25" s="5"/>
      <c r="E25" s="5"/>
      <c r="F25" s="13"/>
      <c r="G25" s="13"/>
      <c r="H25" s="5"/>
      <c r="I25" s="14"/>
      <c r="J25" s="13"/>
      <c r="K25" s="5"/>
      <c r="L25" s="8"/>
      <c r="M25" s="15" t="str">
        <f aca="false">IF(OR(G25="",I25=""),"",IF(G25="Só na cabeça",2,IF(G25="Escrito",1,0))+IF(I25&lt;=1,2,IF(I25=2,1,0))+IF(J25="Sim",1,0))</f>
        <v/>
      </c>
      <c r="N25" s="16" t="str">
        <f aca="false">IF(OR(M25="",F25=""),"",IF(AND(F25="Alta",M25&gt;=3),"Crítico",IF(AND(OR(F25="Alta",F25="Média"),M25&gt;=2),"Em risco","Sob controle")))</f>
        <v/>
      </c>
      <c r="O25" s="17" t="str">
        <f aca="false">IF(C25="","",IF(F25="","Falta a criticidade",IF(G25="","Falta a forma",IF(I25="","Falta quantas pessoas sabem",IF(OR(N25="Crítico",N25="Em risco"),IF(K25="","Falta a ação de transferência",IF(L25="","Falta o prazo da ação",IF(AND(ISNUMBER($E$4),L25&lt;$E$4),"Prazo da ação vencido",IF(AND(G25&lt;&gt;"Só na cabeça",H25=""),"Falta onde está escrito","OK")))),IF(AND(G25&lt;&gt;"Só na cabeça",H25=""),"Falta onde está escrito","OK"))))))</f>
        <v/>
      </c>
    </row>
    <row r="26" customFormat="false" ht="30" hidden="false" customHeight="true" outlineLevel="0" collapsed="false">
      <c r="B26" s="12" t="n">
        <v>19</v>
      </c>
      <c r="C26" s="13"/>
      <c r="D26" s="5"/>
      <c r="E26" s="5"/>
      <c r="F26" s="13"/>
      <c r="G26" s="13"/>
      <c r="H26" s="5"/>
      <c r="I26" s="14"/>
      <c r="J26" s="13"/>
      <c r="K26" s="5"/>
      <c r="L26" s="8"/>
      <c r="M26" s="15" t="str">
        <f aca="false">IF(OR(G26="",I26=""),"",IF(G26="Só na cabeça",2,IF(G26="Escrito",1,0))+IF(I26&lt;=1,2,IF(I26=2,1,0))+IF(J26="Sim",1,0))</f>
        <v/>
      </c>
      <c r="N26" s="16" t="str">
        <f aca="false">IF(OR(M26="",F26=""),"",IF(AND(F26="Alta",M26&gt;=3),"Crítico",IF(AND(OR(F26="Alta",F26="Média"),M26&gt;=2),"Em risco","Sob controle")))</f>
        <v/>
      </c>
      <c r="O26" s="17" t="str">
        <f aca="false">IF(C26="","",IF(F26="","Falta a criticidade",IF(G26="","Falta a forma",IF(I26="","Falta quantas pessoas sabem",IF(OR(N26="Crítico",N26="Em risco"),IF(K26="","Falta a ação de transferência",IF(L26="","Falta o prazo da ação",IF(AND(ISNUMBER($E$4),L26&lt;$E$4),"Prazo da ação vencido",IF(AND(G26&lt;&gt;"Só na cabeça",H26=""),"Falta onde está escrito","OK")))),IF(AND(G26&lt;&gt;"Só na cabeça",H26=""),"Falta onde está escrito","OK"))))))</f>
        <v/>
      </c>
    </row>
    <row r="27" customFormat="false" ht="30" hidden="false" customHeight="true" outlineLevel="0" collapsed="false">
      <c r="B27" s="12" t="n">
        <v>20</v>
      </c>
      <c r="C27" s="13"/>
      <c r="D27" s="5"/>
      <c r="E27" s="5"/>
      <c r="F27" s="13"/>
      <c r="G27" s="13"/>
      <c r="H27" s="5"/>
      <c r="I27" s="14"/>
      <c r="J27" s="13"/>
      <c r="K27" s="5"/>
      <c r="L27" s="8"/>
      <c r="M27" s="15" t="str">
        <f aca="false">IF(OR(G27="",I27=""),"",IF(G27="Só na cabeça",2,IF(G27="Escrito",1,0))+IF(I27&lt;=1,2,IF(I27=2,1,0))+IF(J27="Sim",1,0))</f>
        <v/>
      </c>
      <c r="N27" s="16" t="str">
        <f aca="false">IF(OR(M27="",F27=""),"",IF(AND(F27="Alta",M27&gt;=3),"Crítico",IF(AND(OR(F27="Alta",F27="Média"),M27&gt;=2),"Em risco","Sob controle")))</f>
        <v/>
      </c>
      <c r="O27" s="17" t="str">
        <f aca="false">IF(C27="","",IF(F27="","Falta a criticidade",IF(G27="","Falta a forma",IF(I27="","Falta quantas pessoas sabem",IF(OR(N27="Crítico",N27="Em risco"),IF(K27="","Falta a ação de transferência",IF(L27="","Falta o prazo da ação",IF(AND(ISNUMBER($E$4),L27&lt;$E$4),"Prazo da ação vencido",IF(AND(G27&lt;&gt;"Só na cabeça",H27=""),"Falta onde está escrito","OK")))),IF(AND(G27&lt;&gt;"Só na cabeça",H27=""),"Falta onde está escrito","OK"))))))</f>
        <v/>
      </c>
    </row>
    <row r="28" customFormat="false" ht="30" hidden="false" customHeight="true" outlineLevel="0" collapsed="false">
      <c r="B28" s="12" t="n">
        <v>21</v>
      </c>
      <c r="C28" s="13"/>
      <c r="D28" s="5"/>
      <c r="E28" s="5"/>
      <c r="F28" s="13"/>
      <c r="G28" s="13"/>
      <c r="H28" s="5"/>
      <c r="I28" s="14"/>
      <c r="J28" s="13"/>
      <c r="K28" s="5"/>
      <c r="L28" s="8"/>
      <c r="M28" s="15" t="str">
        <f aca="false">IF(OR(G28="",I28=""),"",IF(G28="Só na cabeça",2,IF(G28="Escrito",1,0))+IF(I28&lt;=1,2,IF(I28=2,1,0))+IF(J28="Sim",1,0))</f>
        <v/>
      </c>
      <c r="N28" s="16" t="str">
        <f aca="false">IF(OR(M28="",F28=""),"",IF(AND(F28="Alta",M28&gt;=3),"Crítico",IF(AND(OR(F28="Alta",F28="Média"),M28&gt;=2),"Em risco","Sob controle")))</f>
        <v/>
      </c>
      <c r="O28" s="17" t="str">
        <f aca="false">IF(C28="","",IF(F28="","Falta a criticidade",IF(G28="","Falta a forma",IF(I28="","Falta quantas pessoas sabem",IF(OR(N28="Crítico",N28="Em risco"),IF(K28="","Falta a ação de transferência",IF(L28="","Falta o prazo da ação",IF(AND(ISNUMBER($E$4),L28&lt;$E$4),"Prazo da ação vencido",IF(AND(G28&lt;&gt;"Só na cabeça",H28=""),"Falta onde está escrito","OK")))),IF(AND(G28&lt;&gt;"Só na cabeça",H28=""),"Falta onde está escrito","OK"))))))</f>
        <v/>
      </c>
    </row>
    <row r="29" customFormat="false" ht="30" hidden="false" customHeight="true" outlineLevel="0" collapsed="false">
      <c r="B29" s="12" t="n">
        <v>22</v>
      </c>
      <c r="C29" s="13"/>
      <c r="D29" s="5"/>
      <c r="E29" s="5"/>
      <c r="F29" s="13"/>
      <c r="G29" s="13"/>
      <c r="H29" s="5"/>
      <c r="I29" s="14"/>
      <c r="J29" s="13"/>
      <c r="K29" s="5"/>
      <c r="L29" s="8"/>
      <c r="M29" s="15" t="str">
        <f aca="false">IF(OR(G29="",I29=""),"",IF(G29="Só na cabeça",2,IF(G29="Escrito",1,0))+IF(I29&lt;=1,2,IF(I29=2,1,0))+IF(J29="Sim",1,0))</f>
        <v/>
      </c>
      <c r="N29" s="16" t="str">
        <f aca="false">IF(OR(M29="",F29=""),"",IF(AND(F29="Alta",M29&gt;=3),"Crítico",IF(AND(OR(F29="Alta",F29="Média"),M29&gt;=2),"Em risco","Sob controle")))</f>
        <v/>
      </c>
      <c r="O29" s="17" t="str">
        <f aca="false">IF(C29="","",IF(F29="","Falta a criticidade",IF(G29="","Falta a forma",IF(I29="","Falta quantas pessoas sabem",IF(OR(N29="Crítico",N29="Em risco"),IF(K29="","Falta a ação de transferência",IF(L29="","Falta o prazo da ação",IF(AND(ISNUMBER($E$4),L29&lt;$E$4),"Prazo da ação vencido",IF(AND(G29&lt;&gt;"Só na cabeça",H29=""),"Falta onde está escrito","OK")))),IF(AND(G29&lt;&gt;"Só na cabeça",H29=""),"Falta onde está escrito","OK"))))))</f>
        <v/>
      </c>
    </row>
    <row r="30" customFormat="false" ht="30" hidden="false" customHeight="true" outlineLevel="0" collapsed="false">
      <c r="B30" s="12" t="n">
        <v>23</v>
      </c>
      <c r="C30" s="13"/>
      <c r="D30" s="5"/>
      <c r="E30" s="5"/>
      <c r="F30" s="13"/>
      <c r="G30" s="13"/>
      <c r="H30" s="5"/>
      <c r="I30" s="14"/>
      <c r="J30" s="13"/>
      <c r="K30" s="5"/>
      <c r="L30" s="8"/>
      <c r="M30" s="15" t="str">
        <f aca="false">IF(OR(G30="",I30=""),"",IF(G30="Só na cabeça",2,IF(G30="Escrito",1,0))+IF(I30&lt;=1,2,IF(I30=2,1,0))+IF(J30="Sim",1,0))</f>
        <v/>
      </c>
      <c r="N30" s="16" t="str">
        <f aca="false">IF(OR(M30="",F30=""),"",IF(AND(F30="Alta",M30&gt;=3),"Crítico",IF(AND(OR(F30="Alta",F30="Média"),M30&gt;=2),"Em risco","Sob controle")))</f>
        <v/>
      </c>
      <c r="O30" s="17" t="str">
        <f aca="false">IF(C30="","",IF(F30="","Falta a criticidade",IF(G30="","Falta a forma",IF(I30="","Falta quantas pessoas sabem",IF(OR(N30="Crítico",N30="Em risco"),IF(K30="","Falta a ação de transferência",IF(L30="","Falta o prazo da ação",IF(AND(ISNUMBER($E$4),L30&lt;$E$4),"Prazo da ação vencido",IF(AND(G30&lt;&gt;"Só na cabeça",H30=""),"Falta onde está escrito","OK")))),IF(AND(G30&lt;&gt;"Só na cabeça",H30=""),"Falta onde está escrito","OK"))))))</f>
        <v/>
      </c>
    </row>
    <row r="31" customFormat="false" ht="30" hidden="false" customHeight="true" outlineLevel="0" collapsed="false">
      <c r="B31" s="12" t="n">
        <v>24</v>
      </c>
      <c r="C31" s="13"/>
      <c r="D31" s="5"/>
      <c r="E31" s="5"/>
      <c r="F31" s="13"/>
      <c r="G31" s="13"/>
      <c r="H31" s="5"/>
      <c r="I31" s="14"/>
      <c r="J31" s="13"/>
      <c r="K31" s="5"/>
      <c r="L31" s="8"/>
      <c r="M31" s="15" t="str">
        <f aca="false">IF(OR(G31="",I31=""),"",IF(G31="Só na cabeça",2,IF(G31="Escrito",1,0))+IF(I31&lt;=1,2,IF(I31=2,1,0))+IF(J31="Sim",1,0))</f>
        <v/>
      </c>
      <c r="N31" s="16" t="str">
        <f aca="false">IF(OR(M31="",F31=""),"",IF(AND(F31="Alta",M31&gt;=3),"Crítico",IF(AND(OR(F31="Alta",F31="Média"),M31&gt;=2),"Em risco","Sob controle")))</f>
        <v/>
      </c>
      <c r="O31" s="17" t="str">
        <f aca="false">IF(C31="","",IF(F31="","Falta a criticidade",IF(G31="","Falta a forma",IF(I31="","Falta quantas pessoas sabem",IF(OR(N31="Crítico",N31="Em risco"),IF(K31="","Falta a ação de transferência",IF(L31="","Falta o prazo da ação",IF(AND(ISNUMBER($E$4),L31&lt;$E$4),"Prazo da ação vencido",IF(AND(G31&lt;&gt;"Só na cabeça",H31=""),"Falta onde está escrito","OK")))),IF(AND(G31&lt;&gt;"Só na cabeça",H31=""),"Falta onde está escrito","OK"))))))</f>
        <v/>
      </c>
    </row>
    <row r="32" customFormat="false" ht="30" hidden="false" customHeight="true" outlineLevel="0" collapsed="false">
      <c r="B32" s="12" t="n">
        <v>25</v>
      </c>
      <c r="C32" s="13"/>
      <c r="D32" s="5"/>
      <c r="E32" s="5"/>
      <c r="F32" s="13"/>
      <c r="G32" s="13"/>
      <c r="H32" s="5"/>
      <c r="I32" s="14"/>
      <c r="J32" s="13"/>
      <c r="K32" s="5"/>
      <c r="L32" s="8"/>
      <c r="M32" s="15" t="str">
        <f aca="false">IF(OR(G32="",I32=""),"",IF(G32="Só na cabeça",2,IF(G32="Escrito",1,0))+IF(I32&lt;=1,2,IF(I32=2,1,0))+IF(J32="Sim",1,0))</f>
        <v/>
      </c>
      <c r="N32" s="16" t="str">
        <f aca="false">IF(OR(M32="",F32=""),"",IF(AND(F32="Alta",M32&gt;=3),"Crítico",IF(AND(OR(F32="Alta",F32="Média"),M32&gt;=2),"Em risco","Sob controle")))</f>
        <v/>
      </c>
      <c r="O32" s="17" t="str">
        <f aca="false">IF(C32="","",IF(F32="","Falta a criticidade",IF(G32="","Falta a forma",IF(I32="","Falta quantas pessoas sabem",IF(OR(N32="Crítico",N32="Em risco"),IF(K32="","Falta a ação de transferência",IF(L32="","Falta o prazo da ação",IF(AND(ISNUMBER($E$4),L32&lt;$E$4),"Prazo da ação vencido",IF(AND(G32&lt;&gt;"Só na cabeça",H32=""),"Falta onde está escrito","OK")))),IF(AND(G32&lt;&gt;"Só na cabeça",H32=""),"Falta onde está escrito","OK"))))))</f>
        <v/>
      </c>
    </row>
    <row r="33" customFormat="false" ht="30" hidden="false" customHeight="true" outlineLevel="0" collapsed="false">
      <c r="B33" s="12" t="n">
        <v>26</v>
      </c>
      <c r="C33" s="13"/>
      <c r="D33" s="5"/>
      <c r="E33" s="5"/>
      <c r="F33" s="13"/>
      <c r="G33" s="13"/>
      <c r="H33" s="5"/>
      <c r="I33" s="14"/>
      <c r="J33" s="13"/>
      <c r="K33" s="5"/>
      <c r="L33" s="8"/>
      <c r="M33" s="15" t="str">
        <f aca="false">IF(OR(G33="",I33=""),"",IF(G33="Só na cabeça",2,IF(G33="Escrito",1,0))+IF(I33&lt;=1,2,IF(I33=2,1,0))+IF(J33="Sim",1,0))</f>
        <v/>
      </c>
      <c r="N33" s="16" t="str">
        <f aca="false">IF(OR(M33="",F33=""),"",IF(AND(F33="Alta",M33&gt;=3),"Crítico",IF(AND(OR(F33="Alta",F33="Média"),M33&gt;=2),"Em risco","Sob controle")))</f>
        <v/>
      </c>
      <c r="O33" s="17" t="str">
        <f aca="false">IF(C33="","",IF(F33="","Falta a criticidade",IF(G33="","Falta a forma",IF(I33="","Falta quantas pessoas sabem",IF(OR(N33="Crítico",N33="Em risco"),IF(K33="","Falta a ação de transferência",IF(L33="","Falta o prazo da ação",IF(AND(ISNUMBER($E$4),L33&lt;$E$4),"Prazo da ação vencido",IF(AND(G33&lt;&gt;"Só na cabeça",H33=""),"Falta onde está escrito","OK")))),IF(AND(G33&lt;&gt;"Só na cabeça",H33=""),"Falta onde está escrito","OK"))))))</f>
        <v/>
      </c>
    </row>
    <row r="34" customFormat="false" ht="30" hidden="false" customHeight="true" outlineLevel="0" collapsed="false">
      <c r="B34" s="12" t="n">
        <v>27</v>
      </c>
      <c r="C34" s="13"/>
      <c r="D34" s="5"/>
      <c r="E34" s="5"/>
      <c r="F34" s="13"/>
      <c r="G34" s="13"/>
      <c r="H34" s="5"/>
      <c r="I34" s="14"/>
      <c r="J34" s="13"/>
      <c r="K34" s="5"/>
      <c r="L34" s="8"/>
      <c r="M34" s="15" t="str">
        <f aca="false">IF(OR(G34="",I34=""),"",IF(G34="Só na cabeça",2,IF(G34="Escrito",1,0))+IF(I34&lt;=1,2,IF(I34=2,1,0))+IF(J34="Sim",1,0))</f>
        <v/>
      </c>
      <c r="N34" s="16" t="str">
        <f aca="false">IF(OR(M34="",F34=""),"",IF(AND(F34="Alta",M34&gt;=3),"Crítico",IF(AND(OR(F34="Alta",F34="Média"),M34&gt;=2),"Em risco","Sob controle")))</f>
        <v/>
      </c>
      <c r="O34" s="17" t="str">
        <f aca="false">IF(C34="","",IF(F34="","Falta a criticidade",IF(G34="","Falta a forma",IF(I34="","Falta quantas pessoas sabem",IF(OR(N34="Crítico",N34="Em risco"),IF(K34="","Falta a ação de transferência",IF(L34="","Falta o prazo da ação",IF(AND(ISNUMBER($E$4),L34&lt;$E$4),"Prazo da ação vencido",IF(AND(G34&lt;&gt;"Só na cabeça",H34=""),"Falta onde está escrito","OK")))),IF(AND(G34&lt;&gt;"Só na cabeça",H34=""),"Falta onde está escrito","OK"))))))</f>
        <v/>
      </c>
    </row>
    <row r="35" customFormat="false" ht="30" hidden="false" customHeight="true" outlineLevel="0" collapsed="false">
      <c r="B35" s="12" t="n">
        <v>28</v>
      </c>
      <c r="C35" s="13"/>
      <c r="D35" s="5"/>
      <c r="E35" s="5"/>
      <c r="F35" s="13"/>
      <c r="G35" s="13"/>
      <c r="H35" s="5"/>
      <c r="I35" s="14"/>
      <c r="J35" s="13"/>
      <c r="K35" s="5"/>
      <c r="L35" s="8"/>
      <c r="M35" s="15" t="str">
        <f aca="false">IF(OR(G35="",I35=""),"",IF(G35="Só na cabeça",2,IF(G35="Escrito",1,0))+IF(I35&lt;=1,2,IF(I35=2,1,0))+IF(J35="Sim",1,0))</f>
        <v/>
      </c>
      <c r="N35" s="16" t="str">
        <f aca="false">IF(OR(M35="",F35=""),"",IF(AND(F35="Alta",M35&gt;=3),"Crítico",IF(AND(OR(F35="Alta",F35="Média"),M35&gt;=2),"Em risco","Sob controle")))</f>
        <v/>
      </c>
      <c r="O35" s="17" t="str">
        <f aca="false">IF(C35="","",IF(F35="","Falta a criticidade",IF(G35="","Falta a forma",IF(I35="","Falta quantas pessoas sabem",IF(OR(N35="Crítico",N35="Em risco"),IF(K35="","Falta a ação de transferência",IF(L35="","Falta o prazo da ação",IF(AND(ISNUMBER($E$4),L35&lt;$E$4),"Prazo da ação vencido",IF(AND(G35&lt;&gt;"Só na cabeça",H35=""),"Falta onde está escrito","OK")))),IF(AND(G35&lt;&gt;"Só na cabeça",H35=""),"Falta onde está escrito","OK"))))))</f>
        <v/>
      </c>
    </row>
    <row r="36" customFormat="false" ht="30" hidden="false" customHeight="true" outlineLevel="0" collapsed="false">
      <c r="B36" s="12" t="n">
        <v>29</v>
      </c>
      <c r="C36" s="13"/>
      <c r="D36" s="5"/>
      <c r="E36" s="5"/>
      <c r="F36" s="13"/>
      <c r="G36" s="13"/>
      <c r="H36" s="5"/>
      <c r="I36" s="14"/>
      <c r="J36" s="13"/>
      <c r="K36" s="5"/>
      <c r="L36" s="8"/>
      <c r="M36" s="15" t="str">
        <f aca="false">IF(OR(G36="",I36=""),"",IF(G36="Só na cabeça",2,IF(G36="Escrito",1,0))+IF(I36&lt;=1,2,IF(I36=2,1,0))+IF(J36="Sim",1,0))</f>
        <v/>
      </c>
      <c r="N36" s="16" t="str">
        <f aca="false">IF(OR(M36="",F36=""),"",IF(AND(F36="Alta",M36&gt;=3),"Crítico",IF(AND(OR(F36="Alta",F36="Média"),M36&gt;=2),"Em risco","Sob controle")))</f>
        <v/>
      </c>
      <c r="O36" s="17" t="str">
        <f aca="false">IF(C36="","",IF(F36="","Falta a criticidade",IF(G36="","Falta a forma",IF(I36="","Falta quantas pessoas sabem",IF(OR(N36="Crítico",N36="Em risco"),IF(K36="","Falta a ação de transferência",IF(L36="","Falta o prazo da ação",IF(AND(ISNUMBER($E$4),L36&lt;$E$4),"Prazo da ação vencido",IF(AND(G36&lt;&gt;"Só na cabeça",H36=""),"Falta onde está escrito","OK")))),IF(AND(G36&lt;&gt;"Só na cabeça",H36=""),"Falta onde está escrito","OK"))))))</f>
        <v/>
      </c>
    </row>
    <row r="37" customFormat="false" ht="30" hidden="false" customHeight="true" outlineLevel="0" collapsed="false">
      <c r="B37" s="12" t="n">
        <v>30</v>
      </c>
      <c r="C37" s="13"/>
      <c r="D37" s="5"/>
      <c r="E37" s="5"/>
      <c r="F37" s="13"/>
      <c r="G37" s="13"/>
      <c r="H37" s="5"/>
      <c r="I37" s="14"/>
      <c r="J37" s="13"/>
      <c r="K37" s="5"/>
      <c r="L37" s="8"/>
      <c r="M37" s="15" t="str">
        <f aca="false">IF(OR(G37="",I37=""),"",IF(G37="Só na cabeça",2,IF(G37="Escrito",1,0))+IF(I37&lt;=1,2,IF(I37=2,1,0))+IF(J37="Sim",1,0))</f>
        <v/>
      </c>
      <c r="N37" s="16" t="str">
        <f aca="false">IF(OR(M37="",F37=""),"",IF(AND(F37="Alta",M37&gt;=3),"Crítico",IF(AND(OR(F37="Alta",F37="Média"),M37&gt;=2),"Em risco","Sob controle")))</f>
        <v/>
      </c>
      <c r="O37" s="17" t="str">
        <f aca="false">IF(C37="","",IF(F37="","Falta a criticidade",IF(G37="","Falta a forma",IF(I37="","Falta quantas pessoas sabem",IF(OR(N37="Crítico",N37="Em risco"),IF(K37="","Falta a ação de transferência",IF(L37="","Falta o prazo da ação",IF(AND(ISNUMBER($E$4),L37&lt;$E$4),"Prazo da ação vencido",IF(AND(G37&lt;&gt;"Só na cabeça",H37=""),"Falta onde está escrito","OK")))),IF(AND(G37&lt;&gt;"Só na cabeça",H37=""),"Falta onde está escrito","OK"))))))</f>
        <v/>
      </c>
    </row>
    <row r="38" customFormat="false" ht="30" hidden="false" customHeight="true" outlineLevel="0" collapsed="false">
      <c r="B38" s="12" t="n">
        <v>31</v>
      </c>
      <c r="C38" s="13"/>
      <c r="D38" s="5"/>
      <c r="E38" s="5"/>
      <c r="F38" s="13"/>
      <c r="G38" s="13"/>
      <c r="H38" s="5"/>
      <c r="I38" s="14"/>
      <c r="J38" s="13"/>
      <c r="K38" s="5"/>
      <c r="L38" s="8"/>
      <c r="M38" s="15" t="str">
        <f aca="false">IF(OR(G38="",I38=""),"",IF(G38="Só na cabeça",2,IF(G38="Escrito",1,0))+IF(I38&lt;=1,2,IF(I38=2,1,0))+IF(J38="Sim",1,0))</f>
        <v/>
      </c>
      <c r="N38" s="16" t="str">
        <f aca="false">IF(OR(M38="",F38=""),"",IF(AND(F38="Alta",M38&gt;=3),"Crítico",IF(AND(OR(F38="Alta",F38="Média"),M38&gt;=2),"Em risco","Sob controle")))</f>
        <v/>
      </c>
      <c r="O38" s="17" t="str">
        <f aca="false">IF(C38="","",IF(F38="","Falta a criticidade",IF(G38="","Falta a forma",IF(I38="","Falta quantas pessoas sabem",IF(OR(N38="Crítico",N38="Em risco"),IF(K38="","Falta a ação de transferência",IF(L38="","Falta o prazo da ação",IF(AND(ISNUMBER($E$4),L38&lt;$E$4),"Prazo da ação vencido",IF(AND(G38&lt;&gt;"Só na cabeça",H38=""),"Falta onde está escrito","OK")))),IF(AND(G38&lt;&gt;"Só na cabeça",H38=""),"Falta onde está escrito","OK"))))))</f>
        <v/>
      </c>
    </row>
    <row r="39" customFormat="false" ht="30" hidden="false" customHeight="true" outlineLevel="0" collapsed="false">
      <c r="B39" s="12" t="n">
        <v>32</v>
      </c>
      <c r="C39" s="13"/>
      <c r="D39" s="5"/>
      <c r="E39" s="5"/>
      <c r="F39" s="13"/>
      <c r="G39" s="13"/>
      <c r="H39" s="5"/>
      <c r="I39" s="14"/>
      <c r="J39" s="13"/>
      <c r="K39" s="5"/>
      <c r="L39" s="8"/>
      <c r="M39" s="15" t="str">
        <f aca="false">IF(OR(G39="",I39=""),"",IF(G39="Só na cabeça",2,IF(G39="Escrito",1,0))+IF(I39&lt;=1,2,IF(I39=2,1,0))+IF(J39="Sim",1,0))</f>
        <v/>
      </c>
      <c r="N39" s="16" t="str">
        <f aca="false">IF(OR(M39="",F39=""),"",IF(AND(F39="Alta",M39&gt;=3),"Crítico",IF(AND(OR(F39="Alta",F39="Média"),M39&gt;=2),"Em risco","Sob controle")))</f>
        <v/>
      </c>
      <c r="O39" s="17" t="str">
        <f aca="false">IF(C39="","",IF(F39="","Falta a criticidade",IF(G39="","Falta a forma",IF(I39="","Falta quantas pessoas sabem",IF(OR(N39="Crítico",N39="Em risco"),IF(K39="","Falta a ação de transferência",IF(L39="","Falta o prazo da ação",IF(AND(ISNUMBER($E$4),L39&lt;$E$4),"Prazo da ação vencido",IF(AND(G39&lt;&gt;"Só na cabeça",H39=""),"Falta onde está escrito","OK")))),IF(AND(G39&lt;&gt;"Só na cabeça",H39=""),"Falta onde está escrito","OK"))))))</f>
        <v/>
      </c>
    </row>
    <row r="40" customFormat="false" ht="30" hidden="false" customHeight="true" outlineLevel="0" collapsed="false">
      <c r="B40" s="12" t="n">
        <v>33</v>
      </c>
      <c r="C40" s="13"/>
      <c r="D40" s="5"/>
      <c r="E40" s="5"/>
      <c r="F40" s="13"/>
      <c r="G40" s="13"/>
      <c r="H40" s="5"/>
      <c r="I40" s="14"/>
      <c r="J40" s="13"/>
      <c r="K40" s="5"/>
      <c r="L40" s="8"/>
      <c r="M40" s="15" t="str">
        <f aca="false">IF(OR(G40="",I40=""),"",IF(G40="Só na cabeça",2,IF(G40="Escrito",1,0))+IF(I40&lt;=1,2,IF(I40=2,1,0))+IF(J40="Sim",1,0))</f>
        <v/>
      </c>
      <c r="N40" s="16" t="str">
        <f aca="false">IF(OR(M40="",F40=""),"",IF(AND(F40="Alta",M40&gt;=3),"Crítico",IF(AND(OR(F40="Alta",F40="Média"),M40&gt;=2),"Em risco","Sob controle")))</f>
        <v/>
      </c>
      <c r="O40" s="17" t="str">
        <f aca="false">IF(C40="","",IF(F40="","Falta a criticidade",IF(G40="","Falta a forma",IF(I40="","Falta quantas pessoas sabem",IF(OR(N40="Crítico",N40="Em risco"),IF(K40="","Falta a ação de transferência",IF(L40="","Falta o prazo da ação",IF(AND(ISNUMBER($E$4),L40&lt;$E$4),"Prazo da ação vencido",IF(AND(G40&lt;&gt;"Só na cabeça",H40=""),"Falta onde está escrito","OK")))),IF(AND(G40&lt;&gt;"Só na cabeça",H40=""),"Falta onde está escrito","OK"))))))</f>
        <v/>
      </c>
    </row>
    <row r="41" customFormat="false" ht="30" hidden="false" customHeight="true" outlineLevel="0" collapsed="false">
      <c r="B41" s="12" t="n">
        <v>34</v>
      </c>
      <c r="C41" s="13"/>
      <c r="D41" s="5"/>
      <c r="E41" s="5"/>
      <c r="F41" s="13"/>
      <c r="G41" s="13"/>
      <c r="H41" s="5"/>
      <c r="I41" s="14"/>
      <c r="J41" s="13"/>
      <c r="K41" s="5"/>
      <c r="L41" s="8"/>
      <c r="M41" s="15" t="str">
        <f aca="false">IF(OR(G41="",I41=""),"",IF(G41="Só na cabeça",2,IF(G41="Escrito",1,0))+IF(I41&lt;=1,2,IF(I41=2,1,0))+IF(J41="Sim",1,0))</f>
        <v/>
      </c>
      <c r="N41" s="16" t="str">
        <f aca="false">IF(OR(M41="",F41=""),"",IF(AND(F41="Alta",M41&gt;=3),"Crítico",IF(AND(OR(F41="Alta",F41="Média"),M41&gt;=2),"Em risco","Sob controle")))</f>
        <v/>
      </c>
      <c r="O41" s="17" t="str">
        <f aca="false">IF(C41="","",IF(F41="","Falta a criticidade",IF(G41="","Falta a forma",IF(I41="","Falta quantas pessoas sabem",IF(OR(N41="Crítico",N41="Em risco"),IF(K41="","Falta a ação de transferência",IF(L41="","Falta o prazo da ação",IF(AND(ISNUMBER($E$4),L41&lt;$E$4),"Prazo da ação vencido",IF(AND(G41&lt;&gt;"Só na cabeça",H41=""),"Falta onde está escrito","OK")))),IF(AND(G41&lt;&gt;"Só na cabeça",H41=""),"Falta onde está escrito","OK"))))))</f>
        <v/>
      </c>
    </row>
    <row r="42" customFormat="false" ht="30" hidden="false" customHeight="true" outlineLevel="0" collapsed="false">
      <c r="B42" s="12" t="n">
        <v>35</v>
      </c>
      <c r="C42" s="13"/>
      <c r="D42" s="5"/>
      <c r="E42" s="5"/>
      <c r="F42" s="13"/>
      <c r="G42" s="13"/>
      <c r="H42" s="5"/>
      <c r="I42" s="14"/>
      <c r="J42" s="13"/>
      <c r="K42" s="5"/>
      <c r="L42" s="8"/>
      <c r="M42" s="15" t="str">
        <f aca="false">IF(OR(G42="",I42=""),"",IF(G42="Só na cabeça",2,IF(G42="Escrito",1,0))+IF(I42&lt;=1,2,IF(I42=2,1,0))+IF(J42="Sim",1,0))</f>
        <v/>
      </c>
      <c r="N42" s="16" t="str">
        <f aca="false">IF(OR(M42="",F42=""),"",IF(AND(F42="Alta",M42&gt;=3),"Crítico",IF(AND(OR(F42="Alta",F42="Média"),M42&gt;=2),"Em risco","Sob controle")))</f>
        <v/>
      </c>
      <c r="O42" s="17" t="str">
        <f aca="false">IF(C42="","",IF(F42="","Falta a criticidade",IF(G42="","Falta a forma",IF(I42="","Falta quantas pessoas sabem",IF(OR(N42="Crítico",N42="Em risco"),IF(K42="","Falta a ação de transferência",IF(L42="","Falta o prazo da ação",IF(AND(ISNUMBER($E$4),L42&lt;$E$4),"Prazo da ação vencido",IF(AND(G42&lt;&gt;"Só na cabeça",H42=""),"Falta onde está escrito","OK")))),IF(AND(G42&lt;&gt;"Só na cabeça",H42=""),"Falta onde está escrito","OK"))))))</f>
        <v/>
      </c>
    </row>
    <row r="43" customFormat="false" ht="30" hidden="false" customHeight="true" outlineLevel="0" collapsed="false">
      <c r="B43" s="12" t="n">
        <v>36</v>
      </c>
      <c r="C43" s="13"/>
      <c r="D43" s="5"/>
      <c r="E43" s="5"/>
      <c r="F43" s="13"/>
      <c r="G43" s="13"/>
      <c r="H43" s="5"/>
      <c r="I43" s="14"/>
      <c r="J43" s="13"/>
      <c r="K43" s="5"/>
      <c r="L43" s="8"/>
      <c r="M43" s="15" t="str">
        <f aca="false">IF(OR(G43="",I43=""),"",IF(G43="Só na cabeça",2,IF(G43="Escrito",1,0))+IF(I43&lt;=1,2,IF(I43=2,1,0))+IF(J43="Sim",1,0))</f>
        <v/>
      </c>
      <c r="N43" s="16" t="str">
        <f aca="false">IF(OR(M43="",F43=""),"",IF(AND(F43="Alta",M43&gt;=3),"Crítico",IF(AND(OR(F43="Alta",F43="Média"),M43&gt;=2),"Em risco","Sob controle")))</f>
        <v/>
      </c>
      <c r="O43" s="17" t="str">
        <f aca="false">IF(C43="","",IF(F43="","Falta a criticidade",IF(G43="","Falta a forma",IF(I43="","Falta quantas pessoas sabem",IF(OR(N43="Crítico",N43="Em risco"),IF(K43="","Falta a ação de transferência",IF(L43="","Falta o prazo da ação",IF(AND(ISNUMBER($E$4),L43&lt;$E$4),"Prazo da ação vencido",IF(AND(G43&lt;&gt;"Só na cabeça",H43=""),"Falta onde está escrito","OK")))),IF(AND(G43&lt;&gt;"Só na cabeça",H43=""),"Falta onde está escrito","OK"))))))</f>
        <v/>
      </c>
    </row>
    <row r="44" customFormat="false" ht="30" hidden="false" customHeight="true" outlineLevel="0" collapsed="false">
      <c r="B44" s="12" t="n">
        <v>37</v>
      </c>
      <c r="C44" s="13"/>
      <c r="D44" s="5"/>
      <c r="E44" s="5"/>
      <c r="F44" s="13"/>
      <c r="G44" s="13"/>
      <c r="H44" s="5"/>
      <c r="I44" s="14"/>
      <c r="J44" s="13"/>
      <c r="K44" s="5"/>
      <c r="L44" s="8"/>
      <c r="M44" s="15" t="str">
        <f aca="false">IF(OR(G44="",I44=""),"",IF(G44="Só na cabeça",2,IF(G44="Escrito",1,0))+IF(I44&lt;=1,2,IF(I44=2,1,0))+IF(J44="Sim",1,0))</f>
        <v/>
      </c>
      <c r="N44" s="16" t="str">
        <f aca="false">IF(OR(M44="",F44=""),"",IF(AND(F44="Alta",M44&gt;=3),"Crítico",IF(AND(OR(F44="Alta",F44="Média"),M44&gt;=2),"Em risco","Sob controle")))</f>
        <v/>
      </c>
      <c r="O44" s="17" t="str">
        <f aca="false">IF(C44="","",IF(F44="","Falta a criticidade",IF(G44="","Falta a forma",IF(I44="","Falta quantas pessoas sabem",IF(OR(N44="Crítico",N44="Em risco"),IF(K44="","Falta a ação de transferência",IF(L44="","Falta o prazo da ação",IF(AND(ISNUMBER($E$4),L44&lt;$E$4),"Prazo da ação vencido",IF(AND(G44&lt;&gt;"Só na cabeça",H44=""),"Falta onde está escrito","OK")))),IF(AND(G44&lt;&gt;"Só na cabeça",H44=""),"Falta onde está escrito","OK"))))))</f>
        <v/>
      </c>
    </row>
    <row r="45" customFormat="false" ht="30" hidden="false" customHeight="true" outlineLevel="0" collapsed="false">
      <c r="B45" s="12" t="n">
        <v>38</v>
      </c>
      <c r="C45" s="13"/>
      <c r="D45" s="5"/>
      <c r="E45" s="5"/>
      <c r="F45" s="13"/>
      <c r="G45" s="13"/>
      <c r="H45" s="5"/>
      <c r="I45" s="14"/>
      <c r="J45" s="13"/>
      <c r="K45" s="5"/>
      <c r="L45" s="8"/>
      <c r="M45" s="15" t="str">
        <f aca="false">IF(OR(G45="",I45=""),"",IF(G45="Só na cabeça",2,IF(G45="Escrito",1,0))+IF(I45&lt;=1,2,IF(I45=2,1,0))+IF(J45="Sim",1,0))</f>
        <v/>
      </c>
      <c r="N45" s="16" t="str">
        <f aca="false">IF(OR(M45="",F45=""),"",IF(AND(F45="Alta",M45&gt;=3),"Crítico",IF(AND(OR(F45="Alta",F45="Média"),M45&gt;=2),"Em risco","Sob controle")))</f>
        <v/>
      </c>
      <c r="O45" s="17" t="str">
        <f aca="false">IF(C45="","",IF(F45="","Falta a criticidade",IF(G45="","Falta a forma",IF(I45="","Falta quantas pessoas sabem",IF(OR(N45="Crítico",N45="Em risco"),IF(K45="","Falta a ação de transferência",IF(L45="","Falta o prazo da ação",IF(AND(ISNUMBER($E$4),L45&lt;$E$4),"Prazo da ação vencido",IF(AND(G45&lt;&gt;"Só na cabeça",H45=""),"Falta onde está escrito","OK")))),IF(AND(G45&lt;&gt;"Só na cabeça",H45=""),"Falta onde está escrito","OK"))))))</f>
        <v/>
      </c>
    </row>
    <row r="46" customFormat="false" ht="30" hidden="false" customHeight="true" outlineLevel="0" collapsed="false">
      <c r="B46" s="12" t="n">
        <v>39</v>
      </c>
      <c r="C46" s="13"/>
      <c r="D46" s="5"/>
      <c r="E46" s="5"/>
      <c r="F46" s="13"/>
      <c r="G46" s="13"/>
      <c r="H46" s="5"/>
      <c r="I46" s="14"/>
      <c r="J46" s="13"/>
      <c r="K46" s="5"/>
      <c r="L46" s="8"/>
      <c r="M46" s="15" t="str">
        <f aca="false">IF(OR(G46="",I46=""),"",IF(G46="Só na cabeça",2,IF(G46="Escrito",1,0))+IF(I46&lt;=1,2,IF(I46=2,1,0))+IF(J46="Sim",1,0))</f>
        <v/>
      </c>
      <c r="N46" s="16" t="str">
        <f aca="false">IF(OR(M46="",F46=""),"",IF(AND(F46="Alta",M46&gt;=3),"Crítico",IF(AND(OR(F46="Alta",F46="Média"),M46&gt;=2),"Em risco","Sob controle")))</f>
        <v/>
      </c>
      <c r="O46" s="17" t="str">
        <f aca="false">IF(C46="","",IF(F46="","Falta a criticidade",IF(G46="","Falta a forma",IF(I46="","Falta quantas pessoas sabem",IF(OR(N46="Crítico",N46="Em risco"),IF(K46="","Falta a ação de transferência",IF(L46="","Falta o prazo da ação",IF(AND(ISNUMBER($E$4),L46&lt;$E$4),"Prazo da ação vencido",IF(AND(G46&lt;&gt;"Só na cabeça",H46=""),"Falta onde está escrito","OK")))),IF(AND(G46&lt;&gt;"Só na cabeça",H46=""),"Falta onde está escrito","OK"))))))</f>
        <v/>
      </c>
    </row>
    <row r="47" customFormat="false" ht="30" hidden="false" customHeight="true" outlineLevel="0" collapsed="false">
      <c r="B47" s="12" t="n">
        <v>40</v>
      </c>
      <c r="C47" s="13"/>
      <c r="D47" s="5"/>
      <c r="E47" s="5"/>
      <c r="F47" s="13"/>
      <c r="G47" s="13"/>
      <c r="H47" s="5"/>
      <c r="I47" s="14"/>
      <c r="J47" s="13"/>
      <c r="K47" s="5"/>
      <c r="L47" s="8"/>
      <c r="M47" s="15" t="str">
        <f aca="false">IF(OR(G47="",I47=""),"",IF(G47="Só na cabeça",2,IF(G47="Escrito",1,0))+IF(I47&lt;=1,2,IF(I47=2,1,0))+IF(J47="Sim",1,0))</f>
        <v/>
      </c>
      <c r="N47" s="16" t="str">
        <f aca="false">IF(OR(M47="",F47=""),"",IF(AND(F47="Alta",M47&gt;=3),"Crítico",IF(AND(OR(F47="Alta",F47="Média"),M47&gt;=2),"Em risco","Sob controle")))</f>
        <v/>
      </c>
      <c r="O47" s="17" t="str">
        <f aca="false">IF(C47="","",IF(F47="","Falta a criticidade",IF(G47="","Falta a forma",IF(I47="","Falta quantas pessoas sabem",IF(OR(N47="Crítico",N47="Em risco"),IF(K47="","Falta a ação de transferência",IF(L47="","Falta o prazo da ação",IF(AND(ISNUMBER($E$4),L47&lt;$E$4),"Prazo da ação vencido",IF(AND(G47&lt;&gt;"Só na cabeça",H47=""),"Falta onde está escrito","OK")))),IF(AND(G47&lt;&gt;"Só na cabeça",H47=""),"Falta onde está escrito","OK"))))))</f>
        <v/>
      </c>
    </row>
    <row r="49" customFormat="false" ht="21.75" hidden="false" customHeight="true" outlineLevel="0" collapsed="false">
      <c r="B49" s="18" t="s">
        <v>94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customFormat="false" ht="21.75" hidden="false" customHeight="true" outlineLevel="0" collapsed="false">
      <c r="B50" s="19" t="s">
        <v>95</v>
      </c>
      <c r="C50" s="19"/>
      <c r="D50" s="19"/>
      <c r="E50" s="20" t="n">
        <f aca="false">COUNTA(C8:C47)</f>
        <v>0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customFormat="false" ht="21.75" hidden="false" customHeight="true" outlineLevel="0" collapsed="false">
      <c r="B51" s="19" t="s">
        <v>96</v>
      </c>
      <c r="C51" s="19"/>
      <c r="D51" s="19"/>
      <c r="E51" s="20" t="str">
        <f aca="false">COUNTIF(N8:N47,"Crítico")&amp;" crítico"&amp;", "&amp;COUNTIF(N8:N47,"Em risco")&amp;" em risco"&amp;", "&amp;COUNTIF(N8:N47,"Sob controle")&amp;" sob controle"</f>
        <v>0 crítico, 0 em risco, 0 sob controle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customFormat="false" ht="21.75" hidden="false" customHeight="true" outlineLevel="0" collapsed="false">
      <c r="B52" s="19" t="s">
        <v>97</v>
      </c>
      <c r="C52" s="19"/>
      <c r="D52" s="19"/>
      <c r="E52" s="21" t="str">
        <f aca="false">IF(E50=0,"Liste o conhecimento de cada processo",IF(E4="","Informe a data da leitura",IF(COUNTIF(O8:O47,"Falta a ação de transferência")&gt;0,"Há conhecimento exposto sem ação de transferência",IF(COUNTIF(O8:O47,"Prazo da ação vencido")&gt;0,"Há ação de transferência vencida",IF(SUMPRODUCT((O8:O47&lt;&gt;"")*(O8:O47&lt;&gt;"OK"))&gt;0,"Há linha a completar: veja a coluna Conferência","OK")))))</f>
        <v>Liste o conhecimento de cada processo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</row>
  </sheetData>
  <mergeCells count="11">
    <mergeCell ref="B1:O1"/>
    <mergeCell ref="B2:O2"/>
    <mergeCell ref="B4:D4"/>
    <mergeCell ref="F4:O4"/>
    <mergeCell ref="B49:O49"/>
    <mergeCell ref="B50:D50"/>
    <mergeCell ref="E50:O50"/>
    <mergeCell ref="B51:D51"/>
    <mergeCell ref="E51:O51"/>
    <mergeCell ref="B52:D52"/>
    <mergeCell ref="E52:O52"/>
  </mergeCells>
  <conditionalFormatting sqref="N8:N47">
    <cfRule type="expression" priority="2" aboveAverage="0" equalAverage="0" bottom="0" percent="0" rank="0" text="" dxfId="0">
      <formula>N8="Crítico"</formula>
    </cfRule>
    <cfRule type="expression" priority="3" aboveAverage="0" equalAverage="0" bottom="0" percent="0" rank="0" text="" dxfId="1">
      <formula>N8="Em risco"</formula>
    </cfRule>
    <cfRule type="expression" priority="4" aboveAverage="0" equalAverage="0" bottom="0" percent="0" rank="0" text="" dxfId="2">
      <formula>N8="Sob controle"</formula>
    </cfRule>
  </conditionalFormatting>
  <conditionalFormatting sqref="O8:O47">
    <cfRule type="expression" priority="5" aboveAverage="0" equalAverage="0" bottom="0" percent="0" rank="0" text="" dxfId="2">
      <formula>OR(O8="OK")</formula>
    </cfRule>
    <cfRule type="expression" priority="6" aboveAverage="0" equalAverage="0" bottom="0" percent="0" rank="0" text="" dxfId="3">
      <formula>AND(LEN(O8)&gt;0,NOT(OR(O8="OK")))</formula>
    </cfRule>
  </conditionalFormatting>
  <conditionalFormatting sqref="E52:O52">
    <cfRule type="expression" priority="7" aboveAverage="0" equalAverage="0" bottom="0" percent="0" rank="0" text="" dxfId="2">
      <formula>OR(E52="OK")</formula>
    </cfRule>
    <cfRule type="expression" priority="8" aboveAverage="0" equalAverage="0" bottom="0" percent="0" rank="0" text="" dxfId="3">
      <formula>AND(LEN(E52)&gt;0,NOT(OR(E52="OK")))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E4 L8:L47" type="date">
      <formula1>36526</formula1>
      <formula2>0</formula2>
    </dataValidation>
    <dataValidation allowBlank="true" error="Escolha uma das opções da lista." errorStyle="stop" errorTitle="Valor inválido" operator="between" prompt="Alta: sem ele, o produto sai errado. Média: atrapalha. Baixa: pouco efeito no produto" promptTitle="Opções" showDropDown="false" showErrorMessage="true" showInputMessage="true" sqref="F8:F47" type="list">
      <formula1>"Alta,Média,Baixa"</formula1>
      <formula2>0</formula2>
    </dataValidation>
    <dataValidation allowBlank="true" error="Escolha uma das opções da lista." errorStyle="stop" errorTitle="Valor inválido" operator="between" prompt="Só na cabeça, escrito, ou escrito e treinado" promptTitle="Opções" showDropDown="false" showErrorMessage="true" showInputMessage="true" sqref="G8:G47" type="list">
      <formula1>"Só na cabeça,Escrito,Escrito e treinado"</formula1>
      <formula2>0</formula2>
    </dataValidation>
    <dataValidation allowBlank="true" error="Escolha uma das opções da lista." errorStyle="stop" errorTitle="Valor inválido" operator="between" prompt="Alguém que sabe tem saída prevista: aposentadoria, mudança, fim de contrato?" promptTitle="Opções" showDropDown="false" showErrorMessage="true" showInputMessage="true" sqref="J8:J47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8:I47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N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2" min="10" style="0" width="12"/>
    <col collapsed="false" customWidth="true" hidden="false" outlineLevel="0" max="13" min="13" style="0" width="9"/>
    <col collapsed="false" customWidth="true" hidden="false" outlineLevel="0" max="14" min="14" style="0" width="30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98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3" hidden="false" customHeight="true" outlineLevel="0" collapsed="false">
      <c r="B4" s="10" t="s">
        <v>73</v>
      </c>
      <c r="C4" s="10" t="s">
        <v>100</v>
      </c>
      <c r="D4" s="10" t="s">
        <v>91</v>
      </c>
      <c r="E4" s="10" t="s">
        <v>101</v>
      </c>
      <c r="F4" s="10" t="s">
        <v>102</v>
      </c>
      <c r="G4" s="10" t="s">
        <v>103</v>
      </c>
      <c r="H4" s="10" t="s">
        <v>104</v>
      </c>
      <c r="I4" s="10" t="s">
        <v>105</v>
      </c>
      <c r="J4" s="10" t="s">
        <v>44</v>
      </c>
      <c r="K4" s="10" t="s">
        <v>106</v>
      </c>
      <c r="L4" s="10" t="s">
        <v>83</v>
      </c>
      <c r="M4" s="10" t="s">
        <v>107</v>
      </c>
      <c r="N4" s="10" t="s">
        <v>84</v>
      </c>
    </row>
    <row r="5" customFormat="false" ht="30" hidden="false" customHeight="true" outlineLevel="0" collapsed="false">
      <c r="B5" s="11"/>
      <c r="C5" s="11" t="s">
        <v>108</v>
      </c>
      <c r="D5" s="11" t="s">
        <v>109</v>
      </c>
      <c r="E5" s="11" t="s">
        <v>87</v>
      </c>
      <c r="F5" s="11"/>
      <c r="G5" s="11" t="s">
        <v>110</v>
      </c>
      <c r="H5" s="11" t="s">
        <v>111</v>
      </c>
      <c r="I5" s="11"/>
      <c r="J5" s="11" t="s">
        <v>112</v>
      </c>
      <c r="K5" s="11" t="s">
        <v>91</v>
      </c>
      <c r="L5" s="11" t="s">
        <v>93</v>
      </c>
      <c r="M5" s="11" t="s">
        <v>92</v>
      </c>
      <c r="N5" s="11" t="s">
        <v>93</v>
      </c>
    </row>
    <row r="6" customFormat="false" ht="30" hidden="false" customHeight="true" outlineLevel="0" collapsed="false">
      <c r="B6" s="11" t="s">
        <v>113</v>
      </c>
      <c r="C6" s="11" t="s">
        <v>108</v>
      </c>
      <c r="D6" s="22" t="n">
        <v>46451</v>
      </c>
      <c r="E6" s="11" t="s">
        <v>114</v>
      </c>
      <c r="F6" s="9" t="s">
        <v>115</v>
      </c>
      <c r="G6" s="9" t="s">
        <v>116</v>
      </c>
      <c r="H6" s="9" t="s">
        <v>117</v>
      </c>
      <c r="I6" s="9" t="s">
        <v>118</v>
      </c>
      <c r="J6" s="11" t="s">
        <v>119</v>
      </c>
      <c r="K6" s="22" t="n">
        <v>46461</v>
      </c>
      <c r="L6" s="11" t="s">
        <v>120</v>
      </c>
      <c r="M6" s="11"/>
      <c r="N6" s="11" t="s">
        <v>121</v>
      </c>
    </row>
    <row r="7" customFormat="false" ht="30" hidden="false" customHeight="true" outlineLevel="0" collapsed="false">
      <c r="B7" s="12" t="n">
        <v>1</v>
      </c>
      <c r="C7" s="13"/>
      <c r="D7" s="8"/>
      <c r="E7" s="13"/>
      <c r="F7" s="5"/>
      <c r="G7" s="5"/>
      <c r="H7" s="5"/>
      <c r="I7" s="5"/>
      <c r="J7" s="13"/>
      <c r="K7" s="8"/>
      <c r="L7" s="16" t="str">
        <f aca="false">IF(C7="","",IF(K7="","Pendente","Incorporada"))</f>
        <v/>
      </c>
      <c r="M7" s="23" t="str">
        <f aca="false">IF(OR(C7="",K7&lt;&gt;"",D7=""),"",IF(ISNUMBER(Conhecimento!$E$4),Conhecimento!$E$4-D7,""))</f>
        <v/>
      </c>
      <c r="N7" s="17" t="str">
        <f aca="false">IF(C7="","",IF(D7="","Falta a data",IF(F7="","Falta o que aconteceu",IF(G7="","Falta o que aprendemos",IF(H7="","Falta onde incorporar",IF(AND(J7&lt;&gt;"",ISNA(MATCH(J7,Conhecimento!$C$8:$C$47,0))),"Conhecimento não cadastrado",IF(AND(L7="Pendente",N(M7)&gt;60),"Pendente há mais de 60 dias","OK")))))))</f>
        <v/>
      </c>
    </row>
    <row r="8" customFormat="false" ht="30" hidden="false" customHeight="true" outlineLevel="0" collapsed="false">
      <c r="B8" s="12" t="n">
        <v>2</v>
      </c>
      <c r="C8" s="13"/>
      <c r="D8" s="8"/>
      <c r="E8" s="13"/>
      <c r="F8" s="5"/>
      <c r="G8" s="5"/>
      <c r="H8" s="5"/>
      <c r="I8" s="5"/>
      <c r="J8" s="13"/>
      <c r="K8" s="8"/>
      <c r="L8" s="16" t="str">
        <f aca="false">IF(C8="","",IF(K8="","Pendente","Incorporada"))</f>
        <v/>
      </c>
      <c r="M8" s="23" t="str">
        <f aca="false">IF(OR(C8="",K8&lt;&gt;"",D8=""),"",IF(ISNUMBER(Conhecimento!$E$4),Conhecimento!$E$4-D8,""))</f>
        <v/>
      </c>
      <c r="N8" s="17" t="str">
        <f aca="false">IF(C8="","",IF(D8="","Falta a data",IF(F8="","Falta o que aconteceu",IF(G8="","Falta o que aprendemos",IF(H8="","Falta onde incorporar",IF(AND(J8&lt;&gt;"",ISNA(MATCH(J8,Conhecimento!$C$8:$C$47,0))),"Conhecimento não cadastrado",IF(AND(L8="Pendente",N(M8)&gt;60),"Pendente há mais de 60 dias","OK")))))))</f>
        <v/>
      </c>
    </row>
    <row r="9" customFormat="false" ht="30" hidden="false" customHeight="true" outlineLevel="0" collapsed="false">
      <c r="B9" s="12" t="n">
        <v>3</v>
      </c>
      <c r="C9" s="13"/>
      <c r="D9" s="8"/>
      <c r="E9" s="13"/>
      <c r="F9" s="5"/>
      <c r="G9" s="5"/>
      <c r="H9" s="5"/>
      <c r="I9" s="5"/>
      <c r="J9" s="13"/>
      <c r="K9" s="8"/>
      <c r="L9" s="16" t="str">
        <f aca="false">IF(C9="","",IF(K9="","Pendente","Incorporada"))</f>
        <v/>
      </c>
      <c r="M9" s="23" t="str">
        <f aca="false">IF(OR(C9="",K9&lt;&gt;"",D9=""),"",IF(ISNUMBER(Conhecimento!$E$4),Conhecimento!$E$4-D9,""))</f>
        <v/>
      </c>
      <c r="N9" s="17" t="str">
        <f aca="false">IF(C9="","",IF(D9="","Falta a data",IF(F9="","Falta o que aconteceu",IF(G9="","Falta o que aprendemos",IF(H9="","Falta onde incorporar",IF(AND(J9&lt;&gt;"",ISNA(MATCH(J9,Conhecimento!$C$8:$C$47,0))),"Conhecimento não cadastrado",IF(AND(L9="Pendente",N(M9)&gt;60),"Pendente há mais de 60 dias","OK")))))))</f>
        <v/>
      </c>
    </row>
    <row r="10" customFormat="false" ht="30" hidden="false" customHeight="true" outlineLevel="0" collapsed="false">
      <c r="B10" s="12" t="n">
        <v>4</v>
      </c>
      <c r="C10" s="13"/>
      <c r="D10" s="8"/>
      <c r="E10" s="13"/>
      <c r="F10" s="5"/>
      <c r="G10" s="5"/>
      <c r="H10" s="5"/>
      <c r="I10" s="5"/>
      <c r="J10" s="13"/>
      <c r="K10" s="8"/>
      <c r="L10" s="16" t="str">
        <f aca="false">IF(C10="","",IF(K10="","Pendente","Incorporada"))</f>
        <v/>
      </c>
      <c r="M10" s="23" t="str">
        <f aca="false">IF(OR(C10="",K10&lt;&gt;"",D10=""),"",IF(ISNUMBER(Conhecimento!$E$4),Conhecimento!$E$4-D10,""))</f>
        <v/>
      </c>
      <c r="N10" s="17" t="str">
        <f aca="false">IF(C10="","",IF(D10="","Falta a data",IF(F10="","Falta o que aconteceu",IF(G10="","Falta o que aprendemos",IF(H10="","Falta onde incorporar",IF(AND(J10&lt;&gt;"",ISNA(MATCH(J10,Conhecimento!$C$8:$C$47,0))),"Conhecimento não cadastrado",IF(AND(L10="Pendente",N(M10)&gt;60),"Pendente há mais de 60 dias","OK")))))))</f>
        <v/>
      </c>
    </row>
    <row r="11" customFormat="false" ht="30" hidden="false" customHeight="true" outlineLevel="0" collapsed="false">
      <c r="B11" s="12" t="n">
        <v>5</v>
      </c>
      <c r="C11" s="13"/>
      <c r="D11" s="8"/>
      <c r="E11" s="13"/>
      <c r="F11" s="5"/>
      <c r="G11" s="5"/>
      <c r="H11" s="5"/>
      <c r="I11" s="5"/>
      <c r="J11" s="13"/>
      <c r="K11" s="8"/>
      <c r="L11" s="16" t="str">
        <f aca="false">IF(C11="","",IF(K11="","Pendente","Incorporada"))</f>
        <v/>
      </c>
      <c r="M11" s="23" t="str">
        <f aca="false">IF(OR(C11="",K11&lt;&gt;"",D11=""),"",IF(ISNUMBER(Conhecimento!$E$4),Conhecimento!$E$4-D11,""))</f>
        <v/>
      </c>
      <c r="N11" s="17" t="str">
        <f aca="false">IF(C11="","",IF(D11="","Falta a data",IF(F11="","Falta o que aconteceu",IF(G11="","Falta o que aprendemos",IF(H11="","Falta onde incorporar",IF(AND(J11&lt;&gt;"",ISNA(MATCH(J11,Conhecimento!$C$8:$C$47,0))),"Conhecimento não cadastrado",IF(AND(L11="Pendente",N(M11)&gt;60),"Pendente há mais de 60 dias","OK")))))))</f>
        <v/>
      </c>
    </row>
    <row r="12" customFormat="false" ht="30" hidden="false" customHeight="true" outlineLevel="0" collapsed="false">
      <c r="B12" s="12" t="n">
        <v>6</v>
      </c>
      <c r="C12" s="13"/>
      <c r="D12" s="8"/>
      <c r="E12" s="13"/>
      <c r="F12" s="5"/>
      <c r="G12" s="5"/>
      <c r="H12" s="5"/>
      <c r="I12" s="5"/>
      <c r="J12" s="13"/>
      <c r="K12" s="8"/>
      <c r="L12" s="16" t="str">
        <f aca="false">IF(C12="","",IF(K12="","Pendente","Incorporada"))</f>
        <v/>
      </c>
      <c r="M12" s="23" t="str">
        <f aca="false">IF(OR(C12="",K12&lt;&gt;"",D12=""),"",IF(ISNUMBER(Conhecimento!$E$4),Conhecimento!$E$4-D12,""))</f>
        <v/>
      </c>
      <c r="N12" s="17" t="str">
        <f aca="false">IF(C12="","",IF(D12="","Falta a data",IF(F12="","Falta o que aconteceu",IF(G12="","Falta o que aprendemos",IF(H12="","Falta onde incorporar",IF(AND(J12&lt;&gt;"",ISNA(MATCH(J12,Conhecimento!$C$8:$C$47,0))),"Conhecimento não cadastrado",IF(AND(L12="Pendente",N(M12)&gt;60),"Pendente há mais de 60 dias","OK")))))))</f>
        <v/>
      </c>
    </row>
    <row r="13" customFormat="false" ht="30" hidden="false" customHeight="true" outlineLevel="0" collapsed="false">
      <c r="B13" s="12" t="n">
        <v>7</v>
      </c>
      <c r="C13" s="13"/>
      <c r="D13" s="8"/>
      <c r="E13" s="13"/>
      <c r="F13" s="5"/>
      <c r="G13" s="5"/>
      <c r="H13" s="5"/>
      <c r="I13" s="5"/>
      <c r="J13" s="13"/>
      <c r="K13" s="8"/>
      <c r="L13" s="16" t="str">
        <f aca="false">IF(C13="","",IF(K13="","Pendente","Incorporada"))</f>
        <v/>
      </c>
      <c r="M13" s="23" t="str">
        <f aca="false">IF(OR(C13="",K13&lt;&gt;"",D13=""),"",IF(ISNUMBER(Conhecimento!$E$4),Conhecimento!$E$4-D13,""))</f>
        <v/>
      </c>
      <c r="N13" s="17" t="str">
        <f aca="false">IF(C13="","",IF(D13="","Falta a data",IF(F13="","Falta o que aconteceu",IF(G13="","Falta o que aprendemos",IF(H13="","Falta onde incorporar",IF(AND(J13&lt;&gt;"",ISNA(MATCH(J13,Conhecimento!$C$8:$C$47,0))),"Conhecimento não cadastrado",IF(AND(L13="Pendente",N(M13)&gt;60),"Pendente há mais de 60 dias","OK")))))))</f>
        <v/>
      </c>
    </row>
    <row r="14" customFormat="false" ht="30" hidden="false" customHeight="true" outlineLevel="0" collapsed="false">
      <c r="B14" s="12" t="n">
        <v>8</v>
      </c>
      <c r="C14" s="13"/>
      <c r="D14" s="8"/>
      <c r="E14" s="13"/>
      <c r="F14" s="5"/>
      <c r="G14" s="5"/>
      <c r="H14" s="5"/>
      <c r="I14" s="5"/>
      <c r="J14" s="13"/>
      <c r="K14" s="8"/>
      <c r="L14" s="16" t="str">
        <f aca="false">IF(C14="","",IF(K14="","Pendente","Incorporada"))</f>
        <v/>
      </c>
      <c r="M14" s="23" t="str">
        <f aca="false">IF(OR(C14="",K14&lt;&gt;"",D14=""),"",IF(ISNUMBER(Conhecimento!$E$4),Conhecimento!$E$4-D14,""))</f>
        <v/>
      </c>
      <c r="N14" s="17" t="str">
        <f aca="false">IF(C14="","",IF(D14="","Falta a data",IF(F14="","Falta o que aconteceu",IF(G14="","Falta o que aprendemos",IF(H14="","Falta onde incorporar",IF(AND(J14&lt;&gt;"",ISNA(MATCH(J14,Conhecimento!$C$8:$C$47,0))),"Conhecimento não cadastrado",IF(AND(L14="Pendente",N(M14)&gt;60),"Pendente há mais de 60 dias","OK")))))))</f>
        <v/>
      </c>
    </row>
    <row r="15" customFormat="false" ht="30" hidden="false" customHeight="true" outlineLevel="0" collapsed="false">
      <c r="B15" s="12" t="n">
        <v>9</v>
      </c>
      <c r="C15" s="13"/>
      <c r="D15" s="8"/>
      <c r="E15" s="13"/>
      <c r="F15" s="5"/>
      <c r="G15" s="5"/>
      <c r="H15" s="5"/>
      <c r="I15" s="5"/>
      <c r="J15" s="13"/>
      <c r="K15" s="8"/>
      <c r="L15" s="16" t="str">
        <f aca="false">IF(C15="","",IF(K15="","Pendente","Incorporada"))</f>
        <v/>
      </c>
      <c r="M15" s="23" t="str">
        <f aca="false">IF(OR(C15="",K15&lt;&gt;"",D15=""),"",IF(ISNUMBER(Conhecimento!$E$4),Conhecimento!$E$4-D15,""))</f>
        <v/>
      </c>
      <c r="N15" s="17" t="str">
        <f aca="false">IF(C15="","",IF(D15="","Falta a data",IF(F15="","Falta o que aconteceu",IF(G15="","Falta o que aprendemos",IF(H15="","Falta onde incorporar",IF(AND(J15&lt;&gt;"",ISNA(MATCH(J15,Conhecimento!$C$8:$C$47,0))),"Conhecimento não cadastrado",IF(AND(L15="Pendente",N(M15)&gt;60),"Pendente há mais de 60 dias","OK")))))))</f>
        <v/>
      </c>
    </row>
    <row r="16" customFormat="false" ht="30" hidden="false" customHeight="true" outlineLevel="0" collapsed="false">
      <c r="B16" s="12" t="n">
        <v>10</v>
      </c>
      <c r="C16" s="13"/>
      <c r="D16" s="8"/>
      <c r="E16" s="13"/>
      <c r="F16" s="5"/>
      <c r="G16" s="5"/>
      <c r="H16" s="5"/>
      <c r="I16" s="5"/>
      <c r="J16" s="13"/>
      <c r="K16" s="8"/>
      <c r="L16" s="16" t="str">
        <f aca="false">IF(C16="","",IF(K16="","Pendente","Incorporada"))</f>
        <v/>
      </c>
      <c r="M16" s="23" t="str">
        <f aca="false">IF(OR(C16="",K16&lt;&gt;"",D16=""),"",IF(ISNUMBER(Conhecimento!$E$4),Conhecimento!$E$4-D16,""))</f>
        <v/>
      </c>
      <c r="N16" s="17" t="str">
        <f aca="false">IF(C16="","",IF(D16="","Falta a data",IF(F16="","Falta o que aconteceu",IF(G16="","Falta o que aprendemos",IF(H16="","Falta onde incorporar",IF(AND(J16&lt;&gt;"",ISNA(MATCH(J16,Conhecimento!$C$8:$C$47,0))),"Conhecimento não cadastrado",IF(AND(L16="Pendente",N(M16)&gt;60),"Pendente há mais de 60 dias","OK")))))))</f>
        <v/>
      </c>
    </row>
    <row r="17" customFormat="false" ht="30" hidden="false" customHeight="true" outlineLevel="0" collapsed="false">
      <c r="B17" s="12" t="n">
        <v>11</v>
      </c>
      <c r="C17" s="13"/>
      <c r="D17" s="8"/>
      <c r="E17" s="13"/>
      <c r="F17" s="5"/>
      <c r="G17" s="5"/>
      <c r="H17" s="5"/>
      <c r="I17" s="5"/>
      <c r="J17" s="13"/>
      <c r="K17" s="8"/>
      <c r="L17" s="16" t="str">
        <f aca="false">IF(C17="","",IF(K17="","Pendente","Incorporada"))</f>
        <v/>
      </c>
      <c r="M17" s="23" t="str">
        <f aca="false">IF(OR(C17="",K17&lt;&gt;"",D17=""),"",IF(ISNUMBER(Conhecimento!$E$4),Conhecimento!$E$4-D17,""))</f>
        <v/>
      </c>
      <c r="N17" s="17" t="str">
        <f aca="false">IF(C17="","",IF(D17="","Falta a data",IF(F17="","Falta o que aconteceu",IF(G17="","Falta o que aprendemos",IF(H17="","Falta onde incorporar",IF(AND(J17&lt;&gt;"",ISNA(MATCH(J17,Conhecimento!$C$8:$C$47,0))),"Conhecimento não cadastrado",IF(AND(L17="Pendente",N(M17)&gt;60),"Pendente há mais de 60 dias","OK")))))))</f>
        <v/>
      </c>
    </row>
    <row r="18" customFormat="false" ht="30" hidden="false" customHeight="true" outlineLevel="0" collapsed="false">
      <c r="B18" s="12" t="n">
        <v>12</v>
      </c>
      <c r="C18" s="13"/>
      <c r="D18" s="8"/>
      <c r="E18" s="13"/>
      <c r="F18" s="5"/>
      <c r="G18" s="5"/>
      <c r="H18" s="5"/>
      <c r="I18" s="5"/>
      <c r="J18" s="13"/>
      <c r="K18" s="8"/>
      <c r="L18" s="16" t="str">
        <f aca="false">IF(C18="","",IF(K18="","Pendente","Incorporada"))</f>
        <v/>
      </c>
      <c r="M18" s="23" t="str">
        <f aca="false">IF(OR(C18="",K18&lt;&gt;"",D18=""),"",IF(ISNUMBER(Conhecimento!$E$4),Conhecimento!$E$4-D18,""))</f>
        <v/>
      </c>
      <c r="N18" s="17" t="str">
        <f aca="false">IF(C18="","",IF(D18="","Falta a data",IF(F18="","Falta o que aconteceu",IF(G18="","Falta o que aprendemos",IF(H18="","Falta onde incorporar",IF(AND(J18&lt;&gt;"",ISNA(MATCH(J18,Conhecimento!$C$8:$C$47,0))),"Conhecimento não cadastrado",IF(AND(L18="Pendente",N(M18)&gt;60),"Pendente há mais de 60 dias","OK")))))))</f>
        <v/>
      </c>
    </row>
    <row r="19" customFormat="false" ht="30" hidden="false" customHeight="true" outlineLevel="0" collapsed="false">
      <c r="B19" s="12" t="n">
        <v>13</v>
      </c>
      <c r="C19" s="13"/>
      <c r="D19" s="8"/>
      <c r="E19" s="13"/>
      <c r="F19" s="5"/>
      <c r="G19" s="5"/>
      <c r="H19" s="5"/>
      <c r="I19" s="5"/>
      <c r="J19" s="13"/>
      <c r="K19" s="8"/>
      <c r="L19" s="16" t="str">
        <f aca="false">IF(C19="","",IF(K19="","Pendente","Incorporada"))</f>
        <v/>
      </c>
      <c r="M19" s="23" t="str">
        <f aca="false">IF(OR(C19="",K19&lt;&gt;"",D19=""),"",IF(ISNUMBER(Conhecimento!$E$4),Conhecimento!$E$4-D19,""))</f>
        <v/>
      </c>
      <c r="N19" s="17" t="str">
        <f aca="false">IF(C19="","",IF(D19="","Falta a data",IF(F19="","Falta o que aconteceu",IF(G19="","Falta o que aprendemos",IF(H19="","Falta onde incorporar",IF(AND(J19&lt;&gt;"",ISNA(MATCH(J19,Conhecimento!$C$8:$C$47,0))),"Conhecimento não cadastrado",IF(AND(L19="Pendente",N(M19)&gt;60),"Pendente há mais de 60 dias","OK")))))))</f>
        <v/>
      </c>
    </row>
    <row r="20" customFormat="false" ht="30" hidden="false" customHeight="true" outlineLevel="0" collapsed="false">
      <c r="B20" s="12" t="n">
        <v>14</v>
      </c>
      <c r="C20" s="13"/>
      <c r="D20" s="8"/>
      <c r="E20" s="13"/>
      <c r="F20" s="5"/>
      <c r="G20" s="5"/>
      <c r="H20" s="5"/>
      <c r="I20" s="5"/>
      <c r="J20" s="13"/>
      <c r="K20" s="8"/>
      <c r="L20" s="16" t="str">
        <f aca="false">IF(C20="","",IF(K20="","Pendente","Incorporada"))</f>
        <v/>
      </c>
      <c r="M20" s="23" t="str">
        <f aca="false">IF(OR(C20="",K20&lt;&gt;"",D20=""),"",IF(ISNUMBER(Conhecimento!$E$4),Conhecimento!$E$4-D20,""))</f>
        <v/>
      </c>
      <c r="N20" s="17" t="str">
        <f aca="false">IF(C20="","",IF(D20="","Falta a data",IF(F20="","Falta o que aconteceu",IF(G20="","Falta o que aprendemos",IF(H20="","Falta onde incorporar",IF(AND(J20&lt;&gt;"",ISNA(MATCH(J20,Conhecimento!$C$8:$C$47,0))),"Conhecimento não cadastrado",IF(AND(L20="Pendente",N(M20)&gt;60),"Pendente há mais de 60 dias","OK")))))))</f>
        <v/>
      </c>
    </row>
    <row r="21" customFormat="false" ht="30" hidden="false" customHeight="true" outlineLevel="0" collapsed="false">
      <c r="B21" s="12" t="n">
        <v>15</v>
      </c>
      <c r="C21" s="13"/>
      <c r="D21" s="8"/>
      <c r="E21" s="13"/>
      <c r="F21" s="5"/>
      <c r="G21" s="5"/>
      <c r="H21" s="5"/>
      <c r="I21" s="5"/>
      <c r="J21" s="13"/>
      <c r="K21" s="8"/>
      <c r="L21" s="16" t="str">
        <f aca="false">IF(C21="","",IF(K21="","Pendente","Incorporada"))</f>
        <v/>
      </c>
      <c r="M21" s="23" t="str">
        <f aca="false">IF(OR(C21="",K21&lt;&gt;"",D21=""),"",IF(ISNUMBER(Conhecimento!$E$4),Conhecimento!$E$4-D21,""))</f>
        <v/>
      </c>
      <c r="N21" s="17" t="str">
        <f aca="false">IF(C21="","",IF(D21="","Falta a data",IF(F21="","Falta o que aconteceu",IF(G21="","Falta o que aprendemos",IF(H21="","Falta onde incorporar",IF(AND(J21&lt;&gt;"",ISNA(MATCH(J21,Conhecimento!$C$8:$C$47,0))),"Conhecimento não cadastrado",IF(AND(L21="Pendente",N(M21)&gt;60),"Pendente há mais de 60 dias","OK")))))))</f>
        <v/>
      </c>
    </row>
    <row r="22" customFormat="false" ht="30" hidden="false" customHeight="true" outlineLevel="0" collapsed="false">
      <c r="B22" s="12" t="n">
        <v>16</v>
      </c>
      <c r="C22" s="13"/>
      <c r="D22" s="8"/>
      <c r="E22" s="13"/>
      <c r="F22" s="5"/>
      <c r="G22" s="5"/>
      <c r="H22" s="5"/>
      <c r="I22" s="5"/>
      <c r="J22" s="13"/>
      <c r="K22" s="8"/>
      <c r="L22" s="16" t="str">
        <f aca="false">IF(C22="","",IF(K22="","Pendente","Incorporada"))</f>
        <v/>
      </c>
      <c r="M22" s="23" t="str">
        <f aca="false">IF(OR(C22="",K22&lt;&gt;"",D22=""),"",IF(ISNUMBER(Conhecimento!$E$4),Conhecimento!$E$4-D22,""))</f>
        <v/>
      </c>
      <c r="N22" s="17" t="str">
        <f aca="false">IF(C22="","",IF(D22="","Falta a data",IF(F22="","Falta o que aconteceu",IF(G22="","Falta o que aprendemos",IF(H22="","Falta onde incorporar",IF(AND(J22&lt;&gt;"",ISNA(MATCH(J22,Conhecimento!$C$8:$C$47,0))),"Conhecimento não cadastrado",IF(AND(L22="Pendente",N(M22)&gt;60),"Pendente há mais de 60 dias","OK")))))))</f>
        <v/>
      </c>
    </row>
    <row r="23" customFormat="false" ht="30" hidden="false" customHeight="true" outlineLevel="0" collapsed="false">
      <c r="B23" s="12" t="n">
        <v>17</v>
      </c>
      <c r="C23" s="13"/>
      <c r="D23" s="8"/>
      <c r="E23" s="13"/>
      <c r="F23" s="5"/>
      <c r="G23" s="5"/>
      <c r="H23" s="5"/>
      <c r="I23" s="5"/>
      <c r="J23" s="13"/>
      <c r="K23" s="8"/>
      <c r="L23" s="16" t="str">
        <f aca="false">IF(C23="","",IF(K23="","Pendente","Incorporada"))</f>
        <v/>
      </c>
      <c r="M23" s="23" t="str">
        <f aca="false">IF(OR(C23="",K23&lt;&gt;"",D23=""),"",IF(ISNUMBER(Conhecimento!$E$4),Conhecimento!$E$4-D23,""))</f>
        <v/>
      </c>
      <c r="N23" s="17" t="str">
        <f aca="false">IF(C23="","",IF(D23="","Falta a data",IF(F23="","Falta o que aconteceu",IF(G23="","Falta o que aprendemos",IF(H23="","Falta onde incorporar",IF(AND(J23&lt;&gt;"",ISNA(MATCH(J23,Conhecimento!$C$8:$C$47,0))),"Conhecimento não cadastrado",IF(AND(L23="Pendente",N(M23)&gt;60),"Pendente há mais de 60 dias","OK")))))))</f>
        <v/>
      </c>
    </row>
    <row r="24" customFormat="false" ht="30" hidden="false" customHeight="true" outlineLevel="0" collapsed="false">
      <c r="B24" s="12" t="n">
        <v>18</v>
      </c>
      <c r="C24" s="13"/>
      <c r="D24" s="8"/>
      <c r="E24" s="13"/>
      <c r="F24" s="5"/>
      <c r="G24" s="5"/>
      <c r="H24" s="5"/>
      <c r="I24" s="5"/>
      <c r="J24" s="13"/>
      <c r="K24" s="8"/>
      <c r="L24" s="16" t="str">
        <f aca="false">IF(C24="","",IF(K24="","Pendente","Incorporada"))</f>
        <v/>
      </c>
      <c r="M24" s="23" t="str">
        <f aca="false">IF(OR(C24="",K24&lt;&gt;"",D24=""),"",IF(ISNUMBER(Conhecimento!$E$4),Conhecimento!$E$4-D24,""))</f>
        <v/>
      </c>
      <c r="N24" s="17" t="str">
        <f aca="false">IF(C24="","",IF(D24="","Falta a data",IF(F24="","Falta o que aconteceu",IF(G24="","Falta o que aprendemos",IF(H24="","Falta onde incorporar",IF(AND(J24&lt;&gt;"",ISNA(MATCH(J24,Conhecimento!$C$8:$C$47,0))),"Conhecimento não cadastrado",IF(AND(L24="Pendente",N(M24)&gt;60),"Pendente há mais de 60 dias","OK")))))))</f>
        <v/>
      </c>
    </row>
    <row r="25" customFormat="false" ht="30" hidden="false" customHeight="true" outlineLevel="0" collapsed="false">
      <c r="B25" s="12" t="n">
        <v>19</v>
      </c>
      <c r="C25" s="13"/>
      <c r="D25" s="8"/>
      <c r="E25" s="13"/>
      <c r="F25" s="5"/>
      <c r="G25" s="5"/>
      <c r="H25" s="5"/>
      <c r="I25" s="5"/>
      <c r="J25" s="13"/>
      <c r="K25" s="8"/>
      <c r="L25" s="16" t="str">
        <f aca="false">IF(C25="","",IF(K25="","Pendente","Incorporada"))</f>
        <v/>
      </c>
      <c r="M25" s="23" t="str">
        <f aca="false">IF(OR(C25="",K25&lt;&gt;"",D25=""),"",IF(ISNUMBER(Conhecimento!$E$4),Conhecimento!$E$4-D25,""))</f>
        <v/>
      </c>
      <c r="N25" s="17" t="str">
        <f aca="false">IF(C25="","",IF(D25="","Falta a data",IF(F25="","Falta o que aconteceu",IF(G25="","Falta o que aprendemos",IF(H25="","Falta onde incorporar",IF(AND(J25&lt;&gt;"",ISNA(MATCH(J25,Conhecimento!$C$8:$C$47,0))),"Conhecimento não cadastrado",IF(AND(L25="Pendente",N(M25)&gt;60),"Pendente há mais de 60 dias","OK")))))))</f>
        <v/>
      </c>
    </row>
    <row r="26" customFormat="false" ht="30" hidden="false" customHeight="true" outlineLevel="0" collapsed="false">
      <c r="B26" s="12" t="n">
        <v>20</v>
      </c>
      <c r="C26" s="13"/>
      <c r="D26" s="8"/>
      <c r="E26" s="13"/>
      <c r="F26" s="5"/>
      <c r="G26" s="5"/>
      <c r="H26" s="5"/>
      <c r="I26" s="5"/>
      <c r="J26" s="13"/>
      <c r="K26" s="8"/>
      <c r="L26" s="16" t="str">
        <f aca="false">IF(C26="","",IF(K26="","Pendente","Incorporada"))</f>
        <v/>
      </c>
      <c r="M26" s="23" t="str">
        <f aca="false">IF(OR(C26="",K26&lt;&gt;"",D26=""),"",IF(ISNUMBER(Conhecimento!$E$4),Conhecimento!$E$4-D26,""))</f>
        <v/>
      </c>
      <c r="N26" s="17" t="str">
        <f aca="false">IF(C26="","",IF(D26="","Falta a data",IF(F26="","Falta o que aconteceu",IF(G26="","Falta o que aprendemos",IF(H26="","Falta onde incorporar",IF(AND(J26&lt;&gt;"",ISNA(MATCH(J26,Conhecimento!$C$8:$C$47,0))),"Conhecimento não cadastrado",IF(AND(L26="Pendente",N(M26)&gt;60),"Pendente há mais de 60 dias","OK")))))))</f>
        <v/>
      </c>
    </row>
    <row r="27" customFormat="false" ht="30" hidden="false" customHeight="true" outlineLevel="0" collapsed="false">
      <c r="B27" s="12" t="n">
        <v>21</v>
      </c>
      <c r="C27" s="13"/>
      <c r="D27" s="8"/>
      <c r="E27" s="13"/>
      <c r="F27" s="5"/>
      <c r="G27" s="5"/>
      <c r="H27" s="5"/>
      <c r="I27" s="5"/>
      <c r="J27" s="13"/>
      <c r="K27" s="8"/>
      <c r="L27" s="16" t="str">
        <f aca="false">IF(C27="","",IF(K27="","Pendente","Incorporada"))</f>
        <v/>
      </c>
      <c r="M27" s="23" t="str">
        <f aca="false">IF(OR(C27="",K27&lt;&gt;"",D27=""),"",IF(ISNUMBER(Conhecimento!$E$4),Conhecimento!$E$4-D27,""))</f>
        <v/>
      </c>
      <c r="N27" s="17" t="str">
        <f aca="false">IF(C27="","",IF(D27="","Falta a data",IF(F27="","Falta o que aconteceu",IF(G27="","Falta o que aprendemos",IF(H27="","Falta onde incorporar",IF(AND(J27&lt;&gt;"",ISNA(MATCH(J27,Conhecimento!$C$8:$C$47,0))),"Conhecimento não cadastrado",IF(AND(L27="Pendente",N(M27)&gt;60),"Pendente há mais de 60 dias","OK")))))))</f>
        <v/>
      </c>
    </row>
    <row r="28" customFormat="false" ht="30" hidden="false" customHeight="true" outlineLevel="0" collapsed="false">
      <c r="B28" s="12" t="n">
        <v>22</v>
      </c>
      <c r="C28" s="13"/>
      <c r="D28" s="8"/>
      <c r="E28" s="13"/>
      <c r="F28" s="5"/>
      <c r="G28" s="5"/>
      <c r="H28" s="5"/>
      <c r="I28" s="5"/>
      <c r="J28" s="13"/>
      <c r="K28" s="8"/>
      <c r="L28" s="16" t="str">
        <f aca="false">IF(C28="","",IF(K28="","Pendente","Incorporada"))</f>
        <v/>
      </c>
      <c r="M28" s="23" t="str">
        <f aca="false">IF(OR(C28="",K28&lt;&gt;"",D28=""),"",IF(ISNUMBER(Conhecimento!$E$4),Conhecimento!$E$4-D28,""))</f>
        <v/>
      </c>
      <c r="N28" s="17" t="str">
        <f aca="false">IF(C28="","",IF(D28="","Falta a data",IF(F28="","Falta o que aconteceu",IF(G28="","Falta o que aprendemos",IF(H28="","Falta onde incorporar",IF(AND(J28&lt;&gt;"",ISNA(MATCH(J28,Conhecimento!$C$8:$C$47,0))),"Conhecimento não cadastrado",IF(AND(L28="Pendente",N(M28)&gt;60),"Pendente há mais de 60 dias","OK")))))))</f>
        <v/>
      </c>
    </row>
    <row r="29" customFormat="false" ht="30" hidden="false" customHeight="true" outlineLevel="0" collapsed="false">
      <c r="B29" s="12" t="n">
        <v>23</v>
      </c>
      <c r="C29" s="13"/>
      <c r="D29" s="8"/>
      <c r="E29" s="13"/>
      <c r="F29" s="5"/>
      <c r="G29" s="5"/>
      <c r="H29" s="5"/>
      <c r="I29" s="5"/>
      <c r="J29" s="13"/>
      <c r="K29" s="8"/>
      <c r="L29" s="16" t="str">
        <f aca="false">IF(C29="","",IF(K29="","Pendente","Incorporada"))</f>
        <v/>
      </c>
      <c r="M29" s="23" t="str">
        <f aca="false">IF(OR(C29="",K29&lt;&gt;"",D29=""),"",IF(ISNUMBER(Conhecimento!$E$4),Conhecimento!$E$4-D29,""))</f>
        <v/>
      </c>
      <c r="N29" s="17" t="str">
        <f aca="false">IF(C29="","",IF(D29="","Falta a data",IF(F29="","Falta o que aconteceu",IF(G29="","Falta o que aprendemos",IF(H29="","Falta onde incorporar",IF(AND(J29&lt;&gt;"",ISNA(MATCH(J29,Conhecimento!$C$8:$C$47,0))),"Conhecimento não cadastrado",IF(AND(L29="Pendente",N(M29)&gt;60),"Pendente há mais de 60 dias","OK")))))))</f>
        <v/>
      </c>
    </row>
    <row r="30" customFormat="false" ht="30" hidden="false" customHeight="true" outlineLevel="0" collapsed="false">
      <c r="B30" s="12" t="n">
        <v>24</v>
      </c>
      <c r="C30" s="13"/>
      <c r="D30" s="8"/>
      <c r="E30" s="13"/>
      <c r="F30" s="5"/>
      <c r="G30" s="5"/>
      <c r="H30" s="5"/>
      <c r="I30" s="5"/>
      <c r="J30" s="13"/>
      <c r="K30" s="8"/>
      <c r="L30" s="16" t="str">
        <f aca="false">IF(C30="","",IF(K30="","Pendente","Incorporada"))</f>
        <v/>
      </c>
      <c r="M30" s="23" t="str">
        <f aca="false">IF(OR(C30="",K30&lt;&gt;"",D30=""),"",IF(ISNUMBER(Conhecimento!$E$4),Conhecimento!$E$4-D30,""))</f>
        <v/>
      </c>
      <c r="N30" s="17" t="str">
        <f aca="false">IF(C30="","",IF(D30="","Falta a data",IF(F30="","Falta o que aconteceu",IF(G30="","Falta o que aprendemos",IF(H30="","Falta onde incorporar",IF(AND(J30&lt;&gt;"",ISNA(MATCH(J30,Conhecimento!$C$8:$C$47,0))),"Conhecimento não cadastrado",IF(AND(L30="Pendente",N(M30)&gt;60),"Pendente há mais de 60 dias","OK")))))))</f>
        <v/>
      </c>
    </row>
    <row r="31" customFormat="false" ht="30" hidden="false" customHeight="true" outlineLevel="0" collapsed="false">
      <c r="B31" s="12" t="n">
        <v>25</v>
      </c>
      <c r="C31" s="13"/>
      <c r="D31" s="8"/>
      <c r="E31" s="13"/>
      <c r="F31" s="5"/>
      <c r="G31" s="5"/>
      <c r="H31" s="5"/>
      <c r="I31" s="5"/>
      <c r="J31" s="13"/>
      <c r="K31" s="8"/>
      <c r="L31" s="16" t="str">
        <f aca="false">IF(C31="","",IF(K31="","Pendente","Incorporada"))</f>
        <v/>
      </c>
      <c r="M31" s="23" t="str">
        <f aca="false">IF(OR(C31="",K31&lt;&gt;"",D31=""),"",IF(ISNUMBER(Conhecimento!$E$4),Conhecimento!$E$4-D31,""))</f>
        <v/>
      </c>
      <c r="N31" s="17" t="str">
        <f aca="false">IF(C31="","",IF(D31="","Falta a data",IF(F31="","Falta o que aconteceu",IF(G31="","Falta o que aprendemos",IF(H31="","Falta onde incorporar",IF(AND(J31&lt;&gt;"",ISNA(MATCH(J31,Conhecimento!$C$8:$C$47,0))),"Conhecimento não cadastrado",IF(AND(L31="Pendente",N(M31)&gt;60),"Pendente há mais de 60 dias","OK")))))))</f>
        <v/>
      </c>
    </row>
    <row r="32" customFormat="false" ht="30" hidden="false" customHeight="true" outlineLevel="0" collapsed="false">
      <c r="B32" s="12" t="n">
        <v>26</v>
      </c>
      <c r="C32" s="13"/>
      <c r="D32" s="8"/>
      <c r="E32" s="13"/>
      <c r="F32" s="5"/>
      <c r="G32" s="5"/>
      <c r="H32" s="5"/>
      <c r="I32" s="5"/>
      <c r="J32" s="13"/>
      <c r="K32" s="8"/>
      <c r="L32" s="16" t="str">
        <f aca="false">IF(C32="","",IF(K32="","Pendente","Incorporada"))</f>
        <v/>
      </c>
      <c r="M32" s="23" t="str">
        <f aca="false">IF(OR(C32="",K32&lt;&gt;"",D32=""),"",IF(ISNUMBER(Conhecimento!$E$4),Conhecimento!$E$4-D32,""))</f>
        <v/>
      </c>
      <c r="N32" s="17" t="str">
        <f aca="false">IF(C32="","",IF(D32="","Falta a data",IF(F32="","Falta o que aconteceu",IF(G32="","Falta o que aprendemos",IF(H32="","Falta onde incorporar",IF(AND(J32&lt;&gt;"",ISNA(MATCH(J32,Conhecimento!$C$8:$C$47,0))),"Conhecimento não cadastrado",IF(AND(L32="Pendente",N(M32)&gt;60),"Pendente há mais de 60 dias","OK")))))))</f>
        <v/>
      </c>
    </row>
    <row r="33" customFormat="false" ht="30" hidden="false" customHeight="true" outlineLevel="0" collapsed="false">
      <c r="B33" s="12" t="n">
        <v>27</v>
      </c>
      <c r="C33" s="13"/>
      <c r="D33" s="8"/>
      <c r="E33" s="13"/>
      <c r="F33" s="5"/>
      <c r="G33" s="5"/>
      <c r="H33" s="5"/>
      <c r="I33" s="5"/>
      <c r="J33" s="13"/>
      <c r="K33" s="8"/>
      <c r="L33" s="16" t="str">
        <f aca="false">IF(C33="","",IF(K33="","Pendente","Incorporada"))</f>
        <v/>
      </c>
      <c r="M33" s="23" t="str">
        <f aca="false">IF(OR(C33="",K33&lt;&gt;"",D33=""),"",IF(ISNUMBER(Conhecimento!$E$4),Conhecimento!$E$4-D33,""))</f>
        <v/>
      </c>
      <c r="N33" s="17" t="str">
        <f aca="false">IF(C33="","",IF(D33="","Falta a data",IF(F33="","Falta o que aconteceu",IF(G33="","Falta o que aprendemos",IF(H33="","Falta onde incorporar",IF(AND(J33&lt;&gt;"",ISNA(MATCH(J33,Conhecimento!$C$8:$C$47,0))),"Conhecimento não cadastrado",IF(AND(L33="Pendente",N(M33)&gt;60),"Pendente há mais de 60 dias","OK")))))))</f>
        <v/>
      </c>
    </row>
    <row r="34" customFormat="false" ht="30" hidden="false" customHeight="true" outlineLevel="0" collapsed="false">
      <c r="B34" s="12" t="n">
        <v>28</v>
      </c>
      <c r="C34" s="13"/>
      <c r="D34" s="8"/>
      <c r="E34" s="13"/>
      <c r="F34" s="5"/>
      <c r="G34" s="5"/>
      <c r="H34" s="5"/>
      <c r="I34" s="5"/>
      <c r="J34" s="13"/>
      <c r="K34" s="8"/>
      <c r="L34" s="16" t="str">
        <f aca="false">IF(C34="","",IF(K34="","Pendente","Incorporada"))</f>
        <v/>
      </c>
      <c r="M34" s="23" t="str">
        <f aca="false">IF(OR(C34="",K34&lt;&gt;"",D34=""),"",IF(ISNUMBER(Conhecimento!$E$4),Conhecimento!$E$4-D34,""))</f>
        <v/>
      </c>
      <c r="N34" s="17" t="str">
        <f aca="false">IF(C34="","",IF(D34="","Falta a data",IF(F34="","Falta o que aconteceu",IF(G34="","Falta o que aprendemos",IF(H34="","Falta onde incorporar",IF(AND(J34&lt;&gt;"",ISNA(MATCH(J34,Conhecimento!$C$8:$C$47,0))),"Conhecimento não cadastrado",IF(AND(L34="Pendente",N(M34)&gt;60),"Pendente há mais de 60 dias","OK")))))))</f>
        <v/>
      </c>
    </row>
    <row r="35" customFormat="false" ht="30" hidden="false" customHeight="true" outlineLevel="0" collapsed="false">
      <c r="B35" s="12" t="n">
        <v>29</v>
      </c>
      <c r="C35" s="13"/>
      <c r="D35" s="8"/>
      <c r="E35" s="13"/>
      <c r="F35" s="5"/>
      <c r="G35" s="5"/>
      <c r="H35" s="5"/>
      <c r="I35" s="5"/>
      <c r="J35" s="13"/>
      <c r="K35" s="8"/>
      <c r="L35" s="16" t="str">
        <f aca="false">IF(C35="","",IF(K35="","Pendente","Incorporada"))</f>
        <v/>
      </c>
      <c r="M35" s="23" t="str">
        <f aca="false">IF(OR(C35="",K35&lt;&gt;"",D35=""),"",IF(ISNUMBER(Conhecimento!$E$4),Conhecimento!$E$4-D35,""))</f>
        <v/>
      </c>
      <c r="N35" s="17" t="str">
        <f aca="false">IF(C35="","",IF(D35="","Falta a data",IF(F35="","Falta o que aconteceu",IF(G35="","Falta o que aprendemos",IF(H35="","Falta onde incorporar",IF(AND(J35&lt;&gt;"",ISNA(MATCH(J35,Conhecimento!$C$8:$C$47,0))),"Conhecimento não cadastrado",IF(AND(L35="Pendente",N(M35)&gt;60),"Pendente há mais de 60 dias","OK")))))))</f>
        <v/>
      </c>
    </row>
    <row r="36" customFormat="false" ht="30" hidden="false" customHeight="true" outlineLevel="0" collapsed="false">
      <c r="B36" s="12" t="n">
        <v>30</v>
      </c>
      <c r="C36" s="13"/>
      <c r="D36" s="8"/>
      <c r="E36" s="13"/>
      <c r="F36" s="5"/>
      <c r="G36" s="5"/>
      <c r="H36" s="5"/>
      <c r="I36" s="5"/>
      <c r="J36" s="13"/>
      <c r="K36" s="8"/>
      <c r="L36" s="16" t="str">
        <f aca="false">IF(C36="","",IF(K36="","Pendente","Incorporada"))</f>
        <v/>
      </c>
      <c r="M36" s="23" t="str">
        <f aca="false">IF(OR(C36="",K36&lt;&gt;"",D36=""),"",IF(ISNUMBER(Conhecimento!$E$4),Conhecimento!$E$4-D36,""))</f>
        <v/>
      </c>
      <c r="N36" s="17" t="str">
        <f aca="false">IF(C36="","",IF(D36="","Falta a data",IF(F36="","Falta o que aconteceu",IF(G36="","Falta o que aprendemos",IF(H36="","Falta onde incorporar",IF(AND(J36&lt;&gt;"",ISNA(MATCH(J36,Conhecimento!$C$8:$C$47,0))),"Conhecimento não cadastrado",IF(AND(L36="Pendente",N(M36)&gt;60),"Pendente há mais de 60 dias","OK")))))))</f>
        <v/>
      </c>
    </row>
    <row r="37" customFormat="false" ht="30" hidden="false" customHeight="true" outlineLevel="0" collapsed="false">
      <c r="B37" s="12" t="n">
        <v>31</v>
      </c>
      <c r="C37" s="13"/>
      <c r="D37" s="8"/>
      <c r="E37" s="13"/>
      <c r="F37" s="5"/>
      <c r="G37" s="5"/>
      <c r="H37" s="5"/>
      <c r="I37" s="5"/>
      <c r="J37" s="13"/>
      <c r="K37" s="8"/>
      <c r="L37" s="16" t="str">
        <f aca="false">IF(C37="","",IF(K37="","Pendente","Incorporada"))</f>
        <v/>
      </c>
      <c r="M37" s="23" t="str">
        <f aca="false">IF(OR(C37="",K37&lt;&gt;"",D37=""),"",IF(ISNUMBER(Conhecimento!$E$4),Conhecimento!$E$4-D37,""))</f>
        <v/>
      </c>
      <c r="N37" s="17" t="str">
        <f aca="false">IF(C37="","",IF(D37="","Falta a data",IF(F37="","Falta o que aconteceu",IF(G37="","Falta o que aprendemos",IF(H37="","Falta onde incorporar",IF(AND(J37&lt;&gt;"",ISNA(MATCH(J37,Conhecimento!$C$8:$C$47,0))),"Conhecimento não cadastrado",IF(AND(L37="Pendente",N(M37)&gt;60),"Pendente há mais de 60 dias","OK")))))))</f>
        <v/>
      </c>
    </row>
    <row r="38" customFormat="false" ht="30" hidden="false" customHeight="true" outlineLevel="0" collapsed="false">
      <c r="B38" s="12" t="n">
        <v>32</v>
      </c>
      <c r="C38" s="13"/>
      <c r="D38" s="8"/>
      <c r="E38" s="13"/>
      <c r="F38" s="5"/>
      <c r="G38" s="5"/>
      <c r="H38" s="5"/>
      <c r="I38" s="5"/>
      <c r="J38" s="13"/>
      <c r="K38" s="8"/>
      <c r="L38" s="16" t="str">
        <f aca="false">IF(C38="","",IF(K38="","Pendente","Incorporada"))</f>
        <v/>
      </c>
      <c r="M38" s="23" t="str">
        <f aca="false">IF(OR(C38="",K38&lt;&gt;"",D38=""),"",IF(ISNUMBER(Conhecimento!$E$4),Conhecimento!$E$4-D38,""))</f>
        <v/>
      </c>
      <c r="N38" s="17" t="str">
        <f aca="false">IF(C38="","",IF(D38="","Falta a data",IF(F38="","Falta o que aconteceu",IF(G38="","Falta o que aprendemos",IF(H38="","Falta onde incorporar",IF(AND(J38&lt;&gt;"",ISNA(MATCH(J38,Conhecimento!$C$8:$C$47,0))),"Conhecimento não cadastrado",IF(AND(L38="Pendente",N(M38)&gt;60),"Pendente há mais de 60 dias","OK")))))))</f>
        <v/>
      </c>
    </row>
    <row r="39" customFormat="false" ht="30" hidden="false" customHeight="true" outlineLevel="0" collapsed="false">
      <c r="B39" s="12" t="n">
        <v>33</v>
      </c>
      <c r="C39" s="13"/>
      <c r="D39" s="8"/>
      <c r="E39" s="13"/>
      <c r="F39" s="5"/>
      <c r="G39" s="5"/>
      <c r="H39" s="5"/>
      <c r="I39" s="5"/>
      <c r="J39" s="13"/>
      <c r="K39" s="8"/>
      <c r="L39" s="16" t="str">
        <f aca="false">IF(C39="","",IF(K39="","Pendente","Incorporada"))</f>
        <v/>
      </c>
      <c r="M39" s="23" t="str">
        <f aca="false">IF(OR(C39="",K39&lt;&gt;"",D39=""),"",IF(ISNUMBER(Conhecimento!$E$4),Conhecimento!$E$4-D39,""))</f>
        <v/>
      </c>
      <c r="N39" s="17" t="str">
        <f aca="false">IF(C39="","",IF(D39="","Falta a data",IF(F39="","Falta o que aconteceu",IF(G39="","Falta o que aprendemos",IF(H39="","Falta onde incorporar",IF(AND(J39&lt;&gt;"",ISNA(MATCH(J39,Conhecimento!$C$8:$C$47,0))),"Conhecimento não cadastrado",IF(AND(L39="Pendente",N(M39)&gt;60),"Pendente há mais de 60 dias","OK")))))))</f>
        <v/>
      </c>
    </row>
    <row r="40" customFormat="false" ht="30" hidden="false" customHeight="true" outlineLevel="0" collapsed="false">
      <c r="B40" s="12" t="n">
        <v>34</v>
      </c>
      <c r="C40" s="13"/>
      <c r="D40" s="8"/>
      <c r="E40" s="13"/>
      <c r="F40" s="5"/>
      <c r="G40" s="5"/>
      <c r="H40" s="5"/>
      <c r="I40" s="5"/>
      <c r="J40" s="13"/>
      <c r="K40" s="8"/>
      <c r="L40" s="16" t="str">
        <f aca="false">IF(C40="","",IF(K40="","Pendente","Incorporada"))</f>
        <v/>
      </c>
      <c r="M40" s="23" t="str">
        <f aca="false">IF(OR(C40="",K40&lt;&gt;"",D40=""),"",IF(ISNUMBER(Conhecimento!$E$4),Conhecimento!$E$4-D40,""))</f>
        <v/>
      </c>
      <c r="N40" s="17" t="str">
        <f aca="false">IF(C40="","",IF(D40="","Falta a data",IF(F40="","Falta o que aconteceu",IF(G40="","Falta o que aprendemos",IF(H40="","Falta onde incorporar",IF(AND(J40&lt;&gt;"",ISNA(MATCH(J40,Conhecimento!$C$8:$C$47,0))),"Conhecimento não cadastrado",IF(AND(L40="Pendente",N(M40)&gt;60),"Pendente há mais de 60 dias","OK")))))))</f>
        <v/>
      </c>
    </row>
    <row r="41" customFormat="false" ht="30" hidden="false" customHeight="true" outlineLevel="0" collapsed="false">
      <c r="B41" s="12" t="n">
        <v>35</v>
      </c>
      <c r="C41" s="13"/>
      <c r="D41" s="8"/>
      <c r="E41" s="13"/>
      <c r="F41" s="5"/>
      <c r="G41" s="5"/>
      <c r="H41" s="5"/>
      <c r="I41" s="5"/>
      <c r="J41" s="13"/>
      <c r="K41" s="8"/>
      <c r="L41" s="16" t="str">
        <f aca="false">IF(C41="","",IF(K41="","Pendente","Incorporada"))</f>
        <v/>
      </c>
      <c r="M41" s="23" t="str">
        <f aca="false">IF(OR(C41="",K41&lt;&gt;"",D41=""),"",IF(ISNUMBER(Conhecimento!$E$4),Conhecimento!$E$4-D41,""))</f>
        <v/>
      </c>
      <c r="N41" s="17" t="str">
        <f aca="false">IF(C41="","",IF(D41="","Falta a data",IF(F41="","Falta o que aconteceu",IF(G41="","Falta o que aprendemos",IF(H41="","Falta onde incorporar",IF(AND(J41&lt;&gt;"",ISNA(MATCH(J41,Conhecimento!$C$8:$C$47,0))),"Conhecimento não cadastrado",IF(AND(L41="Pendente",N(M41)&gt;60),"Pendente há mais de 60 dias","OK")))))))</f>
        <v/>
      </c>
    </row>
    <row r="42" customFormat="false" ht="30" hidden="false" customHeight="true" outlineLevel="0" collapsed="false">
      <c r="B42" s="12" t="n">
        <v>36</v>
      </c>
      <c r="C42" s="13"/>
      <c r="D42" s="8"/>
      <c r="E42" s="13"/>
      <c r="F42" s="5"/>
      <c r="G42" s="5"/>
      <c r="H42" s="5"/>
      <c r="I42" s="5"/>
      <c r="J42" s="13"/>
      <c r="K42" s="8"/>
      <c r="L42" s="16" t="str">
        <f aca="false">IF(C42="","",IF(K42="","Pendente","Incorporada"))</f>
        <v/>
      </c>
      <c r="M42" s="23" t="str">
        <f aca="false">IF(OR(C42="",K42&lt;&gt;"",D42=""),"",IF(ISNUMBER(Conhecimento!$E$4),Conhecimento!$E$4-D42,""))</f>
        <v/>
      </c>
      <c r="N42" s="17" t="str">
        <f aca="false">IF(C42="","",IF(D42="","Falta a data",IF(F42="","Falta o que aconteceu",IF(G42="","Falta o que aprendemos",IF(H42="","Falta onde incorporar",IF(AND(J42&lt;&gt;"",ISNA(MATCH(J42,Conhecimento!$C$8:$C$47,0))),"Conhecimento não cadastrado",IF(AND(L42="Pendente",N(M42)&gt;60),"Pendente há mais de 60 dias","OK")))))))</f>
        <v/>
      </c>
    </row>
    <row r="43" customFormat="false" ht="30" hidden="false" customHeight="true" outlineLevel="0" collapsed="false">
      <c r="B43" s="12" t="n">
        <v>37</v>
      </c>
      <c r="C43" s="13"/>
      <c r="D43" s="8"/>
      <c r="E43" s="13"/>
      <c r="F43" s="5"/>
      <c r="G43" s="5"/>
      <c r="H43" s="5"/>
      <c r="I43" s="5"/>
      <c r="J43" s="13"/>
      <c r="K43" s="8"/>
      <c r="L43" s="16" t="str">
        <f aca="false">IF(C43="","",IF(K43="","Pendente","Incorporada"))</f>
        <v/>
      </c>
      <c r="M43" s="23" t="str">
        <f aca="false">IF(OR(C43="",K43&lt;&gt;"",D43=""),"",IF(ISNUMBER(Conhecimento!$E$4),Conhecimento!$E$4-D43,""))</f>
        <v/>
      </c>
      <c r="N43" s="17" t="str">
        <f aca="false">IF(C43="","",IF(D43="","Falta a data",IF(F43="","Falta o que aconteceu",IF(G43="","Falta o que aprendemos",IF(H43="","Falta onde incorporar",IF(AND(J43&lt;&gt;"",ISNA(MATCH(J43,Conhecimento!$C$8:$C$47,0))),"Conhecimento não cadastrado",IF(AND(L43="Pendente",N(M43)&gt;60),"Pendente há mais de 60 dias","OK")))))))</f>
        <v/>
      </c>
    </row>
    <row r="44" customFormat="false" ht="30" hidden="false" customHeight="true" outlineLevel="0" collapsed="false">
      <c r="B44" s="12" t="n">
        <v>38</v>
      </c>
      <c r="C44" s="13"/>
      <c r="D44" s="8"/>
      <c r="E44" s="13"/>
      <c r="F44" s="5"/>
      <c r="G44" s="5"/>
      <c r="H44" s="5"/>
      <c r="I44" s="5"/>
      <c r="J44" s="13"/>
      <c r="K44" s="8"/>
      <c r="L44" s="16" t="str">
        <f aca="false">IF(C44="","",IF(K44="","Pendente","Incorporada"))</f>
        <v/>
      </c>
      <c r="M44" s="23" t="str">
        <f aca="false">IF(OR(C44="",K44&lt;&gt;"",D44=""),"",IF(ISNUMBER(Conhecimento!$E$4),Conhecimento!$E$4-D44,""))</f>
        <v/>
      </c>
      <c r="N44" s="17" t="str">
        <f aca="false">IF(C44="","",IF(D44="","Falta a data",IF(F44="","Falta o que aconteceu",IF(G44="","Falta o que aprendemos",IF(H44="","Falta onde incorporar",IF(AND(J44&lt;&gt;"",ISNA(MATCH(J44,Conhecimento!$C$8:$C$47,0))),"Conhecimento não cadastrado",IF(AND(L44="Pendente",N(M44)&gt;60),"Pendente há mais de 60 dias","OK")))))))</f>
        <v/>
      </c>
    </row>
    <row r="45" customFormat="false" ht="30" hidden="false" customHeight="true" outlineLevel="0" collapsed="false">
      <c r="B45" s="12" t="n">
        <v>39</v>
      </c>
      <c r="C45" s="13"/>
      <c r="D45" s="8"/>
      <c r="E45" s="13"/>
      <c r="F45" s="5"/>
      <c r="G45" s="5"/>
      <c r="H45" s="5"/>
      <c r="I45" s="5"/>
      <c r="J45" s="13"/>
      <c r="K45" s="8"/>
      <c r="L45" s="16" t="str">
        <f aca="false">IF(C45="","",IF(K45="","Pendente","Incorporada"))</f>
        <v/>
      </c>
      <c r="M45" s="23" t="str">
        <f aca="false">IF(OR(C45="",K45&lt;&gt;"",D45=""),"",IF(ISNUMBER(Conhecimento!$E$4),Conhecimento!$E$4-D45,""))</f>
        <v/>
      </c>
      <c r="N45" s="17" t="str">
        <f aca="false">IF(C45="","",IF(D45="","Falta a data",IF(F45="","Falta o que aconteceu",IF(G45="","Falta o que aprendemos",IF(H45="","Falta onde incorporar",IF(AND(J45&lt;&gt;"",ISNA(MATCH(J45,Conhecimento!$C$8:$C$47,0))),"Conhecimento não cadastrado",IF(AND(L45="Pendente",N(M45)&gt;60),"Pendente há mais de 60 dias","OK")))))))</f>
        <v/>
      </c>
    </row>
    <row r="46" customFormat="false" ht="30" hidden="false" customHeight="true" outlineLevel="0" collapsed="false">
      <c r="B46" s="12" t="n">
        <v>40</v>
      </c>
      <c r="C46" s="13"/>
      <c r="D46" s="8"/>
      <c r="E46" s="13"/>
      <c r="F46" s="5"/>
      <c r="G46" s="5"/>
      <c r="H46" s="5"/>
      <c r="I46" s="5"/>
      <c r="J46" s="13"/>
      <c r="K46" s="8"/>
      <c r="L46" s="16" t="str">
        <f aca="false">IF(C46="","",IF(K46="","Pendente","Incorporada"))</f>
        <v/>
      </c>
      <c r="M46" s="23" t="str">
        <f aca="false">IF(OR(C46="",K46&lt;&gt;"",D46=""),"",IF(ISNUMBER(Conhecimento!$E$4),Conhecimento!$E$4-D46,""))</f>
        <v/>
      </c>
      <c r="N46" s="17" t="str">
        <f aca="false">IF(C46="","",IF(D46="","Falta a data",IF(F46="","Falta o que aconteceu",IF(G46="","Falta o que aprendemos",IF(H46="","Falta onde incorporar",IF(AND(J46&lt;&gt;"",ISNA(MATCH(J46,Conhecimento!$C$8:$C$47,0))),"Conhecimento não cadastrado",IF(AND(L46="Pendente",N(M46)&gt;60),"Pendente há mais de 60 dias","OK")))))))</f>
        <v/>
      </c>
    </row>
    <row r="47" customFormat="false" ht="30" hidden="false" customHeight="true" outlineLevel="0" collapsed="false">
      <c r="B47" s="12" t="n">
        <v>41</v>
      </c>
      <c r="C47" s="13"/>
      <c r="D47" s="8"/>
      <c r="E47" s="13"/>
      <c r="F47" s="5"/>
      <c r="G47" s="5"/>
      <c r="H47" s="5"/>
      <c r="I47" s="5"/>
      <c r="J47" s="13"/>
      <c r="K47" s="8"/>
      <c r="L47" s="16" t="str">
        <f aca="false">IF(C47="","",IF(K47="","Pendente","Incorporada"))</f>
        <v/>
      </c>
      <c r="M47" s="23" t="str">
        <f aca="false">IF(OR(C47="",K47&lt;&gt;"",D47=""),"",IF(ISNUMBER(Conhecimento!$E$4),Conhecimento!$E$4-D47,""))</f>
        <v/>
      </c>
      <c r="N47" s="17" t="str">
        <f aca="false">IF(C47="","",IF(D47="","Falta a data",IF(F47="","Falta o que aconteceu",IF(G47="","Falta o que aprendemos",IF(H47="","Falta onde incorporar",IF(AND(J47&lt;&gt;"",ISNA(MATCH(J47,Conhecimento!$C$8:$C$47,0))),"Conhecimento não cadastrado",IF(AND(L47="Pendente",N(M47)&gt;60),"Pendente há mais de 60 dias","OK")))))))</f>
        <v/>
      </c>
    </row>
    <row r="48" customFormat="false" ht="30" hidden="false" customHeight="true" outlineLevel="0" collapsed="false">
      <c r="B48" s="12" t="n">
        <v>42</v>
      </c>
      <c r="C48" s="13"/>
      <c r="D48" s="8"/>
      <c r="E48" s="13"/>
      <c r="F48" s="5"/>
      <c r="G48" s="5"/>
      <c r="H48" s="5"/>
      <c r="I48" s="5"/>
      <c r="J48" s="13"/>
      <c r="K48" s="8"/>
      <c r="L48" s="16" t="str">
        <f aca="false">IF(C48="","",IF(K48="","Pendente","Incorporada"))</f>
        <v/>
      </c>
      <c r="M48" s="23" t="str">
        <f aca="false">IF(OR(C48="",K48&lt;&gt;"",D48=""),"",IF(ISNUMBER(Conhecimento!$E$4),Conhecimento!$E$4-D48,""))</f>
        <v/>
      </c>
      <c r="N48" s="17" t="str">
        <f aca="false">IF(C48="","",IF(D48="","Falta a data",IF(F48="","Falta o que aconteceu",IF(G48="","Falta o que aprendemos",IF(H48="","Falta onde incorporar",IF(AND(J48&lt;&gt;"",ISNA(MATCH(J48,Conhecimento!$C$8:$C$47,0))),"Conhecimento não cadastrado",IF(AND(L48="Pendente",N(M48)&gt;60),"Pendente há mais de 60 dias","OK")))))))</f>
        <v/>
      </c>
    </row>
    <row r="49" customFormat="false" ht="30" hidden="false" customHeight="true" outlineLevel="0" collapsed="false">
      <c r="B49" s="12" t="n">
        <v>43</v>
      </c>
      <c r="C49" s="13"/>
      <c r="D49" s="8"/>
      <c r="E49" s="13"/>
      <c r="F49" s="5"/>
      <c r="G49" s="5"/>
      <c r="H49" s="5"/>
      <c r="I49" s="5"/>
      <c r="J49" s="13"/>
      <c r="K49" s="8"/>
      <c r="L49" s="16" t="str">
        <f aca="false">IF(C49="","",IF(K49="","Pendente","Incorporada"))</f>
        <v/>
      </c>
      <c r="M49" s="23" t="str">
        <f aca="false">IF(OR(C49="",K49&lt;&gt;"",D49=""),"",IF(ISNUMBER(Conhecimento!$E$4),Conhecimento!$E$4-D49,""))</f>
        <v/>
      </c>
      <c r="N49" s="17" t="str">
        <f aca="false">IF(C49="","",IF(D49="","Falta a data",IF(F49="","Falta o que aconteceu",IF(G49="","Falta o que aprendemos",IF(H49="","Falta onde incorporar",IF(AND(J49&lt;&gt;"",ISNA(MATCH(J49,Conhecimento!$C$8:$C$47,0))),"Conhecimento não cadastrado",IF(AND(L49="Pendente",N(M49)&gt;60),"Pendente há mais de 60 dias","OK")))))))</f>
        <v/>
      </c>
    </row>
    <row r="50" customFormat="false" ht="30" hidden="false" customHeight="true" outlineLevel="0" collapsed="false">
      <c r="B50" s="12" t="n">
        <v>44</v>
      </c>
      <c r="C50" s="13"/>
      <c r="D50" s="8"/>
      <c r="E50" s="13"/>
      <c r="F50" s="5"/>
      <c r="G50" s="5"/>
      <c r="H50" s="5"/>
      <c r="I50" s="5"/>
      <c r="J50" s="13"/>
      <c r="K50" s="8"/>
      <c r="L50" s="16" t="str">
        <f aca="false">IF(C50="","",IF(K50="","Pendente","Incorporada"))</f>
        <v/>
      </c>
      <c r="M50" s="23" t="str">
        <f aca="false">IF(OR(C50="",K50&lt;&gt;"",D50=""),"",IF(ISNUMBER(Conhecimento!$E$4),Conhecimento!$E$4-D50,""))</f>
        <v/>
      </c>
      <c r="N50" s="17" t="str">
        <f aca="false">IF(C50="","",IF(D50="","Falta a data",IF(F50="","Falta o que aconteceu",IF(G50="","Falta o que aprendemos",IF(H50="","Falta onde incorporar",IF(AND(J50&lt;&gt;"",ISNA(MATCH(J50,Conhecimento!$C$8:$C$47,0))),"Conhecimento não cadastrado",IF(AND(L50="Pendente",N(M50)&gt;60),"Pendente há mais de 60 dias","OK")))))))</f>
        <v/>
      </c>
    </row>
    <row r="51" customFormat="false" ht="30" hidden="false" customHeight="true" outlineLevel="0" collapsed="false">
      <c r="B51" s="12" t="n">
        <v>45</v>
      </c>
      <c r="C51" s="13"/>
      <c r="D51" s="8"/>
      <c r="E51" s="13"/>
      <c r="F51" s="5"/>
      <c r="G51" s="5"/>
      <c r="H51" s="5"/>
      <c r="I51" s="5"/>
      <c r="J51" s="13"/>
      <c r="K51" s="8"/>
      <c r="L51" s="16" t="str">
        <f aca="false">IF(C51="","",IF(K51="","Pendente","Incorporada"))</f>
        <v/>
      </c>
      <c r="M51" s="23" t="str">
        <f aca="false">IF(OR(C51="",K51&lt;&gt;"",D51=""),"",IF(ISNUMBER(Conhecimento!$E$4),Conhecimento!$E$4-D51,""))</f>
        <v/>
      </c>
      <c r="N51" s="17" t="str">
        <f aca="false">IF(C51="","",IF(D51="","Falta a data",IF(F51="","Falta o que aconteceu",IF(G51="","Falta o que aprendemos",IF(H51="","Falta onde incorporar",IF(AND(J51&lt;&gt;"",ISNA(MATCH(J51,Conhecimento!$C$8:$C$47,0))),"Conhecimento não cadastrado",IF(AND(L51="Pendente",N(M51)&gt;60),"Pendente há mais de 60 dias","OK")))))))</f>
        <v/>
      </c>
    </row>
    <row r="52" customFormat="false" ht="30" hidden="false" customHeight="true" outlineLevel="0" collapsed="false">
      <c r="B52" s="12" t="n">
        <v>46</v>
      </c>
      <c r="C52" s="13"/>
      <c r="D52" s="8"/>
      <c r="E52" s="13"/>
      <c r="F52" s="5"/>
      <c r="G52" s="5"/>
      <c r="H52" s="5"/>
      <c r="I52" s="5"/>
      <c r="J52" s="13"/>
      <c r="K52" s="8"/>
      <c r="L52" s="16" t="str">
        <f aca="false">IF(C52="","",IF(K52="","Pendente","Incorporada"))</f>
        <v/>
      </c>
      <c r="M52" s="23" t="str">
        <f aca="false">IF(OR(C52="",K52&lt;&gt;"",D52=""),"",IF(ISNUMBER(Conhecimento!$E$4),Conhecimento!$E$4-D52,""))</f>
        <v/>
      </c>
      <c r="N52" s="17" t="str">
        <f aca="false">IF(C52="","",IF(D52="","Falta a data",IF(F52="","Falta o que aconteceu",IF(G52="","Falta o que aprendemos",IF(H52="","Falta onde incorporar",IF(AND(J52&lt;&gt;"",ISNA(MATCH(J52,Conhecimento!$C$8:$C$47,0))),"Conhecimento não cadastrado",IF(AND(L52="Pendente",N(M52)&gt;60),"Pendente há mais de 60 dias","OK")))))))</f>
        <v/>
      </c>
    </row>
    <row r="53" customFormat="false" ht="30" hidden="false" customHeight="true" outlineLevel="0" collapsed="false">
      <c r="B53" s="12" t="n">
        <v>47</v>
      </c>
      <c r="C53" s="13"/>
      <c r="D53" s="8"/>
      <c r="E53" s="13"/>
      <c r="F53" s="5"/>
      <c r="G53" s="5"/>
      <c r="H53" s="5"/>
      <c r="I53" s="5"/>
      <c r="J53" s="13"/>
      <c r="K53" s="8"/>
      <c r="L53" s="16" t="str">
        <f aca="false">IF(C53="","",IF(K53="","Pendente","Incorporada"))</f>
        <v/>
      </c>
      <c r="M53" s="23" t="str">
        <f aca="false">IF(OR(C53="",K53&lt;&gt;"",D53=""),"",IF(ISNUMBER(Conhecimento!$E$4),Conhecimento!$E$4-D53,""))</f>
        <v/>
      </c>
      <c r="N53" s="17" t="str">
        <f aca="false">IF(C53="","",IF(D53="","Falta a data",IF(F53="","Falta o que aconteceu",IF(G53="","Falta o que aprendemos",IF(H53="","Falta onde incorporar",IF(AND(J53&lt;&gt;"",ISNA(MATCH(J53,Conhecimento!$C$8:$C$47,0))),"Conhecimento não cadastrado",IF(AND(L53="Pendente",N(M53)&gt;60),"Pendente há mais de 60 dias","OK")))))))</f>
        <v/>
      </c>
    </row>
    <row r="54" customFormat="false" ht="30" hidden="false" customHeight="true" outlineLevel="0" collapsed="false">
      <c r="B54" s="12" t="n">
        <v>48</v>
      </c>
      <c r="C54" s="13"/>
      <c r="D54" s="8"/>
      <c r="E54" s="13"/>
      <c r="F54" s="5"/>
      <c r="G54" s="5"/>
      <c r="H54" s="5"/>
      <c r="I54" s="5"/>
      <c r="J54" s="13"/>
      <c r="K54" s="8"/>
      <c r="L54" s="16" t="str">
        <f aca="false">IF(C54="","",IF(K54="","Pendente","Incorporada"))</f>
        <v/>
      </c>
      <c r="M54" s="23" t="str">
        <f aca="false">IF(OR(C54="",K54&lt;&gt;"",D54=""),"",IF(ISNUMBER(Conhecimento!$E$4),Conhecimento!$E$4-D54,""))</f>
        <v/>
      </c>
      <c r="N54" s="17" t="str">
        <f aca="false">IF(C54="","",IF(D54="","Falta a data",IF(F54="","Falta o que aconteceu",IF(G54="","Falta o que aprendemos",IF(H54="","Falta onde incorporar",IF(AND(J54&lt;&gt;"",ISNA(MATCH(J54,Conhecimento!$C$8:$C$47,0))),"Conhecimento não cadastrado",IF(AND(L54="Pendente",N(M54)&gt;60),"Pendente há mais de 60 dias","OK")))))))</f>
        <v/>
      </c>
    </row>
    <row r="55" customFormat="false" ht="30" hidden="false" customHeight="true" outlineLevel="0" collapsed="false">
      <c r="B55" s="12" t="n">
        <v>49</v>
      </c>
      <c r="C55" s="13"/>
      <c r="D55" s="8"/>
      <c r="E55" s="13"/>
      <c r="F55" s="5"/>
      <c r="G55" s="5"/>
      <c r="H55" s="5"/>
      <c r="I55" s="5"/>
      <c r="J55" s="13"/>
      <c r="K55" s="8"/>
      <c r="L55" s="16" t="str">
        <f aca="false">IF(C55="","",IF(K55="","Pendente","Incorporada"))</f>
        <v/>
      </c>
      <c r="M55" s="23" t="str">
        <f aca="false">IF(OR(C55="",K55&lt;&gt;"",D55=""),"",IF(ISNUMBER(Conhecimento!$E$4),Conhecimento!$E$4-D55,""))</f>
        <v/>
      </c>
      <c r="N55" s="17" t="str">
        <f aca="false">IF(C55="","",IF(D55="","Falta a data",IF(F55="","Falta o que aconteceu",IF(G55="","Falta o que aprendemos",IF(H55="","Falta onde incorporar",IF(AND(J55&lt;&gt;"",ISNA(MATCH(J55,Conhecimento!$C$8:$C$47,0))),"Conhecimento não cadastrado",IF(AND(L55="Pendente",N(M55)&gt;60),"Pendente há mais de 60 dias","OK")))))))</f>
        <v/>
      </c>
    </row>
    <row r="56" customFormat="false" ht="30" hidden="false" customHeight="true" outlineLevel="0" collapsed="false">
      <c r="B56" s="12" t="n">
        <v>50</v>
      </c>
      <c r="C56" s="13"/>
      <c r="D56" s="8"/>
      <c r="E56" s="13"/>
      <c r="F56" s="5"/>
      <c r="G56" s="5"/>
      <c r="H56" s="5"/>
      <c r="I56" s="5"/>
      <c r="J56" s="13"/>
      <c r="K56" s="8"/>
      <c r="L56" s="16" t="str">
        <f aca="false">IF(C56="","",IF(K56="","Pendente","Incorporada"))</f>
        <v/>
      </c>
      <c r="M56" s="23" t="str">
        <f aca="false">IF(OR(C56="",K56&lt;&gt;"",D56=""),"",IF(ISNUMBER(Conhecimento!$E$4),Conhecimento!$E$4-D56,""))</f>
        <v/>
      </c>
      <c r="N56" s="17" t="str">
        <f aca="false">IF(C56="","",IF(D56="","Falta a data",IF(F56="","Falta o que aconteceu",IF(G56="","Falta o que aprendemos",IF(H56="","Falta onde incorporar",IF(AND(J56&lt;&gt;"",ISNA(MATCH(J56,Conhecimento!$C$8:$C$47,0))),"Conhecimento não cadastrado",IF(AND(L56="Pendente",N(M56)&gt;60),"Pendente há mais de 60 dias","OK")))))))</f>
        <v/>
      </c>
    </row>
    <row r="57" customFormat="false" ht="30" hidden="false" customHeight="true" outlineLevel="0" collapsed="false">
      <c r="B57" s="12" t="n">
        <v>51</v>
      </c>
      <c r="C57" s="13"/>
      <c r="D57" s="8"/>
      <c r="E57" s="13"/>
      <c r="F57" s="5"/>
      <c r="G57" s="5"/>
      <c r="H57" s="5"/>
      <c r="I57" s="5"/>
      <c r="J57" s="13"/>
      <c r="K57" s="8"/>
      <c r="L57" s="16" t="str">
        <f aca="false">IF(C57="","",IF(K57="","Pendente","Incorporada"))</f>
        <v/>
      </c>
      <c r="M57" s="23" t="str">
        <f aca="false">IF(OR(C57="",K57&lt;&gt;"",D57=""),"",IF(ISNUMBER(Conhecimento!$E$4),Conhecimento!$E$4-D57,""))</f>
        <v/>
      </c>
      <c r="N57" s="17" t="str">
        <f aca="false">IF(C57="","",IF(D57="","Falta a data",IF(F57="","Falta o que aconteceu",IF(G57="","Falta o que aprendemos",IF(H57="","Falta onde incorporar",IF(AND(J57&lt;&gt;"",ISNA(MATCH(J57,Conhecimento!$C$8:$C$47,0))),"Conhecimento não cadastrado",IF(AND(L57="Pendente",N(M57)&gt;60),"Pendente há mais de 60 dias","OK")))))))</f>
        <v/>
      </c>
    </row>
    <row r="58" customFormat="false" ht="30" hidden="false" customHeight="true" outlineLevel="0" collapsed="false">
      <c r="B58" s="12" t="n">
        <v>52</v>
      </c>
      <c r="C58" s="13"/>
      <c r="D58" s="8"/>
      <c r="E58" s="13"/>
      <c r="F58" s="5"/>
      <c r="G58" s="5"/>
      <c r="H58" s="5"/>
      <c r="I58" s="5"/>
      <c r="J58" s="13"/>
      <c r="K58" s="8"/>
      <c r="L58" s="16" t="str">
        <f aca="false">IF(C58="","",IF(K58="","Pendente","Incorporada"))</f>
        <v/>
      </c>
      <c r="M58" s="23" t="str">
        <f aca="false">IF(OR(C58="",K58&lt;&gt;"",D58=""),"",IF(ISNUMBER(Conhecimento!$E$4),Conhecimento!$E$4-D58,""))</f>
        <v/>
      </c>
      <c r="N58" s="17" t="str">
        <f aca="false">IF(C58="","",IF(D58="","Falta a data",IF(F58="","Falta o que aconteceu",IF(G58="","Falta o que aprendemos",IF(H58="","Falta onde incorporar",IF(AND(J58&lt;&gt;"",ISNA(MATCH(J58,Conhecimento!$C$8:$C$47,0))),"Conhecimento não cadastrado",IF(AND(L58="Pendente",N(M58)&gt;60),"Pendente há mais de 60 dias","OK")))))))</f>
        <v/>
      </c>
    </row>
    <row r="59" customFormat="false" ht="30" hidden="false" customHeight="true" outlineLevel="0" collapsed="false">
      <c r="B59" s="12" t="n">
        <v>53</v>
      </c>
      <c r="C59" s="13"/>
      <c r="D59" s="8"/>
      <c r="E59" s="13"/>
      <c r="F59" s="5"/>
      <c r="G59" s="5"/>
      <c r="H59" s="5"/>
      <c r="I59" s="5"/>
      <c r="J59" s="13"/>
      <c r="K59" s="8"/>
      <c r="L59" s="16" t="str">
        <f aca="false">IF(C59="","",IF(K59="","Pendente","Incorporada"))</f>
        <v/>
      </c>
      <c r="M59" s="23" t="str">
        <f aca="false">IF(OR(C59="",K59&lt;&gt;"",D59=""),"",IF(ISNUMBER(Conhecimento!$E$4),Conhecimento!$E$4-D59,""))</f>
        <v/>
      </c>
      <c r="N59" s="17" t="str">
        <f aca="false">IF(C59="","",IF(D59="","Falta a data",IF(F59="","Falta o que aconteceu",IF(G59="","Falta o que aprendemos",IF(H59="","Falta onde incorporar",IF(AND(J59&lt;&gt;"",ISNA(MATCH(J59,Conhecimento!$C$8:$C$47,0))),"Conhecimento não cadastrado",IF(AND(L59="Pendente",N(M59)&gt;60),"Pendente há mais de 60 dias","OK")))))))</f>
        <v/>
      </c>
    </row>
    <row r="60" customFormat="false" ht="30" hidden="false" customHeight="true" outlineLevel="0" collapsed="false">
      <c r="B60" s="12" t="n">
        <v>54</v>
      </c>
      <c r="C60" s="13"/>
      <c r="D60" s="8"/>
      <c r="E60" s="13"/>
      <c r="F60" s="5"/>
      <c r="G60" s="5"/>
      <c r="H60" s="5"/>
      <c r="I60" s="5"/>
      <c r="J60" s="13"/>
      <c r="K60" s="8"/>
      <c r="L60" s="16" t="str">
        <f aca="false">IF(C60="","",IF(K60="","Pendente","Incorporada"))</f>
        <v/>
      </c>
      <c r="M60" s="23" t="str">
        <f aca="false">IF(OR(C60="",K60&lt;&gt;"",D60=""),"",IF(ISNUMBER(Conhecimento!$E$4),Conhecimento!$E$4-D60,""))</f>
        <v/>
      </c>
      <c r="N60" s="17" t="str">
        <f aca="false">IF(C60="","",IF(D60="","Falta a data",IF(F60="","Falta o que aconteceu",IF(G60="","Falta o que aprendemos",IF(H60="","Falta onde incorporar",IF(AND(J60&lt;&gt;"",ISNA(MATCH(J60,Conhecimento!$C$8:$C$47,0))),"Conhecimento não cadastrado",IF(AND(L60="Pendente",N(M60)&gt;60),"Pendente há mais de 60 dias","OK")))))))</f>
        <v/>
      </c>
    </row>
    <row r="61" customFormat="false" ht="30" hidden="false" customHeight="true" outlineLevel="0" collapsed="false">
      <c r="B61" s="12" t="n">
        <v>55</v>
      </c>
      <c r="C61" s="13"/>
      <c r="D61" s="8"/>
      <c r="E61" s="13"/>
      <c r="F61" s="5"/>
      <c r="G61" s="5"/>
      <c r="H61" s="5"/>
      <c r="I61" s="5"/>
      <c r="J61" s="13"/>
      <c r="K61" s="8"/>
      <c r="L61" s="16" t="str">
        <f aca="false">IF(C61="","",IF(K61="","Pendente","Incorporada"))</f>
        <v/>
      </c>
      <c r="M61" s="23" t="str">
        <f aca="false">IF(OR(C61="",K61&lt;&gt;"",D61=""),"",IF(ISNUMBER(Conhecimento!$E$4),Conhecimento!$E$4-D61,""))</f>
        <v/>
      </c>
      <c r="N61" s="17" t="str">
        <f aca="false">IF(C61="","",IF(D61="","Falta a data",IF(F61="","Falta o que aconteceu",IF(G61="","Falta o que aprendemos",IF(H61="","Falta onde incorporar",IF(AND(J61&lt;&gt;"",ISNA(MATCH(J61,Conhecimento!$C$8:$C$47,0))),"Conhecimento não cadastrado",IF(AND(L61="Pendente",N(M61)&gt;60),"Pendente há mais de 60 dias","OK")))))))</f>
        <v/>
      </c>
    </row>
    <row r="62" customFormat="false" ht="30" hidden="false" customHeight="true" outlineLevel="0" collapsed="false">
      <c r="B62" s="12" t="n">
        <v>56</v>
      </c>
      <c r="C62" s="13"/>
      <c r="D62" s="8"/>
      <c r="E62" s="13"/>
      <c r="F62" s="5"/>
      <c r="G62" s="5"/>
      <c r="H62" s="5"/>
      <c r="I62" s="5"/>
      <c r="J62" s="13"/>
      <c r="K62" s="8"/>
      <c r="L62" s="16" t="str">
        <f aca="false">IF(C62="","",IF(K62="","Pendente","Incorporada"))</f>
        <v/>
      </c>
      <c r="M62" s="23" t="str">
        <f aca="false">IF(OR(C62="",K62&lt;&gt;"",D62=""),"",IF(ISNUMBER(Conhecimento!$E$4),Conhecimento!$E$4-D62,""))</f>
        <v/>
      </c>
      <c r="N62" s="17" t="str">
        <f aca="false">IF(C62="","",IF(D62="","Falta a data",IF(F62="","Falta o que aconteceu",IF(G62="","Falta o que aprendemos",IF(H62="","Falta onde incorporar",IF(AND(J62&lt;&gt;"",ISNA(MATCH(J62,Conhecimento!$C$8:$C$47,0))),"Conhecimento não cadastrado",IF(AND(L62="Pendente",N(M62)&gt;60),"Pendente há mais de 60 dias","OK")))))))</f>
        <v/>
      </c>
    </row>
    <row r="63" customFormat="false" ht="30" hidden="false" customHeight="true" outlineLevel="0" collapsed="false">
      <c r="B63" s="12" t="n">
        <v>57</v>
      </c>
      <c r="C63" s="13"/>
      <c r="D63" s="8"/>
      <c r="E63" s="13"/>
      <c r="F63" s="5"/>
      <c r="G63" s="5"/>
      <c r="H63" s="5"/>
      <c r="I63" s="5"/>
      <c r="J63" s="13"/>
      <c r="K63" s="8"/>
      <c r="L63" s="16" t="str">
        <f aca="false">IF(C63="","",IF(K63="","Pendente","Incorporada"))</f>
        <v/>
      </c>
      <c r="M63" s="23" t="str">
        <f aca="false">IF(OR(C63="",K63&lt;&gt;"",D63=""),"",IF(ISNUMBER(Conhecimento!$E$4),Conhecimento!$E$4-D63,""))</f>
        <v/>
      </c>
      <c r="N63" s="17" t="str">
        <f aca="false">IF(C63="","",IF(D63="","Falta a data",IF(F63="","Falta o que aconteceu",IF(G63="","Falta o que aprendemos",IF(H63="","Falta onde incorporar",IF(AND(J63&lt;&gt;"",ISNA(MATCH(J63,Conhecimento!$C$8:$C$47,0))),"Conhecimento não cadastrado",IF(AND(L63="Pendente",N(M63)&gt;60),"Pendente há mais de 60 dias","OK")))))))</f>
        <v/>
      </c>
    </row>
    <row r="64" customFormat="false" ht="30" hidden="false" customHeight="true" outlineLevel="0" collapsed="false">
      <c r="B64" s="12" t="n">
        <v>58</v>
      </c>
      <c r="C64" s="13"/>
      <c r="D64" s="8"/>
      <c r="E64" s="13"/>
      <c r="F64" s="5"/>
      <c r="G64" s="5"/>
      <c r="H64" s="5"/>
      <c r="I64" s="5"/>
      <c r="J64" s="13"/>
      <c r="K64" s="8"/>
      <c r="L64" s="16" t="str">
        <f aca="false">IF(C64="","",IF(K64="","Pendente","Incorporada"))</f>
        <v/>
      </c>
      <c r="M64" s="23" t="str">
        <f aca="false">IF(OR(C64="",K64&lt;&gt;"",D64=""),"",IF(ISNUMBER(Conhecimento!$E$4),Conhecimento!$E$4-D64,""))</f>
        <v/>
      </c>
      <c r="N64" s="17" t="str">
        <f aca="false">IF(C64="","",IF(D64="","Falta a data",IF(F64="","Falta o que aconteceu",IF(G64="","Falta o que aprendemos",IF(H64="","Falta onde incorporar",IF(AND(J64&lt;&gt;"",ISNA(MATCH(J64,Conhecimento!$C$8:$C$47,0))),"Conhecimento não cadastrado",IF(AND(L64="Pendente",N(M64)&gt;60),"Pendente há mais de 60 dias","OK")))))))</f>
        <v/>
      </c>
    </row>
    <row r="65" customFormat="false" ht="30" hidden="false" customHeight="true" outlineLevel="0" collapsed="false">
      <c r="B65" s="12" t="n">
        <v>59</v>
      </c>
      <c r="C65" s="13"/>
      <c r="D65" s="8"/>
      <c r="E65" s="13"/>
      <c r="F65" s="5"/>
      <c r="G65" s="5"/>
      <c r="H65" s="5"/>
      <c r="I65" s="5"/>
      <c r="J65" s="13"/>
      <c r="K65" s="8"/>
      <c r="L65" s="16" t="str">
        <f aca="false">IF(C65="","",IF(K65="","Pendente","Incorporada"))</f>
        <v/>
      </c>
      <c r="M65" s="23" t="str">
        <f aca="false">IF(OR(C65="",K65&lt;&gt;"",D65=""),"",IF(ISNUMBER(Conhecimento!$E$4),Conhecimento!$E$4-D65,""))</f>
        <v/>
      </c>
      <c r="N65" s="17" t="str">
        <f aca="false">IF(C65="","",IF(D65="","Falta a data",IF(F65="","Falta o que aconteceu",IF(G65="","Falta o que aprendemos",IF(H65="","Falta onde incorporar",IF(AND(J65&lt;&gt;"",ISNA(MATCH(J65,Conhecimento!$C$8:$C$47,0))),"Conhecimento não cadastrado",IF(AND(L65="Pendente",N(M65)&gt;60),"Pendente há mais de 60 dias","OK")))))))</f>
        <v/>
      </c>
    </row>
    <row r="66" customFormat="false" ht="30" hidden="false" customHeight="true" outlineLevel="0" collapsed="false">
      <c r="B66" s="12" t="n">
        <v>60</v>
      </c>
      <c r="C66" s="13"/>
      <c r="D66" s="8"/>
      <c r="E66" s="13"/>
      <c r="F66" s="5"/>
      <c r="G66" s="5"/>
      <c r="H66" s="5"/>
      <c r="I66" s="5"/>
      <c r="J66" s="13"/>
      <c r="K66" s="8"/>
      <c r="L66" s="16" t="str">
        <f aca="false">IF(C66="","",IF(K66="","Pendente","Incorporada"))</f>
        <v/>
      </c>
      <c r="M66" s="23" t="str">
        <f aca="false">IF(OR(C66="",K66&lt;&gt;"",D66=""),"",IF(ISNUMBER(Conhecimento!$E$4),Conhecimento!$E$4-D66,""))</f>
        <v/>
      </c>
      <c r="N66" s="17" t="str">
        <f aca="false">IF(C66="","",IF(D66="","Falta a data",IF(F66="","Falta o que aconteceu",IF(G66="","Falta o que aprendemos",IF(H66="","Falta onde incorporar",IF(AND(J66&lt;&gt;"",ISNA(MATCH(J66,Conhecimento!$C$8:$C$47,0))),"Conhecimento não cadastrado",IF(AND(L66="Pendente",N(M66)&gt;60),"Pendente há mais de 60 dias","OK")))))))</f>
        <v/>
      </c>
    </row>
    <row r="68" customFormat="false" ht="21.75" hidden="false" customHeight="true" outlineLevel="0" collapsed="false">
      <c r="B68" s="18" t="s">
        <v>94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customFormat="false" ht="21.75" hidden="false" customHeight="true" outlineLevel="0" collapsed="false">
      <c r="B69" s="19" t="s">
        <v>122</v>
      </c>
      <c r="C69" s="19"/>
      <c r="D69" s="19"/>
      <c r="E69" s="20" t="n">
        <f aca="false">COUNTA(C7:C66)</f>
        <v>0</v>
      </c>
      <c r="F69" s="20"/>
      <c r="G69" s="20"/>
      <c r="H69" s="20"/>
      <c r="I69" s="20"/>
      <c r="J69" s="20"/>
      <c r="K69" s="20"/>
      <c r="L69" s="20"/>
      <c r="M69" s="20"/>
      <c r="N69" s="20"/>
    </row>
    <row r="70" customFormat="false" ht="21.75" hidden="false" customHeight="true" outlineLevel="0" collapsed="false">
      <c r="B70" s="19" t="s">
        <v>96</v>
      </c>
      <c r="C70" s="19"/>
      <c r="D70" s="19"/>
      <c r="E70" s="20" t="str">
        <f aca="false">COUNTIF(L7:L66,"Incorporada")&amp;" incorporada"&amp;", "&amp;COUNTIF(L7:L66,"Pendente")&amp;" pendente"</f>
        <v>0 incorporada, 0 pendente</v>
      </c>
      <c r="F70" s="20"/>
      <c r="G70" s="20"/>
      <c r="H70" s="20"/>
      <c r="I70" s="20"/>
      <c r="J70" s="20"/>
      <c r="K70" s="20"/>
      <c r="L70" s="20"/>
      <c r="M70" s="20"/>
      <c r="N70" s="20"/>
    </row>
    <row r="71" customFormat="false" ht="21.75" hidden="false" customHeight="true" outlineLevel="0" collapsed="false">
      <c r="B71" s="19" t="s">
        <v>97</v>
      </c>
      <c r="C71" s="19"/>
      <c r="D71" s="19"/>
      <c r="E71" s="21" t="str">
        <f aca="false">IF(E69=0,"Registre as lições aprendidas",IF(COUNTIF(N7:N66,"Pendente há mais de 60 dias")&gt;0,"Há lição pendente há mais de 60 dias",IF(SUMPRODUCT((N7:N66&lt;&gt;"")*(N7:N66&lt;&gt;"OK"))&gt;0,"Há lição a completar: veja a coluna Conferência","OK")))</f>
        <v>Registre as lições aprendidas</v>
      </c>
      <c r="F71" s="21"/>
      <c r="G71" s="21"/>
      <c r="H71" s="21"/>
      <c r="I71" s="21"/>
      <c r="J71" s="21"/>
      <c r="K71" s="21"/>
      <c r="L71" s="21"/>
      <c r="M71" s="21"/>
      <c r="N71" s="21"/>
    </row>
  </sheetData>
  <mergeCells count="9">
    <mergeCell ref="B1:N1"/>
    <mergeCell ref="B2:N2"/>
    <mergeCell ref="B68:N68"/>
    <mergeCell ref="B69:D69"/>
    <mergeCell ref="E69:N69"/>
    <mergeCell ref="B70:D70"/>
    <mergeCell ref="E70:N70"/>
    <mergeCell ref="B71:D71"/>
    <mergeCell ref="E71:N71"/>
  </mergeCells>
  <conditionalFormatting sqref="L7:L66">
    <cfRule type="expression" priority="2" aboveAverage="0" equalAverage="0" bottom="0" percent="0" rank="0" text="" dxfId="2">
      <formula>L7="Incorporada"</formula>
    </cfRule>
    <cfRule type="expression" priority="3" aboveAverage="0" equalAverage="0" bottom="0" percent="0" rank="0" text="" dxfId="1">
      <formula>L7="Pendente"</formula>
    </cfRule>
  </conditionalFormatting>
  <conditionalFormatting sqref="N7:N66">
    <cfRule type="expression" priority="4" aboveAverage="0" equalAverage="0" bottom="0" percent="0" rank="0" text="" dxfId="2">
      <formula>N7="OK"</formula>
    </cfRule>
    <cfRule type="expression" priority="5" aboveAverage="0" equalAverage="0" bottom="0" percent="0" rank="0" text="" dxfId="0">
      <formula>N7="Pendente há mais de 60 dias"</formula>
    </cfRule>
    <cfRule type="expression" priority="6" aboveAverage="0" equalAverage="0" bottom="0" percent="0" rank="0" text="" dxfId="3">
      <formula>LEN(N7)&gt;0</formula>
    </cfRule>
  </conditionalFormatting>
  <conditionalFormatting sqref="E71:N71">
    <cfRule type="expression" priority="7" aboveAverage="0" equalAverage="0" bottom="0" percent="0" rank="0" text="" dxfId="2">
      <formula>OR(E71="OK")</formula>
    </cfRule>
    <cfRule type="expression" priority="8" aboveAverage="0" equalAverage="0" bottom="0" percent="0" rank="0" text="" dxfId="3">
      <formula>AND(LEN(E71)&gt;0,NOT(OR(E71="OK")))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D7:D66 K7:K66" type="date">
      <formula1>36526</formula1>
      <formula2>0</formula2>
    </dataValidation>
    <dataValidation allowBlank="true" error="Escolha uma das opções da lista." errorStyle="stop" errorTitle="Valor inválido" operator="between" prompt="De onde veio a lição" promptTitle="Opções" showDropDown="false" showErrorMessage="true" showInputMessage="true" sqref="E7:E66" type="list">
      <formula1>"Reclamação,Pós-entrega,Quebra,Não conformidade,Auditoria,Projeto"</formula1>
      <formula2>0</formula2>
    </dataValidation>
    <dataValidation allowBlank="true" errorStyle="stop" operator="between" prompt="Código do conhecimento, da aba Conhecimento (opcional)" promptTitle="Opções" showDropDown="false" showErrorMessage="false" showInputMessage="true" sqref="J7:J66" type="list">
      <formula1>Conhecimento!$C$8:$C$47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32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123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124</v>
      </c>
      <c r="C2" s="2"/>
      <c r="D2" s="2"/>
      <c r="E2" s="2"/>
      <c r="F2" s="2"/>
      <c r="G2" s="2"/>
      <c r="H2" s="2"/>
      <c r="I2" s="2"/>
      <c r="J2" s="2"/>
    </row>
    <row r="4" customFormat="false" ht="45" hidden="false" customHeight="true" outlineLevel="0" collapsed="false">
      <c r="B4" s="10" t="s">
        <v>73</v>
      </c>
      <c r="C4" s="10" t="s">
        <v>125</v>
      </c>
      <c r="D4" s="10" t="s">
        <v>126</v>
      </c>
      <c r="E4" s="10" t="s">
        <v>127</v>
      </c>
      <c r="F4" s="10" t="s">
        <v>128</v>
      </c>
      <c r="G4" s="10" t="s">
        <v>129</v>
      </c>
      <c r="H4" s="10" t="s">
        <v>130</v>
      </c>
      <c r="I4" s="10" t="s">
        <v>131</v>
      </c>
      <c r="J4" s="10" t="s">
        <v>84</v>
      </c>
    </row>
    <row r="5" customFormat="false" ht="30" hidden="false" customHeight="true" outlineLevel="0" collapsed="false">
      <c r="B5" s="11"/>
      <c r="C5" s="11"/>
      <c r="D5" s="11" t="s">
        <v>132</v>
      </c>
      <c r="E5" s="11" t="s">
        <v>133</v>
      </c>
      <c r="F5" s="11" t="s">
        <v>134</v>
      </c>
      <c r="G5" s="11" t="s">
        <v>135</v>
      </c>
      <c r="H5" s="11" t="s">
        <v>136</v>
      </c>
      <c r="I5" s="11" t="s">
        <v>137</v>
      </c>
      <c r="J5" s="11" t="s">
        <v>93</v>
      </c>
    </row>
    <row r="6" customFormat="false" ht="30" hidden="false" customHeight="true" outlineLevel="0" collapsed="false">
      <c r="B6" s="11" t="s">
        <v>113</v>
      </c>
      <c r="C6" s="9" t="s">
        <v>138</v>
      </c>
      <c r="D6" s="9" t="s">
        <v>139</v>
      </c>
      <c r="E6" s="11" t="n">
        <v>30</v>
      </c>
      <c r="F6" s="11" t="n">
        <v>30</v>
      </c>
      <c r="G6" s="9" t="s">
        <v>140</v>
      </c>
      <c r="H6" s="11" t="n">
        <v>2</v>
      </c>
      <c r="I6" s="9" t="s">
        <v>141</v>
      </c>
      <c r="J6" s="11" t="s">
        <v>121</v>
      </c>
    </row>
    <row r="7" customFormat="false" ht="30" hidden="false" customHeight="true" outlineLevel="0" collapsed="false">
      <c r="B7" s="12" t="n">
        <v>1</v>
      </c>
      <c r="C7" s="5"/>
      <c r="D7" s="5"/>
      <c r="E7" s="14"/>
      <c r="F7" s="14"/>
      <c r="G7" s="5"/>
      <c r="H7" s="14"/>
      <c r="I7" s="5"/>
      <c r="J7" s="17" t="str">
        <f aca="false">IF(C7="","",IF(E7="","Falta o prazo mínimo para reclamar",IF(F7="","Falta o prazo aceito",IF(F7&lt;E7,"Prazo aceito menor que o mínimo",IF(G7="","Falta o que se faz",IF(H7="","Falta o prazo de resposta","OK"))))))</f>
        <v/>
      </c>
    </row>
    <row r="8" customFormat="false" ht="30" hidden="false" customHeight="true" outlineLevel="0" collapsed="false">
      <c r="B8" s="12" t="n">
        <v>2</v>
      </c>
      <c r="C8" s="5"/>
      <c r="D8" s="5"/>
      <c r="E8" s="14"/>
      <c r="F8" s="14"/>
      <c r="G8" s="5"/>
      <c r="H8" s="14"/>
      <c r="I8" s="5"/>
      <c r="J8" s="17" t="str">
        <f aca="false">IF(C8="","",IF(E8="","Falta o prazo mínimo para reclamar",IF(F8="","Falta o prazo aceito",IF(F8&lt;E8,"Prazo aceito menor que o mínimo",IF(G8="","Falta o que se faz",IF(H8="","Falta o prazo de resposta","OK"))))))</f>
        <v/>
      </c>
    </row>
    <row r="9" customFormat="false" ht="30" hidden="false" customHeight="true" outlineLevel="0" collapsed="false">
      <c r="B9" s="12" t="n">
        <v>3</v>
      </c>
      <c r="C9" s="5"/>
      <c r="D9" s="5"/>
      <c r="E9" s="14"/>
      <c r="F9" s="14"/>
      <c r="G9" s="5"/>
      <c r="H9" s="14"/>
      <c r="I9" s="5"/>
      <c r="J9" s="17" t="str">
        <f aca="false">IF(C9="","",IF(E9="","Falta o prazo mínimo para reclamar",IF(F9="","Falta o prazo aceito",IF(F9&lt;E9,"Prazo aceito menor que o mínimo",IF(G9="","Falta o que se faz",IF(H9="","Falta o prazo de resposta","OK"))))))</f>
        <v/>
      </c>
    </row>
    <row r="10" customFormat="false" ht="30" hidden="false" customHeight="true" outlineLevel="0" collapsed="false">
      <c r="B10" s="12" t="n">
        <v>4</v>
      </c>
      <c r="C10" s="5"/>
      <c r="D10" s="5"/>
      <c r="E10" s="14"/>
      <c r="F10" s="14"/>
      <c r="G10" s="5"/>
      <c r="H10" s="14"/>
      <c r="I10" s="5"/>
      <c r="J10" s="17" t="str">
        <f aca="false">IF(C10="","",IF(E10="","Falta o prazo mínimo para reclamar",IF(F10="","Falta o prazo aceito",IF(F10&lt;E10,"Prazo aceito menor que o mínimo",IF(G10="","Falta o que se faz",IF(H10="","Falta o prazo de resposta","OK"))))))</f>
        <v/>
      </c>
    </row>
    <row r="11" customFormat="false" ht="30" hidden="false" customHeight="true" outlineLevel="0" collapsed="false">
      <c r="B11" s="12" t="n">
        <v>5</v>
      </c>
      <c r="C11" s="5"/>
      <c r="D11" s="5"/>
      <c r="E11" s="14"/>
      <c r="F11" s="14"/>
      <c r="G11" s="5"/>
      <c r="H11" s="14"/>
      <c r="I11" s="5"/>
      <c r="J11" s="17" t="str">
        <f aca="false">IF(C11="","",IF(E11="","Falta o prazo mínimo para reclamar",IF(F11="","Falta o prazo aceito",IF(F11&lt;E11,"Prazo aceito menor que o mínimo",IF(G11="","Falta o que se faz",IF(H11="","Falta o prazo de resposta","OK"))))))</f>
        <v/>
      </c>
    </row>
    <row r="12" customFormat="false" ht="30" hidden="false" customHeight="true" outlineLevel="0" collapsed="false">
      <c r="B12" s="12" t="n">
        <v>6</v>
      </c>
      <c r="C12" s="5"/>
      <c r="D12" s="5"/>
      <c r="E12" s="14"/>
      <c r="F12" s="14"/>
      <c r="G12" s="5"/>
      <c r="H12" s="14"/>
      <c r="I12" s="5"/>
      <c r="J12" s="17" t="str">
        <f aca="false">IF(C12="","",IF(E12="","Falta o prazo mínimo para reclamar",IF(F12="","Falta o prazo aceito",IF(F12&lt;E12,"Prazo aceito menor que o mínimo",IF(G12="","Falta o que se faz",IF(H12="","Falta o prazo de resposta","OK"))))))</f>
        <v/>
      </c>
    </row>
    <row r="13" customFormat="false" ht="30" hidden="false" customHeight="true" outlineLevel="0" collapsed="false">
      <c r="B13" s="12" t="n">
        <v>7</v>
      </c>
      <c r="C13" s="5"/>
      <c r="D13" s="5"/>
      <c r="E13" s="14"/>
      <c r="F13" s="14"/>
      <c r="G13" s="5"/>
      <c r="H13" s="14"/>
      <c r="I13" s="5"/>
      <c r="J13" s="17" t="str">
        <f aca="false">IF(C13="","",IF(E13="","Falta o prazo mínimo para reclamar",IF(F13="","Falta o prazo aceito",IF(F13&lt;E13,"Prazo aceito menor que o mínimo",IF(G13="","Falta o que se faz",IF(H13="","Falta o prazo de resposta","OK"))))))</f>
        <v/>
      </c>
    </row>
    <row r="14" customFormat="false" ht="30" hidden="false" customHeight="true" outlineLevel="0" collapsed="false">
      <c r="B14" s="12" t="n">
        <v>8</v>
      </c>
      <c r="C14" s="5"/>
      <c r="D14" s="5"/>
      <c r="E14" s="14"/>
      <c r="F14" s="14"/>
      <c r="G14" s="5"/>
      <c r="H14" s="14"/>
      <c r="I14" s="5"/>
      <c r="J14" s="17" t="str">
        <f aca="false">IF(C14="","",IF(E14="","Falta o prazo mínimo para reclamar",IF(F14="","Falta o prazo aceito",IF(F14&lt;E14,"Prazo aceito menor que o mínimo",IF(G14="","Falta o que se faz",IF(H14="","Falta o prazo de resposta","OK"))))))</f>
        <v/>
      </c>
    </row>
    <row r="15" customFormat="false" ht="30" hidden="false" customHeight="true" outlineLevel="0" collapsed="false">
      <c r="B15" s="12" t="n">
        <v>9</v>
      </c>
      <c r="C15" s="5"/>
      <c r="D15" s="5"/>
      <c r="E15" s="14"/>
      <c r="F15" s="14"/>
      <c r="G15" s="5"/>
      <c r="H15" s="14"/>
      <c r="I15" s="5"/>
      <c r="J15" s="17" t="str">
        <f aca="false">IF(C15="","",IF(E15="","Falta o prazo mínimo para reclamar",IF(F15="","Falta o prazo aceito",IF(F15&lt;E15,"Prazo aceito menor que o mínimo",IF(G15="","Falta o que se faz",IF(H15="","Falta o prazo de resposta","OK"))))))</f>
        <v/>
      </c>
    </row>
    <row r="16" customFormat="false" ht="30" hidden="false" customHeight="true" outlineLevel="0" collapsed="false">
      <c r="B16" s="12" t="n">
        <v>10</v>
      </c>
      <c r="C16" s="5"/>
      <c r="D16" s="5"/>
      <c r="E16" s="14"/>
      <c r="F16" s="14"/>
      <c r="G16" s="5"/>
      <c r="H16" s="14"/>
      <c r="I16" s="5"/>
      <c r="J16" s="17" t="str">
        <f aca="false">IF(C16="","",IF(E16="","Falta o prazo mínimo para reclamar",IF(F16="","Falta o prazo aceito",IF(F16&lt;E16,"Prazo aceito menor que o mínimo",IF(G16="","Falta o que se faz",IF(H16="","Falta o prazo de resposta","OK"))))))</f>
        <v/>
      </c>
    </row>
    <row r="17" customFormat="false" ht="30" hidden="false" customHeight="true" outlineLevel="0" collapsed="false">
      <c r="B17" s="12" t="n">
        <v>11</v>
      </c>
      <c r="C17" s="5"/>
      <c r="D17" s="5"/>
      <c r="E17" s="14"/>
      <c r="F17" s="14"/>
      <c r="G17" s="5"/>
      <c r="H17" s="14"/>
      <c r="I17" s="5"/>
      <c r="J17" s="17" t="str">
        <f aca="false">IF(C17="","",IF(E17="","Falta o prazo mínimo para reclamar",IF(F17="","Falta o prazo aceito",IF(F17&lt;E17,"Prazo aceito menor que o mínimo",IF(G17="","Falta o que se faz",IF(H17="","Falta o prazo de resposta","OK"))))))</f>
        <v/>
      </c>
    </row>
    <row r="18" customFormat="false" ht="30" hidden="false" customHeight="true" outlineLevel="0" collapsed="false">
      <c r="B18" s="12" t="n">
        <v>12</v>
      </c>
      <c r="C18" s="5"/>
      <c r="D18" s="5"/>
      <c r="E18" s="14"/>
      <c r="F18" s="14"/>
      <c r="G18" s="5"/>
      <c r="H18" s="14"/>
      <c r="I18" s="5"/>
      <c r="J18" s="17" t="str">
        <f aca="false">IF(C18="","",IF(E18="","Falta o prazo mínimo para reclamar",IF(F18="","Falta o prazo aceito",IF(F18&lt;E18,"Prazo aceito menor que o mínimo",IF(G18="","Falta o que se faz",IF(H18="","Falta o prazo de resposta","OK"))))))</f>
        <v/>
      </c>
    </row>
    <row r="19" customFormat="false" ht="30" hidden="false" customHeight="true" outlineLevel="0" collapsed="false">
      <c r="B19" s="12" t="n">
        <v>13</v>
      </c>
      <c r="C19" s="5"/>
      <c r="D19" s="5"/>
      <c r="E19" s="14"/>
      <c r="F19" s="14"/>
      <c r="G19" s="5"/>
      <c r="H19" s="14"/>
      <c r="I19" s="5"/>
      <c r="J19" s="17" t="str">
        <f aca="false">IF(C19="","",IF(E19="","Falta o prazo mínimo para reclamar",IF(F19="","Falta o prazo aceito",IF(F19&lt;E19,"Prazo aceito menor que o mínimo",IF(G19="","Falta o que se faz",IF(H19="","Falta o prazo de resposta","OK"))))))</f>
        <v/>
      </c>
    </row>
    <row r="20" customFormat="false" ht="30" hidden="false" customHeight="true" outlineLevel="0" collapsed="false">
      <c r="B20" s="12" t="n">
        <v>14</v>
      </c>
      <c r="C20" s="5"/>
      <c r="D20" s="5"/>
      <c r="E20" s="14"/>
      <c r="F20" s="14"/>
      <c r="G20" s="5"/>
      <c r="H20" s="14"/>
      <c r="I20" s="5"/>
      <c r="J20" s="17" t="str">
        <f aca="false">IF(C20="","",IF(E20="","Falta o prazo mínimo para reclamar",IF(F20="","Falta o prazo aceito",IF(F20&lt;E20,"Prazo aceito menor que o mínimo",IF(G20="","Falta o que se faz",IF(H20="","Falta o prazo de resposta","OK"))))))</f>
        <v/>
      </c>
    </row>
    <row r="21" customFormat="false" ht="30" hidden="false" customHeight="true" outlineLevel="0" collapsed="false">
      <c r="B21" s="12" t="n">
        <v>15</v>
      </c>
      <c r="C21" s="5"/>
      <c r="D21" s="5"/>
      <c r="E21" s="14"/>
      <c r="F21" s="14"/>
      <c r="G21" s="5"/>
      <c r="H21" s="14"/>
      <c r="I21" s="5"/>
      <c r="J21" s="17" t="str">
        <f aca="false">IF(C21="","",IF(E21="","Falta o prazo mínimo para reclamar",IF(F21="","Falta o prazo aceito",IF(F21&lt;E21,"Prazo aceito menor que o mínimo",IF(G21="","Falta o que se faz",IF(H21="","Falta o prazo de resposta","OK"))))))</f>
        <v/>
      </c>
    </row>
    <row r="22" customFormat="false" ht="30" hidden="false" customHeight="true" outlineLevel="0" collapsed="false">
      <c r="B22" s="12" t="n">
        <v>16</v>
      </c>
      <c r="C22" s="5"/>
      <c r="D22" s="5"/>
      <c r="E22" s="14"/>
      <c r="F22" s="14"/>
      <c r="G22" s="5"/>
      <c r="H22" s="14"/>
      <c r="I22" s="5"/>
      <c r="J22" s="17" t="str">
        <f aca="false">IF(C22="","",IF(E22="","Falta o prazo mínimo para reclamar",IF(F22="","Falta o prazo aceito",IF(F22&lt;E22,"Prazo aceito menor que o mínimo",IF(G22="","Falta o que se faz",IF(H22="","Falta o prazo de resposta","OK"))))))</f>
        <v/>
      </c>
    </row>
    <row r="23" customFormat="false" ht="30" hidden="false" customHeight="true" outlineLevel="0" collapsed="false">
      <c r="B23" s="12" t="n">
        <v>17</v>
      </c>
      <c r="C23" s="5"/>
      <c r="D23" s="5"/>
      <c r="E23" s="14"/>
      <c r="F23" s="14"/>
      <c r="G23" s="5"/>
      <c r="H23" s="14"/>
      <c r="I23" s="5"/>
      <c r="J23" s="17" t="str">
        <f aca="false">IF(C23="","",IF(E23="","Falta o prazo mínimo para reclamar",IF(F23="","Falta o prazo aceito",IF(F23&lt;E23,"Prazo aceito menor que o mínimo",IF(G23="","Falta o que se faz",IF(H23="","Falta o prazo de resposta","OK"))))))</f>
        <v/>
      </c>
    </row>
    <row r="24" customFormat="false" ht="30" hidden="false" customHeight="true" outlineLevel="0" collapsed="false">
      <c r="B24" s="12" t="n">
        <v>18</v>
      </c>
      <c r="C24" s="5"/>
      <c r="D24" s="5"/>
      <c r="E24" s="14"/>
      <c r="F24" s="14"/>
      <c r="G24" s="5"/>
      <c r="H24" s="14"/>
      <c r="I24" s="5"/>
      <c r="J24" s="17" t="str">
        <f aca="false">IF(C24="","",IF(E24="","Falta o prazo mínimo para reclamar",IF(F24="","Falta o prazo aceito",IF(F24&lt;E24,"Prazo aceito menor que o mínimo",IF(G24="","Falta o que se faz",IF(H24="","Falta o prazo de resposta","OK"))))))</f>
        <v/>
      </c>
    </row>
    <row r="25" customFormat="false" ht="30" hidden="false" customHeight="true" outlineLevel="0" collapsed="false">
      <c r="B25" s="12" t="n">
        <v>19</v>
      </c>
      <c r="C25" s="5"/>
      <c r="D25" s="5"/>
      <c r="E25" s="14"/>
      <c r="F25" s="14"/>
      <c r="G25" s="5"/>
      <c r="H25" s="14"/>
      <c r="I25" s="5"/>
      <c r="J25" s="17" t="str">
        <f aca="false">IF(C25="","",IF(E25="","Falta o prazo mínimo para reclamar",IF(F25="","Falta o prazo aceito",IF(F25&lt;E25,"Prazo aceito menor que o mínimo",IF(G25="","Falta o que se faz",IF(H25="","Falta o prazo de resposta","OK"))))))</f>
        <v/>
      </c>
    </row>
    <row r="26" customFormat="false" ht="30" hidden="false" customHeight="true" outlineLevel="0" collapsed="false">
      <c r="B26" s="12" t="n">
        <v>20</v>
      </c>
      <c r="C26" s="5"/>
      <c r="D26" s="5"/>
      <c r="E26" s="14"/>
      <c r="F26" s="14"/>
      <c r="G26" s="5"/>
      <c r="H26" s="14"/>
      <c r="I26" s="5"/>
      <c r="J26" s="17" t="str">
        <f aca="false">IF(C26="","",IF(E26="","Falta o prazo mínimo para reclamar",IF(F26="","Falta o prazo aceito",IF(F26&lt;E26,"Prazo aceito menor que o mínimo",IF(G26="","Falta o que se faz",IF(H26="","Falta o prazo de resposta","OK"))))))</f>
        <v/>
      </c>
    </row>
    <row r="28" customFormat="false" ht="21.75" hidden="false" customHeight="true" outlineLevel="0" collapsed="false">
      <c r="B28" s="18" t="s">
        <v>94</v>
      </c>
      <c r="C28" s="18"/>
      <c r="D28" s="18"/>
      <c r="E28" s="18"/>
      <c r="F28" s="18"/>
      <c r="G28" s="18"/>
      <c r="H28" s="18"/>
      <c r="I28" s="18"/>
      <c r="J28" s="18"/>
    </row>
    <row r="29" customFormat="false" ht="21.75" hidden="false" customHeight="true" outlineLevel="0" collapsed="false">
      <c r="B29" s="19" t="s">
        <v>142</v>
      </c>
      <c r="C29" s="19"/>
      <c r="D29" s="19"/>
      <c r="E29" s="20" t="n">
        <f aca="false">COUNTA(C7:C26)</f>
        <v>0</v>
      </c>
      <c r="F29" s="20"/>
      <c r="G29" s="20"/>
      <c r="H29" s="20"/>
      <c r="I29" s="20"/>
      <c r="J29" s="20"/>
    </row>
    <row r="30" customFormat="false" ht="21.75" hidden="false" customHeight="true" outlineLevel="0" collapsed="false">
      <c r="B30" s="19" t="s">
        <v>97</v>
      </c>
      <c r="C30" s="19"/>
      <c r="D30" s="19"/>
      <c r="E30" s="21" t="str">
        <f aca="false">IF(E29=0,"Escreva a política de cada produto",IF(COUNTIF(J7:J26,"Prazo aceito menor que o mínimo")&gt;0,"Há prazo aceito menor que o mínimo da lei ou do contrato",IF(SUMPRODUCT((J7:J26&lt;&gt;"")*(J7:J26&lt;&gt;"OK"))&gt;0,"Há política a completar: veja a coluna Conferência","OK")))</f>
        <v>Escreva a política de cada produto</v>
      </c>
      <c r="F30" s="21"/>
      <c r="G30" s="21"/>
      <c r="H30" s="21"/>
      <c r="I30" s="21"/>
      <c r="J30" s="21"/>
    </row>
  </sheetData>
  <mergeCells count="7">
    <mergeCell ref="B1:J1"/>
    <mergeCell ref="B2:J2"/>
    <mergeCell ref="B28:J28"/>
    <mergeCell ref="B29:D29"/>
    <mergeCell ref="E29:J29"/>
    <mergeCell ref="B30:D30"/>
    <mergeCell ref="E30:J30"/>
  </mergeCells>
  <conditionalFormatting sqref="J7:J26">
    <cfRule type="expression" priority="2" aboveAverage="0" equalAverage="0" bottom="0" percent="0" rank="0" text="" dxfId="2">
      <formula>J7="OK"</formula>
    </cfRule>
    <cfRule type="expression" priority="3" aboveAverage="0" equalAverage="0" bottom="0" percent="0" rank="0" text="" dxfId="0">
      <formula>J7="Prazo aceito menor que o mínimo"</formula>
    </cfRule>
    <cfRule type="expression" priority="4" aboveAverage="0" equalAverage="0" bottom="0" percent="0" rank="0" text="" dxfId="3">
      <formula>LEN(J7)&gt;0</formula>
    </cfRule>
  </conditionalFormatting>
  <conditionalFormatting sqref="E30:J30">
    <cfRule type="expression" priority="5" aboveAverage="0" equalAverage="0" bottom="0" percent="0" rank="0" text="" dxfId="2">
      <formula>OR(E30="OK")</formula>
    </cfRule>
    <cfRule type="expression" priority="6" aboveAverage="0" equalAverage="0" bottom="0" percent="0" rank="0" text="" dxfId="3">
      <formula>AND(LEN(E30)&gt;0,NOT(OR(E30="OK")))</formula>
    </cfRule>
  </conditionalFormatting>
  <dataValidations count="2">
    <dataValidation allowBlank="true" error="Digite apenas o número, sem texto nem unidade." errorStyle="stop" errorTitle="Valor inválido" operator="between" showDropDown="false" showErrorMessage="true" showInputMessage="false" sqref="E7:F2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H7:H2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P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30"/>
    <col collapsed="false" customWidth="true" hidden="false" outlineLevel="0" max="14" min="12" style="0" width="8"/>
    <col collapsed="false" customWidth="true" hidden="false" outlineLevel="0" max="15" min="15" style="0" width="15"/>
    <col collapsed="false" customWidth="true" hidden="false" outlineLevel="0" max="16" min="16" style="0" width="26"/>
    <col collapsed="false" customWidth="true" hidden="false" outlineLevel="0" max="17" min="17" style="0" width="2"/>
  </cols>
  <sheetData>
    <row r="1" customFormat="false" ht="31.5" hidden="false" customHeight="true" outlineLevel="0" collapsed="false">
      <c r="B1" s="1" t="s">
        <v>143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144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3" hidden="false" customHeight="true" outlineLevel="0" collapsed="false">
      <c r="B4" s="10" t="s">
        <v>73</v>
      </c>
      <c r="C4" s="10" t="s">
        <v>100</v>
      </c>
      <c r="D4" s="10" t="s">
        <v>145</v>
      </c>
      <c r="E4" s="10" t="s">
        <v>146</v>
      </c>
      <c r="F4" s="10" t="s">
        <v>147</v>
      </c>
      <c r="G4" s="10" t="s">
        <v>148</v>
      </c>
      <c r="H4" s="10" t="s">
        <v>149</v>
      </c>
      <c r="I4" s="10" t="s">
        <v>150</v>
      </c>
      <c r="J4" s="10" t="s">
        <v>151</v>
      </c>
      <c r="K4" s="10" t="s">
        <v>28</v>
      </c>
      <c r="L4" s="10" t="s">
        <v>152</v>
      </c>
      <c r="M4" s="10" t="s">
        <v>81</v>
      </c>
      <c r="N4" s="10" t="s">
        <v>153</v>
      </c>
      <c r="O4" s="10" t="s">
        <v>83</v>
      </c>
      <c r="P4" s="10" t="s">
        <v>84</v>
      </c>
    </row>
    <row r="5" customFormat="false" ht="30" hidden="false" customHeight="true" outlineLevel="0" collapsed="false">
      <c r="B5" s="11"/>
      <c r="C5" s="11" t="s">
        <v>154</v>
      </c>
      <c r="D5" s="11" t="s">
        <v>91</v>
      </c>
      <c r="E5" s="11"/>
      <c r="F5" s="11" t="s">
        <v>87</v>
      </c>
      <c r="G5" s="11" t="s">
        <v>87</v>
      </c>
      <c r="H5" s="11" t="s">
        <v>155</v>
      </c>
      <c r="I5" s="11" t="s">
        <v>156</v>
      </c>
      <c r="J5" s="11" t="s">
        <v>157</v>
      </c>
      <c r="K5" s="11" t="s">
        <v>158</v>
      </c>
      <c r="L5" s="11" t="s">
        <v>100</v>
      </c>
      <c r="M5" s="11" t="s">
        <v>92</v>
      </c>
      <c r="N5" s="11" t="s">
        <v>92</v>
      </c>
      <c r="O5" s="11" t="s">
        <v>93</v>
      </c>
      <c r="P5" s="11" t="s">
        <v>93</v>
      </c>
    </row>
    <row r="6" customFormat="false" ht="30" hidden="false" customHeight="true" outlineLevel="0" collapsed="false">
      <c r="B6" s="11" t="s">
        <v>113</v>
      </c>
      <c r="C6" s="11" t="s">
        <v>154</v>
      </c>
      <c r="D6" s="22" t="n">
        <v>46510</v>
      </c>
      <c r="E6" s="9" t="s">
        <v>159</v>
      </c>
      <c r="F6" s="9" t="s">
        <v>160</v>
      </c>
      <c r="G6" s="11" t="s">
        <v>114</v>
      </c>
      <c r="H6" s="9" t="s">
        <v>161</v>
      </c>
      <c r="I6" s="22" t="n">
        <v>46510</v>
      </c>
      <c r="J6" s="24" t="n">
        <v>45</v>
      </c>
      <c r="K6" s="9" t="s">
        <v>162</v>
      </c>
      <c r="L6" s="11" t="s">
        <v>108</v>
      </c>
      <c r="M6" s="11" t="n">
        <v>1</v>
      </c>
      <c r="N6" s="11" t="n">
        <v>0</v>
      </c>
      <c r="O6" s="11" t="s">
        <v>163</v>
      </c>
      <c r="P6" s="11" t="s">
        <v>121</v>
      </c>
    </row>
    <row r="7" customFormat="false" ht="30" hidden="false" customHeight="true" outlineLevel="0" collapsed="false">
      <c r="B7" s="12" t="n">
        <v>1</v>
      </c>
      <c r="C7" s="13"/>
      <c r="D7" s="8"/>
      <c r="E7" s="5"/>
      <c r="F7" s="5"/>
      <c r="G7" s="13"/>
      <c r="H7" s="5"/>
      <c r="I7" s="8"/>
      <c r="J7" s="25"/>
      <c r="K7" s="5"/>
      <c r="L7" s="13"/>
      <c r="M7" s="23" t="str">
        <f aca="false">IF(F7="","",IFERROR(IF(INDEX('Pós-entrega'!$H$7:$H$26,MATCH(F7,'Pós-entrega'!$C$7:$C$26,0))="","",INDEX('Pós-entrega'!$H$7:$H$26,MATCH(F7,'Pós-entrega'!$C$7:$C$26,0))),""))</f>
        <v/>
      </c>
      <c r="N7" s="15" t="str">
        <f aca="false">IF(D7="","",IF(I7&lt;&gt;"",I7-D7,IF(ISNUMBER(Conhecimento!$E$4),Conhecimento!$E$4-D7,"")))</f>
        <v/>
      </c>
      <c r="O7" s="16" t="str">
        <f aca="false">IF(OR(M7="",N7=""),"",IF(I7&lt;&gt;"",IF(N7&lt;=M7,"No prazo","Fora do prazo"),IF(N7&lt;=M7,"Aberto no prazo","Aberto e atrasado")))</f>
        <v/>
      </c>
      <c r="P7" s="17" t="str">
        <f aca="false">IF(AND(C7="",COUNTA(D7:L7)=0),"",IF(ISNA(MATCH(F7,'Pós-entrega'!$C$7:$C$26,0)),"Produto sem política",IF(D7="","Falta a data de abertura",IF(G7="","Falta o tipo",IF(AND(I7&lt;&gt;"",OR(G7="Reclamação",G7="Garantia",G7="Devolução"),K7=""),"Falta a causa",IF(AND(L7&lt;&gt;"",ISNA(MATCH(L7,Lições!$C$7:$C$66,0))),"Lição não encontrada","OK"))))))</f>
        <v/>
      </c>
    </row>
    <row r="8" customFormat="false" ht="30" hidden="false" customHeight="true" outlineLevel="0" collapsed="false">
      <c r="B8" s="12" t="n">
        <v>2</v>
      </c>
      <c r="C8" s="13"/>
      <c r="D8" s="8"/>
      <c r="E8" s="5"/>
      <c r="F8" s="5"/>
      <c r="G8" s="13"/>
      <c r="H8" s="5"/>
      <c r="I8" s="8"/>
      <c r="J8" s="25"/>
      <c r="K8" s="5"/>
      <c r="L8" s="13"/>
      <c r="M8" s="23" t="str">
        <f aca="false">IF(F8="","",IFERROR(IF(INDEX('Pós-entrega'!$H$7:$H$26,MATCH(F8,'Pós-entrega'!$C$7:$C$26,0))="","",INDEX('Pós-entrega'!$H$7:$H$26,MATCH(F8,'Pós-entrega'!$C$7:$C$26,0))),""))</f>
        <v/>
      </c>
      <c r="N8" s="15" t="str">
        <f aca="false">IF(D8="","",IF(I8&lt;&gt;"",I8-D8,IF(ISNUMBER(Conhecimento!$E$4),Conhecimento!$E$4-D8,"")))</f>
        <v/>
      </c>
      <c r="O8" s="16" t="str">
        <f aca="false">IF(OR(M8="",N8=""),"",IF(I8&lt;&gt;"",IF(N8&lt;=M8,"No prazo","Fora do prazo"),IF(N8&lt;=M8,"Aberto no prazo","Aberto e atrasado")))</f>
        <v/>
      </c>
      <c r="P8" s="17" t="str">
        <f aca="false">IF(AND(C8="",COUNTA(D8:L8)=0),"",IF(ISNA(MATCH(F8,'Pós-entrega'!$C$7:$C$26,0)),"Produto sem política",IF(D8="","Falta a data de abertura",IF(G8="","Falta o tipo",IF(AND(I8&lt;&gt;"",OR(G8="Reclamação",G8="Garantia",G8="Devolução"),K8=""),"Falta a causa",IF(AND(L8&lt;&gt;"",ISNA(MATCH(L8,Lições!$C$7:$C$66,0))),"Lição não encontrada","OK"))))))</f>
        <v/>
      </c>
    </row>
    <row r="9" customFormat="false" ht="30" hidden="false" customHeight="true" outlineLevel="0" collapsed="false">
      <c r="B9" s="12" t="n">
        <v>3</v>
      </c>
      <c r="C9" s="13"/>
      <c r="D9" s="8"/>
      <c r="E9" s="5"/>
      <c r="F9" s="5"/>
      <c r="G9" s="13"/>
      <c r="H9" s="5"/>
      <c r="I9" s="8"/>
      <c r="J9" s="25"/>
      <c r="K9" s="5"/>
      <c r="L9" s="13"/>
      <c r="M9" s="23" t="str">
        <f aca="false">IF(F9="","",IFERROR(IF(INDEX('Pós-entrega'!$H$7:$H$26,MATCH(F9,'Pós-entrega'!$C$7:$C$26,0))="","",INDEX('Pós-entrega'!$H$7:$H$26,MATCH(F9,'Pós-entrega'!$C$7:$C$26,0))),""))</f>
        <v/>
      </c>
      <c r="N9" s="15" t="str">
        <f aca="false">IF(D9="","",IF(I9&lt;&gt;"",I9-D9,IF(ISNUMBER(Conhecimento!$E$4),Conhecimento!$E$4-D9,"")))</f>
        <v/>
      </c>
      <c r="O9" s="16" t="str">
        <f aca="false">IF(OR(M9="",N9=""),"",IF(I9&lt;&gt;"",IF(N9&lt;=M9,"No prazo","Fora do prazo"),IF(N9&lt;=M9,"Aberto no prazo","Aberto e atrasado")))</f>
        <v/>
      </c>
      <c r="P9" s="17" t="str">
        <f aca="false">IF(AND(C9="",COUNTA(D9:L9)=0),"",IF(ISNA(MATCH(F9,'Pós-entrega'!$C$7:$C$26,0)),"Produto sem política",IF(D9="","Falta a data de abertura",IF(G9="","Falta o tipo",IF(AND(I9&lt;&gt;"",OR(G9="Reclamação",G9="Garantia",G9="Devolução"),K9=""),"Falta a causa",IF(AND(L9&lt;&gt;"",ISNA(MATCH(L9,Lições!$C$7:$C$66,0))),"Lição não encontrada","OK"))))))</f>
        <v/>
      </c>
    </row>
    <row r="10" customFormat="false" ht="30" hidden="false" customHeight="true" outlineLevel="0" collapsed="false">
      <c r="B10" s="12" t="n">
        <v>4</v>
      </c>
      <c r="C10" s="13"/>
      <c r="D10" s="8"/>
      <c r="E10" s="5"/>
      <c r="F10" s="5"/>
      <c r="G10" s="13"/>
      <c r="H10" s="5"/>
      <c r="I10" s="8"/>
      <c r="J10" s="25"/>
      <c r="K10" s="5"/>
      <c r="L10" s="13"/>
      <c r="M10" s="23" t="str">
        <f aca="false">IF(F10="","",IFERROR(IF(INDEX('Pós-entrega'!$H$7:$H$26,MATCH(F10,'Pós-entrega'!$C$7:$C$26,0))="","",INDEX('Pós-entrega'!$H$7:$H$26,MATCH(F10,'Pós-entrega'!$C$7:$C$26,0))),""))</f>
        <v/>
      </c>
      <c r="N10" s="15" t="str">
        <f aca="false">IF(D10="","",IF(I10&lt;&gt;"",I10-D10,IF(ISNUMBER(Conhecimento!$E$4),Conhecimento!$E$4-D10,"")))</f>
        <v/>
      </c>
      <c r="O10" s="16" t="str">
        <f aca="false">IF(OR(M10="",N10=""),"",IF(I10&lt;&gt;"",IF(N10&lt;=M10,"No prazo","Fora do prazo"),IF(N10&lt;=M10,"Aberto no prazo","Aberto e atrasado")))</f>
        <v/>
      </c>
      <c r="P10" s="17" t="str">
        <f aca="false">IF(AND(C10="",COUNTA(D10:L10)=0),"",IF(ISNA(MATCH(F10,'Pós-entrega'!$C$7:$C$26,0)),"Produto sem política",IF(D10="","Falta a data de abertura",IF(G10="","Falta o tipo",IF(AND(I10&lt;&gt;"",OR(G10="Reclamação",G10="Garantia",G10="Devolução"),K10=""),"Falta a causa",IF(AND(L10&lt;&gt;"",ISNA(MATCH(L10,Lições!$C$7:$C$66,0))),"Lição não encontrada","OK"))))))</f>
        <v/>
      </c>
    </row>
    <row r="11" customFormat="false" ht="30" hidden="false" customHeight="true" outlineLevel="0" collapsed="false">
      <c r="B11" s="12" t="n">
        <v>5</v>
      </c>
      <c r="C11" s="13"/>
      <c r="D11" s="8"/>
      <c r="E11" s="5"/>
      <c r="F11" s="5"/>
      <c r="G11" s="13"/>
      <c r="H11" s="5"/>
      <c r="I11" s="8"/>
      <c r="J11" s="25"/>
      <c r="K11" s="5"/>
      <c r="L11" s="13"/>
      <c r="M11" s="23" t="str">
        <f aca="false">IF(F11="","",IFERROR(IF(INDEX('Pós-entrega'!$H$7:$H$26,MATCH(F11,'Pós-entrega'!$C$7:$C$26,0))="","",INDEX('Pós-entrega'!$H$7:$H$26,MATCH(F11,'Pós-entrega'!$C$7:$C$26,0))),""))</f>
        <v/>
      </c>
      <c r="N11" s="15" t="str">
        <f aca="false">IF(D11="","",IF(I11&lt;&gt;"",I11-D11,IF(ISNUMBER(Conhecimento!$E$4),Conhecimento!$E$4-D11,"")))</f>
        <v/>
      </c>
      <c r="O11" s="16" t="str">
        <f aca="false">IF(OR(M11="",N11=""),"",IF(I11&lt;&gt;"",IF(N11&lt;=M11,"No prazo","Fora do prazo"),IF(N11&lt;=M11,"Aberto no prazo","Aberto e atrasado")))</f>
        <v/>
      </c>
      <c r="P11" s="17" t="str">
        <f aca="false">IF(AND(C11="",COUNTA(D11:L11)=0),"",IF(ISNA(MATCH(F11,'Pós-entrega'!$C$7:$C$26,0)),"Produto sem política",IF(D11="","Falta a data de abertura",IF(G11="","Falta o tipo",IF(AND(I11&lt;&gt;"",OR(G11="Reclamação",G11="Garantia",G11="Devolução"),K11=""),"Falta a causa",IF(AND(L11&lt;&gt;"",ISNA(MATCH(L11,Lições!$C$7:$C$66,0))),"Lição não encontrada","OK"))))))</f>
        <v/>
      </c>
    </row>
    <row r="12" customFormat="false" ht="30" hidden="false" customHeight="true" outlineLevel="0" collapsed="false">
      <c r="B12" s="12" t="n">
        <v>6</v>
      </c>
      <c r="C12" s="13"/>
      <c r="D12" s="8"/>
      <c r="E12" s="5"/>
      <c r="F12" s="5"/>
      <c r="G12" s="13"/>
      <c r="H12" s="5"/>
      <c r="I12" s="8"/>
      <c r="J12" s="25"/>
      <c r="K12" s="5"/>
      <c r="L12" s="13"/>
      <c r="M12" s="23" t="str">
        <f aca="false">IF(F12="","",IFERROR(IF(INDEX('Pós-entrega'!$H$7:$H$26,MATCH(F12,'Pós-entrega'!$C$7:$C$26,0))="","",INDEX('Pós-entrega'!$H$7:$H$26,MATCH(F12,'Pós-entrega'!$C$7:$C$26,0))),""))</f>
        <v/>
      </c>
      <c r="N12" s="15" t="str">
        <f aca="false">IF(D12="","",IF(I12&lt;&gt;"",I12-D12,IF(ISNUMBER(Conhecimento!$E$4),Conhecimento!$E$4-D12,"")))</f>
        <v/>
      </c>
      <c r="O12" s="16" t="str">
        <f aca="false">IF(OR(M12="",N12=""),"",IF(I12&lt;&gt;"",IF(N12&lt;=M12,"No prazo","Fora do prazo"),IF(N12&lt;=M12,"Aberto no prazo","Aberto e atrasado")))</f>
        <v/>
      </c>
      <c r="P12" s="17" t="str">
        <f aca="false">IF(AND(C12="",COUNTA(D12:L12)=0),"",IF(ISNA(MATCH(F12,'Pós-entrega'!$C$7:$C$26,0)),"Produto sem política",IF(D12="","Falta a data de abertura",IF(G12="","Falta o tipo",IF(AND(I12&lt;&gt;"",OR(G12="Reclamação",G12="Garantia",G12="Devolução"),K12=""),"Falta a causa",IF(AND(L12&lt;&gt;"",ISNA(MATCH(L12,Lições!$C$7:$C$66,0))),"Lição não encontrada","OK"))))))</f>
        <v/>
      </c>
    </row>
    <row r="13" customFormat="false" ht="30" hidden="false" customHeight="true" outlineLevel="0" collapsed="false">
      <c r="B13" s="12" t="n">
        <v>7</v>
      </c>
      <c r="C13" s="13"/>
      <c r="D13" s="8"/>
      <c r="E13" s="5"/>
      <c r="F13" s="5"/>
      <c r="G13" s="13"/>
      <c r="H13" s="5"/>
      <c r="I13" s="8"/>
      <c r="J13" s="25"/>
      <c r="K13" s="5"/>
      <c r="L13" s="13"/>
      <c r="M13" s="23" t="str">
        <f aca="false">IF(F13="","",IFERROR(IF(INDEX('Pós-entrega'!$H$7:$H$26,MATCH(F13,'Pós-entrega'!$C$7:$C$26,0))="","",INDEX('Pós-entrega'!$H$7:$H$26,MATCH(F13,'Pós-entrega'!$C$7:$C$26,0))),""))</f>
        <v/>
      </c>
      <c r="N13" s="15" t="str">
        <f aca="false">IF(D13="","",IF(I13&lt;&gt;"",I13-D13,IF(ISNUMBER(Conhecimento!$E$4),Conhecimento!$E$4-D13,"")))</f>
        <v/>
      </c>
      <c r="O13" s="16" t="str">
        <f aca="false">IF(OR(M13="",N13=""),"",IF(I13&lt;&gt;"",IF(N13&lt;=M13,"No prazo","Fora do prazo"),IF(N13&lt;=M13,"Aberto no prazo","Aberto e atrasado")))</f>
        <v/>
      </c>
      <c r="P13" s="17" t="str">
        <f aca="false">IF(AND(C13="",COUNTA(D13:L13)=0),"",IF(ISNA(MATCH(F13,'Pós-entrega'!$C$7:$C$26,0)),"Produto sem política",IF(D13="","Falta a data de abertura",IF(G13="","Falta o tipo",IF(AND(I13&lt;&gt;"",OR(G13="Reclamação",G13="Garantia",G13="Devolução"),K13=""),"Falta a causa",IF(AND(L13&lt;&gt;"",ISNA(MATCH(L13,Lições!$C$7:$C$66,0))),"Lição não encontrada","OK"))))))</f>
        <v/>
      </c>
    </row>
    <row r="14" customFormat="false" ht="30" hidden="false" customHeight="true" outlineLevel="0" collapsed="false">
      <c r="B14" s="12" t="n">
        <v>8</v>
      </c>
      <c r="C14" s="13"/>
      <c r="D14" s="8"/>
      <c r="E14" s="5"/>
      <c r="F14" s="5"/>
      <c r="G14" s="13"/>
      <c r="H14" s="5"/>
      <c r="I14" s="8"/>
      <c r="J14" s="25"/>
      <c r="K14" s="5"/>
      <c r="L14" s="13"/>
      <c r="M14" s="23" t="str">
        <f aca="false">IF(F14="","",IFERROR(IF(INDEX('Pós-entrega'!$H$7:$H$26,MATCH(F14,'Pós-entrega'!$C$7:$C$26,0))="","",INDEX('Pós-entrega'!$H$7:$H$26,MATCH(F14,'Pós-entrega'!$C$7:$C$26,0))),""))</f>
        <v/>
      </c>
      <c r="N14" s="15" t="str">
        <f aca="false">IF(D14="","",IF(I14&lt;&gt;"",I14-D14,IF(ISNUMBER(Conhecimento!$E$4),Conhecimento!$E$4-D14,"")))</f>
        <v/>
      </c>
      <c r="O14" s="16" t="str">
        <f aca="false">IF(OR(M14="",N14=""),"",IF(I14&lt;&gt;"",IF(N14&lt;=M14,"No prazo","Fora do prazo"),IF(N14&lt;=M14,"Aberto no prazo","Aberto e atrasado")))</f>
        <v/>
      </c>
      <c r="P14" s="17" t="str">
        <f aca="false">IF(AND(C14="",COUNTA(D14:L14)=0),"",IF(ISNA(MATCH(F14,'Pós-entrega'!$C$7:$C$26,0)),"Produto sem política",IF(D14="","Falta a data de abertura",IF(G14="","Falta o tipo",IF(AND(I14&lt;&gt;"",OR(G14="Reclamação",G14="Garantia",G14="Devolução"),K14=""),"Falta a causa",IF(AND(L14&lt;&gt;"",ISNA(MATCH(L14,Lições!$C$7:$C$66,0))),"Lição não encontrada","OK"))))))</f>
        <v/>
      </c>
    </row>
    <row r="15" customFormat="false" ht="30" hidden="false" customHeight="true" outlineLevel="0" collapsed="false">
      <c r="B15" s="12" t="n">
        <v>9</v>
      </c>
      <c r="C15" s="13"/>
      <c r="D15" s="8"/>
      <c r="E15" s="5"/>
      <c r="F15" s="5"/>
      <c r="G15" s="13"/>
      <c r="H15" s="5"/>
      <c r="I15" s="8"/>
      <c r="J15" s="25"/>
      <c r="K15" s="5"/>
      <c r="L15" s="13"/>
      <c r="M15" s="23" t="str">
        <f aca="false">IF(F15="","",IFERROR(IF(INDEX('Pós-entrega'!$H$7:$H$26,MATCH(F15,'Pós-entrega'!$C$7:$C$26,0))="","",INDEX('Pós-entrega'!$H$7:$H$26,MATCH(F15,'Pós-entrega'!$C$7:$C$26,0))),""))</f>
        <v/>
      </c>
      <c r="N15" s="15" t="str">
        <f aca="false">IF(D15="","",IF(I15&lt;&gt;"",I15-D15,IF(ISNUMBER(Conhecimento!$E$4),Conhecimento!$E$4-D15,"")))</f>
        <v/>
      </c>
      <c r="O15" s="16" t="str">
        <f aca="false">IF(OR(M15="",N15=""),"",IF(I15&lt;&gt;"",IF(N15&lt;=M15,"No prazo","Fora do prazo"),IF(N15&lt;=M15,"Aberto no prazo","Aberto e atrasado")))</f>
        <v/>
      </c>
      <c r="P15" s="17" t="str">
        <f aca="false">IF(AND(C15="",COUNTA(D15:L15)=0),"",IF(ISNA(MATCH(F15,'Pós-entrega'!$C$7:$C$26,0)),"Produto sem política",IF(D15="","Falta a data de abertura",IF(G15="","Falta o tipo",IF(AND(I15&lt;&gt;"",OR(G15="Reclamação",G15="Garantia",G15="Devolução"),K15=""),"Falta a causa",IF(AND(L15&lt;&gt;"",ISNA(MATCH(L15,Lições!$C$7:$C$66,0))),"Lição não encontrada","OK"))))))</f>
        <v/>
      </c>
    </row>
    <row r="16" customFormat="false" ht="30" hidden="false" customHeight="true" outlineLevel="0" collapsed="false">
      <c r="B16" s="12" t="n">
        <v>10</v>
      </c>
      <c r="C16" s="13"/>
      <c r="D16" s="8"/>
      <c r="E16" s="5"/>
      <c r="F16" s="5"/>
      <c r="G16" s="13"/>
      <c r="H16" s="5"/>
      <c r="I16" s="8"/>
      <c r="J16" s="25"/>
      <c r="K16" s="5"/>
      <c r="L16" s="13"/>
      <c r="M16" s="23" t="str">
        <f aca="false">IF(F16="","",IFERROR(IF(INDEX('Pós-entrega'!$H$7:$H$26,MATCH(F16,'Pós-entrega'!$C$7:$C$26,0))="","",INDEX('Pós-entrega'!$H$7:$H$26,MATCH(F16,'Pós-entrega'!$C$7:$C$26,0))),""))</f>
        <v/>
      </c>
      <c r="N16" s="15" t="str">
        <f aca="false">IF(D16="","",IF(I16&lt;&gt;"",I16-D16,IF(ISNUMBER(Conhecimento!$E$4),Conhecimento!$E$4-D16,"")))</f>
        <v/>
      </c>
      <c r="O16" s="16" t="str">
        <f aca="false">IF(OR(M16="",N16=""),"",IF(I16&lt;&gt;"",IF(N16&lt;=M16,"No prazo","Fora do prazo"),IF(N16&lt;=M16,"Aberto no prazo","Aberto e atrasado")))</f>
        <v/>
      </c>
      <c r="P16" s="17" t="str">
        <f aca="false">IF(AND(C16="",COUNTA(D16:L16)=0),"",IF(ISNA(MATCH(F16,'Pós-entrega'!$C$7:$C$26,0)),"Produto sem política",IF(D16="","Falta a data de abertura",IF(G16="","Falta o tipo",IF(AND(I16&lt;&gt;"",OR(G16="Reclamação",G16="Garantia",G16="Devolução"),K16=""),"Falta a causa",IF(AND(L16&lt;&gt;"",ISNA(MATCH(L16,Lições!$C$7:$C$66,0))),"Lição não encontrada","OK"))))))</f>
        <v/>
      </c>
    </row>
    <row r="17" customFormat="false" ht="30" hidden="false" customHeight="true" outlineLevel="0" collapsed="false">
      <c r="B17" s="12" t="n">
        <v>11</v>
      </c>
      <c r="C17" s="13"/>
      <c r="D17" s="8"/>
      <c r="E17" s="5"/>
      <c r="F17" s="5"/>
      <c r="G17" s="13"/>
      <c r="H17" s="5"/>
      <c r="I17" s="8"/>
      <c r="J17" s="25"/>
      <c r="K17" s="5"/>
      <c r="L17" s="13"/>
      <c r="M17" s="23" t="str">
        <f aca="false">IF(F17="","",IFERROR(IF(INDEX('Pós-entrega'!$H$7:$H$26,MATCH(F17,'Pós-entrega'!$C$7:$C$26,0))="","",INDEX('Pós-entrega'!$H$7:$H$26,MATCH(F17,'Pós-entrega'!$C$7:$C$26,0))),""))</f>
        <v/>
      </c>
      <c r="N17" s="15" t="str">
        <f aca="false">IF(D17="","",IF(I17&lt;&gt;"",I17-D17,IF(ISNUMBER(Conhecimento!$E$4),Conhecimento!$E$4-D17,"")))</f>
        <v/>
      </c>
      <c r="O17" s="16" t="str">
        <f aca="false">IF(OR(M17="",N17=""),"",IF(I17&lt;&gt;"",IF(N17&lt;=M17,"No prazo","Fora do prazo"),IF(N17&lt;=M17,"Aberto no prazo","Aberto e atrasado")))</f>
        <v/>
      </c>
      <c r="P17" s="17" t="str">
        <f aca="false">IF(AND(C17="",COUNTA(D17:L17)=0),"",IF(ISNA(MATCH(F17,'Pós-entrega'!$C$7:$C$26,0)),"Produto sem política",IF(D17="","Falta a data de abertura",IF(G17="","Falta o tipo",IF(AND(I17&lt;&gt;"",OR(G17="Reclamação",G17="Garantia",G17="Devolução"),K17=""),"Falta a causa",IF(AND(L17&lt;&gt;"",ISNA(MATCH(L17,Lições!$C$7:$C$66,0))),"Lição não encontrada","OK"))))))</f>
        <v/>
      </c>
    </row>
    <row r="18" customFormat="false" ht="30" hidden="false" customHeight="true" outlineLevel="0" collapsed="false">
      <c r="B18" s="12" t="n">
        <v>12</v>
      </c>
      <c r="C18" s="13"/>
      <c r="D18" s="8"/>
      <c r="E18" s="5"/>
      <c r="F18" s="5"/>
      <c r="G18" s="13"/>
      <c r="H18" s="5"/>
      <c r="I18" s="8"/>
      <c r="J18" s="25"/>
      <c r="K18" s="5"/>
      <c r="L18" s="13"/>
      <c r="M18" s="23" t="str">
        <f aca="false">IF(F18="","",IFERROR(IF(INDEX('Pós-entrega'!$H$7:$H$26,MATCH(F18,'Pós-entrega'!$C$7:$C$26,0))="","",INDEX('Pós-entrega'!$H$7:$H$26,MATCH(F18,'Pós-entrega'!$C$7:$C$26,0))),""))</f>
        <v/>
      </c>
      <c r="N18" s="15" t="str">
        <f aca="false">IF(D18="","",IF(I18&lt;&gt;"",I18-D18,IF(ISNUMBER(Conhecimento!$E$4),Conhecimento!$E$4-D18,"")))</f>
        <v/>
      </c>
      <c r="O18" s="16" t="str">
        <f aca="false">IF(OR(M18="",N18=""),"",IF(I18&lt;&gt;"",IF(N18&lt;=M18,"No prazo","Fora do prazo"),IF(N18&lt;=M18,"Aberto no prazo","Aberto e atrasado")))</f>
        <v/>
      </c>
      <c r="P18" s="17" t="str">
        <f aca="false">IF(AND(C18="",COUNTA(D18:L18)=0),"",IF(ISNA(MATCH(F18,'Pós-entrega'!$C$7:$C$26,0)),"Produto sem política",IF(D18="","Falta a data de abertura",IF(G18="","Falta o tipo",IF(AND(I18&lt;&gt;"",OR(G18="Reclamação",G18="Garantia",G18="Devolução"),K18=""),"Falta a causa",IF(AND(L18&lt;&gt;"",ISNA(MATCH(L18,Lições!$C$7:$C$66,0))),"Lição não encontrada","OK"))))))</f>
        <v/>
      </c>
    </row>
    <row r="19" customFormat="false" ht="30" hidden="false" customHeight="true" outlineLevel="0" collapsed="false">
      <c r="B19" s="12" t="n">
        <v>13</v>
      </c>
      <c r="C19" s="13"/>
      <c r="D19" s="8"/>
      <c r="E19" s="5"/>
      <c r="F19" s="5"/>
      <c r="G19" s="13"/>
      <c r="H19" s="5"/>
      <c r="I19" s="8"/>
      <c r="J19" s="25"/>
      <c r="K19" s="5"/>
      <c r="L19" s="13"/>
      <c r="M19" s="23" t="str">
        <f aca="false">IF(F19="","",IFERROR(IF(INDEX('Pós-entrega'!$H$7:$H$26,MATCH(F19,'Pós-entrega'!$C$7:$C$26,0))="","",INDEX('Pós-entrega'!$H$7:$H$26,MATCH(F19,'Pós-entrega'!$C$7:$C$26,0))),""))</f>
        <v/>
      </c>
      <c r="N19" s="15" t="str">
        <f aca="false">IF(D19="","",IF(I19&lt;&gt;"",I19-D19,IF(ISNUMBER(Conhecimento!$E$4),Conhecimento!$E$4-D19,"")))</f>
        <v/>
      </c>
      <c r="O19" s="16" t="str">
        <f aca="false">IF(OR(M19="",N19=""),"",IF(I19&lt;&gt;"",IF(N19&lt;=M19,"No prazo","Fora do prazo"),IF(N19&lt;=M19,"Aberto no prazo","Aberto e atrasado")))</f>
        <v/>
      </c>
      <c r="P19" s="17" t="str">
        <f aca="false">IF(AND(C19="",COUNTA(D19:L19)=0),"",IF(ISNA(MATCH(F19,'Pós-entrega'!$C$7:$C$26,0)),"Produto sem política",IF(D19="","Falta a data de abertura",IF(G19="","Falta o tipo",IF(AND(I19&lt;&gt;"",OR(G19="Reclamação",G19="Garantia",G19="Devolução"),K19=""),"Falta a causa",IF(AND(L19&lt;&gt;"",ISNA(MATCH(L19,Lições!$C$7:$C$66,0))),"Lição não encontrada","OK"))))))</f>
        <v/>
      </c>
    </row>
    <row r="20" customFormat="false" ht="30" hidden="false" customHeight="true" outlineLevel="0" collapsed="false">
      <c r="B20" s="12" t="n">
        <v>14</v>
      </c>
      <c r="C20" s="13"/>
      <c r="D20" s="8"/>
      <c r="E20" s="5"/>
      <c r="F20" s="5"/>
      <c r="G20" s="13"/>
      <c r="H20" s="5"/>
      <c r="I20" s="8"/>
      <c r="J20" s="25"/>
      <c r="K20" s="5"/>
      <c r="L20" s="13"/>
      <c r="M20" s="23" t="str">
        <f aca="false">IF(F20="","",IFERROR(IF(INDEX('Pós-entrega'!$H$7:$H$26,MATCH(F20,'Pós-entrega'!$C$7:$C$26,0))="","",INDEX('Pós-entrega'!$H$7:$H$26,MATCH(F20,'Pós-entrega'!$C$7:$C$26,0))),""))</f>
        <v/>
      </c>
      <c r="N20" s="15" t="str">
        <f aca="false">IF(D20="","",IF(I20&lt;&gt;"",I20-D20,IF(ISNUMBER(Conhecimento!$E$4),Conhecimento!$E$4-D20,"")))</f>
        <v/>
      </c>
      <c r="O20" s="16" t="str">
        <f aca="false">IF(OR(M20="",N20=""),"",IF(I20&lt;&gt;"",IF(N20&lt;=M20,"No prazo","Fora do prazo"),IF(N20&lt;=M20,"Aberto no prazo","Aberto e atrasado")))</f>
        <v/>
      </c>
      <c r="P20" s="17" t="str">
        <f aca="false">IF(AND(C20="",COUNTA(D20:L20)=0),"",IF(ISNA(MATCH(F20,'Pós-entrega'!$C$7:$C$26,0)),"Produto sem política",IF(D20="","Falta a data de abertura",IF(G20="","Falta o tipo",IF(AND(I20&lt;&gt;"",OR(G20="Reclamação",G20="Garantia",G20="Devolução"),K20=""),"Falta a causa",IF(AND(L20&lt;&gt;"",ISNA(MATCH(L20,Lições!$C$7:$C$66,0))),"Lição não encontrada","OK"))))))</f>
        <v/>
      </c>
    </row>
    <row r="21" customFormat="false" ht="30" hidden="false" customHeight="true" outlineLevel="0" collapsed="false">
      <c r="B21" s="12" t="n">
        <v>15</v>
      </c>
      <c r="C21" s="13"/>
      <c r="D21" s="8"/>
      <c r="E21" s="5"/>
      <c r="F21" s="5"/>
      <c r="G21" s="13"/>
      <c r="H21" s="5"/>
      <c r="I21" s="8"/>
      <c r="J21" s="25"/>
      <c r="K21" s="5"/>
      <c r="L21" s="13"/>
      <c r="M21" s="23" t="str">
        <f aca="false">IF(F21="","",IFERROR(IF(INDEX('Pós-entrega'!$H$7:$H$26,MATCH(F21,'Pós-entrega'!$C$7:$C$26,0))="","",INDEX('Pós-entrega'!$H$7:$H$26,MATCH(F21,'Pós-entrega'!$C$7:$C$26,0))),""))</f>
        <v/>
      </c>
      <c r="N21" s="15" t="str">
        <f aca="false">IF(D21="","",IF(I21&lt;&gt;"",I21-D21,IF(ISNUMBER(Conhecimento!$E$4),Conhecimento!$E$4-D21,"")))</f>
        <v/>
      </c>
      <c r="O21" s="16" t="str">
        <f aca="false">IF(OR(M21="",N21=""),"",IF(I21&lt;&gt;"",IF(N21&lt;=M21,"No prazo","Fora do prazo"),IF(N21&lt;=M21,"Aberto no prazo","Aberto e atrasado")))</f>
        <v/>
      </c>
      <c r="P21" s="17" t="str">
        <f aca="false">IF(AND(C21="",COUNTA(D21:L21)=0),"",IF(ISNA(MATCH(F21,'Pós-entrega'!$C$7:$C$26,0)),"Produto sem política",IF(D21="","Falta a data de abertura",IF(G21="","Falta o tipo",IF(AND(I21&lt;&gt;"",OR(G21="Reclamação",G21="Garantia",G21="Devolução"),K21=""),"Falta a causa",IF(AND(L21&lt;&gt;"",ISNA(MATCH(L21,Lições!$C$7:$C$66,0))),"Lição não encontrada","OK"))))))</f>
        <v/>
      </c>
    </row>
    <row r="22" customFormat="false" ht="30" hidden="false" customHeight="true" outlineLevel="0" collapsed="false">
      <c r="B22" s="12" t="n">
        <v>16</v>
      </c>
      <c r="C22" s="13"/>
      <c r="D22" s="8"/>
      <c r="E22" s="5"/>
      <c r="F22" s="5"/>
      <c r="G22" s="13"/>
      <c r="H22" s="5"/>
      <c r="I22" s="8"/>
      <c r="J22" s="25"/>
      <c r="K22" s="5"/>
      <c r="L22" s="13"/>
      <c r="M22" s="23" t="str">
        <f aca="false">IF(F22="","",IFERROR(IF(INDEX('Pós-entrega'!$H$7:$H$26,MATCH(F22,'Pós-entrega'!$C$7:$C$26,0))="","",INDEX('Pós-entrega'!$H$7:$H$26,MATCH(F22,'Pós-entrega'!$C$7:$C$26,0))),""))</f>
        <v/>
      </c>
      <c r="N22" s="15" t="str">
        <f aca="false">IF(D22="","",IF(I22&lt;&gt;"",I22-D22,IF(ISNUMBER(Conhecimento!$E$4),Conhecimento!$E$4-D22,"")))</f>
        <v/>
      </c>
      <c r="O22" s="16" t="str">
        <f aca="false">IF(OR(M22="",N22=""),"",IF(I22&lt;&gt;"",IF(N22&lt;=M22,"No prazo","Fora do prazo"),IF(N22&lt;=M22,"Aberto no prazo","Aberto e atrasado")))</f>
        <v/>
      </c>
      <c r="P22" s="17" t="str">
        <f aca="false">IF(AND(C22="",COUNTA(D22:L22)=0),"",IF(ISNA(MATCH(F22,'Pós-entrega'!$C$7:$C$26,0)),"Produto sem política",IF(D22="","Falta a data de abertura",IF(G22="","Falta o tipo",IF(AND(I22&lt;&gt;"",OR(G22="Reclamação",G22="Garantia",G22="Devolução"),K22=""),"Falta a causa",IF(AND(L22&lt;&gt;"",ISNA(MATCH(L22,Lições!$C$7:$C$66,0))),"Lição não encontrada","OK"))))))</f>
        <v/>
      </c>
    </row>
    <row r="23" customFormat="false" ht="30" hidden="false" customHeight="true" outlineLevel="0" collapsed="false">
      <c r="B23" s="12" t="n">
        <v>17</v>
      </c>
      <c r="C23" s="13"/>
      <c r="D23" s="8"/>
      <c r="E23" s="5"/>
      <c r="F23" s="5"/>
      <c r="G23" s="13"/>
      <c r="H23" s="5"/>
      <c r="I23" s="8"/>
      <c r="J23" s="25"/>
      <c r="K23" s="5"/>
      <c r="L23" s="13"/>
      <c r="M23" s="23" t="str">
        <f aca="false">IF(F23="","",IFERROR(IF(INDEX('Pós-entrega'!$H$7:$H$26,MATCH(F23,'Pós-entrega'!$C$7:$C$26,0))="","",INDEX('Pós-entrega'!$H$7:$H$26,MATCH(F23,'Pós-entrega'!$C$7:$C$26,0))),""))</f>
        <v/>
      </c>
      <c r="N23" s="15" t="str">
        <f aca="false">IF(D23="","",IF(I23&lt;&gt;"",I23-D23,IF(ISNUMBER(Conhecimento!$E$4),Conhecimento!$E$4-D23,"")))</f>
        <v/>
      </c>
      <c r="O23" s="16" t="str">
        <f aca="false">IF(OR(M23="",N23=""),"",IF(I23&lt;&gt;"",IF(N23&lt;=M23,"No prazo","Fora do prazo"),IF(N23&lt;=M23,"Aberto no prazo","Aberto e atrasado")))</f>
        <v/>
      </c>
      <c r="P23" s="17" t="str">
        <f aca="false">IF(AND(C23="",COUNTA(D23:L23)=0),"",IF(ISNA(MATCH(F23,'Pós-entrega'!$C$7:$C$26,0)),"Produto sem política",IF(D23="","Falta a data de abertura",IF(G23="","Falta o tipo",IF(AND(I23&lt;&gt;"",OR(G23="Reclamação",G23="Garantia",G23="Devolução"),K23=""),"Falta a causa",IF(AND(L23&lt;&gt;"",ISNA(MATCH(L23,Lições!$C$7:$C$66,0))),"Lição não encontrada","OK"))))))</f>
        <v/>
      </c>
    </row>
    <row r="24" customFormat="false" ht="30" hidden="false" customHeight="true" outlineLevel="0" collapsed="false">
      <c r="B24" s="12" t="n">
        <v>18</v>
      </c>
      <c r="C24" s="13"/>
      <c r="D24" s="8"/>
      <c r="E24" s="5"/>
      <c r="F24" s="5"/>
      <c r="G24" s="13"/>
      <c r="H24" s="5"/>
      <c r="I24" s="8"/>
      <c r="J24" s="25"/>
      <c r="K24" s="5"/>
      <c r="L24" s="13"/>
      <c r="M24" s="23" t="str">
        <f aca="false">IF(F24="","",IFERROR(IF(INDEX('Pós-entrega'!$H$7:$H$26,MATCH(F24,'Pós-entrega'!$C$7:$C$26,0))="","",INDEX('Pós-entrega'!$H$7:$H$26,MATCH(F24,'Pós-entrega'!$C$7:$C$26,0))),""))</f>
        <v/>
      </c>
      <c r="N24" s="15" t="str">
        <f aca="false">IF(D24="","",IF(I24&lt;&gt;"",I24-D24,IF(ISNUMBER(Conhecimento!$E$4),Conhecimento!$E$4-D24,"")))</f>
        <v/>
      </c>
      <c r="O24" s="16" t="str">
        <f aca="false">IF(OR(M24="",N24=""),"",IF(I24&lt;&gt;"",IF(N24&lt;=M24,"No prazo","Fora do prazo"),IF(N24&lt;=M24,"Aberto no prazo","Aberto e atrasado")))</f>
        <v/>
      </c>
      <c r="P24" s="17" t="str">
        <f aca="false">IF(AND(C24="",COUNTA(D24:L24)=0),"",IF(ISNA(MATCH(F24,'Pós-entrega'!$C$7:$C$26,0)),"Produto sem política",IF(D24="","Falta a data de abertura",IF(G24="","Falta o tipo",IF(AND(I24&lt;&gt;"",OR(G24="Reclamação",G24="Garantia",G24="Devolução"),K24=""),"Falta a causa",IF(AND(L24&lt;&gt;"",ISNA(MATCH(L24,Lições!$C$7:$C$66,0))),"Lição não encontrada","OK"))))))</f>
        <v/>
      </c>
    </row>
    <row r="25" customFormat="false" ht="30" hidden="false" customHeight="true" outlineLevel="0" collapsed="false">
      <c r="B25" s="12" t="n">
        <v>19</v>
      </c>
      <c r="C25" s="13"/>
      <c r="D25" s="8"/>
      <c r="E25" s="5"/>
      <c r="F25" s="5"/>
      <c r="G25" s="13"/>
      <c r="H25" s="5"/>
      <c r="I25" s="8"/>
      <c r="J25" s="25"/>
      <c r="K25" s="5"/>
      <c r="L25" s="13"/>
      <c r="M25" s="23" t="str">
        <f aca="false">IF(F25="","",IFERROR(IF(INDEX('Pós-entrega'!$H$7:$H$26,MATCH(F25,'Pós-entrega'!$C$7:$C$26,0))="","",INDEX('Pós-entrega'!$H$7:$H$26,MATCH(F25,'Pós-entrega'!$C$7:$C$26,0))),""))</f>
        <v/>
      </c>
      <c r="N25" s="15" t="str">
        <f aca="false">IF(D25="","",IF(I25&lt;&gt;"",I25-D25,IF(ISNUMBER(Conhecimento!$E$4),Conhecimento!$E$4-D25,"")))</f>
        <v/>
      </c>
      <c r="O25" s="16" t="str">
        <f aca="false">IF(OR(M25="",N25=""),"",IF(I25&lt;&gt;"",IF(N25&lt;=M25,"No prazo","Fora do prazo"),IF(N25&lt;=M25,"Aberto no prazo","Aberto e atrasado")))</f>
        <v/>
      </c>
      <c r="P25" s="17" t="str">
        <f aca="false">IF(AND(C25="",COUNTA(D25:L25)=0),"",IF(ISNA(MATCH(F25,'Pós-entrega'!$C$7:$C$26,0)),"Produto sem política",IF(D25="","Falta a data de abertura",IF(G25="","Falta o tipo",IF(AND(I25&lt;&gt;"",OR(G25="Reclamação",G25="Garantia",G25="Devolução"),K25=""),"Falta a causa",IF(AND(L25&lt;&gt;"",ISNA(MATCH(L25,Lições!$C$7:$C$66,0))),"Lição não encontrada","OK"))))))</f>
        <v/>
      </c>
    </row>
    <row r="26" customFormat="false" ht="30" hidden="false" customHeight="true" outlineLevel="0" collapsed="false">
      <c r="B26" s="12" t="n">
        <v>20</v>
      </c>
      <c r="C26" s="13"/>
      <c r="D26" s="8"/>
      <c r="E26" s="5"/>
      <c r="F26" s="5"/>
      <c r="G26" s="13"/>
      <c r="H26" s="5"/>
      <c r="I26" s="8"/>
      <c r="J26" s="25"/>
      <c r="K26" s="5"/>
      <c r="L26" s="13"/>
      <c r="M26" s="23" t="str">
        <f aca="false">IF(F26="","",IFERROR(IF(INDEX('Pós-entrega'!$H$7:$H$26,MATCH(F26,'Pós-entrega'!$C$7:$C$26,0))="","",INDEX('Pós-entrega'!$H$7:$H$26,MATCH(F26,'Pós-entrega'!$C$7:$C$26,0))),""))</f>
        <v/>
      </c>
      <c r="N26" s="15" t="str">
        <f aca="false">IF(D26="","",IF(I26&lt;&gt;"",I26-D26,IF(ISNUMBER(Conhecimento!$E$4),Conhecimento!$E$4-D26,"")))</f>
        <v/>
      </c>
      <c r="O26" s="16" t="str">
        <f aca="false">IF(OR(M26="",N26=""),"",IF(I26&lt;&gt;"",IF(N26&lt;=M26,"No prazo","Fora do prazo"),IF(N26&lt;=M26,"Aberto no prazo","Aberto e atrasado")))</f>
        <v/>
      </c>
      <c r="P26" s="17" t="str">
        <f aca="false">IF(AND(C26="",COUNTA(D26:L26)=0),"",IF(ISNA(MATCH(F26,'Pós-entrega'!$C$7:$C$26,0)),"Produto sem política",IF(D26="","Falta a data de abertura",IF(G26="","Falta o tipo",IF(AND(I26&lt;&gt;"",OR(G26="Reclamação",G26="Garantia",G26="Devolução"),K26=""),"Falta a causa",IF(AND(L26&lt;&gt;"",ISNA(MATCH(L26,Lições!$C$7:$C$66,0))),"Lição não encontrada","OK"))))))</f>
        <v/>
      </c>
    </row>
    <row r="27" customFormat="false" ht="30" hidden="false" customHeight="true" outlineLevel="0" collapsed="false">
      <c r="B27" s="12" t="n">
        <v>21</v>
      </c>
      <c r="C27" s="13"/>
      <c r="D27" s="8"/>
      <c r="E27" s="5"/>
      <c r="F27" s="5"/>
      <c r="G27" s="13"/>
      <c r="H27" s="5"/>
      <c r="I27" s="8"/>
      <c r="J27" s="25"/>
      <c r="K27" s="5"/>
      <c r="L27" s="13"/>
      <c r="M27" s="23" t="str">
        <f aca="false">IF(F27="","",IFERROR(IF(INDEX('Pós-entrega'!$H$7:$H$26,MATCH(F27,'Pós-entrega'!$C$7:$C$26,0))="","",INDEX('Pós-entrega'!$H$7:$H$26,MATCH(F27,'Pós-entrega'!$C$7:$C$26,0))),""))</f>
        <v/>
      </c>
      <c r="N27" s="15" t="str">
        <f aca="false">IF(D27="","",IF(I27&lt;&gt;"",I27-D27,IF(ISNUMBER(Conhecimento!$E$4),Conhecimento!$E$4-D27,"")))</f>
        <v/>
      </c>
      <c r="O27" s="16" t="str">
        <f aca="false">IF(OR(M27="",N27=""),"",IF(I27&lt;&gt;"",IF(N27&lt;=M27,"No prazo","Fora do prazo"),IF(N27&lt;=M27,"Aberto no prazo","Aberto e atrasado")))</f>
        <v/>
      </c>
      <c r="P27" s="17" t="str">
        <f aca="false">IF(AND(C27="",COUNTA(D27:L27)=0),"",IF(ISNA(MATCH(F27,'Pós-entrega'!$C$7:$C$26,0)),"Produto sem política",IF(D27="","Falta a data de abertura",IF(G27="","Falta o tipo",IF(AND(I27&lt;&gt;"",OR(G27="Reclamação",G27="Garantia",G27="Devolução"),K27=""),"Falta a causa",IF(AND(L27&lt;&gt;"",ISNA(MATCH(L27,Lições!$C$7:$C$66,0))),"Lição não encontrada","OK"))))))</f>
        <v/>
      </c>
    </row>
    <row r="28" customFormat="false" ht="30" hidden="false" customHeight="true" outlineLevel="0" collapsed="false">
      <c r="B28" s="12" t="n">
        <v>22</v>
      </c>
      <c r="C28" s="13"/>
      <c r="D28" s="8"/>
      <c r="E28" s="5"/>
      <c r="F28" s="5"/>
      <c r="G28" s="13"/>
      <c r="H28" s="5"/>
      <c r="I28" s="8"/>
      <c r="J28" s="25"/>
      <c r="K28" s="5"/>
      <c r="L28" s="13"/>
      <c r="M28" s="23" t="str">
        <f aca="false">IF(F28="","",IFERROR(IF(INDEX('Pós-entrega'!$H$7:$H$26,MATCH(F28,'Pós-entrega'!$C$7:$C$26,0))="","",INDEX('Pós-entrega'!$H$7:$H$26,MATCH(F28,'Pós-entrega'!$C$7:$C$26,0))),""))</f>
        <v/>
      </c>
      <c r="N28" s="15" t="str">
        <f aca="false">IF(D28="","",IF(I28&lt;&gt;"",I28-D28,IF(ISNUMBER(Conhecimento!$E$4),Conhecimento!$E$4-D28,"")))</f>
        <v/>
      </c>
      <c r="O28" s="16" t="str">
        <f aca="false">IF(OR(M28="",N28=""),"",IF(I28&lt;&gt;"",IF(N28&lt;=M28,"No prazo","Fora do prazo"),IF(N28&lt;=M28,"Aberto no prazo","Aberto e atrasado")))</f>
        <v/>
      </c>
      <c r="P28" s="17" t="str">
        <f aca="false">IF(AND(C28="",COUNTA(D28:L28)=0),"",IF(ISNA(MATCH(F28,'Pós-entrega'!$C$7:$C$26,0)),"Produto sem política",IF(D28="","Falta a data de abertura",IF(G28="","Falta o tipo",IF(AND(I28&lt;&gt;"",OR(G28="Reclamação",G28="Garantia",G28="Devolução"),K28=""),"Falta a causa",IF(AND(L28&lt;&gt;"",ISNA(MATCH(L28,Lições!$C$7:$C$66,0))),"Lição não encontrada","OK"))))))</f>
        <v/>
      </c>
    </row>
    <row r="29" customFormat="false" ht="30" hidden="false" customHeight="true" outlineLevel="0" collapsed="false">
      <c r="B29" s="12" t="n">
        <v>23</v>
      </c>
      <c r="C29" s="13"/>
      <c r="D29" s="8"/>
      <c r="E29" s="5"/>
      <c r="F29" s="5"/>
      <c r="G29" s="13"/>
      <c r="H29" s="5"/>
      <c r="I29" s="8"/>
      <c r="J29" s="25"/>
      <c r="K29" s="5"/>
      <c r="L29" s="13"/>
      <c r="M29" s="23" t="str">
        <f aca="false">IF(F29="","",IFERROR(IF(INDEX('Pós-entrega'!$H$7:$H$26,MATCH(F29,'Pós-entrega'!$C$7:$C$26,0))="","",INDEX('Pós-entrega'!$H$7:$H$26,MATCH(F29,'Pós-entrega'!$C$7:$C$26,0))),""))</f>
        <v/>
      </c>
      <c r="N29" s="15" t="str">
        <f aca="false">IF(D29="","",IF(I29&lt;&gt;"",I29-D29,IF(ISNUMBER(Conhecimento!$E$4),Conhecimento!$E$4-D29,"")))</f>
        <v/>
      </c>
      <c r="O29" s="16" t="str">
        <f aca="false">IF(OR(M29="",N29=""),"",IF(I29&lt;&gt;"",IF(N29&lt;=M29,"No prazo","Fora do prazo"),IF(N29&lt;=M29,"Aberto no prazo","Aberto e atrasado")))</f>
        <v/>
      </c>
      <c r="P29" s="17" t="str">
        <f aca="false">IF(AND(C29="",COUNTA(D29:L29)=0),"",IF(ISNA(MATCH(F29,'Pós-entrega'!$C$7:$C$26,0)),"Produto sem política",IF(D29="","Falta a data de abertura",IF(G29="","Falta o tipo",IF(AND(I29&lt;&gt;"",OR(G29="Reclamação",G29="Garantia",G29="Devolução"),K29=""),"Falta a causa",IF(AND(L29&lt;&gt;"",ISNA(MATCH(L29,Lições!$C$7:$C$66,0))),"Lição não encontrada","OK"))))))</f>
        <v/>
      </c>
    </row>
    <row r="30" customFormat="false" ht="30" hidden="false" customHeight="true" outlineLevel="0" collapsed="false">
      <c r="B30" s="12" t="n">
        <v>24</v>
      </c>
      <c r="C30" s="13"/>
      <c r="D30" s="8"/>
      <c r="E30" s="5"/>
      <c r="F30" s="5"/>
      <c r="G30" s="13"/>
      <c r="H30" s="5"/>
      <c r="I30" s="8"/>
      <c r="J30" s="25"/>
      <c r="K30" s="5"/>
      <c r="L30" s="13"/>
      <c r="M30" s="23" t="str">
        <f aca="false">IF(F30="","",IFERROR(IF(INDEX('Pós-entrega'!$H$7:$H$26,MATCH(F30,'Pós-entrega'!$C$7:$C$26,0))="","",INDEX('Pós-entrega'!$H$7:$H$26,MATCH(F30,'Pós-entrega'!$C$7:$C$26,0))),""))</f>
        <v/>
      </c>
      <c r="N30" s="15" t="str">
        <f aca="false">IF(D30="","",IF(I30&lt;&gt;"",I30-D30,IF(ISNUMBER(Conhecimento!$E$4),Conhecimento!$E$4-D30,"")))</f>
        <v/>
      </c>
      <c r="O30" s="16" t="str">
        <f aca="false">IF(OR(M30="",N30=""),"",IF(I30&lt;&gt;"",IF(N30&lt;=M30,"No prazo","Fora do prazo"),IF(N30&lt;=M30,"Aberto no prazo","Aberto e atrasado")))</f>
        <v/>
      </c>
      <c r="P30" s="17" t="str">
        <f aca="false">IF(AND(C30="",COUNTA(D30:L30)=0),"",IF(ISNA(MATCH(F30,'Pós-entrega'!$C$7:$C$26,0)),"Produto sem política",IF(D30="","Falta a data de abertura",IF(G30="","Falta o tipo",IF(AND(I30&lt;&gt;"",OR(G30="Reclamação",G30="Garantia",G30="Devolução"),K30=""),"Falta a causa",IF(AND(L30&lt;&gt;"",ISNA(MATCH(L30,Lições!$C$7:$C$66,0))),"Lição não encontrada","OK"))))))</f>
        <v/>
      </c>
    </row>
    <row r="31" customFormat="false" ht="30" hidden="false" customHeight="true" outlineLevel="0" collapsed="false">
      <c r="B31" s="12" t="n">
        <v>25</v>
      </c>
      <c r="C31" s="13"/>
      <c r="D31" s="8"/>
      <c r="E31" s="5"/>
      <c r="F31" s="5"/>
      <c r="G31" s="13"/>
      <c r="H31" s="5"/>
      <c r="I31" s="8"/>
      <c r="J31" s="25"/>
      <c r="K31" s="5"/>
      <c r="L31" s="13"/>
      <c r="M31" s="23" t="str">
        <f aca="false">IF(F31="","",IFERROR(IF(INDEX('Pós-entrega'!$H$7:$H$26,MATCH(F31,'Pós-entrega'!$C$7:$C$26,0))="","",INDEX('Pós-entrega'!$H$7:$H$26,MATCH(F31,'Pós-entrega'!$C$7:$C$26,0))),""))</f>
        <v/>
      </c>
      <c r="N31" s="15" t="str">
        <f aca="false">IF(D31="","",IF(I31&lt;&gt;"",I31-D31,IF(ISNUMBER(Conhecimento!$E$4),Conhecimento!$E$4-D31,"")))</f>
        <v/>
      </c>
      <c r="O31" s="16" t="str">
        <f aca="false">IF(OR(M31="",N31=""),"",IF(I31&lt;&gt;"",IF(N31&lt;=M31,"No prazo","Fora do prazo"),IF(N31&lt;=M31,"Aberto no prazo","Aberto e atrasado")))</f>
        <v/>
      </c>
      <c r="P31" s="17" t="str">
        <f aca="false">IF(AND(C31="",COUNTA(D31:L31)=0),"",IF(ISNA(MATCH(F31,'Pós-entrega'!$C$7:$C$26,0)),"Produto sem política",IF(D31="","Falta a data de abertura",IF(G31="","Falta o tipo",IF(AND(I31&lt;&gt;"",OR(G31="Reclamação",G31="Garantia",G31="Devolução"),K31=""),"Falta a causa",IF(AND(L31&lt;&gt;"",ISNA(MATCH(L31,Lições!$C$7:$C$66,0))),"Lição não encontrada","OK"))))))</f>
        <v/>
      </c>
    </row>
    <row r="32" customFormat="false" ht="30" hidden="false" customHeight="true" outlineLevel="0" collapsed="false">
      <c r="B32" s="12" t="n">
        <v>26</v>
      </c>
      <c r="C32" s="13"/>
      <c r="D32" s="8"/>
      <c r="E32" s="5"/>
      <c r="F32" s="5"/>
      <c r="G32" s="13"/>
      <c r="H32" s="5"/>
      <c r="I32" s="8"/>
      <c r="J32" s="25"/>
      <c r="K32" s="5"/>
      <c r="L32" s="13"/>
      <c r="M32" s="23" t="str">
        <f aca="false">IF(F32="","",IFERROR(IF(INDEX('Pós-entrega'!$H$7:$H$26,MATCH(F32,'Pós-entrega'!$C$7:$C$26,0))="","",INDEX('Pós-entrega'!$H$7:$H$26,MATCH(F32,'Pós-entrega'!$C$7:$C$26,0))),""))</f>
        <v/>
      </c>
      <c r="N32" s="15" t="str">
        <f aca="false">IF(D32="","",IF(I32&lt;&gt;"",I32-D32,IF(ISNUMBER(Conhecimento!$E$4),Conhecimento!$E$4-D32,"")))</f>
        <v/>
      </c>
      <c r="O32" s="16" t="str">
        <f aca="false">IF(OR(M32="",N32=""),"",IF(I32&lt;&gt;"",IF(N32&lt;=M32,"No prazo","Fora do prazo"),IF(N32&lt;=M32,"Aberto no prazo","Aberto e atrasado")))</f>
        <v/>
      </c>
      <c r="P32" s="17" t="str">
        <f aca="false">IF(AND(C32="",COUNTA(D32:L32)=0),"",IF(ISNA(MATCH(F32,'Pós-entrega'!$C$7:$C$26,0)),"Produto sem política",IF(D32="","Falta a data de abertura",IF(G32="","Falta o tipo",IF(AND(I32&lt;&gt;"",OR(G32="Reclamação",G32="Garantia",G32="Devolução"),K32=""),"Falta a causa",IF(AND(L32&lt;&gt;"",ISNA(MATCH(L32,Lições!$C$7:$C$66,0))),"Lição não encontrada","OK"))))))</f>
        <v/>
      </c>
    </row>
    <row r="33" customFormat="false" ht="30" hidden="false" customHeight="true" outlineLevel="0" collapsed="false">
      <c r="B33" s="12" t="n">
        <v>27</v>
      </c>
      <c r="C33" s="13"/>
      <c r="D33" s="8"/>
      <c r="E33" s="5"/>
      <c r="F33" s="5"/>
      <c r="G33" s="13"/>
      <c r="H33" s="5"/>
      <c r="I33" s="8"/>
      <c r="J33" s="25"/>
      <c r="K33" s="5"/>
      <c r="L33" s="13"/>
      <c r="M33" s="23" t="str">
        <f aca="false">IF(F33="","",IFERROR(IF(INDEX('Pós-entrega'!$H$7:$H$26,MATCH(F33,'Pós-entrega'!$C$7:$C$26,0))="","",INDEX('Pós-entrega'!$H$7:$H$26,MATCH(F33,'Pós-entrega'!$C$7:$C$26,0))),""))</f>
        <v/>
      </c>
      <c r="N33" s="15" t="str">
        <f aca="false">IF(D33="","",IF(I33&lt;&gt;"",I33-D33,IF(ISNUMBER(Conhecimento!$E$4),Conhecimento!$E$4-D33,"")))</f>
        <v/>
      </c>
      <c r="O33" s="16" t="str">
        <f aca="false">IF(OR(M33="",N33=""),"",IF(I33&lt;&gt;"",IF(N33&lt;=M33,"No prazo","Fora do prazo"),IF(N33&lt;=M33,"Aberto no prazo","Aberto e atrasado")))</f>
        <v/>
      </c>
      <c r="P33" s="17" t="str">
        <f aca="false">IF(AND(C33="",COUNTA(D33:L33)=0),"",IF(ISNA(MATCH(F33,'Pós-entrega'!$C$7:$C$26,0)),"Produto sem política",IF(D33="","Falta a data de abertura",IF(G33="","Falta o tipo",IF(AND(I33&lt;&gt;"",OR(G33="Reclamação",G33="Garantia",G33="Devolução"),K33=""),"Falta a causa",IF(AND(L33&lt;&gt;"",ISNA(MATCH(L33,Lições!$C$7:$C$66,0))),"Lição não encontrada","OK"))))))</f>
        <v/>
      </c>
    </row>
    <row r="34" customFormat="false" ht="30" hidden="false" customHeight="true" outlineLevel="0" collapsed="false">
      <c r="B34" s="12" t="n">
        <v>28</v>
      </c>
      <c r="C34" s="13"/>
      <c r="D34" s="8"/>
      <c r="E34" s="5"/>
      <c r="F34" s="5"/>
      <c r="G34" s="13"/>
      <c r="H34" s="5"/>
      <c r="I34" s="8"/>
      <c r="J34" s="25"/>
      <c r="K34" s="5"/>
      <c r="L34" s="13"/>
      <c r="M34" s="23" t="str">
        <f aca="false">IF(F34="","",IFERROR(IF(INDEX('Pós-entrega'!$H$7:$H$26,MATCH(F34,'Pós-entrega'!$C$7:$C$26,0))="","",INDEX('Pós-entrega'!$H$7:$H$26,MATCH(F34,'Pós-entrega'!$C$7:$C$26,0))),""))</f>
        <v/>
      </c>
      <c r="N34" s="15" t="str">
        <f aca="false">IF(D34="","",IF(I34&lt;&gt;"",I34-D34,IF(ISNUMBER(Conhecimento!$E$4),Conhecimento!$E$4-D34,"")))</f>
        <v/>
      </c>
      <c r="O34" s="16" t="str">
        <f aca="false">IF(OR(M34="",N34=""),"",IF(I34&lt;&gt;"",IF(N34&lt;=M34,"No prazo","Fora do prazo"),IF(N34&lt;=M34,"Aberto no prazo","Aberto e atrasado")))</f>
        <v/>
      </c>
      <c r="P34" s="17" t="str">
        <f aca="false">IF(AND(C34="",COUNTA(D34:L34)=0),"",IF(ISNA(MATCH(F34,'Pós-entrega'!$C$7:$C$26,0)),"Produto sem política",IF(D34="","Falta a data de abertura",IF(G34="","Falta o tipo",IF(AND(I34&lt;&gt;"",OR(G34="Reclamação",G34="Garantia",G34="Devolução"),K34=""),"Falta a causa",IF(AND(L34&lt;&gt;"",ISNA(MATCH(L34,Lições!$C$7:$C$66,0))),"Lição não encontrada","OK"))))))</f>
        <v/>
      </c>
    </row>
    <row r="35" customFormat="false" ht="30" hidden="false" customHeight="true" outlineLevel="0" collapsed="false">
      <c r="B35" s="12" t="n">
        <v>29</v>
      </c>
      <c r="C35" s="13"/>
      <c r="D35" s="8"/>
      <c r="E35" s="5"/>
      <c r="F35" s="5"/>
      <c r="G35" s="13"/>
      <c r="H35" s="5"/>
      <c r="I35" s="8"/>
      <c r="J35" s="25"/>
      <c r="K35" s="5"/>
      <c r="L35" s="13"/>
      <c r="M35" s="23" t="str">
        <f aca="false">IF(F35="","",IFERROR(IF(INDEX('Pós-entrega'!$H$7:$H$26,MATCH(F35,'Pós-entrega'!$C$7:$C$26,0))="","",INDEX('Pós-entrega'!$H$7:$H$26,MATCH(F35,'Pós-entrega'!$C$7:$C$26,0))),""))</f>
        <v/>
      </c>
      <c r="N35" s="15" t="str">
        <f aca="false">IF(D35="","",IF(I35&lt;&gt;"",I35-D35,IF(ISNUMBER(Conhecimento!$E$4),Conhecimento!$E$4-D35,"")))</f>
        <v/>
      </c>
      <c r="O35" s="16" t="str">
        <f aca="false">IF(OR(M35="",N35=""),"",IF(I35&lt;&gt;"",IF(N35&lt;=M35,"No prazo","Fora do prazo"),IF(N35&lt;=M35,"Aberto no prazo","Aberto e atrasado")))</f>
        <v/>
      </c>
      <c r="P35" s="17" t="str">
        <f aca="false">IF(AND(C35="",COUNTA(D35:L35)=0),"",IF(ISNA(MATCH(F35,'Pós-entrega'!$C$7:$C$26,0)),"Produto sem política",IF(D35="","Falta a data de abertura",IF(G35="","Falta o tipo",IF(AND(I35&lt;&gt;"",OR(G35="Reclamação",G35="Garantia",G35="Devolução"),K35=""),"Falta a causa",IF(AND(L35&lt;&gt;"",ISNA(MATCH(L35,Lições!$C$7:$C$66,0))),"Lição não encontrada","OK"))))))</f>
        <v/>
      </c>
    </row>
    <row r="36" customFormat="false" ht="30" hidden="false" customHeight="true" outlineLevel="0" collapsed="false">
      <c r="B36" s="12" t="n">
        <v>30</v>
      </c>
      <c r="C36" s="13"/>
      <c r="D36" s="8"/>
      <c r="E36" s="5"/>
      <c r="F36" s="5"/>
      <c r="G36" s="13"/>
      <c r="H36" s="5"/>
      <c r="I36" s="8"/>
      <c r="J36" s="25"/>
      <c r="K36" s="5"/>
      <c r="L36" s="13"/>
      <c r="M36" s="23" t="str">
        <f aca="false">IF(F36="","",IFERROR(IF(INDEX('Pós-entrega'!$H$7:$H$26,MATCH(F36,'Pós-entrega'!$C$7:$C$26,0))="","",INDEX('Pós-entrega'!$H$7:$H$26,MATCH(F36,'Pós-entrega'!$C$7:$C$26,0))),""))</f>
        <v/>
      </c>
      <c r="N36" s="15" t="str">
        <f aca="false">IF(D36="","",IF(I36&lt;&gt;"",I36-D36,IF(ISNUMBER(Conhecimento!$E$4),Conhecimento!$E$4-D36,"")))</f>
        <v/>
      </c>
      <c r="O36" s="16" t="str">
        <f aca="false">IF(OR(M36="",N36=""),"",IF(I36&lt;&gt;"",IF(N36&lt;=M36,"No prazo","Fora do prazo"),IF(N36&lt;=M36,"Aberto no prazo","Aberto e atrasado")))</f>
        <v/>
      </c>
      <c r="P36" s="17" t="str">
        <f aca="false">IF(AND(C36="",COUNTA(D36:L36)=0),"",IF(ISNA(MATCH(F36,'Pós-entrega'!$C$7:$C$26,0)),"Produto sem política",IF(D36="","Falta a data de abertura",IF(G36="","Falta o tipo",IF(AND(I36&lt;&gt;"",OR(G36="Reclamação",G36="Garantia",G36="Devolução"),K36=""),"Falta a causa",IF(AND(L36&lt;&gt;"",ISNA(MATCH(L36,Lições!$C$7:$C$66,0))),"Lição não encontrada","OK"))))))</f>
        <v/>
      </c>
    </row>
    <row r="37" customFormat="false" ht="30" hidden="false" customHeight="true" outlineLevel="0" collapsed="false">
      <c r="B37" s="12" t="n">
        <v>31</v>
      </c>
      <c r="C37" s="13"/>
      <c r="D37" s="8"/>
      <c r="E37" s="5"/>
      <c r="F37" s="5"/>
      <c r="G37" s="13"/>
      <c r="H37" s="5"/>
      <c r="I37" s="8"/>
      <c r="J37" s="25"/>
      <c r="K37" s="5"/>
      <c r="L37" s="13"/>
      <c r="M37" s="23" t="str">
        <f aca="false">IF(F37="","",IFERROR(IF(INDEX('Pós-entrega'!$H$7:$H$26,MATCH(F37,'Pós-entrega'!$C$7:$C$26,0))="","",INDEX('Pós-entrega'!$H$7:$H$26,MATCH(F37,'Pós-entrega'!$C$7:$C$26,0))),""))</f>
        <v/>
      </c>
      <c r="N37" s="15" t="str">
        <f aca="false">IF(D37="","",IF(I37&lt;&gt;"",I37-D37,IF(ISNUMBER(Conhecimento!$E$4),Conhecimento!$E$4-D37,"")))</f>
        <v/>
      </c>
      <c r="O37" s="16" t="str">
        <f aca="false">IF(OR(M37="",N37=""),"",IF(I37&lt;&gt;"",IF(N37&lt;=M37,"No prazo","Fora do prazo"),IF(N37&lt;=M37,"Aberto no prazo","Aberto e atrasado")))</f>
        <v/>
      </c>
      <c r="P37" s="17" t="str">
        <f aca="false">IF(AND(C37="",COUNTA(D37:L37)=0),"",IF(ISNA(MATCH(F37,'Pós-entrega'!$C$7:$C$26,0)),"Produto sem política",IF(D37="","Falta a data de abertura",IF(G37="","Falta o tipo",IF(AND(I37&lt;&gt;"",OR(G37="Reclamação",G37="Garantia",G37="Devolução"),K37=""),"Falta a causa",IF(AND(L37&lt;&gt;"",ISNA(MATCH(L37,Lições!$C$7:$C$66,0))),"Lição não encontrada","OK"))))))</f>
        <v/>
      </c>
    </row>
    <row r="38" customFormat="false" ht="30" hidden="false" customHeight="true" outlineLevel="0" collapsed="false">
      <c r="B38" s="12" t="n">
        <v>32</v>
      </c>
      <c r="C38" s="13"/>
      <c r="D38" s="8"/>
      <c r="E38" s="5"/>
      <c r="F38" s="5"/>
      <c r="G38" s="13"/>
      <c r="H38" s="5"/>
      <c r="I38" s="8"/>
      <c r="J38" s="25"/>
      <c r="K38" s="5"/>
      <c r="L38" s="13"/>
      <c r="M38" s="23" t="str">
        <f aca="false">IF(F38="","",IFERROR(IF(INDEX('Pós-entrega'!$H$7:$H$26,MATCH(F38,'Pós-entrega'!$C$7:$C$26,0))="","",INDEX('Pós-entrega'!$H$7:$H$26,MATCH(F38,'Pós-entrega'!$C$7:$C$26,0))),""))</f>
        <v/>
      </c>
      <c r="N38" s="15" t="str">
        <f aca="false">IF(D38="","",IF(I38&lt;&gt;"",I38-D38,IF(ISNUMBER(Conhecimento!$E$4),Conhecimento!$E$4-D38,"")))</f>
        <v/>
      </c>
      <c r="O38" s="16" t="str">
        <f aca="false">IF(OR(M38="",N38=""),"",IF(I38&lt;&gt;"",IF(N38&lt;=M38,"No prazo","Fora do prazo"),IF(N38&lt;=M38,"Aberto no prazo","Aberto e atrasado")))</f>
        <v/>
      </c>
      <c r="P38" s="17" t="str">
        <f aca="false">IF(AND(C38="",COUNTA(D38:L38)=0),"",IF(ISNA(MATCH(F38,'Pós-entrega'!$C$7:$C$26,0)),"Produto sem política",IF(D38="","Falta a data de abertura",IF(G38="","Falta o tipo",IF(AND(I38&lt;&gt;"",OR(G38="Reclamação",G38="Garantia",G38="Devolução"),K38=""),"Falta a causa",IF(AND(L38&lt;&gt;"",ISNA(MATCH(L38,Lições!$C$7:$C$66,0))),"Lição não encontrada","OK"))))))</f>
        <v/>
      </c>
    </row>
    <row r="39" customFormat="false" ht="30" hidden="false" customHeight="true" outlineLevel="0" collapsed="false">
      <c r="B39" s="12" t="n">
        <v>33</v>
      </c>
      <c r="C39" s="13"/>
      <c r="D39" s="8"/>
      <c r="E39" s="5"/>
      <c r="F39" s="5"/>
      <c r="G39" s="13"/>
      <c r="H39" s="5"/>
      <c r="I39" s="8"/>
      <c r="J39" s="25"/>
      <c r="K39" s="5"/>
      <c r="L39" s="13"/>
      <c r="M39" s="23" t="str">
        <f aca="false">IF(F39="","",IFERROR(IF(INDEX('Pós-entrega'!$H$7:$H$26,MATCH(F39,'Pós-entrega'!$C$7:$C$26,0))="","",INDEX('Pós-entrega'!$H$7:$H$26,MATCH(F39,'Pós-entrega'!$C$7:$C$26,0))),""))</f>
        <v/>
      </c>
      <c r="N39" s="15" t="str">
        <f aca="false">IF(D39="","",IF(I39&lt;&gt;"",I39-D39,IF(ISNUMBER(Conhecimento!$E$4),Conhecimento!$E$4-D39,"")))</f>
        <v/>
      </c>
      <c r="O39" s="16" t="str">
        <f aca="false">IF(OR(M39="",N39=""),"",IF(I39&lt;&gt;"",IF(N39&lt;=M39,"No prazo","Fora do prazo"),IF(N39&lt;=M39,"Aberto no prazo","Aberto e atrasado")))</f>
        <v/>
      </c>
      <c r="P39" s="17" t="str">
        <f aca="false">IF(AND(C39="",COUNTA(D39:L39)=0),"",IF(ISNA(MATCH(F39,'Pós-entrega'!$C$7:$C$26,0)),"Produto sem política",IF(D39="","Falta a data de abertura",IF(G39="","Falta o tipo",IF(AND(I39&lt;&gt;"",OR(G39="Reclamação",G39="Garantia",G39="Devolução"),K39=""),"Falta a causa",IF(AND(L39&lt;&gt;"",ISNA(MATCH(L39,Lições!$C$7:$C$66,0))),"Lição não encontrada","OK"))))))</f>
        <v/>
      </c>
    </row>
    <row r="40" customFormat="false" ht="30" hidden="false" customHeight="true" outlineLevel="0" collapsed="false">
      <c r="B40" s="12" t="n">
        <v>34</v>
      </c>
      <c r="C40" s="13"/>
      <c r="D40" s="8"/>
      <c r="E40" s="5"/>
      <c r="F40" s="5"/>
      <c r="G40" s="13"/>
      <c r="H40" s="5"/>
      <c r="I40" s="8"/>
      <c r="J40" s="25"/>
      <c r="K40" s="5"/>
      <c r="L40" s="13"/>
      <c r="M40" s="23" t="str">
        <f aca="false">IF(F40="","",IFERROR(IF(INDEX('Pós-entrega'!$H$7:$H$26,MATCH(F40,'Pós-entrega'!$C$7:$C$26,0))="","",INDEX('Pós-entrega'!$H$7:$H$26,MATCH(F40,'Pós-entrega'!$C$7:$C$26,0))),""))</f>
        <v/>
      </c>
      <c r="N40" s="15" t="str">
        <f aca="false">IF(D40="","",IF(I40&lt;&gt;"",I40-D40,IF(ISNUMBER(Conhecimento!$E$4),Conhecimento!$E$4-D40,"")))</f>
        <v/>
      </c>
      <c r="O40" s="16" t="str">
        <f aca="false">IF(OR(M40="",N40=""),"",IF(I40&lt;&gt;"",IF(N40&lt;=M40,"No prazo","Fora do prazo"),IF(N40&lt;=M40,"Aberto no prazo","Aberto e atrasado")))</f>
        <v/>
      </c>
      <c r="P40" s="17" t="str">
        <f aca="false">IF(AND(C40="",COUNTA(D40:L40)=0),"",IF(ISNA(MATCH(F40,'Pós-entrega'!$C$7:$C$26,0)),"Produto sem política",IF(D40="","Falta a data de abertura",IF(G40="","Falta o tipo",IF(AND(I40&lt;&gt;"",OR(G40="Reclamação",G40="Garantia",G40="Devolução"),K40=""),"Falta a causa",IF(AND(L40&lt;&gt;"",ISNA(MATCH(L40,Lições!$C$7:$C$66,0))),"Lição não encontrada","OK"))))))</f>
        <v/>
      </c>
    </row>
    <row r="41" customFormat="false" ht="30" hidden="false" customHeight="true" outlineLevel="0" collapsed="false">
      <c r="B41" s="12" t="n">
        <v>35</v>
      </c>
      <c r="C41" s="13"/>
      <c r="D41" s="8"/>
      <c r="E41" s="5"/>
      <c r="F41" s="5"/>
      <c r="G41" s="13"/>
      <c r="H41" s="5"/>
      <c r="I41" s="8"/>
      <c r="J41" s="25"/>
      <c r="K41" s="5"/>
      <c r="L41" s="13"/>
      <c r="M41" s="23" t="str">
        <f aca="false">IF(F41="","",IFERROR(IF(INDEX('Pós-entrega'!$H$7:$H$26,MATCH(F41,'Pós-entrega'!$C$7:$C$26,0))="","",INDEX('Pós-entrega'!$H$7:$H$26,MATCH(F41,'Pós-entrega'!$C$7:$C$26,0))),""))</f>
        <v/>
      </c>
      <c r="N41" s="15" t="str">
        <f aca="false">IF(D41="","",IF(I41&lt;&gt;"",I41-D41,IF(ISNUMBER(Conhecimento!$E$4),Conhecimento!$E$4-D41,"")))</f>
        <v/>
      </c>
      <c r="O41" s="16" t="str">
        <f aca="false">IF(OR(M41="",N41=""),"",IF(I41&lt;&gt;"",IF(N41&lt;=M41,"No prazo","Fora do prazo"),IF(N41&lt;=M41,"Aberto no prazo","Aberto e atrasado")))</f>
        <v/>
      </c>
      <c r="P41" s="17" t="str">
        <f aca="false">IF(AND(C41="",COUNTA(D41:L41)=0),"",IF(ISNA(MATCH(F41,'Pós-entrega'!$C$7:$C$26,0)),"Produto sem política",IF(D41="","Falta a data de abertura",IF(G41="","Falta o tipo",IF(AND(I41&lt;&gt;"",OR(G41="Reclamação",G41="Garantia",G41="Devolução"),K41=""),"Falta a causa",IF(AND(L41&lt;&gt;"",ISNA(MATCH(L41,Lições!$C$7:$C$66,0))),"Lição não encontrada","OK"))))))</f>
        <v/>
      </c>
    </row>
    <row r="42" customFormat="false" ht="30" hidden="false" customHeight="true" outlineLevel="0" collapsed="false">
      <c r="B42" s="12" t="n">
        <v>36</v>
      </c>
      <c r="C42" s="13"/>
      <c r="D42" s="8"/>
      <c r="E42" s="5"/>
      <c r="F42" s="5"/>
      <c r="G42" s="13"/>
      <c r="H42" s="5"/>
      <c r="I42" s="8"/>
      <c r="J42" s="25"/>
      <c r="K42" s="5"/>
      <c r="L42" s="13"/>
      <c r="M42" s="23" t="str">
        <f aca="false">IF(F42="","",IFERROR(IF(INDEX('Pós-entrega'!$H$7:$H$26,MATCH(F42,'Pós-entrega'!$C$7:$C$26,0))="","",INDEX('Pós-entrega'!$H$7:$H$26,MATCH(F42,'Pós-entrega'!$C$7:$C$26,0))),""))</f>
        <v/>
      </c>
      <c r="N42" s="15" t="str">
        <f aca="false">IF(D42="","",IF(I42&lt;&gt;"",I42-D42,IF(ISNUMBER(Conhecimento!$E$4),Conhecimento!$E$4-D42,"")))</f>
        <v/>
      </c>
      <c r="O42" s="16" t="str">
        <f aca="false">IF(OR(M42="",N42=""),"",IF(I42&lt;&gt;"",IF(N42&lt;=M42,"No prazo","Fora do prazo"),IF(N42&lt;=M42,"Aberto no prazo","Aberto e atrasado")))</f>
        <v/>
      </c>
      <c r="P42" s="17" t="str">
        <f aca="false">IF(AND(C42="",COUNTA(D42:L42)=0),"",IF(ISNA(MATCH(F42,'Pós-entrega'!$C$7:$C$26,0)),"Produto sem política",IF(D42="","Falta a data de abertura",IF(G42="","Falta o tipo",IF(AND(I42&lt;&gt;"",OR(G42="Reclamação",G42="Garantia",G42="Devolução"),K42=""),"Falta a causa",IF(AND(L42&lt;&gt;"",ISNA(MATCH(L42,Lições!$C$7:$C$66,0))),"Lição não encontrada","OK"))))))</f>
        <v/>
      </c>
    </row>
    <row r="43" customFormat="false" ht="30" hidden="false" customHeight="true" outlineLevel="0" collapsed="false">
      <c r="B43" s="12" t="n">
        <v>37</v>
      </c>
      <c r="C43" s="13"/>
      <c r="D43" s="8"/>
      <c r="E43" s="5"/>
      <c r="F43" s="5"/>
      <c r="G43" s="13"/>
      <c r="H43" s="5"/>
      <c r="I43" s="8"/>
      <c r="J43" s="25"/>
      <c r="K43" s="5"/>
      <c r="L43" s="13"/>
      <c r="M43" s="23" t="str">
        <f aca="false">IF(F43="","",IFERROR(IF(INDEX('Pós-entrega'!$H$7:$H$26,MATCH(F43,'Pós-entrega'!$C$7:$C$26,0))="","",INDEX('Pós-entrega'!$H$7:$H$26,MATCH(F43,'Pós-entrega'!$C$7:$C$26,0))),""))</f>
        <v/>
      </c>
      <c r="N43" s="15" t="str">
        <f aca="false">IF(D43="","",IF(I43&lt;&gt;"",I43-D43,IF(ISNUMBER(Conhecimento!$E$4),Conhecimento!$E$4-D43,"")))</f>
        <v/>
      </c>
      <c r="O43" s="16" t="str">
        <f aca="false">IF(OR(M43="",N43=""),"",IF(I43&lt;&gt;"",IF(N43&lt;=M43,"No prazo","Fora do prazo"),IF(N43&lt;=M43,"Aberto no prazo","Aberto e atrasado")))</f>
        <v/>
      </c>
      <c r="P43" s="17" t="str">
        <f aca="false">IF(AND(C43="",COUNTA(D43:L43)=0),"",IF(ISNA(MATCH(F43,'Pós-entrega'!$C$7:$C$26,0)),"Produto sem política",IF(D43="","Falta a data de abertura",IF(G43="","Falta o tipo",IF(AND(I43&lt;&gt;"",OR(G43="Reclamação",G43="Garantia",G43="Devolução"),K43=""),"Falta a causa",IF(AND(L43&lt;&gt;"",ISNA(MATCH(L43,Lições!$C$7:$C$66,0))),"Lição não encontrada","OK"))))))</f>
        <v/>
      </c>
    </row>
    <row r="44" customFormat="false" ht="30" hidden="false" customHeight="true" outlineLevel="0" collapsed="false">
      <c r="B44" s="12" t="n">
        <v>38</v>
      </c>
      <c r="C44" s="13"/>
      <c r="D44" s="8"/>
      <c r="E44" s="5"/>
      <c r="F44" s="5"/>
      <c r="G44" s="13"/>
      <c r="H44" s="5"/>
      <c r="I44" s="8"/>
      <c r="J44" s="25"/>
      <c r="K44" s="5"/>
      <c r="L44" s="13"/>
      <c r="M44" s="23" t="str">
        <f aca="false">IF(F44="","",IFERROR(IF(INDEX('Pós-entrega'!$H$7:$H$26,MATCH(F44,'Pós-entrega'!$C$7:$C$26,0))="","",INDEX('Pós-entrega'!$H$7:$H$26,MATCH(F44,'Pós-entrega'!$C$7:$C$26,0))),""))</f>
        <v/>
      </c>
      <c r="N44" s="15" t="str">
        <f aca="false">IF(D44="","",IF(I44&lt;&gt;"",I44-D44,IF(ISNUMBER(Conhecimento!$E$4),Conhecimento!$E$4-D44,"")))</f>
        <v/>
      </c>
      <c r="O44" s="16" t="str">
        <f aca="false">IF(OR(M44="",N44=""),"",IF(I44&lt;&gt;"",IF(N44&lt;=M44,"No prazo","Fora do prazo"),IF(N44&lt;=M44,"Aberto no prazo","Aberto e atrasado")))</f>
        <v/>
      </c>
      <c r="P44" s="17" t="str">
        <f aca="false">IF(AND(C44="",COUNTA(D44:L44)=0),"",IF(ISNA(MATCH(F44,'Pós-entrega'!$C$7:$C$26,0)),"Produto sem política",IF(D44="","Falta a data de abertura",IF(G44="","Falta o tipo",IF(AND(I44&lt;&gt;"",OR(G44="Reclamação",G44="Garantia",G44="Devolução"),K44=""),"Falta a causa",IF(AND(L44&lt;&gt;"",ISNA(MATCH(L44,Lições!$C$7:$C$66,0))),"Lição não encontrada","OK"))))))</f>
        <v/>
      </c>
    </row>
    <row r="45" customFormat="false" ht="30" hidden="false" customHeight="true" outlineLevel="0" collapsed="false">
      <c r="B45" s="12" t="n">
        <v>39</v>
      </c>
      <c r="C45" s="13"/>
      <c r="D45" s="8"/>
      <c r="E45" s="5"/>
      <c r="F45" s="5"/>
      <c r="G45" s="13"/>
      <c r="H45" s="5"/>
      <c r="I45" s="8"/>
      <c r="J45" s="25"/>
      <c r="K45" s="5"/>
      <c r="L45" s="13"/>
      <c r="M45" s="23" t="str">
        <f aca="false">IF(F45="","",IFERROR(IF(INDEX('Pós-entrega'!$H$7:$H$26,MATCH(F45,'Pós-entrega'!$C$7:$C$26,0))="","",INDEX('Pós-entrega'!$H$7:$H$26,MATCH(F45,'Pós-entrega'!$C$7:$C$26,0))),""))</f>
        <v/>
      </c>
      <c r="N45" s="15" t="str">
        <f aca="false">IF(D45="","",IF(I45&lt;&gt;"",I45-D45,IF(ISNUMBER(Conhecimento!$E$4),Conhecimento!$E$4-D45,"")))</f>
        <v/>
      </c>
      <c r="O45" s="16" t="str">
        <f aca="false">IF(OR(M45="",N45=""),"",IF(I45&lt;&gt;"",IF(N45&lt;=M45,"No prazo","Fora do prazo"),IF(N45&lt;=M45,"Aberto no prazo","Aberto e atrasado")))</f>
        <v/>
      </c>
      <c r="P45" s="17" t="str">
        <f aca="false">IF(AND(C45="",COUNTA(D45:L45)=0),"",IF(ISNA(MATCH(F45,'Pós-entrega'!$C$7:$C$26,0)),"Produto sem política",IF(D45="","Falta a data de abertura",IF(G45="","Falta o tipo",IF(AND(I45&lt;&gt;"",OR(G45="Reclamação",G45="Garantia",G45="Devolução"),K45=""),"Falta a causa",IF(AND(L45&lt;&gt;"",ISNA(MATCH(L45,Lições!$C$7:$C$66,0))),"Lição não encontrada","OK"))))))</f>
        <v/>
      </c>
    </row>
    <row r="46" customFormat="false" ht="30" hidden="false" customHeight="true" outlineLevel="0" collapsed="false">
      <c r="B46" s="12" t="n">
        <v>40</v>
      </c>
      <c r="C46" s="13"/>
      <c r="D46" s="8"/>
      <c r="E46" s="5"/>
      <c r="F46" s="5"/>
      <c r="G46" s="13"/>
      <c r="H46" s="5"/>
      <c r="I46" s="8"/>
      <c r="J46" s="25"/>
      <c r="K46" s="5"/>
      <c r="L46" s="13"/>
      <c r="M46" s="23" t="str">
        <f aca="false">IF(F46="","",IFERROR(IF(INDEX('Pós-entrega'!$H$7:$H$26,MATCH(F46,'Pós-entrega'!$C$7:$C$26,0))="","",INDEX('Pós-entrega'!$H$7:$H$26,MATCH(F46,'Pós-entrega'!$C$7:$C$26,0))),""))</f>
        <v/>
      </c>
      <c r="N46" s="15" t="str">
        <f aca="false">IF(D46="","",IF(I46&lt;&gt;"",I46-D46,IF(ISNUMBER(Conhecimento!$E$4),Conhecimento!$E$4-D46,"")))</f>
        <v/>
      </c>
      <c r="O46" s="16" t="str">
        <f aca="false">IF(OR(M46="",N46=""),"",IF(I46&lt;&gt;"",IF(N46&lt;=M46,"No prazo","Fora do prazo"),IF(N46&lt;=M46,"Aberto no prazo","Aberto e atrasado")))</f>
        <v/>
      </c>
      <c r="P46" s="17" t="str">
        <f aca="false">IF(AND(C46="",COUNTA(D46:L46)=0),"",IF(ISNA(MATCH(F46,'Pós-entrega'!$C$7:$C$26,0)),"Produto sem política",IF(D46="","Falta a data de abertura",IF(G46="","Falta o tipo",IF(AND(I46&lt;&gt;"",OR(G46="Reclamação",G46="Garantia",G46="Devolução"),K46=""),"Falta a causa",IF(AND(L46&lt;&gt;"",ISNA(MATCH(L46,Lições!$C$7:$C$66,0))),"Lição não encontrada","OK"))))))</f>
        <v/>
      </c>
    </row>
    <row r="47" customFormat="false" ht="30" hidden="false" customHeight="true" outlineLevel="0" collapsed="false">
      <c r="B47" s="12" t="n">
        <v>41</v>
      </c>
      <c r="C47" s="13"/>
      <c r="D47" s="8"/>
      <c r="E47" s="5"/>
      <c r="F47" s="5"/>
      <c r="G47" s="13"/>
      <c r="H47" s="5"/>
      <c r="I47" s="8"/>
      <c r="J47" s="25"/>
      <c r="K47" s="5"/>
      <c r="L47" s="13"/>
      <c r="M47" s="23" t="str">
        <f aca="false">IF(F47="","",IFERROR(IF(INDEX('Pós-entrega'!$H$7:$H$26,MATCH(F47,'Pós-entrega'!$C$7:$C$26,0))="","",INDEX('Pós-entrega'!$H$7:$H$26,MATCH(F47,'Pós-entrega'!$C$7:$C$26,0))),""))</f>
        <v/>
      </c>
      <c r="N47" s="15" t="str">
        <f aca="false">IF(D47="","",IF(I47&lt;&gt;"",I47-D47,IF(ISNUMBER(Conhecimento!$E$4),Conhecimento!$E$4-D47,"")))</f>
        <v/>
      </c>
      <c r="O47" s="16" t="str">
        <f aca="false">IF(OR(M47="",N47=""),"",IF(I47&lt;&gt;"",IF(N47&lt;=M47,"No prazo","Fora do prazo"),IF(N47&lt;=M47,"Aberto no prazo","Aberto e atrasado")))</f>
        <v/>
      </c>
      <c r="P47" s="17" t="str">
        <f aca="false">IF(AND(C47="",COUNTA(D47:L47)=0),"",IF(ISNA(MATCH(F47,'Pós-entrega'!$C$7:$C$26,0)),"Produto sem política",IF(D47="","Falta a data de abertura",IF(G47="","Falta o tipo",IF(AND(I47&lt;&gt;"",OR(G47="Reclamação",G47="Garantia",G47="Devolução"),K47=""),"Falta a causa",IF(AND(L47&lt;&gt;"",ISNA(MATCH(L47,Lições!$C$7:$C$66,0))),"Lição não encontrada","OK"))))))</f>
        <v/>
      </c>
    </row>
    <row r="48" customFormat="false" ht="30" hidden="false" customHeight="true" outlineLevel="0" collapsed="false">
      <c r="B48" s="12" t="n">
        <v>42</v>
      </c>
      <c r="C48" s="13"/>
      <c r="D48" s="8"/>
      <c r="E48" s="5"/>
      <c r="F48" s="5"/>
      <c r="G48" s="13"/>
      <c r="H48" s="5"/>
      <c r="I48" s="8"/>
      <c r="J48" s="25"/>
      <c r="K48" s="5"/>
      <c r="L48" s="13"/>
      <c r="M48" s="23" t="str">
        <f aca="false">IF(F48="","",IFERROR(IF(INDEX('Pós-entrega'!$H$7:$H$26,MATCH(F48,'Pós-entrega'!$C$7:$C$26,0))="","",INDEX('Pós-entrega'!$H$7:$H$26,MATCH(F48,'Pós-entrega'!$C$7:$C$26,0))),""))</f>
        <v/>
      </c>
      <c r="N48" s="15" t="str">
        <f aca="false">IF(D48="","",IF(I48&lt;&gt;"",I48-D48,IF(ISNUMBER(Conhecimento!$E$4),Conhecimento!$E$4-D48,"")))</f>
        <v/>
      </c>
      <c r="O48" s="16" t="str">
        <f aca="false">IF(OR(M48="",N48=""),"",IF(I48&lt;&gt;"",IF(N48&lt;=M48,"No prazo","Fora do prazo"),IF(N48&lt;=M48,"Aberto no prazo","Aberto e atrasado")))</f>
        <v/>
      </c>
      <c r="P48" s="17" t="str">
        <f aca="false">IF(AND(C48="",COUNTA(D48:L48)=0),"",IF(ISNA(MATCH(F48,'Pós-entrega'!$C$7:$C$26,0)),"Produto sem política",IF(D48="","Falta a data de abertura",IF(G48="","Falta o tipo",IF(AND(I48&lt;&gt;"",OR(G48="Reclamação",G48="Garantia",G48="Devolução"),K48=""),"Falta a causa",IF(AND(L48&lt;&gt;"",ISNA(MATCH(L48,Lições!$C$7:$C$66,0))),"Lição não encontrada","OK"))))))</f>
        <v/>
      </c>
    </row>
    <row r="49" customFormat="false" ht="30" hidden="false" customHeight="true" outlineLevel="0" collapsed="false">
      <c r="B49" s="12" t="n">
        <v>43</v>
      </c>
      <c r="C49" s="13"/>
      <c r="D49" s="8"/>
      <c r="E49" s="5"/>
      <c r="F49" s="5"/>
      <c r="G49" s="13"/>
      <c r="H49" s="5"/>
      <c r="I49" s="8"/>
      <c r="J49" s="25"/>
      <c r="K49" s="5"/>
      <c r="L49" s="13"/>
      <c r="M49" s="23" t="str">
        <f aca="false">IF(F49="","",IFERROR(IF(INDEX('Pós-entrega'!$H$7:$H$26,MATCH(F49,'Pós-entrega'!$C$7:$C$26,0))="","",INDEX('Pós-entrega'!$H$7:$H$26,MATCH(F49,'Pós-entrega'!$C$7:$C$26,0))),""))</f>
        <v/>
      </c>
      <c r="N49" s="15" t="str">
        <f aca="false">IF(D49="","",IF(I49&lt;&gt;"",I49-D49,IF(ISNUMBER(Conhecimento!$E$4),Conhecimento!$E$4-D49,"")))</f>
        <v/>
      </c>
      <c r="O49" s="16" t="str">
        <f aca="false">IF(OR(M49="",N49=""),"",IF(I49&lt;&gt;"",IF(N49&lt;=M49,"No prazo","Fora do prazo"),IF(N49&lt;=M49,"Aberto no prazo","Aberto e atrasado")))</f>
        <v/>
      </c>
      <c r="P49" s="17" t="str">
        <f aca="false">IF(AND(C49="",COUNTA(D49:L49)=0),"",IF(ISNA(MATCH(F49,'Pós-entrega'!$C$7:$C$26,0)),"Produto sem política",IF(D49="","Falta a data de abertura",IF(G49="","Falta o tipo",IF(AND(I49&lt;&gt;"",OR(G49="Reclamação",G49="Garantia",G49="Devolução"),K49=""),"Falta a causa",IF(AND(L49&lt;&gt;"",ISNA(MATCH(L49,Lições!$C$7:$C$66,0))),"Lição não encontrada","OK"))))))</f>
        <v/>
      </c>
    </row>
    <row r="50" customFormat="false" ht="30" hidden="false" customHeight="true" outlineLevel="0" collapsed="false">
      <c r="B50" s="12" t="n">
        <v>44</v>
      </c>
      <c r="C50" s="13"/>
      <c r="D50" s="8"/>
      <c r="E50" s="5"/>
      <c r="F50" s="5"/>
      <c r="G50" s="13"/>
      <c r="H50" s="5"/>
      <c r="I50" s="8"/>
      <c r="J50" s="25"/>
      <c r="K50" s="5"/>
      <c r="L50" s="13"/>
      <c r="M50" s="23" t="str">
        <f aca="false">IF(F50="","",IFERROR(IF(INDEX('Pós-entrega'!$H$7:$H$26,MATCH(F50,'Pós-entrega'!$C$7:$C$26,0))="","",INDEX('Pós-entrega'!$H$7:$H$26,MATCH(F50,'Pós-entrega'!$C$7:$C$26,0))),""))</f>
        <v/>
      </c>
      <c r="N50" s="15" t="str">
        <f aca="false">IF(D50="","",IF(I50&lt;&gt;"",I50-D50,IF(ISNUMBER(Conhecimento!$E$4),Conhecimento!$E$4-D50,"")))</f>
        <v/>
      </c>
      <c r="O50" s="16" t="str">
        <f aca="false">IF(OR(M50="",N50=""),"",IF(I50&lt;&gt;"",IF(N50&lt;=M50,"No prazo","Fora do prazo"),IF(N50&lt;=M50,"Aberto no prazo","Aberto e atrasado")))</f>
        <v/>
      </c>
      <c r="P50" s="17" t="str">
        <f aca="false">IF(AND(C50="",COUNTA(D50:L50)=0),"",IF(ISNA(MATCH(F50,'Pós-entrega'!$C$7:$C$26,0)),"Produto sem política",IF(D50="","Falta a data de abertura",IF(G50="","Falta o tipo",IF(AND(I50&lt;&gt;"",OR(G50="Reclamação",G50="Garantia",G50="Devolução"),K50=""),"Falta a causa",IF(AND(L50&lt;&gt;"",ISNA(MATCH(L50,Lições!$C$7:$C$66,0))),"Lição não encontrada","OK"))))))</f>
        <v/>
      </c>
    </row>
    <row r="51" customFormat="false" ht="30" hidden="false" customHeight="true" outlineLevel="0" collapsed="false">
      <c r="B51" s="12" t="n">
        <v>45</v>
      </c>
      <c r="C51" s="13"/>
      <c r="D51" s="8"/>
      <c r="E51" s="5"/>
      <c r="F51" s="5"/>
      <c r="G51" s="13"/>
      <c r="H51" s="5"/>
      <c r="I51" s="8"/>
      <c r="J51" s="25"/>
      <c r="K51" s="5"/>
      <c r="L51" s="13"/>
      <c r="M51" s="23" t="str">
        <f aca="false">IF(F51="","",IFERROR(IF(INDEX('Pós-entrega'!$H$7:$H$26,MATCH(F51,'Pós-entrega'!$C$7:$C$26,0))="","",INDEX('Pós-entrega'!$H$7:$H$26,MATCH(F51,'Pós-entrega'!$C$7:$C$26,0))),""))</f>
        <v/>
      </c>
      <c r="N51" s="15" t="str">
        <f aca="false">IF(D51="","",IF(I51&lt;&gt;"",I51-D51,IF(ISNUMBER(Conhecimento!$E$4),Conhecimento!$E$4-D51,"")))</f>
        <v/>
      </c>
      <c r="O51" s="16" t="str">
        <f aca="false">IF(OR(M51="",N51=""),"",IF(I51&lt;&gt;"",IF(N51&lt;=M51,"No prazo","Fora do prazo"),IF(N51&lt;=M51,"Aberto no prazo","Aberto e atrasado")))</f>
        <v/>
      </c>
      <c r="P51" s="17" t="str">
        <f aca="false">IF(AND(C51="",COUNTA(D51:L51)=0),"",IF(ISNA(MATCH(F51,'Pós-entrega'!$C$7:$C$26,0)),"Produto sem política",IF(D51="","Falta a data de abertura",IF(G51="","Falta o tipo",IF(AND(I51&lt;&gt;"",OR(G51="Reclamação",G51="Garantia",G51="Devolução"),K51=""),"Falta a causa",IF(AND(L51&lt;&gt;"",ISNA(MATCH(L51,Lições!$C$7:$C$66,0))),"Lição não encontrada","OK"))))))</f>
        <v/>
      </c>
    </row>
    <row r="52" customFormat="false" ht="30" hidden="false" customHeight="true" outlineLevel="0" collapsed="false">
      <c r="B52" s="12" t="n">
        <v>46</v>
      </c>
      <c r="C52" s="13"/>
      <c r="D52" s="8"/>
      <c r="E52" s="5"/>
      <c r="F52" s="5"/>
      <c r="G52" s="13"/>
      <c r="H52" s="5"/>
      <c r="I52" s="8"/>
      <c r="J52" s="25"/>
      <c r="K52" s="5"/>
      <c r="L52" s="13"/>
      <c r="M52" s="23" t="str">
        <f aca="false">IF(F52="","",IFERROR(IF(INDEX('Pós-entrega'!$H$7:$H$26,MATCH(F52,'Pós-entrega'!$C$7:$C$26,0))="","",INDEX('Pós-entrega'!$H$7:$H$26,MATCH(F52,'Pós-entrega'!$C$7:$C$26,0))),""))</f>
        <v/>
      </c>
      <c r="N52" s="15" t="str">
        <f aca="false">IF(D52="","",IF(I52&lt;&gt;"",I52-D52,IF(ISNUMBER(Conhecimento!$E$4),Conhecimento!$E$4-D52,"")))</f>
        <v/>
      </c>
      <c r="O52" s="16" t="str">
        <f aca="false">IF(OR(M52="",N52=""),"",IF(I52&lt;&gt;"",IF(N52&lt;=M52,"No prazo","Fora do prazo"),IF(N52&lt;=M52,"Aberto no prazo","Aberto e atrasado")))</f>
        <v/>
      </c>
      <c r="P52" s="17" t="str">
        <f aca="false">IF(AND(C52="",COUNTA(D52:L52)=0),"",IF(ISNA(MATCH(F52,'Pós-entrega'!$C$7:$C$26,0)),"Produto sem política",IF(D52="","Falta a data de abertura",IF(G52="","Falta o tipo",IF(AND(I52&lt;&gt;"",OR(G52="Reclamação",G52="Garantia",G52="Devolução"),K52=""),"Falta a causa",IF(AND(L52&lt;&gt;"",ISNA(MATCH(L52,Lições!$C$7:$C$66,0))),"Lição não encontrada","OK"))))))</f>
        <v/>
      </c>
    </row>
    <row r="53" customFormat="false" ht="30" hidden="false" customHeight="true" outlineLevel="0" collapsed="false">
      <c r="B53" s="12" t="n">
        <v>47</v>
      </c>
      <c r="C53" s="13"/>
      <c r="D53" s="8"/>
      <c r="E53" s="5"/>
      <c r="F53" s="5"/>
      <c r="G53" s="13"/>
      <c r="H53" s="5"/>
      <c r="I53" s="8"/>
      <c r="J53" s="25"/>
      <c r="K53" s="5"/>
      <c r="L53" s="13"/>
      <c r="M53" s="23" t="str">
        <f aca="false">IF(F53="","",IFERROR(IF(INDEX('Pós-entrega'!$H$7:$H$26,MATCH(F53,'Pós-entrega'!$C$7:$C$26,0))="","",INDEX('Pós-entrega'!$H$7:$H$26,MATCH(F53,'Pós-entrega'!$C$7:$C$26,0))),""))</f>
        <v/>
      </c>
      <c r="N53" s="15" t="str">
        <f aca="false">IF(D53="","",IF(I53&lt;&gt;"",I53-D53,IF(ISNUMBER(Conhecimento!$E$4),Conhecimento!$E$4-D53,"")))</f>
        <v/>
      </c>
      <c r="O53" s="16" t="str">
        <f aca="false">IF(OR(M53="",N53=""),"",IF(I53&lt;&gt;"",IF(N53&lt;=M53,"No prazo","Fora do prazo"),IF(N53&lt;=M53,"Aberto no prazo","Aberto e atrasado")))</f>
        <v/>
      </c>
      <c r="P53" s="17" t="str">
        <f aca="false">IF(AND(C53="",COUNTA(D53:L53)=0),"",IF(ISNA(MATCH(F53,'Pós-entrega'!$C$7:$C$26,0)),"Produto sem política",IF(D53="","Falta a data de abertura",IF(G53="","Falta o tipo",IF(AND(I53&lt;&gt;"",OR(G53="Reclamação",G53="Garantia",G53="Devolução"),K53=""),"Falta a causa",IF(AND(L53&lt;&gt;"",ISNA(MATCH(L53,Lições!$C$7:$C$66,0))),"Lição não encontrada","OK"))))))</f>
        <v/>
      </c>
    </row>
    <row r="54" customFormat="false" ht="30" hidden="false" customHeight="true" outlineLevel="0" collapsed="false">
      <c r="B54" s="12" t="n">
        <v>48</v>
      </c>
      <c r="C54" s="13"/>
      <c r="D54" s="8"/>
      <c r="E54" s="5"/>
      <c r="F54" s="5"/>
      <c r="G54" s="13"/>
      <c r="H54" s="5"/>
      <c r="I54" s="8"/>
      <c r="J54" s="25"/>
      <c r="K54" s="5"/>
      <c r="L54" s="13"/>
      <c r="M54" s="23" t="str">
        <f aca="false">IF(F54="","",IFERROR(IF(INDEX('Pós-entrega'!$H$7:$H$26,MATCH(F54,'Pós-entrega'!$C$7:$C$26,0))="","",INDEX('Pós-entrega'!$H$7:$H$26,MATCH(F54,'Pós-entrega'!$C$7:$C$26,0))),""))</f>
        <v/>
      </c>
      <c r="N54" s="15" t="str">
        <f aca="false">IF(D54="","",IF(I54&lt;&gt;"",I54-D54,IF(ISNUMBER(Conhecimento!$E$4),Conhecimento!$E$4-D54,"")))</f>
        <v/>
      </c>
      <c r="O54" s="16" t="str">
        <f aca="false">IF(OR(M54="",N54=""),"",IF(I54&lt;&gt;"",IF(N54&lt;=M54,"No prazo","Fora do prazo"),IF(N54&lt;=M54,"Aberto no prazo","Aberto e atrasado")))</f>
        <v/>
      </c>
      <c r="P54" s="17" t="str">
        <f aca="false">IF(AND(C54="",COUNTA(D54:L54)=0),"",IF(ISNA(MATCH(F54,'Pós-entrega'!$C$7:$C$26,0)),"Produto sem política",IF(D54="","Falta a data de abertura",IF(G54="","Falta o tipo",IF(AND(I54&lt;&gt;"",OR(G54="Reclamação",G54="Garantia",G54="Devolução"),K54=""),"Falta a causa",IF(AND(L54&lt;&gt;"",ISNA(MATCH(L54,Lições!$C$7:$C$66,0))),"Lição não encontrada","OK"))))))</f>
        <v/>
      </c>
    </row>
    <row r="55" customFormat="false" ht="30" hidden="false" customHeight="true" outlineLevel="0" collapsed="false">
      <c r="B55" s="12" t="n">
        <v>49</v>
      </c>
      <c r="C55" s="13"/>
      <c r="D55" s="8"/>
      <c r="E55" s="5"/>
      <c r="F55" s="5"/>
      <c r="G55" s="13"/>
      <c r="H55" s="5"/>
      <c r="I55" s="8"/>
      <c r="J55" s="25"/>
      <c r="K55" s="5"/>
      <c r="L55" s="13"/>
      <c r="M55" s="23" t="str">
        <f aca="false">IF(F55="","",IFERROR(IF(INDEX('Pós-entrega'!$H$7:$H$26,MATCH(F55,'Pós-entrega'!$C$7:$C$26,0))="","",INDEX('Pós-entrega'!$H$7:$H$26,MATCH(F55,'Pós-entrega'!$C$7:$C$26,0))),""))</f>
        <v/>
      </c>
      <c r="N55" s="15" t="str">
        <f aca="false">IF(D55="","",IF(I55&lt;&gt;"",I55-D55,IF(ISNUMBER(Conhecimento!$E$4),Conhecimento!$E$4-D55,"")))</f>
        <v/>
      </c>
      <c r="O55" s="16" t="str">
        <f aca="false">IF(OR(M55="",N55=""),"",IF(I55&lt;&gt;"",IF(N55&lt;=M55,"No prazo","Fora do prazo"),IF(N55&lt;=M55,"Aberto no prazo","Aberto e atrasado")))</f>
        <v/>
      </c>
      <c r="P55" s="17" t="str">
        <f aca="false">IF(AND(C55="",COUNTA(D55:L55)=0),"",IF(ISNA(MATCH(F55,'Pós-entrega'!$C$7:$C$26,0)),"Produto sem política",IF(D55="","Falta a data de abertura",IF(G55="","Falta o tipo",IF(AND(I55&lt;&gt;"",OR(G55="Reclamação",G55="Garantia",G55="Devolução"),K55=""),"Falta a causa",IF(AND(L55&lt;&gt;"",ISNA(MATCH(L55,Lições!$C$7:$C$66,0))),"Lição não encontrada","OK"))))))</f>
        <v/>
      </c>
    </row>
    <row r="56" customFormat="false" ht="30" hidden="false" customHeight="true" outlineLevel="0" collapsed="false">
      <c r="B56" s="12" t="n">
        <v>50</v>
      </c>
      <c r="C56" s="13"/>
      <c r="D56" s="8"/>
      <c r="E56" s="5"/>
      <c r="F56" s="5"/>
      <c r="G56" s="13"/>
      <c r="H56" s="5"/>
      <c r="I56" s="8"/>
      <c r="J56" s="25"/>
      <c r="K56" s="5"/>
      <c r="L56" s="13"/>
      <c r="M56" s="23" t="str">
        <f aca="false">IF(F56="","",IFERROR(IF(INDEX('Pós-entrega'!$H$7:$H$26,MATCH(F56,'Pós-entrega'!$C$7:$C$26,0))="","",INDEX('Pós-entrega'!$H$7:$H$26,MATCH(F56,'Pós-entrega'!$C$7:$C$26,0))),""))</f>
        <v/>
      </c>
      <c r="N56" s="15" t="str">
        <f aca="false">IF(D56="","",IF(I56&lt;&gt;"",I56-D56,IF(ISNUMBER(Conhecimento!$E$4),Conhecimento!$E$4-D56,"")))</f>
        <v/>
      </c>
      <c r="O56" s="16" t="str">
        <f aca="false">IF(OR(M56="",N56=""),"",IF(I56&lt;&gt;"",IF(N56&lt;=M56,"No prazo","Fora do prazo"),IF(N56&lt;=M56,"Aberto no prazo","Aberto e atrasado")))</f>
        <v/>
      </c>
      <c r="P56" s="17" t="str">
        <f aca="false">IF(AND(C56="",COUNTA(D56:L56)=0),"",IF(ISNA(MATCH(F56,'Pós-entrega'!$C$7:$C$26,0)),"Produto sem política",IF(D56="","Falta a data de abertura",IF(G56="","Falta o tipo",IF(AND(I56&lt;&gt;"",OR(G56="Reclamação",G56="Garantia",G56="Devolução"),K56=""),"Falta a causa",IF(AND(L56&lt;&gt;"",ISNA(MATCH(L56,Lições!$C$7:$C$66,0))),"Lição não encontrada","OK"))))))</f>
        <v/>
      </c>
    </row>
    <row r="57" customFormat="false" ht="30" hidden="false" customHeight="true" outlineLevel="0" collapsed="false">
      <c r="B57" s="12" t="n">
        <v>51</v>
      </c>
      <c r="C57" s="13"/>
      <c r="D57" s="8"/>
      <c r="E57" s="5"/>
      <c r="F57" s="5"/>
      <c r="G57" s="13"/>
      <c r="H57" s="5"/>
      <c r="I57" s="8"/>
      <c r="J57" s="25"/>
      <c r="K57" s="5"/>
      <c r="L57" s="13"/>
      <c r="M57" s="23" t="str">
        <f aca="false">IF(F57="","",IFERROR(IF(INDEX('Pós-entrega'!$H$7:$H$26,MATCH(F57,'Pós-entrega'!$C$7:$C$26,0))="","",INDEX('Pós-entrega'!$H$7:$H$26,MATCH(F57,'Pós-entrega'!$C$7:$C$26,0))),""))</f>
        <v/>
      </c>
      <c r="N57" s="15" t="str">
        <f aca="false">IF(D57="","",IF(I57&lt;&gt;"",I57-D57,IF(ISNUMBER(Conhecimento!$E$4),Conhecimento!$E$4-D57,"")))</f>
        <v/>
      </c>
      <c r="O57" s="16" t="str">
        <f aca="false">IF(OR(M57="",N57=""),"",IF(I57&lt;&gt;"",IF(N57&lt;=M57,"No prazo","Fora do prazo"),IF(N57&lt;=M57,"Aberto no prazo","Aberto e atrasado")))</f>
        <v/>
      </c>
      <c r="P57" s="17" t="str">
        <f aca="false">IF(AND(C57="",COUNTA(D57:L57)=0),"",IF(ISNA(MATCH(F57,'Pós-entrega'!$C$7:$C$26,0)),"Produto sem política",IF(D57="","Falta a data de abertura",IF(G57="","Falta o tipo",IF(AND(I57&lt;&gt;"",OR(G57="Reclamação",G57="Garantia",G57="Devolução"),K57=""),"Falta a causa",IF(AND(L57&lt;&gt;"",ISNA(MATCH(L57,Lições!$C$7:$C$66,0))),"Lição não encontrada","OK"))))))</f>
        <v/>
      </c>
    </row>
    <row r="58" customFormat="false" ht="30" hidden="false" customHeight="true" outlineLevel="0" collapsed="false">
      <c r="B58" s="12" t="n">
        <v>52</v>
      </c>
      <c r="C58" s="13"/>
      <c r="D58" s="8"/>
      <c r="E58" s="5"/>
      <c r="F58" s="5"/>
      <c r="G58" s="13"/>
      <c r="H58" s="5"/>
      <c r="I58" s="8"/>
      <c r="J58" s="25"/>
      <c r="K58" s="5"/>
      <c r="L58" s="13"/>
      <c r="M58" s="23" t="str">
        <f aca="false">IF(F58="","",IFERROR(IF(INDEX('Pós-entrega'!$H$7:$H$26,MATCH(F58,'Pós-entrega'!$C$7:$C$26,0))="","",INDEX('Pós-entrega'!$H$7:$H$26,MATCH(F58,'Pós-entrega'!$C$7:$C$26,0))),""))</f>
        <v/>
      </c>
      <c r="N58" s="15" t="str">
        <f aca="false">IF(D58="","",IF(I58&lt;&gt;"",I58-D58,IF(ISNUMBER(Conhecimento!$E$4),Conhecimento!$E$4-D58,"")))</f>
        <v/>
      </c>
      <c r="O58" s="16" t="str">
        <f aca="false">IF(OR(M58="",N58=""),"",IF(I58&lt;&gt;"",IF(N58&lt;=M58,"No prazo","Fora do prazo"),IF(N58&lt;=M58,"Aberto no prazo","Aberto e atrasado")))</f>
        <v/>
      </c>
      <c r="P58" s="17" t="str">
        <f aca="false">IF(AND(C58="",COUNTA(D58:L58)=0),"",IF(ISNA(MATCH(F58,'Pós-entrega'!$C$7:$C$26,0)),"Produto sem política",IF(D58="","Falta a data de abertura",IF(G58="","Falta o tipo",IF(AND(I58&lt;&gt;"",OR(G58="Reclamação",G58="Garantia",G58="Devolução"),K58=""),"Falta a causa",IF(AND(L58&lt;&gt;"",ISNA(MATCH(L58,Lições!$C$7:$C$66,0))),"Lição não encontrada","OK"))))))</f>
        <v/>
      </c>
    </row>
    <row r="59" customFormat="false" ht="30" hidden="false" customHeight="true" outlineLevel="0" collapsed="false">
      <c r="B59" s="12" t="n">
        <v>53</v>
      </c>
      <c r="C59" s="13"/>
      <c r="D59" s="8"/>
      <c r="E59" s="5"/>
      <c r="F59" s="5"/>
      <c r="G59" s="13"/>
      <c r="H59" s="5"/>
      <c r="I59" s="8"/>
      <c r="J59" s="25"/>
      <c r="K59" s="5"/>
      <c r="L59" s="13"/>
      <c r="M59" s="23" t="str">
        <f aca="false">IF(F59="","",IFERROR(IF(INDEX('Pós-entrega'!$H$7:$H$26,MATCH(F59,'Pós-entrega'!$C$7:$C$26,0))="","",INDEX('Pós-entrega'!$H$7:$H$26,MATCH(F59,'Pós-entrega'!$C$7:$C$26,0))),""))</f>
        <v/>
      </c>
      <c r="N59" s="15" t="str">
        <f aca="false">IF(D59="","",IF(I59&lt;&gt;"",I59-D59,IF(ISNUMBER(Conhecimento!$E$4),Conhecimento!$E$4-D59,"")))</f>
        <v/>
      </c>
      <c r="O59" s="16" t="str">
        <f aca="false">IF(OR(M59="",N59=""),"",IF(I59&lt;&gt;"",IF(N59&lt;=M59,"No prazo","Fora do prazo"),IF(N59&lt;=M59,"Aberto no prazo","Aberto e atrasado")))</f>
        <v/>
      </c>
      <c r="P59" s="17" t="str">
        <f aca="false">IF(AND(C59="",COUNTA(D59:L59)=0),"",IF(ISNA(MATCH(F59,'Pós-entrega'!$C$7:$C$26,0)),"Produto sem política",IF(D59="","Falta a data de abertura",IF(G59="","Falta o tipo",IF(AND(I59&lt;&gt;"",OR(G59="Reclamação",G59="Garantia",G59="Devolução"),K59=""),"Falta a causa",IF(AND(L59&lt;&gt;"",ISNA(MATCH(L59,Lições!$C$7:$C$66,0))),"Lição não encontrada","OK"))))))</f>
        <v/>
      </c>
    </row>
    <row r="60" customFormat="false" ht="30" hidden="false" customHeight="true" outlineLevel="0" collapsed="false">
      <c r="B60" s="12" t="n">
        <v>54</v>
      </c>
      <c r="C60" s="13"/>
      <c r="D60" s="8"/>
      <c r="E60" s="5"/>
      <c r="F60" s="5"/>
      <c r="G60" s="13"/>
      <c r="H60" s="5"/>
      <c r="I60" s="8"/>
      <c r="J60" s="25"/>
      <c r="K60" s="5"/>
      <c r="L60" s="13"/>
      <c r="M60" s="23" t="str">
        <f aca="false">IF(F60="","",IFERROR(IF(INDEX('Pós-entrega'!$H$7:$H$26,MATCH(F60,'Pós-entrega'!$C$7:$C$26,0))="","",INDEX('Pós-entrega'!$H$7:$H$26,MATCH(F60,'Pós-entrega'!$C$7:$C$26,0))),""))</f>
        <v/>
      </c>
      <c r="N60" s="15" t="str">
        <f aca="false">IF(D60="","",IF(I60&lt;&gt;"",I60-D60,IF(ISNUMBER(Conhecimento!$E$4),Conhecimento!$E$4-D60,"")))</f>
        <v/>
      </c>
      <c r="O60" s="16" t="str">
        <f aca="false">IF(OR(M60="",N60=""),"",IF(I60&lt;&gt;"",IF(N60&lt;=M60,"No prazo","Fora do prazo"),IF(N60&lt;=M60,"Aberto no prazo","Aberto e atrasado")))</f>
        <v/>
      </c>
      <c r="P60" s="17" t="str">
        <f aca="false">IF(AND(C60="",COUNTA(D60:L60)=0),"",IF(ISNA(MATCH(F60,'Pós-entrega'!$C$7:$C$26,0)),"Produto sem política",IF(D60="","Falta a data de abertura",IF(G60="","Falta o tipo",IF(AND(I60&lt;&gt;"",OR(G60="Reclamação",G60="Garantia",G60="Devolução"),K60=""),"Falta a causa",IF(AND(L60&lt;&gt;"",ISNA(MATCH(L60,Lições!$C$7:$C$66,0))),"Lição não encontrada","OK"))))))</f>
        <v/>
      </c>
    </row>
    <row r="61" customFormat="false" ht="30" hidden="false" customHeight="true" outlineLevel="0" collapsed="false">
      <c r="B61" s="12" t="n">
        <v>55</v>
      </c>
      <c r="C61" s="13"/>
      <c r="D61" s="8"/>
      <c r="E61" s="5"/>
      <c r="F61" s="5"/>
      <c r="G61" s="13"/>
      <c r="H61" s="5"/>
      <c r="I61" s="8"/>
      <c r="J61" s="25"/>
      <c r="K61" s="5"/>
      <c r="L61" s="13"/>
      <c r="M61" s="23" t="str">
        <f aca="false">IF(F61="","",IFERROR(IF(INDEX('Pós-entrega'!$H$7:$H$26,MATCH(F61,'Pós-entrega'!$C$7:$C$26,0))="","",INDEX('Pós-entrega'!$H$7:$H$26,MATCH(F61,'Pós-entrega'!$C$7:$C$26,0))),""))</f>
        <v/>
      </c>
      <c r="N61" s="15" t="str">
        <f aca="false">IF(D61="","",IF(I61&lt;&gt;"",I61-D61,IF(ISNUMBER(Conhecimento!$E$4),Conhecimento!$E$4-D61,"")))</f>
        <v/>
      </c>
      <c r="O61" s="16" t="str">
        <f aca="false">IF(OR(M61="",N61=""),"",IF(I61&lt;&gt;"",IF(N61&lt;=M61,"No prazo","Fora do prazo"),IF(N61&lt;=M61,"Aberto no prazo","Aberto e atrasado")))</f>
        <v/>
      </c>
      <c r="P61" s="17" t="str">
        <f aca="false">IF(AND(C61="",COUNTA(D61:L61)=0),"",IF(ISNA(MATCH(F61,'Pós-entrega'!$C$7:$C$26,0)),"Produto sem política",IF(D61="","Falta a data de abertura",IF(G61="","Falta o tipo",IF(AND(I61&lt;&gt;"",OR(G61="Reclamação",G61="Garantia",G61="Devolução"),K61=""),"Falta a causa",IF(AND(L61&lt;&gt;"",ISNA(MATCH(L61,Lições!$C$7:$C$66,0))),"Lição não encontrada","OK"))))))</f>
        <v/>
      </c>
    </row>
    <row r="62" customFormat="false" ht="30" hidden="false" customHeight="true" outlineLevel="0" collapsed="false">
      <c r="B62" s="12" t="n">
        <v>56</v>
      </c>
      <c r="C62" s="13"/>
      <c r="D62" s="8"/>
      <c r="E62" s="5"/>
      <c r="F62" s="5"/>
      <c r="G62" s="13"/>
      <c r="H62" s="5"/>
      <c r="I62" s="8"/>
      <c r="J62" s="25"/>
      <c r="K62" s="5"/>
      <c r="L62" s="13"/>
      <c r="M62" s="23" t="str">
        <f aca="false">IF(F62="","",IFERROR(IF(INDEX('Pós-entrega'!$H$7:$H$26,MATCH(F62,'Pós-entrega'!$C$7:$C$26,0))="","",INDEX('Pós-entrega'!$H$7:$H$26,MATCH(F62,'Pós-entrega'!$C$7:$C$26,0))),""))</f>
        <v/>
      </c>
      <c r="N62" s="15" t="str">
        <f aca="false">IF(D62="","",IF(I62&lt;&gt;"",I62-D62,IF(ISNUMBER(Conhecimento!$E$4),Conhecimento!$E$4-D62,"")))</f>
        <v/>
      </c>
      <c r="O62" s="16" t="str">
        <f aca="false">IF(OR(M62="",N62=""),"",IF(I62&lt;&gt;"",IF(N62&lt;=M62,"No prazo","Fora do prazo"),IF(N62&lt;=M62,"Aberto no prazo","Aberto e atrasado")))</f>
        <v/>
      </c>
      <c r="P62" s="17" t="str">
        <f aca="false">IF(AND(C62="",COUNTA(D62:L62)=0),"",IF(ISNA(MATCH(F62,'Pós-entrega'!$C$7:$C$26,0)),"Produto sem política",IF(D62="","Falta a data de abertura",IF(G62="","Falta o tipo",IF(AND(I62&lt;&gt;"",OR(G62="Reclamação",G62="Garantia",G62="Devolução"),K62=""),"Falta a causa",IF(AND(L62&lt;&gt;"",ISNA(MATCH(L62,Lições!$C$7:$C$66,0))),"Lição não encontrada","OK"))))))</f>
        <v/>
      </c>
    </row>
    <row r="63" customFormat="false" ht="30" hidden="false" customHeight="true" outlineLevel="0" collapsed="false">
      <c r="B63" s="12" t="n">
        <v>57</v>
      </c>
      <c r="C63" s="13"/>
      <c r="D63" s="8"/>
      <c r="E63" s="5"/>
      <c r="F63" s="5"/>
      <c r="G63" s="13"/>
      <c r="H63" s="5"/>
      <c r="I63" s="8"/>
      <c r="J63" s="25"/>
      <c r="K63" s="5"/>
      <c r="L63" s="13"/>
      <c r="M63" s="23" t="str">
        <f aca="false">IF(F63="","",IFERROR(IF(INDEX('Pós-entrega'!$H$7:$H$26,MATCH(F63,'Pós-entrega'!$C$7:$C$26,0))="","",INDEX('Pós-entrega'!$H$7:$H$26,MATCH(F63,'Pós-entrega'!$C$7:$C$26,0))),""))</f>
        <v/>
      </c>
      <c r="N63" s="15" t="str">
        <f aca="false">IF(D63="","",IF(I63&lt;&gt;"",I63-D63,IF(ISNUMBER(Conhecimento!$E$4),Conhecimento!$E$4-D63,"")))</f>
        <v/>
      </c>
      <c r="O63" s="16" t="str">
        <f aca="false">IF(OR(M63="",N63=""),"",IF(I63&lt;&gt;"",IF(N63&lt;=M63,"No prazo","Fora do prazo"),IF(N63&lt;=M63,"Aberto no prazo","Aberto e atrasado")))</f>
        <v/>
      </c>
      <c r="P63" s="17" t="str">
        <f aca="false">IF(AND(C63="",COUNTA(D63:L63)=0),"",IF(ISNA(MATCH(F63,'Pós-entrega'!$C$7:$C$26,0)),"Produto sem política",IF(D63="","Falta a data de abertura",IF(G63="","Falta o tipo",IF(AND(I63&lt;&gt;"",OR(G63="Reclamação",G63="Garantia",G63="Devolução"),K63=""),"Falta a causa",IF(AND(L63&lt;&gt;"",ISNA(MATCH(L63,Lições!$C$7:$C$66,0))),"Lição não encontrada","OK"))))))</f>
        <v/>
      </c>
    </row>
    <row r="64" customFormat="false" ht="30" hidden="false" customHeight="true" outlineLevel="0" collapsed="false">
      <c r="B64" s="12" t="n">
        <v>58</v>
      </c>
      <c r="C64" s="13"/>
      <c r="D64" s="8"/>
      <c r="E64" s="5"/>
      <c r="F64" s="5"/>
      <c r="G64" s="13"/>
      <c r="H64" s="5"/>
      <c r="I64" s="8"/>
      <c r="J64" s="25"/>
      <c r="K64" s="5"/>
      <c r="L64" s="13"/>
      <c r="M64" s="23" t="str">
        <f aca="false">IF(F64="","",IFERROR(IF(INDEX('Pós-entrega'!$H$7:$H$26,MATCH(F64,'Pós-entrega'!$C$7:$C$26,0))="","",INDEX('Pós-entrega'!$H$7:$H$26,MATCH(F64,'Pós-entrega'!$C$7:$C$26,0))),""))</f>
        <v/>
      </c>
      <c r="N64" s="15" t="str">
        <f aca="false">IF(D64="","",IF(I64&lt;&gt;"",I64-D64,IF(ISNUMBER(Conhecimento!$E$4),Conhecimento!$E$4-D64,"")))</f>
        <v/>
      </c>
      <c r="O64" s="16" t="str">
        <f aca="false">IF(OR(M64="",N64=""),"",IF(I64&lt;&gt;"",IF(N64&lt;=M64,"No prazo","Fora do prazo"),IF(N64&lt;=M64,"Aberto no prazo","Aberto e atrasado")))</f>
        <v/>
      </c>
      <c r="P64" s="17" t="str">
        <f aca="false">IF(AND(C64="",COUNTA(D64:L64)=0),"",IF(ISNA(MATCH(F64,'Pós-entrega'!$C$7:$C$26,0)),"Produto sem política",IF(D64="","Falta a data de abertura",IF(G64="","Falta o tipo",IF(AND(I64&lt;&gt;"",OR(G64="Reclamação",G64="Garantia",G64="Devolução"),K64=""),"Falta a causa",IF(AND(L64&lt;&gt;"",ISNA(MATCH(L64,Lições!$C$7:$C$66,0))),"Lição não encontrada","OK"))))))</f>
        <v/>
      </c>
    </row>
    <row r="65" customFormat="false" ht="30" hidden="false" customHeight="true" outlineLevel="0" collapsed="false">
      <c r="B65" s="12" t="n">
        <v>59</v>
      </c>
      <c r="C65" s="13"/>
      <c r="D65" s="8"/>
      <c r="E65" s="5"/>
      <c r="F65" s="5"/>
      <c r="G65" s="13"/>
      <c r="H65" s="5"/>
      <c r="I65" s="8"/>
      <c r="J65" s="25"/>
      <c r="K65" s="5"/>
      <c r="L65" s="13"/>
      <c r="M65" s="23" t="str">
        <f aca="false">IF(F65="","",IFERROR(IF(INDEX('Pós-entrega'!$H$7:$H$26,MATCH(F65,'Pós-entrega'!$C$7:$C$26,0))="","",INDEX('Pós-entrega'!$H$7:$H$26,MATCH(F65,'Pós-entrega'!$C$7:$C$26,0))),""))</f>
        <v/>
      </c>
      <c r="N65" s="15" t="str">
        <f aca="false">IF(D65="","",IF(I65&lt;&gt;"",I65-D65,IF(ISNUMBER(Conhecimento!$E$4),Conhecimento!$E$4-D65,"")))</f>
        <v/>
      </c>
      <c r="O65" s="16" t="str">
        <f aca="false">IF(OR(M65="",N65=""),"",IF(I65&lt;&gt;"",IF(N65&lt;=M65,"No prazo","Fora do prazo"),IF(N65&lt;=M65,"Aberto no prazo","Aberto e atrasado")))</f>
        <v/>
      </c>
      <c r="P65" s="17" t="str">
        <f aca="false">IF(AND(C65="",COUNTA(D65:L65)=0),"",IF(ISNA(MATCH(F65,'Pós-entrega'!$C$7:$C$26,0)),"Produto sem política",IF(D65="","Falta a data de abertura",IF(G65="","Falta o tipo",IF(AND(I65&lt;&gt;"",OR(G65="Reclamação",G65="Garantia",G65="Devolução"),K65=""),"Falta a causa",IF(AND(L65&lt;&gt;"",ISNA(MATCH(L65,Lições!$C$7:$C$66,0))),"Lição não encontrada","OK"))))))</f>
        <v/>
      </c>
    </row>
    <row r="66" customFormat="false" ht="30" hidden="false" customHeight="true" outlineLevel="0" collapsed="false">
      <c r="B66" s="12" t="n">
        <v>60</v>
      </c>
      <c r="C66" s="13"/>
      <c r="D66" s="8"/>
      <c r="E66" s="5"/>
      <c r="F66" s="5"/>
      <c r="G66" s="13"/>
      <c r="H66" s="5"/>
      <c r="I66" s="8"/>
      <c r="J66" s="25"/>
      <c r="K66" s="5"/>
      <c r="L66" s="13"/>
      <c r="M66" s="23" t="str">
        <f aca="false">IF(F66="","",IFERROR(IF(INDEX('Pós-entrega'!$H$7:$H$26,MATCH(F66,'Pós-entrega'!$C$7:$C$26,0))="","",INDEX('Pós-entrega'!$H$7:$H$26,MATCH(F66,'Pós-entrega'!$C$7:$C$26,0))),""))</f>
        <v/>
      </c>
      <c r="N66" s="15" t="str">
        <f aca="false">IF(D66="","",IF(I66&lt;&gt;"",I66-D66,IF(ISNUMBER(Conhecimento!$E$4),Conhecimento!$E$4-D66,"")))</f>
        <v/>
      </c>
      <c r="O66" s="16" t="str">
        <f aca="false">IF(OR(M66="",N66=""),"",IF(I66&lt;&gt;"",IF(N66&lt;=M66,"No prazo","Fora do prazo"),IF(N66&lt;=M66,"Aberto no prazo","Aberto e atrasado")))</f>
        <v/>
      </c>
      <c r="P66" s="17" t="str">
        <f aca="false">IF(AND(C66="",COUNTA(D66:L66)=0),"",IF(ISNA(MATCH(F66,'Pós-entrega'!$C$7:$C$26,0)),"Produto sem política",IF(D66="","Falta a data de abertura",IF(G66="","Falta o tipo",IF(AND(I66&lt;&gt;"",OR(G66="Reclamação",G66="Garantia",G66="Devolução"),K66=""),"Falta a causa",IF(AND(L66&lt;&gt;"",ISNA(MATCH(L66,Lições!$C$7:$C$66,0))),"Lição não encontrada","OK"))))))</f>
        <v/>
      </c>
    </row>
    <row r="67" customFormat="false" ht="30" hidden="false" customHeight="true" outlineLevel="0" collapsed="false">
      <c r="B67" s="12" t="n">
        <v>61</v>
      </c>
      <c r="C67" s="13"/>
      <c r="D67" s="8"/>
      <c r="E67" s="5"/>
      <c r="F67" s="5"/>
      <c r="G67" s="13"/>
      <c r="H67" s="5"/>
      <c r="I67" s="8"/>
      <c r="J67" s="25"/>
      <c r="K67" s="5"/>
      <c r="L67" s="13"/>
      <c r="M67" s="23" t="str">
        <f aca="false">IF(F67="","",IFERROR(IF(INDEX('Pós-entrega'!$H$7:$H$26,MATCH(F67,'Pós-entrega'!$C$7:$C$26,0))="","",INDEX('Pós-entrega'!$H$7:$H$26,MATCH(F67,'Pós-entrega'!$C$7:$C$26,0))),""))</f>
        <v/>
      </c>
      <c r="N67" s="15" t="str">
        <f aca="false">IF(D67="","",IF(I67&lt;&gt;"",I67-D67,IF(ISNUMBER(Conhecimento!$E$4),Conhecimento!$E$4-D67,"")))</f>
        <v/>
      </c>
      <c r="O67" s="16" t="str">
        <f aca="false">IF(OR(M67="",N67=""),"",IF(I67&lt;&gt;"",IF(N67&lt;=M67,"No prazo","Fora do prazo"),IF(N67&lt;=M67,"Aberto no prazo","Aberto e atrasado")))</f>
        <v/>
      </c>
      <c r="P67" s="17" t="str">
        <f aca="false">IF(AND(C67="",COUNTA(D67:L67)=0),"",IF(ISNA(MATCH(F67,'Pós-entrega'!$C$7:$C$26,0)),"Produto sem política",IF(D67="","Falta a data de abertura",IF(G67="","Falta o tipo",IF(AND(I67&lt;&gt;"",OR(G67="Reclamação",G67="Garantia",G67="Devolução"),K67=""),"Falta a causa",IF(AND(L67&lt;&gt;"",ISNA(MATCH(L67,Lições!$C$7:$C$66,0))),"Lição não encontrada","OK"))))))</f>
        <v/>
      </c>
    </row>
    <row r="68" customFormat="false" ht="30" hidden="false" customHeight="true" outlineLevel="0" collapsed="false">
      <c r="B68" s="12" t="n">
        <v>62</v>
      </c>
      <c r="C68" s="13"/>
      <c r="D68" s="8"/>
      <c r="E68" s="5"/>
      <c r="F68" s="5"/>
      <c r="G68" s="13"/>
      <c r="H68" s="5"/>
      <c r="I68" s="8"/>
      <c r="J68" s="25"/>
      <c r="K68" s="5"/>
      <c r="L68" s="13"/>
      <c r="M68" s="23" t="str">
        <f aca="false">IF(F68="","",IFERROR(IF(INDEX('Pós-entrega'!$H$7:$H$26,MATCH(F68,'Pós-entrega'!$C$7:$C$26,0))="","",INDEX('Pós-entrega'!$H$7:$H$26,MATCH(F68,'Pós-entrega'!$C$7:$C$26,0))),""))</f>
        <v/>
      </c>
      <c r="N68" s="15" t="str">
        <f aca="false">IF(D68="","",IF(I68&lt;&gt;"",I68-D68,IF(ISNUMBER(Conhecimento!$E$4),Conhecimento!$E$4-D68,"")))</f>
        <v/>
      </c>
      <c r="O68" s="16" t="str">
        <f aca="false">IF(OR(M68="",N68=""),"",IF(I68&lt;&gt;"",IF(N68&lt;=M68,"No prazo","Fora do prazo"),IF(N68&lt;=M68,"Aberto no prazo","Aberto e atrasado")))</f>
        <v/>
      </c>
      <c r="P68" s="17" t="str">
        <f aca="false">IF(AND(C68="",COUNTA(D68:L68)=0),"",IF(ISNA(MATCH(F68,'Pós-entrega'!$C$7:$C$26,0)),"Produto sem política",IF(D68="","Falta a data de abertura",IF(G68="","Falta o tipo",IF(AND(I68&lt;&gt;"",OR(G68="Reclamação",G68="Garantia",G68="Devolução"),K68=""),"Falta a causa",IF(AND(L68&lt;&gt;"",ISNA(MATCH(L68,Lições!$C$7:$C$66,0))),"Lição não encontrada","OK"))))))</f>
        <v/>
      </c>
    </row>
    <row r="69" customFormat="false" ht="30" hidden="false" customHeight="true" outlineLevel="0" collapsed="false">
      <c r="B69" s="12" t="n">
        <v>63</v>
      </c>
      <c r="C69" s="13"/>
      <c r="D69" s="8"/>
      <c r="E69" s="5"/>
      <c r="F69" s="5"/>
      <c r="G69" s="13"/>
      <c r="H69" s="5"/>
      <c r="I69" s="8"/>
      <c r="J69" s="25"/>
      <c r="K69" s="5"/>
      <c r="L69" s="13"/>
      <c r="M69" s="23" t="str">
        <f aca="false">IF(F69="","",IFERROR(IF(INDEX('Pós-entrega'!$H$7:$H$26,MATCH(F69,'Pós-entrega'!$C$7:$C$26,0))="","",INDEX('Pós-entrega'!$H$7:$H$26,MATCH(F69,'Pós-entrega'!$C$7:$C$26,0))),""))</f>
        <v/>
      </c>
      <c r="N69" s="15" t="str">
        <f aca="false">IF(D69="","",IF(I69&lt;&gt;"",I69-D69,IF(ISNUMBER(Conhecimento!$E$4),Conhecimento!$E$4-D69,"")))</f>
        <v/>
      </c>
      <c r="O69" s="16" t="str">
        <f aca="false">IF(OR(M69="",N69=""),"",IF(I69&lt;&gt;"",IF(N69&lt;=M69,"No prazo","Fora do prazo"),IF(N69&lt;=M69,"Aberto no prazo","Aberto e atrasado")))</f>
        <v/>
      </c>
      <c r="P69" s="17" t="str">
        <f aca="false">IF(AND(C69="",COUNTA(D69:L69)=0),"",IF(ISNA(MATCH(F69,'Pós-entrega'!$C$7:$C$26,0)),"Produto sem política",IF(D69="","Falta a data de abertura",IF(G69="","Falta o tipo",IF(AND(I69&lt;&gt;"",OR(G69="Reclamação",G69="Garantia",G69="Devolução"),K69=""),"Falta a causa",IF(AND(L69&lt;&gt;"",ISNA(MATCH(L69,Lições!$C$7:$C$66,0))),"Lição não encontrada","OK"))))))</f>
        <v/>
      </c>
    </row>
    <row r="70" customFormat="false" ht="30" hidden="false" customHeight="true" outlineLevel="0" collapsed="false">
      <c r="B70" s="12" t="n">
        <v>64</v>
      </c>
      <c r="C70" s="13"/>
      <c r="D70" s="8"/>
      <c r="E70" s="5"/>
      <c r="F70" s="5"/>
      <c r="G70" s="13"/>
      <c r="H70" s="5"/>
      <c r="I70" s="8"/>
      <c r="J70" s="25"/>
      <c r="K70" s="5"/>
      <c r="L70" s="13"/>
      <c r="M70" s="23" t="str">
        <f aca="false">IF(F70="","",IFERROR(IF(INDEX('Pós-entrega'!$H$7:$H$26,MATCH(F70,'Pós-entrega'!$C$7:$C$26,0))="","",INDEX('Pós-entrega'!$H$7:$H$26,MATCH(F70,'Pós-entrega'!$C$7:$C$26,0))),""))</f>
        <v/>
      </c>
      <c r="N70" s="15" t="str">
        <f aca="false">IF(D70="","",IF(I70&lt;&gt;"",I70-D70,IF(ISNUMBER(Conhecimento!$E$4),Conhecimento!$E$4-D70,"")))</f>
        <v/>
      </c>
      <c r="O70" s="16" t="str">
        <f aca="false">IF(OR(M70="",N70=""),"",IF(I70&lt;&gt;"",IF(N70&lt;=M70,"No prazo","Fora do prazo"),IF(N70&lt;=M70,"Aberto no prazo","Aberto e atrasado")))</f>
        <v/>
      </c>
      <c r="P70" s="17" t="str">
        <f aca="false">IF(AND(C70="",COUNTA(D70:L70)=0),"",IF(ISNA(MATCH(F70,'Pós-entrega'!$C$7:$C$26,0)),"Produto sem política",IF(D70="","Falta a data de abertura",IF(G70="","Falta o tipo",IF(AND(I70&lt;&gt;"",OR(G70="Reclamação",G70="Garantia",G70="Devolução"),K70=""),"Falta a causa",IF(AND(L70&lt;&gt;"",ISNA(MATCH(L70,Lições!$C$7:$C$66,0))),"Lição não encontrada","OK"))))))</f>
        <v/>
      </c>
    </row>
    <row r="71" customFormat="false" ht="30" hidden="false" customHeight="true" outlineLevel="0" collapsed="false">
      <c r="B71" s="12" t="n">
        <v>65</v>
      </c>
      <c r="C71" s="13"/>
      <c r="D71" s="8"/>
      <c r="E71" s="5"/>
      <c r="F71" s="5"/>
      <c r="G71" s="13"/>
      <c r="H71" s="5"/>
      <c r="I71" s="8"/>
      <c r="J71" s="25"/>
      <c r="K71" s="5"/>
      <c r="L71" s="13"/>
      <c r="M71" s="23" t="str">
        <f aca="false">IF(F71="","",IFERROR(IF(INDEX('Pós-entrega'!$H$7:$H$26,MATCH(F71,'Pós-entrega'!$C$7:$C$26,0))="","",INDEX('Pós-entrega'!$H$7:$H$26,MATCH(F71,'Pós-entrega'!$C$7:$C$26,0))),""))</f>
        <v/>
      </c>
      <c r="N71" s="15" t="str">
        <f aca="false">IF(D71="","",IF(I71&lt;&gt;"",I71-D71,IF(ISNUMBER(Conhecimento!$E$4),Conhecimento!$E$4-D71,"")))</f>
        <v/>
      </c>
      <c r="O71" s="16" t="str">
        <f aca="false">IF(OR(M71="",N71=""),"",IF(I71&lt;&gt;"",IF(N71&lt;=M71,"No prazo","Fora do prazo"),IF(N71&lt;=M71,"Aberto no prazo","Aberto e atrasado")))</f>
        <v/>
      </c>
      <c r="P71" s="17" t="str">
        <f aca="false">IF(AND(C71="",COUNTA(D71:L71)=0),"",IF(ISNA(MATCH(F71,'Pós-entrega'!$C$7:$C$26,0)),"Produto sem política",IF(D71="","Falta a data de abertura",IF(G71="","Falta o tipo",IF(AND(I71&lt;&gt;"",OR(G71="Reclamação",G71="Garantia",G71="Devolução"),K71=""),"Falta a causa",IF(AND(L71&lt;&gt;"",ISNA(MATCH(L71,Lições!$C$7:$C$66,0))),"Lição não encontrada","OK"))))))</f>
        <v/>
      </c>
    </row>
    <row r="72" customFormat="false" ht="30" hidden="false" customHeight="true" outlineLevel="0" collapsed="false">
      <c r="B72" s="12" t="n">
        <v>66</v>
      </c>
      <c r="C72" s="13"/>
      <c r="D72" s="8"/>
      <c r="E72" s="5"/>
      <c r="F72" s="5"/>
      <c r="G72" s="13"/>
      <c r="H72" s="5"/>
      <c r="I72" s="8"/>
      <c r="J72" s="25"/>
      <c r="K72" s="5"/>
      <c r="L72" s="13"/>
      <c r="M72" s="23" t="str">
        <f aca="false">IF(F72="","",IFERROR(IF(INDEX('Pós-entrega'!$H$7:$H$26,MATCH(F72,'Pós-entrega'!$C$7:$C$26,0))="","",INDEX('Pós-entrega'!$H$7:$H$26,MATCH(F72,'Pós-entrega'!$C$7:$C$26,0))),""))</f>
        <v/>
      </c>
      <c r="N72" s="15" t="str">
        <f aca="false">IF(D72="","",IF(I72&lt;&gt;"",I72-D72,IF(ISNUMBER(Conhecimento!$E$4),Conhecimento!$E$4-D72,"")))</f>
        <v/>
      </c>
      <c r="O72" s="16" t="str">
        <f aca="false">IF(OR(M72="",N72=""),"",IF(I72&lt;&gt;"",IF(N72&lt;=M72,"No prazo","Fora do prazo"),IF(N72&lt;=M72,"Aberto no prazo","Aberto e atrasado")))</f>
        <v/>
      </c>
      <c r="P72" s="17" t="str">
        <f aca="false">IF(AND(C72="",COUNTA(D72:L72)=0),"",IF(ISNA(MATCH(F72,'Pós-entrega'!$C$7:$C$26,0)),"Produto sem política",IF(D72="","Falta a data de abertura",IF(G72="","Falta o tipo",IF(AND(I72&lt;&gt;"",OR(G72="Reclamação",G72="Garantia",G72="Devolução"),K72=""),"Falta a causa",IF(AND(L72&lt;&gt;"",ISNA(MATCH(L72,Lições!$C$7:$C$66,0))),"Lição não encontrada","OK"))))))</f>
        <v/>
      </c>
    </row>
    <row r="73" customFormat="false" ht="30" hidden="false" customHeight="true" outlineLevel="0" collapsed="false">
      <c r="B73" s="12" t="n">
        <v>67</v>
      </c>
      <c r="C73" s="13"/>
      <c r="D73" s="8"/>
      <c r="E73" s="5"/>
      <c r="F73" s="5"/>
      <c r="G73" s="13"/>
      <c r="H73" s="5"/>
      <c r="I73" s="8"/>
      <c r="J73" s="25"/>
      <c r="K73" s="5"/>
      <c r="L73" s="13"/>
      <c r="M73" s="23" t="str">
        <f aca="false">IF(F73="","",IFERROR(IF(INDEX('Pós-entrega'!$H$7:$H$26,MATCH(F73,'Pós-entrega'!$C$7:$C$26,0))="","",INDEX('Pós-entrega'!$H$7:$H$26,MATCH(F73,'Pós-entrega'!$C$7:$C$26,0))),""))</f>
        <v/>
      </c>
      <c r="N73" s="15" t="str">
        <f aca="false">IF(D73="","",IF(I73&lt;&gt;"",I73-D73,IF(ISNUMBER(Conhecimento!$E$4),Conhecimento!$E$4-D73,"")))</f>
        <v/>
      </c>
      <c r="O73" s="16" t="str">
        <f aca="false">IF(OR(M73="",N73=""),"",IF(I73&lt;&gt;"",IF(N73&lt;=M73,"No prazo","Fora do prazo"),IF(N73&lt;=M73,"Aberto no prazo","Aberto e atrasado")))</f>
        <v/>
      </c>
      <c r="P73" s="17" t="str">
        <f aca="false">IF(AND(C73="",COUNTA(D73:L73)=0),"",IF(ISNA(MATCH(F73,'Pós-entrega'!$C$7:$C$26,0)),"Produto sem política",IF(D73="","Falta a data de abertura",IF(G73="","Falta o tipo",IF(AND(I73&lt;&gt;"",OR(G73="Reclamação",G73="Garantia",G73="Devolução"),K73=""),"Falta a causa",IF(AND(L73&lt;&gt;"",ISNA(MATCH(L73,Lições!$C$7:$C$66,0))),"Lição não encontrada","OK"))))))</f>
        <v/>
      </c>
    </row>
    <row r="74" customFormat="false" ht="30" hidden="false" customHeight="true" outlineLevel="0" collapsed="false">
      <c r="B74" s="12" t="n">
        <v>68</v>
      </c>
      <c r="C74" s="13"/>
      <c r="D74" s="8"/>
      <c r="E74" s="5"/>
      <c r="F74" s="5"/>
      <c r="G74" s="13"/>
      <c r="H74" s="5"/>
      <c r="I74" s="8"/>
      <c r="J74" s="25"/>
      <c r="K74" s="5"/>
      <c r="L74" s="13"/>
      <c r="M74" s="23" t="str">
        <f aca="false">IF(F74="","",IFERROR(IF(INDEX('Pós-entrega'!$H$7:$H$26,MATCH(F74,'Pós-entrega'!$C$7:$C$26,0))="","",INDEX('Pós-entrega'!$H$7:$H$26,MATCH(F74,'Pós-entrega'!$C$7:$C$26,0))),""))</f>
        <v/>
      </c>
      <c r="N74" s="15" t="str">
        <f aca="false">IF(D74="","",IF(I74&lt;&gt;"",I74-D74,IF(ISNUMBER(Conhecimento!$E$4),Conhecimento!$E$4-D74,"")))</f>
        <v/>
      </c>
      <c r="O74" s="16" t="str">
        <f aca="false">IF(OR(M74="",N74=""),"",IF(I74&lt;&gt;"",IF(N74&lt;=M74,"No prazo","Fora do prazo"),IF(N74&lt;=M74,"Aberto no prazo","Aberto e atrasado")))</f>
        <v/>
      </c>
      <c r="P74" s="17" t="str">
        <f aca="false">IF(AND(C74="",COUNTA(D74:L74)=0),"",IF(ISNA(MATCH(F74,'Pós-entrega'!$C$7:$C$26,0)),"Produto sem política",IF(D74="","Falta a data de abertura",IF(G74="","Falta o tipo",IF(AND(I74&lt;&gt;"",OR(G74="Reclamação",G74="Garantia",G74="Devolução"),K74=""),"Falta a causa",IF(AND(L74&lt;&gt;"",ISNA(MATCH(L74,Lições!$C$7:$C$66,0))),"Lição não encontrada","OK"))))))</f>
        <v/>
      </c>
    </row>
    <row r="75" customFormat="false" ht="30" hidden="false" customHeight="true" outlineLevel="0" collapsed="false">
      <c r="B75" s="12" t="n">
        <v>69</v>
      </c>
      <c r="C75" s="13"/>
      <c r="D75" s="8"/>
      <c r="E75" s="5"/>
      <c r="F75" s="5"/>
      <c r="G75" s="13"/>
      <c r="H75" s="5"/>
      <c r="I75" s="8"/>
      <c r="J75" s="25"/>
      <c r="K75" s="5"/>
      <c r="L75" s="13"/>
      <c r="M75" s="23" t="str">
        <f aca="false">IF(F75="","",IFERROR(IF(INDEX('Pós-entrega'!$H$7:$H$26,MATCH(F75,'Pós-entrega'!$C$7:$C$26,0))="","",INDEX('Pós-entrega'!$H$7:$H$26,MATCH(F75,'Pós-entrega'!$C$7:$C$26,0))),""))</f>
        <v/>
      </c>
      <c r="N75" s="15" t="str">
        <f aca="false">IF(D75="","",IF(I75&lt;&gt;"",I75-D75,IF(ISNUMBER(Conhecimento!$E$4),Conhecimento!$E$4-D75,"")))</f>
        <v/>
      </c>
      <c r="O75" s="16" t="str">
        <f aca="false">IF(OR(M75="",N75=""),"",IF(I75&lt;&gt;"",IF(N75&lt;=M75,"No prazo","Fora do prazo"),IF(N75&lt;=M75,"Aberto no prazo","Aberto e atrasado")))</f>
        <v/>
      </c>
      <c r="P75" s="17" t="str">
        <f aca="false">IF(AND(C75="",COUNTA(D75:L75)=0),"",IF(ISNA(MATCH(F75,'Pós-entrega'!$C$7:$C$26,0)),"Produto sem política",IF(D75="","Falta a data de abertura",IF(G75="","Falta o tipo",IF(AND(I75&lt;&gt;"",OR(G75="Reclamação",G75="Garantia",G75="Devolução"),K75=""),"Falta a causa",IF(AND(L75&lt;&gt;"",ISNA(MATCH(L75,Lições!$C$7:$C$66,0))),"Lição não encontrada","OK"))))))</f>
        <v/>
      </c>
    </row>
    <row r="76" customFormat="false" ht="30" hidden="false" customHeight="true" outlineLevel="0" collapsed="false">
      <c r="B76" s="12" t="n">
        <v>70</v>
      </c>
      <c r="C76" s="13"/>
      <c r="D76" s="8"/>
      <c r="E76" s="5"/>
      <c r="F76" s="5"/>
      <c r="G76" s="13"/>
      <c r="H76" s="5"/>
      <c r="I76" s="8"/>
      <c r="J76" s="25"/>
      <c r="K76" s="5"/>
      <c r="L76" s="13"/>
      <c r="M76" s="23" t="str">
        <f aca="false">IF(F76="","",IFERROR(IF(INDEX('Pós-entrega'!$H$7:$H$26,MATCH(F76,'Pós-entrega'!$C$7:$C$26,0))="","",INDEX('Pós-entrega'!$H$7:$H$26,MATCH(F76,'Pós-entrega'!$C$7:$C$26,0))),""))</f>
        <v/>
      </c>
      <c r="N76" s="15" t="str">
        <f aca="false">IF(D76="","",IF(I76&lt;&gt;"",I76-D76,IF(ISNUMBER(Conhecimento!$E$4),Conhecimento!$E$4-D76,"")))</f>
        <v/>
      </c>
      <c r="O76" s="16" t="str">
        <f aca="false">IF(OR(M76="",N76=""),"",IF(I76&lt;&gt;"",IF(N76&lt;=M76,"No prazo","Fora do prazo"),IF(N76&lt;=M76,"Aberto no prazo","Aberto e atrasado")))</f>
        <v/>
      </c>
      <c r="P76" s="17" t="str">
        <f aca="false">IF(AND(C76="",COUNTA(D76:L76)=0),"",IF(ISNA(MATCH(F76,'Pós-entrega'!$C$7:$C$26,0)),"Produto sem política",IF(D76="","Falta a data de abertura",IF(G76="","Falta o tipo",IF(AND(I76&lt;&gt;"",OR(G76="Reclamação",G76="Garantia",G76="Devolução"),K76=""),"Falta a causa",IF(AND(L76&lt;&gt;"",ISNA(MATCH(L76,Lições!$C$7:$C$66,0))),"Lição não encontrada","OK"))))))</f>
        <v/>
      </c>
    </row>
    <row r="77" customFormat="false" ht="30" hidden="false" customHeight="true" outlineLevel="0" collapsed="false">
      <c r="B77" s="12" t="n">
        <v>71</v>
      </c>
      <c r="C77" s="13"/>
      <c r="D77" s="8"/>
      <c r="E77" s="5"/>
      <c r="F77" s="5"/>
      <c r="G77" s="13"/>
      <c r="H77" s="5"/>
      <c r="I77" s="8"/>
      <c r="J77" s="25"/>
      <c r="K77" s="5"/>
      <c r="L77" s="13"/>
      <c r="M77" s="23" t="str">
        <f aca="false">IF(F77="","",IFERROR(IF(INDEX('Pós-entrega'!$H$7:$H$26,MATCH(F77,'Pós-entrega'!$C$7:$C$26,0))="","",INDEX('Pós-entrega'!$H$7:$H$26,MATCH(F77,'Pós-entrega'!$C$7:$C$26,0))),""))</f>
        <v/>
      </c>
      <c r="N77" s="15" t="str">
        <f aca="false">IF(D77="","",IF(I77&lt;&gt;"",I77-D77,IF(ISNUMBER(Conhecimento!$E$4),Conhecimento!$E$4-D77,"")))</f>
        <v/>
      </c>
      <c r="O77" s="16" t="str">
        <f aca="false">IF(OR(M77="",N77=""),"",IF(I77&lt;&gt;"",IF(N77&lt;=M77,"No prazo","Fora do prazo"),IF(N77&lt;=M77,"Aberto no prazo","Aberto e atrasado")))</f>
        <v/>
      </c>
      <c r="P77" s="17" t="str">
        <f aca="false">IF(AND(C77="",COUNTA(D77:L77)=0),"",IF(ISNA(MATCH(F77,'Pós-entrega'!$C$7:$C$26,0)),"Produto sem política",IF(D77="","Falta a data de abertura",IF(G77="","Falta o tipo",IF(AND(I77&lt;&gt;"",OR(G77="Reclamação",G77="Garantia",G77="Devolução"),K77=""),"Falta a causa",IF(AND(L77&lt;&gt;"",ISNA(MATCH(L77,Lições!$C$7:$C$66,0))),"Lição não encontrada","OK"))))))</f>
        <v/>
      </c>
    </row>
    <row r="78" customFormat="false" ht="30" hidden="false" customHeight="true" outlineLevel="0" collapsed="false">
      <c r="B78" s="12" t="n">
        <v>72</v>
      </c>
      <c r="C78" s="13"/>
      <c r="D78" s="8"/>
      <c r="E78" s="5"/>
      <c r="F78" s="5"/>
      <c r="G78" s="13"/>
      <c r="H78" s="5"/>
      <c r="I78" s="8"/>
      <c r="J78" s="25"/>
      <c r="K78" s="5"/>
      <c r="L78" s="13"/>
      <c r="M78" s="23" t="str">
        <f aca="false">IF(F78="","",IFERROR(IF(INDEX('Pós-entrega'!$H$7:$H$26,MATCH(F78,'Pós-entrega'!$C$7:$C$26,0))="","",INDEX('Pós-entrega'!$H$7:$H$26,MATCH(F78,'Pós-entrega'!$C$7:$C$26,0))),""))</f>
        <v/>
      </c>
      <c r="N78" s="15" t="str">
        <f aca="false">IF(D78="","",IF(I78&lt;&gt;"",I78-D78,IF(ISNUMBER(Conhecimento!$E$4),Conhecimento!$E$4-D78,"")))</f>
        <v/>
      </c>
      <c r="O78" s="16" t="str">
        <f aca="false">IF(OR(M78="",N78=""),"",IF(I78&lt;&gt;"",IF(N78&lt;=M78,"No prazo","Fora do prazo"),IF(N78&lt;=M78,"Aberto no prazo","Aberto e atrasado")))</f>
        <v/>
      </c>
      <c r="P78" s="17" t="str">
        <f aca="false">IF(AND(C78="",COUNTA(D78:L78)=0),"",IF(ISNA(MATCH(F78,'Pós-entrega'!$C$7:$C$26,0)),"Produto sem política",IF(D78="","Falta a data de abertura",IF(G78="","Falta o tipo",IF(AND(I78&lt;&gt;"",OR(G78="Reclamação",G78="Garantia",G78="Devolução"),K78=""),"Falta a causa",IF(AND(L78&lt;&gt;"",ISNA(MATCH(L78,Lições!$C$7:$C$66,0))),"Lição não encontrada","OK"))))))</f>
        <v/>
      </c>
    </row>
    <row r="79" customFormat="false" ht="30" hidden="false" customHeight="true" outlineLevel="0" collapsed="false">
      <c r="B79" s="12" t="n">
        <v>73</v>
      </c>
      <c r="C79" s="13"/>
      <c r="D79" s="8"/>
      <c r="E79" s="5"/>
      <c r="F79" s="5"/>
      <c r="G79" s="13"/>
      <c r="H79" s="5"/>
      <c r="I79" s="8"/>
      <c r="J79" s="25"/>
      <c r="K79" s="5"/>
      <c r="L79" s="13"/>
      <c r="M79" s="23" t="str">
        <f aca="false">IF(F79="","",IFERROR(IF(INDEX('Pós-entrega'!$H$7:$H$26,MATCH(F79,'Pós-entrega'!$C$7:$C$26,0))="","",INDEX('Pós-entrega'!$H$7:$H$26,MATCH(F79,'Pós-entrega'!$C$7:$C$26,0))),""))</f>
        <v/>
      </c>
      <c r="N79" s="15" t="str">
        <f aca="false">IF(D79="","",IF(I79&lt;&gt;"",I79-D79,IF(ISNUMBER(Conhecimento!$E$4),Conhecimento!$E$4-D79,"")))</f>
        <v/>
      </c>
      <c r="O79" s="16" t="str">
        <f aca="false">IF(OR(M79="",N79=""),"",IF(I79&lt;&gt;"",IF(N79&lt;=M79,"No prazo","Fora do prazo"),IF(N79&lt;=M79,"Aberto no prazo","Aberto e atrasado")))</f>
        <v/>
      </c>
      <c r="P79" s="17" t="str">
        <f aca="false">IF(AND(C79="",COUNTA(D79:L79)=0),"",IF(ISNA(MATCH(F79,'Pós-entrega'!$C$7:$C$26,0)),"Produto sem política",IF(D79="","Falta a data de abertura",IF(G79="","Falta o tipo",IF(AND(I79&lt;&gt;"",OR(G79="Reclamação",G79="Garantia",G79="Devolução"),K79=""),"Falta a causa",IF(AND(L79&lt;&gt;"",ISNA(MATCH(L79,Lições!$C$7:$C$66,0))),"Lição não encontrada","OK"))))))</f>
        <v/>
      </c>
    </row>
    <row r="80" customFormat="false" ht="30" hidden="false" customHeight="true" outlineLevel="0" collapsed="false">
      <c r="B80" s="12" t="n">
        <v>74</v>
      </c>
      <c r="C80" s="13"/>
      <c r="D80" s="8"/>
      <c r="E80" s="5"/>
      <c r="F80" s="5"/>
      <c r="G80" s="13"/>
      <c r="H80" s="5"/>
      <c r="I80" s="8"/>
      <c r="J80" s="25"/>
      <c r="K80" s="5"/>
      <c r="L80" s="13"/>
      <c r="M80" s="23" t="str">
        <f aca="false">IF(F80="","",IFERROR(IF(INDEX('Pós-entrega'!$H$7:$H$26,MATCH(F80,'Pós-entrega'!$C$7:$C$26,0))="","",INDEX('Pós-entrega'!$H$7:$H$26,MATCH(F80,'Pós-entrega'!$C$7:$C$26,0))),""))</f>
        <v/>
      </c>
      <c r="N80" s="15" t="str">
        <f aca="false">IF(D80="","",IF(I80&lt;&gt;"",I80-D80,IF(ISNUMBER(Conhecimento!$E$4),Conhecimento!$E$4-D80,"")))</f>
        <v/>
      </c>
      <c r="O80" s="16" t="str">
        <f aca="false">IF(OR(M80="",N80=""),"",IF(I80&lt;&gt;"",IF(N80&lt;=M80,"No prazo","Fora do prazo"),IF(N80&lt;=M80,"Aberto no prazo","Aberto e atrasado")))</f>
        <v/>
      </c>
      <c r="P80" s="17" t="str">
        <f aca="false">IF(AND(C80="",COUNTA(D80:L80)=0),"",IF(ISNA(MATCH(F80,'Pós-entrega'!$C$7:$C$26,0)),"Produto sem política",IF(D80="","Falta a data de abertura",IF(G80="","Falta o tipo",IF(AND(I80&lt;&gt;"",OR(G80="Reclamação",G80="Garantia",G80="Devolução"),K80=""),"Falta a causa",IF(AND(L80&lt;&gt;"",ISNA(MATCH(L80,Lições!$C$7:$C$66,0))),"Lição não encontrada","OK"))))))</f>
        <v/>
      </c>
    </row>
    <row r="81" customFormat="false" ht="30" hidden="false" customHeight="true" outlineLevel="0" collapsed="false">
      <c r="B81" s="12" t="n">
        <v>75</v>
      </c>
      <c r="C81" s="13"/>
      <c r="D81" s="8"/>
      <c r="E81" s="5"/>
      <c r="F81" s="5"/>
      <c r="G81" s="13"/>
      <c r="H81" s="5"/>
      <c r="I81" s="8"/>
      <c r="J81" s="25"/>
      <c r="K81" s="5"/>
      <c r="L81" s="13"/>
      <c r="M81" s="23" t="str">
        <f aca="false">IF(F81="","",IFERROR(IF(INDEX('Pós-entrega'!$H$7:$H$26,MATCH(F81,'Pós-entrega'!$C$7:$C$26,0))="","",INDEX('Pós-entrega'!$H$7:$H$26,MATCH(F81,'Pós-entrega'!$C$7:$C$26,0))),""))</f>
        <v/>
      </c>
      <c r="N81" s="15" t="str">
        <f aca="false">IF(D81="","",IF(I81&lt;&gt;"",I81-D81,IF(ISNUMBER(Conhecimento!$E$4),Conhecimento!$E$4-D81,"")))</f>
        <v/>
      </c>
      <c r="O81" s="16" t="str">
        <f aca="false">IF(OR(M81="",N81=""),"",IF(I81&lt;&gt;"",IF(N81&lt;=M81,"No prazo","Fora do prazo"),IF(N81&lt;=M81,"Aberto no prazo","Aberto e atrasado")))</f>
        <v/>
      </c>
      <c r="P81" s="17" t="str">
        <f aca="false">IF(AND(C81="",COUNTA(D81:L81)=0),"",IF(ISNA(MATCH(F81,'Pós-entrega'!$C$7:$C$26,0)),"Produto sem política",IF(D81="","Falta a data de abertura",IF(G81="","Falta o tipo",IF(AND(I81&lt;&gt;"",OR(G81="Reclamação",G81="Garantia",G81="Devolução"),K81=""),"Falta a causa",IF(AND(L81&lt;&gt;"",ISNA(MATCH(L81,Lições!$C$7:$C$66,0))),"Lição não encontrada","OK"))))))</f>
        <v/>
      </c>
    </row>
    <row r="82" customFormat="false" ht="30" hidden="false" customHeight="true" outlineLevel="0" collapsed="false">
      <c r="B82" s="12" t="n">
        <v>76</v>
      </c>
      <c r="C82" s="13"/>
      <c r="D82" s="8"/>
      <c r="E82" s="5"/>
      <c r="F82" s="5"/>
      <c r="G82" s="13"/>
      <c r="H82" s="5"/>
      <c r="I82" s="8"/>
      <c r="J82" s="25"/>
      <c r="K82" s="5"/>
      <c r="L82" s="13"/>
      <c r="M82" s="23" t="str">
        <f aca="false">IF(F82="","",IFERROR(IF(INDEX('Pós-entrega'!$H$7:$H$26,MATCH(F82,'Pós-entrega'!$C$7:$C$26,0))="","",INDEX('Pós-entrega'!$H$7:$H$26,MATCH(F82,'Pós-entrega'!$C$7:$C$26,0))),""))</f>
        <v/>
      </c>
      <c r="N82" s="15" t="str">
        <f aca="false">IF(D82="","",IF(I82&lt;&gt;"",I82-D82,IF(ISNUMBER(Conhecimento!$E$4),Conhecimento!$E$4-D82,"")))</f>
        <v/>
      </c>
      <c r="O82" s="16" t="str">
        <f aca="false">IF(OR(M82="",N82=""),"",IF(I82&lt;&gt;"",IF(N82&lt;=M82,"No prazo","Fora do prazo"),IF(N82&lt;=M82,"Aberto no prazo","Aberto e atrasado")))</f>
        <v/>
      </c>
      <c r="P82" s="17" t="str">
        <f aca="false">IF(AND(C82="",COUNTA(D82:L82)=0),"",IF(ISNA(MATCH(F82,'Pós-entrega'!$C$7:$C$26,0)),"Produto sem política",IF(D82="","Falta a data de abertura",IF(G82="","Falta o tipo",IF(AND(I82&lt;&gt;"",OR(G82="Reclamação",G82="Garantia",G82="Devolução"),K82=""),"Falta a causa",IF(AND(L82&lt;&gt;"",ISNA(MATCH(L82,Lições!$C$7:$C$66,0))),"Lição não encontrada","OK"))))))</f>
        <v/>
      </c>
    </row>
    <row r="83" customFormat="false" ht="30" hidden="false" customHeight="true" outlineLevel="0" collapsed="false">
      <c r="B83" s="12" t="n">
        <v>77</v>
      </c>
      <c r="C83" s="13"/>
      <c r="D83" s="8"/>
      <c r="E83" s="5"/>
      <c r="F83" s="5"/>
      <c r="G83" s="13"/>
      <c r="H83" s="5"/>
      <c r="I83" s="8"/>
      <c r="J83" s="25"/>
      <c r="K83" s="5"/>
      <c r="L83" s="13"/>
      <c r="M83" s="23" t="str">
        <f aca="false">IF(F83="","",IFERROR(IF(INDEX('Pós-entrega'!$H$7:$H$26,MATCH(F83,'Pós-entrega'!$C$7:$C$26,0))="","",INDEX('Pós-entrega'!$H$7:$H$26,MATCH(F83,'Pós-entrega'!$C$7:$C$26,0))),""))</f>
        <v/>
      </c>
      <c r="N83" s="15" t="str">
        <f aca="false">IF(D83="","",IF(I83&lt;&gt;"",I83-D83,IF(ISNUMBER(Conhecimento!$E$4),Conhecimento!$E$4-D83,"")))</f>
        <v/>
      </c>
      <c r="O83" s="16" t="str">
        <f aca="false">IF(OR(M83="",N83=""),"",IF(I83&lt;&gt;"",IF(N83&lt;=M83,"No prazo","Fora do prazo"),IF(N83&lt;=M83,"Aberto no prazo","Aberto e atrasado")))</f>
        <v/>
      </c>
      <c r="P83" s="17" t="str">
        <f aca="false">IF(AND(C83="",COUNTA(D83:L83)=0),"",IF(ISNA(MATCH(F83,'Pós-entrega'!$C$7:$C$26,0)),"Produto sem política",IF(D83="","Falta a data de abertura",IF(G83="","Falta o tipo",IF(AND(I83&lt;&gt;"",OR(G83="Reclamação",G83="Garantia",G83="Devolução"),K83=""),"Falta a causa",IF(AND(L83&lt;&gt;"",ISNA(MATCH(L83,Lições!$C$7:$C$66,0))),"Lição não encontrada","OK"))))))</f>
        <v/>
      </c>
    </row>
    <row r="84" customFormat="false" ht="30" hidden="false" customHeight="true" outlineLevel="0" collapsed="false">
      <c r="B84" s="12" t="n">
        <v>78</v>
      </c>
      <c r="C84" s="13"/>
      <c r="D84" s="8"/>
      <c r="E84" s="5"/>
      <c r="F84" s="5"/>
      <c r="G84" s="13"/>
      <c r="H84" s="5"/>
      <c r="I84" s="8"/>
      <c r="J84" s="25"/>
      <c r="K84" s="5"/>
      <c r="L84" s="13"/>
      <c r="M84" s="23" t="str">
        <f aca="false">IF(F84="","",IFERROR(IF(INDEX('Pós-entrega'!$H$7:$H$26,MATCH(F84,'Pós-entrega'!$C$7:$C$26,0))="","",INDEX('Pós-entrega'!$H$7:$H$26,MATCH(F84,'Pós-entrega'!$C$7:$C$26,0))),""))</f>
        <v/>
      </c>
      <c r="N84" s="15" t="str">
        <f aca="false">IF(D84="","",IF(I84&lt;&gt;"",I84-D84,IF(ISNUMBER(Conhecimento!$E$4),Conhecimento!$E$4-D84,"")))</f>
        <v/>
      </c>
      <c r="O84" s="16" t="str">
        <f aca="false">IF(OR(M84="",N84=""),"",IF(I84&lt;&gt;"",IF(N84&lt;=M84,"No prazo","Fora do prazo"),IF(N84&lt;=M84,"Aberto no prazo","Aberto e atrasado")))</f>
        <v/>
      </c>
      <c r="P84" s="17" t="str">
        <f aca="false">IF(AND(C84="",COUNTA(D84:L84)=0),"",IF(ISNA(MATCH(F84,'Pós-entrega'!$C$7:$C$26,0)),"Produto sem política",IF(D84="","Falta a data de abertura",IF(G84="","Falta o tipo",IF(AND(I84&lt;&gt;"",OR(G84="Reclamação",G84="Garantia",G84="Devolução"),K84=""),"Falta a causa",IF(AND(L84&lt;&gt;"",ISNA(MATCH(L84,Lições!$C$7:$C$66,0))),"Lição não encontrada","OK"))))))</f>
        <v/>
      </c>
    </row>
    <row r="85" customFormat="false" ht="30" hidden="false" customHeight="true" outlineLevel="0" collapsed="false">
      <c r="B85" s="12" t="n">
        <v>79</v>
      </c>
      <c r="C85" s="13"/>
      <c r="D85" s="8"/>
      <c r="E85" s="5"/>
      <c r="F85" s="5"/>
      <c r="G85" s="13"/>
      <c r="H85" s="5"/>
      <c r="I85" s="8"/>
      <c r="J85" s="25"/>
      <c r="K85" s="5"/>
      <c r="L85" s="13"/>
      <c r="M85" s="23" t="str">
        <f aca="false">IF(F85="","",IFERROR(IF(INDEX('Pós-entrega'!$H$7:$H$26,MATCH(F85,'Pós-entrega'!$C$7:$C$26,0))="","",INDEX('Pós-entrega'!$H$7:$H$26,MATCH(F85,'Pós-entrega'!$C$7:$C$26,0))),""))</f>
        <v/>
      </c>
      <c r="N85" s="15" t="str">
        <f aca="false">IF(D85="","",IF(I85&lt;&gt;"",I85-D85,IF(ISNUMBER(Conhecimento!$E$4),Conhecimento!$E$4-D85,"")))</f>
        <v/>
      </c>
      <c r="O85" s="16" t="str">
        <f aca="false">IF(OR(M85="",N85=""),"",IF(I85&lt;&gt;"",IF(N85&lt;=M85,"No prazo","Fora do prazo"),IF(N85&lt;=M85,"Aberto no prazo","Aberto e atrasado")))</f>
        <v/>
      </c>
      <c r="P85" s="17" t="str">
        <f aca="false">IF(AND(C85="",COUNTA(D85:L85)=0),"",IF(ISNA(MATCH(F85,'Pós-entrega'!$C$7:$C$26,0)),"Produto sem política",IF(D85="","Falta a data de abertura",IF(G85="","Falta o tipo",IF(AND(I85&lt;&gt;"",OR(G85="Reclamação",G85="Garantia",G85="Devolução"),K85=""),"Falta a causa",IF(AND(L85&lt;&gt;"",ISNA(MATCH(L85,Lições!$C$7:$C$66,0))),"Lição não encontrada","OK"))))))</f>
        <v/>
      </c>
    </row>
    <row r="86" customFormat="false" ht="30" hidden="false" customHeight="true" outlineLevel="0" collapsed="false">
      <c r="B86" s="12" t="n">
        <v>80</v>
      </c>
      <c r="C86" s="13"/>
      <c r="D86" s="8"/>
      <c r="E86" s="5"/>
      <c r="F86" s="5"/>
      <c r="G86" s="13"/>
      <c r="H86" s="5"/>
      <c r="I86" s="8"/>
      <c r="J86" s="25"/>
      <c r="K86" s="5"/>
      <c r="L86" s="13"/>
      <c r="M86" s="23" t="str">
        <f aca="false">IF(F86="","",IFERROR(IF(INDEX('Pós-entrega'!$H$7:$H$26,MATCH(F86,'Pós-entrega'!$C$7:$C$26,0))="","",INDEX('Pós-entrega'!$H$7:$H$26,MATCH(F86,'Pós-entrega'!$C$7:$C$26,0))),""))</f>
        <v/>
      </c>
      <c r="N86" s="15" t="str">
        <f aca="false">IF(D86="","",IF(I86&lt;&gt;"",I86-D86,IF(ISNUMBER(Conhecimento!$E$4),Conhecimento!$E$4-D86,"")))</f>
        <v/>
      </c>
      <c r="O86" s="16" t="str">
        <f aca="false">IF(OR(M86="",N86=""),"",IF(I86&lt;&gt;"",IF(N86&lt;=M86,"No prazo","Fora do prazo"),IF(N86&lt;=M86,"Aberto no prazo","Aberto e atrasado")))</f>
        <v/>
      </c>
      <c r="P86" s="17" t="str">
        <f aca="false">IF(AND(C86="",COUNTA(D86:L86)=0),"",IF(ISNA(MATCH(F86,'Pós-entrega'!$C$7:$C$26,0)),"Produto sem política",IF(D86="","Falta a data de abertura",IF(G86="","Falta o tipo",IF(AND(I86&lt;&gt;"",OR(G86="Reclamação",G86="Garantia",G86="Devolução"),K86=""),"Falta a causa",IF(AND(L86&lt;&gt;"",ISNA(MATCH(L86,Lições!$C$7:$C$66,0))),"Lição não encontrada","OK"))))))</f>
        <v/>
      </c>
    </row>
    <row r="88" customFormat="false" ht="21.75" hidden="false" customHeight="true" outlineLevel="0" collapsed="false">
      <c r="B88" s="18" t="s">
        <v>94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21.75" hidden="false" customHeight="true" outlineLevel="0" collapsed="false">
      <c r="B89" s="19" t="s">
        <v>50</v>
      </c>
      <c r="C89" s="19"/>
      <c r="D89" s="19"/>
      <c r="E89" s="20" t="str">
        <f aca="false">COUNTA(D7:D86)&amp;" atendimentos, custo de R$ "&amp;TEXT(SUM(J7:J86),"0")</f>
        <v>0 atendimentos, custo de R$ 0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customFormat="false" ht="21.75" hidden="false" customHeight="true" outlineLevel="0" collapsed="false">
      <c r="B90" s="19" t="s">
        <v>96</v>
      </c>
      <c r="C90" s="19"/>
      <c r="D90" s="19"/>
      <c r="E90" s="20" t="str">
        <f aca="false">COUNTIF(O7:O86,"No prazo")&amp;" no prazo"&amp;", "&amp;COUNTIF(O7:O86,"Fora do prazo")&amp;" fora do prazo"&amp;", "&amp;COUNTIF(O7:O86,"Aberto no prazo")&amp;" aberto no prazo"&amp;", "&amp;COUNTIF(O7:O86,"Aberto e atrasado")&amp;" aberto e atrasado"</f>
        <v>0 no prazo, 0 fora do prazo, 0 aberto no prazo, 0 aberto e atrasado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customFormat="false" ht="21.75" hidden="false" customHeight="true" outlineLevel="0" collapsed="false">
      <c r="B91" s="19" t="s">
        <v>97</v>
      </c>
      <c r="C91" s="19"/>
      <c r="D91" s="19"/>
      <c r="E91" s="21" t="str">
        <f aca="false">IF(COUNTA(D7:D86)=0,"Lance os atendimentos",IF(COUNTIF(O7:O86,"Aberto e atrasado")&gt;0,"Há atendimento aberto e atrasado",IF(SUMPRODUCT((P7:P86&lt;&gt;"")*(P7:P86&lt;&gt;"OK"))&gt;0,"Há atendimento a completar: veja a coluna Conferência",IF(COUNTIF(O7:O86,"Fora do prazo")&gt;0,"Há atendimento resolvido fora do prazo: veja por quê","OK"))))</f>
        <v>Lance os atendimentos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</sheetData>
  <mergeCells count="9">
    <mergeCell ref="B1:P1"/>
    <mergeCell ref="B2:P2"/>
    <mergeCell ref="B88:P88"/>
    <mergeCell ref="B89:D89"/>
    <mergeCell ref="E89:P89"/>
    <mergeCell ref="B90:D90"/>
    <mergeCell ref="E90:P90"/>
    <mergeCell ref="B91:D91"/>
    <mergeCell ref="E91:P91"/>
  </mergeCells>
  <conditionalFormatting sqref="O7:O86">
    <cfRule type="expression" priority="2" aboveAverage="0" equalAverage="0" bottom="0" percent="0" rank="0" text="" dxfId="2">
      <formula>O7="No prazo"</formula>
    </cfRule>
    <cfRule type="expression" priority="3" aboveAverage="0" equalAverage="0" bottom="0" percent="0" rank="0" text="" dxfId="0">
      <formula>O7="Fora do prazo"</formula>
    </cfRule>
    <cfRule type="expression" priority="4" aboveAverage="0" equalAverage="0" bottom="0" percent="0" rank="0" text="" dxfId="1">
      <formula>O7="Aberto no prazo"</formula>
    </cfRule>
    <cfRule type="expression" priority="5" aboveAverage="0" equalAverage="0" bottom="0" percent="0" rank="0" text="" dxfId="0">
      <formula>O7="Aberto e atrasado"</formula>
    </cfRule>
  </conditionalFormatting>
  <conditionalFormatting sqref="P7:P86">
    <cfRule type="expression" priority="6" aboveAverage="0" equalAverage="0" bottom="0" percent="0" rank="0" text="" dxfId="2">
      <formula>OR(P7="OK")</formula>
    </cfRule>
    <cfRule type="expression" priority="7" aboveAverage="0" equalAverage="0" bottom="0" percent="0" rank="0" text="" dxfId="3">
      <formula>AND(LEN(P7)&gt;0,NOT(OR(P7="OK")))</formula>
    </cfRule>
  </conditionalFormatting>
  <conditionalFormatting sqref="E91:P91">
    <cfRule type="expression" priority="8" aboveAverage="0" equalAverage="0" bottom="0" percent="0" rank="0" text="" dxfId="2">
      <formula>OR(E91="OK")</formula>
    </cfRule>
    <cfRule type="expression" priority="9" aboveAverage="0" equalAverage="0" bottom="0" percent="0" rank="0" text="" dxfId="3">
      <formula>AND(LEN(E91)&gt;0,NOT(OR(E91="OK")))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7:D86 I7:I86" type="date">
      <formula1>36526</formula1>
      <formula2>0</formula2>
    </dataValidation>
    <dataValidation allowBlank="true" errorStyle="stop" operator="between" prompt="Produto ou serviço, da aba Pós-entrega" promptTitle="Opções" showDropDown="false" showErrorMessage="false" showInputMessage="true" sqref="F7:F86" type="list">
      <formula1>'Pós-entrega'!$C$7:$C$26</formula1>
      <formula2>0</formula2>
    </dataValidation>
    <dataValidation allowBlank="true" error="Escolha uma das opções da lista." errorStyle="stop" errorTitle="Valor inválido" operator="between" prompt="Reclamação, garantia, devolução, assistência técnica ou orientação de uso" promptTitle="Opções" showDropDown="false" showErrorMessage="true" showInputMessage="true" sqref="G7:G86" type="list">
      <formula1>"Reclamação,Garantia,Devolução,Assistência técnica,Orientação de uso"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J7:J8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6" min="6" style="0" width="3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164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165</v>
      </c>
      <c r="C2" s="2"/>
      <c r="D2" s="2"/>
      <c r="E2" s="2"/>
      <c r="F2" s="2"/>
    </row>
    <row r="3" customFormat="false" ht="15" hidden="false" customHeight="false" outlineLevel="0" collapsed="false">
      <c r="B3" s="4" t="s">
        <v>71</v>
      </c>
      <c r="C3" s="26" t="str">
        <f aca="false">IF(Conhecimento!$E$4="","",Conhecimento!$E$4)</f>
        <v/>
      </c>
    </row>
    <row r="5" customFormat="false" ht="21.75" hidden="false" customHeight="true" outlineLevel="0" collapsed="false">
      <c r="B5" s="10" t="s">
        <v>166</v>
      </c>
      <c r="C5" s="10" t="s">
        <v>167</v>
      </c>
      <c r="D5" s="10" t="s">
        <v>168</v>
      </c>
      <c r="E5" s="10"/>
      <c r="F5" s="10"/>
    </row>
    <row r="6" customFormat="false" ht="21.75" hidden="false" customHeight="true" outlineLevel="0" collapsed="false">
      <c r="B6" s="27" t="s">
        <v>169</v>
      </c>
      <c r="C6" s="27"/>
      <c r="D6" s="27"/>
      <c r="E6" s="27"/>
      <c r="F6" s="27"/>
    </row>
    <row r="7" customFormat="false" ht="21.75" hidden="false" customHeight="true" outlineLevel="0" collapsed="false">
      <c r="B7" s="4" t="s">
        <v>95</v>
      </c>
      <c r="C7" s="15" t="n">
        <f aca="false">COUNTA(Conhecimento!C8:C47)</f>
        <v>0</v>
      </c>
      <c r="D7" s="28" t="s">
        <v>170</v>
      </c>
      <c r="E7" s="28"/>
      <c r="F7" s="28"/>
    </row>
    <row r="8" customFormat="false" ht="21.75" hidden="false" customHeight="true" outlineLevel="0" collapsed="false">
      <c r="B8" s="4" t="s">
        <v>16</v>
      </c>
      <c r="C8" s="15" t="n">
        <f aca="false">COUNTIF(Conhecimento!N8:N47,"Crítico")</f>
        <v>0</v>
      </c>
      <c r="D8" s="28" t="s">
        <v>171</v>
      </c>
      <c r="E8" s="28"/>
      <c r="F8" s="28"/>
    </row>
    <row r="9" customFormat="false" ht="21.75" hidden="false" customHeight="true" outlineLevel="0" collapsed="false">
      <c r="B9" s="4" t="s">
        <v>18</v>
      </c>
      <c r="C9" s="15" t="n">
        <f aca="false">COUNTIF(Conhecimento!N8:N47,"Em risco")</f>
        <v>0</v>
      </c>
      <c r="D9" s="28" t="s">
        <v>172</v>
      </c>
      <c r="E9" s="28"/>
      <c r="F9" s="28"/>
    </row>
    <row r="10" customFormat="false" ht="21.75" hidden="false" customHeight="true" outlineLevel="0" collapsed="false">
      <c r="B10" s="4" t="s">
        <v>20</v>
      </c>
      <c r="C10" s="15" t="n">
        <f aca="false">COUNTIF(Conhecimento!N8:N47,"Sob controle")</f>
        <v>0</v>
      </c>
      <c r="D10" s="28" t="s">
        <v>173</v>
      </c>
      <c r="E10" s="28"/>
      <c r="F10" s="28"/>
    </row>
    <row r="11" customFormat="false" ht="21.75" hidden="false" customHeight="true" outlineLevel="0" collapsed="false">
      <c r="B11" s="4" t="s">
        <v>174</v>
      </c>
      <c r="C11" s="15" t="n">
        <f aca="false">COUNTIF(Conhecimento!O8:O47,"Falta a ação de transferência")</f>
        <v>0</v>
      </c>
      <c r="D11" s="28" t="s">
        <v>175</v>
      </c>
      <c r="E11" s="28"/>
      <c r="F11" s="28"/>
    </row>
    <row r="12" customFormat="false" ht="21.75" hidden="false" customHeight="true" outlineLevel="0" collapsed="false">
      <c r="B12" s="4" t="s">
        <v>176</v>
      </c>
      <c r="C12" s="15" t="n">
        <f aca="false">COUNTIF(Conhecimento!O8:O47,"Prazo da ação vencido")</f>
        <v>0</v>
      </c>
      <c r="D12" s="28" t="s">
        <v>177</v>
      </c>
      <c r="E12" s="28"/>
      <c r="F12" s="28"/>
    </row>
    <row r="13" customFormat="false" ht="21.75" hidden="false" customHeight="true" outlineLevel="0" collapsed="false">
      <c r="B13" s="27" t="s">
        <v>178</v>
      </c>
      <c r="C13" s="27"/>
      <c r="D13" s="27"/>
      <c r="E13" s="27"/>
      <c r="F13" s="27"/>
    </row>
    <row r="14" customFormat="false" ht="21.75" hidden="false" customHeight="true" outlineLevel="0" collapsed="false">
      <c r="B14" s="4" t="s">
        <v>122</v>
      </c>
      <c r="C14" s="15" t="n">
        <f aca="false">COUNTA(Lições!C7:C66)</f>
        <v>0</v>
      </c>
      <c r="D14" s="28" t="s">
        <v>179</v>
      </c>
      <c r="E14" s="28"/>
      <c r="F14" s="28"/>
    </row>
    <row r="15" customFormat="false" ht="21.75" hidden="false" customHeight="true" outlineLevel="0" collapsed="false">
      <c r="B15" s="4" t="s">
        <v>180</v>
      </c>
      <c r="C15" s="15" t="n">
        <f aca="false">COUNTIF(Lições!L7:L66,"Pendente")</f>
        <v>0</v>
      </c>
      <c r="D15" s="28" t="s">
        <v>181</v>
      </c>
      <c r="E15" s="28"/>
      <c r="F15" s="28"/>
    </row>
    <row r="16" customFormat="false" ht="21.75" hidden="false" customHeight="true" outlineLevel="0" collapsed="false">
      <c r="B16" s="4" t="s">
        <v>182</v>
      </c>
      <c r="C16" s="15" t="n">
        <f aca="false">COUNTIF(Lições!N7:N66,"Pendente há mais de 60 dias")</f>
        <v>0</v>
      </c>
      <c r="D16" s="28" t="s">
        <v>183</v>
      </c>
      <c r="E16" s="28"/>
      <c r="F16" s="28"/>
    </row>
    <row r="17" customFormat="false" ht="21.75" hidden="false" customHeight="true" outlineLevel="0" collapsed="false">
      <c r="B17" s="27" t="s">
        <v>184</v>
      </c>
      <c r="C17" s="27"/>
      <c r="D17" s="27"/>
      <c r="E17" s="27"/>
      <c r="F17" s="27"/>
    </row>
    <row r="18" customFormat="false" ht="21.75" hidden="false" customHeight="true" outlineLevel="0" collapsed="false">
      <c r="B18" s="4" t="s">
        <v>142</v>
      </c>
      <c r="C18" s="15" t="n">
        <f aca="false">COUNTA('Pós-entrega'!C7:C26)</f>
        <v>0</v>
      </c>
      <c r="D18" s="28" t="s">
        <v>185</v>
      </c>
      <c r="E18" s="28"/>
      <c r="F18" s="28"/>
    </row>
    <row r="19" customFormat="false" ht="21.75" hidden="false" customHeight="true" outlineLevel="0" collapsed="false">
      <c r="B19" s="4" t="s">
        <v>186</v>
      </c>
      <c r="C19" s="15" t="n">
        <f aca="false">COUNTIF('Pós-entrega'!J7:J26,"Prazo aceito menor que o mínimo")</f>
        <v>0</v>
      </c>
      <c r="D19" s="28" t="s">
        <v>187</v>
      </c>
      <c r="E19" s="28"/>
      <c r="F19" s="28"/>
    </row>
    <row r="20" customFormat="false" ht="21.75" hidden="false" customHeight="true" outlineLevel="0" collapsed="false">
      <c r="B20" s="4" t="s">
        <v>50</v>
      </c>
      <c r="C20" s="15" t="n">
        <f aca="false">COUNTA(Atendimentos!D7:D86)</f>
        <v>0</v>
      </c>
      <c r="D20" s="28" t="s">
        <v>188</v>
      </c>
      <c r="E20" s="28"/>
      <c r="F20" s="28"/>
    </row>
    <row r="21" customFormat="false" ht="21.75" hidden="false" customHeight="true" outlineLevel="0" collapsed="false">
      <c r="B21" s="4" t="s">
        <v>189</v>
      </c>
      <c r="C21" s="15" t="n">
        <f aca="false">COUNTIF(Atendimentos!O7:O86,"Aberto no prazo")+COUNTIF(Atendimentos!O7:O86,"Aberto e atrasado")</f>
        <v>0</v>
      </c>
      <c r="D21" s="28" t="s">
        <v>190</v>
      </c>
      <c r="E21" s="28"/>
      <c r="F21" s="28"/>
    </row>
    <row r="22" customFormat="false" ht="21.75" hidden="false" customHeight="true" outlineLevel="0" collapsed="false">
      <c r="B22" s="4" t="s">
        <v>191</v>
      </c>
      <c r="C22" s="15" t="n">
        <f aca="false">COUNTIF(Atendimentos!O7:O86,"Fora do prazo")+COUNTIF(Atendimentos!O7:O86,"Aberto e atrasado")</f>
        <v>0</v>
      </c>
      <c r="D22" s="28" t="s">
        <v>192</v>
      </c>
      <c r="E22" s="28"/>
      <c r="F22" s="28"/>
    </row>
    <row r="23" customFormat="false" ht="21.75" hidden="false" customHeight="true" outlineLevel="0" collapsed="false">
      <c r="B23" s="4" t="s">
        <v>193</v>
      </c>
      <c r="C23" s="29" t="str">
        <f aca="false">IFERROR(COUNTIF(Atendimentos!O7:O86,"No prazo")/(COUNTIF(Atendimentos!O7:O86,"No prazo")+COUNTIF(Atendimentos!O7:O86,"Fora do prazo")),"")</f>
        <v/>
      </c>
      <c r="D23" s="28" t="s">
        <v>194</v>
      </c>
      <c r="E23" s="28"/>
      <c r="F23" s="28"/>
    </row>
    <row r="24" customFormat="false" ht="21.75" hidden="false" customHeight="true" outlineLevel="0" collapsed="false">
      <c r="B24" s="4" t="s">
        <v>195</v>
      </c>
      <c r="C24" s="30" t="n">
        <f aca="false">SUM(Atendimentos!J7:J86)</f>
        <v>0</v>
      </c>
      <c r="D24" s="28" t="s">
        <v>196</v>
      </c>
      <c r="E24" s="28"/>
      <c r="F24" s="28"/>
    </row>
    <row r="25" customFormat="false" ht="21.75" hidden="false" customHeight="true" outlineLevel="0" collapsed="false">
      <c r="B25" s="4" t="s">
        <v>197</v>
      </c>
      <c r="C25" s="15" t="n">
        <f aca="false">SUMPRODUCT((Conhecimento!O8:O47&lt;&gt;"")*(Conhecimento!O8:O47&lt;&gt;"OK"))+SUMPRODUCT((Lições!N7:N66&lt;&gt;"")*(Lições!N7:N66&lt;&gt;"OK"))+SUMPRODUCT(('Pós-entrega'!J7:J26&lt;&gt;"")*('Pós-entrega'!J7:J26&lt;&gt;"OK"))+SUMPRODUCT((Atendimentos!P7:P86&lt;&gt;"")*(Atendimentos!P7:P86&lt;&gt;"OK"))</f>
        <v>0</v>
      </c>
      <c r="D25" s="28" t="s">
        <v>198</v>
      </c>
      <c r="E25" s="28"/>
      <c r="F25" s="28"/>
    </row>
    <row r="27" customFormat="false" ht="21.75" hidden="false" customHeight="true" outlineLevel="0" collapsed="false">
      <c r="B27" s="18" t="s">
        <v>94</v>
      </c>
      <c r="C27" s="18"/>
      <c r="D27" s="18"/>
      <c r="E27" s="18"/>
      <c r="F27" s="18"/>
    </row>
    <row r="28" customFormat="false" ht="21.75" hidden="false" customHeight="true" outlineLevel="0" collapsed="false">
      <c r="B28" s="4" t="s">
        <v>97</v>
      </c>
      <c r="C28" s="21" t="str">
        <f aca="false">IF(C7+C18=0,"Preencha as abas Conhecimento e Pós-entrega",IF(C3="","Informe a data da leitura na aba Conhecimento",IF(COUNTIF(Atendimentos!O7:O86,"Aberto e atrasado")&gt;0,"Há atendimento aberto e atrasado",IF(C19&gt;0,"Há prazo aceito menor que o mínimo da lei ou do contrato",IF(C11&gt;0,"Há conhecimento exposto sem ação de transferência",IF(C16&gt;0,"Há lição pendente há mais de 60 dias",IF(C12&gt;0,"Há ação de transferência vencida",IF(C25&gt;0,"Há linha a completar: veja as conferências","OK"))))))))</f>
        <v>Preencha as abas Conhecimento e Pós-entrega</v>
      </c>
      <c r="D28" s="21"/>
      <c r="E28" s="21"/>
      <c r="F28" s="21"/>
    </row>
    <row r="30" customFormat="false" ht="15" hidden="false" customHeight="false" outlineLevel="0" collapsed="false">
      <c r="B30" s="31" t="s">
        <v>199</v>
      </c>
    </row>
    <row r="31" customFormat="false" ht="15" hidden="false" customHeight="false" outlineLevel="0" collapsed="false">
      <c r="B31" s="32" t="s">
        <v>16</v>
      </c>
      <c r="C31" s="23" t="n">
        <f aca="false">COUNTIF(Conhecimento!N8:N47,B31)</f>
        <v>0</v>
      </c>
    </row>
    <row r="32" customFormat="false" ht="15" hidden="false" customHeight="false" outlineLevel="0" collapsed="false">
      <c r="B32" s="32" t="s">
        <v>18</v>
      </c>
      <c r="C32" s="23" t="n">
        <f aca="false">COUNTIF(Conhecimento!N8:N47,B32)</f>
        <v>0</v>
      </c>
    </row>
    <row r="33" customFormat="false" ht="15" hidden="false" customHeight="false" outlineLevel="0" collapsed="false">
      <c r="B33" s="32" t="s">
        <v>20</v>
      </c>
      <c r="C33" s="23" t="n">
        <f aca="false">COUNTIF(Conhecimento!N8:N47,B33)</f>
        <v>0</v>
      </c>
    </row>
  </sheetData>
  <mergeCells count="25">
    <mergeCell ref="B1:F1"/>
    <mergeCell ref="B2:F2"/>
    <mergeCell ref="D5:F5"/>
    <mergeCell ref="B6:F6"/>
    <mergeCell ref="D7:F7"/>
    <mergeCell ref="D8:F8"/>
    <mergeCell ref="D9:F9"/>
    <mergeCell ref="D10:F10"/>
    <mergeCell ref="D11:F11"/>
    <mergeCell ref="D12:F12"/>
    <mergeCell ref="B13:F13"/>
    <mergeCell ref="D14:F14"/>
    <mergeCell ref="D15:F15"/>
    <mergeCell ref="D16:F16"/>
    <mergeCell ref="B17:F17"/>
    <mergeCell ref="D18:F18"/>
    <mergeCell ref="D19:F19"/>
    <mergeCell ref="D20:F20"/>
    <mergeCell ref="D21:F21"/>
    <mergeCell ref="D22:F22"/>
    <mergeCell ref="D23:F23"/>
    <mergeCell ref="D24:F24"/>
    <mergeCell ref="D25:F25"/>
    <mergeCell ref="B27:F27"/>
    <mergeCell ref="C28:F28"/>
  </mergeCells>
  <conditionalFormatting sqref="C28:F28">
    <cfRule type="expression" priority="2" aboveAverage="0" equalAverage="0" bottom="0" percent="0" rank="0" text="" dxfId="2">
      <formula>OR(C28="OK")</formula>
    </cfRule>
    <cfRule type="expression" priority="3" aboveAverage="0" equalAverage="0" bottom="0" percent="0" rank="0" text="" dxfId="3">
      <formula>AND(LEN(C28)&gt;0,NOT(OR(C28="OK")))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200</v>
      </c>
      <c r="C1" s="1"/>
      <c r="D1" s="1"/>
      <c r="E1" s="1"/>
    </row>
    <row r="2" customFormat="false" ht="19.5" hidden="false" customHeight="true" outlineLevel="0" collapsed="false">
      <c r="B2" s="2" t="s">
        <v>201</v>
      </c>
      <c r="C2" s="2"/>
      <c r="D2" s="2"/>
      <c r="E2" s="2"/>
    </row>
    <row r="4" customFormat="false" ht="21.75" hidden="false" customHeight="true" outlineLevel="0" collapsed="false">
      <c r="B4" s="10" t="s">
        <v>73</v>
      </c>
      <c r="C4" s="10" t="s">
        <v>202</v>
      </c>
      <c r="D4" s="10" t="s">
        <v>203</v>
      </c>
      <c r="E4" s="10" t="s">
        <v>204</v>
      </c>
    </row>
    <row r="5" customFormat="false" ht="30" hidden="false" customHeight="true" outlineLevel="0" collapsed="false">
      <c r="B5" s="12" t="n">
        <v>1</v>
      </c>
      <c r="C5" s="6" t="s">
        <v>205</v>
      </c>
      <c r="D5" s="13"/>
      <c r="E5" s="5"/>
    </row>
    <row r="6" customFormat="false" ht="30" hidden="false" customHeight="true" outlineLevel="0" collapsed="false">
      <c r="B6" s="12" t="n">
        <v>2</v>
      </c>
      <c r="C6" s="6" t="s">
        <v>206</v>
      </c>
      <c r="D6" s="13"/>
      <c r="E6" s="5"/>
    </row>
    <row r="7" customFormat="false" ht="30" hidden="false" customHeight="true" outlineLevel="0" collapsed="false">
      <c r="B7" s="12" t="n">
        <v>3</v>
      </c>
      <c r="C7" s="6" t="s">
        <v>207</v>
      </c>
      <c r="D7" s="13"/>
      <c r="E7" s="5"/>
    </row>
    <row r="8" customFormat="false" ht="30" hidden="false" customHeight="true" outlineLevel="0" collapsed="false">
      <c r="B8" s="12" t="n">
        <v>4</v>
      </c>
      <c r="C8" s="6" t="s">
        <v>208</v>
      </c>
      <c r="D8" s="13"/>
      <c r="E8" s="5"/>
    </row>
    <row r="9" customFormat="false" ht="30" hidden="false" customHeight="true" outlineLevel="0" collapsed="false">
      <c r="B9" s="12" t="n">
        <v>5</v>
      </c>
      <c r="C9" s="6" t="s">
        <v>209</v>
      </c>
      <c r="D9" s="13"/>
      <c r="E9" s="5"/>
    </row>
    <row r="10" customFormat="false" ht="30" hidden="false" customHeight="true" outlineLevel="0" collapsed="false">
      <c r="B10" s="12" t="n">
        <v>6</v>
      </c>
      <c r="C10" s="6" t="s">
        <v>210</v>
      </c>
      <c r="D10" s="13"/>
      <c r="E10" s="5"/>
    </row>
    <row r="11" customFormat="false" ht="30" hidden="false" customHeight="true" outlineLevel="0" collapsed="false">
      <c r="B11" s="12" t="n">
        <v>7</v>
      </c>
      <c r="C11" s="6" t="s">
        <v>211</v>
      </c>
      <c r="D11" s="13"/>
      <c r="E11" s="5"/>
    </row>
    <row r="12" customFormat="false" ht="30" hidden="false" customHeight="true" outlineLevel="0" collapsed="false">
      <c r="B12" s="12" t="n">
        <v>8</v>
      </c>
      <c r="C12" s="6" t="s">
        <v>212</v>
      </c>
      <c r="D12" s="13"/>
      <c r="E12" s="5"/>
    </row>
    <row r="13" customFormat="false" ht="30" hidden="false" customHeight="true" outlineLevel="0" collapsed="false">
      <c r="B13" s="12" t="n">
        <v>9</v>
      </c>
      <c r="C13" s="6" t="s">
        <v>213</v>
      </c>
      <c r="D13" s="13"/>
      <c r="E13" s="5"/>
    </row>
    <row r="14" customFormat="false" ht="30" hidden="false" customHeight="true" outlineLevel="0" collapsed="false">
      <c r="B14" s="12" t="n">
        <v>10</v>
      </c>
      <c r="C14" s="6" t="s">
        <v>214</v>
      </c>
      <c r="D14" s="13"/>
      <c r="E14" s="5"/>
    </row>
    <row r="15" customFormat="false" ht="30" hidden="false" customHeight="true" outlineLevel="0" collapsed="false">
      <c r="B15" s="12" t="n">
        <v>11</v>
      </c>
      <c r="C15" s="6" t="s">
        <v>215</v>
      </c>
      <c r="D15" s="13"/>
      <c r="E15" s="5"/>
    </row>
    <row r="16" customFormat="false" ht="30" hidden="false" customHeight="true" outlineLevel="0" collapsed="false">
      <c r="B16" s="12" t="n">
        <v>12</v>
      </c>
      <c r="C16" s="6" t="s">
        <v>216</v>
      </c>
      <c r="D16" s="13"/>
      <c r="E16" s="5"/>
    </row>
    <row r="18" customFormat="false" ht="21.75" hidden="false" customHeight="true" outlineLevel="0" collapsed="false">
      <c r="B18" s="18" t="s">
        <v>94</v>
      </c>
      <c r="C18" s="18"/>
      <c r="D18" s="18"/>
      <c r="E18" s="18"/>
    </row>
    <row r="19" customFormat="false" ht="19.5" hidden="false" customHeight="true" outlineLevel="0" collapsed="false">
      <c r="B19" s="19" t="s">
        <v>217</v>
      </c>
      <c r="C19" s="19"/>
      <c r="D19" s="15" t="n">
        <f aca="false">COUNTIF(D5:D16,"Sim")</f>
        <v>0</v>
      </c>
    </row>
    <row r="20" customFormat="false" ht="19.5" hidden="false" customHeight="true" outlineLevel="0" collapsed="false">
      <c r="B20" s="19" t="s">
        <v>218</v>
      </c>
      <c r="C20" s="19"/>
      <c r="D20" s="15" t="n">
        <f aca="false">COUNTIF(D5:D16,"Parcial")</f>
        <v>0</v>
      </c>
    </row>
    <row r="21" customFormat="false" ht="19.5" hidden="false" customHeight="true" outlineLevel="0" collapsed="false">
      <c r="B21" s="19" t="s">
        <v>219</v>
      </c>
      <c r="C21" s="19"/>
      <c r="D21" s="15" t="n">
        <f aca="false">COUNTIF(D5:D16,"Não")</f>
        <v>0</v>
      </c>
    </row>
    <row r="22" customFormat="false" ht="19.5" hidden="false" customHeight="true" outlineLevel="0" collapsed="false">
      <c r="B22" s="19" t="s">
        <v>220</v>
      </c>
      <c r="C22" s="19"/>
      <c r="D22" s="15" t="n">
        <f aca="false">COUNTBLANK(D5:D16)</f>
        <v>12</v>
      </c>
    </row>
    <row r="23" customFormat="false" ht="19.5" hidden="false" customHeight="true" outlineLevel="0" collapsed="false">
      <c r="B23" s="19" t="s">
        <v>221</v>
      </c>
      <c r="C23" s="19"/>
      <c r="D23" s="29" t="n">
        <f aca="false">D19/ROWS(D5:D16)</f>
        <v>0</v>
      </c>
    </row>
    <row r="24" customFormat="false" ht="19.5" hidden="false" customHeight="true" outlineLevel="0" collapsed="false">
      <c r="B24" s="19" t="s">
        <v>83</v>
      </c>
      <c r="C24" s="19"/>
      <c r="D24" s="15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2">
      <formula>"Sim"</formula>
    </cfRule>
    <cfRule type="cellIs" priority="3" operator="equal" aboveAverage="0" equalAverage="0" bottom="0" percent="0" rank="0" text="" dxfId="3">
      <formula>"Parcial"</formula>
    </cfRule>
    <cfRule type="cellIs" priority="4" operator="equal" aboveAverage="0" equalAverage="0" bottom="0" percent="0" rank="0" text="" dxfId="0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7" min="5" style="0" width="13"/>
    <col collapsed="false" customWidth="true" hidden="false" outlineLevel="0" max="8" min="8" style="0" width="22"/>
    <col collapsed="false" customWidth="true" hidden="false" outlineLevel="0" max="10" min="9" style="0" width="11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222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223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224</v>
      </c>
      <c r="C4" s="4"/>
      <c r="D4" s="33" t="s">
        <v>225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customFormat="false" ht="19.5" hidden="false" customHeight="true" outlineLevel="0" collapsed="false">
      <c r="B5" s="4" t="s">
        <v>105</v>
      </c>
      <c r="C5" s="4"/>
      <c r="D5" s="33" t="s">
        <v>226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customFormat="false" ht="19.5" hidden="false" customHeight="true" outlineLevel="0" collapsed="false">
      <c r="B6" s="4" t="s">
        <v>227</v>
      </c>
      <c r="C6" s="4"/>
      <c r="D6" s="33" t="s">
        <v>228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customFormat="false" ht="19.5" hidden="false" customHeight="true" outlineLevel="0" collapsed="false">
      <c r="B7" s="4" t="s">
        <v>101</v>
      </c>
      <c r="C7" s="4"/>
      <c r="D7" s="33" t="s">
        <v>229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customFormat="false" ht="15" hidden="false" customHeight="true" outlineLevel="0" collapsed="false">
      <c r="B8" s="4" t="s">
        <v>71</v>
      </c>
      <c r="C8" s="4"/>
      <c r="D8" s="34" t="n">
        <v>46538</v>
      </c>
    </row>
    <row r="10" customFormat="false" ht="21.75" hidden="false" customHeight="true" outlineLevel="0" collapsed="false">
      <c r="B10" s="35" t="s">
        <v>69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</row>
    <row r="11" customFormat="false" ht="30" hidden="false" customHeight="true" outlineLevel="0" collapsed="false">
      <c r="B11" s="15" t="s">
        <v>74</v>
      </c>
      <c r="C11" s="15" t="s">
        <v>44</v>
      </c>
      <c r="D11" s="15" t="s">
        <v>75</v>
      </c>
      <c r="E11" s="15" t="s">
        <v>76</v>
      </c>
      <c r="F11" s="15" t="s">
        <v>77</v>
      </c>
      <c r="G11" s="15" t="s">
        <v>78</v>
      </c>
      <c r="H11" s="15"/>
      <c r="I11" s="15" t="s">
        <v>230</v>
      </c>
      <c r="J11" s="15" t="s">
        <v>231</v>
      </c>
      <c r="K11" s="15" t="s">
        <v>80</v>
      </c>
      <c r="L11" s="15" t="s">
        <v>81</v>
      </c>
      <c r="M11" s="15" t="s">
        <v>82</v>
      </c>
      <c r="N11" s="15" t="s">
        <v>83</v>
      </c>
      <c r="O11" s="15" t="s">
        <v>84</v>
      </c>
      <c r="P11" s="15"/>
      <c r="Q11" s="15"/>
    </row>
    <row r="12" customFormat="false" ht="42.75" hidden="false" customHeight="true" outlineLevel="0" collapsed="false">
      <c r="B12" s="36" t="s">
        <v>85</v>
      </c>
      <c r="C12" s="37" t="s">
        <v>232</v>
      </c>
      <c r="D12" s="7" t="s">
        <v>233</v>
      </c>
      <c r="E12" s="38" t="s">
        <v>234</v>
      </c>
      <c r="F12" s="39" t="s">
        <v>235</v>
      </c>
      <c r="G12" s="40"/>
      <c r="H12" s="40"/>
      <c r="I12" s="38" t="n">
        <v>1</v>
      </c>
      <c r="J12" s="38" t="s">
        <v>236</v>
      </c>
      <c r="K12" s="40" t="s">
        <v>237</v>
      </c>
      <c r="L12" s="41" t="n">
        <v>46568</v>
      </c>
      <c r="M12" s="15" t="n">
        <f aca="false">IF(OR(F12="",I12=""),"",IF(F12="Só na cabeça",2,IF(F12="Escrito",1,0))+IF(I12&lt;=1,2,IF(I12=2,1,0))+IF(J12="Sim",1,0))</f>
        <v>5</v>
      </c>
      <c r="N12" s="16" t="str">
        <f aca="false">IF(OR(M12="",E12=""),"",IF(AND(E12="Alta",M12&gt;=3),"Crítico",IF(AND(OR(E12="Alta",E12="Média"),M12&gt;=2),"Em risco","Sob controle")))</f>
        <v>Crítico</v>
      </c>
      <c r="O12" s="17" t="str">
        <f aca="false">IF(B12="","",IF(E12="","Falta a criticidade",IF(F12="","Falta a forma",IF(I12="","Falta quantas pessoas sabem",IF(OR(N12="Crítico",N12="Em risco"),IF(K12="","Falta a ação de transferência",IF(L12="","Falta o prazo da ação",IF(AND(ISNUMBER($D$8),L12&lt;$D$8),"Prazo da ação vencido",IF(AND(F12&lt;&gt;"Só na cabeça",G12=""),"Falta onde está escrito","OK")))),IF(AND(F12&lt;&gt;"Só na cabeça",G12=""),"Falta onde está escrito","OK"))))))</f>
        <v>OK</v>
      </c>
      <c r="P12" s="17"/>
      <c r="Q12" s="17"/>
    </row>
    <row r="13" customFormat="false" ht="30.75" hidden="false" customHeight="true" outlineLevel="0" collapsed="false">
      <c r="B13" s="36" t="s">
        <v>238</v>
      </c>
      <c r="C13" s="37" t="s">
        <v>239</v>
      </c>
      <c r="D13" s="7" t="s">
        <v>233</v>
      </c>
      <c r="E13" s="38" t="s">
        <v>234</v>
      </c>
      <c r="F13" s="39" t="s">
        <v>240</v>
      </c>
      <c r="G13" s="40" t="s">
        <v>241</v>
      </c>
      <c r="H13" s="40"/>
      <c r="I13" s="38" t="n">
        <v>2</v>
      </c>
      <c r="J13" s="38" t="s">
        <v>242</v>
      </c>
      <c r="K13" s="40"/>
      <c r="L13" s="41"/>
      <c r="M13" s="15" t="n">
        <f aca="false">IF(OR(F13="",I13=""),"",IF(F13="Só na cabeça",2,IF(F13="Escrito",1,0))+IF(I13&lt;=1,2,IF(I13=2,1,0))+IF(J13="Sim",1,0))</f>
        <v>2</v>
      </c>
      <c r="N13" s="16" t="str">
        <f aca="false">IF(OR(M13="",E13=""),"",IF(AND(E13="Alta",M13&gt;=3),"Crítico",IF(AND(OR(E13="Alta",E13="Média"),M13&gt;=2),"Em risco","Sob controle")))</f>
        <v>Em risco</v>
      </c>
      <c r="O13" s="17" t="str">
        <f aca="false">IF(B13="","",IF(E13="","Falta a criticidade",IF(F13="","Falta a forma",IF(I13="","Falta quantas pessoas sabem",IF(OR(N13="Crítico",N13="Em risco"),IF(K13="","Falta a ação de transferência",IF(L13="","Falta o prazo da ação",IF(AND(ISNUMBER($D$8),L13&lt;$D$8),"Prazo da ação vencido",IF(AND(F13&lt;&gt;"Só na cabeça",G13=""),"Falta onde está escrito","OK")))),IF(AND(F13&lt;&gt;"Só na cabeça",G13=""),"Falta onde está escrito","OK"))))))</f>
        <v>Falta a ação de transferência</v>
      </c>
      <c r="P13" s="17"/>
      <c r="Q13" s="17"/>
    </row>
    <row r="14" customFormat="false" ht="21.75" hidden="false" customHeight="true" outlineLevel="0" collapsed="false">
      <c r="B14" s="36" t="s">
        <v>243</v>
      </c>
      <c r="C14" s="37" t="s">
        <v>244</v>
      </c>
      <c r="D14" s="7" t="s">
        <v>233</v>
      </c>
      <c r="E14" s="38" t="s">
        <v>234</v>
      </c>
      <c r="F14" s="39" t="s">
        <v>245</v>
      </c>
      <c r="G14" s="40" t="s">
        <v>246</v>
      </c>
      <c r="H14" s="40"/>
      <c r="I14" s="38" t="n">
        <v>4</v>
      </c>
      <c r="J14" s="38" t="s">
        <v>242</v>
      </c>
      <c r="K14" s="40"/>
      <c r="L14" s="41"/>
      <c r="M14" s="15" t="n">
        <f aca="false">IF(OR(F14="",I14=""),"",IF(F14="Só na cabeça",2,IF(F14="Escrito",1,0))+IF(I14&lt;=1,2,IF(I14=2,1,0))+IF(J14="Sim",1,0))</f>
        <v>0</v>
      </c>
      <c r="N14" s="16" t="str">
        <f aca="false">IF(OR(M14="",E14=""),"",IF(AND(E14="Alta",M14&gt;=3),"Crítico",IF(AND(OR(E14="Alta",E14="Média"),M14&gt;=2),"Em risco","Sob controle")))</f>
        <v>Sob controle</v>
      </c>
      <c r="O14" s="17" t="str">
        <f aca="false">IF(B14="","",IF(E14="","Falta a criticidade",IF(F14="","Falta a forma",IF(I14="","Falta quantas pessoas sabem",IF(OR(N14="Crítico",N14="Em risco"),IF(K14="","Falta a ação de transferência",IF(L14="","Falta o prazo da ação",IF(AND(ISNUMBER($D$8),L14&lt;$D$8),"Prazo da ação vencido",IF(AND(F14&lt;&gt;"Só na cabeça",G14=""),"Falta onde está escrito","OK")))),IF(AND(F14&lt;&gt;"Só na cabeça",G14=""),"Falta onde está escrito","OK"))))))</f>
        <v>OK</v>
      </c>
      <c r="P14" s="17"/>
      <c r="Q14" s="17"/>
    </row>
    <row r="15" customFormat="false" ht="30.75" hidden="false" customHeight="true" outlineLevel="0" collapsed="false">
      <c r="B15" s="36" t="s">
        <v>119</v>
      </c>
      <c r="C15" s="37" t="s">
        <v>247</v>
      </c>
      <c r="D15" s="7" t="s">
        <v>248</v>
      </c>
      <c r="E15" s="38" t="s">
        <v>234</v>
      </c>
      <c r="F15" s="39" t="s">
        <v>245</v>
      </c>
      <c r="G15" s="40" t="s">
        <v>117</v>
      </c>
      <c r="H15" s="40"/>
      <c r="I15" s="38" t="n">
        <v>3</v>
      </c>
      <c r="J15" s="38" t="s">
        <v>242</v>
      </c>
      <c r="K15" s="40"/>
      <c r="L15" s="41"/>
      <c r="M15" s="15" t="n">
        <f aca="false">IF(OR(F15="",I15=""),"",IF(F15="Só na cabeça",2,IF(F15="Escrito",1,0))+IF(I15&lt;=1,2,IF(I15=2,1,0))+IF(J15="Sim",1,0))</f>
        <v>0</v>
      </c>
      <c r="N15" s="16" t="str">
        <f aca="false">IF(OR(M15="",E15=""),"",IF(AND(E15="Alta",M15&gt;=3),"Crítico",IF(AND(OR(E15="Alta",E15="Média"),M15&gt;=2),"Em risco","Sob controle")))</f>
        <v>Sob controle</v>
      </c>
      <c r="O15" s="17" t="str">
        <f aca="false">IF(B15="","",IF(E15="","Falta a criticidade",IF(F15="","Falta a forma",IF(I15="","Falta quantas pessoas sabem",IF(OR(N15="Crítico",N15="Em risco"),IF(K15="","Falta a ação de transferência",IF(L15="","Falta o prazo da ação",IF(AND(ISNUMBER($D$8),L15&lt;$D$8),"Prazo da ação vencido",IF(AND(F15&lt;&gt;"Só na cabeça",G15=""),"Falta onde está escrito","OK")))),IF(AND(F15&lt;&gt;"Só na cabeça",G15=""),"Falta onde está escrito","OK"))))))</f>
        <v>OK</v>
      </c>
      <c r="P15" s="17"/>
      <c r="Q15" s="17"/>
    </row>
    <row r="16" customFormat="false" ht="30.75" hidden="false" customHeight="true" outlineLevel="0" collapsed="false">
      <c r="B16" s="36" t="s">
        <v>249</v>
      </c>
      <c r="C16" s="37" t="s">
        <v>250</v>
      </c>
      <c r="D16" s="7" t="s">
        <v>251</v>
      </c>
      <c r="E16" s="38" t="s">
        <v>252</v>
      </c>
      <c r="F16" s="39" t="s">
        <v>235</v>
      </c>
      <c r="G16" s="40"/>
      <c r="H16" s="40"/>
      <c r="I16" s="38" t="n">
        <v>2</v>
      </c>
      <c r="J16" s="38" t="s">
        <v>242</v>
      </c>
      <c r="K16" s="40" t="s">
        <v>253</v>
      </c>
      <c r="L16" s="41"/>
      <c r="M16" s="15" t="n">
        <f aca="false">IF(OR(F16="",I16=""),"",IF(F16="Só na cabeça",2,IF(F16="Escrito",1,0))+IF(I16&lt;=1,2,IF(I16=2,1,0))+IF(J16="Sim",1,0))</f>
        <v>3</v>
      </c>
      <c r="N16" s="16" t="str">
        <f aca="false">IF(OR(M16="",E16=""),"",IF(AND(E16="Alta",M16&gt;=3),"Crítico",IF(AND(OR(E16="Alta",E16="Média"),M16&gt;=2),"Em risco","Sob controle")))</f>
        <v>Em risco</v>
      </c>
      <c r="O16" s="17" t="str">
        <f aca="false">IF(B16="","",IF(E16="","Falta a criticidade",IF(F16="","Falta a forma",IF(I16="","Falta quantas pessoas sabem",IF(OR(N16="Crítico",N16="Em risco"),IF(K16="","Falta a ação de transferência",IF(L16="","Falta o prazo da ação",IF(AND(ISNUMBER($D$8),L16&lt;$D$8),"Prazo da ação vencido",IF(AND(F16&lt;&gt;"Só na cabeça",G16=""),"Falta onde está escrito","OK")))),IF(AND(F16&lt;&gt;"Só na cabeça",G16=""),"Falta onde está escrito","OK"))))))</f>
        <v>Falta o prazo da ação</v>
      </c>
      <c r="P16" s="17"/>
      <c r="Q16" s="17"/>
    </row>
    <row r="17" customFormat="false" ht="30.75" hidden="false" customHeight="true" outlineLevel="0" collapsed="false">
      <c r="B17" s="36" t="s">
        <v>254</v>
      </c>
      <c r="C17" s="37" t="s">
        <v>255</v>
      </c>
      <c r="D17" s="7" t="s">
        <v>256</v>
      </c>
      <c r="E17" s="38" t="s">
        <v>234</v>
      </c>
      <c r="F17" s="39" t="s">
        <v>240</v>
      </c>
      <c r="G17" s="40" t="s">
        <v>257</v>
      </c>
      <c r="H17" s="40"/>
      <c r="I17" s="38" t="n">
        <v>2</v>
      </c>
      <c r="J17" s="38" t="s">
        <v>242</v>
      </c>
      <c r="K17" s="40" t="s">
        <v>258</v>
      </c>
      <c r="L17" s="41" t="n">
        <v>46553</v>
      </c>
      <c r="M17" s="15" t="n">
        <f aca="false">IF(OR(F17="",I17=""),"",IF(F17="Só na cabeça",2,IF(F17="Escrito",1,0))+IF(I17&lt;=1,2,IF(I17=2,1,0))+IF(J17="Sim",1,0))</f>
        <v>2</v>
      </c>
      <c r="N17" s="16" t="str">
        <f aca="false">IF(OR(M17="",E17=""),"",IF(AND(E17="Alta",M17&gt;=3),"Crítico",IF(AND(OR(E17="Alta",E17="Média"),M17&gt;=2),"Em risco","Sob controle")))</f>
        <v>Em risco</v>
      </c>
      <c r="O17" s="17" t="str">
        <f aca="false">IF(B17="","",IF(E17="","Falta a criticidade",IF(F17="","Falta a forma",IF(I17="","Falta quantas pessoas sabem",IF(OR(N17="Crítico",N17="Em risco"),IF(K17="","Falta a ação de transferência",IF(L17="","Falta o prazo da ação",IF(AND(ISNUMBER($D$8),L17&lt;$D$8),"Prazo da ação vencido",IF(AND(F17&lt;&gt;"Só na cabeça",G17=""),"Falta onde está escrito","OK")))),IF(AND(F17&lt;&gt;"Só na cabeça",G17=""),"Falta onde está escrito","OK"))))))</f>
        <v>OK</v>
      </c>
      <c r="P17" s="17"/>
      <c r="Q17" s="17"/>
    </row>
    <row r="18" customFormat="false" ht="21.75" hidden="false" customHeight="true" outlineLevel="0" collapsed="false">
      <c r="B18" s="36" t="s">
        <v>259</v>
      </c>
      <c r="C18" s="37" t="s">
        <v>260</v>
      </c>
      <c r="D18" s="7" t="s">
        <v>261</v>
      </c>
      <c r="E18" s="38" t="s">
        <v>262</v>
      </c>
      <c r="F18" s="39" t="s">
        <v>235</v>
      </c>
      <c r="G18" s="40"/>
      <c r="H18" s="40"/>
      <c r="I18" s="38" t="n">
        <v>3</v>
      </c>
      <c r="J18" s="38" t="s">
        <v>242</v>
      </c>
      <c r="K18" s="40"/>
      <c r="L18" s="41"/>
      <c r="M18" s="15" t="n">
        <f aca="false">IF(OR(F18="",I18=""),"",IF(F18="Só na cabeça",2,IF(F18="Escrito",1,0))+IF(I18&lt;=1,2,IF(I18=2,1,0))+IF(J18="Sim",1,0))</f>
        <v>2</v>
      </c>
      <c r="N18" s="16" t="str">
        <f aca="false">IF(OR(M18="",E18=""),"",IF(AND(E18="Alta",M18&gt;=3),"Crítico",IF(AND(OR(E18="Alta",E18="Média"),M18&gt;=2),"Em risco","Sob controle")))</f>
        <v>Sob controle</v>
      </c>
      <c r="O18" s="17" t="str">
        <f aca="false">IF(B18="","",IF(E18="","Falta a criticidade",IF(F18="","Falta a forma",IF(I18="","Falta quantas pessoas sabem",IF(OR(N18="Crítico",N18="Em risco"),IF(K18="","Falta a ação de transferência",IF(L18="","Falta o prazo da ação",IF(AND(ISNUMBER($D$8),L18&lt;$D$8),"Prazo da ação vencido",IF(AND(F18&lt;&gt;"Só na cabeça",G18=""),"Falta onde está escrito","OK")))),IF(AND(F18&lt;&gt;"Só na cabeça",G18=""),"Falta onde está escrito","OK"))))))</f>
        <v>OK</v>
      </c>
      <c r="P18" s="17"/>
      <c r="Q18" s="17"/>
    </row>
    <row r="20" customFormat="false" ht="21.75" hidden="false" customHeight="true" outlineLevel="0" collapsed="false">
      <c r="B20" s="42" t="s">
        <v>98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</row>
    <row r="21" customFormat="false" ht="30" hidden="false" customHeight="true" outlineLevel="0" collapsed="false">
      <c r="B21" s="15" t="s">
        <v>100</v>
      </c>
      <c r="C21" s="15" t="s">
        <v>102</v>
      </c>
      <c r="D21" s="15" t="s">
        <v>91</v>
      </c>
      <c r="E21" s="15" t="s">
        <v>101</v>
      </c>
      <c r="F21" s="15" t="s">
        <v>103</v>
      </c>
      <c r="G21" s="15"/>
      <c r="H21" s="15"/>
      <c r="I21" s="15" t="s">
        <v>263</v>
      </c>
      <c r="J21" s="15" t="s">
        <v>120</v>
      </c>
      <c r="K21" s="15" t="s">
        <v>104</v>
      </c>
      <c r="L21" s="15" t="s">
        <v>105</v>
      </c>
      <c r="M21" s="15" t="s">
        <v>153</v>
      </c>
      <c r="N21" s="15" t="s">
        <v>83</v>
      </c>
      <c r="O21" s="15" t="s">
        <v>84</v>
      </c>
      <c r="P21" s="15"/>
      <c r="Q21" s="15"/>
    </row>
    <row r="22" customFormat="false" ht="30.75" hidden="false" customHeight="true" outlineLevel="0" collapsed="false">
      <c r="B22" s="36" t="s">
        <v>108</v>
      </c>
      <c r="C22" s="40" t="s">
        <v>264</v>
      </c>
      <c r="D22" s="41" t="n">
        <v>46451</v>
      </c>
      <c r="E22" s="39" t="s">
        <v>114</v>
      </c>
      <c r="F22" s="40" t="s">
        <v>265</v>
      </c>
      <c r="G22" s="40"/>
      <c r="H22" s="40"/>
      <c r="I22" s="38" t="s">
        <v>119</v>
      </c>
      <c r="J22" s="41" t="n">
        <v>46461</v>
      </c>
      <c r="K22" s="40" t="s">
        <v>117</v>
      </c>
      <c r="L22" s="40" t="s">
        <v>226</v>
      </c>
      <c r="M22" s="23" t="str">
        <f aca="false">IF(OR(B22="",J22&lt;&gt;"",D22=""),"",IF(ISNUMBER($D$8),$D$8-D22,""))</f>
        <v/>
      </c>
      <c r="N22" s="43" t="str">
        <f aca="false">IF(B22="","",IF(J22="","Pendente","Incorporada"))</f>
        <v>Incorporada</v>
      </c>
      <c r="O22" s="17" t="str">
        <f aca="false">IF(B22="","",IF(D22="","Falta a data",IF(C22="","Falta o que aconteceu",IF(F22="","Falta o que aprendemos",IF(K22="","Falta onde incorporar",IF(AND(I22&lt;&gt;"",ISNA(MATCH(I22,$B$12:$B$18,0))),"Conhecimento não cadastrado",IF(AND(N22="Pendente",N(M22)&gt;60),"Pendente há mais de 60 dias","OK")))))))</f>
        <v>OK</v>
      </c>
      <c r="P22" s="17"/>
      <c r="Q22" s="17"/>
    </row>
    <row r="23" customFormat="false" ht="30.75" hidden="false" customHeight="true" outlineLevel="0" collapsed="false">
      <c r="B23" s="36" t="s">
        <v>266</v>
      </c>
      <c r="C23" s="40" t="s">
        <v>267</v>
      </c>
      <c r="D23" s="41" t="n">
        <v>46468</v>
      </c>
      <c r="E23" s="39" t="s">
        <v>114</v>
      </c>
      <c r="F23" s="40" t="s">
        <v>268</v>
      </c>
      <c r="G23" s="40"/>
      <c r="H23" s="40"/>
      <c r="I23" s="38" t="s">
        <v>249</v>
      </c>
      <c r="J23" s="41"/>
      <c r="K23" s="40" t="s">
        <v>269</v>
      </c>
      <c r="L23" s="40"/>
      <c r="M23" s="23" t="n">
        <f aca="false">IF(OR(B23="",J23&lt;&gt;"",D23=""),"",IF(ISNUMBER($D$8),$D$8-D23,""))</f>
        <v>70</v>
      </c>
      <c r="N23" s="43" t="str">
        <f aca="false">IF(B23="","",IF(J23="","Pendente","Incorporada"))</f>
        <v>Pendente</v>
      </c>
      <c r="O23" s="17" t="str">
        <f aca="false">IF(B23="","",IF(D23="","Falta a data",IF(C23="","Falta o que aconteceu",IF(F23="","Falta o que aprendemos",IF(K23="","Falta onde incorporar",IF(AND(I23&lt;&gt;"",ISNA(MATCH(I23,$B$12:$B$18,0))),"Conhecimento não cadastrado",IF(AND(N23="Pendente",N(M23)&gt;60),"Pendente há mais de 60 dias","OK")))))))</f>
        <v>Pendente há mais de 60 dias</v>
      </c>
      <c r="P23" s="17"/>
      <c r="Q23" s="17"/>
    </row>
    <row r="24" customFormat="false" ht="30.75" hidden="false" customHeight="true" outlineLevel="0" collapsed="false">
      <c r="B24" s="36" t="s">
        <v>270</v>
      </c>
      <c r="C24" s="40" t="s">
        <v>271</v>
      </c>
      <c r="D24" s="41" t="n">
        <v>46490</v>
      </c>
      <c r="E24" s="39" t="s">
        <v>272</v>
      </c>
      <c r="F24" s="40" t="s">
        <v>273</v>
      </c>
      <c r="G24" s="40"/>
      <c r="H24" s="40"/>
      <c r="I24" s="38" t="s">
        <v>254</v>
      </c>
      <c r="J24" s="41" t="n">
        <v>46497</v>
      </c>
      <c r="K24" s="40" t="s">
        <v>274</v>
      </c>
      <c r="L24" s="40" t="s">
        <v>226</v>
      </c>
      <c r="M24" s="23" t="str">
        <f aca="false">IF(OR(B24="",J24&lt;&gt;"",D24=""),"",IF(ISNUMBER($D$8),$D$8-D24,""))</f>
        <v/>
      </c>
      <c r="N24" s="43" t="str">
        <f aca="false">IF(B24="","",IF(J24="","Pendente","Incorporada"))</f>
        <v>Incorporada</v>
      </c>
      <c r="O24" s="17" t="str">
        <f aca="false">IF(B24="","",IF(D24="","Falta a data",IF(C24="","Falta o que aconteceu",IF(F24="","Falta o que aprendemos",IF(K24="","Falta onde incorporar",IF(AND(I24&lt;&gt;"",ISNA(MATCH(I24,$B$12:$B$18,0))),"Conhecimento não cadastrado",IF(AND(N24="Pendente",N(M24)&gt;60),"Pendente há mais de 60 dias","OK")))))))</f>
        <v>OK</v>
      </c>
      <c r="P24" s="17"/>
      <c r="Q24" s="17"/>
    </row>
    <row r="25" customFormat="false" ht="30.75" hidden="false" customHeight="true" outlineLevel="0" collapsed="false">
      <c r="B25" s="36" t="s">
        <v>275</v>
      </c>
      <c r="C25" s="40" t="s">
        <v>276</v>
      </c>
      <c r="D25" s="41" t="n">
        <v>46496</v>
      </c>
      <c r="E25" s="39" t="s">
        <v>272</v>
      </c>
      <c r="F25" s="40" t="s">
        <v>277</v>
      </c>
      <c r="G25" s="40"/>
      <c r="H25" s="40"/>
      <c r="I25" s="38"/>
      <c r="J25" s="41" t="n">
        <v>46502</v>
      </c>
      <c r="K25" s="40" t="s">
        <v>278</v>
      </c>
      <c r="L25" s="40" t="s">
        <v>226</v>
      </c>
      <c r="M25" s="23" t="str">
        <f aca="false">IF(OR(B25="",J25&lt;&gt;"",D25=""),"",IF(ISNUMBER($D$8),$D$8-D25,""))</f>
        <v/>
      </c>
      <c r="N25" s="43" t="str">
        <f aca="false">IF(B25="","",IF(J25="","Pendente","Incorporada"))</f>
        <v>Incorporada</v>
      </c>
      <c r="O25" s="17" t="str">
        <f aca="false">IF(B25="","",IF(D25="","Falta a data",IF(C25="","Falta o que aconteceu",IF(F25="","Falta o que aprendemos",IF(K25="","Falta onde incorporar",IF(AND(I25&lt;&gt;"",ISNA(MATCH(I25,$B$12:$B$18,0))),"Conhecimento não cadastrado",IF(AND(N25="Pendente",N(M25)&gt;60),"Pendente há mais de 60 dias","OK")))))))</f>
        <v>OK</v>
      </c>
      <c r="P25" s="17"/>
      <c r="Q25" s="17"/>
    </row>
    <row r="26" customFormat="false" ht="42.75" hidden="false" customHeight="true" outlineLevel="0" collapsed="false">
      <c r="B26" s="36" t="s">
        <v>279</v>
      </c>
      <c r="C26" s="40" t="s">
        <v>280</v>
      </c>
      <c r="D26" s="41" t="n">
        <v>46503</v>
      </c>
      <c r="E26" s="39" t="s">
        <v>272</v>
      </c>
      <c r="F26" s="40" t="s">
        <v>281</v>
      </c>
      <c r="G26" s="40"/>
      <c r="H26" s="40"/>
      <c r="I26" s="38" t="s">
        <v>85</v>
      </c>
      <c r="J26" s="41"/>
      <c r="K26" s="40" t="s">
        <v>282</v>
      </c>
      <c r="L26" s="40" t="s">
        <v>283</v>
      </c>
      <c r="M26" s="23" t="n">
        <f aca="false">IF(OR(B26="",J26&lt;&gt;"",D26=""),"",IF(ISNUMBER($D$8),$D$8-D26,""))</f>
        <v>35</v>
      </c>
      <c r="N26" s="43" t="str">
        <f aca="false">IF(B26="","",IF(J26="","Pendente","Incorporada"))</f>
        <v>Pendente</v>
      </c>
      <c r="O26" s="17" t="str">
        <f aca="false">IF(B26="","",IF(D26="","Falta a data",IF(C26="","Falta o que aconteceu",IF(F26="","Falta o que aprendemos",IF(K26="","Falta onde incorporar",IF(AND(I26&lt;&gt;"",ISNA(MATCH(I26,$B$12:$B$18,0))),"Conhecimento não cadastrado",IF(AND(N26="Pendente",N(M26)&gt;60),"Pendente há mais de 60 dias","OK")))))))</f>
        <v>OK</v>
      </c>
      <c r="P26" s="17"/>
      <c r="Q26" s="17"/>
    </row>
    <row r="27" customFormat="false" ht="30.75" hidden="false" customHeight="true" outlineLevel="0" collapsed="false">
      <c r="B27" s="36" t="s">
        <v>284</v>
      </c>
      <c r="C27" s="40" t="s">
        <v>285</v>
      </c>
      <c r="D27" s="41" t="n">
        <v>46517</v>
      </c>
      <c r="E27" s="39" t="s">
        <v>48</v>
      </c>
      <c r="F27" s="40"/>
      <c r="G27" s="40"/>
      <c r="H27" s="40"/>
      <c r="I27" s="38"/>
      <c r="J27" s="41"/>
      <c r="K27" s="40" t="s">
        <v>286</v>
      </c>
      <c r="L27" s="40"/>
      <c r="M27" s="23" t="n">
        <f aca="false">IF(OR(B27="",J27&lt;&gt;"",D27=""),"",IF(ISNUMBER($D$8),$D$8-D27,""))</f>
        <v>21</v>
      </c>
      <c r="N27" s="43" t="str">
        <f aca="false">IF(B27="","",IF(J27="","Pendente","Incorporada"))</f>
        <v>Pendente</v>
      </c>
      <c r="O27" s="17" t="str">
        <f aca="false">IF(B27="","",IF(D27="","Falta a data",IF(C27="","Falta o que aconteceu",IF(F27="","Falta o que aprendemos",IF(K27="","Falta onde incorporar",IF(AND(I27&lt;&gt;"",ISNA(MATCH(I27,$B$12:$B$18,0))),"Conhecimento não cadastrado",IF(AND(N27="Pendente",N(M27)&gt;60),"Pendente há mais de 60 dias","OK")))))))</f>
        <v>Falta o que aprendemos</v>
      </c>
      <c r="P27" s="17"/>
      <c r="Q27" s="17"/>
    </row>
    <row r="29" customFormat="false" ht="21.75" hidden="false" customHeight="true" outlineLevel="0" collapsed="false">
      <c r="B29" s="44" t="s">
        <v>123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</row>
    <row r="30" customFormat="false" ht="30" hidden="false" customHeight="true" outlineLevel="0" collapsed="false">
      <c r="B30" s="15" t="s">
        <v>125</v>
      </c>
      <c r="C30" s="15"/>
      <c r="D30" s="15" t="s">
        <v>126</v>
      </c>
      <c r="E30" s="15"/>
      <c r="F30" s="15" t="s">
        <v>287</v>
      </c>
      <c r="G30" s="15" t="s">
        <v>288</v>
      </c>
      <c r="H30" s="15" t="s">
        <v>289</v>
      </c>
      <c r="I30" s="15"/>
      <c r="J30" s="15"/>
      <c r="K30" s="15"/>
      <c r="L30" s="15" t="s">
        <v>290</v>
      </c>
      <c r="M30" s="15" t="s">
        <v>291</v>
      </c>
      <c r="N30" s="15"/>
      <c r="O30" s="15"/>
      <c r="P30" s="15"/>
      <c r="Q30" s="15" t="s">
        <v>84</v>
      </c>
    </row>
    <row r="31" customFormat="false" ht="30.75" hidden="false" customHeight="true" outlineLevel="0" collapsed="false">
      <c r="B31" s="37" t="s">
        <v>160</v>
      </c>
      <c r="C31" s="37"/>
      <c r="D31" s="40" t="s">
        <v>292</v>
      </c>
      <c r="E31" s="40"/>
      <c r="F31" s="38" t="n">
        <v>30</v>
      </c>
      <c r="G31" s="38" t="n">
        <v>1</v>
      </c>
      <c r="H31" s="40" t="s">
        <v>293</v>
      </c>
      <c r="I31" s="40"/>
      <c r="J31" s="40"/>
      <c r="K31" s="40"/>
      <c r="L31" s="38" t="n">
        <v>1</v>
      </c>
      <c r="M31" s="40" t="s">
        <v>294</v>
      </c>
      <c r="N31" s="40"/>
      <c r="O31" s="40"/>
      <c r="P31" s="40"/>
      <c r="Q31" s="17" t="str">
        <f aca="false">IF(B31="","",IF(F31="","Falta o prazo mínimo para reclamar",IF(G31="","Falta o prazo aceito",IF(G31&lt;F31,"Prazo aceito menor que o mínimo",IF(H31="","Falta o que se faz",IF(L31="","Falta o prazo de resposta","OK"))))))</f>
        <v>Prazo aceito menor que o mínimo</v>
      </c>
    </row>
    <row r="32" customFormat="false" ht="21.75" hidden="false" customHeight="true" outlineLevel="0" collapsed="false">
      <c r="B32" s="37" t="s">
        <v>295</v>
      </c>
      <c r="C32" s="37"/>
      <c r="D32" s="40" t="s">
        <v>296</v>
      </c>
      <c r="E32" s="40"/>
      <c r="F32" s="38" t="n">
        <v>30</v>
      </c>
      <c r="G32" s="38" t="n">
        <v>30</v>
      </c>
      <c r="H32" s="40" t="s">
        <v>297</v>
      </c>
      <c r="I32" s="40"/>
      <c r="J32" s="40"/>
      <c r="K32" s="40"/>
      <c r="L32" s="38" t="n">
        <v>0</v>
      </c>
      <c r="M32" s="40"/>
      <c r="N32" s="40"/>
      <c r="O32" s="40"/>
      <c r="P32" s="40"/>
      <c r="Q32" s="17" t="str">
        <f aca="false">IF(B32="","",IF(F32="","Falta o prazo mínimo para reclamar",IF(G32="","Falta o prazo aceito",IF(G32&lt;F32,"Prazo aceito menor que o mínimo",IF(H32="","Falta o que se faz",IF(L32="","Falta o prazo de resposta","OK"))))))</f>
        <v>OK</v>
      </c>
    </row>
    <row r="33" customFormat="false" ht="30.75" hidden="false" customHeight="true" outlineLevel="0" collapsed="false">
      <c r="B33" s="37" t="s">
        <v>138</v>
      </c>
      <c r="C33" s="37"/>
      <c r="D33" s="40" t="s">
        <v>139</v>
      </c>
      <c r="E33" s="40"/>
      <c r="F33" s="38" t="n">
        <v>30</v>
      </c>
      <c r="G33" s="38" t="n">
        <v>30</v>
      </c>
      <c r="H33" s="40" t="s">
        <v>298</v>
      </c>
      <c r="I33" s="40"/>
      <c r="J33" s="40"/>
      <c r="K33" s="40"/>
      <c r="L33" s="38" t="n">
        <v>2</v>
      </c>
      <c r="M33" s="40" t="s">
        <v>299</v>
      </c>
      <c r="N33" s="40"/>
      <c r="O33" s="40"/>
      <c r="P33" s="40"/>
      <c r="Q33" s="17" t="str">
        <f aca="false">IF(B33="","",IF(F33="","Falta o prazo mínimo para reclamar",IF(G33="","Falta o prazo aceito",IF(G33&lt;F33,"Prazo aceito menor que o mínimo",IF(H33="","Falta o que se faz",IF(L33="","Falta o prazo de resposta","OK"))))))</f>
        <v>OK</v>
      </c>
    </row>
    <row r="35" customFormat="false" ht="21.75" hidden="false" customHeight="true" outlineLevel="0" collapsed="false">
      <c r="B35" s="45" t="s">
        <v>143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</row>
    <row r="36" customFormat="false" ht="30" hidden="false" customHeight="true" outlineLevel="0" collapsed="false">
      <c r="B36" s="15" t="s">
        <v>100</v>
      </c>
      <c r="C36" s="15" t="s">
        <v>149</v>
      </c>
      <c r="D36" s="15" t="s">
        <v>145</v>
      </c>
      <c r="E36" s="15" t="s">
        <v>148</v>
      </c>
      <c r="F36" s="15" t="s">
        <v>147</v>
      </c>
      <c r="G36" s="15"/>
      <c r="H36" s="15" t="s">
        <v>146</v>
      </c>
      <c r="I36" s="15" t="s">
        <v>150</v>
      </c>
      <c r="J36" s="15" t="s">
        <v>151</v>
      </c>
      <c r="K36" s="15" t="s">
        <v>28</v>
      </c>
      <c r="L36" s="15" t="s">
        <v>152</v>
      </c>
      <c r="M36" s="15" t="s">
        <v>81</v>
      </c>
      <c r="N36" s="15" t="s">
        <v>153</v>
      </c>
      <c r="O36" s="15" t="s">
        <v>83</v>
      </c>
      <c r="P36" s="15" t="s">
        <v>84</v>
      </c>
      <c r="Q36" s="15"/>
    </row>
    <row r="37" customFormat="false" ht="30.75" hidden="false" customHeight="true" outlineLevel="0" collapsed="false">
      <c r="B37" s="36" t="s">
        <v>154</v>
      </c>
      <c r="C37" s="40" t="s">
        <v>300</v>
      </c>
      <c r="D37" s="41" t="n">
        <v>46510</v>
      </c>
      <c r="E37" s="39" t="s">
        <v>114</v>
      </c>
      <c r="F37" s="40" t="s">
        <v>160</v>
      </c>
      <c r="G37" s="40"/>
      <c r="H37" s="40" t="s">
        <v>159</v>
      </c>
      <c r="I37" s="41" t="n">
        <v>46510</v>
      </c>
      <c r="J37" s="46" t="n">
        <v>45</v>
      </c>
      <c r="K37" s="40" t="s">
        <v>301</v>
      </c>
      <c r="L37" s="38" t="s">
        <v>108</v>
      </c>
      <c r="M37" s="23" t="n">
        <f aca="false">IF(F37="","",IFERROR(IF(INDEX($L$31:$L$33,MATCH(F37,$B$31:$B$33,0))="","",INDEX($L$31:$L$33,MATCH(F37,$B$31:$B$33,0))),""))</f>
        <v>1</v>
      </c>
      <c r="N37" s="15" t="n">
        <f aca="false">IF(D37="","",IF(I37&lt;&gt;"",I37-D37,IF(ISNUMBER($D$8),$D$8-D37,"")))</f>
        <v>0</v>
      </c>
      <c r="O37" s="43" t="str">
        <f aca="false">IF(OR(M37="",N37=""),"",IF(I37&lt;&gt;"",IF(N37&lt;=M37,"No prazo","Fora do prazo"),IF(N37&lt;=M37,"Aberto no prazo","Aberto e atrasado")))</f>
        <v>No prazo</v>
      </c>
      <c r="P37" s="17" t="str">
        <f aca="false">IF(B37="","",IF(ISNA(MATCH(F37,$B$31:$B$33,0)),"Produto sem política",IF(D37="","Falta a data de abertura",IF(E37="","Falta o tipo",IF(AND(I37&lt;&gt;"",OR(E37="Reclamação",E37="Garantia",E37="Devolução"),K37=""),"Falta a causa",IF(AND(L37&lt;&gt;"",ISNA(MATCH(L37,$B$22:$B$27,0))),"Lição não encontrada","OK"))))))</f>
        <v>OK</v>
      </c>
      <c r="Q37" s="17"/>
    </row>
    <row r="38" customFormat="false" ht="30.75" hidden="false" customHeight="true" outlineLevel="0" collapsed="false">
      <c r="B38" s="36" t="s">
        <v>302</v>
      </c>
      <c r="C38" s="40" t="s">
        <v>303</v>
      </c>
      <c r="D38" s="41" t="n">
        <v>46514</v>
      </c>
      <c r="E38" s="39" t="s">
        <v>114</v>
      </c>
      <c r="F38" s="40" t="s">
        <v>160</v>
      </c>
      <c r="G38" s="40"/>
      <c r="H38" s="40" t="s">
        <v>304</v>
      </c>
      <c r="I38" s="41" t="n">
        <v>46514</v>
      </c>
      <c r="J38" s="46" t="n">
        <v>60</v>
      </c>
      <c r="K38" s="40" t="s">
        <v>305</v>
      </c>
      <c r="L38" s="38" t="s">
        <v>266</v>
      </c>
      <c r="M38" s="23" t="n">
        <f aca="false">IF(F38="","",IFERROR(IF(INDEX($L$31:$L$33,MATCH(F38,$B$31:$B$33,0))="","",INDEX($L$31:$L$33,MATCH(F38,$B$31:$B$33,0))),""))</f>
        <v>1</v>
      </c>
      <c r="N38" s="15" t="n">
        <f aca="false">IF(D38="","",IF(I38&lt;&gt;"",I38-D38,IF(ISNUMBER($D$8),$D$8-D38,"")))</f>
        <v>0</v>
      </c>
      <c r="O38" s="43" t="str">
        <f aca="false">IF(OR(M38="",N38=""),"",IF(I38&lt;&gt;"",IF(N38&lt;=M38,"No prazo","Fora do prazo"),IF(N38&lt;=M38,"Aberto no prazo","Aberto e atrasado")))</f>
        <v>No prazo</v>
      </c>
      <c r="P38" s="17" t="str">
        <f aca="false">IF(B38="","",IF(ISNA(MATCH(F38,$B$31:$B$33,0)),"Produto sem política",IF(D38="","Falta a data de abertura",IF(E38="","Falta o tipo",IF(AND(I38&lt;&gt;"",OR(E38="Reclamação",E38="Garantia",E38="Devolução"),K38=""),"Falta a causa",IF(AND(L38&lt;&gt;"",ISNA(MATCH(L38,$B$22:$B$27,0))),"Lição não encontrada","OK"))))))</f>
        <v>OK</v>
      </c>
      <c r="Q38" s="17"/>
    </row>
    <row r="39" customFormat="false" ht="21.75" hidden="false" customHeight="true" outlineLevel="0" collapsed="false">
      <c r="B39" s="36" t="s">
        <v>306</v>
      </c>
      <c r="C39" s="40" t="s">
        <v>307</v>
      </c>
      <c r="D39" s="41" t="n">
        <v>46521</v>
      </c>
      <c r="E39" s="39" t="s">
        <v>114</v>
      </c>
      <c r="F39" s="40" t="s">
        <v>160</v>
      </c>
      <c r="G39" s="40"/>
      <c r="H39" s="40" t="s">
        <v>159</v>
      </c>
      <c r="I39" s="41" t="n">
        <v>46523</v>
      </c>
      <c r="J39" s="46" t="n">
        <v>50</v>
      </c>
      <c r="K39" s="40" t="s">
        <v>308</v>
      </c>
      <c r="L39" s="38" t="s">
        <v>279</v>
      </c>
      <c r="M39" s="23" t="n">
        <f aca="false">IF(F39="","",IFERROR(IF(INDEX($L$31:$L$33,MATCH(F39,$B$31:$B$33,0))="","",INDEX($L$31:$L$33,MATCH(F39,$B$31:$B$33,0))),""))</f>
        <v>1</v>
      </c>
      <c r="N39" s="15" t="n">
        <f aca="false">IF(D39="","",IF(I39&lt;&gt;"",I39-D39,IF(ISNUMBER($D$8),$D$8-D39,"")))</f>
        <v>2</v>
      </c>
      <c r="O39" s="43" t="str">
        <f aca="false">IF(OR(M39="",N39=""),"",IF(I39&lt;&gt;"",IF(N39&lt;=M39,"No prazo","Fora do prazo"),IF(N39&lt;=M39,"Aberto no prazo","Aberto e atrasado")))</f>
        <v>Fora do prazo</v>
      </c>
      <c r="P39" s="17" t="str">
        <f aca="false">IF(B39="","",IF(ISNA(MATCH(F39,$B$31:$B$33,0)),"Produto sem política",IF(D39="","Falta a data de abertura",IF(E39="","Falta o tipo",IF(AND(I39&lt;&gt;"",OR(E39="Reclamação",E39="Garantia",E39="Devolução"),K39=""),"Falta a causa",IF(AND(L39&lt;&gt;"",ISNA(MATCH(L39,$B$22:$B$27,0))),"Lição não encontrada","OK"))))))</f>
        <v>OK</v>
      </c>
      <c r="Q39" s="17"/>
    </row>
    <row r="40" customFormat="false" ht="21.75" hidden="false" customHeight="true" outlineLevel="0" collapsed="false">
      <c r="B40" s="36" t="s">
        <v>309</v>
      </c>
      <c r="C40" s="40" t="s">
        <v>310</v>
      </c>
      <c r="D40" s="41" t="n">
        <v>46522</v>
      </c>
      <c r="E40" s="39" t="s">
        <v>311</v>
      </c>
      <c r="F40" s="40" t="s">
        <v>138</v>
      </c>
      <c r="G40" s="40"/>
      <c r="H40" s="40" t="s">
        <v>312</v>
      </c>
      <c r="I40" s="41" t="n">
        <v>46522</v>
      </c>
      <c r="J40" s="46" t="n">
        <v>0</v>
      </c>
      <c r="K40" s="40"/>
      <c r="L40" s="38"/>
      <c r="M40" s="23" t="n">
        <f aca="false">IF(F40="","",IFERROR(IF(INDEX($L$31:$L$33,MATCH(F40,$B$31:$B$33,0))="","",INDEX($L$31:$L$33,MATCH(F40,$B$31:$B$33,0))),""))</f>
        <v>2</v>
      </c>
      <c r="N40" s="15" t="n">
        <f aca="false">IF(D40="","",IF(I40&lt;&gt;"",I40-D40,IF(ISNUMBER($D$8),$D$8-D40,"")))</f>
        <v>0</v>
      </c>
      <c r="O40" s="43" t="str">
        <f aca="false">IF(OR(M40="",N40=""),"",IF(I40&lt;&gt;"",IF(N40&lt;=M40,"No prazo","Fora do prazo"),IF(N40&lt;=M40,"Aberto no prazo","Aberto e atrasado")))</f>
        <v>No prazo</v>
      </c>
      <c r="P40" s="17" t="str">
        <f aca="false">IF(B40="","",IF(ISNA(MATCH(F40,$B$31:$B$33,0)),"Produto sem política",IF(D40="","Falta a data de abertura",IF(E40="","Falta o tipo",IF(AND(I40&lt;&gt;"",OR(E40="Reclamação",E40="Garantia",E40="Devolução"),K40=""),"Falta a causa",IF(AND(L40&lt;&gt;"",ISNA(MATCH(L40,$B$22:$B$27,0))),"Lição não encontrada","OK"))))))</f>
        <v>OK</v>
      </c>
      <c r="Q40" s="17"/>
    </row>
    <row r="41" customFormat="false" ht="21.75" hidden="false" customHeight="true" outlineLevel="0" collapsed="false">
      <c r="B41" s="36" t="s">
        <v>313</v>
      </c>
      <c r="C41" s="40" t="s">
        <v>314</v>
      </c>
      <c r="D41" s="41" t="n">
        <v>46528</v>
      </c>
      <c r="E41" s="39" t="s">
        <v>114</v>
      </c>
      <c r="F41" s="40" t="s">
        <v>160</v>
      </c>
      <c r="G41" s="40"/>
      <c r="H41" s="40" t="s">
        <v>315</v>
      </c>
      <c r="I41" s="41" t="n">
        <v>46529</v>
      </c>
      <c r="J41" s="46" t="n">
        <v>40</v>
      </c>
      <c r="K41" s="40"/>
      <c r="L41" s="38"/>
      <c r="M41" s="23" t="n">
        <f aca="false">IF(F41="","",IFERROR(IF(INDEX($L$31:$L$33,MATCH(F41,$B$31:$B$33,0))="","",INDEX($L$31:$L$33,MATCH(F41,$B$31:$B$33,0))),""))</f>
        <v>1</v>
      </c>
      <c r="N41" s="15" t="n">
        <f aca="false">IF(D41="","",IF(I41&lt;&gt;"",I41-D41,IF(ISNUMBER($D$8),$D$8-D41,"")))</f>
        <v>1</v>
      </c>
      <c r="O41" s="43" t="str">
        <f aca="false">IF(OR(M41="",N41=""),"",IF(I41&lt;&gt;"",IF(N41&lt;=M41,"No prazo","Fora do prazo"),IF(N41&lt;=M41,"Aberto no prazo","Aberto e atrasado")))</f>
        <v>No prazo</v>
      </c>
      <c r="P41" s="17" t="str">
        <f aca="false">IF(B41="","",IF(ISNA(MATCH(F41,$B$31:$B$33,0)),"Produto sem política",IF(D41="","Falta a data de abertura",IF(E41="","Falta o tipo",IF(AND(I41&lt;&gt;"",OR(E41="Reclamação",E41="Garantia",E41="Devolução"),K41=""),"Falta a causa",IF(AND(L41&lt;&gt;"",ISNA(MATCH(L41,$B$22:$B$27,0))),"Lição não encontrada","OK"))))))</f>
        <v>Falta a causa</v>
      </c>
      <c r="Q41" s="17"/>
    </row>
    <row r="42" customFormat="false" ht="30.75" hidden="false" customHeight="true" outlineLevel="0" collapsed="false">
      <c r="B42" s="36" t="s">
        <v>316</v>
      </c>
      <c r="C42" s="40" t="s">
        <v>317</v>
      </c>
      <c r="D42" s="41" t="n">
        <v>46535</v>
      </c>
      <c r="E42" s="39" t="s">
        <v>318</v>
      </c>
      <c r="F42" s="40" t="s">
        <v>138</v>
      </c>
      <c r="G42" s="40"/>
      <c r="H42" s="40" t="s">
        <v>312</v>
      </c>
      <c r="I42" s="41"/>
      <c r="J42" s="46"/>
      <c r="K42" s="40"/>
      <c r="L42" s="38"/>
      <c r="M42" s="23" t="n">
        <f aca="false">IF(F42="","",IFERROR(IF(INDEX($L$31:$L$33,MATCH(F42,$B$31:$B$33,0))="","",INDEX($L$31:$L$33,MATCH(F42,$B$31:$B$33,0))),""))</f>
        <v>2</v>
      </c>
      <c r="N42" s="15" t="n">
        <f aca="false">IF(D42="","",IF(I42&lt;&gt;"",I42-D42,IF(ISNUMBER($D$8),$D$8-D42,"")))</f>
        <v>3</v>
      </c>
      <c r="O42" s="43" t="str">
        <f aca="false">IF(OR(M42="",N42=""),"",IF(I42&lt;&gt;"",IF(N42&lt;=M42,"No prazo","Fora do prazo"),IF(N42&lt;=M42,"Aberto no prazo","Aberto e atrasado")))</f>
        <v>Aberto e atrasado</v>
      </c>
      <c r="P42" s="17" t="str">
        <f aca="false">IF(B42="","",IF(ISNA(MATCH(F42,$B$31:$B$33,0)),"Produto sem política",IF(D42="","Falta a data de abertura",IF(E42="","Falta o tipo",IF(AND(I42&lt;&gt;"",OR(E42="Reclamação",E42="Garantia",E42="Devolução"),K42=""),"Falta a causa",IF(AND(L42&lt;&gt;"",ISNA(MATCH(L42,$B$22:$B$27,0))),"Lição não encontrada","OK"))))))</f>
        <v>OK</v>
      </c>
      <c r="Q42" s="17"/>
    </row>
    <row r="43" customFormat="false" ht="30.75" hidden="false" customHeight="true" outlineLevel="0" collapsed="false">
      <c r="B43" s="36" t="s">
        <v>319</v>
      </c>
      <c r="C43" s="40" t="s">
        <v>320</v>
      </c>
      <c r="D43" s="41" t="n">
        <v>46537</v>
      </c>
      <c r="E43" s="39" t="s">
        <v>114</v>
      </c>
      <c r="F43" s="40" t="s">
        <v>295</v>
      </c>
      <c r="G43" s="40"/>
      <c r="H43" s="40" t="s">
        <v>321</v>
      </c>
      <c r="I43" s="41" t="n">
        <v>46537</v>
      </c>
      <c r="J43" s="46" t="n">
        <v>0</v>
      </c>
      <c r="K43" s="40" t="s">
        <v>322</v>
      </c>
      <c r="L43" s="38"/>
      <c r="M43" s="23" t="n">
        <f aca="false">IF(F43="","",IFERROR(IF(INDEX($L$31:$L$33,MATCH(F43,$B$31:$B$33,0))="","",INDEX($L$31:$L$33,MATCH(F43,$B$31:$B$33,0))),""))</f>
        <v>0</v>
      </c>
      <c r="N43" s="15" t="n">
        <f aca="false">IF(D43="","",IF(I43&lt;&gt;"",I43-D43,IF(ISNUMBER($D$8),$D$8-D43,"")))</f>
        <v>0</v>
      </c>
      <c r="O43" s="43" t="str">
        <f aca="false">IF(OR(M43="",N43=""),"",IF(I43&lt;&gt;"",IF(N43&lt;=M43,"No prazo","Fora do prazo"),IF(N43&lt;=M43,"Aberto no prazo","Aberto e atrasado")))</f>
        <v>No prazo</v>
      </c>
      <c r="P43" s="17" t="str">
        <f aca="false">IF(B43="","",IF(ISNA(MATCH(F43,$B$31:$B$33,0)),"Produto sem política",IF(D43="","Falta a data de abertura",IF(E43="","Falta o tipo",IF(AND(I43&lt;&gt;"",OR(E43="Reclamação",E43="Garantia",E43="Devolução"),K43=""),"Falta a causa",IF(AND(L43&lt;&gt;"",ISNA(MATCH(L43,$B$22:$B$27,0))),"Lição não encontrada","OK"))))))</f>
        <v>OK</v>
      </c>
      <c r="Q43" s="17"/>
    </row>
    <row r="44" customFormat="false" ht="30.75" hidden="false" customHeight="true" outlineLevel="0" collapsed="false">
      <c r="B44" s="36" t="s">
        <v>323</v>
      </c>
      <c r="C44" s="40" t="s">
        <v>324</v>
      </c>
      <c r="D44" s="41" t="n">
        <v>46538</v>
      </c>
      <c r="E44" s="39" t="s">
        <v>114</v>
      </c>
      <c r="F44" s="40" t="s">
        <v>160</v>
      </c>
      <c r="G44" s="40"/>
      <c r="H44" s="40" t="s">
        <v>304</v>
      </c>
      <c r="I44" s="41"/>
      <c r="J44" s="46"/>
      <c r="K44" s="40"/>
      <c r="L44" s="38"/>
      <c r="M44" s="23" t="n">
        <f aca="false">IF(F44="","",IFERROR(IF(INDEX($L$31:$L$33,MATCH(F44,$B$31:$B$33,0))="","",INDEX($L$31:$L$33,MATCH(F44,$B$31:$B$33,0))),""))</f>
        <v>1</v>
      </c>
      <c r="N44" s="15" t="n">
        <f aca="false">IF(D44="","",IF(I44&lt;&gt;"",I44-D44,IF(ISNUMBER($D$8),$D$8-D44,"")))</f>
        <v>0</v>
      </c>
      <c r="O44" s="43" t="str">
        <f aca="false">IF(OR(M44="",N44=""),"",IF(I44&lt;&gt;"",IF(N44&lt;=M44,"No prazo","Fora do prazo"),IF(N44&lt;=M44,"Aberto no prazo","Aberto e atrasado")))</f>
        <v>Aberto no prazo</v>
      </c>
      <c r="P44" s="17" t="str">
        <f aca="false">IF(B44="","",IF(ISNA(MATCH(F44,$B$31:$B$33,0)),"Produto sem política",IF(D44="","Falta a data de abertura",IF(E44="","Falta o tipo",IF(AND(I44&lt;&gt;"",OR(E44="Reclamação",E44="Garantia",E44="Devolução"),K44=""),"Falta a causa",IF(AND(L44&lt;&gt;"",ISNA(MATCH(L44,$B$22:$B$27,0))),"Lição não encontrada","OK"))))))</f>
        <v>OK</v>
      </c>
      <c r="Q44" s="17"/>
    </row>
    <row r="46" customFormat="false" ht="21.75" hidden="false" customHeight="true" outlineLevel="0" collapsed="false">
      <c r="B46" s="18" t="s">
        <v>94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customFormat="false" ht="21.75" hidden="false" customHeight="true" outlineLevel="0" collapsed="false">
      <c r="B47" s="19" t="s">
        <v>44</v>
      </c>
      <c r="C47" s="19"/>
      <c r="D47" s="19"/>
      <c r="E47" s="20" t="str">
        <f aca="false">COUNTIF(N12:N18,"Crítico")&amp;" crítico"&amp;", "&amp;COUNTIF(N12:N18,"Em risco")&amp;" em risco"&amp;", "&amp;COUNTIF(N12:N18,"Sob controle")&amp;" sob controle"</f>
        <v>1 crítico, 3 em risco, 3 sob controle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customFormat="false" ht="21.75" hidden="false" customHeight="true" outlineLevel="0" collapsed="false">
      <c r="B48" s="19" t="s">
        <v>46</v>
      </c>
      <c r="C48" s="19"/>
      <c r="D48" s="19"/>
      <c r="E48" s="20" t="str">
        <f aca="false">COUNTIF(N22:N27,"Incorporada")&amp;" incorporada"&amp;", "&amp;COUNTIF(N22:N27,"Pendente")&amp;" pendente"&amp;", "&amp;COUNTIF(O22:O27,"Pendente há mais de 60 dias")&amp;" há mais de 60 dias"</f>
        <v>3 incorporada, 3 pendente, 1 há mais de 60 dias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customFormat="false" ht="21.75" hidden="false" customHeight="true" outlineLevel="0" collapsed="false">
      <c r="B49" s="19" t="s">
        <v>50</v>
      </c>
      <c r="C49" s="19"/>
      <c r="D49" s="19"/>
      <c r="E49" s="20" t="str">
        <f aca="false">COUNTIF(O37:O44,"No prazo")&amp;" no prazo"&amp;", "&amp;COUNTIF(O37:O44,"Fora do prazo")&amp;" fora do prazo"&amp;", "&amp;COUNTIF(O37:O44,"Aberto no prazo")&amp;" aberto no prazo"&amp;", "&amp;COUNTIF(O37:O44,"Aberto e atrasado")&amp;" aberto e atrasado"&amp;". Custo de R$ "&amp;TEXT(SUM(J37:J44),"0")</f>
        <v>5 no prazo, 1 fora do prazo, 1 aberto no prazo, 1 aberto e atrasado. Custo de R$ 195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customFormat="false" ht="21.75" hidden="false" customHeight="true" outlineLevel="0" collapsed="false">
      <c r="B50" s="19" t="s">
        <v>197</v>
      </c>
      <c r="C50" s="19"/>
      <c r="D50" s="19"/>
      <c r="E50" s="20" t="n">
        <f aca="false">SUMPRODUCT((O12:O18&lt;&gt;"OK")*1)+SUMPRODUCT((O22:O27&lt;&gt;"OK")*1)+SUMPRODUCT((Q31:Q33&lt;&gt;"OK")*1)+SUMPRODUCT((P37:P44&lt;&gt;"OK")*1)</f>
        <v>6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</sheetData>
  <mergeCells count="88">
    <mergeCell ref="B1:Q1"/>
    <mergeCell ref="B2:Q2"/>
    <mergeCell ref="B4:C4"/>
    <mergeCell ref="D4:Q4"/>
    <mergeCell ref="B5:C5"/>
    <mergeCell ref="D5:Q5"/>
    <mergeCell ref="B6:C6"/>
    <mergeCell ref="D6:Q6"/>
    <mergeCell ref="B7:C7"/>
    <mergeCell ref="D7:Q7"/>
    <mergeCell ref="B8:C8"/>
    <mergeCell ref="B10:Q10"/>
    <mergeCell ref="G11:H11"/>
    <mergeCell ref="O11:Q11"/>
    <mergeCell ref="G12:H12"/>
    <mergeCell ref="O12:Q12"/>
    <mergeCell ref="G13:H13"/>
    <mergeCell ref="O13:Q13"/>
    <mergeCell ref="G14:H14"/>
    <mergeCell ref="O14:Q14"/>
    <mergeCell ref="G15:H15"/>
    <mergeCell ref="O15:Q15"/>
    <mergeCell ref="G16:H16"/>
    <mergeCell ref="O16:Q16"/>
    <mergeCell ref="G17:H17"/>
    <mergeCell ref="O17:Q17"/>
    <mergeCell ref="G18:H18"/>
    <mergeCell ref="O18:Q18"/>
    <mergeCell ref="B20:Q20"/>
    <mergeCell ref="F21:H21"/>
    <mergeCell ref="O21:Q21"/>
    <mergeCell ref="F22:H22"/>
    <mergeCell ref="O22:Q22"/>
    <mergeCell ref="F23:H23"/>
    <mergeCell ref="O23:Q23"/>
    <mergeCell ref="F24:H24"/>
    <mergeCell ref="O24:Q24"/>
    <mergeCell ref="F25:H25"/>
    <mergeCell ref="O25:Q25"/>
    <mergeCell ref="F26:H26"/>
    <mergeCell ref="O26:Q26"/>
    <mergeCell ref="F27:H27"/>
    <mergeCell ref="O27:Q27"/>
    <mergeCell ref="B29:Q29"/>
    <mergeCell ref="B30:C30"/>
    <mergeCell ref="D30:E30"/>
    <mergeCell ref="H30:K30"/>
    <mergeCell ref="M30:P30"/>
    <mergeCell ref="B31:C31"/>
    <mergeCell ref="D31:E31"/>
    <mergeCell ref="H31:K31"/>
    <mergeCell ref="M31:P31"/>
    <mergeCell ref="B32:C32"/>
    <mergeCell ref="D32:E32"/>
    <mergeCell ref="H32:K32"/>
    <mergeCell ref="M32:P32"/>
    <mergeCell ref="B33:C33"/>
    <mergeCell ref="D33:E33"/>
    <mergeCell ref="H33:K33"/>
    <mergeCell ref="M33:P33"/>
    <mergeCell ref="B35:Q35"/>
    <mergeCell ref="F36:G36"/>
    <mergeCell ref="P36:Q36"/>
    <mergeCell ref="F37:G37"/>
    <mergeCell ref="P37:Q37"/>
    <mergeCell ref="F38:G38"/>
    <mergeCell ref="P38:Q38"/>
    <mergeCell ref="F39:G39"/>
    <mergeCell ref="P39:Q39"/>
    <mergeCell ref="F40:G40"/>
    <mergeCell ref="P40:Q40"/>
    <mergeCell ref="F41:G41"/>
    <mergeCell ref="P41:Q41"/>
    <mergeCell ref="F42:G42"/>
    <mergeCell ref="P42:Q42"/>
    <mergeCell ref="F43:G43"/>
    <mergeCell ref="P43:Q43"/>
    <mergeCell ref="F44:G44"/>
    <mergeCell ref="P44:Q44"/>
    <mergeCell ref="B46:Q46"/>
    <mergeCell ref="B47:D47"/>
    <mergeCell ref="E47:Q47"/>
    <mergeCell ref="B48:D48"/>
    <mergeCell ref="E48:Q48"/>
    <mergeCell ref="B49:D49"/>
    <mergeCell ref="E49:Q49"/>
    <mergeCell ref="B50:D50"/>
    <mergeCell ref="E50:Q50"/>
  </mergeCells>
  <conditionalFormatting sqref="N12:N18">
    <cfRule type="expression" priority="2" aboveAverage="0" equalAverage="0" bottom="0" percent="0" rank="0" text="" dxfId="0">
      <formula>N12="Crítico"</formula>
    </cfRule>
    <cfRule type="expression" priority="3" aboveAverage="0" equalAverage="0" bottom="0" percent="0" rank="0" text="" dxfId="1">
      <formula>N12="Em risco"</formula>
    </cfRule>
    <cfRule type="expression" priority="4" aboveAverage="0" equalAverage="0" bottom="0" percent="0" rank="0" text="" dxfId="2">
      <formula>N12="Sob controle"</formula>
    </cfRule>
  </conditionalFormatting>
  <conditionalFormatting sqref="O12:Q18">
    <cfRule type="expression" priority="5" aboveAverage="0" equalAverage="0" bottom="0" percent="0" rank="0" text="" dxfId="2">
      <formula>OR($O12="OK")</formula>
    </cfRule>
    <cfRule type="expression" priority="6" aboveAverage="0" equalAverage="0" bottom="0" percent="0" rank="0" text="" dxfId="3">
      <formula>AND(LEN($O12)&gt;0,NOT(OR($O12="OK")))</formula>
    </cfRule>
  </conditionalFormatting>
  <conditionalFormatting sqref="N22:N27">
    <cfRule type="expression" priority="7" aboveAverage="0" equalAverage="0" bottom="0" percent="0" rank="0" text="" dxfId="2">
      <formula>N22="Incorporada"</formula>
    </cfRule>
    <cfRule type="expression" priority="8" aboveAverage="0" equalAverage="0" bottom="0" percent="0" rank="0" text="" dxfId="1">
      <formula>N22="Pendente"</formula>
    </cfRule>
  </conditionalFormatting>
  <conditionalFormatting sqref="O22:Q27">
    <cfRule type="expression" priority="9" aboveAverage="0" equalAverage="0" bottom="0" percent="0" rank="0" text="" dxfId="2">
      <formula>$O22="OK"</formula>
    </cfRule>
    <cfRule type="expression" priority="10" aboveAverage="0" equalAverage="0" bottom="0" percent="0" rank="0" text="" dxfId="0">
      <formula>$O22="Pendente há mais de 60 dias"</formula>
    </cfRule>
    <cfRule type="expression" priority="11" aboveAverage="0" equalAverage="0" bottom="0" percent="0" rank="0" text="" dxfId="3">
      <formula>LEN($O22)&gt;0</formula>
    </cfRule>
  </conditionalFormatting>
  <conditionalFormatting sqref="Q31:Q33">
    <cfRule type="expression" priority="12" aboveAverage="0" equalAverage="0" bottom="0" percent="0" rank="0" text="" dxfId="2">
      <formula>Q31="OK"</formula>
    </cfRule>
    <cfRule type="expression" priority="13" aboveAverage="0" equalAverage="0" bottom="0" percent="0" rank="0" text="" dxfId="0">
      <formula>Q31="Prazo aceito menor que o mínimo"</formula>
    </cfRule>
    <cfRule type="expression" priority="14" aboveAverage="0" equalAverage="0" bottom="0" percent="0" rank="0" text="" dxfId="3">
      <formula>LEN(Q31)&gt;0</formula>
    </cfRule>
  </conditionalFormatting>
  <conditionalFormatting sqref="O37:O44">
    <cfRule type="expression" priority="15" aboveAverage="0" equalAverage="0" bottom="0" percent="0" rank="0" text="" dxfId="2">
      <formula>O37="No prazo"</formula>
    </cfRule>
    <cfRule type="expression" priority="16" aboveAverage="0" equalAverage="0" bottom="0" percent="0" rank="0" text="" dxfId="0">
      <formula>O37="Fora do prazo"</formula>
    </cfRule>
    <cfRule type="expression" priority="17" aboveAverage="0" equalAverage="0" bottom="0" percent="0" rank="0" text="" dxfId="1">
      <formula>O37="Aberto no prazo"</formula>
    </cfRule>
    <cfRule type="expression" priority="18" aboveAverage="0" equalAverage="0" bottom="0" percent="0" rank="0" text="" dxfId="0">
      <formula>O37="Aberto e atrasado"</formula>
    </cfRule>
  </conditionalFormatting>
  <conditionalFormatting sqref="P37:Q44">
    <cfRule type="expression" priority="19" aboveAverage="0" equalAverage="0" bottom="0" percent="0" rank="0" text="" dxfId="2">
      <formula>OR($P37="OK")</formula>
    </cfRule>
    <cfRule type="expression" priority="20" aboveAverage="0" equalAverage="0" bottom="0" percent="0" rank="0" text="" dxfId="3">
      <formula>AND(LEN($P37)&gt;0,NOT(OR($P37="OK")))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8" man="true" max="16383" min="0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7" min="5" style="0" width="13"/>
    <col collapsed="false" customWidth="true" hidden="false" outlineLevel="0" max="8" min="8" style="0" width="22"/>
    <col collapsed="false" customWidth="true" hidden="false" outlineLevel="0" max="10" min="9" style="0" width="11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222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223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224</v>
      </c>
      <c r="C4" s="4"/>
      <c r="D4" s="33" t="s">
        <v>325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customFormat="false" ht="19.5" hidden="false" customHeight="true" outlineLevel="0" collapsed="false">
      <c r="B5" s="4" t="s">
        <v>105</v>
      </c>
      <c r="C5" s="4"/>
      <c r="D5" s="33" t="s">
        <v>326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customFormat="false" ht="19.5" hidden="false" customHeight="true" outlineLevel="0" collapsed="false">
      <c r="B6" s="4" t="s">
        <v>227</v>
      </c>
      <c r="C6" s="4"/>
      <c r="D6" s="33" t="s">
        <v>327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customFormat="false" ht="19.5" hidden="false" customHeight="true" outlineLevel="0" collapsed="false">
      <c r="B7" s="4" t="s">
        <v>101</v>
      </c>
      <c r="C7" s="4"/>
      <c r="D7" s="33" t="s">
        <v>328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customFormat="false" ht="15" hidden="false" customHeight="true" outlineLevel="0" collapsed="false">
      <c r="B8" s="4" t="s">
        <v>71</v>
      </c>
      <c r="C8" s="4"/>
      <c r="D8" s="34" t="n">
        <v>46660</v>
      </c>
    </row>
    <row r="10" customFormat="false" ht="21.75" hidden="false" customHeight="true" outlineLevel="0" collapsed="false">
      <c r="B10" s="35" t="s">
        <v>69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</row>
    <row r="11" customFormat="false" ht="30" hidden="false" customHeight="true" outlineLevel="0" collapsed="false">
      <c r="B11" s="15" t="s">
        <v>74</v>
      </c>
      <c r="C11" s="15" t="s">
        <v>44</v>
      </c>
      <c r="D11" s="15" t="s">
        <v>75</v>
      </c>
      <c r="E11" s="15" t="s">
        <v>76</v>
      </c>
      <c r="F11" s="15" t="s">
        <v>77</v>
      </c>
      <c r="G11" s="15" t="s">
        <v>78</v>
      </c>
      <c r="H11" s="15"/>
      <c r="I11" s="15" t="s">
        <v>230</v>
      </c>
      <c r="J11" s="15" t="s">
        <v>231</v>
      </c>
      <c r="K11" s="15" t="s">
        <v>80</v>
      </c>
      <c r="L11" s="15" t="s">
        <v>81</v>
      </c>
      <c r="M11" s="15" t="s">
        <v>82</v>
      </c>
      <c r="N11" s="15" t="s">
        <v>83</v>
      </c>
      <c r="O11" s="15" t="s">
        <v>84</v>
      </c>
      <c r="P11" s="15"/>
      <c r="Q11" s="15"/>
    </row>
    <row r="12" customFormat="false" ht="30.75" hidden="false" customHeight="true" outlineLevel="0" collapsed="false">
      <c r="B12" s="36" t="s">
        <v>329</v>
      </c>
      <c r="C12" s="37" t="s">
        <v>330</v>
      </c>
      <c r="D12" s="7" t="s">
        <v>331</v>
      </c>
      <c r="E12" s="38" t="s">
        <v>234</v>
      </c>
      <c r="F12" s="39" t="s">
        <v>240</v>
      </c>
      <c r="G12" s="40" t="s">
        <v>332</v>
      </c>
      <c r="H12" s="40"/>
      <c r="I12" s="38" t="n">
        <v>2</v>
      </c>
      <c r="J12" s="38" t="s">
        <v>236</v>
      </c>
      <c r="K12" s="40" t="s">
        <v>333</v>
      </c>
      <c r="L12" s="41" t="n">
        <v>46721</v>
      </c>
      <c r="M12" s="15" t="n">
        <f aca="false">IF(OR(F12="",I12=""),"",IF(F12="Só na cabeça",2,IF(F12="Escrito",1,0))+IF(I12&lt;=1,2,IF(I12=2,1,0))+IF(J12="Sim",1,0))</f>
        <v>3</v>
      </c>
      <c r="N12" s="16" t="str">
        <f aca="false">IF(OR(M12="",E12=""),"",IF(AND(E12="Alta",M12&gt;=3),"Crítico",IF(AND(OR(E12="Alta",E12="Média"),M12&gt;=2),"Em risco","Sob controle")))</f>
        <v>Crítico</v>
      </c>
      <c r="O12" s="17" t="str">
        <f aca="false">IF(B12="","",IF(E12="","Falta a criticidade",IF(F12="","Falta a forma",IF(I12="","Falta quantas pessoas sabem",IF(OR(N12="Crítico",N12="Em risco"),IF(K12="","Falta a ação de transferência",IF(L12="","Falta o prazo da ação",IF(AND(ISNUMBER($D$8),L12&lt;$D$8),"Prazo da ação vencido",IF(AND(F12&lt;&gt;"Só na cabeça",G12=""),"Falta onde está escrito","OK")))),IF(AND(F12&lt;&gt;"Só na cabeça",G12=""),"Falta onde está escrito","OK"))))))</f>
        <v>OK</v>
      </c>
      <c r="P12" s="17"/>
      <c r="Q12" s="17"/>
    </row>
    <row r="13" customFormat="false" ht="30.75" hidden="false" customHeight="true" outlineLevel="0" collapsed="false">
      <c r="B13" s="36" t="s">
        <v>334</v>
      </c>
      <c r="C13" s="37" t="s">
        <v>335</v>
      </c>
      <c r="D13" s="7" t="s">
        <v>336</v>
      </c>
      <c r="E13" s="38" t="s">
        <v>234</v>
      </c>
      <c r="F13" s="39" t="s">
        <v>235</v>
      </c>
      <c r="G13" s="40"/>
      <c r="H13" s="40"/>
      <c r="I13" s="38" t="n">
        <v>1</v>
      </c>
      <c r="J13" s="38" t="s">
        <v>242</v>
      </c>
      <c r="K13" s="40"/>
      <c r="L13" s="41"/>
      <c r="M13" s="15" t="n">
        <f aca="false">IF(OR(F13="",I13=""),"",IF(F13="Só na cabeça",2,IF(F13="Escrito",1,0))+IF(I13&lt;=1,2,IF(I13=2,1,0))+IF(J13="Sim",1,0))</f>
        <v>4</v>
      </c>
      <c r="N13" s="16" t="str">
        <f aca="false">IF(OR(M13="",E13=""),"",IF(AND(E13="Alta",M13&gt;=3),"Crítico",IF(AND(OR(E13="Alta",E13="Média"),M13&gt;=2),"Em risco","Sob controle")))</f>
        <v>Crítico</v>
      </c>
      <c r="O13" s="17" t="str">
        <f aca="false">IF(B13="","",IF(E13="","Falta a criticidade",IF(F13="","Falta a forma",IF(I13="","Falta quantas pessoas sabem",IF(OR(N13="Crítico",N13="Em risco"),IF(K13="","Falta a ação de transferência",IF(L13="","Falta o prazo da ação",IF(AND(ISNUMBER($D$8),L13&lt;$D$8),"Prazo da ação vencido",IF(AND(F13&lt;&gt;"Só na cabeça",G13=""),"Falta onde está escrito","OK")))),IF(AND(F13&lt;&gt;"Só na cabeça",G13=""),"Falta onde está escrito","OK"))))))</f>
        <v>Falta a ação de transferência</v>
      </c>
      <c r="P13" s="17"/>
      <c r="Q13" s="17"/>
    </row>
    <row r="14" customFormat="false" ht="42.75" hidden="false" customHeight="true" outlineLevel="0" collapsed="false">
      <c r="B14" s="36" t="s">
        <v>337</v>
      </c>
      <c r="C14" s="37" t="s">
        <v>338</v>
      </c>
      <c r="D14" s="7" t="s">
        <v>339</v>
      </c>
      <c r="E14" s="38" t="s">
        <v>234</v>
      </c>
      <c r="F14" s="39" t="s">
        <v>235</v>
      </c>
      <c r="G14" s="40"/>
      <c r="H14" s="40"/>
      <c r="I14" s="38" t="n">
        <v>1</v>
      </c>
      <c r="J14" s="38" t="s">
        <v>242</v>
      </c>
      <c r="K14" s="40" t="s">
        <v>340</v>
      </c>
      <c r="L14" s="41" t="n">
        <v>46691</v>
      </c>
      <c r="M14" s="15" t="n">
        <f aca="false">IF(OR(F14="",I14=""),"",IF(F14="Só na cabeça",2,IF(F14="Escrito",1,0))+IF(I14&lt;=1,2,IF(I14=2,1,0))+IF(J14="Sim",1,0))</f>
        <v>4</v>
      </c>
      <c r="N14" s="16" t="str">
        <f aca="false">IF(OR(M14="",E14=""),"",IF(AND(E14="Alta",M14&gt;=3),"Crítico",IF(AND(OR(E14="Alta",E14="Média"),M14&gt;=2),"Em risco","Sob controle")))</f>
        <v>Crítico</v>
      </c>
      <c r="O14" s="17" t="str">
        <f aca="false">IF(B14="","",IF(E14="","Falta a criticidade",IF(F14="","Falta a forma",IF(I14="","Falta quantas pessoas sabem",IF(OR(N14="Crítico",N14="Em risco"),IF(K14="","Falta a ação de transferência",IF(L14="","Falta o prazo da ação",IF(AND(ISNUMBER($D$8),L14&lt;$D$8),"Prazo da ação vencido",IF(AND(F14&lt;&gt;"Só na cabeça",G14=""),"Falta onde está escrito","OK")))),IF(AND(F14&lt;&gt;"Só na cabeça",G14=""),"Falta onde está escrito","OK"))))))</f>
        <v>OK</v>
      </c>
      <c r="P14" s="17"/>
      <c r="Q14" s="17"/>
    </row>
    <row r="15" customFormat="false" ht="21.75" hidden="false" customHeight="true" outlineLevel="0" collapsed="false">
      <c r="B15" s="36" t="s">
        <v>341</v>
      </c>
      <c r="C15" s="37" t="s">
        <v>342</v>
      </c>
      <c r="D15" s="7" t="s">
        <v>343</v>
      </c>
      <c r="E15" s="38" t="s">
        <v>234</v>
      </c>
      <c r="F15" s="39" t="s">
        <v>245</v>
      </c>
      <c r="G15" s="40" t="s">
        <v>344</v>
      </c>
      <c r="H15" s="40"/>
      <c r="I15" s="38" t="n">
        <v>2</v>
      </c>
      <c r="J15" s="38" t="s">
        <v>242</v>
      </c>
      <c r="K15" s="40"/>
      <c r="L15" s="41"/>
      <c r="M15" s="15" t="n">
        <f aca="false">IF(OR(F15="",I15=""),"",IF(F15="Só na cabeça",2,IF(F15="Escrito",1,0))+IF(I15&lt;=1,2,IF(I15=2,1,0))+IF(J15="Sim",1,0))</f>
        <v>1</v>
      </c>
      <c r="N15" s="16" t="str">
        <f aca="false">IF(OR(M15="",E15=""),"",IF(AND(E15="Alta",M15&gt;=3),"Crítico",IF(AND(OR(E15="Alta",E15="Média"),M15&gt;=2),"Em risco","Sob controle")))</f>
        <v>Sob controle</v>
      </c>
      <c r="O15" s="17" t="str">
        <f aca="false">IF(B15="","",IF(E15="","Falta a criticidade",IF(F15="","Falta a forma",IF(I15="","Falta quantas pessoas sabem",IF(OR(N15="Crítico",N15="Em risco"),IF(K15="","Falta a ação de transferência",IF(L15="","Falta o prazo da ação",IF(AND(ISNUMBER($D$8),L15&lt;$D$8),"Prazo da ação vencido",IF(AND(F15&lt;&gt;"Só na cabeça",G15=""),"Falta onde está escrito","OK")))),IF(AND(F15&lt;&gt;"Só na cabeça",G15=""),"Falta onde está escrito","OK"))))))</f>
        <v>OK</v>
      </c>
      <c r="P15" s="17"/>
      <c r="Q15" s="17"/>
    </row>
    <row r="16" customFormat="false" ht="21.75" hidden="false" customHeight="true" outlineLevel="0" collapsed="false">
      <c r="B16" s="36" t="s">
        <v>345</v>
      </c>
      <c r="C16" s="37" t="s">
        <v>346</v>
      </c>
      <c r="D16" s="7" t="s">
        <v>347</v>
      </c>
      <c r="E16" s="38" t="s">
        <v>234</v>
      </c>
      <c r="F16" s="39" t="s">
        <v>240</v>
      </c>
      <c r="G16" s="40" t="s">
        <v>348</v>
      </c>
      <c r="H16" s="40"/>
      <c r="I16" s="38" t="n">
        <v>3</v>
      </c>
      <c r="J16" s="38" t="s">
        <v>242</v>
      </c>
      <c r="K16" s="40"/>
      <c r="L16" s="41"/>
      <c r="M16" s="15" t="n">
        <f aca="false">IF(OR(F16="",I16=""),"",IF(F16="Só na cabeça",2,IF(F16="Escrito",1,0))+IF(I16&lt;=1,2,IF(I16=2,1,0))+IF(J16="Sim",1,0))</f>
        <v>1</v>
      </c>
      <c r="N16" s="16" t="str">
        <f aca="false">IF(OR(M16="",E16=""),"",IF(AND(E16="Alta",M16&gt;=3),"Crítico",IF(AND(OR(E16="Alta",E16="Média"),M16&gt;=2),"Em risco","Sob controle")))</f>
        <v>Sob controle</v>
      </c>
      <c r="O16" s="17" t="str">
        <f aca="false">IF(B16="","",IF(E16="","Falta a criticidade",IF(F16="","Falta a forma",IF(I16="","Falta quantas pessoas sabem",IF(OR(N16="Crítico",N16="Em risco"),IF(K16="","Falta a ação de transferência",IF(L16="","Falta o prazo da ação",IF(AND(ISNUMBER($D$8),L16&lt;$D$8),"Prazo da ação vencido",IF(AND(F16&lt;&gt;"Só na cabeça",G16=""),"Falta onde está escrito","OK")))),IF(AND(F16&lt;&gt;"Só na cabeça",G16=""),"Falta onde está escrito","OK"))))))</f>
        <v>OK</v>
      </c>
      <c r="P16" s="17"/>
      <c r="Q16" s="17"/>
    </row>
    <row r="17" customFormat="false" ht="30.75" hidden="false" customHeight="true" outlineLevel="0" collapsed="false">
      <c r="B17" s="36" t="s">
        <v>349</v>
      </c>
      <c r="C17" s="37" t="s">
        <v>350</v>
      </c>
      <c r="D17" s="7" t="s">
        <v>351</v>
      </c>
      <c r="E17" s="38" t="s">
        <v>252</v>
      </c>
      <c r="F17" s="39" t="s">
        <v>240</v>
      </c>
      <c r="G17" s="40"/>
      <c r="H17" s="40"/>
      <c r="I17" s="38" t="n">
        <v>1</v>
      </c>
      <c r="J17" s="38" t="s">
        <v>242</v>
      </c>
      <c r="K17" s="40" t="s">
        <v>352</v>
      </c>
      <c r="L17" s="41" t="n">
        <v>46675</v>
      </c>
      <c r="M17" s="15" t="n">
        <f aca="false">IF(OR(F17="",I17=""),"",IF(F17="Só na cabeça",2,IF(F17="Escrito",1,0))+IF(I17&lt;=1,2,IF(I17=2,1,0))+IF(J17="Sim",1,0))</f>
        <v>3</v>
      </c>
      <c r="N17" s="16" t="str">
        <f aca="false">IF(OR(M17="",E17=""),"",IF(AND(E17="Alta",M17&gt;=3),"Crítico",IF(AND(OR(E17="Alta",E17="Média"),M17&gt;=2),"Em risco","Sob controle")))</f>
        <v>Em risco</v>
      </c>
      <c r="O17" s="17" t="str">
        <f aca="false">IF(B17="","",IF(E17="","Falta a criticidade",IF(F17="","Falta a forma",IF(I17="","Falta quantas pessoas sabem",IF(OR(N17="Crítico",N17="Em risco"),IF(K17="","Falta a ação de transferência",IF(L17="","Falta o prazo da ação",IF(AND(ISNUMBER($D$8),L17&lt;$D$8),"Prazo da ação vencido",IF(AND(F17&lt;&gt;"Só na cabeça",G17=""),"Falta onde está escrito","OK")))),IF(AND(F17&lt;&gt;"Só na cabeça",G17=""),"Falta onde está escrito","OK"))))))</f>
        <v>Falta onde está escrito</v>
      </c>
      <c r="P17" s="17"/>
      <c r="Q17" s="17"/>
    </row>
    <row r="18" customFormat="false" ht="30.75" hidden="false" customHeight="true" outlineLevel="0" collapsed="false">
      <c r="B18" s="36" t="s">
        <v>353</v>
      </c>
      <c r="C18" s="37" t="s">
        <v>354</v>
      </c>
      <c r="D18" s="7" t="s">
        <v>355</v>
      </c>
      <c r="E18" s="38" t="s">
        <v>252</v>
      </c>
      <c r="F18" s="39" t="s">
        <v>245</v>
      </c>
      <c r="G18" s="40" t="s">
        <v>356</v>
      </c>
      <c r="H18" s="40"/>
      <c r="I18" s="38" t="n">
        <v>3</v>
      </c>
      <c r="J18" s="38" t="s">
        <v>242</v>
      </c>
      <c r="K18" s="40"/>
      <c r="L18" s="41"/>
      <c r="M18" s="15" t="n">
        <f aca="false">IF(OR(F18="",I18=""),"",IF(F18="Só na cabeça",2,IF(F18="Escrito",1,0))+IF(I18&lt;=1,2,IF(I18=2,1,0))+IF(J18="Sim",1,0))</f>
        <v>0</v>
      </c>
      <c r="N18" s="16" t="str">
        <f aca="false">IF(OR(M18="",E18=""),"",IF(AND(E18="Alta",M18&gt;=3),"Crítico",IF(AND(OR(E18="Alta",E18="Média"),M18&gt;=2),"Em risco","Sob controle")))</f>
        <v>Sob controle</v>
      </c>
      <c r="O18" s="17" t="str">
        <f aca="false">IF(B18="","",IF(E18="","Falta a criticidade",IF(F18="","Falta a forma",IF(I18="","Falta quantas pessoas sabem",IF(OR(N18="Crítico",N18="Em risco"),IF(K18="","Falta a ação de transferência",IF(L18="","Falta o prazo da ação",IF(AND(ISNUMBER($D$8),L18&lt;$D$8),"Prazo da ação vencido",IF(AND(F18&lt;&gt;"Só na cabeça",G18=""),"Falta onde está escrito","OK")))),IF(AND(F18&lt;&gt;"Só na cabeça",G18=""),"Falta onde está escrito","OK"))))))</f>
        <v>OK</v>
      </c>
      <c r="P18" s="17"/>
      <c r="Q18" s="17"/>
    </row>
    <row r="20" customFormat="false" ht="21.75" hidden="false" customHeight="true" outlineLevel="0" collapsed="false">
      <c r="B20" s="42" t="s">
        <v>98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</row>
    <row r="21" customFormat="false" ht="30" hidden="false" customHeight="true" outlineLevel="0" collapsed="false">
      <c r="B21" s="15" t="s">
        <v>100</v>
      </c>
      <c r="C21" s="15" t="s">
        <v>102</v>
      </c>
      <c r="D21" s="15" t="s">
        <v>91</v>
      </c>
      <c r="E21" s="15" t="s">
        <v>101</v>
      </c>
      <c r="F21" s="15" t="s">
        <v>103</v>
      </c>
      <c r="G21" s="15"/>
      <c r="H21" s="15"/>
      <c r="I21" s="15" t="s">
        <v>263</v>
      </c>
      <c r="J21" s="15" t="s">
        <v>120</v>
      </c>
      <c r="K21" s="15" t="s">
        <v>104</v>
      </c>
      <c r="L21" s="15" t="s">
        <v>105</v>
      </c>
      <c r="M21" s="15" t="s">
        <v>153</v>
      </c>
      <c r="N21" s="15" t="s">
        <v>83</v>
      </c>
      <c r="O21" s="15" t="s">
        <v>84</v>
      </c>
      <c r="P21" s="15"/>
      <c r="Q21" s="15"/>
    </row>
    <row r="22" customFormat="false" ht="30.75" hidden="false" customHeight="true" outlineLevel="0" collapsed="false">
      <c r="B22" s="36" t="s">
        <v>357</v>
      </c>
      <c r="C22" s="40" t="s">
        <v>358</v>
      </c>
      <c r="D22" s="41" t="n">
        <v>46531</v>
      </c>
      <c r="E22" s="39" t="s">
        <v>114</v>
      </c>
      <c r="F22" s="40" t="s">
        <v>359</v>
      </c>
      <c r="G22" s="40"/>
      <c r="H22" s="40"/>
      <c r="I22" s="38" t="s">
        <v>353</v>
      </c>
      <c r="J22" s="41" t="n">
        <v>46558</v>
      </c>
      <c r="K22" s="40" t="s">
        <v>356</v>
      </c>
      <c r="L22" s="40" t="s">
        <v>360</v>
      </c>
      <c r="M22" s="23" t="str">
        <f aca="false">IF(OR(B22="",J22&lt;&gt;"",D22=""),"",IF(ISNUMBER($D$8),$D$8-D22,""))</f>
        <v/>
      </c>
      <c r="N22" s="43" t="str">
        <f aca="false">IF(B22="","",IF(J22="","Pendente","Incorporada"))</f>
        <v>Incorporada</v>
      </c>
      <c r="O22" s="17" t="str">
        <f aca="false">IF(B22="","",IF(D22="","Falta a data",IF(C22="","Falta o que aconteceu",IF(F22="","Falta o que aprendemos",IF(K22="","Falta onde incorporar",IF(AND(I22&lt;&gt;"",ISNA(MATCH(I22,$B$12:$B$18,0))),"Conhecimento não cadastrado",IF(AND(N22="Pendente",N(M22)&gt;60),"Pendente há mais de 60 dias","OK")))))))</f>
        <v>OK</v>
      </c>
      <c r="P22" s="17"/>
      <c r="Q22" s="17"/>
    </row>
    <row r="23" customFormat="false" ht="30.75" hidden="false" customHeight="true" outlineLevel="0" collapsed="false">
      <c r="B23" s="36" t="s">
        <v>361</v>
      </c>
      <c r="C23" s="40" t="s">
        <v>362</v>
      </c>
      <c r="D23" s="41" t="n">
        <v>46550</v>
      </c>
      <c r="E23" s="39" t="s">
        <v>363</v>
      </c>
      <c r="F23" s="40" t="s">
        <v>364</v>
      </c>
      <c r="G23" s="40"/>
      <c r="H23" s="40"/>
      <c r="I23" s="38"/>
      <c r="J23" s="41"/>
      <c r="K23" s="40" t="s">
        <v>365</v>
      </c>
      <c r="L23" s="40" t="s">
        <v>366</v>
      </c>
      <c r="M23" s="23" t="n">
        <f aca="false">IF(OR(B23="",J23&lt;&gt;"",D23=""),"",IF(ISNUMBER($D$8),$D$8-D23,""))</f>
        <v>110</v>
      </c>
      <c r="N23" s="43" t="str">
        <f aca="false">IF(B23="","",IF(J23="","Pendente","Incorporada"))</f>
        <v>Pendente</v>
      </c>
      <c r="O23" s="17" t="str">
        <f aca="false">IF(B23="","",IF(D23="","Falta a data",IF(C23="","Falta o que aconteceu",IF(F23="","Falta o que aprendemos",IF(K23="","Falta onde incorporar",IF(AND(I23&lt;&gt;"",ISNA(MATCH(I23,$B$12:$B$18,0))),"Conhecimento não cadastrado",IF(AND(N23="Pendente",N(M23)&gt;60),"Pendente há mais de 60 dias","OK")))))))</f>
        <v>Pendente há mais de 60 dias</v>
      </c>
      <c r="P23" s="17"/>
      <c r="Q23" s="17"/>
    </row>
    <row r="24" customFormat="false" ht="30.75" hidden="false" customHeight="true" outlineLevel="0" collapsed="false">
      <c r="B24" s="36" t="s">
        <v>367</v>
      </c>
      <c r="C24" s="40" t="s">
        <v>368</v>
      </c>
      <c r="D24" s="41" t="n">
        <v>46574</v>
      </c>
      <c r="E24" s="39" t="s">
        <v>272</v>
      </c>
      <c r="F24" s="40" t="s">
        <v>369</v>
      </c>
      <c r="G24" s="40"/>
      <c r="H24" s="40"/>
      <c r="I24" s="38"/>
      <c r="J24" s="41" t="n">
        <v>46609</v>
      </c>
      <c r="K24" s="40" t="s">
        <v>370</v>
      </c>
      <c r="L24" s="40" t="s">
        <v>371</v>
      </c>
      <c r="M24" s="23" t="str">
        <f aca="false">IF(OR(B24="",J24&lt;&gt;"",D24=""),"",IF(ISNUMBER($D$8),$D$8-D24,""))</f>
        <v/>
      </c>
      <c r="N24" s="43" t="str">
        <f aca="false">IF(B24="","",IF(J24="","Pendente","Incorporada"))</f>
        <v>Incorporada</v>
      </c>
      <c r="O24" s="17" t="str">
        <f aca="false">IF(B24="","",IF(D24="","Falta a data",IF(C24="","Falta o que aconteceu",IF(F24="","Falta o que aprendemos",IF(K24="","Falta onde incorporar",IF(AND(I24&lt;&gt;"",ISNA(MATCH(I24,$B$12:$B$18,0))),"Conhecimento não cadastrado",IF(AND(N24="Pendente",N(M24)&gt;60),"Pendente há mais de 60 dias","OK")))))))</f>
        <v>OK</v>
      </c>
      <c r="P24" s="17"/>
      <c r="Q24" s="17"/>
    </row>
    <row r="25" customFormat="false" ht="30.75" hidden="false" customHeight="true" outlineLevel="0" collapsed="false">
      <c r="B25" s="36" t="s">
        <v>372</v>
      </c>
      <c r="C25" s="40" t="s">
        <v>373</v>
      </c>
      <c r="D25" s="41" t="n">
        <v>46586</v>
      </c>
      <c r="E25" s="39" t="s">
        <v>272</v>
      </c>
      <c r="F25" s="40" t="s">
        <v>374</v>
      </c>
      <c r="G25" s="40"/>
      <c r="H25" s="40"/>
      <c r="I25" s="38" t="s">
        <v>337</v>
      </c>
      <c r="J25" s="41" t="n">
        <v>46609</v>
      </c>
      <c r="K25" s="40" t="s">
        <v>370</v>
      </c>
      <c r="L25" s="40" t="s">
        <v>371</v>
      </c>
      <c r="M25" s="23" t="str">
        <f aca="false">IF(OR(B25="",J25&lt;&gt;"",D25=""),"",IF(ISNUMBER($D$8),$D$8-D25,""))</f>
        <v/>
      </c>
      <c r="N25" s="43" t="str">
        <f aca="false">IF(B25="","",IF(J25="","Pendente","Incorporada"))</f>
        <v>Incorporada</v>
      </c>
      <c r="O25" s="17" t="str">
        <f aca="false">IF(B25="","",IF(D25="","Falta a data",IF(C25="","Falta o que aconteceu",IF(F25="","Falta o que aprendemos",IF(K25="","Falta onde incorporar",IF(AND(I25&lt;&gt;"",ISNA(MATCH(I25,$B$12:$B$18,0))),"Conhecimento não cadastrado",IF(AND(N25="Pendente",N(M25)&gt;60),"Pendente há mais de 60 dias","OK")))))))</f>
        <v>OK</v>
      </c>
      <c r="P25" s="17"/>
      <c r="Q25" s="17"/>
    </row>
    <row r="26" customFormat="false" ht="30.75" hidden="false" customHeight="true" outlineLevel="0" collapsed="false">
      <c r="B26" s="36" t="s">
        <v>375</v>
      </c>
      <c r="C26" s="40" t="s">
        <v>376</v>
      </c>
      <c r="D26" s="41" t="n">
        <v>46590</v>
      </c>
      <c r="E26" s="39" t="s">
        <v>272</v>
      </c>
      <c r="F26" s="40" t="s">
        <v>377</v>
      </c>
      <c r="G26" s="40"/>
      <c r="H26" s="40"/>
      <c r="I26" s="38"/>
      <c r="J26" s="41"/>
      <c r="K26" s="40" t="s">
        <v>378</v>
      </c>
      <c r="L26" s="40" t="s">
        <v>371</v>
      </c>
      <c r="M26" s="23" t="n">
        <f aca="false">IF(OR(B26="",J26&lt;&gt;"",D26=""),"",IF(ISNUMBER($D$8),$D$8-D26,""))</f>
        <v>70</v>
      </c>
      <c r="N26" s="43" t="str">
        <f aca="false">IF(B26="","",IF(J26="","Pendente","Incorporada"))</f>
        <v>Pendente</v>
      </c>
      <c r="O26" s="17" t="str">
        <f aca="false">IF(B26="","",IF(D26="","Falta a data",IF(C26="","Falta o que aconteceu",IF(F26="","Falta o que aprendemos",IF(K26="","Falta onde incorporar",IF(AND(I26&lt;&gt;"",ISNA(MATCH(I26,$B$12:$B$18,0))),"Conhecimento não cadastrado",IF(AND(N26="Pendente",N(M26)&gt;60),"Pendente há mais de 60 dias","OK")))))))</f>
        <v>Pendente há mais de 60 dias</v>
      </c>
      <c r="P26" s="17"/>
      <c r="Q26" s="17"/>
    </row>
    <row r="27" customFormat="false" ht="30.75" hidden="false" customHeight="true" outlineLevel="0" collapsed="false">
      <c r="B27" s="36" t="s">
        <v>379</v>
      </c>
      <c r="C27" s="40" t="s">
        <v>380</v>
      </c>
      <c r="D27" s="41" t="n">
        <v>46629</v>
      </c>
      <c r="E27" s="39" t="s">
        <v>347</v>
      </c>
      <c r="F27" s="40" t="s">
        <v>381</v>
      </c>
      <c r="G27" s="40"/>
      <c r="H27" s="40"/>
      <c r="I27" s="38" t="s">
        <v>341</v>
      </c>
      <c r="J27" s="41" t="n">
        <v>46640</v>
      </c>
      <c r="K27" s="40" t="s">
        <v>382</v>
      </c>
      <c r="L27" s="40" t="s">
        <v>343</v>
      </c>
      <c r="M27" s="23" t="str">
        <f aca="false">IF(OR(B27="",J27&lt;&gt;"",D27=""),"",IF(ISNUMBER($D$8),$D$8-D27,""))</f>
        <v/>
      </c>
      <c r="N27" s="43" t="str">
        <f aca="false">IF(B27="","",IF(J27="","Pendente","Incorporada"))</f>
        <v>Incorporada</v>
      </c>
      <c r="O27" s="17" t="str">
        <f aca="false">IF(B27="","",IF(D27="","Falta a data",IF(C27="","Falta o que aconteceu",IF(F27="","Falta o que aprendemos",IF(K27="","Falta onde incorporar",IF(AND(I27&lt;&gt;"",ISNA(MATCH(I27,$B$12:$B$18,0))),"Conhecimento não cadastrado",IF(AND(N27="Pendente",N(M27)&gt;60),"Pendente há mais de 60 dias","OK")))))))</f>
        <v>OK</v>
      </c>
      <c r="P27" s="17"/>
      <c r="Q27" s="17"/>
    </row>
    <row r="28" customFormat="false" ht="30.75" hidden="false" customHeight="true" outlineLevel="0" collapsed="false">
      <c r="B28" s="36" t="s">
        <v>383</v>
      </c>
      <c r="C28" s="40" t="s">
        <v>384</v>
      </c>
      <c r="D28" s="41" t="n">
        <v>46645</v>
      </c>
      <c r="E28" s="39" t="s">
        <v>48</v>
      </c>
      <c r="F28" s="40" t="s">
        <v>385</v>
      </c>
      <c r="G28" s="40"/>
      <c r="H28" s="40"/>
      <c r="I28" s="38"/>
      <c r="J28" s="41"/>
      <c r="K28" s="40"/>
      <c r="L28" s="40"/>
      <c r="M28" s="23" t="n">
        <f aca="false">IF(OR(B28="",J28&lt;&gt;"",D28=""),"",IF(ISNUMBER($D$8),$D$8-D28,""))</f>
        <v>15</v>
      </c>
      <c r="N28" s="43" t="str">
        <f aca="false">IF(B28="","",IF(J28="","Pendente","Incorporada"))</f>
        <v>Pendente</v>
      </c>
      <c r="O28" s="17" t="str">
        <f aca="false">IF(B28="","",IF(D28="","Falta a data",IF(C28="","Falta o que aconteceu",IF(F28="","Falta o que aprendemos",IF(K28="","Falta onde incorporar",IF(AND(I28&lt;&gt;"",ISNA(MATCH(I28,$B$12:$B$18,0))),"Conhecimento não cadastrado",IF(AND(N28="Pendente",N(M28)&gt;60),"Pendente há mais de 60 dias","OK")))))))</f>
        <v>Falta onde incorporar</v>
      </c>
      <c r="P28" s="17"/>
      <c r="Q28" s="17"/>
    </row>
    <row r="30" customFormat="false" ht="21.75" hidden="false" customHeight="true" outlineLevel="0" collapsed="false">
      <c r="B30" s="44" t="s">
        <v>123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</row>
    <row r="31" customFormat="false" ht="30" hidden="false" customHeight="true" outlineLevel="0" collapsed="false">
      <c r="B31" s="15" t="s">
        <v>125</v>
      </c>
      <c r="C31" s="15"/>
      <c r="D31" s="15" t="s">
        <v>126</v>
      </c>
      <c r="E31" s="15"/>
      <c r="F31" s="15" t="s">
        <v>287</v>
      </c>
      <c r="G31" s="15" t="s">
        <v>288</v>
      </c>
      <c r="H31" s="15" t="s">
        <v>289</v>
      </c>
      <c r="I31" s="15"/>
      <c r="J31" s="15"/>
      <c r="K31" s="15"/>
      <c r="L31" s="15" t="s">
        <v>290</v>
      </c>
      <c r="M31" s="15" t="s">
        <v>291</v>
      </c>
      <c r="N31" s="15"/>
      <c r="O31" s="15"/>
      <c r="P31" s="15"/>
      <c r="Q31" s="15" t="s">
        <v>84</v>
      </c>
    </row>
    <row r="32" customFormat="false" ht="30.75" hidden="false" customHeight="true" outlineLevel="0" collapsed="false">
      <c r="B32" s="37" t="s">
        <v>386</v>
      </c>
      <c r="C32" s="37"/>
      <c r="D32" s="40" t="s">
        <v>387</v>
      </c>
      <c r="E32" s="40"/>
      <c r="F32" s="38" t="n">
        <v>90</v>
      </c>
      <c r="G32" s="38" t="n">
        <v>90</v>
      </c>
      <c r="H32" s="40" t="s">
        <v>388</v>
      </c>
      <c r="I32" s="40"/>
      <c r="J32" s="40"/>
      <c r="K32" s="40"/>
      <c r="L32" s="38" t="n">
        <v>5</v>
      </c>
      <c r="M32" s="40" t="s">
        <v>389</v>
      </c>
      <c r="N32" s="40"/>
      <c r="O32" s="40"/>
      <c r="P32" s="40"/>
      <c r="Q32" s="17" t="str">
        <f aca="false">IF(B32="","",IF(F32="","Falta o prazo mínimo para reclamar",IF(G32="","Falta o prazo aceito",IF(G32&lt;F32,"Prazo aceito menor que o mínimo",IF(H32="","Falta o que se faz",IF(L32="","Falta o prazo de resposta","OK"))))))</f>
        <v>OK</v>
      </c>
    </row>
    <row r="33" customFormat="false" ht="21.75" hidden="false" customHeight="true" outlineLevel="0" collapsed="false">
      <c r="B33" s="37" t="s">
        <v>390</v>
      </c>
      <c r="C33" s="37"/>
      <c r="D33" s="40" t="s">
        <v>391</v>
      </c>
      <c r="E33" s="40"/>
      <c r="F33" s="38" t="n">
        <v>30</v>
      </c>
      <c r="G33" s="38" t="n">
        <v>30</v>
      </c>
      <c r="H33" s="40" t="s">
        <v>392</v>
      </c>
      <c r="I33" s="40"/>
      <c r="J33" s="40"/>
      <c r="K33" s="40"/>
      <c r="L33" s="38" t="n">
        <v>5</v>
      </c>
      <c r="M33" s="40"/>
      <c r="N33" s="40"/>
      <c r="O33" s="40"/>
      <c r="P33" s="40"/>
      <c r="Q33" s="17" t="str">
        <f aca="false">IF(B33="","",IF(F33="","Falta o prazo mínimo para reclamar",IF(G33="","Falta o prazo aceito",IF(G33&lt;F33,"Prazo aceito menor que o mínimo",IF(H33="","Falta o que se faz",IF(L33="","Falta o prazo de resposta","OK"))))))</f>
        <v>OK</v>
      </c>
    </row>
    <row r="34" customFormat="false" ht="30.75" hidden="false" customHeight="true" outlineLevel="0" collapsed="false">
      <c r="B34" s="37" t="s">
        <v>393</v>
      </c>
      <c r="C34" s="37"/>
      <c r="D34" s="40" t="s">
        <v>391</v>
      </c>
      <c r="E34" s="40"/>
      <c r="F34" s="38" t="n">
        <v>60</v>
      </c>
      <c r="G34" s="38" t="n">
        <v>30</v>
      </c>
      <c r="H34" s="40" t="s">
        <v>394</v>
      </c>
      <c r="I34" s="40"/>
      <c r="J34" s="40"/>
      <c r="K34" s="40"/>
      <c r="L34" s="38" t="n">
        <v>5</v>
      </c>
      <c r="M34" s="40" t="s">
        <v>395</v>
      </c>
      <c r="N34" s="40"/>
      <c r="O34" s="40"/>
      <c r="P34" s="40"/>
      <c r="Q34" s="17" t="str">
        <f aca="false">IF(B34="","",IF(F34="","Falta o prazo mínimo para reclamar",IF(G34="","Falta o prazo aceito",IF(G34&lt;F34,"Prazo aceito menor que o mínimo",IF(H34="","Falta o que se faz",IF(L34="","Falta o prazo de resposta","OK"))))))</f>
        <v>Prazo aceito menor que o mínimo</v>
      </c>
    </row>
    <row r="36" customFormat="false" ht="21.75" hidden="false" customHeight="true" outlineLevel="0" collapsed="false">
      <c r="B36" s="45" t="s">
        <v>143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customFormat="false" ht="30" hidden="false" customHeight="true" outlineLevel="0" collapsed="false">
      <c r="B37" s="15" t="s">
        <v>100</v>
      </c>
      <c r="C37" s="15" t="s">
        <v>149</v>
      </c>
      <c r="D37" s="15" t="s">
        <v>145</v>
      </c>
      <c r="E37" s="15" t="s">
        <v>148</v>
      </c>
      <c r="F37" s="15" t="s">
        <v>147</v>
      </c>
      <c r="G37" s="15"/>
      <c r="H37" s="15" t="s">
        <v>146</v>
      </c>
      <c r="I37" s="15" t="s">
        <v>150</v>
      </c>
      <c r="J37" s="15" t="s">
        <v>151</v>
      </c>
      <c r="K37" s="15" t="s">
        <v>28</v>
      </c>
      <c r="L37" s="15" t="s">
        <v>152</v>
      </c>
      <c r="M37" s="15" t="s">
        <v>81</v>
      </c>
      <c r="N37" s="15" t="s">
        <v>153</v>
      </c>
      <c r="O37" s="15" t="s">
        <v>83</v>
      </c>
      <c r="P37" s="15" t="s">
        <v>84</v>
      </c>
      <c r="Q37" s="15"/>
    </row>
    <row r="38" customFormat="false" ht="30.75" hidden="false" customHeight="true" outlineLevel="0" collapsed="false">
      <c r="B38" s="36" t="s">
        <v>396</v>
      </c>
      <c r="C38" s="40" t="s">
        <v>397</v>
      </c>
      <c r="D38" s="41" t="n">
        <v>46601</v>
      </c>
      <c r="E38" s="39" t="s">
        <v>114</v>
      </c>
      <c r="F38" s="40" t="s">
        <v>393</v>
      </c>
      <c r="G38" s="40"/>
      <c r="H38" s="40" t="s">
        <v>398</v>
      </c>
      <c r="I38" s="41" t="n">
        <v>46605</v>
      </c>
      <c r="J38" s="46" t="n">
        <v>3200</v>
      </c>
      <c r="K38" s="40" t="s">
        <v>399</v>
      </c>
      <c r="L38" s="38"/>
      <c r="M38" s="23" t="n">
        <f aca="false">IF(F38="","",IFERROR(IF(INDEX($L$32:$L$34,MATCH(F38,$B$32:$B$34,0))="","",INDEX($L$32:$L$34,MATCH(F38,$B$32:$B$34,0))),""))</f>
        <v>5</v>
      </c>
      <c r="N38" s="15" t="n">
        <f aca="false">IF(D38="","",IF(I38&lt;&gt;"",I38-D38,IF(ISNUMBER($D$8),$D$8-D38,"")))</f>
        <v>4</v>
      </c>
      <c r="O38" s="43" t="str">
        <f aca="false">IF(OR(M38="",N38=""),"",IF(I38&lt;&gt;"",IF(N38&lt;=M38,"No prazo","Fora do prazo"),IF(N38&lt;=M38,"Aberto no prazo","Aberto e atrasado")))</f>
        <v>No prazo</v>
      </c>
      <c r="P38" s="17" t="str">
        <f aca="false">IF(B38="","",IF(ISNA(MATCH(F38,$B$32:$B$34,0)),"Produto sem política",IF(D38="","Falta a data de abertura",IF(E38="","Falta o tipo",IF(AND(I38&lt;&gt;"",OR(E38="Reclamação",E38="Garantia",E38="Devolução"),K38=""),"Falta a causa",IF(AND(L38&lt;&gt;"",ISNA(MATCH(L38,$B$22:$B$28,0))),"Lição não encontrada","OK"))))))</f>
        <v>OK</v>
      </c>
      <c r="Q38" s="17"/>
    </row>
    <row r="39" customFormat="false" ht="30.75" hidden="false" customHeight="true" outlineLevel="0" collapsed="false">
      <c r="B39" s="36" t="s">
        <v>400</v>
      </c>
      <c r="C39" s="40" t="s">
        <v>401</v>
      </c>
      <c r="D39" s="41" t="n">
        <v>46609</v>
      </c>
      <c r="E39" s="39" t="s">
        <v>402</v>
      </c>
      <c r="F39" s="40" t="s">
        <v>390</v>
      </c>
      <c r="G39" s="40"/>
      <c r="H39" s="40" t="s">
        <v>403</v>
      </c>
      <c r="I39" s="41" t="n">
        <v>46617</v>
      </c>
      <c r="J39" s="46" t="n">
        <v>5400</v>
      </c>
      <c r="K39" s="40" t="s">
        <v>404</v>
      </c>
      <c r="L39" s="38"/>
      <c r="M39" s="23" t="n">
        <f aca="false">IF(F39="","",IFERROR(IF(INDEX($L$32:$L$34,MATCH(F39,$B$32:$B$34,0))="","",INDEX($L$32:$L$34,MATCH(F39,$B$32:$B$34,0))),""))</f>
        <v>5</v>
      </c>
      <c r="N39" s="15" t="n">
        <f aca="false">IF(D39="","",IF(I39&lt;&gt;"",I39-D39,IF(ISNUMBER($D$8),$D$8-D39,"")))</f>
        <v>8</v>
      </c>
      <c r="O39" s="43" t="str">
        <f aca="false">IF(OR(M39="",N39=""),"",IF(I39&lt;&gt;"",IF(N39&lt;=M39,"No prazo","Fora do prazo"),IF(N39&lt;=M39,"Aberto no prazo","Aberto e atrasado")))</f>
        <v>Fora do prazo</v>
      </c>
      <c r="P39" s="17" t="str">
        <f aca="false">IF(B39="","",IF(ISNA(MATCH(F39,$B$32:$B$34,0)),"Produto sem política",IF(D39="","Falta a data de abertura",IF(E39="","Falta o tipo",IF(AND(I39&lt;&gt;"",OR(E39="Reclamação",E39="Garantia",E39="Devolução"),K39=""),"Falta a causa",IF(AND(L39&lt;&gt;"",ISNA(MATCH(L39,$B$22:$B$28,0))),"Lição não encontrada","OK"))))))</f>
        <v>OK</v>
      </c>
      <c r="Q39" s="17"/>
    </row>
    <row r="40" customFormat="false" ht="30.75" hidden="false" customHeight="true" outlineLevel="0" collapsed="false">
      <c r="B40" s="36" t="s">
        <v>405</v>
      </c>
      <c r="C40" s="40" t="s">
        <v>406</v>
      </c>
      <c r="D40" s="41" t="n">
        <v>46619</v>
      </c>
      <c r="E40" s="39" t="s">
        <v>407</v>
      </c>
      <c r="F40" s="40" t="s">
        <v>386</v>
      </c>
      <c r="G40" s="40"/>
      <c r="H40" s="40" t="s">
        <v>408</v>
      </c>
      <c r="I40" s="41" t="n">
        <v>46621</v>
      </c>
      <c r="J40" s="46" t="n">
        <v>800</v>
      </c>
      <c r="K40" s="40"/>
      <c r="L40" s="38"/>
      <c r="M40" s="23" t="n">
        <f aca="false">IF(F40="","",IFERROR(IF(INDEX($L$32:$L$34,MATCH(F40,$B$32:$B$34,0))="","",INDEX($L$32:$L$34,MATCH(F40,$B$32:$B$34,0))),""))</f>
        <v>5</v>
      </c>
      <c r="N40" s="15" t="n">
        <f aca="false">IF(D40="","",IF(I40&lt;&gt;"",I40-D40,IF(ISNUMBER($D$8),$D$8-D40,"")))</f>
        <v>2</v>
      </c>
      <c r="O40" s="43" t="str">
        <f aca="false">IF(OR(M40="",N40=""),"",IF(I40&lt;&gt;"",IF(N40&lt;=M40,"No prazo","Fora do prazo"),IF(N40&lt;=M40,"Aberto no prazo","Aberto e atrasado")))</f>
        <v>No prazo</v>
      </c>
      <c r="P40" s="17" t="str">
        <f aca="false">IF(B40="","",IF(ISNA(MATCH(F40,$B$32:$B$34,0)),"Produto sem política",IF(D40="","Falta a data de abertura",IF(E40="","Falta o tipo",IF(AND(I40&lt;&gt;"",OR(E40="Reclamação",E40="Garantia",E40="Devolução"),K40=""),"Falta a causa",IF(AND(L40&lt;&gt;"",ISNA(MATCH(L40,$B$22:$B$28,0))),"Lição não encontrada","OK"))))))</f>
        <v>OK</v>
      </c>
      <c r="Q40" s="17"/>
    </row>
    <row r="41" customFormat="false" ht="30.75" hidden="false" customHeight="true" outlineLevel="0" collapsed="false">
      <c r="B41" s="36" t="s">
        <v>409</v>
      </c>
      <c r="C41" s="40" t="s">
        <v>410</v>
      </c>
      <c r="D41" s="41" t="n">
        <v>46635</v>
      </c>
      <c r="E41" s="39" t="s">
        <v>318</v>
      </c>
      <c r="F41" s="40" t="s">
        <v>393</v>
      </c>
      <c r="G41" s="40"/>
      <c r="H41" s="40" t="s">
        <v>398</v>
      </c>
      <c r="I41" s="41" t="n">
        <v>46642</v>
      </c>
      <c r="J41" s="46" t="n">
        <v>2100</v>
      </c>
      <c r="K41" s="40" t="s">
        <v>411</v>
      </c>
      <c r="L41" s="38"/>
      <c r="M41" s="23" t="n">
        <f aca="false">IF(F41="","",IFERROR(IF(INDEX($L$32:$L$34,MATCH(F41,$B$32:$B$34,0))="","",INDEX($L$32:$L$34,MATCH(F41,$B$32:$B$34,0))),""))</f>
        <v>5</v>
      </c>
      <c r="N41" s="15" t="n">
        <f aca="false">IF(D41="","",IF(I41&lt;&gt;"",I41-D41,IF(ISNUMBER($D$8),$D$8-D41,"")))</f>
        <v>7</v>
      </c>
      <c r="O41" s="43" t="str">
        <f aca="false">IF(OR(M41="",N41=""),"",IF(I41&lt;&gt;"",IF(N41&lt;=M41,"No prazo","Fora do prazo"),IF(N41&lt;=M41,"Aberto no prazo","Aberto e atrasado")))</f>
        <v>Fora do prazo</v>
      </c>
      <c r="P41" s="17" t="str">
        <f aca="false">IF(B41="","",IF(ISNA(MATCH(F41,$B$32:$B$34,0)),"Produto sem política",IF(D41="","Falta a data de abertura",IF(E41="","Falta o tipo",IF(AND(I41&lt;&gt;"",OR(E41="Reclamação",E41="Garantia",E41="Devolução"),K41=""),"Falta a causa",IF(AND(L41&lt;&gt;"",ISNA(MATCH(L41,$B$22:$B$28,0))),"Lição não encontrada","OK"))))))</f>
        <v>OK</v>
      </c>
      <c r="Q41" s="17"/>
    </row>
    <row r="42" customFormat="false" ht="30.75" hidden="false" customHeight="true" outlineLevel="0" collapsed="false">
      <c r="B42" s="36" t="s">
        <v>412</v>
      </c>
      <c r="C42" s="40" t="s">
        <v>413</v>
      </c>
      <c r="D42" s="41" t="n">
        <v>46645</v>
      </c>
      <c r="E42" s="39" t="s">
        <v>114</v>
      </c>
      <c r="F42" s="40" t="s">
        <v>390</v>
      </c>
      <c r="G42" s="40"/>
      <c r="H42" s="40" t="s">
        <v>403</v>
      </c>
      <c r="I42" s="41" t="n">
        <v>46649</v>
      </c>
      <c r="J42" s="46" t="n">
        <v>1500</v>
      </c>
      <c r="K42" s="40" t="s">
        <v>414</v>
      </c>
      <c r="L42" s="38" t="s">
        <v>383</v>
      </c>
      <c r="M42" s="23" t="n">
        <f aca="false">IF(F42="","",IFERROR(IF(INDEX($L$32:$L$34,MATCH(F42,$B$32:$B$34,0))="","",INDEX($L$32:$L$34,MATCH(F42,$B$32:$B$34,0))),""))</f>
        <v>5</v>
      </c>
      <c r="N42" s="15" t="n">
        <f aca="false">IF(D42="","",IF(I42&lt;&gt;"",I42-D42,IF(ISNUMBER($D$8),$D$8-D42,"")))</f>
        <v>4</v>
      </c>
      <c r="O42" s="43" t="str">
        <f aca="false">IF(OR(M42="",N42=""),"",IF(I42&lt;&gt;"",IF(N42&lt;=M42,"No prazo","Fora do prazo"),IF(N42&lt;=M42,"Aberto no prazo","Aberto e atrasado")))</f>
        <v>No prazo</v>
      </c>
      <c r="P42" s="17" t="str">
        <f aca="false">IF(B42="","",IF(ISNA(MATCH(F42,$B$32:$B$34,0)),"Produto sem política",IF(D42="","Falta a data de abertura",IF(E42="","Falta o tipo",IF(AND(I42&lt;&gt;"",OR(E42="Reclamação",E42="Garantia",E42="Devolução"),K42=""),"Falta a causa",IF(AND(L42&lt;&gt;"",ISNA(MATCH(L42,$B$22:$B$28,0))),"Lição não encontrada","OK"))))))</f>
        <v>OK</v>
      </c>
      <c r="Q42" s="17"/>
    </row>
    <row r="43" customFormat="false" ht="21.75" hidden="false" customHeight="true" outlineLevel="0" collapsed="false">
      <c r="B43" s="36" t="s">
        <v>415</v>
      </c>
      <c r="C43" s="40" t="s">
        <v>416</v>
      </c>
      <c r="D43" s="41" t="n">
        <v>46652</v>
      </c>
      <c r="E43" s="39" t="s">
        <v>311</v>
      </c>
      <c r="F43" s="40" t="s">
        <v>390</v>
      </c>
      <c r="G43" s="40"/>
      <c r="H43" s="40" t="s">
        <v>417</v>
      </c>
      <c r="I43" s="41" t="n">
        <v>46652</v>
      </c>
      <c r="J43" s="46" t="n">
        <v>0</v>
      </c>
      <c r="K43" s="40"/>
      <c r="L43" s="38"/>
      <c r="M43" s="23" t="n">
        <f aca="false">IF(F43="","",IFERROR(IF(INDEX($L$32:$L$34,MATCH(F43,$B$32:$B$34,0))="","",INDEX($L$32:$L$34,MATCH(F43,$B$32:$B$34,0))),""))</f>
        <v>5</v>
      </c>
      <c r="N43" s="15" t="n">
        <f aca="false">IF(D43="","",IF(I43&lt;&gt;"",I43-D43,IF(ISNUMBER($D$8),$D$8-D43,"")))</f>
        <v>0</v>
      </c>
      <c r="O43" s="43" t="str">
        <f aca="false">IF(OR(M43="",N43=""),"",IF(I43&lt;&gt;"",IF(N43&lt;=M43,"No prazo","Fora do prazo"),IF(N43&lt;=M43,"Aberto no prazo","Aberto e atrasado")))</f>
        <v>No prazo</v>
      </c>
      <c r="P43" s="17" t="str">
        <f aca="false">IF(B43="","",IF(ISNA(MATCH(F43,$B$32:$B$34,0)),"Produto sem política",IF(D43="","Falta a data de abertura",IF(E43="","Falta o tipo",IF(AND(I43&lt;&gt;"",OR(E43="Reclamação",E43="Garantia",E43="Devolução"),K43=""),"Falta a causa",IF(AND(L43&lt;&gt;"",ISNA(MATCH(L43,$B$22:$B$28,0))),"Lição não encontrada","OK"))))))</f>
        <v>OK</v>
      </c>
      <c r="Q43" s="17"/>
    </row>
    <row r="44" customFormat="false" ht="21.75" hidden="false" customHeight="true" outlineLevel="0" collapsed="false">
      <c r="B44" s="36" t="s">
        <v>418</v>
      </c>
      <c r="C44" s="40" t="s">
        <v>419</v>
      </c>
      <c r="D44" s="41" t="n">
        <v>46653</v>
      </c>
      <c r="E44" s="39" t="s">
        <v>114</v>
      </c>
      <c r="F44" s="40" t="s">
        <v>393</v>
      </c>
      <c r="G44" s="40"/>
      <c r="H44" s="40" t="s">
        <v>398</v>
      </c>
      <c r="I44" s="41"/>
      <c r="J44" s="46"/>
      <c r="K44" s="40"/>
      <c r="L44" s="38"/>
      <c r="M44" s="23" t="n">
        <f aca="false">IF(F44="","",IFERROR(IF(INDEX($L$32:$L$34,MATCH(F44,$B$32:$B$34,0))="","",INDEX($L$32:$L$34,MATCH(F44,$B$32:$B$34,0))),""))</f>
        <v>5</v>
      </c>
      <c r="N44" s="15" t="n">
        <f aca="false">IF(D44="","",IF(I44&lt;&gt;"",I44-D44,IF(ISNUMBER($D$8),$D$8-D44,"")))</f>
        <v>7</v>
      </c>
      <c r="O44" s="43" t="str">
        <f aca="false">IF(OR(M44="",N44=""),"",IF(I44&lt;&gt;"",IF(N44&lt;=M44,"No prazo","Fora do prazo"),IF(N44&lt;=M44,"Aberto no prazo","Aberto e atrasado")))</f>
        <v>Aberto e atrasado</v>
      </c>
      <c r="P44" s="17" t="str">
        <f aca="false">IF(B44="","",IF(ISNA(MATCH(F44,$B$32:$B$34,0)),"Produto sem política",IF(D44="","Falta a data de abertura",IF(E44="","Falta o tipo",IF(AND(I44&lt;&gt;"",OR(E44="Reclamação",E44="Garantia",E44="Devolução"),K44=""),"Falta a causa",IF(AND(L44&lt;&gt;"",ISNA(MATCH(L44,$B$22:$B$28,0))),"Lição não encontrada","OK"))))))</f>
        <v>OK</v>
      </c>
      <c r="Q44" s="17"/>
    </row>
    <row r="45" customFormat="false" ht="30.75" hidden="false" customHeight="true" outlineLevel="0" collapsed="false">
      <c r="B45" s="36" t="s">
        <v>420</v>
      </c>
      <c r="C45" s="40" t="s">
        <v>421</v>
      </c>
      <c r="D45" s="41" t="n">
        <v>46656</v>
      </c>
      <c r="E45" s="39" t="s">
        <v>114</v>
      </c>
      <c r="F45" s="40" t="s">
        <v>386</v>
      </c>
      <c r="G45" s="40"/>
      <c r="H45" s="40" t="s">
        <v>408</v>
      </c>
      <c r="I45" s="41"/>
      <c r="J45" s="46"/>
      <c r="K45" s="40"/>
      <c r="L45" s="38"/>
      <c r="M45" s="23" t="n">
        <f aca="false">IF(F45="","",IFERROR(IF(INDEX($L$32:$L$34,MATCH(F45,$B$32:$B$34,0))="","",INDEX($L$32:$L$34,MATCH(F45,$B$32:$B$34,0))),""))</f>
        <v>5</v>
      </c>
      <c r="N45" s="15" t="n">
        <f aca="false">IF(D45="","",IF(I45&lt;&gt;"",I45-D45,IF(ISNUMBER($D$8),$D$8-D45,"")))</f>
        <v>4</v>
      </c>
      <c r="O45" s="43" t="str">
        <f aca="false">IF(OR(M45="",N45=""),"",IF(I45&lt;&gt;"",IF(N45&lt;=M45,"No prazo","Fora do prazo"),IF(N45&lt;=M45,"Aberto no prazo","Aberto e atrasado")))</f>
        <v>Aberto no prazo</v>
      </c>
      <c r="P45" s="17" t="str">
        <f aca="false">IF(B45="","",IF(ISNA(MATCH(F45,$B$32:$B$34,0)),"Produto sem política",IF(D45="","Falta a data de abertura",IF(E45="","Falta o tipo",IF(AND(I45&lt;&gt;"",OR(E45="Reclamação",E45="Garantia",E45="Devolução"),K45=""),"Falta a causa",IF(AND(L45&lt;&gt;"",ISNA(MATCH(L45,$B$22:$B$28,0))),"Lição não encontrada","OK"))))))</f>
        <v>OK</v>
      </c>
      <c r="Q45" s="17"/>
    </row>
    <row r="47" customFormat="false" ht="21.75" hidden="false" customHeight="true" outlineLevel="0" collapsed="false">
      <c r="B47" s="18" t="s">
        <v>94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customFormat="false" ht="21.75" hidden="false" customHeight="true" outlineLevel="0" collapsed="false">
      <c r="B48" s="19" t="s">
        <v>44</v>
      </c>
      <c r="C48" s="19"/>
      <c r="D48" s="19"/>
      <c r="E48" s="20" t="str">
        <f aca="false">COUNTIF(N12:N18,"Crítico")&amp;" crítico"&amp;", "&amp;COUNTIF(N12:N18,"Em risco")&amp;" em risco"&amp;", "&amp;COUNTIF(N12:N18,"Sob controle")&amp;" sob controle"</f>
        <v>3 crítico, 1 em risco, 3 sob controle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customFormat="false" ht="21.75" hidden="false" customHeight="true" outlineLevel="0" collapsed="false">
      <c r="B49" s="19" t="s">
        <v>46</v>
      </c>
      <c r="C49" s="19"/>
      <c r="D49" s="19"/>
      <c r="E49" s="20" t="str">
        <f aca="false">COUNTIF(N22:N28,"Incorporada")&amp;" incorporada"&amp;", "&amp;COUNTIF(N22:N28,"Pendente")&amp;" pendente"&amp;", "&amp;COUNTIF(O22:O28,"Pendente há mais de 60 dias")&amp;" há mais de 60 dias"</f>
        <v>4 incorporada, 3 pendente, 2 há mais de 60 dias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customFormat="false" ht="21.75" hidden="false" customHeight="true" outlineLevel="0" collapsed="false">
      <c r="B50" s="19" t="s">
        <v>50</v>
      </c>
      <c r="C50" s="19"/>
      <c r="D50" s="19"/>
      <c r="E50" s="20" t="str">
        <f aca="false">COUNTIF(O38:O45,"No prazo")&amp;" no prazo"&amp;", "&amp;COUNTIF(O38:O45,"Fora do prazo")&amp;" fora do prazo"&amp;", "&amp;COUNTIF(O38:O45,"Aberto no prazo")&amp;" aberto no prazo"&amp;", "&amp;COUNTIF(O38:O45,"Aberto e atrasado")&amp;" aberto e atrasado"&amp;". Custo de R$ "&amp;TEXT(SUM(J38:J45),"0")</f>
        <v>4 no prazo, 2 fora do prazo, 1 aberto no prazo, 1 aberto e atrasado. Custo de R$ 13000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customFormat="false" ht="21.75" hidden="false" customHeight="true" outlineLevel="0" collapsed="false">
      <c r="B51" s="19" t="s">
        <v>197</v>
      </c>
      <c r="C51" s="19"/>
      <c r="D51" s="19"/>
      <c r="E51" s="20" t="n">
        <f aca="false">SUMPRODUCT((O12:O18&lt;&gt;"OK")*1)+SUMPRODUCT((O22:O28&lt;&gt;"OK")*1)+SUMPRODUCT((Q32:Q34&lt;&gt;"OK")*1)+SUMPRODUCT((P38:P45&lt;&gt;"OK")*1)</f>
        <v>6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</sheetData>
  <mergeCells count="90">
    <mergeCell ref="B1:Q1"/>
    <mergeCell ref="B2:Q2"/>
    <mergeCell ref="B4:C4"/>
    <mergeCell ref="D4:Q4"/>
    <mergeCell ref="B5:C5"/>
    <mergeCell ref="D5:Q5"/>
    <mergeCell ref="B6:C6"/>
    <mergeCell ref="D6:Q6"/>
    <mergeCell ref="B7:C7"/>
    <mergeCell ref="D7:Q7"/>
    <mergeCell ref="B8:C8"/>
    <mergeCell ref="B10:Q10"/>
    <mergeCell ref="G11:H11"/>
    <mergeCell ref="O11:Q11"/>
    <mergeCell ref="G12:H12"/>
    <mergeCell ref="O12:Q12"/>
    <mergeCell ref="G13:H13"/>
    <mergeCell ref="O13:Q13"/>
    <mergeCell ref="G14:H14"/>
    <mergeCell ref="O14:Q14"/>
    <mergeCell ref="G15:H15"/>
    <mergeCell ref="O15:Q15"/>
    <mergeCell ref="G16:H16"/>
    <mergeCell ref="O16:Q16"/>
    <mergeCell ref="G17:H17"/>
    <mergeCell ref="O17:Q17"/>
    <mergeCell ref="G18:H18"/>
    <mergeCell ref="O18:Q18"/>
    <mergeCell ref="B20:Q20"/>
    <mergeCell ref="F21:H21"/>
    <mergeCell ref="O21:Q21"/>
    <mergeCell ref="F22:H22"/>
    <mergeCell ref="O22:Q22"/>
    <mergeCell ref="F23:H23"/>
    <mergeCell ref="O23:Q23"/>
    <mergeCell ref="F24:H24"/>
    <mergeCell ref="O24:Q24"/>
    <mergeCell ref="F25:H25"/>
    <mergeCell ref="O25:Q25"/>
    <mergeCell ref="F26:H26"/>
    <mergeCell ref="O26:Q26"/>
    <mergeCell ref="F27:H27"/>
    <mergeCell ref="O27:Q27"/>
    <mergeCell ref="F28:H28"/>
    <mergeCell ref="O28:Q28"/>
    <mergeCell ref="B30:Q30"/>
    <mergeCell ref="B31:C31"/>
    <mergeCell ref="D31:E31"/>
    <mergeCell ref="H31:K31"/>
    <mergeCell ref="M31:P31"/>
    <mergeCell ref="B32:C32"/>
    <mergeCell ref="D32:E32"/>
    <mergeCell ref="H32:K32"/>
    <mergeCell ref="M32:P32"/>
    <mergeCell ref="B33:C33"/>
    <mergeCell ref="D33:E33"/>
    <mergeCell ref="H33:K33"/>
    <mergeCell ref="M33:P33"/>
    <mergeCell ref="B34:C34"/>
    <mergeCell ref="D34:E34"/>
    <mergeCell ref="H34:K34"/>
    <mergeCell ref="M34:P34"/>
    <mergeCell ref="B36:Q36"/>
    <mergeCell ref="F37:G37"/>
    <mergeCell ref="P37:Q37"/>
    <mergeCell ref="F38:G38"/>
    <mergeCell ref="P38:Q38"/>
    <mergeCell ref="F39:G39"/>
    <mergeCell ref="P39:Q39"/>
    <mergeCell ref="F40:G40"/>
    <mergeCell ref="P40:Q40"/>
    <mergeCell ref="F41:G41"/>
    <mergeCell ref="P41:Q41"/>
    <mergeCell ref="F42:G42"/>
    <mergeCell ref="P42:Q42"/>
    <mergeCell ref="F43:G43"/>
    <mergeCell ref="P43:Q43"/>
    <mergeCell ref="F44:G44"/>
    <mergeCell ref="P44:Q44"/>
    <mergeCell ref="F45:G45"/>
    <mergeCell ref="P45:Q45"/>
    <mergeCell ref="B47:Q47"/>
    <mergeCell ref="B48:D48"/>
    <mergeCell ref="E48:Q48"/>
    <mergeCell ref="B49:D49"/>
    <mergeCell ref="E49:Q49"/>
    <mergeCell ref="B50:D50"/>
    <mergeCell ref="E50:Q50"/>
    <mergeCell ref="B51:D51"/>
    <mergeCell ref="E51:Q51"/>
  </mergeCells>
  <conditionalFormatting sqref="N12:N18">
    <cfRule type="expression" priority="2" aboveAverage="0" equalAverage="0" bottom="0" percent="0" rank="0" text="" dxfId="0">
      <formula>N12="Crítico"</formula>
    </cfRule>
    <cfRule type="expression" priority="3" aboveAverage="0" equalAverage="0" bottom="0" percent="0" rank="0" text="" dxfId="1">
      <formula>N12="Em risco"</formula>
    </cfRule>
    <cfRule type="expression" priority="4" aboveAverage="0" equalAverage="0" bottom="0" percent="0" rank="0" text="" dxfId="2">
      <formula>N12="Sob controle"</formula>
    </cfRule>
  </conditionalFormatting>
  <conditionalFormatting sqref="O12:Q18">
    <cfRule type="expression" priority="5" aboveAverage="0" equalAverage="0" bottom="0" percent="0" rank="0" text="" dxfId="2">
      <formula>OR($O12="OK")</formula>
    </cfRule>
    <cfRule type="expression" priority="6" aboveAverage="0" equalAverage="0" bottom="0" percent="0" rank="0" text="" dxfId="3">
      <formula>AND(LEN($O12)&gt;0,NOT(OR($O12="OK")))</formula>
    </cfRule>
  </conditionalFormatting>
  <conditionalFormatting sqref="N22:N28">
    <cfRule type="expression" priority="7" aboveAverage="0" equalAverage="0" bottom="0" percent="0" rank="0" text="" dxfId="2">
      <formula>N22="Incorporada"</formula>
    </cfRule>
    <cfRule type="expression" priority="8" aboveAverage="0" equalAverage="0" bottom="0" percent="0" rank="0" text="" dxfId="1">
      <formula>N22="Pendente"</formula>
    </cfRule>
  </conditionalFormatting>
  <conditionalFormatting sqref="O22:Q28">
    <cfRule type="expression" priority="9" aboveAverage="0" equalAverage="0" bottom="0" percent="0" rank="0" text="" dxfId="2">
      <formula>$O22="OK"</formula>
    </cfRule>
    <cfRule type="expression" priority="10" aboveAverage="0" equalAverage="0" bottom="0" percent="0" rank="0" text="" dxfId="0">
      <formula>$O22="Pendente há mais de 60 dias"</formula>
    </cfRule>
    <cfRule type="expression" priority="11" aboveAverage="0" equalAverage="0" bottom="0" percent="0" rank="0" text="" dxfId="3">
      <formula>LEN($O22)&gt;0</formula>
    </cfRule>
  </conditionalFormatting>
  <conditionalFormatting sqref="Q32:Q34">
    <cfRule type="expression" priority="12" aboveAverage="0" equalAverage="0" bottom="0" percent="0" rank="0" text="" dxfId="2">
      <formula>Q32="OK"</formula>
    </cfRule>
    <cfRule type="expression" priority="13" aboveAverage="0" equalAverage="0" bottom="0" percent="0" rank="0" text="" dxfId="0">
      <formula>Q32="Prazo aceito menor que o mínimo"</formula>
    </cfRule>
    <cfRule type="expression" priority="14" aboveAverage="0" equalAverage="0" bottom="0" percent="0" rank="0" text="" dxfId="3">
      <formula>LEN(Q32)&gt;0</formula>
    </cfRule>
  </conditionalFormatting>
  <conditionalFormatting sqref="O38:O45">
    <cfRule type="expression" priority="15" aboveAverage="0" equalAverage="0" bottom="0" percent="0" rank="0" text="" dxfId="2">
      <formula>O38="No prazo"</formula>
    </cfRule>
    <cfRule type="expression" priority="16" aboveAverage="0" equalAverage="0" bottom="0" percent="0" rank="0" text="" dxfId="0">
      <formula>O38="Fora do prazo"</formula>
    </cfRule>
    <cfRule type="expression" priority="17" aboveAverage="0" equalAverage="0" bottom="0" percent="0" rank="0" text="" dxfId="1">
      <formula>O38="Aberto no prazo"</formula>
    </cfRule>
    <cfRule type="expression" priority="18" aboveAverage="0" equalAverage="0" bottom="0" percent="0" rank="0" text="" dxfId="0">
      <formula>O38="Aberto e atrasado"</formula>
    </cfRule>
  </conditionalFormatting>
  <conditionalFormatting sqref="P38:Q45">
    <cfRule type="expression" priority="19" aboveAverage="0" equalAverage="0" bottom="0" percent="0" rank="0" text="" dxfId="2">
      <formula>OR($P38="OK")</formula>
    </cfRule>
    <cfRule type="expression" priority="20" aboveAverage="0" equalAverage="0" bottom="0" percent="0" rank="0" text="" dxfId="3">
      <formula>AND(LEN($P38)&gt;0,NOT(OR($P38="OK")))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9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2026-10-04T17:10:53Z</dcterms:created>
  <dc:creator>Modelo Conhecimento</dc:creator>
  <dc:description/>
  <dc:language>pt-BR</dc:language>
  <cp:lastModifiedBy/>
  <dcterms:modified xsi:type="dcterms:W3CDTF">2026-10-04T17:10:54Z</dcterms:modified>
  <cp:revision>0</cp:revision>
  <dc:subject/>
  <dc:title>Conhecimento organizacional e pós-entrega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