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Coleta" sheetId="2" state="visible" r:id="rId4"/>
    <sheet name="Folha" sheetId="3" state="visible" r:id="rId5"/>
    <sheet name="Pareto" sheetId="4" state="visible" r:id="rId6"/>
    <sheet name="Antes e depois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4" name="_xlnm.Print_Area" vbProcedure="false">'Antes e depois'!$B$1:$I$46</definedName>
    <definedName function="false" hidden="false" localSheetId="5" name="_xlnm.Print_Area" vbProcedure="false">Checklist!$B$1:$E$24</definedName>
    <definedName function="false" hidden="false" localSheetId="1" name="_xlnm.Print_Area" vbProcedure="false">Coleta!$B$1:$F$26</definedName>
    <definedName function="false" hidden="false" localSheetId="6" name="_xlnm.Print_Area" vbProcedure="false">'Exemplo 1 - Pizzaria'!$B$1:$L$63</definedName>
    <definedName function="false" hidden="false" localSheetId="7" name="_xlnm.Print_Area" vbProcedure="false">'Exemplo 2 - Compras'!$B$1:$L$66</definedName>
    <definedName function="false" hidden="false" localSheetId="2" name="_xlnm.Print_Area" vbProcedure="false">Folha!$B$1:$L$24</definedName>
    <definedName function="false" hidden="false" localSheetId="0" name="_xlnm.Print_Area" vbProcedure="false">Instruções!$B$1:$C$41</definedName>
    <definedName function="false" hidden="false" localSheetId="3" name="_xlnm.Print_Area" vbProcedure="false">Pareto!$B$1:$G$44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5" authorId="0">
      <text>
        <r>
          <rPr>
            <sz val="10"/>
            <rFont val="Arial"/>
            <family val="2"/>
          </rPr>
          <t xml:space="preserve">Uma unidade e um critério. Ex.: entregas de delivery que chegaram depois de 40 minutos, pelo motivo principal.</t>
        </r>
      </text>
    </comment>
    <comment ref="B8" authorId="0">
      <text>
        <r>
          <rPr>
            <sz val="10"/>
            <rFont val="Arial"/>
            <family val="2"/>
          </rPr>
          <t xml:space="preserve">Opcional. Com a base, a planilha calcula a taxa por 100 e permite comparar períodos de tamanhos diferentes.</t>
        </r>
      </text>
    </comment>
    <comment ref="D11" authorId="0">
      <text>
        <r>
          <rPr>
            <sz val="10"/>
            <rFont val="Arial"/>
            <family val="2"/>
          </rPr>
          <t xml:space="preserve">Teste a definição: duas pessoas, lendo o mesmo caso, precisam pôr o traço na mesma linha.</t>
        </r>
      </text>
    </comment>
    <comment ref="E11" authorId="0">
      <text>
        <r>
          <rPr>
            <sz val="10"/>
            <rFont val="Arial"/>
            <family val="2"/>
          </rPr>
          <t xml:space="preserve">Preencha quando as ocorrências não custam o mesmo. Na aba Pareto, troque a base para “Frequência × peso”.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6" authorId="0">
      <text>
        <r>
          <rPr>
            <sz val="10"/>
            <rFont val="Arial"/>
            <family val="2"/>
          </rPr>
          <t xml:space="preserve">Escreva aqui o nome de cada coluna: Seg, Ter, Qua… ou Manhã, Tarde, Noite… ou o nome de cada área.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4" authorId="0">
      <text>
        <r>
          <rPr>
            <sz val="10"/>
            <rFont val="Arial"/>
            <family val="2"/>
          </rPr>
          <t xml:space="preserve">Use “Frequência × peso” quando as ocorrências não custam o mesmo. O peso de cada categoria fica na aba Coleta.</t>
        </r>
      </text>
    </comment>
    <comment ref="G7" authorId="0">
      <text>
        <r>
          <rPr>
            <sz val="10"/>
            <rFont val="Arial"/>
            <family val="2"/>
          </rPr>
          <t xml:space="preserve">Prioridade: a categoria começa antes de 80% do acumulado. A decisão é da equipe, e considera também o custo e a facilidade de agir.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Com as duas bases informadas, esta coluna mostra as ocorrências por 100 da base. Sem elas, repete a contagem.</t>
        </r>
      </text>
    </comment>
  </commentList>
</comments>
</file>

<file path=xl/sharedStrings.xml><?xml version="1.0" encoding="utf-8"?>
<sst xmlns="http://schemas.openxmlformats.org/spreadsheetml/2006/main" count="337" uniqueCount="223">
  <si>
    <t xml:space="preserve">Pareto e folha de verificação — Como usar esta planilha</t>
  </si>
  <si>
    <t xml:space="preserve">Modelo para planejar a coleta, lançar as contagens, ordenar as categorias e comparar o antes com o depois.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</si>
  <si>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</si>
  <si>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</si>
  <si>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</si>
  <si>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</si>
  <si>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totais, ordem, acumulado, classes,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</si>
  <si>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</si>
  <si>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</si>
  <si>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</si>
  <si>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A base do Pareto e o status do checklist aceitam apenas as opções da lista. As contagens aceitam números inteiros.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</si>
  <si>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</si>
  <si>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</si>
  <si>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</si>
  <si>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Ordem</t>
  </si>
  <si>
    <t xml:space="preserve">As categorias são ordenadas do maior valor para o menor. No empate, vale a ordem da aba Coleta. “Outros” fica sempre por último.</t>
  </si>
  <si>
    <t xml:space="preserve">Parte e acumulado</t>
  </si>
  <si>
    <t xml:space="preserve">Parte do total = valor da categoria ÷ total. Acumulado = soma das partes, da primeira categoria até a atual.</t>
  </si>
  <si>
    <t xml:space="preserve">Classe</t>
  </si>
  <si>
    <t xml:space="preserve">Prioridade: a categoria começa antes de 80% do acumulado, e por isso entra a que cruza o corte. Depois: começa em 80% ou mais.</t>
  </si>
  <si>
    <t xml:space="preserve">Base do Pareto</t>
  </si>
  <si>
    <t xml:space="preserve">Frequência: o valor é a contagem. Frequência × peso: o valor é a contagem vezes o peso por ocorrência da aba Coleta (custo, tempo, quilos).</t>
  </si>
  <si>
    <t xml:space="preserve">Taxa</t>
  </si>
  <si>
    <t xml:space="preserve">Ocorrências ÷ base × 100. A base é o número de oportunidades do período: entregas, requisições, peças.</t>
  </si>
  <si>
    <t xml:space="preserve">Avisos</t>
  </si>
  <si>
    <t xml:space="preserve">Menos de 50 ocorrências: poucos dados. “Outros” acima de 10%: abrir em categorias. Duas primeiras barras abaixo de 50%, com quatro categorias ou mais: Pareto plano.</t>
  </si>
  <si>
    <t xml:space="preserve">Ordem recomendada de preenchimento</t>
  </si>
  <si>
    <t xml:space="preserve">Passo 1</t>
  </si>
  <si>
    <t xml:space="preserve">Aba Coleta: escreva o que se conta, o período, quem registra e a base. Cadastre as categorias, cada uma com a sua definição.</t>
  </si>
  <si>
    <t xml:space="preserve">Passo 2</t>
  </si>
  <si>
    <t xml:space="preserve">Aba Folha: escreva o fator das colunas (dia, turno, área) e lance as contagens do período.</t>
  </si>
  <si>
    <t xml:space="preserve">Passo 3</t>
  </si>
  <si>
    <t xml:space="preserve">Aba Pareto: leia a ordem, o acumulado, a classe e o aviso. Troque a base para frequência × peso, se as ocorrências não custam o mesmo.</t>
  </si>
  <si>
    <t xml:space="preserve">Passo 4</t>
  </si>
  <si>
    <t xml:space="preserve">Leve as categorias da prioridade para a análise de causa, e registre a decisão.</t>
  </si>
  <si>
    <t xml:space="preserve">Passo 5</t>
  </si>
  <si>
    <t xml:space="preserve">Aba Antes e depois: depois da ação, lance a nova contagem e a nova base, e leia a variação.</t>
  </si>
  <si>
    <t xml:space="preserve">Passo 6</t>
  </si>
  <si>
    <t xml:space="preserve">Aba Checklist: valide a análise.</t>
  </si>
  <si>
    <t xml:space="preserve">Abas da planilha</t>
  </si>
  <si>
    <t xml:space="preserve">Coleta</t>
  </si>
  <si>
    <t xml:space="preserve">O plano da coleta e até 8 categorias, com definição e peso. “Outros” já está na lista.</t>
  </si>
  <si>
    <t xml:space="preserve">Folha</t>
  </si>
  <si>
    <t xml:space="preserve">As contagens por categoria, em até 7 colunas do segundo fator. Calcula os totais e a coluna com mais ocorrências.</t>
  </si>
  <si>
    <t xml:space="preserve">Pareto</t>
  </si>
  <si>
    <t xml:space="preserve">A ordem, a parte do total, o acumulado, a classe, o aviso e o gráfico.</t>
  </si>
  <si>
    <t xml:space="preserve">Antes e depois</t>
  </si>
  <si>
    <t xml:space="preserve">A contagem feita depois da ação. Calcula a taxa, a variação e a primeira categoria de agora.</t>
  </si>
  <si>
    <t xml:space="preserve">Checklist</t>
  </si>
  <si>
    <t xml:space="preserve">Doze verificações de qualidade da análise, com percentual de conclusão.</t>
  </si>
  <si>
    <t xml:space="preserve">Exemplo 1 - Pizzaria</t>
  </si>
  <si>
    <t xml:space="preserve">Os atrasos nas entregas, por motivo e por dia da semana, com o antes e o depois.</t>
  </si>
  <si>
    <t xml:space="preserve">Exemplo 2 - Compras</t>
  </si>
  <si>
    <t xml:space="preserve">As requisições devolvidas, por motivo e por área requisitante.</t>
  </si>
  <si>
    <t xml:space="preserve">Regras e premissas do modelo</t>
  </si>
  <si>
    <t xml:space="preserve">Categorias</t>
  </si>
  <si>
    <t xml:space="preserve">De quatro a oito, mais “Outros”. Com mais do que isso, junte as menores em “Outros” ou faça um segundo Pareto da primeira barra.</t>
  </si>
  <si>
    <t xml:space="preserve">Folha impressa</t>
  </si>
  <si>
    <t xml:space="preserve">A contagem é feita no papel, na hora, com um traço por ocorrência. A planilha recebe os totais do período.</t>
  </si>
  <si>
    <t xml:space="preserve">Gráfico</t>
  </si>
  <si>
    <t xml:space="preserve">As barras mostram a parte de cada categoria, e a linha, o acumulado, na mesma régua de 0 a 100%. A coluna “Linha do gráfico” fica vazia nas posições sem categoria.</t>
  </si>
  <si>
    <t xml:space="preserve">Exemplos</t>
  </si>
  <si>
    <t xml:space="preserve">Os dados das abas de exemplo são ilustrativos, criados para este material.</t>
  </si>
  <si>
    <t xml:space="preserve">O plano da coleta</t>
  </si>
  <si>
    <t xml:space="preserve">Defina o que será contado, onde, quando e por quem. Cada categoria precisa de uma definição escrita.</t>
  </si>
  <si>
    <t xml:space="preserve">Organização e processo</t>
  </si>
  <si>
    <t xml:space="preserve">O que se conta (unidade e critério)</t>
  </si>
  <si>
    <t xml:space="preserve">Onde e em que período</t>
  </si>
  <si>
    <t xml:space="preserve">Quem registra, e como</t>
  </si>
  <si>
    <t xml:space="preserve">Base: oportunidades no período</t>
  </si>
  <si>
    <t xml:space="preserve">Nome da base (entregas, requisições, peças)</t>
  </si>
  <si>
    <t xml:space="preserve">#</t>
  </si>
  <si>
    <t xml:space="preserve">Categoria</t>
  </si>
  <si>
    <t xml:space="preserve">Definição: conta quando…</t>
  </si>
  <si>
    <t xml:space="preserve">Peso por ocorrência</t>
  </si>
  <si>
    <t xml:space="preserve">Conferência</t>
  </si>
  <si>
    <t xml:space="preserve">Nome curto, com as mesmas palavras sempre</t>
  </si>
  <si>
    <t xml:space="preserve">A regra que decide se a ocorrência entra nesta categoria</t>
  </si>
  <si>
    <t xml:space="preserve">Opcional: custo, tempo ou quilos</t>
  </si>
  <si>
    <t xml:space="preserve">Calculada</t>
  </si>
  <si>
    <t xml:space="preserve">Ex.</t>
  </si>
  <si>
    <t xml:space="preserve">Fila no forno</t>
  </si>
  <si>
    <t xml:space="preserve">O pedido esperou mais de 10 minutos para entrar no forno.</t>
  </si>
  <si>
    <t xml:space="preserve">OK</t>
  </si>
  <si>
    <t xml:space="preserve">—</t>
  </si>
  <si>
    <t xml:space="preserve">Outros</t>
  </si>
  <si>
    <t xml:space="preserve">O que não cabe nas categorias acima. Anotar o motivo ao lado do traço.</t>
  </si>
  <si>
    <t xml:space="preserve">Fica sempre por último</t>
  </si>
  <si>
    <t xml:space="preserve">Resumo automático</t>
  </si>
  <si>
    <t xml:space="preserve">Categorias cadastradas</t>
  </si>
  <si>
    <t xml:space="preserve">Aviso</t>
  </si>
  <si>
    <t xml:space="preserve">Folha de verificação</t>
  </si>
  <si>
    <t xml:space="preserve">Lance os totais do período, por categoria e por coluna. As categorias vêm da aba Coleta.</t>
  </si>
  <si>
    <t xml:space="preserve">Fator das colunas</t>
  </si>
  <si>
    <t xml:space="preserve">Dia da semana, turno, área, máquina, produto.</t>
  </si>
  <si>
    <t xml:space="preserve">Total</t>
  </si>
  <si>
    <t xml:space="preserve">Parte do total</t>
  </si>
  <si>
    <t xml:space="preserve">Vem da aba Coleta</t>
  </si>
  <si>
    <t xml:space="preserve">Contagem</t>
  </si>
  <si>
    <t xml:space="preserve">Calculado</t>
  </si>
  <si>
    <t xml:space="preserve">Ocorrências registradas</t>
  </si>
  <si>
    <t xml:space="preserve">Coluna com mais ocorrências</t>
  </si>
  <si>
    <t xml:space="preserve">Ocorrências por 100 da base</t>
  </si>
  <si>
    <t xml:space="preserve">Gráfico de Pareto</t>
  </si>
  <si>
    <t xml:space="preserve">A ordem, a parte do total e o acumulado são calculados a partir da aba Folha. Escolha só a base.</t>
  </si>
  <si>
    <t xml:space="preserve">Frequência</t>
  </si>
  <si>
    <t xml:space="preserve">Escolha na lista.</t>
  </si>
  <si>
    <t xml:space="preserve">O que se conta</t>
  </si>
  <si>
    <t xml:space="preserve">Base de cálculo: não altere</t>
  </si>
  <si>
    <t xml:space="preserve">Valor</t>
  </si>
  <si>
    <t xml:space="preserve">Acumulado</t>
  </si>
  <si>
    <t xml:space="preserve">Categoria, na ordem da folha</t>
  </si>
  <si>
    <t xml:space="preserve">Chave de ordem</t>
  </si>
  <si>
    <t xml:space="preserve">Posição</t>
  </si>
  <si>
    <t xml:space="preserve">Linha do gráfico</t>
  </si>
  <si>
    <t xml:space="preserve">Corte</t>
  </si>
  <si>
    <t xml:space="preserve">Categorias com valor</t>
  </si>
  <si>
    <t xml:space="preserve">Primeira categoria</t>
  </si>
  <si>
    <t xml:space="preserve">Prioridade</t>
  </si>
  <si>
    <t xml:space="preserve">Depois da ação, conte de novo com as mesmas categorias. O antes vem da aba Folha.</t>
  </si>
  <si>
    <t xml:space="preserve">Período do antes</t>
  </si>
  <si>
    <t xml:space="preserve">Período do depois</t>
  </si>
  <si>
    <t xml:space="preserve">Base do antes</t>
  </si>
  <si>
    <t xml:space="preserve">Vem da aba Coleta.</t>
  </si>
  <si>
    <t xml:space="preserve">Base do depois</t>
  </si>
  <si>
    <t xml:space="preserve">Como a comparação é feita. Com as duas bases, pela taxa.</t>
  </si>
  <si>
    <t xml:space="preserve">Antes</t>
  </si>
  <si>
    <t xml:space="preserve">Depois</t>
  </si>
  <si>
    <t xml:space="preserve">Antes, comparável</t>
  </si>
  <si>
    <t xml:space="preserve">Depois, comparável</t>
  </si>
  <si>
    <t xml:space="preserve">Variação</t>
  </si>
  <si>
    <t xml:space="preserve">Leitura</t>
  </si>
  <si>
    <t xml:space="preserve">Da aba Folha</t>
  </si>
  <si>
    <t xml:space="preserve">Nova contagem</t>
  </si>
  <si>
    <t xml:space="preserve">Por 100, ou contagem</t>
  </si>
  <si>
    <t xml:space="preserve">Variação do total</t>
  </si>
  <si>
    <t xml:space="preserve">Primeira categoria do antes</t>
  </si>
  <si>
    <t xml:space="preserve">Primeira categoria de agora</t>
  </si>
  <si>
    <t xml:space="preserve">Checklist do Pareto e da folha de verificação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</si>
  <si>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</si>
  <si>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</si>
  <si>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</si>
  <si>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</si>
  <si>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 problema a contar está definido, com unidade: entrega atrasada, requisição devolvida, peça reprovada.</t>
  </si>
  <si>
    <t xml:space="preserve">Cada categoria tem definição escrita, e duas pessoas classificam o mesmo caso do mesmo jeito.</t>
  </si>
  <si>
    <t xml:space="preserve">A folha de verificação informa o que se conta, onde, em que período e quem registra.</t>
  </si>
  <si>
    <t xml:space="preserve">O registro é feito na hora, por quem vê a ocorrência, e não de memória no fim do dia.</t>
  </si>
  <si>
    <t xml:space="preserve">A folha guarda um segundo fator: dia, turno, área, máquina ou produto.</t>
  </si>
  <si>
    <t xml:space="preserve">Há pelo menos 50 ocorrências no período, ou o período foi ampliado.</t>
  </si>
  <si>
    <t xml:space="preserve">As barras estão em ordem decrescente, com “Outros” por último.</t>
  </si>
  <si>
    <t xml:space="preserve">“Outros” não passa de 10% do total. Se passa, foi aberto em categorias.</t>
  </si>
  <si>
    <t xml:space="preserve">O gráfico mostra o total, o período e a base, e o eixo da esquerda vai até o total.</t>
  </si>
  <si>
    <t xml:space="preserve">O Pareto foi feito também por custo, tempo ou gravidade, quando as ocorrências não pesam igual.</t>
  </si>
  <si>
    <t xml:space="preserve">As primeiras barras seguiram para a análise de causa, e a decisão está registrada.</t>
  </si>
  <si>
    <t xml:space="preserve">Depois da ação, a contagem foi repetida com as mesmas categorias, e a comparação usa a taxa.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</si>
  <si>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</si>
  <si>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</si>
  <si>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</si>
  <si>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</si>
  <si>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</si>
  <si>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Situação</t>
  </si>
  <si>
    <t xml:space="preserve">Pareto e folha de verificação</t>
  </si>
  <si>
    <t xml:space="preserve">Exemplo preenchido, para consulta. Use as abas Coleta, Folha, Pareto e Antes e depois para a sua organização.</t>
  </si>
  <si>
    <t xml:space="preserve">Organização</t>
  </si>
  <si>
    <t xml:space="preserve">Pizzaria (loja com salão e delivery)</t>
  </si>
  <si>
    <t xml:space="preserve">Entregas de delivery que chegaram depois de 40 minutos, pelo motivo principal do atraso.</t>
  </si>
  <si>
    <t xml:space="preserve">Período e fonte</t>
  </si>
  <si>
    <t xml:space="preserve">De 15/06 a 09/07/2026, todos os dias. Folha na bancada da expedição.</t>
  </si>
  <si>
    <t xml:space="preserve">Como se registra</t>
  </si>
  <si>
    <t xml:space="preserve">Um traço por entrega atrasada, feito quando o entregador volta e informa o motivo.</t>
  </si>
  <si>
    <t xml:space="preserve">Análise</t>
  </si>
  <si>
    <t xml:space="preserve">10/07/2026, por líder da expedição. Base: 1.110 entregas.</t>
  </si>
  <si>
    <t xml:space="preserve">Origem</t>
  </si>
  <si>
    <t xml:space="preserve">Ciclo PDCA dos atrasos nas entregas: etapa de observação do problema.</t>
  </si>
  <si>
    <t xml:space="preserve">Folha do período · dia da semana nas colunas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</si>
  <si>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</si>
  <si>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</si>
  <si>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</si>
  <si>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</si>
  <si>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</si>
  <si>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</si>
  <si>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</si>
  <si>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Pizza pronta esperando entregador</t>
  </si>
  <si>
    <t xml:space="preserve">Endereço incompleto</t>
  </si>
  <si>
    <t xml:space="preserve">Trânsito ou obras</t>
  </si>
  <si>
    <t xml:space="preserve">Pareto por motivo do atraso</t>
  </si>
  <si>
    <t xml:space="preserve">Motivo principal</t>
  </si>
  <si>
    <t xml:space="preserve">Atrasos</t>
  </si>
  <si>
    <t xml:space="preserve">Parte</t>
  </si>
  <si>
    <t xml:space="preserve">Por 100 entregas</t>
  </si>
  <si>
    <t xml:space="preserve">Antes e depois · depois: de 10/08 a 06/09/2026, com 1.380 entregas</t>
  </si>
  <si>
    <t xml:space="preserve">Antes por 100</t>
  </si>
  <si>
    <t xml:space="preserve">Depois por 100</t>
  </si>
  <si>
    <t xml:space="preserve">Atrasos no período do antes</t>
  </si>
  <si>
    <t xml:space="preserve">Atrasos por 100 entregas, antes e depois</t>
  </si>
  <si>
    <t xml:space="preserve">Distribuidora de materiais elétricos · Compras</t>
  </si>
  <si>
    <t xml:space="preserve">Requisições de compra devolvidas ao requisitante, pelo motivo da devolução.</t>
  </si>
  <si>
    <t xml:space="preserve">De dezembro de 2025 a maio de 2026. Dados do sistema de compras, conferidos uma a uma.</t>
  </si>
  <si>
    <t xml:space="preserve">Uma linha por requisição devolvida, com o motivo lido no campo de observação do comprador.</t>
  </si>
  <si>
    <t xml:space="preserve">19/06/2026, por analista de compras. Base: 250 requisições.</t>
  </si>
  <si>
    <t xml:space="preserve">Ciclo PDCA do prazo de compra: etapa de observação do problema.</t>
  </si>
  <si>
    <t xml:space="preserve">Folha do período · área requisitante nas colunas</t>
  </si>
  <si>
    <t xml:space="preserve">Manutenção</t>
  </si>
  <si>
    <t xml:space="preserve">Produção</t>
  </si>
  <si>
    <t xml:space="preserve">Laboratório</t>
  </si>
  <si>
    <t xml:space="preserve">Logística</t>
  </si>
  <si>
    <t xml:space="preserve">Administrativo</t>
  </si>
  <si>
    <t xml:space="preserve">Especificação técnica em branco</t>
  </si>
  <si>
    <t xml:space="preserve">Quantidade ou unidade em branco</t>
  </si>
  <si>
    <t xml:space="preserve">Centro de custo em branco</t>
  </si>
  <si>
    <t xml:space="preserve">Descrição não identifica o item</t>
  </si>
  <si>
    <t xml:space="preserve">Falta a aprovação do gestor</t>
  </si>
  <si>
    <t xml:space="preserve">Pareto por motivo da devolução</t>
  </si>
  <si>
    <t xml:space="preserve">Motivo</t>
  </si>
  <si>
    <t xml:space="preserve">Devoluções</t>
  </si>
  <si>
    <t xml:space="preserve">Por 100 requisições</t>
  </si>
  <si>
    <t xml:space="preserve">Pareto por área requisitante · as colunas da mesma folha, com as requisições de cada área</t>
  </si>
  <si>
    <t xml:space="preserve">Área requisitante</t>
  </si>
  <si>
    <t xml:space="preserve">Requisições</t>
  </si>
  <si>
    <t xml:space="preserve">Devoluções no período</t>
  </si>
  <si>
    <t xml:space="preserve">Campos em branco: as três primeiras categorias</t>
  </si>
  <si>
    <t xml:space="preserve">Área com mais devoluções</t>
  </si>
  <si>
    <t xml:space="preserve">Área com a maior taxa de devolução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</si>
</sst>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%"/>
    <numFmt numFmtId="167" formatCode="0.0"/>
    <numFmt numFmtId="168" formatCode="#,##0.##"/>
    <numFmt numFmtId="169" formatCode="0.000000"/>
    <numFmt numFmtId="170" formatCode="#,##0"/>
    <numFmt numFmtId="171" formatCode="\+0%;\-0%;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9"/>
      <color rgb="FFEEF1F3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BEBC8"/>
      </patternFill>
    </fill>
    <fill>
      <patternFill patternType="solid">
        <fgColor rgb="FF5B6B76"/>
        <bgColor rgb="FF808080"/>
      </patternFill>
    </fill>
    <fill>
      <patternFill patternType="solid">
        <fgColor rgb="FFFFFFFF"/>
        <bgColor rgb="FFFFF9DB"/>
      </patternFill>
    </fill>
    <fill>
      <patternFill patternType="solid">
        <fgColor rgb="FFA96A12"/>
        <bgColor rgb="FFB0413E"/>
      </patternFill>
    </fill>
    <fill>
      <patternFill patternType="solid">
        <fgColor rgb="FF1E7B73"/>
        <bgColor rgb="FF008080"/>
      </patternFill>
    </fill>
    <fill>
      <patternFill patternType="solid">
        <fgColor rgb="FFB0413E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DCE8F3"/>
        </patternFill>
      </fill>
    </dxf>
    <dxf>
      <font>
        <name val="Arial"/>
        <charset val="1"/>
        <family val="0"/>
        <color rgb="FF5B6B76"/>
        <sz val="9"/>
      </font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BABB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"Parte do total"</c:f>
              <c:strCache>
                <c:ptCount val="1"/>
                <c:pt idx="0">
                  <c:v>Parte do total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Pareto!$C$8:$C$16</c:f>
              <c:strCache>
                <c:ptCount val="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Pareto!$E$8:$E$16</c:f>
              <c:numCache>
                <c:formatCode>General</c:formatCode>
                <c:ptCount val="9"/>
              </c:numCache>
            </c:numRef>
          </c:val>
        </c:ser>
        <c:gapWidth val="50"/>
        <c:overlap val="0"/>
        <c:axId val="78367281"/>
        <c:axId val="84703246"/>
      </c:barChart>
      <c:lineChart>
        <c:grouping val="standard"/>
        <c:varyColors val="0"/>
        <c:ser>
          <c:idx val="1"/>
          <c:order val="1"/>
          <c:tx>
            <c:strRef>
              <c:f>"Acumulado"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16242e"/>
            </a:solidFill>
            <a:ln w="21960">
              <a:solidFill>
                <a:srgbClr val="16242e"/>
              </a:solidFill>
              <a:round/>
            </a:ln>
          </c:spPr>
          <c:marker>
            <c:symbol val="circle"/>
            <c:size val="7"/>
            <c:spPr>
              <a:solidFill>
                <a:srgbClr val="16242e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Pareto!$C$8:$C$16</c:f>
              <c:strCache>
                <c:ptCount val="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Pareto!$M$8:$M$16</c:f>
              <c:numCache>
                <c:formatCode>0%</c:formatCode>
                <c:ptCount val="9"/>
              </c:numCache>
            </c:numRef>
          </c:val>
          <c:smooth val="0"/>
        </c:ser>
        <c:ser>
          <c:idx val="2"/>
          <c:order val="2"/>
          <c:tx>
            <c:strRef>
              <c:f>"Corte de 80%"</c:f>
              <c:strCache>
                <c:ptCount val="1"/>
                <c:pt idx="0">
                  <c:v>Corte de 80%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Pareto!$C$8:$C$16</c:f>
              <c:strCache>
                <c:ptCount val="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Pareto!$N$8:$N$16</c:f>
              <c:numCache>
                <c:formatCode>0%</c:formatCode>
                <c:ptCount val="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367281"/>
        <c:axId val="84703246"/>
      </c:lineChart>
      <c:catAx>
        <c:axId val="783672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03246"/>
        <c:crosses val="autoZero"/>
        <c:auto val="1"/>
        <c:lblAlgn val="ctr"/>
        <c:lblOffset val="100"/>
        <c:noMultiLvlLbl val="0"/>
      </c:catAx>
      <c:valAx>
        <c:axId val="8470324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67281"/>
        <c:crosses val="autoZero"/>
        <c:crossBetween val="between"/>
        <c:majorUnit val="0.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"Antes"</c:f>
              <c:strCache>
                <c:ptCount val="1"/>
                <c:pt idx="0">
                  <c:v>Antes</c:v>
                </c:pt>
              </c:strCache>
            </c:strRef>
          </c:tx>
          <c:spPr>
            <a:solidFill>
              <a:srgbClr val="9babb6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'Antes e depois'!$C$11:$C$19</c:f>
              <c:strCache>
                <c:ptCount val="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>Outros</c:v>
                </c:pt>
              </c:strCache>
            </c:strRef>
          </c:cat>
          <c:val>
            <c:numRef>
              <c:f>'Antes e depois'!$F$11:$F$19</c:f>
              <c:numCache>
                <c:formatCode>0.0</c:formatCode>
                <c:ptCount val="9"/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"Depois"</c:f>
              <c:strCache>
                <c:ptCount val="1"/>
                <c:pt idx="0">
                  <c:v>Depois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'Antes e depois'!$C$11:$C$19</c:f>
              <c:strCache>
                <c:ptCount val="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>Outros</c:v>
                </c:pt>
              </c:strCache>
            </c:strRef>
          </c:cat>
          <c:val>
            <c:numRef>
              <c:f>'Antes e depois'!$G$11:$G$19</c:f>
              <c:numCache>
                <c:formatCode>General</c:formatCode>
                <c:ptCount val="9"/>
              </c:numCache>
            </c:numRef>
          </c:val>
        </c:ser>
        <c:gapWidth val="60"/>
        <c:overlap val="-10"/>
        <c:axId val="71705992"/>
        <c:axId val="62767530"/>
      </c:barChart>
      <c:catAx>
        <c:axId val="7170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67530"/>
        <c:crosses val="autoZero"/>
        <c:auto val="1"/>
        <c:lblAlgn val="ctr"/>
        <c:lblOffset val="100"/>
        <c:noMultiLvlLbl val="0"/>
      </c:catAx>
      <c:valAx>
        <c:axId val="6276753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059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"Parte do total"</c:f>
              <c:strCache>
                <c:ptCount val="1"/>
                <c:pt idx="0">
                  <c:v>Parte do total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Pizzaria'!$C$23:$C$27</c:f>
              <c:strCache>
                <c:ptCount val="5"/>
                <c:pt idx="0">
                  <c:v>Pizza pronta esperando entregador</c:v>
                </c:pt>
                <c:pt idx="1">
                  <c:v>Fila no forno</c:v>
                </c:pt>
                <c:pt idx="2">
                  <c:v>Endereço incompleto</c:v>
                </c:pt>
                <c:pt idx="3">
                  <c:v>Trânsito ou obras</c:v>
                </c:pt>
                <c:pt idx="4">
                  <c:v>Outros</c:v>
                </c:pt>
              </c:strCache>
            </c:strRef>
          </c:cat>
          <c:val>
            <c:numRef>
              <c:f>'Exemplo 1 - Pizzaria'!$E$23:$E$27</c:f>
              <c:numCache>
                <c:formatCode>0%</c:formatCode>
                <c:ptCount val="5"/>
                <c:pt idx="0">
                  <c:v>0.46</c:v>
                </c:pt>
                <c:pt idx="1">
                  <c:v>0.27</c:v>
                </c:pt>
                <c:pt idx="2">
                  <c:v>0.15</c:v>
                </c:pt>
                <c:pt idx="3">
                  <c:v>0.05</c:v>
                </c:pt>
                <c:pt idx="4">
                  <c:v>0.07</c:v>
                </c:pt>
              </c:numCache>
            </c:numRef>
          </c:val>
        </c:ser>
        <c:gapWidth val="50"/>
        <c:overlap val="0"/>
        <c:axId val="47223556"/>
        <c:axId val="92222937"/>
      </c:barChart>
      <c:lineChart>
        <c:grouping val="standard"/>
        <c:varyColors val="0"/>
        <c:ser>
          <c:idx val="1"/>
          <c:order val="1"/>
          <c:tx>
            <c:strRef>
              <c:f>"Acumulado"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16242e"/>
            </a:solidFill>
            <a:ln w="21960">
              <a:solidFill>
                <a:srgbClr val="16242e"/>
              </a:solidFill>
              <a:round/>
            </a:ln>
          </c:spPr>
          <c:marker>
            <c:symbol val="circle"/>
            <c:size val="7"/>
            <c:spPr>
              <a:solidFill>
                <a:srgbClr val="16242e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Pizzaria'!$C$23:$C$27</c:f>
              <c:strCache>
                <c:ptCount val="5"/>
                <c:pt idx="0">
                  <c:v>Pizza pronta esperando entregador</c:v>
                </c:pt>
                <c:pt idx="1">
                  <c:v>Fila no forno</c:v>
                </c:pt>
                <c:pt idx="2">
                  <c:v>Endereço incompleto</c:v>
                </c:pt>
                <c:pt idx="3">
                  <c:v>Trânsito ou obras</c:v>
                </c:pt>
                <c:pt idx="4">
                  <c:v>Outros</c:v>
                </c:pt>
              </c:strCache>
            </c:strRef>
          </c:cat>
          <c:val>
            <c:numRef>
              <c:f>'Exemplo 1 - Pizzaria'!$F$23:$F$27</c:f>
              <c:numCache>
                <c:formatCode>0%</c:formatCode>
                <c:ptCount val="5"/>
                <c:pt idx="0">
                  <c:v>0.46</c:v>
                </c:pt>
                <c:pt idx="1">
                  <c:v>0.73</c:v>
                </c:pt>
                <c:pt idx="2">
                  <c:v>0.88</c:v>
                </c:pt>
                <c:pt idx="3">
                  <c:v>0.93</c:v>
                </c:pt>
                <c:pt idx="4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"Corte de 80%"</c:f>
              <c:strCache>
                <c:ptCount val="1"/>
                <c:pt idx="0">
                  <c:v>Corte de 80%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Pizzaria'!$C$23:$C$27</c:f>
              <c:strCache>
                <c:ptCount val="5"/>
                <c:pt idx="0">
                  <c:v>Pizza pronta esperando entregador</c:v>
                </c:pt>
                <c:pt idx="1">
                  <c:v>Fila no forno</c:v>
                </c:pt>
                <c:pt idx="2">
                  <c:v>Endereço incompleto</c:v>
                </c:pt>
                <c:pt idx="3">
                  <c:v>Trânsito ou obras</c:v>
                </c:pt>
                <c:pt idx="4">
                  <c:v>Outros</c:v>
                </c:pt>
              </c:strCache>
            </c:strRef>
          </c:cat>
          <c:val>
            <c:numRef>
              <c:f>'Exemplo 1 - Pizzaria'!$I$23:$I$27</c:f>
              <c:numCache>
                <c:formatCode>0%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223556"/>
        <c:axId val="92222937"/>
      </c:lineChart>
      <c:catAx>
        <c:axId val="472235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22937"/>
        <c:crosses val="autoZero"/>
        <c:auto val="1"/>
        <c:lblAlgn val="ctr"/>
        <c:lblOffset val="100"/>
        <c:noMultiLvlLbl val="0"/>
      </c:catAx>
      <c:valAx>
        <c:axId val="9222293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23556"/>
        <c:crosses val="autoZero"/>
        <c:crossBetween val="between"/>
        <c:majorUnit val="0.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"Parte do total"</c:f>
              <c:strCache>
                <c:ptCount val="1"/>
                <c:pt idx="0">
                  <c:v>Parte do total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Compras'!$C$24:$C$29</c:f>
              <c:strCache>
                <c:ptCount val="6"/>
                <c:pt idx="0">
                  <c:v>Especificação técnica em branco</c:v>
                </c:pt>
                <c:pt idx="1">
                  <c:v>Quantidade ou unidade em branco</c:v>
                </c:pt>
                <c:pt idx="2">
                  <c:v>Centro de custo em branco</c:v>
                </c:pt>
                <c:pt idx="3">
                  <c:v>Descrição não identifica o item</c:v>
                </c:pt>
                <c:pt idx="4">
                  <c:v>Falta a aprovação do gestor</c:v>
                </c:pt>
                <c:pt idx="5">
                  <c:v>Outros</c:v>
                </c:pt>
              </c:strCache>
            </c:strRef>
          </c:cat>
          <c:val>
            <c:numRef>
              <c:f>'Exemplo 2 - Compras'!$E$24:$E$29</c:f>
              <c:numCache>
                <c:formatCode>0%</c:formatCode>
                <c:ptCount val="6"/>
                <c:pt idx="0">
                  <c:v>0.38</c:v>
                </c:pt>
                <c:pt idx="1">
                  <c:v>0.19</c:v>
                </c:pt>
                <c:pt idx="2">
                  <c:v>0.15</c:v>
                </c:pt>
                <c:pt idx="3">
                  <c:v>0.13</c:v>
                </c:pt>
                <c:pt idx="4">
                  <c:v>0.08</c:v>
                </c:pt>
                <c:pt idx="5">
                  <c:v>0.07</c:v>
                </c:pt>
              </c:numCache>
            </c:numRef>
          </c:val>
        </c:ser>
        <c:gapWidth val="50"/>
        <c:overlap val="0"/>
        <c:axId val="68536233"/>
        <c:axId val="15037926"/>
      </c:barChart>
      <c:lineChart>
        <c:grouping val="standard"/>
        <c:varyColors val="0"/>
        <c:ser>
          <c:idx val="1"/>
          <c:order val="1"/>
          <c:tx>
            <c:strRef>
              <c:f>"Acumulado"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16242e"/>
            </a:solidFill>
            <a:ln w="21960">
              <a:solidFill>
                <a:srgbClr val="16242e"/>
              </a:solidFill>
              <a:round/>
            </a:ln>
          </c:spPr>
          <c:marker>
            <c:symbol val="circle"/>
            <c:size val="7"/>
            <c:spPr>
              <a:solidFill>
                <a:srgbClr val="16242e"/>
              </a:solidFill>
            </c:spPr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Compras'!$C$24:$C$29</c:f>
              <c:strCache>
                <c:ptCount val="6"/>
                <c:pt idx="0">
                  <c:v>Especificação técnica em branco</c:v>
                </c:pt>
                <c:pt idx="1">
                  <c:v>Quantidade ou unidade em branco</c:v>
                </c:pt>
                <c:pt idx="2">
                  <c:v>Centro de custo em branco</c:v>
                </c:pt>
                <c:pt idx="3">
                  <c:v>Descrição não identifica o item</c:v>
                </c:pt>
                <c:pt idx="4">
                  <c:v>Falta a aprovação do gestor</c:v>
                </c:pt>
                <c:pt idx="5">
                  <c:v>Outros</c:v>
                </c:pt>
              </c:strCache>
            </c:strRef>
          </c:cat>
          <c:val>
            <c:numRef>
              <c:f>'Exemplo 2 - Compras'!$F$24:$F$29</c:f>
              <c:numCache>
                <c:formatCode>0%</c:formatCode>
                <c:ptCount val="6"/>
                <c:pt idx="0">
                  <c:v>0.38</c:v>
                </c:pt>
                <c:pt idx="1">
                  <c:v>0.57</c:v>
                </c:pt>
                <c:pt idx="2">
                  <c:v>0.72</c:v>
                </c:pt>
                <c:pt idx="3">
                  <c:v>0.85</c:v>
                </c:pt>
                <c:pt idx="4">
                  <c:v>0.93</c:v>
                </c:pt>
                <c:pt idx="5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"Corte de 80%"</c:f>
              <c:strCache>
                <c:ptCount val="1"/>
                <c:pt idx="0">
                  <c:v>Corte de 80%</c:v>
                </c:pt>
              </c:strCache>
            </c:strRef>
          </c:tx>
          <c:spPr>
            <a:solidFill>
              <a:srgbClr val="5b6b76"/>
            </a:solidFill>
            <a:ln w="12600">
              <a:solidFill>
                <a:srgbClr val="5b6b7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Compras'!$C$24:$C$29</c:f>
              <c:strCache>
                <c:ptCount val="6"/>
                <c:pt idx="0">
                  <c:v>Especificação técnica em branco</c:v>
                </c:pt>
                <c:pt idx="1">
                  <c:v>Quantidade ou unidade em branco</c:v>
                </c:pt>
                <c:pt idx="2">
                  <c:v>Centro de custo em branco</c:v>
                </c:pt>
                <c:pt idx="3">
                  <c:v>Descrição não identifica o item</c:v>
                </c:pt>
                <c:pt idx="4">
                  <c:v>Falta a aprovação do gestor</c:v>
                </c:pt>
                <c:pt idx="5">
                  <c:v>Outros</c:v>
                </c:pt>
              </c:strCache>
            </c:strRef>
          </c:cat>
          <c:val>
            <c:numRef>
              <c:f>'Exemplo 2 - Compras'!$I$24:$I$29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8536233"/>
        <c:axId val="15037926"/>
      </c:lineChart>
      <c:catAx>
        <c:axId val="685362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37926"/>
        <c:crosses val="autoZero"/>
        <c:auto val="1"/>
        <c:lblAlgn val="ctr"/>
        <c:lblOffset val="100"/>
        <c:noMultiLvlLbl val="0"/>
      </c:catAx>
      <c:valAx>
        <c:axId val="1503792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36233"/>
        <c:crosses val="autoZero"/>
        <c:crossBetween val="between"/>
        <c:majorUnit val="0.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6</xdr:col>
      <xdr:colOff>915840</xdr:colOff>
      <xdr:row>41</xdr:row>
      <xdr:rowOff>1080</xdr:rowOff>
    </xdr:to>
    <xdr:graphicFrame>
      <xdr:nvGraphicFramePr>
        <xdr:cNvPr id="0" name="Chart 1"/>
        <xdr:cNvGraphicFramePr/>
      </xdr:nvGraphicFramePr>
      <xdr:xfrm>
        <a:off x="141120" y="6524640"/>
        <a:ext cx="6695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7</xdr:col>
      <xdr:colOff>746640</xdr:colOff>
      <xdr:row>43</xdr:row>
      <xdr:rowOff>11520</xdr:rowOff>
    </xdr:to>
    <xdr:graphicFrame>
      <xdr:nvGraphicFramePr>
        <xdr:cNvPr id="1" name="Chart 1"/>
        <xdr:cNvGraphicFramePr/>
      </xdr:nvGraphicFramePr>
      <xdr:xfrm>
        <a:off x="141120" y="7458120"/>
        <a:ext cx="70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8</xdr:col>
      <xdr:colOff>589320</xdr:colOff>
      <xdr:row>45</xdr:row>
      <xdr:rowOff>11880</xdr:rowOff>
    </xdr:to>
    <xdr:graphicFrame>
      <xdr:nvGraphicFramePr>
        <xdr:cNvPr id="2" name="Chart 1"/>
        <xdr:cNvGraphicFramePr/>
      </xdr:nvGraphicFramePr>
      <xdr:xfrm>
        <a:off x="141120" y="772488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8</xdr:col>
      <xdr:colOff>589320</xdr:colOff>
      <xdr:row>47</xdr:row>
      <xdr:rowOff>11520</xdr:rowOff>
    </xdr:to>
    <xdr:graphicFrame>
      <xdr:nvGraphicFramePr>
        <xdr:cNvPr id="3" name="Chart 1"/>
        <xdr:cNvGraphicFramePr/>
      </xdr:nvGraphicFramePr>
      <xdr:xfrm>
        <a:off x="141120" y="835344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31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6" customFormat="false" ht="31.5" hidden="false" customHeight="true" outlineLevel="0" collapsed="false">
      <c r="B16" s="4" t="s">
        <v>22</v>
      </c>
      <c r="C16" s="7" t="s">
        <v>23</v>
      </c>
    </row>
    <row r="17" customFormat="false" ht="31.5" hidden="false" customHeight="true" outlineLevel="0" collapsed="false">
      <c r="B17" s="4" t="s">
        <v>24</v>
      </c>
      <c r="C17" s="7" t="s">
        <v>25</v>
      </c>
    </row>
    <row r="19" customFormat="false" ht="21.75" hidden="false" customHeight="true" outlineLevel="0" collapsed="false">
      <c r="B19" s="3" t="s">
        <v>26</v>
      </c>
      <c r="C19" s="3"/>
    </row>
    <row r="20" customFormat="false" ht="31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7" customFormat="false" ht="21.75" hidden="false" customHeight="true" outlineLevel="0" collapsed="false">
      <c r="B27" s="3" t="s">
        <v>39</v>
      </c>
      <c r="C27" s="3"/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31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6" customFormat="false" ht="21.75" hidden="false" customHeight="true" outlineLevel="0" collapsed="false">
      <c r="B36" s="3" t="s">
        <v>54</v>
      </c>
      <c r="C36" s="3"/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19.5" hidden="false" customHeight="true" outlineLevel="0" collapsed="false">
      <c r="B40" s="4" t="s">
        <v>61</v>
      </c>
      <c r="C40" s="7" t="s">
        <v>62</v>
      </c>
    </row>
  </sheetData>
  <mergeCells count="7">
    <mergeCell ref="B1:C1"/>
    <mergeCell ref="B2:C2"/>
    <mergeCell ref="B4:C4"/>
    <mergeCell ref="B11:C11"/>
    <mergeCell ref="B19:C19"/>
    <mergeCell ref="B27:C27"/>
    <mergeCell ref="B36:C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5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63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64</v>
      </c>
      <c r="C2" s="2"/>
      <c r="D2" s="2"/>
      <c r="E2" s="2"/>
      <c r="F2" s="2"/>
    </row>
    <row r="4" customFormat="false" ht="21.75" hidden="false" customHeight="true" outlineLevel="0" collapsed="false">
      <c r="B4" s="4" t="s">
        <v>65</v>
      </c>
      <c r="C4" s="4"/>
      <c r="D4" s="5"/>
      <c r="E4" s="5"/>
      <c r="F4" s="5"/>
    </row>
    <row r="5" customFormat="false" ht="21.75" hidden="false" customHeight="true" outlineLevel="0" collapsed="false">
      <c r="B5" s="4" t="s">
        <v>66</v>
      </c>
      <c r="C5" s="4"/>
      <c r="D5" s="5"/>
      <c r="E5" s="5"/>
      <c r="F5" s="5"/>
    </row>
    <row r="6" customFormat="false" ht="21.75" hidden="false" customHeight="true" outlineLevel="0" collapsed="false">
      <c r="B6" s="4" t="s">
        <v>67</v>
      </c>
      <c r="C6" s="4"/>
      <c r="D6" s="5"/>
      <c r="E6" s="5"/>
      <c r="F6" s="5"/>
    </row>
    <row r="7" customFormat="false" ht="21.75" hidden="false" customHeight="true" outlineLevel="0" collapsed="false">
      <c r="B7" s="4" t="s">
        <v>68</v>
      </c>
      <c r="C7" s="4"/>
      <c r="D7" s="5"/>
      <c r="E7" s="5"/>
      <c r="F7" s="5"/>
    </row>
    <row r="8" customFormat="false" ht="21.75" hidden="false" customHeight="true" outlineLevel="0" collapsed="false">
      <c r="B8" s="4" t="s">
        <v>69</v>
      </c>
      <c r="C8" s="4"/>
      <c r="D8" s="5"/>
      <c r="E8" s="5"/>
      <c r="F8" s="5"/>
    </row>
    <row r="9" customFormat="false" ht="21.75" hidden="false" customHeight="true" outlineLevel="0" collapsed="false">
      <c r="B9" s="4" t="s">
        <v>70</v>
      </c>
      <c r="C9" s="4"/>
      <c r="D9" s="5"/>
      <c r="E9" s="5"/>
      <c r="F9" s="5"/>
    </row>
    <row r="11" customFormat="false" ht="33" hidden="false" customHeight="true" outlineLevel="0" collapsed="false">
      <c r="B11" s="8" t="s">
        <v>71</v>
      </c>
      <c r="C11" s="8" t="s">
        <v>72</v>
      </c>
      <c r="D11" s="8" t="s">
        <v>73</v>
      </c>
      <c r="E11" s="8" t="s">
        <v>74</v>
      </c>
      <c r="F11" s="8" t="s">
        <v>75</v>
      </c>
    </row>
    <row r="12" customFormat="false" ht="30" hidden="false" customHeight="true" outlineLevel="0" collapsed="false">
      <c r="B12" s="9"/>
      <c r="C12" s="9" t="s">
        <v>76</v>
      </c>
      <c r="D12" s="9" t="s">
        <v>77</v>
      </c>
      <c r="E12" s="9" t="s">
        <v>78</v>
      </c>
      <c r="F12" s="9" t="s">
        <v>79</v>
      </c>
    </row>
    <row r="13" customFormat="false" ht="21.75" hidden="false" customHeight="true" outlineLevel="0" collapsed="false">
      <c r="B13" s="9" t="s">
        <v>80</v>
      </c>
      <c r="C13" s="10" t="s">
        <v>81</v>
      </c>
      <c r="D13" s="10" t="s">
        <v>82</v>
      </c>
      <c r="E13" s="9"/>
      <c r="F13" s="9" t="s">
        <v>83</v>
      </c>
    </row>
    <row r="14" customFormat="false" ht="27" hidden="false" customHeight="true" outlineLevel="0" collapsed="false">
      <c r="B14" s="11" t="n">
        <v>1</v>
      </c>
      <c r="C14" s="5"/>
      <c r="D14" s="5"/>
      <c r="E14" s="12"/>
      <c r="F14" s="13" t="str">
        <f aca="false">IF(C14="","",IF(COUNTIF(C$14:C$21,C14)&gt;1,"Categoria repetida",IF(D14="","Falta a definição","OK")))</f>
        <v/>
      </c>
    </row>
    <row r="15" customFormat="false" ht="27" hidden="false" customHeight="true" outlineLevel="0" collapsed="false">
      <c r="B15" s="11" t="n">
        <v>2</v>
      </c>
      <c r="C15" s="5"/>
      <c r="D15" s="5"/>
      <c r="E15" s="12"/>
      <c r="F15" s="13" t="str">
        <f aca="false">IF(C15="","",IF(COUNTIF(C$14:C$21,C15)&gt;1,"Categoria repetida",IF(D15="","Falta a definição","OK")))</f>
        <v/>
      </c>
    </row>
    <row r="16" customFormat="false" ht="27" hidden="false" customHeight="true" outlineLevel="0" collapsed="false">
      <c r="B16" s="11" t="n">
        <v>3</v>
      </c>
      <c r="C16" s="5"/>
      <c r="D16" s="5"/>
      <c r="E16" s="12"/>
      <c r="F16" s="13" t="str">
        <f aca="false">IF(C16="","",IF(COUNTIF(C$14:C$21,C16)&gt;1,"Categoria repetida",IF(D16="","Falta a definição","OK")))</f>
        <v/>
      </c>
    </row>
    <row r="17" customFormat="false" ht="27" hidden="false" customHeight="true" outlineLevel="0" collapsed="false">
      <c r="B17" s="11" t="n">
        <v>4</v>
      </c>
      <c r="C17" s="5"/>
      <c r="D17" s="5"/>
      <c r="E17" s="12"/>
      <c r="F17" s="13" t="str">
        <f aca="false">IF(C17="","",IF(COUNTIF(C$14:C$21,C17)&gt;1,"Categoria repetida",IF(D17="","Falta a definição","OK")))</f>
        <v/>
      </c>
    </row>
    <row r="18" customFormat="false" ht="27" hidden="false" customHeight="true" outlineLevel="0" collapsed="false">
      <c r="B18" s="11" t="n">
        <v>5</v>
      </c>
      <c r="C18" s="5"/>
      <c r="D18" s="5"/>
      <c r="E18" s="12"/>
      <c r="F18" s="13" t="str">
        <f aca="false">IF(C18="","",IF(COUNTIF(C$14:C$21,C18)&gt;1,"Categoria repetida",IF(D18="","Falta a definição","OK")))</f>
        <v/>
      </c>
    </row>
    <row r="19" customFormat="false" ht="27" hidden="false" customHeight="true" outlineLevel="0" collapsed="false">
      <c r="B19" s="11" t="n">
        <v>6</v>
      </c>
      <c r="C19" s="5"/>
      <c r="D19" s="5"/>
      <c r="E19" s="12"/>
      <c r="F19" s="13" t="str">
        <f aca="false">IF(C19="","",IF(COUNTIF(C$14:C$21,C19)&gt;1,"Categoria repetida",IF(D19="","Falta a definição","OK")))</f>
        <v/>
      </c>
    </row>
    <row r="20" customFormat="false" ht="27" hidden="false" customHeight="true" outlineLevel="0" collapsed="false">
      <c r="B20" s="11" t="n">
        <v>7</v>
      </c>
      <c r="C20" s="5"/>
      <c r="D20" s="5"/>
      <c r="E20" s="12"/>
      <c r="F20" s="13" t="str">
        <f aca="false">IF(C20="","",IF(COUNTIF(C$14:C$21,C20)&gt;1,"Categoria repetida",IF(D20="","Falta a definição","OK")))</f>
        <v/>
      </c>
    </row>
    <row r="21" customFormat="false" ht="27" hidden="false" customHeight="true" outlineLevel="0" collapsed="false">
      <c r="B21" s="11" t="n">
        <v>8</v>
      </c>
      <c r="C21" s="5"/>
      <c r="D21" s="5"/>
      <c r="E21" s="12"/>
      <c r="F21" s="13" t="str">
        <f aca="false">IF(C21="","",IF(COUNTIF(C$14:C$21,C21)&gt;1,"Categoria repetida",IF(D21="","Falta a definição","OK")))</f>
        <v/>
      </c>
    </row>
    <row r="22" customFormat="false" ht="27" hidden="false" customHeight="true" outlineLevel="0" collapsed="false">
      <c r="B22" s="11" t="s">
        <v>84</v>
      </c>
      <c r="C22" s="4" t="s">
        <v>85</v>
      </c>
      <c r="D22" s="5" t="s">
        <v>86</v>
      </c>
      <c r="E22" s="12"/>
      <c r="F22" s="9" t="s">
        <v>87</v>
      </c>
    </row>
    <row r="24" customFormat="false" ht="21.75" hidden="false" customHeight="true" outlineLevel="0" collapsed="false">
      <c r="B24" s="14" t="s">
        <v>88</v>
      </c>
      <c r="C24" s="14"/>
      <c r="D24" s="14"/>
      <c r="E24" s="14"/>
      <c r="F24" s="14"/>
    </row>
    <row r="25" customFormat="false" ht="21.75" hidden="false" customHeight="true" outlineLevel="0" collapsed="false">
      <c r="B25" s="15" t="s">
        <v>89</v>
      </c>
      <c r="C25" s="15"/>
      <c r="D25" s="4" t="n">
        <f aca="false">COUNTA(C14:C21)</f>
        <v>0</v>
      </c>
    </row>
    <row r="26" customFormat="false" ht="21.75" hidden="false" customHeight="true" outlineLevel="0" collapsed="false">
      <c r="B26" s="15" t="s">
        <v>90</v>
      </c>
      <c r="C26" s="15"/>
      <c r="D26" s="16" t="str">
        <f aca="false">IF(D5="","Descreva o que se conta",IF(D25=0,"Cadastre as categorias",IF(COUNTIF(F14:F21,"OK")&lt;D25,"Há categoria a rever: veja a coluna Conferência",IF(D25&lt;4,"Poucas categorias: o usual é de quatro a oito","OK"))))</f>
        <v>Descreva o que se conta</v>
      </c>
      <c r="E26" s="16"/>
      <c r="F26" s="16"/>
    </row>
  </sheetData>
  <mergeCells count="18">
    <mergeCell ref="B1:F1"/>
    <mergeCell ref="B2:F2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B24:F24"/>
    <mergeCell ref="B25:C25"/>
    <mergeCell ref="B26:C26"/>
    <mergeCell ref="D26:F26"/>
  </mergeCells>
  <conditionalFormatting sqref="F14:F21">
    <cfRule type="expression" priority="2" aboveAverage="0" equalAverage="0" bottom="0" percent="0" rank="0" text="" dxfId="0">
      <formula>OR(F14="OK")</formula>
    </cfRule>
    <cfRule type="expression" priority="3" aboveAverage="0" equalAverage="0" bottom="0" percent="0" rank="0" text="" dxfId="1">
      <formula>AND(LEN(F14)&gt;0,NOT(OR(F14="OK")))</formula>
    </cfRule>
  </conditionalFormatting>
  <conditionalFormatting sqref="D26:F26">
    <cfRule type="expression" priority="4" aboveAverage="0" equalAverage="0" bottom="0" percent="0" rank="0" text="" dxfId="0">
      <formula>OR(D26="OK")</formula>
    </cfRule>
    <cfRule type="expression" priority="5" aboveAverage="0" equalAverage="0" bottom="0" percent="0" rank="0" text="" dxfId="1">
      <formula>AND(LEN(D26)&gt;0,NOT(OR(D26="OK")))</formula>
    </cfRule>
  </conditionalFormatting>
  <dataValidations count="2">
    <dataValidation allowBlank="true" error="Digite um número de 1 a 1000000000." errorStyle="stop" errorTitle="Número inválido" operator="between" prompt="Quantas oportunidades houve no período: entregas, requisições, peças produzidas." promptTitle="Número" showDropDown="false" showErrorMessage="true" showInputMessage="true" sqref="D8" type="whole">
      <formula1>1</formula1>
      <formula2>1000000000</formula2>
    </dataValidation>
    <dataValidation allowBlank="true" error="Digite um número de 0 a 1000000000." errorStyle="stop" errorTitle="Número inválido" operator="between" prompt="Custo, tempo ou quantidade perdida em cada ocorrência desta categoria." promptTitle="Número" showDropDown="false" showErrorMessage="true" showInputMessage="true" sqref="E14:E22" type="decimal">
      <formula1>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12" min="4" style="0" width="1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91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92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93</v>
      </c>
      <c r="C4" s="4"/>
      <c r="D4" s="5"/>
      <c r="E4" s="5"/>
      <c r="F4" s="5"/>
      <c r="G4" s="5"/>
      <c r="H4" s="10" t="s">
        <v>94</v>
      </c>
      <c r="I4" s="10"/>
      <c r="J4" s="10"/>
      <c r="K4" s="10"/>
      <c r="L4" s="10"/>
    </row>
    <row r="6" customFormat="false" ht="33" hidden="false" customHeight="true" outlineLevel="0" collapsed="false">
      <c r="B6" s="8" t="s">
        <v>71</v>
      </c>
      <c r="C6" s="8" t="s">
        <v>72</v>
      </c>
      <c r="D6" s="17"/>
      <c r="E6" s="17"/>
      <c r="F6" s="17"/>
      <c r="G6" s="17"/>
      <c r="H6" s="17"/>
      <c r="I6" s="17"/>
      <c r="J6" s="17"/>
      <c r="K6" s="8" t="s">
        <v>95</v>
      </c>
      <c r="L6" s="8" t="s">
        <v>96</v>
      </c>
    </row>
    <row r="7" customFormat="false" ht="21.75" hidden="false" customHeight="true" outlineLevel="0" collapsed="false">
      <c r="B7" s="9"/>
      <c r="C7" s="9" t="s">
        <v>97</v>
      </c>
      <c r="D7" s="9" t="s">
        <v>98</v>
      </c>
      <c r="E7" s="9" t="s">
        <v>98</v>
      </c>
      <c r="F7" s="9" t="s">
        <v>98</v>
      </c>
      <c r="G7" s="9" t="s">
        <v>98</v>
      </c>
      <c r="H7" s="9" t="s">
        <v>98</v>
      </c>
      <c r="I7" s="9" t="s">
        <v>98</v>
      </c>
      <c r="J7" s="9" t="s">
        <v>98</v>
      </c>
      <c r="K7" s="9" t="s">
        <v>99</v>
      </c>
      <c r="L7" s="9" t="s">
        <v>79</v>
      </c>
    </row>
    <row r="8" customFormat="false" ht="21.75" hidden="false" customHeight="true" outlineLevel="0" collapsed="false">
      <c r="B8" s="11" t="n">
        <v>1</v>
      </c>
      <c r="C8" s="6" t="str">
        <f aca="false">IF(Coleta!C14="","",Coleta!C14)</f>
        <v/>
      </c>
      <c r="D8" s="12"/>
      <c r="E8" s="12"/>
      <c r="F8" s="12"/>
      <c r="G8" s="12"/>
      <c r="H8" s="12"/>
      <c r="I8" s="12"/>
      <c r="J8" s="12"/>
      <c r="K8" s="18" t="str">
        <f aca="false">IF(AND(C8="",COUNT(D8:J8)=0),"",SUM(D8:J8))</f>
        <v/>
      </c>
      <c r="L8" s="19" t="str">
        <f aca="false">IF(OR(K8="",$K$17=0),"",K8/$K$17)</f>
        <v/>
      </c>
    </row>
    <row r="9" customFormat="false" ht="21.75" hidden="false" customHeight="true" outlineLevel="0" collapsed="false">
      <c r="B9" s="11" t="n">
        <v>2</v>
      </c>
      <c r="C9" s="6" t="str">
        <f aca="false">IF(Coleta!C15="","",Coleta!C15)</f>
        <v/>
      </c>
      <c r="D9" s="12"/>
      <c r="E9" s="12"/>
      <c r="F9" s="12"/>
      <c r="G9" s="12"/>
      <c r="H9" s="12"/>
      <c r="I9" s="12"/>
      <c r="J9" s="12"/>
      <c r="K9" s="18" t="str">
        <f aca="false">IF(AND(C9="",COUNT(D9:J9)=0),"",SUM(D9:J9))</f>
        <v/>
      </c>
      <c r="L9" s="19" t="str">
        <f aca="false">IF(OR(K9="",$K$17=0),"",K9/$K$17)</f>
        <v/>
      </c>
    </row>
    <row r="10" customFormat="false" ht="21.75" hidden="false" customHeight="true" outlineLevel="0" collapsed="false">
      <c r="B10" s="11" t="n">
        <v>3</v>
      </c>
      <c r="C10" s="6" t="str">
        <f aca="false">IF(Coleta!C16="","",Coleta!C16)</f>
        <v/>
      </c>
      <c r="D10" s="12"/>
      <c r="E10" s="12"/>
      <c r="F10" s="12"/>
      <c r="G10" s="12"/>
      <c r="H10" s="12"/>
      <c r="I10" s="12"/>
      <c r="J10" s="12"/>
      <c r="K10" s="18" t="str">
        <f aca="false">IF(AND(C10="",COUNT(D10:J10)=0),"",SUM(D10:J10))</f>
        <v/>
      </c>
      <c r="L10" s="19" t="str">
        <f aca="false">IF(OR(K10="",$K$17=0),"",K10/$K$17)</f>
        <v/>
      </c>
    </row>
    <row r="11" customFormat="false" ht="21.75" hidden="false" customHeight="true" outlineLevel="0" collapsed="false">
      <c r="B11" s="11" t="n">
        <v>4</v>
      </c>
      <c r="C11" s="6" t="str">
        <f aca="false">IF(Coleta!C17="","",Coleta!C17)</f>
        <v/>
      </c>
      <c r="D11" s="12"/>
      <c r="E11" s="12"/>
      <c r="F11" s="12"/>
      <c r="G11" s="12"/>
      <c r="H11" s="12"/>
      <c r="I11" s="12"/>
      <c r="J11" s="12"/>
      <c r="K11" s="18" t="str">
        <f aca="false">IF(AND(C11="",COUNT(D11:J11)=0),"",SUM(D11:J11))</f>
        <v/>
      </c>
      <c r="L11" s="19" t="str">
        <f aca="false">IF(OR(K11="",$K$17=0),"",K11/$K$17)</f>
        <v/>
      </c>
    </row>
    <row r="12" customFormat="false" ht="21.75" hidden="false" customHeight="true" outlineLevel="0" collapsed="false">
      <c r="B12" s="11" t="n">
        <v>5</v>
      </c>
      <c r="C12" s="6" t="str">
        <f aca="false">IF(Coleta!C18="","",Coleta!C18)</f>
        <v/>
      </c>
      <c r="D12" s="12"/>
      <c r="E12" s="12"/>
      <c r="F12" s="12"/>
      <c r="G12" s="12"/>
      <c r="H12" s="12"/>
      <c r="I12" s="12"/>
      <c r="J12" s="12"/>
      <c r="K12" s="18" t="str">
        <f aca="false">IF(AND(C12="",COUNT(D12:J12)=0),"",SUM(D12:J12))</f>
        <v/>
      </c>
      <c r="L12" s="19" t="str">
        <f aca="false">IF(OR(K12="",$K$17=0),"",K12/$K$17)</f>
        <v/>
      </c>
    </row>
    <row r="13" customFormat="false" ht="21.75" hidden="false" customHeight="true" outlineLevel="0" collapsed="false">
      <c r="B13" s="11" t="n">
        <v>6</v>
      </c>
      <c r="C13" s="6" t="str">
        <f aca="false">IF(Coleta!C19="","",Coleta!C19)</f>
        <v/>
      </c>
      <c r="D13" s="12"/>
      <c r="E13" s="12"/>
      <c r="F13" s="12"/>
      <c r="G13" s="12"/>
      <c r="H13" s="12"/>
      <c r="I13" s="12"/>
      <c r="J13" s="12"/>
      <c r="K13" s="18" t="str">
        <f aca="false">IF(AND(C13="",COUNT(D13:J13)=0),"",SUM(D13:J13))</f>
        <v/>
      </c>
      <c r="L13" s="19" t="str">
        <f aca="false">IF(OR(K13="",$K$17=0),"",K13/$K$17)</f>
        <v/>
      </c>
    </row>
    <row r="14" customFormat="false" ht="21.75" hidden="false" customHeight="true" outlineLevel="0" collapsed="false">
      <c r="B14" s="11" t="n">
        <v>7</v>
      </c>
      <c r="C14" s="6" t="str">
        <f aca="false">IF(Coleta!C20="","",Coleta!C20)</f>
        <v/>
      </c>
      <c r="D14" s="12"/>
      <c r="E14" s="12"/>
      <c r="F14" s="12"/>
      <c r="G14" s="12"/>
      <c r="H14" s="12"/>
      <c r="I14" s="12"/>
      <c r="J14" s="12"/>
      <c r="K14" s="18" t="str">
        <f aca="false">IF(AND(C14="",COUNT(D14:J14)=0),"",SUM(D14:J14))</f>
        <v/>
      </c>
      <c r="L14" s="19" t="str">
        <f aca="false">IF(OR(K14="",$K$17=0),"",K14/$K$17)</f>
        <v/>
      </c>
    </row>
    <row r="15" customFormat="false" ht="21.75" hidden="false" customHeight="true" outlineLevel="0" collapsed="false">
      <c r="B15" s="11" t="n">
        <v>8</v>
      </c>
      <c r="C15" s="6" t="str">
        <f aca="false">IF(Coleta!C21="","",Coleta!C21)</f>
        <v/>
      </c>
      <c r="D15" s="12"/>
      <c r="E15" s="12"/>
      <c r="F15" s="12"/>
      <c r="G15" s="12"/>
      <c r="H15" s="12"/>
      <c r="I15" s="12"/>
      <c r="J15" s="12"/>
      <c r="K15" s="18" t="str">
        <f aca="false">IF(AND(C15="",COUNT(D15:J15)=0),"",SUM(D15:J15))</f>
        <v/>
      </c>
      <c r="L15" s="19" t="str">
        <f aca="false">IF(OR(K15="",$K$17=0),"",K15/$K$17)</f>
        <v/>
      </c>
    </row>
    <row r="16" customFormat="false" ht="21.75" hidden="false" customHeight="true" outlineLevel="0" collapsed="false">
      <c r="B16" s="11" t="s">
        <v>84</v>
      </c>
      <c r="C16" s="4" t="s">
        <v>85</v>
      </c>
      <c r="D16" s="12"/>
      <c r="E16" s="12"/>
      <c r="F16" s="12"/>
      <c r="G16" s="12"/>
      <c r="H16" s="12"/>
      <c r="I16" s="12"/>
      <c r="J16" s="12"/>
      <c r="K16" s="18" t="n">
        <f aca="false">SUM(D16:J16)</f>
        <v>0</v>
      </c>
      <c r="L16" s="19" t="str">
        <f aca="false">IF($K$17=0,"",K16/$K$17)</f>
        <v/>
      </c>
    </row>
    <row r="17" customFormat="false" ht="21.75" hidden="false" customHeight="true" outlineLevel="0" collapsed="false">
      <c r="B17" s="15" t="s">
        <v>95</v>
      </c>
      <c r="C17" s="15"/>
      <c r="D17" s="20" t="n">
        <f aca="false">SUM(D8:D16)</f>
        <v>0</v>
      </c>
      <c r="E17" s="20" t="n">
        <f aca="false">SUM(E8:E16)</f>
        <v>0</v>
      </c>
      <c r="F17" s="20" t="n">
        <f aca="false">SUM(F8:F16)</f>
        <v>0</v>
      </c>
      <c r="G17" s="20" t="n">
        <f aca="false">SUM(G8:G16)</f>
        <v>0</v>
      </c>
      <c r="H17" s="20" t="n">
        <f aca="false">SUM(H8:H16)</f>
        <v>0</v>
      </c>
      <c r="I17" s="20" t="n">
        <f aca="false">SUM(I8:I16)</f>
        <v>0</v>
      </c>
      <c r="J17" s="20" t="n">
        <f aca="false">SUM(J8:J16)</f>
        <v>0</v>
      </c>
      <c r="K17" s="18" t="n">
        <f aca="false">SUM(K8:K16)</f>
        <v>0</v>
      </c>
      <c r="L17" s="6"/>
    </row>
    <row r="18" customFormat="false" ht="21.75" hidden="false" customHeight="true" outlineLevel="0" collapsed="false">
      <c r="B18" s="15" t="s">
        <v>96</v>
      </c>
      <c r="C18" s="15"/>
      <c r="D18" s="19" t="str">
        <f aca="false">IF($K$17=0,"",D17/$K$17)</f>
        <v/>
      </c>
      <c r="E18" s="19" t="str">
        <f aca="false">IF($K$17=0,"",E17/$K$17)</f>
        <v/>
      </c>
      <c r="F18" s="19" t="str">
        <f aca="false">IF($K$17=0,"",F17/$K$17)</f>
        <v/>
      </c>
      <c r="G18" s="19" t="str">
        <f aca="false">IF($K$17=0,"",G17/$K$17)</f>
        <v/>
      </c>
      <c r="H18" s="19" t="str">
        <f aca="false">IF($K$17=0,"",H17/$K$17)</f>
        <v/>
      </c>
      <c r="I18" s="19" t="str">
        <f aca="false">IF($K$17=0,"",I17/$K$17)</f>
        <v/>
      </c>
      <c r="J18" s="19" t="str">
        <f aca="false">IF($K$17=0,"",J17/$K$17)</f>
        <v/>
      </c>
      <c r="K18" s="19" t="str">
        <f aca="false">IF($K$17=0,"",K17/$K$17)</f>
        <v/>
      </c>
      <c r="L18" s="6"/>
    </row>
    <row r="20" customFormat="false" ht="21.75" hidden="false" customHeight="true" outlineLevel="0" collapsed="false">
      <c r="B20" s="14" t="s">
        <v>88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21.75" hidden="false" customHeight="true" outlineLevel="0" collapsed="false">
      <c r="B21" s="15" t="s">
        <v>100</v>
      </c>
      <c r="C21" s="15"/>
      <c r="D21" s="21" t="n">
        <f aca="false">K17</f>
        <v>0</v>
      </c>
      <c r="E21" s="21"/>
      <c r="F21" s="21"/>
      <c r="G21" s="21"/>
      <c r="H21" s="21"/>
      <c r="I21" s="21"/>
      <c r="J21" s="21"/>
      <c r="K21" s="21"/>
      <c r="L21" s="21"/>
    </row>
    <row r="22" customFormat="false" ht="21.75" hidden="false" customHeight="true" outlineLevel="0" collapsed="false">
      <c r="B22" s="15" t="s">
        <v>101</v>
      </c>
      <c r="C22" s="15"/>
      <c r="D22" s="21" t="str">
        <f aca="false">IF(K17=0,"",INDEX(D6:J6,MATCH(MAX(D17:J17),D17:J17,0))&amp;" · "&amp;TEXT(MAX(D17:J17)/K17,"0%"))</f>
        <v/>
      </c>
      <c r="E22" s="21"/>
      <c r="F22" s="21"/>
      <c r="G22" s="21"/>
      <c r="H22" s="21"/>
      <c r="I22" s="21"/>
      <c r="J22" s="21"/>
      <c r="K22" s="21"/>
      <c r="L22" s="21"/>
    </row>
    <row r="23" customFormat="false" ht="21.75" hidden="false" customHeight="true" outlineLevel="0" collapsed="false">
      <c r="B23" s="15" t="s">
        <v>102</v>
      </c>
      <c r="C23" s="15"/>
      <c r="D23" s="22" t="str">
        <f aca="false">IF(OR(Coleta!D8="",K17=0),"",100*K17/Coleta!D8)</f>
        <v/>
      </c>
      <c r="E23" s="22"/>
      <c r="F23" s="22"/>
      <c r="G23" s="22"/>
      <c r="H23" s="22"/>
      <c r="I23" s="22"/>
      <c r="J23" s="22"/>
      <c r="K23" s="22"/>
      <c r="L23" s="22"/>
    </row>
    <row r="24" customFormat="false" ht="21.75" hidden="false" customHeight="true" outlineLevel="0" collapsed="false">
      <c r="B24" s="15" t="s">
        <v>90</v>
      </c>
      <c r="C24" s="15"/>
      <c r="D24" s="16" t="str">
        <f aca="false">IF(K17=0,"Lance as contagens",IF(SUMPRODUCT((C8:C15="")*ISNUMBER(K8:K15))&gt;0,"Há contagem em linha sem categoria: cadastre na aba Coleta",IF(K17&lt;50,"Poucos dados: menos de 50 ocorrências","OK")))</f>
        <v>Lance as contagens</v>
      </c>
      <c r="E24" s="16"/>
      <c r="F24" s="16"/>
      <c r="G24" s="16"/>
      <c r="H24" s="16"/>
      <c r="I24" s="16"/>
      <c r="J24" s="16"/>
      <c r="K24" s="16"/>
      <c r="L24" s="16"/>
    </row>
  </sheetData>
  <mergeCells count="16">
    <mergeCell ref="B1:L1"/>
    <mergeCell ref="B2:L2"/>
    <mergeCell ref="B4:C4"/>
    <mergeCell ref="D4:G4"/>
    <mergeCell ref="H4:L4"/>
    <mergeCell ref="B17:C17"/>
    <mergeCell ref="B18:C18"/>
    <mergeCell ref="B20:L20"/>
    <mergeCell ref="B21:C21"/>
    <mergeCell ref="D21:L21"/>
    <mergeCell ref="B22:C22"/>
    <mergeCell ref="D22:L22"/>
    <mergeCell ref="B23:C23"/>
    <mergeCell ref="D23:L23"/>
    <mergeCell ref="B24:C24"/>
    <mergeCell ref="D24:L24"/>
  </mergeCells>
  <conditionalFormatting sqref="D17:J17">
    <cfRule type="expression" priority="2" aboveAverage="0" equalAverage="0" bottom="0" percent="0" rank="0" text="" dxfId="2">
      <formula>AND(D17&gt;0,D17=MAX($D$17:$J$17))</formula>
    </cfRule>
  </conditionalFormatting>
  <conditionalFormatting sqref="D24:L24">
    <cfRule type="expression" priority="3" aboveAverage="0" equalAverage="0" bottom="0" percent="0" rank="0" text="" dxfId="0">
      <formula>OR(D24="OK")</formula>
    </cfRule>
    <cfRule type="expression" priority="4" aboveAverage="0" equalAverage="0" bottom="0" percent="0" rank="0" text="" dxfId="1">
      <formula>AND(LEN(D24)&gt;0,NOT(OR(D24="OK")))</formula>
    </cfRule>
  </conditionalFormatting>
  <dataValidations count="1">
    <dataValidation allowBlank="true" error="Digite um número de 0 a 1000000." errorStyle="stop" errorTitle="Número inválido" operator="between" prompt="Quantas ocorrências desta categoria, nesta coluna." promptTitle="Número" showDropDown="false" showErrorMessage="true" showInputMessage="true" sqref="D8:J16" type="whole">
      <formula1>0</formula1>
      <formula2>1000000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2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103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104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4" t="s">
        <v>20</v>
      </c>
      <c r="C4" s="4"/>
      <c r="D4" s="5" t="s">
        <v>105</v>
      </c>
      <c r="E4" s="5"/>
      <c r="F4" s="10" t="s">
        <v>106</v>
      </c>
      <c r="G4" s="10"/>
    </row>
    <row r="5" customFormat="false" ht="21.75" hidden="false" customHeight="true" outlineLevel="0" collapsed="false">
      <c r="B5" s="4" t="s">
        <v>107</v>
      </c>
      <c r="C5" s="4"/>
      <c r="D5" s="23" t="str">
        <f aca="false">IF(Coleta!D5="","",Coleta!D5)</f>
        <v/>
      </c>
      <c r="E5" s="23"/>
      <c r="F5" s="23"/>
      <c r="G5" s="23"/>
    </row>
    <row r="6" customFormat="false" ht="15" hidden="false" customHeight="true" outlineLevel="0" collapsed="false">
      <c r="I6" s="24" t="s">
        <v>108</v>
      </c>
      <c r="J6" s="24"/>
      <c r="K6" s="24"/>
      <c r="L6" s="24"/>
      <c r="M6" s="24"/>
      <c r="N6" s="24"/>
    </row>
    <row r="7" customFormat="false" ht="33" hidden="false" customHeight="true" outlineLevel="0" collapsed="false">
      <c r="B7" s="8" t="s">
        <v>14</v>
      </c>
      <c r="C7" s="8" t="s">
        <v>72</v>
      </c>
      <c r="D7" s="8" t="s">
        <v>109</v>
      </c>
      <c r="E7" s="8" t="s">
        <v>96</v>
      </c>
      <c r="F7" s="8" t="s">
        <v>110</v>
      </c>
      <c r="G7" s="8" t="s">
        <v>18</v>
      </c>
      <c r="I7" s="25" t="s">
        <v>111</v>
      </c>
      <c r="J7" s="25" t="s">
        <v>109</v>
      </c>
      <c r="K7" s="25" t="s">
        <v>112</v>
      </c>
      <c r="L7" s="25" t="s">
        <v>113</v>
      </c>
      <c r="M7" s="25" t="s">
        <v>114</v>
      </c>
      <c r="N7" s="25" t="s">
        <v>115</v>
      </c>
    </row>
    <row r="8" customFormat="false" ht="21.75" hidden="false" customHeight="true" outlineLevel="0" collapsed="false">
      <c r="B8" s="11" t="n">
        <v>1</v>
      </c>
      <c r="C8" s="4" t="str">
        <f aca="false">IF(1&lt;=$J$18,INDEX($I$8:$I$15,MATCH(1,$L$8:$L$15,0)),IF(AND(1=$J$18+1,$J$16&gt;0),"Outros",""))</f>
        <v/>
      </c>
      <c r="D8" s="26" t="str">
        <f aca="false">IF(C8="","",IF(1&lt;=$J$18,INDEX($J$8:$J$15,MATCH(1,$L$8:$L$15,0)),$J$16))</f>
        <v/>
      </c>
      <c r="E8" s="19" t="str">
        <f aca="false">IF(D8="","",D8/$J$19)</f>
        <v/>
      </c>
      <c r="F8" s="19" t="str">
        <f aca="false">IF(D8="","",SUM(D$8:D8)/$J$19)</f>
        <v/>
      </c>
      <c r="G8" s="13" t="str">
        <f aca="false">IF(D8="","",IF(1&gt;$J$18,"Outros",IF(ROUND(F8-E8,6)&lt;0.8,"Prioridade","Depois")))</f>
        <v/>
      </c>
      <c r="I8" s="27" t="str">
        <f aca="false">IF(Folha!C8="","",Folha!C8)</f>
        <v/>
      </c>
      <c r="J8" s="28" t="str">
        <f aca="false">IF(Folha!K8="","",IF($D$4="Frequência × peso",Folha!K8*N(Coleta!E14),Folha!K8))</f>
        <v/>
      </c>
      <c r="K8" s="29" t="str">
        <f aca="false">IF(OR(I8="",J8="",J8=0),"",J8-ROW()/1000000)</f>
        <v/>
      </c>
      <c r="L8" s="28" t="str">
        <f aca="false">IF(K8="","",RANK(K8,K$8:K$15))</f>
        <v/>
      </c>
      <c r="M8" s="30" t="e">
        <f aca="false">IF(D8="",NA(),F8)</f>
        <v>#N/A</v>
      </c>
      <c r="N8" s="31" t="n">
        <v>0.8</v>
      </c>
    </row>
    <row r="9" customFormat="false" ht="21.75" hidden="false" customHeight="true" outlineLevel="0" collapsed="false">
      <c r="B9" s="11" t="n">
        <v>2</v>
      </c>
      <c r="C9" s="4" t="str">
        <f aca="false">IF(2&lt;=$J$18,INDEX($I$8:$I$15,MATCH(2,$L$8:$L$15,0)),IF(AND(2=$J$18+1,$J$16&gt;0),"Outros",""))</f>
        <v/>
      </c>
      <c r="D9" s="26" t="str">
        <f aca="false">IF(C9="","",IF(2&lt;=$J$18,INDEX($J$8:$J$15,MATCH(2,$L$8:$L$15,0)),$J$16))</f>
        <v/>
      </c>
      <c r="E9" s="19" t="str">
        <f aca="false">IF(D9="","",D9/$J$19)</f>
        <v/>
      </c>
      <c r="F9" s="19" t="str">
        <f aca="false">IF(D9="","",SUM(D$8:D9)/$J$19)</f>
        <v/>
      </c>
      <c r="G9" s="13" t="str">
        <f aca="false">IF(D9="","",IF(2&gt;$J$18,"Outros",IF(ROUND(F9-E9,6)&lt;0.8,"Prioridade","Depois")))</f>
        <v/>
      </c>
      <c r="I9" s="27" t="str">
        <f aca="false">IF(Folha!C9="","",Folha!C9)</f>
        <v/>
      </c>
      <c r="J9" s="28" t="str">
        <f aca="false">IF(Folha!K9="","",IF($D$4="Frequência × peso",Folha!K9*N(Coleta!E15),Folha!K9))</f>
        <v/>
      </c>
      <c r="K9" s="29" t="str">
        <f aca="false">IF(OR(I9="",J9="",J9=0),"",J9-ROW()/1000000)</f>
        <v/>
      </c>
      <c r="L9" s="28" t="str">
        <f aca="false">IF(K9="","",RANK(K9,K$8:K$15))</f>
        <v/>
      </c>
      <c r="M9" s="30" t="e">
        <f aca="false">IF(D9="",NA(),F9)</f>
        <v>#N/A</v>
      </c>
      <c r="N9" s="31" t="n">
        <v>0.8</v>
      </c>
    </row>
    <row r="10" customFormat="false" ht="21.75" hidden="false" customHeight="true" outlineLevel="0" collapsed="false">
      <c r="B10" s="11" t="n">
        <v>3</v>
      </c>
      <c r="C10" s="4" t="str">
        <f aca="false">IF(3&lt;=$J$18,INDEX($I$8:$I$15,MATCH(3,$L$8:$L$15,0)),IF(AND(3=$J$18+1,$J$16&gt;0),"Outros",""))</f>
        <v/>
      </c>
      <c r="D10" s="26" t="str">
        <f aca="false">IF(C10="","",IF(3&lt;=$J$18,INDEX($J$8:$J$15,MATCH(3,$L$8:$L$15,0)),$J$16))</f>
        <v/>
      </c>
      <c r="E10" s="19" t="str">
        <f aca="false">IF(D10="","",D10/$J$19)</f>
        <v/>
      </c>
      <c r="F10" s="19" t="str">
        <f aca="false">IF(D10="","",SUM(D$8:D10)/$J$19)</f>
        <v/>
      </c>
      <c r="G10" s="13" t="str">
        <f aca="false">IF(D10="","",IF(3&gt;$J$18,"Outros",IF(ROUND(F10-E10,6)&lt;0.8,"Prioridade","Depois")))</f>
        <v/>
      </c>
      <c r="I10" s="27" t="str">
        <f aca="false">IF(Folha!C10="","",Folha!C10)</f>
        <v/>
      </c>
      <c r="J10" s="28" t="str">
        <f aca="false">IF(Folha!K10="","",IF($D$4="Frequência × peso",Folha!K10*N(Coleta!E16),Folha!K10))</f>
        <v/>
      </c>
      <c r="K10" s="29" t="str">
        <f aca="false">IF(OR(I10="",J10="",J10=0),"",J10-ROW()/1000000)</f>
        <v/>
      </c>
      <c r="L10" s="28" t="str">
        <f aca="false">IF(K10="","",RANK(K10,K$8:K$15))</f>
        <v/>
      </c>
      <c r="M10" s="30" t="e">
        <f aca="false">IF(D10="",NA(),F10)</f>
        <v>#N/A</v>
      </c>
      <c r="N10" s="31" t="n">
        <v>0.8</v>
      </c>
    </row>
    <row r="11" customFormat="false" ht="21.75" hidden="false" customHeight="true" outlineLevel="0" collapsed="false">
      <c r="B11" s="11" t="n">
        <v>4</v>
      </c>
      <c r="C11" s="4" t="str">
        <f aca="false">IF(4&lt;=$J$18,INDEX($I$8:$I$15,MATCH(4,$L$8:$L$15,0)),IF(AND(4=$J$18+1,$J$16&gt;0),"Outros",""))</f>
        <v/>
      </c>
      <c r="D11" s="26" t="str">
        <f aca="false">IF(C11="","",IF(4&lt;=$J$18,INDEX($J$8:$J$15,MATCH(4,$L$8:$L$15,0)),$J$16))</f>
        <v/>
      </c>
      <c r="E11" s="19" t="str">
        <f aca="false">IF(D11="","",D11/$J$19)</f>
        <v/>
      </c>
      <c r="F11" s="19" t="str">
        <f aca="false">IF(D11="","",SUM(D$8:D11)/$J$19)</f>
        <v/>
      </c>
      <c r="G11" s="13" t="str">
        <f aca="false">IF(D11="","",IF(4&gt;$J$18,"Outros",IF(ROUND(F11-E11,6)&lt;0.8,"Prioridade","Depois")))</f>
        <v/>
      </c>
      <c r="I11" s="27" t="str">
        <f aca="false">IF(Folha!C11="","",Folha!C11)</f>
        <v/>
      </c>
      <c r="J11" s="28" t="str">
        <f aca="false">IF(Folha!K11="","",IF($D$4="Frequência × peso",Folha!K11*N(Coleta!E17),Folha!K11))</f>
        <v/>
      </c>
      <c r="K11" s="29" t="str">
        <f aca="false">IF(OR(I11="",J11="",J11=0),"",J11-ROW()/1000000)</f>
        <v/>
      </c>
      <c r="L11" s="28" t="str">
        <f aca="false">IF(K11="","",RANK(K11,K$8:K$15))</f>
        <v/>
      </c>
      <c r="M11" s="30" t="e">
        <f aca="false">IF(D11="",NA(),F11)</f>
        <v>#N/A</v>
      </c>
      <c r="N11" s="31" t="n">
        <v>0.8</v>
      </c>
    </row>
    <row r="12" customFormat="false" ht="21.75" hidden="false" customHeight="true" outlineLevel="0" collapsed="false">
      <c r="B12" s="11" t="n">
        <v>5</v>
      </c>
      <c r="C12" s="4" t="str">
        <f aca="false">IF(5&lt;=$J$18,INDEX($I$8:$I$15,MATCH(5,$L$8:$L$15,0)),IF(AND(5=$J$18+1,$J$16&gt;0),"Outros",""))</f>
        <v/>
      </c>
      <c r="D12" s="26" t="str">
        <f aca="false">IF(C12="","",IF(5&lt;=$J$18,INDEX($J$8:$J$15,MATCH(5,$L$8:$L$15,0)),$J$16))</f>
        <v/>
      </c>
      <c r="E12" s="19" t="str">
        <f aca="false">IF(D12="","",D12/$J$19)</f>
        <v/>
      </c>
      <c r="F12" s="19" t="str">
        <f aca="false">IF(D12="","",SUM(D$8:D12)/$J$19)</f>
        <v/>
      </c>
      <c r="G12" s="13" t="str">
        <f aca="false">IF(D12="","",IF(5&gt;$J$18,"Outros",IF(ROUND(F12-E12,6)&lt;0.8,"Prioridade","Depois")))</f>
        <v/>
      </c>
      <c r="I12" s="27" t="str">
        <f aca="false">IF(Folha!C12="","",Folha!C12)</f>
        <v/>
      </c>
      <c r="J12" s="28" t="str">
        <f aca="false">IF(Folha!K12="","",IF($D$4="Frequência × peso",Folha!K12*N(Coleta!E18),Folha!K12))</f>
        <v/>
      </c>
      <c r="K12" s="29" t="str">
        <f aca="false">IF(OR(I12="",J12="",J12=0),"",J12-ROW()/1000000)</f>
        <v/>
      </c>
      <c r="L12" s="28" t="str">
        <f aca="false">IF(K12="","",RANK(K12,K$8:K$15))</f>
        <v/>
      </c>
      <c r="M12" s="30" t="e">
        <f aca="false">IF(D12="",NA(),F12)</f>
        <v>#N/A</v>
      </c>
      <c r="N12" s="31" t="n">
        <v>0.8</v>
      </c>
    </row>
    <row r="13" customFormat="false" ht="21.75" hidden="false" customHeight="true" outlineLevel="0" collapsed="false">
      <c r="B13" s="11" t="n">
        <v>6</v>
      </c>
      <c r="C13" s="4" t="str">
        <f aca="false">IF(6&lt;=$J$18,INDEX($I$8:$I$15,MATCH(6,$L$8:$L$15,0)),IF(AND(6=$J$18+1,$J$16&gt;0),"Outros",""))</f>
        <v/>
      </c>
      <c r="D13" s="26" t="str">
        <f aca="false">IF(C13="","",IF(6&lt;=$J$18,INDEX($J$8:$J$15,MATCH(6,$L$8:$L$15,0)),$J$16))</f>
        <v/>
      </c>
      <c r="E13" s="19" t="str">
        <f aca="false">IF(D13="","",D13/$J$19)</f>
        <v/>
      </c>
      <c r="F13" s="19" t="str">
        <f aca="false">IF(D13="","",SUM(D$8:D13)/$J$19)</f>
        <v/>
      </c>
      <c r="G13" s="13" t="str">
        <f aca="false">IF(D13="","",IF(6&gt;$J$18,"Outros",IF(ROUND(F13-E13,6)&lt;0.8,"Prioridade","Depois")))</f>
        <v/>
      </c>
      <c r="I13" s="27" t="str">
        <f aca="false">IF(Folha!C13="","",Folha!C13)</f>
        <v/>
      </c>
      <c r="J13" s="28" t="str">
        <f aca="false">IF(Folha!K13="","",IF($D$4="Frequência × peso",Folha!K13*N(Coleta!E19),Folha!K13))</f>
        <v/>
      </c>
      <c r="K13" s="29" t="str">
        <f aca="false">IF(OR(I13="",J13="",J13=0),"",J13-ROW()/1000000)</f>
        <v/>
      </c>
      <c r="L13" s="28" t="str">
        <f aca="false">IF(K13="","",RANK(K13,K$8:K$15))</f>
        <v/>
      </c>
      <c r="M13" s="30" t="e">
        <f aca="false">IF(D13="",NA(),F13)</f>
        <v>#N/A</v>
      </c>
      <c r="N13" s="31" t="n">
        <v>0.8</v>
      </c>
    </row>
    <row r="14" customFormat="false" ht="21.75" hidden="false" customHeight="true" outlineLevel="0" collapsed="false">
      <c r="B14" s="11" t="n">
        <v>7</v>
      </c>
      <c r="C14" s="4" t="str">
        <f aca="false">IF(7&lt;=$J$18,INDEX($I$8:$I$15,MATCH(7,$L$8:$L$15,0)),IF(AND(7=$J$18+1,$J$16&gt;0),"Outros",""))</f>
        <v/>
      </c>
      <c r="D14" s="26" t="str">
        <f aca="false">IF(C14="","",IF(7&lt;=$J$18,INDEX($J$8:$J$15,MATCH(7,$L$8:$L$15,0)),$J$16))</f>
        <v/>
      </c>
      <c r="E14" s="19" t="str">
        <f aca="false">IF(D14="","",D14/$J$19)</f>
        <v/>
      </c>
      <c r="F14" s="19" t="str">
        <f aca="false">IF(D14="","",SUM(D$8:D14)/$J$19)</f>
        <v/>
      </c>
      <c r="G14" s="13" t="str">
        <f aca="false">IF(D14="","",IF(7&gt;$J$18,"Outros",IF(ROUND(F14-E14,6)&lt;0.8,"Prioridade","Depois")))</f>
        <v/>
      </c>
      <c r="I14" s="27" t="str">
        <f aca="false">IF(Folha!C14="","",Folha!C14)</f>
        <v/>
      </c>
      <c r="J14" s="28" t="str">
        <f aca="false">IF(Folha!K14="","",IF($D$4="Frequência × peso",Folha!K14*N(Coleta!E20),Folha!K14))</f>
        <v/>
      </c>
      <c r="K14" s="29" t="str">
        <f aca="false">IF(OR(I14="",J14="",J14=0),"",J14-ROW()/1000000)</f>
        <v/>
      </c>
      <c r="L14" s="28" t="str">
        <f aca="false">IF(K14="","",RANK(K14,K$8:K$15))</f>
        <v/>
      </c>
      <c r="M14" s="30" t="e">
        <f aca="false">IF(D14="",NA(),F14)</f>
        <v>#N/A</v>
      </c>
      <c r="N14" s="31" t="n">
        <v>0.8</v>
      </c>
    </row>
    <row r="15" customFormat="false" ht="21.75" hidden="false" customHeight="true" outlineLevel="0" collapsed="false">
      <c r="B15" s="11" t="n">
        <v>8</v>
      </c>
      <c r="C15" s="4" t="str">
        <f aca="false">IF(8&lt;=$J$18,INDEX($I$8:$I$15,MATCH(8,$L$8:$L$15,0)),IF(AND(8=$J$18+1,$J$16&gt;0),"Outros",""))</f>
        <v/>
      </c>
      <c r="D15" s="26" t="str">
        <f aca="false">IF(C15="","",IF(8&lt;=$J$18,INDEX($J$8:$J$15,MATCH(8,$L$8:$L$15,0)),$J$16))</f>
        <v/>
      </c>
      <c r="E15" s="19" t="str">
        <f aca="false">IF(D15="","",D15/$J$19)</f>
        <v/>
      </c>
      <c r="F15" s="19" t="str">
        <f aca="false">IF(D15="","",SUM(D$8:D15)/$J$19)</f>
        <v/>
      </c>
      <c r="G15" s="13" t="str">
        <f aca="false">IF(D15="","",IF(8&gt;$J$18,"Outros",IF(ROUND(F15-E15,6)&lt;0.8,"Prioridade","Depois")))</f>
        <v/>
      </c>
      <c r="I15" s="27" t="str">
        <f aca="false">IF(Folha!C15="","",Folha!C15)</f>
        <v/>
      </c>
      <c r="J15" s="28" t="str">
        <f aca="false">IF(Folha!K15="","",IF($D$4="Frequência × peso",Folha!K15*N(Coleta!E21),Folha!K15))</f>
        <v/>
      </c>
      <c r="K15" s="29" t="str">
        <f aca="false">IF(OR(I15="",J15="",J15=0),"",J15-ROW()/1000000)</f>
        <v/>
      </c>
      <c r="L15" s="28" t="str">
        <f aca="false">IF(K15="","",RANK(K15,K$8:K$15))</f>
        <v/>
      </c>
      <c r="M15" s="30" t="e">
        <f aca="false">IF(D15="",NA(),F15)</f>
        <v>#N/A</v>
      </c>
      <c r="N15" s="31" t="n">
        <v>0.8</v>
      </c>
    </row>
    <row r="16" customFormat="false" ht="21.75" hidden="false" customHeight="true" outlineLevel="0" collapsed="false">
      <c r="B16" s="11" t="n">
        <v>9</v>
      </c>
      <c r="C16" s="4" t="str">
        <f aca="false">IF(9&lt;=$J$18,INDEX($I$8:$I$15,MATCH(9,$L$8:$L$15,0)),IF(AND(9=$J$18+1,$J$16&gt;0),"Outros",""))</f>
        <v/>
      </c>
      <c r="D16" s="26" t="str">
        <f aca="false">IF(C16="","",IF(9&lt;=$J$18,INDEX($J$8:$J$15,MATCH(9,$L$8:$L$15,0)),$J$16))</f>
        <v/>
      </c>
      <c r="E16" s="19" t="str">
        <f aca="false">IF(D16="","",D16/$J$19)</f>
        <v/>
      </c>
      <c r="F16" s="19" t="str">
        <f aca="false">IF(D16="","",SUM(D$8:D16)/$J$19)</f>
        <v/>
      </c>
      <c r="G16" s="13" t="str">
        <f aca="false">IF(D16="","",IF(9&gt;$J$18,"Outros",IF(ROUND(F16-E16,6)&lt;0.8,"Prioridade","Depois")))</f>
        <v/>
      </c>
      <c r="I16" s="27" t="s">
        <v>85</v>
      </c>
      <c r="J16" s="28" t="n">
        <f aca="false">IF($D$4="Frequência × peso",Folha!K16*N(Coleta!E22),Folha!K16)</f>
        <v>0</v>
      </c>
      <c r="K16" s="6"/>
      <c r="L16" s="6"/>
      <c r="M16" s="30" t="e">
        <f aca="false">IF(D16="",NA(),F16)</f>
        <v>#N/A</v>
      </c>
      <c r="N16" s="31" t="n">
        <v>0.8</v>
      </c>
    </row>
    <row r="18" customFormat="false" ht="21.75" hidden="false" customHeight="true" outlineLevel="0" collapsed="false">
      <c r="B18" s="14" t="s">
        <v>88</v>
      </c>
      <c r="C18" s="14"/>
      <c r="D18" s="14"/>
      <c r="E18" s="14"/>
      <c r="F18" s="14"/>
      <c r="G18" s="14"/>
      <c r="I18" s="4" t="s">
        <v>116</v>
      </c>
      <c r="J18" s="28" t="n">
        <f aca="false">COUNT(L8:L15)</f>
        <v>0</v>
      </c>
    </row>
    <row r="19" customFormat="false" ht="21.75" hidden="false" customHeight="true" outlineLevel="0" collapsed="false">
      <c r="B19" s="15" t="s">
        <v>95</v>
      </c>
      <c r="C19" s="15"/>
      <c r="D19" s="32" t="str">
        <f aca="false">IF($J$19=0,"",$J$19)</f>
        <v/>
      </c>
      <c r="E19" s="32"/>
      <c r="F19" s="32"/>
      <c r="G19" s="32"/>
      <c r="I19" s="4" t="s">
        <v>95</v>
      </c>
      <c r="J19" s="33" t="n">
        <f aca="false">SUM(J8:J16)</f>
        <v>0</v>
      </c>
    </row>
    <row r="20" customFormat="false" ht="21.75" hidden="false" customHeight="true" outlineLevel="0" collapsed="false">
      <c r="B20" s="15" t="s">
        <v>117</v>
      </c>
      <c r="C20" s="15"/>
      <c r="D20" s="21" t="str">
        <f aca="false">IF(C8="","",C8&amp;" · "&amp;TEXT(E8,"0%"))</f>
        <v/>
      </c>
      <c r="E20" s="21"/>
      <c r="F20" s="21"/>
      <c r="G20" s="21"/>
    </row>
    <row r="21" customFormat="false" ht="21.75" hidden="false" customHeight="true" outlineLevel="0" collapsed="false">
      <c r="B21" s="15" t="s">
        <v>118</v>
      </c>
      <c r="C21" s="15"/>
      <c r="D21" s="21" t="str">
        <f aca="false">IF(COUNTIF(G8:G16,"Prioridade")=0,"",COUNTIF(G8:G16,"Prioridade")&amp;" de "&amp;$J$18&amp;" categorias, com "&amp;TEXT(INDEX(F8:F16,COUNTIF(G8:G16,"Prioridade")),"0%")&amp;" do total")</f>
        <v/>
      </c>
      <c r="E21" s="21"/>
      <c r="F21" s="21"/>
      <c r="G21" s="21"/>
    </row>
    <row r="22" customFormat="false" ht="21.75" hidden="false" customHeight="true" outlineLevel="0" collapsed="false">
      <c r="B22" s="15" t="s">
        <v>85</v>
      </c>
      <c r="C22" s="15"/>
      <c r="D22" s="34" t="str">
        <f aca="false">IF($J$19=0,"",$J$16/$J$19)</f>
        <v/>
      </c>
      <c r="E22" s="34"/>
      <c r="F22" s="34"/>
      <c r="G22" s="34"/>
    </row>
    <row r="23" customFormat="false" ht="21.75" hidden="false" customHeight="true" outlineLevel="0" collapsed="false">
      <c r="B23" s="15" t="s">
        <v>90</v>
      </c>
      <c r="C23" s="15"/>
      <c r="D23" s="16" t="str">
        <f aca="false">IF(Folha!K17=0,"Lance as contagens na aba Folha",IF(AND(D4="Frequência × peso",SUMPRODUCT(ISNUMBER(Folha!K8:K16)*(Folha!K8:K16&lt;&gt;0)*(Coleta!E14:E22=""))&gt;0),"Falta o peso de uma categoria: veja a aba Coleta",IF(Folha!K17&lt;50,"Poucos dados: menos de 50 ocorrências",IF(D22&gt;0.1,"Outros acima de 10%: abra em categorias",IF(AND($J$18&gt;=4,N(F9)&lt;0.5),"Pareto plano: estratifique por outro fator","OK")))))</f>
        <v>Lance as contagens na aba Folha</v>
      </c>
      <c r="E23" s="16"/>
      <c r="F23" s="16"/>
      <c r="G23" s="16"/>
    </row>
  </sheetData>
  <mergeCells count="19">
    <mergeCell ref="B1:G1"/>
    <mergeCell ref="B2:G2"/>
    <mergeCell ref="B4:C4"/>
    <mergeCell ref="D4:E4"/>
    <mergeCell ref="F4:G4"/>
    <mergeCell ref="B5:C5"/>
    <mergeCell ref="D5:G5"/>
    <mergeCell ref="I6:N6"/>
    <mergeCell ref="B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</mergeCells>
  <conditionalFormatting sqref="M8:M16">
    <cfRule type="expression" priority="2" aboveAverage="0" equalAverage="0" bottom="0" percent="0" rank="0" text="" dxfId="3">
      <formula>ISNUMBER(M8)</formula>
    </cfRule>
  </conditionalFormatting>
  <conditionalFormatting sqref="G8:G16">
    <cfRule type="expression" priority="3" aboveAverage="0" equalAverage="0" bottom="0" percent="0" rank="0" text="" dxfId="2">
      <formula>G8="Prioridade"</formula>
    </cfRule>
  </conditionalFormatting>
  <conditionalFormatting sqref="D23:G23">
    <cfRule type="expression" priority="4" aboveAverage="0" equalAverage="0" bottom="0" percent="0" rank="0" text="" dxfId="0">
      <formula>OR(D23="OK")</formula>
    </cfRule>
    <cfRule type="expression" priority="5" aboveAverage="0" equalAverage="0" bottom="0" percent="0" rank="0" text="" dxfId="1">
      <formula>AND(LEN(D23)&gt;0,NOT(OR(D23="OK")))</formula>
    </cfRule>
  </conditionalFormatting>
  <dataValidations count="1">
    <dataValidation allowBlank="true" error="Escolha uma das opções da lista." errorStyle="stop" errorTitle="Valor inválido" operator="between" prompt="Frequência: a contagem. Frequência × peso: a contagem vezes o peso da aba Coleta." promptTitle="Opções" showDropDown="false" showErrorMessage="true" showInputMessage="true" sqref="D4" type="list">
      <formula1>"Frequência,Frequência × peso"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46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119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4" t="s">
        <v>120</v>
      </c>
      <c r="C4" s="4"/>
      <c r="D4" s="23" t="str">
        <f aca="false">IF(Coleta!D6="","",Coleta!D6)</f>
        <v/>
      </c>
      <c r="E4" s="23"/>
      <c r="F4" s="23"/>
      <c r="G4" s="23"/>
      <c r="H4" s="23"/>
      <c r="I4" s="23"/>
    </row>
    <row r="5" customFormat="false" ht="21.75" hidden="false" customHeight="true" outlineLevel="0" collapsed="false">
      <c r="B5" s="4" t="s">
        <v>121</v>
      </c>
      <c r="C5" s="4"/>
      <c r="D5" s="5"/>
      <c r="E5" s="5"/>
      <c r="F5" s="5"/>
      <c r="G5" s="5"/>
      <c r="H5" s="5"/>
      <c r="I5" s="5"/>
    </row>
    <row r="6" customFormat="false" ht="21.75" hidden="false" customHeight="true" outlineLevel="0" collapsed="false">
      <c r="B6" s="4" t="s">
        <v>122</v>
      </c>
      <c r="C6" s="4"/>
      <c r="D6" s="35" t="str">
        <f aca="false">IF(Coleta!D8="","",Coleta!D8)</f>
        <v/>
      </c>
      <c r="E6" s="10" t="s">
        <v>123</v>
      </c>
      <c r="F6" s="10"/>
      <c r="G6" s="10"/>
      <c r="H6" s="10"/>
      <c r="I6" s="10"/>
    </row>
    <row r="7" customFormat="false" ht="21.75" hidden="false" customHeight="true" outlineLevel="0" collapsed="false">
      <c r="B7" s="4" t="s">
        <v>124</v>
      </c>
      <c r="C7" s="4"/>
      <c r="D7" s="36"/>
      <c r="E7" s="28" t="str">
        <f aca="false">IF(AND(ISNUMBER(D6),ISNUMBER(D7)),IF(AND(D6&gt;0,D7&gt;0),"Taxa por 100","Contagem"),"Contagem")</f>
        <v>Contagem</v>
      </c>
      <c r="F7" s="10" t="s">
        <v>125</v>
      </c>
      <c r="G7" s="10"/>
      <c r="H7" s="10"/>
      <c r="I7" s="10"/>
    </row>
    <row r="9" customFormat="false" ht="33" hidden="false" customHeight="true" outlineLevel="0" collapsed="false">
      <c r="B9" s="8" t="s">
        <v>71</v>
      </c>
      <c r="C9" s="8" t="s">
        <v>72</v>
      </c>
      <c r="D9" s="8" t="s">
        <v>126</v>
      </c>
      <c r="E9" s="8" t="s">
        <v>127</v>
      </c>
      <c r="F9" s="8" t="s">
        <v>128</v>
      </c>
      <c r="G9" s="8" t="s">
        <v>129</v>
      </c>
      <c r="H9" s="8" t="s">
        <v>130</v>
      </c>
      <c r="I9" s="8" t="s">
        <v>131</v>
      </c>
    </row>
    <row r="10" customFormat="false" ht="30" hidden="false" customHeight="true" outlineLevel="0" collapsed="false">
      <c r="B10" s="9"/>
      <c r="C10" s="9" t="s">
        <v>97</v>
      </c>
      <c r="D10" s="9" t="s">
        <v>132</v>
      </c>
      <c r="E10" s="9" t="s">
        <v>133</v>
      </c>
      <c r="F10" s="9" t="s">
        <v>134</v>
      </c>
      <c r="G10" s="9" t="s">
        <v>134</v>
      </c>
      <c r="H10" s="9" t="s">
        <v>79</v>
      </c>
      <c r="I10" s="9" t="s">
        <v>79</v>
      </c>
    </row>
    <row r="11" customFormat="false" ht="21.75" hidden="false" customHeight="true" outlineLevel="0" collapsed="false">
      <c r="B11" s="11" t="n">
        <v>1</v>
      </c>
      <c r="C11" s="6" t="str">
        <f aca="false">IF(Folha!C8="","",Folha!C8)</f>
        <v/>
      </c>
      <c r="D11" s="37" t="str">
        <f aca="false">IF(Folha!K8="","",Folha!K8)</f>
        <v/>
      </c>
      <c r="E11" s="12"/>
      <c r="F11" s="38" t="str">
        <f aca="false">IF(OR(C11="",D11=""),"",IF($E$7="Taxa por 100",100*D11/$D$6,D11))</f>
        <v/>
      </c>
      <c r="G11" s="38" t="str">
        <f aca="false">IF(OR(C11="",E11=""),"",IF($E$7="Taxa por 100",100*E11/$D$7,E11))</f>
        <v/>
      </c>
      <c r="H11" s="39" t="str">
        <f aca="false">IF(OR(F11="",G11=""),"",IF(F11=0,"",(G11-F11)/F11))</f>
        <v/>
      </c>
      <c r="I11" s="13" t="str">
        <f aca="false">IF(OR(F11="",G11=""),"",IF(AND(F11=0,G11&gt;0),"Nova",IF(G11&lt;F11,"Caiu",IF(G11&gt;F11,"Subiu","Igual"))))</f>
        <v/>
      </c>
    </row>
    <row r="12" customFormat="false" ht="21.75" hidden="false" customHeight="true" outlineLevel="0" collapsed="false">
      <c r="B12" s="11" t="n">
        <v>2</v>
      </c>
      <c r="C12" s="6" t="str">
        <f aca="false">IF(Folha!C9="","",Folha!C9)</f>
        <v/>
      </c>
      <c r="D12" s="37" t="str">
        <f aca="false">IF(Folha!K9="","",Folha!K9)</f>
        <v/>
      </c>
      <c r="E12" s="12"/>
      <c r="F12" s="38" t="str">
        <f aca="false">IF(OR(C12="",D12=""),"",IF($E$7="Taxa por 100",100*D12/$D$6,D12))</f>
        <v/>
      </c>
      <c r="G12" s="38" t="str">
        <f aca="false">IF(OR(C12="",E12=""),"",IF($E$7="Taxa por 100",100*E12/$D$7,E12))</f>
        <v/>
      </c>
      <c r="H12" s="39" t="str">
        <f aca="false">IF(OR(F12="",G12=""),"",IF(F12=0,"",(G12-F12)/F12))</f>
        <v/>
      </c>
      <c r="I12" s="13" t="str">
        <f aca="false">IF(OR(F12="",G12=""),"",IF(AND(F12=0,G12&gt;0),"Nova",IF(G12&lt;F12,"Caiu",IF(G12&gt;F12,"Subiu","Igual"))))</f>
        <v/>
      </c>
    </row>
    <row r="13" customFormat="false" ht="21.75" hidden="false" customHeight="true" outlineLevel="0" collapsed="false">
      <c r="B13" s="11" t="n">
        <v>3</v>
      </c>
      <c r="C13" s="6" t="str">
        <f aca="false">IF(Folha!C10="","",Folha!C10)</f>
        <v/>
      </c>
      <c r="D13" s="37" t="str">
        <f aca="false">IF(Folha!K10="","",Folha!K10)</f>
        <v/>
      </c>
      <c r="E13" s="12"/>
      <c r="F13" s="38" t="str">
        <f aca="false">IF(OR(C13="",D13=""),"",IF($E$7="Taxa por 100",100*D13/$D$6,D13))</f>
        <v/>
      </c>
      <c r="G13" s="38" t="str">
        <f aca="false">IF(OR(C13="",E13=""),"",IF($E$7="Taxa por 100",100*E13/$D$7,E13))</f>
        <v/>
      </c>
      <c r="H13" s="39" t="str">
        <f aca="false">IF(OR(F13="",G13=""),"",IF(F13=0,"",(G13-F13)/F13))</f>
        <v/>
      </c>
      <c r="I13" s="13" t="str">
        <f aca="false">IF(OR(F13="",G13=""),"",IF(AND(F13=0,G13&gt;0),"Nova",IF(G13&lt;F13,"Caiu",IF(G13&gt;F13,"Subiu","Igual"))))</f>
        <v/>
      </c>
    </row>
    <row r="14" customFormat="false" ht="21.75" hidden="false" customHeight="true" outlineLevel="0" collapsed="false">
      <c r="B14" s="11" t="n">
        <v>4</v>
      </c>
      <c r="C14" s="6" t="str">
        <f aca="false">IF(Folha!C11="","",Folha!C11)</f>
        <v/>
      </c>
      <c r="D14" s="37" t="str">
        <f aca="false">IF(Folha!K11="","",Folha!K11)</f>
        <v/>
      </c>
      <c r="E14" s="12"/>
      <c r="F14" s="38" t="str">
        <f aca="false">IF(OR(C14="",D14=""),"",IF($E$7="Taxa por 100",100*D14/$D$6,D14))</f>
        <v/>
      </c>
      <c r="G14" s="38" t="str">
        <f aca="false">IF(OR(C14="",E14=""),"",IF($E$7="Taxa por 100",100*E14/$D$7,E14))</f>
        <v/>
      </c>
      <c r="H14" s="39" t="str">
        <f aca="false">IF(OR(F14="",G14=""),"",IF(F14=0,"",(G14-F14)/F14))</f>
        <v/>
      </c>
      <c r="I14" s="13" t="str">
        <f aca="false">IF(OR(F14="",G14=""),"",IF(AND(F14=0,G14&gt;0),"Nova",IF(G14&lt;F14,"Caiu",IF(G14&gt;F14,"Subiu","Igual"))))</f>
        <v/>
      </c>
    </row>
    <row r="15" customFormat="false" ht="21.75" hidden="false" customHeight="true" outlineLevel="0" collapsed="false">
      <c r="B15" s="11" t="n">
        <v>5</v>
      </c>
      <c r="C15" s="6" t="str">
        <f aca="false">IF(Folha!C12="","",Folha!C12)</f>
        <v/>
      </c>
      <c r="D15" s="37" t="str">
        <f aca="false">IF(Folha!K12="","",Folha!K12)</f>
        <v/>
      </c>
      <c r="E15" s="12"/>
      <c r="F15" s="38" t="str">
        <f aca="false">IF(OR(C15="",D15=""),"",IF($E$7="Taxa por 100",100*D15/$D$6,D15))</f>
        <v/>
      </c>
      <c r="G15" s="38" t="str">
        <f aca="false">IF(OR(C15="",E15=""),"",IF($E$7="Taxa por 100",100*E15/$D$7,E15))</f>
        <v/>
      </c>
      <c r="H15" s="39" t="str">
        <f aca="false">IF(OR(F15="",G15=""),"",IF(F15=0,"",(G15-F15)/F15))</f>
        <v/>
      </c>
      <c r="I15" s="13" t="str">
        <f aca="false">IF(OR(F15="",G15=""),"",IF(AND(F15=0,G15&gt;0),"Nova",IF(G15&lt;F15,"Caiu",IF(G15&gt;F15,"Subiu","Igual"))))</f>
        <v/>
      </c>
    </row>
    <row r="16" customFormat="false" ht="21.75" hidden="false" customHeight="true" outlineLevel="0" collapsed="false">
      <c r="B16" s="11" t="n">
        <v>6</v>
      </c>
      <c r="C16" s="6" t="str">
        <f aca="false">IF(Folha!C13="","",Folha!C13)</f>
        <v/>
      </c>
      <c r="D16" s="37" t="str">
        <f aca="false">IF(Folha!K13="","",Folha!K13)</f>
        <v/>
      </c>
      <c r="E16" s="12"/>
      <c r="F16" s="38" t="str">
        <f aca="false">IF(OR(C16="",D16=""),"",IF($E$7="Taxa por 100",100*D16/$D$6,D16))</f>
        <v/>
      </c>
      <c r="G16" s="38" t="str">
        <f aca="false">IF(OR(C16="",E16=""),"",IF($E$7="Taxa por 100",100*E16/$D$7,E16))</f>
        <v/>
      </c>
      <c r="H16" s="39" t="str">
        <f aca="false">IF(OR(F16="",G16=""),"",IF(F16=0,"",(G16-F16)/F16))</f>
        <v/>
      </c>
      <c r="I16" s="13" t="str">
        <f aca="false">IF(OR(F16="",G16=""),"",IF(AND(F16=0,G16&gt;0),"Nova",IF(G16&lt;F16,"Caiu",IF(G16&gt;F16,"Subiu","Igual"))))</f>
        <v/>
      </c>
    </row>
    <row r="17" customFormat="false" ht="21.75" hidden="false" customHeight="true" outlineLevel="0" collapsed="false">
      <c r="B17" s="11" t="n">
        <v>7</v>
      </c>
      <c r="C17" s="6" t="str">
        <f aca="false">IF(Folha!C14="","",Folha!C14)</f>
        <v/>
      </c>
      <c r="D17" s="37" t="str">
        <f aca="false">IF(Folha!K14="","",Folha!K14)</f>
        <v/>
      </c>
      <c r="E17" s="12"/>
      <c r="F17" s="38" t="str">
        <f aca="false">IF(OR(C17="",D17=""),"",IF($E$7="Taxa por 100",100*D17/$D$6,D17))</f>
        <v/>
      </c>
      <c r="G17" s="38" t="str">
        <f aca="false">IF(OR(C17="",E17=""),"",IF($E$7="Taxa por 100",100*E17/$D$7,E17))</f>
        <v/>
      </c>
      <c r="H17" s="39" t="str">
        <f aca="false">IF(OR(F17="",G17=""),"",IF(F17=0,"",(G17-F17)/F17))</f>
        <v/>
      </c>
      <c r="I17" s="13" t="str">
        <f aca="false">IF(OR(F17="",G17=""),"",IF(AND(F17=0,G17&gt;0),"Nova",IF(G17&lt;F17,"Caiu",IF(G17&gt;F17,"Subiu","Igual"))))</f>
        <v/>
      </c>
    </row>
    <row r="18" customFormat="false" ht="21.75" hidden="false" customHeight="true" outlineLevel="0" collapsed="false">
      <c r="B18" s="11" t="n">
        <v>8</v>
      </c>
      <c r="C18" s="6" t="str">
        <f aca="false">IF(Folha!C15="","",Folha!C15)</f>
        <v/>
      </c>
      <c r="D18" s="37" t="str">
        <f aca="false">IF(Folha!K15="","",Folha!K15)</f>
        <v/>
      </c>
      <c r="E18" s="12"/>
      <c r="F18" s="38" t="str">
        <f aca="false">IF(OR(C18="",D18=""),"",IF($E$7="Taxa por 100",100*D18/$D$6,D18))</f>
        <v/>
      </c>
      <c r="G18" s="38" t="str">
        <f aca="false">IF(OR(C18="",E18=""),"",IF($E$7="Taxa por 100",100*E18/$D$7,E18))</f>
        <v/>
      </c>
      <c r="H18" s="39" t="str">
        <f aca="false">IF(OR(F18="",G18=""),"",IF(F18=0,"",(G18-F18)/F18))</f>
        <v/>
      </c>
      <c r="I18" s="13" t="str">
        <f aca="false">IF(OR(F18="",G18=""),"",IF(AND(F18=0,G18&gt;0),"Nova",IF(G18&lt;F18,"Caiu",IF(G18&gt;F18,"Subiu","Igual"))))</f>
        <v/>
      </c>
    </row>
    <row r="19" customFormat="false" ht="21.75" hidden="false" customHeight="true" outlineLevel="0" collapsed="false">
      <c r="B19" s="11" t="s">
        <v>84</v>
      </c>
      <c r="C19" s="4" t="s">
        <v>85</v>
      </c>
      <c r="D19" s="37" t="n">
        <f aca="false">Folha!K16</f>
        <v>0</v>
      </c>
      <c r="E19" s="12"/>
      <c r="F19" s="38" t="n">
        <f aca="false">IF(OR(C19="",D19=""),"",IF($E$7="Taxa por 100",100*D19/$D$6,D19))</f>
        <v>0</v>
      </c>
      <c r="G19" s="38" t="str">
        <f aca="false">IF(OR(C19="",E19=""),"",IF($E$7="Taxa por 100",100*E19/$D$7,E19))</f>
        <v/>
      </c>
      <c r="H19" s="39" t="str">
        <f aca="false">IF(OR(F19="",G19=""),"",IF(F19=0,"",(G19-F19)/F19))</f>
        <v/>
      </c>
      <c r="I19" s="13" t="str">
        <f aca="false">IF(OR(F19="",G19=""),"",IF(AND(F19=0,G19&gt;0),"Nova",IF(G19&lt;F19,"Caiu",IF(G19&gt;F19,"Subiu","Igual"))))</f>
        <v/>
      </c>
    </row>
    <row r="20" customFormat="false" ht="21.75" hidden="false" customHeight="true" outlineLevel="0" collapsed="false">
      <c r="B20" s="15" t="s">
        <v>95</v>
      </c>
      <c r="C20" s="15"/>
      <c r="D20" s="18" t="n">
        <f aca="false">SUM(D11:D19)</f>
        <v>0</v>
      </c>
      <c r="E20" s="18" t="str">
        <f aca="false">IF(COUNT(E11:E19)=0,"",SUM(E11:E19))</f>
        <v/>
      </c>
      <c r="F20" s="40" t="n">
        <f aca="false">IF(OR(B20="",D20=""),"",IF($E$7="Taxa por 100",100*D20/$D$6,D20))</f>
        <v>0</v>
      </c>
      <c r="G20" s="40" t="str">
        <f aca="false">IF(OR(B20="",E20=""),"",IF($E$7="Taxa por 100",100*E20/$D$7,E20))</f>
        <v/>
      </c>
      <c r="H20" s="41" t="str">
        <f aca="false">IF(OR(F20="",G20=""),"",IF(F20=0,"",(G20-F20)/F20))</f>
        <v/>
      </c>
      <c r="I20" s="13" t="str">
        <f aca="false">IF(OR(F20="",G20=""),"",IF(AND(F20=0,G20&gt;0),"Nova",IF(G20&lt;F20,"Caiu",IF(G20&gt;F20,"Subiu","Igual"))))</f>
        <v/>
      </c>
    </row>
    <row r="22" customFormat="false" ht="21.75" hidden="false" customHeight="true" outlineLevel="0" collapsed="false">
      <c r="B22" s="14" t="s">
        <v>88</v>
      </c>
      <c r="C22" s="14"/>
      <c r="D22" s="14"/>
      <c r="E22" s="14"/>
      <c r="F22" s="14"/>
      <c r="G22" s="14"/>
      <c r="H22" s="14"/>
      <c r="I22" s="14"/>
    </row>
    <row r="23" customFormat="false" ht="21.75" hidden="false" customHeight="true" outlineLevel="0" collapsed="false">
      <c r="B23" s="15" t="s">
        <v>135</v>
      </c>
      <c r="C23" s="15"/>
      <c r="D23" s="42" t="str">
        <f aca="false">IF(H20="","",H20)</f>
        <v/>
      </c>
      <c r="E23" s="42"/>
      <c r="F23" s="42"/>
      <c r="G23" s="42"/>
      <c r="H23" s="42"/>
      <c r="I23" s="42"/>
    </row>
    <row r="24" customFormat="false" ht="21.75" hidden="false" customHeight="true" outlineLevel="0" collapsed="false">
      <c r="B24" s="15" t="s">
        <v>136</v>
      </c>
      <c r="C24" s="15"/>
      <c r="D24" s="21" t="str">
        <f aca="false">IF(OR(Pareto!C8="",COUNT(E11:E19)=0),"",Pareto!C8&amp;IF(IFERROR(INDEX(I11:I19,MATCH(Pareto!C8,C11:C19,0)),"")="","",": "&amp;LOWER(IFERROR(INDEX(I11:I19,MATCH(Pareto!C8,C11:C19,0)),""))))</f>
        <v/>
      </c>
      <c r="E24" s="21"/>
      <c r="F24" s="21"/>
      <c r="G24" s="21"/>
      <c r="H24" s="21"/>
      <c r="I24" s="21"/>
    </row>
    <row r="25" customFormat="false" ht="21.75" hidden="false" customHeight="true" outlineLevel="0" collapsed="false">
      <c r="B25" s="15" t="s">
        <v>137</v>
      </c>
      <c r="C25" s="15"/>
      <c r="D25" s="21" t="str">
        <f aca="false">IF(COUNT(E11:E18)=0,"",INDEX(C11:C18,MATCH(MAX(E11:E18),E11:E18,0)))</f>
        <v/>
      </c>
      <c r="E25" s="21"/>
      <c r="F25" s="21"/>
      <c r="G25" s="21"/>
      <c r="H25" s="21"/>
      <c r="I25" s="21"/>
    </row>
    <row r="26" customFormat="false" ht="21.75" hidden="false" customHeight="true" outlineLevel="0" collapsed="false">
      <c r="B26" s="15" t="s">
        <v>90</v>
      </c>
      <c r="C26" s="15"/>
      <c r="D26" s="16" t="str">
        <f aca="false">IF(Folha!K17=0,"Lance as contagens na aba Folha",IF(COUNT(E11:E19)=0,"Lance as contagens do depois",IF(COUNT(E11:E19)&lt;COUNT(D11:D19),"Faltam contagens do depois: escreva 0 onde não houve ocorrência",IF(E7&lt;&gt;"Taxa por 100","Informe as duas bases para comparar a taxa",IF(COUNTIF(I11:I19,"Subiu")+COUNTIF(I11:I19,"Nova")&gt;0,"Há categoria que subiu: veja a coluna Leitura","OK")))))</f>
        <v>Lance as contagens na aba Folha</v>
      </c>
      <c r="E26" s="16"/>
      <c r="F26" s="16"/>
      <c r="G26" s="16"/>
      <c r="H26" s="16"/>
      <c r="I26" s="16"/>
    </row>
  </sheetData>
  <mergeCells count="20">
    <mergeCell ref="B1:I1"/>
    <mergeCell ref="B2:I2"/>
    <mergeCell ref="B4:C4"/>
    <mergeCell ref="D4:I4"/>
    <mergeCell ref="B5:C5"/>
    <mergeCell ref="D5:I5"/>
    <mergeCell ref="B6:C6"/>
    <mergeCell ref="E6:I6"/>
    <mergeCell ref="B7:C7"/>
    <mergeCell ref="F7:I7"/>
    <mergeCell ref="B20:C20"/>
    <mergeCell ref="B22:I22"/>
    <mergeCell ref="B23:C23"/>
    <mergeCell ref="D23:I23"/>
    <mergeCell ref="B24:C24"/>
    <mergeCell ref="D24:I24"/>
    <mergeCell ref="B25:C25"/>
    <mergeCell ref="D25:I25"/>
    <mergeCell ref="B26:C26"/>
    <mergeCell ref="D26:I26"/>
  </mergeCells>
  <conditionalFormatting sqref="I11:I20">
    <cfRule type="expression" priority="2" aboveAverage="0" equalAverage="0" bottom="0" percent="0" rank="0" text="" dxfId="0">
      <formula>I11="Caiu"</formula>
    </cfRule>
    <cfRule type="expression" priority="3" aboveAverage="0" equalAverage="0" bottom="0" percent="0" rank="0" text="" dxfId="4">
      <formula>I11="Subiu"</formula>
    </cfRule>
    <cfRule type="expression" priority="4" aboveAverage="0" equalAverage="0" bottom="0" percent="0" rank="0" text="" dxfId="4">
      <formula>I11="Nova"</formula>
    </cfRule>
    <cfRule type="expression" priority="5" aboveAverage="0" equalAverage="0" bottom="0" percent="0" rank="0" text="" dxfId="1">
      <formula>I11="Igual"</formula>
    </cfRule>
  </conditionalFormatting>
  <conditionalFormatting sqref="D26:I26">
    <cfRule type="expression" priority="6" aboveAverage="0" equalAverage="0" bottom="0" percent="0" rank="0" text="" dxfId="0">
      <formula>OR(D26="OK")</formula>
    </cfRule>
    <cfRule type="expression" priority="7" aboveAverage="0" equalAverage="0" bottom="0" percent="0" rank="0" text="" dxfId="1">
      <formula>AND(LEN(D26)&gt;0,NOT(OR(D26="OK")))</formula>
    </cfRule>
  </conditionalFormatting>
  <dataValidations count="2">
    <dataValidation allowBlank="true" error="Digite um número de 1 a 1000000000." errorStyle="stop" errorTitle="Número inválido" operator="between" prompt="Quantas oportunidades houve no período do depois." promptTitle="Número" showDropDown="false" showErrorMessage="true" showInputMessage="true" sqref="D7" type="whole">
      <formula1>1</formula1>
      <formula2>1000000000</formula2>
    </dataValidation>
    <dataValidation allowBlank="true" error="Digite um número de 0 a 1000000." errorStyle="stop" errorTitle="Número inválido" operator="between" prompt="Quantas ocorrências desta categoria, no período do depois." promptTitle="Número" showDropDown="false" showErrorMessage="true" showInputMessage="true" sqref="E11:E19" type="whole">
      <formula1>0</formula1>
      <formula2>1000000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138</v>
      </c>
      <c r="C1" s="1"/>
      <c r="D1" s="1"/>
      <c r="E1" s="1"/>
    </row>
    <row r="2" customFormat="false" ht="19.5" hidden="false" customHeight="true" outlineLevel="0" collapsed="false">
      <c r="B2" s="2" t="s">
        <v>139</v>
      </c>
      <c r="C2" s="2"/>
      <c r="D2" s="2"/>
      <c r="E2" s="2"/>
    </row>
    <row r="4" customFormat="false" ht="21.75" hidden="false" customHeight="true" outlineLevel="0" collapsed="false">
      <c r="B4" s="8" t="s">
        <v>71</v>
      </c>
      <c r="C4" s="8" t="s">
        <v>140</v>
      </c>
      <c r="D4" s="8" t="s">
        <v>141</v>
      </c>
      <c r="E4" s="8" t="s">
        <v>142</v>
      </c>
    </row>
    <row r="5" customFormat="false" ht="30" hidden="false" customHeight="true" outlineLevel="0" collapsed="false">
      <c r="B5" s="11" t="n">
        <v>1</v>
      </c>
      <c r="C5" s="6" t="s">
        <v>143</v>
      </c>
      <c r="D5" s="12"/>
      <c r="E5" s="5"/>
    </row>
    <row r="6" customFormat="false" ht="30" hidden="false" customHeight="true" outlineLevel="0" collapsed="false">
      <c r="B6" s="11" t="n">
        <v>2</v>
      </c>
      <c r="C6" s="6" t="s">
        <v>144</v>
      </c>
      <c r="D6" s="12"/>
      <c r="E6" s="5"/>
    </row>
    <row r="7" customFormat="false" ht="30" hidden="false" customHeight="true" outlineLevel="0" collapsed="false">
      <c r="B7" s="11" t="n">
        <v>3</v>
      </c>
      <c r="C7" s="6" t="s">
        <v>145</v>
      </c>
      <c r="D7" s="12"/>
      <c r="E7" s="5"/>
    </row>
    <row r="8" customFormat="false" ht="30" hidden="false" customHeight="true" outlineLevel="0" collapsed="false">
      <c r="B8" s="11" t="n">
        <v>4</v>
      </c>
      <c r="C8" s="6" t="s">
        <v>146</v>
      </c>
      <c r="D8" s="12"/>
      <c r="E8" s="5"/>
    </row>
    <row r="9" customFormat="false" ht="30" hidden="false" customHeight="true" outlineLevel="0" collapsed="false">
      <c r="B9" s="11" t="n">
        <v>5</v>
      </c>
      <c r="C9" s="6" t="s">
        <v>147</v>
      </c>
      <c r="D9" s="12"/>
      <c r="E9" s="5"/>
    </row>
    <row r="10" customFormat="false" ht="30" hidden="false" customHeight="true" outlineLevel="0" collapsed="false">
      <c r="B10" s="11" t="n">
        <v>6</v>
      </c>
      <c r="C10" s="6" t="s">
        <v>148</v>
      </c>
      <c r="D10" s="12"/>
      <c r="E10" s="5"/>
    </row>
    <row r="11" customFormat="false" ht="30" hidden="false" customHeight="true" outlineLevel="0" collapsed="false">
      <c r="B11" s="11" t="n">
        <v>7</v>
      </c>
      <c r="C11" s="6" t="s">
        <v>149</v>
      </c>
      <c r="D11" s="12"/>
      <c r="E11" s="5"/>
    </row>
    <row r="12" customFormat="false" ht="30" hidden="false" customHeight="true" outlineLevel="0" collapsed="false">
      <c r="B12" s="11" t="n">
        <v>8</v>
      </c>
      <c r="C12" s="6" t="s">
        <v>150</v>
      </c>
      <c r="D12" s="12"/>
      <c r="E12" s="5"/>
    </row>
    <row r="13" customFormat="false" ht="30" hidden="false" customHeight="true" outlineLevel="0" collapsed="false">
      <c r="B13" s="11" t="n">
        <v>9</v>
      </c>
      <c r="C13" s="6" t="s">
        <v>151</v>
      </c>
      <c r="D13" s="12"/>
      <c r="E13" s="5"/>
    </row>
    <row r="14" customFormat="false" ht="30" hidden="false" customHeight="true" outlineLevel="0" collapsed="false">
      <c r="B14" s="11" t="n">
        <v>10</v>
      </c>
      <c r="C14" s="6" t="s">
        <v>152</v>
      </c>
      <c r="D14" s="12"/>
      <c r="E14" s="5"/>
    </row>
    <row r="15" customFormat="false" ht="30" hidden="false" customHeight="true" outlineLevel="0" collapsed="false">
      <c r="B15" s="11" t="n">
        <v>11</v>
      </c>
      <c r="C15" s="6" t="s">
        <v>153</v>
      </c>
      <c r="D15" s="12"/>
      <c r="E15" s="5"/>
    </row>
    <row r="16" customFormat="false" ht="30" hidden="false" customHeight="true" outlineLevel="0" collapsed="false">
      <c r="B16" s="11" t="n">
        <v>12</v>
      </c>
      <c r="C16" s="6" t="s">
        <v>154</v>
      </c>
      <c r="D16" s="12"/>
      <c r="E16" s="5"/>
    </row>
    <row r="18" customFormat="false" ht="21.75" hidden="false" customHeight="true" outlineLevel="0" collapsed="false">
      <c r="B18" s="14" t="s">
        <v>88</v>
      </c>
      <c r="C18" s="14"/>
      <c r="D18" s="14"/>
      <c r="E18" s="14"/>
    </row>
    <row r="19" customFormat="false" ht="19.5" hidden="false" customHeight="true" outlineLevel="0" collapsed="false">
      <c r="B19" s="15" t="s">
        <v>155</v>
      </c>
      <c r="C19" s="15"/>
      <c r="D19" s="18" t="n">
        <f aca="false">COUNTIF(D5:D16,"Sim")</f>
        <v>0</v>
      </c>
    </row>
    <row r="20" customFormat="false" ht="19.5" hidden="false" customHeight="true" outlineLevel="0" collapsed="false">
      <c r="B20" s="15" t="s">
        <v>156</v>
      </c>
      <c r="C20" s="15"/>
      <c r="D20" s="18" t="n">
        <f aca="false">COUNTIF(D5:D16,"Parcial")</f>
        <v>0</v>
      </c>
    </row>
    <row r="21" customFormat="false" ht="19.5" hidden="false" customHeight="true" outlineLevel="0" collapsed="false">
      <c r="B21" s="15" t="s">
        <v>157</v>
      </c>
      <c r="C21" s="15"/>
      <c r="D21" s="18" t="n">
        <f aca="false">COUNTIF(D5:D16,"Não")</f>
        <v>0</v>
      </c>
    </row>
    <row r="22" customFormat="false" ht="19.5" hidden="false" customHeight="true" outlineLevel="0" collapsed="false">
      <c r="B22" s="15" t="s">
        <v>158</v>
      </c>
      <c r="C22" s="15"/>
      <c r="D22" s="18" t="n">
        <f aca="false">COUNTBLANK(D5:D16)</f>
        <v>12</v>
      </c>
    </row>
    <row r="23" customFormat="false" ht="19.5" hidden="false" customHeight="true" outlineLevel="0" collapsed="false">
      <c r="B23" s="15" t="s">
        <v>159</v>
      </c>
      <c r="C23" s="15"/>
      <c r="D23" s="43" t="n">
        <f aca="false">D19/ROWS(D5:D16)</f>
        <v>0</v>
      </c>
    </row>
    <row r="24" customFormat="false" ht="19.5" hidden="false" customHeight="true" outlineLevel="0" collapsed="false">
      <c r="B24" s="15" t="s">
        <v>160</v>
      </c>
      <c r="C24" s="15"/>
      <c r="D24" s="18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4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8" min="4" style="0" width="12"/>
    <col collapsed="false" customWidth="true" hidden="false" outlineLevel="0" max="12" min="9" style="0" width="1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161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162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163</v>
      </c>
      <c r="C4" s="4"/>
      <c r="D4" s="44" t="s">
        <v>164</v>
      </c>
      <c r="E4" s="44"/>
      <c r="F4" s="44"/>
      <c r="G4" s="44"/>
      <c r="H4" s="44"/>
      <c r="I4" s="44"/>
      <c r="J4" s="44"/>
      <c r="K4" s="44"/>
      <c r="L4" s="44"/>
    </row>
    <row r="5" customFormat="false" ht="19.5" hidden="false" customHeight="true" outlineLevel="0" collapsed="false">
      <c r="B5" s="4" t="s">
        <v>107</v>
      </c>
      <c r="C5" s="4"/>
      <c r="D5" s="44" t="s">
        <v>165</v>
      </c>
      <c r="E5" s="44"/>
      <c r="F5" s="44"/>
      <c r="G5" s="44"/>
      <c r="H5" s="44"/>
      <c r="I5" s="44"/>
      <c r="J5" s="44"/>
      <c r="K5" s="44"/>
      <c r="L5" s="44"/>
    </row>
    <row r="6" customFormat="false" ht="19.5" hidden="false" customHeight="true" outlineLevel="0" collapsed="false">
      <c r="B6" s="4" t="s">
        <v>166</v>
      </c>
      <c r="C6" s="4"/>
      <c r="D6" s="44" t="s">
        <v>167</v>
      </c>
      <c r="E6" s="44"/>
      <c r="F6" s="44"/>
      <c r="G6" s="44"/>
      <c r="H6" s="44"/>
      <c r="I6" s="44"/>
      <c r="J6" s="44"/>
      <c r="K6" s="44"/>
      <c r="L6" s="44"/>
    </row>
    <row r="7" customFormat="false" ht="19.5" hidden="false" customHeight="true" outlineLevel="0" collapsed="false">
      <c r="B7" s="4" t="s">
        <v>168</v>
      </c>
      <c r="C7" s="4"/>
      <c r="D7" s="44" t="s">
        <v>169</v>
      </c>
      <c r="E7" s="44"/>
      <c r="F7" s="44"/>
      <c r="G7" s="44"/>
      <c r="H7" s="44"/>
      <c r="I7" s="44"/>
      <c r="J7" s="44"/>
      <c r="K7" s="44"/>
      <c r="L7" s="44"/>
    </row>
    <row r="8" customFormat="false" ht="19.5" hidden="false" customHeight="true" outlineLevel="0" collapsed="false">
      <c r="B8" s="4" t="s">
        <v>170</v>
      </c>
      <c r="C8" s="4"/>
      <c r="D8" s="44" t="s">
        <v>171</v>
      </c>
      <c r="E8" s="44"/>
      <c r="F8" s="44"/>
      <c r="G8" s="44"/>
      <c r="H8" s="44"/>
      <c r="I8" s="44"/>
      <c r="J8" s="44"/>
      <c r="K8" s="44"/>
      <c r="L8" s="44"/>
    </row>
    <row r="9" customFormat="false" ht="19.5" hidden="false" customHeight="true" outlineLevel="0" collapsed="false">
      <c r="B9" s="4" t="s">
        <v>172</v>
      </c>
      <c r="C9" s="4"/>
      <c r="D9" s="44" t="s">
        <v>173</v>
      </c>
      <c r="E9" s="44"/>
      <c r="F9" s="44"/>
      <c r="G9" s="44"/>
      <c r="H9" s="44"/>
      <c r="I9" s="44"/>
      <c r="J9" s="44"/>
      <c r="K9" s="44"/>
      <c r="L9" s="44"/>
    </row>
    <row r="11" customFormat="false" ht="21.75" hidden="false" customHeight="true" outlineLevel="0" collapsed="false">
      <c r="B11" s="45" t="s">
        <v>174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customFormat="false" ht="24" hidden="false" customHeight="true" outlineLevel="0" collapsed="false">
      <c r="B12" s="18" t="s">
        <v>72</v>
      </c>
      <c r="C12" s="18"/>
      <c r="D12" s="18" t="s">
        <v>175</v>
      </c>
      <c r="E12" s="18" t="s">
        <v>176</v>
      </c>
      <c r="F12" s="18" t="s">
        <v>177</v>
      </c>
      <c r="G12" s="18" t="s">
        <v>178</v>
      </c>
      <c r="H12" s="18" t="s">
        <v>179</v>
      </c>
      <c r="I12" s="18" t="s">
        <v>180</v>
      </c>
      <c r="J12" s="18" t="s">
        <v>181</v>
      </c>
      <c r="K12" s="18" t="s">
        <v>95</v>
      </c>
    </row>
    <row r="13" customFormat="false" ht="21.75" hidden="false" customHeight="true" outlineLevel="0" collapsed="false">
      <c r="B13" s="46" t="s">
        <v>182</v>
      </c>
      <c r="C13" s="46"/>
      <c r="D13" s="47" t="n">
        <v>3</v>
      </c>
      <c r="E13" s="47" t="n">
        <v>2</v>
      </c>
      <c r="F13" s="47" t="n">
        <v>4</v>
      </c>
      <c r="G13" s="47" t="n">
        <v>5</v>
      </c>
      <c r="H13" s="47" t="n">
        <v>36</v>
      </c>
      <c r="I13" s="47" t="n">
        <v>38</v>
      </c>
      <c r="J13" s="47" t="n">
        <v>4</v>
      </c>
      <c r="K13" s="18" t="n">
        <f aca="false">SUM(D13:J13)</f>
        <v>92</v>
      </c>
    </row>
    <row r="14" customFormat="false" ht="21.75" hidden="false" customHeight="true" outlineLevel="0" collapsed="false">
      <c r="B14" s="46" t="s">
        <v>81</v>
      </c>
      <c r="C14" s="46"/>
      <c r="D14" s="47" t="n">
        <v>1</v>
      </c>
      <c r="E14" s="47" t="n">
        <v>1</v>
      </c>
      <c r="F14" s="47" t="n">
        <v>2</v>
      </c>
      <c r="G14" s="47" t="n">
        <v>3</v>
      </c>
      <c r="H14" s="47" t="n">
        <v>20</v>
      </c>
      <c r="I14" s="47" t="n">
        <v>24</v>
      </c>
      <c r="J14" s="47" t="n">
        <v>3</v>
      </c>
      <c r="K14" s="18" t="n">
        <f aca="false">SUM(D14:J14)</f>
        <v>54</v>
      </c>
    </row>
    <row r="15" customFormat="false" ht="21.75" hidden="false" customHeight="true" outlineLevel="0" collapsed="false">
      <c r="B15" s="46" t="s">
        <v>183</v>
      </c>
      <c r="C15" s="46"/>
      <c r="D15" s="47" t="n">
        <v>3</v>
      </c>
      <c r="E15" s="47" t="n">
        <v>4</v>
      </c>
      <c r="F15" s="47" t="n">
        <v>3</v>
      </c>
      <c r="G15" s="47" t="n">
        <v>4</v>
      </c>
      <c r="H15" s="47" t="n">
        <v>6</v>
      </c>
      <c r="I15" s="47" t="n">
        <v>6</v>
      </c>
      <c r="J15" s="47" t="n">
        <v>4</v>
      </c>
      <c r="K15" s="18" t="n">
        <f aca="false">SUM(D15:J15)</f>
        <v>30</v>
      </c>
    </row>
    <row r="16" customFormat="false" ht="21.75" hidden="false" customHeight="true" outlineLevel="0" collapsed="false">
      <c r="B16" s="46" t="s">
        <v>184</v>
      </c>
      <c r="C16" s="46"/>
      <c r="D16" s="47" t="n">
        <v>1</v>
      </c>
      <c r="E16" s="47" t="n">
        <v>1</v>
      </c>
      <c r="F16" s="47" t="n">
        <v>1</v>
      </c>
      <c r="G16" s="47" t="n">
        <v>2</v>
      </c>
      <c r="H16" s="47" t="n">
        <v>2</v>
      </c>
      <c r="I16" s="47" t="n">
        <v>2</v>
      </c>
      <c r="J16" s="47" t="n">
        <v>1</v>
      </c>
      <c r="K16" s="18" t="n">
        <f aca="false">SUM(D16:J16)</f>
        <v>10</v>
      </c>
    </row>
    <row r="17" customFormat="false" ht="21.75" hidden="false" customHeight="true" outlineLevel="0" collapsed="false">
      <c r="B17" s="46" t="s">
        <v>85</v>
      </c>
      <c r="C17" s="46"/>
      <c r="D17" s="47" t="n">
        <v>2</v>
      </c>
      <c r="E17" s="47" t="n">
        <v>1</v>
      </c>
      <c r="F17" s="47" t="n">
        <v>2</v>
      </c>
      <c r="G17" s="47" t="n">
        <v>2</v>
      </c>
      <c r="H17" s="47" t="n">
        <v>3</v>
      </c>
      <c r="I17" s="47" t="n">
        <v>3</v>
      </c>
      <c r="J17" s="47" t="n">
        <v>1</v>
      </c>
      <c r="K17" s="18" t="n">
        <f aca="false">SUM(D17:J17)</f>
        <v>14</v>
      </c>
    </row>
    <row r="18" customFormat="false" ht="21.75" hidden="false" customHeight="true" outlineLevel="0" collapsed="false">
      <c r="B18" s="15" t="s">
        <v>95</v>
      </c>
      <c r="C18" s="15"/>
      <c r="D18" s="20" t="n">
        <f aca="false">SUM(D13:D17)</f>
        <v>10</v>
      </c>
      <c r="E18" s="20" t="n">
        <f aca="false">SUM(E13:E17)</f>
        <v>9</v>
      </c>
      <c r="F18" s="20" t="n">
        <f aca="false">SUM(F13:F17)</f>
        <v>12</v>
      </c>
      <c r="G18" s="20" t="n">
        <f aca="false">SUM(G13:G17)</f>
        <v>16</v>
      </c>
      <c r="H18" s="20" t="n">
        <f aca="false">SUM(H13:H17)</f>
        <v>67</v>
      </c>
      <c r="I18" s="20" t="n">
        <f aca="false">SUM(I13:I17)</f>
        <v>73</v>
      </c>
      <c r="J18" s="20" t="n">
        <f aca="false">SUM(J13:J17)</f>
        <v>13</v>
      </c>
      <c r="K18" s="18" t="n">
        <f aca="false">SUM(K13:K17)</f>
        <v>200</v>
      </c>
    </row>
    <row r="19" customFormat="false" ht="21.75" hidden="false" customHeight="true" outlineLevel="0" collapsed="false">
      <c r="B19" s="15" t="s">
        <v>96</v>
      </c>
      <c r="C19" s="15"/>
      <c r="D19" s="19" t="n">
        <f aca="false">D18/$K$18</f>
        <v>0.05</v>
      </c>
      <c r="E19" s="19" t="n">
        <f aca="false">E18/$K$18</f>
        <v>0.045</v>
      </c>
      <c r="F19" s="19" t="n">
        <f aca="false">F18/$K$18</f>
        <v>0.06</v>
      </c>
      <c r="G19" s="19" t="n">
        <f aca="false">G18/$K$18</f>
        <v>0.08</v>
      </c>
      <c r="H19" s="19" t="n">
        <f aca="false">H18/$K$18</f>
        <v>0.335</v>
      </c>
      <c r="I19" s="19" t="n">
        <f aca="false">I18/$K$18</f>
        <v>0.365</v>
      </c>
      <c r="J19" s="19" t="n">
        <f aca="false">J18/$K$18</f>
        <v>0.065</v>
      </c>
      <c r="K19" s="19" t="n">
        <f aca="false">K18/$K$18</f>
        <v>1</v>
      </c>
    </row>
    <row r="21" customFormat="false" ht="21.75" hidden="false" customHeight="true" outlineLevel="0" collapsed="false">
      <c r="B21" s="48" t="s">
        <v>185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customFormat="false" ht="30" hidden="false" customHeight="true" outlineLevel="0" collapsed="false">
      <c r="B22" s="18" t="s">
        <v>14</v>
      </c>
      <c r="C22" s="18" t="s">
        <v>186</v>
      </c>
      <c r="D22" s="18" t="s">
        <v>187</v>
      </c>
      <c r="E22" s="18" t="s">
        <v>188</v>
      </c>
      <c r="F22" s="18" t="s">
        <v>110</v>
      </c>
      <c r="G22" s="18" t="s">
        <v>18</v>
      </c>
      <c r="H22" s="18"/>
      <c r="I22" s="18" t="s">
        <v>115</v>
      </c>
      <c r="J22" s="18" t="s">
        <v>189</v>
      </c>
      <c r="K22" s="18"/>
    </row>
    <row r="23" customFormat="false" ht="21.75" hidden="false" customHeight="true" outlineLevel="0" collapsed="false">
      <c r="B23" s="11" t="n">
        <v>1</v>
      </c>
      <c r="C23" s="46" t="s">
        <v>182</v>
      </c>
      <c r="D23" s="47" t="n">
        <v>92</v>
      </c>
      <c r="E23" s="19" t="n">
        <f aca="false">D23/SUM(D$23:D$27)</f>
        <v>0.46</v>
      </c>
      <c r="F23" s="19" t="n">
        <f aca="false">SUM(D$23:D23)/SUM(D$23:D$27)</f>
        <v>0.46</v>
      </c>
      <c r="G23" s="13" t="str">
        <f aca="false">IF(C23="Outros","Outros",IF(ROUND(F23-E23,6)&lt;0.8,"Prioridade","Depois"))</f>
        <v>Prioridade</v>
      </c>
      <c r="H23" s="13"/>
      <c r="I23" s="31" t="n">
        <v>0.8</v>
      </c>
      <c r="J23" s="38" t="n">
        <f aca="false">100*D23/1110</f>
        <v>8.28828828828829</v>
      </c>
      <c r="K23" s="38"/>
    </row>
    <row r="24" customFormat="false" ht="21.75" hidden="false" customHeight="true" outlineLevel="0" collapsed="false">
      <c r="B24" s="11" t="n">
        <v>2</v>
      </c>
      <c r="C24" s="46" t="s">
        <v>81</v>
      </c>
      <c r="D24" s="47" t="n">
        <v>54</v>
      </c>
      <c r="E24" s="19" t="n">
        <f aca="false">D24/SUM(D$23:D$27)</f>
        <v>0.27</v>
      </c>
      <c r="F24" s="19" t="n">
        <f aca="false">SUM(D$23:D24)/SUM(D$23:D$27)</f>
        <v>0.73</v>
      </c>
      <c r="G24" s="13" t="str">
        <f aca="false">IF(C24="Outros","Outros",IF(ROUND(F24-E24,6)&lt;0.8,"Prioridade","Depois"))</f>
        <v>Prioridade</v>
      </c>
      <c r="H24" s="13"/>
      <c r="I24" s="31" t="n">
        <v>0.8</v>
      </c>
      <c r="J24" s="38" t="n">
        <f aca="false">100*D24/1110</f>
        <v>4.86486486486487</v>
      </c>
      <c r="K24" s="38"/>
    </row>
    <row r="25" customFormat="false" ht="21.75" hidden="false" customHeight="true" outlineLevel="0" collapsed="false">
      <c r="B25" s="11" t="n">
        <v>3</v>
      </c>
      <c r="C25" s="46" t="s">
        <v>183</v>
      </c>
      <c r="D25" s="47" t="n">
        <v>30</v>
      </c>
      <c r="E25" s="19" t="n">
        <f aca="false">D25/SUM(D$23:D$27)</f>
        <v>0.15</v>
      </c>
      <c r="F25" s="19" t="n">
        <f aca="false">SUM(D$23:D25)/SUM(D$23:D$27)</f>
        <v>0.88</v>
      </c>
      <c r="G25" s="13" t="str">
        <f aca="false">IF(C25="Outros","Outros",IF(ROUND(F25-E25,6)&lt;0.8,"Prioridade","Depois"))</f>
        <v>Prioridade</v>
      </c>
      <c r="H25" s="13"/>
      <c r="I25" s="31" t="n">
        <v>0.8</v>
      </c>
      <c r="J25" s="38" t="n">
        <f aca="false">100*D25/1110</f>
        <v>2.7027027027027</v>
      </c>
      <c r="K25" s="38"/>
    </row>
    <row r="26" customFormat="false" ht="21.75" hidden="false" customHeight="true" outlineLevel="0" collapsed="false">
      <c r="B26" s="11" t="n">
        <v>4</v>
      </c>
      <c r="C26" s="46" t="s">
        <v>184</v>
      </c>
      <c r="D26" s="47" t="n">
        <v>10</v>
      </c>
      <c r="E26" s="19" t="n">
        <f aca="false">D26/SUM(D$23:D$27)</f>
        <v>0.05</v>
      </c>
      <c r="F26" s="19" t="n">
        <f aca="false">SUM(D$23:D26)/SUM(D$23:D$27)</f>
        <v>0.93</v>
      </c>
      <c r="G26" s="13" t="str">
        <f aca="false">IF(C26="Outros","Outros",IF(ROUND(F26-E26,6)&lt;0.8,"Prioridade","Depois"))</f>
        <v>Depois</v>
      </c>
      <c r="H26" s="13"/>
      <c r="I26" s="31" t="n">
        <v>0.8</v>
      </c>
      <c r="J26" s="38" t="n">
        <f aca="false">100*D26/1110</f>
        <v>0.900900900900901</v>
      </c>
      <c r="K26" s="38"/>
    </row>
    <row r="27" customFormat="false" ht="21.75" hidden="false" customHeight="true" outlineLevel="0" collapsed="false">
      <c r="B27" s="11" t="n">
        <v>5</v>
      </c>
      <c r="C27" s="46" t="s">
        <v>85</v>
      </c>
      <c r="D27" s="47" t="n">
        <v>14</v>
      </c>
      <c r="E27" s="19" t="n">
        <f aca="false">D27/SUM(D$23:D$27)</f>
        <v>0.07</v>
      </c>
      <c r="F27" s="19" t="n">
        <f aca="false">SUM(D$23:D27)/SUM(D$23:D$27)</f>
        <v>1</v>
      </c>
      <c r="G27" s="13" t="str">
        <f aca="false">IF(C27="Outros","Outros",IF(ROUND(F27-E27,6)&lt;0.8,"Prioridade","Depois"))</f>
        <v>Outros</v>
      </c>
      <c r="H27" s="13"/>
      <c r="I27" s="31" t="n">
        <v>0.8</v>
      </c>
      <c r="J27" s="38" t="n">
        <f aca="false">100*D27/1110</f>
        <v>1.26126126126126</v>
      </c>
      <c r="K27" s="38"/>
    </row>
    <row r="28" customFormat="false" ht="21.75" hidden="false" customHeight="true" outlineLevel="0" collapsed="false">
      <c r="B28" s="15" t="s">
        <v>95</v>
      </c>
      <c r="C28" s="15"/>
      <c r="D28" s="18" t="n">
        <f aca="false">SUM(D23:D27)</f>
        <v>200</v>
      </c>
      <c r="E28" s="43" t="n">
        <f aca="false">SUM(E23:E27)</f>
        <v>1</v>
      </c>
      <c r="F28" s="6"/>
      <c r="G28" s="6"/>
      <c r="H28" s="6"/>
      <c r="I28" s="6"/>
      <c r="J28" s="40" t="n">
        <f aca="false">100*D28/1110</f>
        <v>18.018018018018</v>
      </c>
      <c r="K28" s="40"/>
    </row>
    <row r="49" customFormat="false" ht="21.75" hidden="false" customHeight="true" outlineLevel="0" collapsed="false">
      <c r="B49" s="49" t="s">
        <v>190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customFormat="false" ht="30" hidden="false" customHeight="true" outlineLevel="0" collapsed="false">
      <c r="B50" s="18" t="s">
        <v>186</v>
      </c>
      <c r="C50" s="18"/>
      <c r="D50" s="18" t="s">
        <v>126</v>
      </c>
      <c r="E50" s="18" t="s">
        <v>127</v>
      </c>
      <c r="F50" s="18" t="s">
        <v>191</v>
      </c>
      <c r="G50" s="18" t="s">
        <v>192</v>
      </c>
      <c r="H50" s="18" t="s">
        <v>130</v>
      </c>
      <c r="I50" s="18" t="s">
        <v>131</v>
      </c>
      <c r="J50" s="18"/>
    </row>
    <row r="51" customFormat="false" ht="21.75" hidden="false" customHeight="true" outlineLevel="0" collapsed="false">
      <c r="B51" s="46" t="s">
        <v>182</v>
      </c>
      <c r="C51" s="46"/>
      <c r="D51" s="47" t="n">
        <v>92</v>
      </c>
      <c r="E51" s="47" t="n">
        <v>9</v>
      </c>
      <c r="F51" s="38" t="n">
        <f aca="false">100*D51/1110</f>
        <v>8.28828828828829</v>
      </c>
      <c r="G51" s="38" t="n">
        <f aca="false">100*E51/1380</f>
        <v>0.652173913043478</v>
      </c>
      <c r="H51" s="41" t="n">
        <f aca="false">(G51-F51)/F51</f>
        <v>-0.921313799621928</v>
      </c>
      <c r="I51" s="13" t="str">
        <f aca="false">IF(G51&lt;F51,"Caiu",IF(G51&gt;F51,"Subiu","Igual"))</f>
        <v>Caiu</v>
      </c>
      <c r="J51" s="13"/>
    </row>
    <row r="52" customFormat="false" ht="21.75" hidden="false" customHeight="true" outlineLevel="0" collapsed="false">
      <c r="B52" s="46" t="s">
        <v>81</v>
      </c>
      <c r="C52" s="46"/>
      <c r="D52" s="47" t="n">
        <v>54</v>
      </c>
      <c r="E52" s="47" t="n">
        <v>38</v>
      </c>
      <c r="F52" s="38" t="n">
        <f aca="false">100*D52/1110</f>
        <v>4.86486486486487</v>
      </c>
      <c r="G52" s="38" t="n">
        <f aca="false">100*E52/1380</f>
        <v>2.7536231884058</v>
      </c>
      <c r="H52" s="41" t="n">
        <f aca="false">(G52-F52)/F52</f>
        <v>-0.433977455716586</v>
      </c>
      <c r="I52" s="13" t="str">
        <f aca="false">IF(G52&lt;F52,"Caiu",IF(G52&gt;F52,"Subiu","Igual"))</f>
        <v>Caiu</v>
      </c>
      <c r="J52" s="13"/>
    </row>
    <row r="53" customFormat="false" ht="21.75" hidden="false" customHeight="true" outlineLevel="0" collapsed="false">
      <c r="B53" s="46" t="s">
        <v>183</v>
      </c>
      <c r="C53" s="46"/>
      <c r="D53" s="47" t="n">
        <v>30</v>
      </c>
      <c r="E53" s="47" t="n">
        <v>2</v>
      </c>
      <c r="F53" s="38" t="n">
        <f aca="false">100*D53/1110</f>
        <v>2.7027027027027</v>
      </c>
      <c r="G53" s="38" t="n">
        <f aca="false">100*E53/1380</f>
        <v>0.144927536231884</v>
      </c>
      <c r="H53" s="41" t="n">
        <f aca="false">(G53-F53)/F53</f>
        <v>-0.946376811594203</v>
      </c>
      <c r="I53" s="13" t="str">
        <f aca="false">IF(G53&lt;F53,"Caiu",IF(G53&gt;F53,"Subiu","Igual"))</f>
        <v>Caiu</v>
      </c>
      <c r="J53" s="13"/>
    </row>
    <row r="54" customFormat="false" ht="21.75" hidden="false" customHeight="true" outlineLevel="0" collapsed="false">
      <c r="B54" s="46" t="s">
        <v>184</v>
      </c>
      <c r="C54" s="46"/>
      <c r="D54" s="47" t="n">
        <v>10</v>
      </c>
      <c r="E54" s="47" t="n">
        <v>6</v>
      </c>
      <c r="F54" s="38" t="n">
        <f aca="false">100*D54/1110</f>
        <v>0.900900900900901</v>
      </c>
      <c r="G54" s="38" t="n">
        <f aca="false">100*E54/1380</f>
        <v>0.434782608695652</v>
      </c>
      <c r="H54" s="41" t="n">
        <f aca="false">(G54-F54)/F54</f>
        <v>-0.517391304347826</v>
      </c>
      <c r="I54" s="13" t="str">
        <f aca="false">IF(G54&lt;F54,"Caiu",IF(G54&gt;F54,"Subiu","Igual"))</f>
        <v>Caiu</v>
      </c>
      <c r="J54" s="13"/>
    </row>
    <row r="55" customFormat="false" ht="21.75" hidden="false" customHeight="true" outlineLevel="0" collapsed="false">
      <c r="B55" s="46" t="s">
        <v>85</v>
      </c>
      <c r="C55" s="46"/>
      <c r="D55" s="47" t="n">
        <v>14</v>
      </c>
      <c r="E55" s="47" t="n">
        <v>7</v>
      </c>
      <c r="F55" s="38" t="n">
        <f aca="false">100*D55/1110</f>
        <v>1.26126126126126</v>
      </c>
      <c r="G55" s="38" t="n">
        <f aca="false">100*E55/1380</f>
        <v>0.507246376811594</v>
      </c>
      <c r="H55" s="41" t="n">
        <f aca="false">(G55-F55)/F55</f>
        <v>-0.597826086956522</v>
      </c>
      <c r="I55" s="13" t="str">
        <f aca="false">IF(G55&lt;F55,"Caiu",IF(G55&gt;F55,"Subiu","Igual"))</f>
        <v>Caiu</v>
      </c>
      <c r="J55" s="13"/>
    </row>
    <row r="56" customFormat="false" ht="21.75" hidden="false" customHeight="true" outlineLevel="0" collapsed="false">
      <c r="B56" s="15" t="s">
        <v>95</v>
      </c>
      <c r="C56" s="15"/>
      <c r="D56" s="18" t="n">
        <f aca="false">SUM(D51:D55)</f>
        <v>200</v>
      </c>
      <c r="E56" s="18" t="n">
        <f aca="false">SUM(E51:E55)</f>
        <v>62</v>
      </c>
      <c r="F56" s="40" t="n">
        <f aca="false">100*D56/1110</f>
        <v>18.018018018018</v>
      </c>
      <c r="G56" s="40" t="n">
        <f aca="false">100*E56/1380</f>
        <v>4.49275362318841</v>
      </c>
      <c r="H56" s="41" t="n">
        <f aca="false">(G56-F56)/F56</f>
        <v>-0.750652173913044</v>
      </c>
      <c r="I56" s="6"/>
      <c r="J56" s="6"/>
    </row>
    <row r="58" customFormat="false" ht="21.75" hidden="false" customHeight="true" outlineLevel="0" collapsed="false">
      <c r="B58" s="14" t="s">
        <v>88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customFormat="false" ht="21.75" hidden="false" customHeight="true" outlineLevel="0" collapsed="false">
      <c r="B59" s="15" t="s">
        <v>193</v>
      </c>
      <c r="C59" s="15"/>
      <c r="D59" s="15"/>
      <c r="E59" s="15"/>
      <c r="F59" s="21" t="n">
        <f aca="false">D28</f>
        <v>200</v>
      </c>
      <c r="G59" s="21"/>
      <c r="H59" s="21"/>
      <c r="I59" s="21"/>
      <c r="J59" s="21"/>
      <c r="K59" s="21"/>
      <c r="L59" s="21"/>
    </row>
    <row r="60" customFormat="false" ht="21.75" hidden="false" customHeight="true" outlineLevel="0" collapsed="false">
      <c r="B60" s="15" t="s">
        <v>117</v>
      </c>
      <c r="C60" s="15"/>
      <c r="D60" s="15"/>
      <c r="E60" s="15"/>
      <c r="F60" s="21" t="str">
        <f aca="false">C23&amp;" · "&amp;TEXT(E23,"0%")</f>
        <v>Pizza pronta esperando entregador · 46%</v>
      </c>
      <c r="G60" s="21"/>
      <c r="H60" s="21"/>
      <c r="I60" s="21"/>
      <c r="J60" s="21"/>
      <c r="K60" s="21"/>
      <c r="L60" s="21"/>
    </row>
    <row r="61" customFormat="false" ht="21.75" hidden="false" customHeight="true" outlineLevel="0" collapsed="false">
      <c r="B61" s="15" t="s">
        <v>118</v>
      </c>
      <c r="C61" s="15"/>
      <c r="D61" s="15"/>
      <c r="E61" s="15"/>
      <c r="F61" s="21" t="str">
        <f aca="false">COUNTIF(G23:H27,"Prioridade")&amp;" categorias, com "&amp;TEXT(INDEX(F23:F27,COUNTIF(G23:H27,"Prioridade")),"0%")&amp;" do total"</f>
        <v>3 categorias, com 88% do total</v>
      </c>
      <c r="G61" s="21"/>
      <c r="H61" s="21"/>
      <c r="I61" s="21"/>
      <c r="J61" s="21"/>
      <c r="K61" s="21"/>
      <c r="L61" s="21"/>
    </row>
    <row r="62" customFormat="false" ht="21.75" hidden="false" customHeight="true" outlineLevel="0" collapsed="false">
      <c r="B62" s="15" t="s">
        <v>194</v>
      </c>
      <c r="C62" s="15"/>
      <c r="D62" s="15"/>
      <c r="E62" s="15"/>
      <c r="F62" s="21" t="str">
        <f aca="false">TEXT(F56,"0,0")&amp;" → "&amp;TEXT(G56,"0,0")</f>
        <v>18,0 → 4,5</v>
      </c>
      <c r="G62" s="21"/>
      <c r="H62" s="21"/>
      <c r="I62" s="21"/>
      <c r="J62" s="21"/>
      <c r="K62" s="21"/>
      <c r="L62" s="21"/>
    </row>
    <row r="63" customFormat="false" ht="21.75" hidden="false" customHeight="true" outlineLevel="0" collapsed="false">
      <c r="B63" s="15" t="s">
        <v>137</v>
      </c>
      <c r="C63" s="15"/>
      <c r="D63" s="15"/>
      <c r="E63" s="15"/>
      <c r="F63" s="21" t="str">
        <f aca="false">INDEX(B51:B55,MATCH(MAX(E51:E54),E51:E54,0))</f>
        <v>Fila no forno</v>
      </c>
      <c r="G63" s="21"/>
      <c r="H63" s="21"/>
      <c r="I63" s="21"/>
      <c r="J63" s="21"/>
      <c r="K63" s="21"/>
      <c r="L63" s="21"/>
    </row>
  </sheetData>
  <mergeCells count="65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9:C9"/>
    <mergeCell ref="D9:L9"/>
    <mergeCell ref="B11:L11"/>
    <mergeCell ref="B12:C12"/>
    <mergeCell ref="B13:C13"/>
    <mergeCell ref="B14:C14"/>
    <mergeCell ref="B15:C15"/>
    <mergeCell ref="B16:C16"/>
    <mergeCell ref="B17:C17"/>
    <mergeCell ref="B18:C18"/>
    <mergeCell ref="B19:C19"/>
    <mergeCell ref="B21:L21"/>
    <mergeCell ref="G22:H22"/>
    <mergeCell ref="J22:K22"/>
    <mergeCell ref="G23:H23"/>
    <mergeCell ref="J23:K23"/>
    <mergeCell ref="G24:H24"/>
    <mergeCell ref="J24:K24"/>
    <mergeCell ref="G25:H25"/>
    <mergeCell ref="J25:K25"/>
    <mergeCell ref="G26:H26"/>
    <mergeCell ref="J26:K26"/>
    <mergeCell ref="G27:H27"/>
    <mergeCell ref="J27:K27"/>
    <mergeCell ref="B28:C28"/>
    <mergeCell ref="G28:H28"/>
    <mergeCell ref="J28:K28"/>
    <mergeCell ref="B49:L49"/>
    <mergeCell ref="B50:C50"/>
    <mergeCell ref="I50:J50"/>
    <mergeCell ref="B51:C51"/>
    <mergeCell ref="I51:J51"/>
    <mergeCell ref="B52:C52"/>
    <mergeCell ref="I52:J52"/>
    <mergeCell ref="B53:C53"/>
    <mergeCell ref="I53:J53"/>
    <mergeCell ref="B54:C54"/>
    <mergeCell ref="I54:J54"/>
    <mergeCell ref="B55:C55"/>
    <mergeCell ref="I55:J55"/>
    <mergeCell ref="B56:C56"/>
    <mergeCell ref="I56:J56"/>
    <mergeCell ref="B58:L58"/>
    <mergeCell ref="B59:E59"/>
    <mergeCell ref="F59:L59"/>
    <mergeCell ref="B60:E60"/>
    <mergeCell ref="F60:L60"/>
    <mergeCell ref="B61:E61"/>
    <mergeCell ref="F61:L61"/>
    <mergeCell ref="B62:E62"/>
    <mergeCell ref="F62:L62"/>
    <mergeCell ref="B63:E63"/>
    <mergeCell ref="F63:L63"/>
  </mergeCells>
  <conditionalFormatting sqref="D18:J18">
    <cfRule type="expression" priority="2" aboveAverage="0" equalAverage="0" bottom="0" percent="0" rank="0" text="" dxfId="2">
      <formula>D18=MAX($D$18:$J$18)</formula>
    </cfRule>
  </conditionalFormatting>
  <conditionalFormatting sqref="G23:H27">
    <cfRule type="expression" priority="3" aboveAverage="0" equalAverage="0" bottom="0" percent="0" rank="0" text="" dxfId="2">
      <formula>G23="Prioridade"</formula>
    </cfRule>
  </conditionalFormatting>
  <conditionalFormatting sqref="I51:J55">
    <cfRule type="expression" priority="4" aboveAverage="0" equalAverage="0" bottom="0" percent="0" rank="0" text="" dxfId="0">
      <formula>I51="Caiu"</formula>
    </cfRule>
    <cfRule type="expression" priority="5" aboveAverage="0" equalAverage="0" bottom="0" percent="0" rank="0" text="" dxfId="4">
      <formula>I51="Subiu"</formula>
    </cfRule>
    <cfRule type="expression" priority="6" aboveAverage="0" equalAverage="0" bottom="0" percent="0" rank="0" text="" dxfId="1">
      <formula>I51="Igual"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0" man="true" max="16383" min="0"/>
    <brk id="48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8" min="4" style="0" width="12"/>
    <col collapsed="false" customWidth="true" hidden="false" outlineLevel="0" max="12" min="9" style="0" width="1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161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162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163</v>
      </c>
      <c r="C4" s="4"/>
      <c r="D4" s="44" t="s">
        <v>195</v>
      </c>
      <c r="E4" s="44"/>
      <c r="F4" s="44"/>
      <c r="G4" s="44"/>
      <c r="H4" s="44"/>
      <c r="I4" s="44"/>
      <c r="J4" s="44"/>
      <c r="K4" s="44"/>
      <c r="L4" s="44"/>
    </row>
    <row r="5" customFormat="false" ht="19.5" hidden="false" customHeight="true" outlineLevel="0" collapsed="false">
      <c r="B5" s="4" t="s">
        <v>107</v>
      </c>
      <c r="C5" s="4"/>
      <c r="D5" s="44" t="s">
        <v>196</v>
      </c>
      <c r="E5" s="44"/>
      <c r="F5" s="44"/>
      <c r="G5" s="44"/>
      <c r="H5" s="44"/>
      <c r="I5" s="44"/>
      <c r="J5" s="44"/>
      <c r="K5" s="44"/>
      <c r="L5" s="44"/>
    </row>
    <row r="6" customFormat="false" ht="19.5" hidden="false" customHeight="true" outlineLevel="0" collapsed="false">
      <c r="B6" s="4" t="s">
        <v>166</v>
      </c>
      <c r="C6" s="4"/>
      <c r="D6" s="44" t="s">
        <v>197</v>
      </c>
      <c r="E6" s="44"/>
      <c r="F6" s="44"/>
      <c r="G6" s="44"/>
      <c r="H6" s="44"/>
      <c r="I6" s="44"/>
      <c r="J6" s="44"/>
      <c r="K6" s="44"/>
      <c r="L6" s="44"/>
    </row>
    <row r="7" customFormat="false" ht="19.5" hidden="false" customHeight="true" outlineLevel="0" collapsed="false">
      <c r="B7" s="4" t="s">
        <v>168</v>
      </c>
      <c r="C7" s="4"/>
      <c r="D7" s="44" t="s">
        <v>198</v>
      </c>
      <c r="E7" s="44"/>
      <c r="F7" s="44"/>
      <c r="G7" s="44"/>
      <c r="H7" s="44"/>
      <c r="I7" s="44"/>
      <c r="J7" s="44"/>
      <c r="K7" s="44"/>
      <c r="L7" s="44"/>
    </row>
    <row r="8" customFormat="false" ht="19.5" hidden="false" customHeight="true" outlineLevel="0" collapsed="false">
      <c r="B8" s="4" t="s">
        <v>170</v>
      </c>
      <c r="C8" s="4"/>
      <c r="D8" s="44" t="s">
        <v>199</v>
      </c>
      <c r="E8" s="44"/>
      <c r="F8" s="44"/>
      <c r="G8" s="44"/>
      <c r="H8" s="44"/>
      <c r="I8" s="44"/>
      <c r="J8" s="44"/>
      <c r="K8" s="44"/>
      <c r="L8" s="44"/>
    </row>
    <row r="9" customFormat="false" ht="19.5" hidden="false" customHeight="true" outlineLevel="0" collapsed="false">
      <c r="B9" s="4" t="s">
        <v>172</v>
      </c>
      <c r="C9" s="4"/>
      <c r="D9" s="44" t="s">
        <v>200</v>
      </c>
      <c r="E9" s="44"/>
      <c r="F9" s="44"/>
      <c r="G9" s="44"/>
      <c r="H9" s="44"/>
      <c r="I9" s="44"/>
      <c r="J9" s="44"/>
      <c r="K9" s="44"/>
      <c r="L9" s="44"/>
    </row>
    <row r="11" customFormat="false" ht="21.75" hidden="false" customHeight="true" outlineLevel="0" collapsed="false">
      <c r="B11" s="45" t="s">
        <v>201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customFormat="false" ht="30" hidden="false" customHeight="true" outlineLevel="0" collapsed="false">
      <c r="B12" s="18" t="s">
        <v>72</v>
      </c>
      <c r="C12" s="18"/>
      <c r="D12" s="18" t="s">
        <v>202</v>
      </c>
      <c r="E12" s="18" t="s">
        <v>203</v>
      </c>
      <c r="F12" s="18" t="s">
        <v>204</v>
      </c>
      <c r="G12" s="18" t="s">
        <v>205</v>
      </c>
      <c r="H12" s="18" t="s">
        <v>206</v>
      </c>
      <c r="I12" s="18" t="s">
        <v>95</v>
      </c>
    </row>
    <row r="13" customFormat="false" ht="21.75" hidden="false" customHeight="true" outlineLevel="0" collapsed="false">
      <c r="B13" s="46" t="s">
        <v>207</v>
      </c>
      <c r="C13" s="46"/>
      <c r="D13" s="47" t="n">
        <v>24</v>
      </c>
      <c r="E13" s="47" t="n">
        <v>7</v>
      </c>
      <c r="F13" s="47" t="n">
        <v>4</v>
      </c>
      <c r="G13" s="47" t="n">
        <v>2</v>
      </c>
      <c r="H13" s="47" t="n">
        <v>1</v>
      </c>
      <c r="I13" s="18" t="n">
        <f aca="false">SUM(D13:H13)</f>
        <v>38</v>
      </c>
    </row>
    <row r="14" customFormat="false" ht="21.75" hidden="false" customHeight="true" outlineLevel="0" collapsed="false">
      <c r="B14" s="46" t="s">
        <v>208</v>
      </c>
      <c r="C14" s="46"/>
      <c r="D14" s="47" t="n">
        <v>8</v>
      </c>
      <c r="E14" s="47" t="n">
        <v>6</v>
      </c>
      <c r="F14" s="47" t="n">
        <v>2</v>
      </c>
      <c r="G14" s="47" t="n">
        <v>2</v>
      </c>
      <c r="H14" s="47" t="n">
        <v>1</v>
      </c>
      <c r="I14" s="18" t="n">
        <f aca="false">SUM(D14:H14)</f>
        <v>19</v>
      </c>
    </row>
    <row r="15" customFormat="false" ht="21.75" hidden="false" customHeight="true" outlineLevel="0" collapsed="false">
      <c r="B15" s="46" t="s">
        <v>209</v>
      </c>
      <c r="C15" s="46"/>
      <c r="D15" s="47" t="n">
        <v>4</v>
      </c>
      <c r="E15" s="47" t="n">
        <v>3</v>
      </c>
      <c r="F15" s="47" t="n">
        <v>2</v>
      </c>
      <c r="G15" s="47" t="n">
        <v>2</v>
      </c>
      <c r="H15" s="47" t="n">
        <v>4</v>
      </c>
      <c r="I15" s="18" t="n">
        <f aca="false">SUM(D15:H15)</f>
        <v>15</v>
      </c>
    </row>
    <row r="16" customFormat="false" ht="21.75" hidden="false" customHeight="true" outlineLevel="0" collapsed="false">
      <c r="B16" s="46" t="s">
        <v>210</v>
      </c>
      <c r="C16" s="46"/>
      <c r="D16" s="47" t="n">
        <v>8</v>
      </c>
      <c r="E16" s="47" t="n">
        <v>3</v>
      </c>
      <c r="F16" s="47" t="n">
        <v>1</v>
      </c>
      <c r="G16" s="47" t="n">
        <v>1</v>
      </c>
      <c r="H16" s="47" t="n">
        <v>0</v>
      </c>
      <c r="I16" s="18" t="n">
        <f aca="false">SUM(D16:H16)</f>
        <v>13</v>
      </c>
    </row>
    <row r="17" customFormat="false" ht="21.75" hidden="false" customHeight="true" outlineLevel="0" collapsed="false">
      <c r="B17" s="46" t="s">
        <v>211</v>
      </c>
      <c r="C17" s="46"/>
      <c r="D17" s="47" t="n">
        <v>2</v>
      </c>
      <c r="E17" s="47" t="n">
        <v>2</v>
      </c>
      <c r="F17" s="47" t="n">
        <v>1</v>
      </c>
      <c r="G17" s="47" t="n">
        <v>1</v>
      </c>
      <c r="H17" s="47" t="n">
        <v>2</v>
      </c>
      <c r="I17" s="18" t="n">
        <f aca="false">SUM(D17:H17)</f>
        <v>8</v>
      </c>
    </row>
    <row r="18" customFormat="false" ht="21.75" hidden="false" customHeight="true" outlineLevel="0" collapsed="false">
      <c r="B18" s="46" t="s">
        <v>85</v>
      </c>
      <c r="C18" s="46"/>
      <c r="D18" s="47" t="n">
        <v>2</v>
      </c>
      <c r="E18" s="47" t="n">
        <v>2</v>
      </c>
      <c r="F18" s="47" t="n">
        <v>1</v>
      </c>
      <c r="G18" s="47" t="n">
        <v>1</v>
      </c>
      <c r="H18" s="47" t="n">
        <v>1</v>
      </c>
      <c r="I18" s="18" t="n">
        <f aca="false">SUM(D18:H18)</f>
        <v>7</v>
      </c>
    </row>
    <row r="19" customFormat="false" ht="21.75" hidden="false" customHeight="true" outlineLevel="0" collapsed="false">
      <c r="B19" s="15" t="s">
        <v>95</v>
      </c>
      <c r="C19" s="15"/>
      <c r="D19" s="20" t="n">
        <f aca="false">SUM(D13:D18)</f>
        <v>48</v>
      </c>
      <c r="E19" s="20" t="n">
        <f aca="false">SUM(E13:E18)</f>
        <v>23</v>
      </c>
      <c r="F19" s="20" t="n">
        <f aca="false">SUM(F13:F18)</f>
        <v>11</v>
      </c>
      <c r="G19" s="20" t="n">
        <f aca="false">SUM(G13:G18)</f>
        <v>9</v>
      </c>
      <c r="H19" s="20" t="n">
        <f aca="false">SUM(H13:H18)</f>
        <v>9</v>
      </c>
      <c r="I19" s="18" t="n">
        <f aca="false">SUM(I13:I18)</f>
        <v>100</v>
      </c>
    </row>
    <row r="20" customFormat="false" ht="21.75" hidden="false" customHeight="true" outlineLevel="0" collapsed="false">
      <c r="B20" s="15" t="s">
        <v>96</v>
      </c>
      <c r="C20" s="15"/>
      <c r="D20" s="19" t="n">
        <f aca="false">D19/$I$19</f>
        <v>0.48</v>
      </c>
      <c r="E20" s="19" t="n">
        <f aca="false">E19/$I$19</f>
        <v>0.23</v>
      </c>
      <c r="F20" s="19" t="n">
        <f aca="false">F19/$I$19</f>
        <v>0.11</v>
      </c>
      <c r="G20" s="19" t="n">
        <f aca="false">G19/$I$19</f>
        <v>0.09</v>
      </c>
      <c r="H20" s="19" t="n">
        <f aca="false">H19/$I$19</f>
        <v>0.09</v>
      </c>
      <c r="I20" s="19" t="n">
        <f aca="false">I19/$I$19</f>
        <v>1</v>
      </c>
    </row>
    <row r="22" customFormat="false" ht="21.75" hidden="false" customHeight="true" outlineLevel="0" collapsed="false">
      <c r="B22" s="48" t="s">
        <v>212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customFormat="false" ht="30" hidden="false" customHeight="true" outlineLevel="0" collapsed="false">
      <c r="B23" s="18" t="s">
        <v>14</v>
      </c>
      <c r="C23" s="18" t="s">
        <v>213</v>
      </c>
      <c r="D23" s="18" t="s">
        <v>214</v>
      </c>
      <c r="E23" s="18" t="s">
        <v>188</v>
      </c>
      <c r="F23" s="18" t="s">
        <v>110</v>
      </c>
      <c r="G23" s="18" t="s">
        <v>18</v>
      </c>
      <c r="H23" s="18"/>
      <c r="I23" s="18" t="s">
        <v>115</v>
      </c>
      <c r="J23" s="18" t="s">
        <v>215</v>
      </c>
      <c r="K23" s="18"/>
    </row>
    <row r="24" customFormat="false" ht="21.75" hidden="false" customHeight="true" outlineLevel="0" collapsed="false">
      <c r="B24" s="11" t="n">
        <v>1</v>
      </c>
      <c r="C24" s="46" t="s">
        <v>207</v>
      </c>
      <c r="D24" s="47" t="n">
        <v>38</v>
      </c>
      <c r="E24" s="19" t="n">
        <f aca="false">D24/SUM(D$24:D$29)</f>
        <v>0.38</v>
      </c>
      <c r="F24" s="19" t="n">
        <f aca="false">SUM(D$24:D24)/SUM(D$24:D$29)</f>
        <v>0.38</v>
      </c>
      <c r="G24" s="13" t="str">
        <f aca="false">IF(C24="Outros","Outros",IF(ROUND(F24-E24,6)&lt;0.8,"Prioridade","Depois"))</f>
        <v>Prioridade</v>
      </c>
      <c r="H24" s="13"/>
      <c r="I24" s="31" t="n">
        <v>0.8</v>
      </c>
      <c r="J24" s="38" t="n">
        <f aca="false">100*D24/250</f>
        <v>15.2</v>
      </c>
      <c r="K24" s="38"/>
    </row>
    <row r="25" customFormat="false" ht="21.75" hidden="false" customHeight="true" outlineLevel="0" collapsed="false">
      <c r="B25" s="11" t="n">
        <v>2</v>
      </c>
      <c r="C25" s="46" t="s">
        <v>208</v>
      </c>
      <c r="D25" s="47" t="n">
        <v>19</v>
      </c>
      <c r="E25" s="19" t="n">
        <f aca="false">D25/SUM(D$24:D$29)</f>
        <v>0.19</v>
      </c>
      <c r="F25" s="19" t="n">
        <f aca="false">SUM(D$24:D25)/SUM(D$24:D$29)</f>
        <v>0.57</v>
      </c>
      <c r="G25" s="13" t="str">
        <f aca="false">IF(C25="Outros","Outros",IF(ROUND(F25-E25,6)&lt;0.8,"Prioridade","Depois"))</f>
        <v>Prioridade</v>
      </c>
      <c r="H25" s="13"/>
      <c r="I25" s="31" t="n">
        <v>0.8</v>
      </c>
      <c r="J25" s="38" t="n">
        <f aca="false">100*D25/250</f>
        <v>7.6</v>
      </c>
      <c r="K25" s="38"/>
    </row>
    <row r="26" customFormat="false" ht="21.75" hidden="false" customHeight="true" outlineLevel="0" collapsed="false">
      <c r="B26" s="11" t="n">
        <v>3</v>
      </c>
      <c r="C26" s="46" t="s">
        <v>209</v>
      </c>
      <c r="D26" s="47" t="n">
        <v>15</v>
      </c>
      <c r="E26" s="19" t="n">
        <f aca="false">D26/SUM(D$24:D$29)</f>
        <v>0.15</v>
      </c>
      <c r="F26" s="19" t="n">
        <f aca="false">SUM(D$24:D26)/SUM(D$24:D$29)</f>
        <v>0.72</v>
      </c>
      <c r="G26" s="13" t="str">
        <f aca="false">IF(C26="Outros","Outros",IF(ROUND(F26-E26,6)&lt;0.8,"Prioridade","Depois"))</f>
        <v>Prioridade</v>
      </c>
      <c r="H26" s="13"/>
      <c r="I26" s="31" t="n">
        <v>0.8</v>
      </c>
      <c r="J26" s="38" t="n">
        <f aca="false">100*D26/250</f>
        <v>6</v>
      </c>
      <c r="K26" s="38"/>
    </row>
    <row r="27" customFormat="false" ht="21.75" hidden="false" customHeight="true" outlineLevel="0" collapsed="false">
      <c r="B27" s="11" t="n">
        <v>4</v>
      </c>
      <c r="C27" s="46" t="s">
        <v>210</v>
      </c>
      <c r="D27" s="47" t="n">
        <v>13</v>
      </c>
      <c r="E27" s="19" t="n">
        <f aca="false">D27/SUM(D$24:D$29)</f>
        <v>0.13</v>
      </c>
      <c r="F27" s="19" t="n">
        <f aca="false">SUM(D$24:D27)/SUM(D$24:D$29)</f>
        <v>0.85</v>
      </c>
      <c r="G27" s="13" t="str">
        <f aca="false">IF(C27="Outros","Outros",IF(ROUND(F27-E27,6)&lt;0.8,"Prioridade","Depois"))</f>
        <v>Prioridade</v>
      </c>
      <c r="H27" s="13"/>
      <c r="I27" s="31" t="n">
        <v>0.8</v>
      </c>
      <c r="J27" s="38" t="n">
        <f aca="false">100*D27/250</f>
        <v>5.2</v>
      </c>
      <c r="K27" s="38"/>
    </row>
    <row r="28" customFormat="false" ht="21.75" hidden="false" customHeight="true" outlineLevel="0" collapsed="false">
      <c r="B28" s="11" t="n">
        <v>5</v>
      </c>
      <c r="C28" s="46" t="s">
        <v>211</v>
      </c>
      <c r="D28" s="47" t="n">
        <v>8</v>
      </c>
      <c r="E28" s="19" t="n">
        <f aca="false">D28/SUM(D$24:D$29)</f>
        <v>0.08</v>
      </c>
      <c r="F28" s="19" t="n">
        <f aca="false">SUM(D$24:D28)/SUM(D$24:D$29)</f>
        <v>0.93</v>
      </c>
      <c r="G28" s="13" t="str">
        <f aca="false">IF(C28="Outros","Outros",IF(ROUND(F28-E28,6)&lt;0.8,"Prioridade","Depois"))</f>
        <v>Depois</v>
      </c>
      <c r="H28" s="13"/>
      <c r="I28" s="31" t="n">
        <v>0.8</v>
      </c>
      <c r="J28" s="38" t="n">
        <f aca="false">100*D28/250</f>
        <v>3.2</v>
      </c>
      <c r="K28" s="38"/>
    </row>
    <row r="29" customFormat="false" ht="21.75" hidden="false" customHeight="true" outlineLevel="0" collapsed="false">
      <c r="B29" s="11" t="n">
        <v>6</v>
      </c>
      <c r="C29" s="46" t="s">
        <v>85</v>
      </c>
      <c r="D29" s="47" t="n">
        <v>7</v>
      </c>
      <c r="E29" s="19" t="n">
        <f aca="false">D29/SUM(D$24:D$29)</f>
        <v>0.07</v>
      </c>
      <c r="F29" s="19" t="n">
        <f aca="false">SUM(D$24:D29)/SUM(D$24:D$29)</f>
        <v>1</v>
      </c>
      <c r="G29" s="13" t="str">
        <f aca="false">IF(C29="Outros","Outros",IF(ROUND(F29-E29,6)&lt;0.8,"Prioridade","Depois"))</f>
        <v>Outros</v>
      </c>
      <c r="H29" s="13"/>
      <c r="I29" s="31" t="n">
        <v>0.8</v>
      </c>
      <c r="J29" s="38" t="n">
        <f aca="false">100*D29/250</f>
        <v>2.8</v>
      </c>
      <c r="K29" s="38"/>
    </row>
    <row r="30" customFormat="false" ht="21.75" hidden="false" customHeight="true" outlineLevel="0" collapsed="false">
      <c r="B30" s="15" t="s">
        <v>95</v>
      </c>
      <c r="C30" s="15"/>
      <c r="D30" s="18" t="n">
        <f aca="false">SUM(D24:D29)</f>
        <v>100</v>
      </c>
      <c r="E30" s="43" t="n">
        <f aca="false">SUM(E24:E29)</f>
        <v>1</v>
      </c>
      <c r="F30" s="6"/>
      <c r="G30" s="6"/>
      <c r="H30" s="6"/>
      <c r="I30" s="6"/>
      <c r="J30" s="40" t="n">
        <f aca="false">100*D30/250</f>
        <v>40</v>
      </c>
      <c r="K30" s="40"/>
    </row>
    <row r="51" customFormat="false" ht="21.75" hidden="false" customHeight="true" outlineLevel="0" collapsed="false">
      <c r="B51" s="48" t="s">
        <v>216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</row>
    <row r="52" customFormat="false" ht="30" hidden="false" customHeight="true" outlineLevel="0" collapsed="false">
      <c r="B52" s="18" t="s">
        <v>14</v>
      </c>
      <c r="C52" s="18" t="s">
        <v>217</v>
      </c>
      <c r="D52" s="18" t="s">
        <v>214</v>
      </c>
      <c r="E52" s="18" t="s">
        <v>188</v>
      </c>
      <c r="F52" s="18" t="s">
        <v>110</v>
      </c>
      <c r="G52" s="18" t="s">
        <v>18</v>
      </c>
      <c r="H52" s="18"/>
      <c r="I52" s="18" t="s">
        <v>115</v>
      </c>
      <c r="J52" s="18" t="s">
        <v>218</v>
      </c>
      <c r="K52" s="18" t="s">
        <v>215</v>
      </c>
    </row>
    <row r="53" customFormat="false" ht="21.75" hidden="false" customHeight="true" outlineLevel="0" collapsed="false">
      <c r="B53" s="11" t="n">
        <v>1</v>
      </c>
      <c r="C53" s="46" t="s">
        <v>202</v>
      </c>
      <c r="D53" s="47" t="n">
        <v>48</v>
      </c>
      <c r="E53" s="19" t="n">
        <f aca="false">D53/SUM(D$53:D$57)</f>
        <v>0.48</v>
      </c>
      <c r="F53" s="19" t="n">
        <f aca="false">SUM(D$53:D53)/SUM(D$53:D$57)</f>
        <v>0.48</v>
      </c>
      <c r="G53" s="13" t="str">
        <f aca="false">IF(C53="Outros","Outros",IF(ROUND(F53-E53,6)&lt;0.8,"Prioridade","Depois"))</f>
        <v>Prioridade</v>
      </c>
      <c r="H53" s="13"/>
      <c r="I53" s="31" t="n">
        <v>0.8</v>
      </c>
      <c r="J53" s="47" t="n">
        <v>80</v>
      </c>
      <c r="K53" s="38" t="n">
        <f aca="false">100*D53/J53</f>
        <v>60</v>
      </c>
    </row>
    <row r="54" customFormat="false" ht="21.75" hidden="false" customHeight="true" outlineLevel="0" collapsed="false">
      <c r="B54" s="11" t="n">
        <v>2</v>
      </c>
      <c r="C54" s="46" t="s">
        <v>203</v>
      </c>
      <c r="D54" s="47" t="n">
        <v>23</v>
      </c>
      <c r="E54" s="19" t="n">
        <f aca="false">D54/SUM(D$53:D$57)</f>
        <v>0.23</v>
      </c>
      <c r="F54" s="19" t="n">
        <f aca="false">SUM(D$53:D54)/SUM(D$53:D$57)</f>
        <v>0.71</v>
      </c>
      <c r="G54" s="13" t="str">
        <f aca="false">IF(C54="Outros","Outros",IF(ROUND(F54-E54,6)&lt;0.8,"Prioridade","Depois"))</f>
        <v>Prioridade</v>
      </c>
      <c r="H54" s="13"/>
      <c r="I54" s="31" t="n">
        <v>0.8</v>
      </c>
      <c r="J54" s="47" t="n">
        <v>75</v>
      </c>
      <c r="K54" s="38" t="n">
        <f aca="false">100*D54/J54</f>
        <v>30.6666666666667</v>
      </c>
    </row>
    <row r="55" customFormat="false" ht="21.75" hidden="false" customHeight="true" outlineLevel="0" collapsed="false">
      <c r="B55" s="11" t="n">
        <v>3</v>
      </c>
      <c r="C55" s="46" t="s">
        <v>204</v>
      </c>
      <c r="D55" s="47" t="n">
        <v>11</v>
      </c>
      <c r="E55" s="19" t="n">
        <f aca="false">D55/SUM(D$53:D$57)</f>
        <v>0.11</v>
      </c>
      <c r="F55" s="19" t="n">
        <f aca="false">SUM(D$53:D55)/SUM(D$53:D$57)</f>
        <v>0.82</v>
      </c>
      <c r="G55" s="13" t="str">
        <f aca="false">IF(C55="Outros","Outros",IF(ROUND(F55-E55,6)&lt;0.8,"Prioridade","Depois"))</f>
        <v>Prioridade</v>
      </c>
      <c r="H55" s="13"/>
      <c r="I55" s="31" t="n">
        <v>0.8</v>
      </c>
      <c r="J55" s="47" t="n">
        <v>35</v>
      </c>
      <c r="K55" s="38" t="n">
        <f aca="false">100*D55/J55</f>
        <v>31.4285714285714</v>
      </c>
    </row>
    <row r="56" customFormat="false" ht="21.75" hidden="false" customHeight="true" outlineLevel="0" collapsed="false">
      <c r="B56" s="11" t="n">
        <v>4</v>
      </c>
      <c r="C56" s="46" t="s">
        <v>205</v>
      </c>
      <c r="D56" s="47" t="n">
        <v>9</v>
      </c>
      <c r="E56" s="19" t="n">
        <f aca="false">D56/SUM(D$53:D$57)</f>
        <v>0.09</v>
      </c>
      <c r="F56" s="19" t="n">
        <f aca="false">SUM(D$53:D56)/SUM(D$53:D$57)</f>
        <v>0.91</v>
      </c>
      <c r="G56" s="13" t="str">
        <f aca="false">IF(C56="Outros","Outros",IF(ROUND(F56-E56,6)&lt;0.8,"Prioridade","Depois"))</f>
        <v>Depois</v>
      </c>
      <c r="H56" s="13"/>
      <c r="I56" s="31" t="n">
        <v>0.8</v>
      </c>
      <c r="J56" s="47" t="n">
        <v>30</v>
      </c>
      <c r="K56" s="38" t="n">
        <f aca="false">100*D56/J56</f>
        <v>30</v>
      </c>
    </row>
    <row r="57" customFormat="false" ht="21.75" hidden="false" customHeight="true" outlineLevel="0" collapsed="false">
      <c r="B57" s="11" t="n">
        <v>5</v>
      </c>
      <c r="C57" s="46" t="s">
        <v>206</v>
      </c>
      <c r="D57" s="47" t="n">
        <v>9</v>
      </c>
      <c r="E57" s="19" t="n">
        <f aca="false">D57/SUM(D$53:D$57)</f>
        <v>0.09</v>
      </c>
      <c r="F57" s="19" t="n">
        <f aca="false">SUM(D$53:D57)/SUM(D$53:D$57)</f>
        <v>1</v>
      </c>
      <c r="G57" s="13" t="str">
        <f aca="false">IF(C57="Outros","Outros",IF(ROUND(F57-E57,6)&lt;0.8,"Prioridade","Depois"))</f>
        <v>Depois</v>
      </c>
      <c r="H57" s="13"/>
      <c r="I57" s="31" t="n">
        <v>0.8</v>
      </c>
      <c r="J57" s="47" t="n">
        <v>30</v>
      </c>
      <c r="K57" s="38" t="n">
        <f aca="false">100*D57/J57</f>
        <v>30</v>
      </c>
    </row>
    <row r="58" customFormat="false" ht="21.75" hidden="false" customHeight="true" outlineLevel="0" collapsed="false">
      <c r="B58" s="15" t="s">
        <v>95</v>
      </c>
      <c r="C58" s="15"/>
      <c r="D58" s="18" t="n">
        <f aca="false">SUM(D53:D57)</f>
        <v>100</v>
      </c>
      <c r="E58" s="43" t="n">
        <f aca="false">SUM(E53:E57)</f>
        <v>1</v>
      </c>
      <c r="F58" s="6"/>
      <c r="G58" s="6"/>
      <c r="H58" s="6"/>
      <c r="I58" s="6"/>
      <c r="J58" s="18" t="n">
        <f aca="false">SUM(J53:J57)</f>
        <v>250</v>
      </c>
      <c r="K58" s="40" t="n">
        <f aca="false">100*D58/J58</f>
        <v>40</v>
      </c>
    </row>
    <row r="60" customFormat="false" ht="21.75" hidden="false" customHeight="true" outlineLevel="0" collapsed="false">
      <c r="B60" s="14" t="s">
        <v>88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customFormat="false" ht="21.75" hidden="false" customHeight="true" outlineLevel="0" collapsed="false">
      <c r="B61" s="15" t="s">
        <v>219</v>
      </c>
      <c r="C61" s="15"/>
      <c r="D61" s="15"/>
      <c r="E61" s="15"/>
      <c r="F61" s="21" t="n">
        <f aca="false">D30</f>
        <v>100</v>
      </c>
      <c r="G61" s="21"/>
      <c r="H61" s="21"/>
      <c r="I61" s="21"/>
      <c r="J61" s="21"/>
      <c r="K61" s="21"/>
      <c r="L61" s="21"/>
    </row>
    <row r="62" customFormat="false" ht="21.75" hidden="false" customHeight="true" outlineLevel="0" collapsed="false">
      <c r="B62" s="15" t="s">
        <v>117</v>
      </c>
      <c r="C62" s="15"/>
      <c r="D62" s="15"/>
      <c r="E62" s="15"/>
      <c r="F62" s="21" t="str">
        <f aca="false">C24&amp;" · "&amp;TEXT(E24,"0%")</f>
        <v>Especificação técnica em branco · 38%</v>
      </c>
      <c r="G62" s="21"/>
      <c r="H62" s="21"/>
      <c r="I62" s="21"/>
      <c r="J62" s="21"/>
      <c r="K62" s="21"/>
      <c r="L62" s="21"/>
    </row>
    <row r="63" customFormat="false" ht="21.75" hidden="false" customHeight="true" outlineLevel="0" collapsed="false">
      <c r="B63" s="15" t="s">
        <v>118</v>
      </c>
      <c r="C63" s="15"/>
      <c r="D63" s="15"/>
      <c r="E63" s="15"/>
      <c r="F63" s="21" t="str">
        <f aca="false">COUNTIF(G24:H29,"Prioridade")&amp;" categorias, com "&amp;TEXT(INDEX(F24:F29,COUNTIF(G24:H29,"Prioridade")),"0%")&amp;" do total"</f>
        <v>4 categorias, com 85% do total</v>
      </c>
      <c r="G63" s="21"/>
      <c r="H63" s="21"/>
      <c r="I63" s="21"/>
      <c r="J63" s="21"/>
      <c r="K63" s="21"/>
      <c r="L63" s="21"/>
    </row>
    <row r="64" customFormat="false" ht="21.75" hidden="false" customHeight="true" outlineLevel="0" collapsed="false">
      <c r="B64" s="15" t="s">
        <v>220</v>
      </c>
      <c r="C64" s="15"/>
      <c r="D64" s="15"/>
      <c r="E64" s="15"/>
      <c r="F64" s="34" t="n">
        <f aca="false">F26</f>
        <v>0.72</v>
      </c>
      <c r="G64" s="34"/>
      <c r="H64" s="34"/>
      <c r="I64" s="34"/>
      <c r="J64" s="34"/>
      <c r="K64" s="34"/>
      <c r="L64" s="34"/>
    </row>
    <row r="65" customFormat="false" ht="21.75" hidden="false" customHeight="true" outlineLevel="0" collapsed="false">
      <c r="B65" s="15" t="s">
        <v>221</v>
      </c>
      <c r="C65" s="15"/>
      <c r="D65" s="15"/>
      <c r="E65" s="15"/>
      <c r="F65" s="21" t="str">
        <f aca="false">C53&amp;" · "&amp;TEXT(E53,"0%")</f>
        <v>Manutenção · 48%</v>
      </c>
      <c r="G65" s="21"/>
      <c r="H65" s="21"/>
      <c r="I65" s="21"/>
      <c r="J65" s="21"/>
      <c r="K65" s="21"/>
      <c r="L65" s="21"/>
    </row>
    <row r="66" customFormat="false" ht="21.75" hidden="false" customHeight="true" outlineLevel="0" collapsed="false">
      <c r="B66" s="15" t="s">
        <v>222</v>
      </c>
      <c r="C66" s="15"/>
      <c r="D66" s="15"/>
      <c r="E66" s="15"/>
      <c r="F66" s="21" t="str">
        <f aca="false">INDEX(C53:C57,MATCH(MAX(K53:K57),K53:K57,0))&amp;" · "&amp;TEXT(MAX(K53:K57),"0,0")&amp;" por 100 requisições"</f>
        <v>Manutenção · 60,0 por 100 requisições</v>
      </c>
      <c r="G66" s="21"/>
      <c r="H66" s="21"/>
      <c r="I66" s="21"/>
      <c r="J66" s="21"/>
      <c r="K66" s="21"/>
      <c r="L66" s="21"/>
    </row>
  </sheetData>
  <mergeCells count="64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9:C9"/>
    <mergeCell ref="D9:L9"/>
    <mergeCell ref="B11:L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2:L22"/>
    <mergeCell ref="G23:H23"/>
    <mergeCell ref="J23:K23"/>
    <mergeCell ref="G24:H24"/>
    <mergeCell ref="J24:K24"/>
    <mergeCell ref="G25:H25"/>
    <mergeCell ref="J25:K25"/>
    <mergeCell ref="G26:H26"/>
    <mergeCell ref="J26:K26"/>
    <mergeCell ref="G27:H27"/>
    <mergeCell ref="J27:K27"/>
    <mergeCell ref="G28:H28"/>
    <mergeCell ref="J28:K28"/>
    <mergeCell ref="G29:H29"/>
    <mergeCell ref="J29:K29"/>
    <mergeCell ref="B30:C30"/>
    <mergeCell ref="G30:H30"/>
    <mergeCell ref="J30:K30"/>
    <mergeCell ref="B51:L51"/>
    <mergeCell ref="G52:H52"/>
    <mergeCell ref="G53:H53"/>
    <mergeCell ref="G54:H54"/>
    <mergeCell ref="G55:H55"/>
    <mergeCell ref="G56:H56"/>
    <mergeCell ref="G57:H57"/>
    <mergeCell ref="B58:C58"/>
    <mergeCell ref="G58:H58"/>
    <mergeCell ref="B60:L60"/>
    <mergeCell ref="B61:E61"/>
    <mergeCell ref="F61:L61"/>
    <mergeCell ref="B62:E62"/>
    <mergeCell ref="F62:L62"/>
    <mergeCell ref="B63:E63"/>
    <mergeCell ref="F63:L63"/>
    <mergeCell ref="B64:E64"/>
    <mergeCell ref="F64:L64"/>
    <mergeCell ref="B65:E65"/>
    <mergeCell ref="F65:L65"/>
    <mergeCell ref="B66:E66"/>
    <mergeCell ref="F66:L66"/>
  </mergeCells>
  <conditionalFormatting sqref="D19:H19">
    <cfRule type="expression" priority="2" aboveAverage="0" equalAverage="0" bottom="0" percent="0" rank="0" text="" dxfId="2">
      <formula>D19=MAX($D$19:$H$19)</formula>
    </cfRule>
  </conditionalFormatting>
  <conditionalFormatting sqref="G24:H29">
    <cfRule type="expression" priority="3" aboveAverage="0" equalAverage="0" bottom="0" percent="0" rank="0" text="" dxfId="2">
      <formula>G24="Prioridade"</formula>
    </cfRule>
  </conditionalFormatting>
  <conditionalFormatting sqref="G53:H57">
    <cfRule type="expression" priority="4" aboveAverage="0" equalAverage="0" bottom="0" percent="0" rank="0" text="" dxfId="2">
      <formula>G53="Prioridade"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1" man="true" max="16383" min="0"/>
    <brk id="5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2026-10-05T13:34:00Z</dcterms:created>
  <dc:creator>Modelo Pareto</dc:creator>
  <dc:description/>
  <dc:language>pt-BR</dc:language>
  <cp:lastModifiedBy/>
  <dcterms:modified xsi:type="dcterms:W3CDTF">2026-10-05T13:34:00Z</dcterms:modified>
  <cp:revision>0</cp:revision>
  <dc:subject/>
  <dc:title>Pareto e folha de verificação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