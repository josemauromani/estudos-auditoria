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rograma" sheetId="2" state="visible" r:id="rId4"/>
    <sheet name="Plano" sheetId="3" state="visible" r:id="rId5"/>
    <sheet name="Lista de verificação" sheetId="4" state="visible" r:id="rId6"/>
    <sheet name="Constataçõe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4" name="_xlnm.Print_Area" vbProcedure="false">Constatações!$B$1:$L$37</definedName>
    <definedName function="false" hidden="false" localSheetId="4" name="_xlnm.Print_Titles" vbProcedure="false">Constatações!$4:$4</definedName>
    <definedName function="false" hidden="false" localSheetId="6" name="_xlnm.Print_Area" vbProcedure="false">'Exemplo 1 - Pizzaria'!$B$1:$H$44</definedName>
    <definedName function="false" hidden="false" localSheetId="7" name="_xlnm.Print_Area" vbProcedure="false">'Exemplo 2 - Compras'!$B$1:$H$46</definedName>
    <definedName function="false" hidden="false" localSheetId="0" name="_xlnm.Print_Area" vbProcedure="false">Instruções!$B$1:$C$42</definedName>
    <definedName function="false" hidden="false" localSheetId="3" name="_xlnm.Print_Area" vbProcedure="false">'Lista de verificação'!$B$1:$H$38</definedName>
    <definedName function="false" hidden="false" localSheetId="3" name="_xlnm.Print_Titles" vbProcedure="false">'Lista de verificação'!$6:$6</definedName>
    <definedName function="false" hidden="false" localSheetId="2" name="_xlnm.Print_Area" vbProcedure="false">Plano!$B$1:$J$33</definedName>
    <definedName function="false" hidden="false" localSheetId="1" name="_xlnm.Print_Area" vbProcedure="false">Programa!$B$1:$Q$34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5" authorId="0">
      <text>
        <r>
          <rPr>
            <sz val="10"/>
            <rFont val="Arial"/>
            <family val="2"/>
          </rPr>
          <t xml:space="preserve">Período coberto pelo programa.
Ex.: "Janeiro a dezembro de 2027".</t>
        </r>
      </text>
    </comment>
    <comment ref="D7" authorId="0">
      <text>
        <r>
          <rPr>
            <sz val="10"/>
            <rFont val="Arial"/>
            <family val="2"/>
          </rPr>
          <t xml:space="preserve">O que o programa quer alcançar.
Ex.: "Verificar a conformidade com a ISO 9001 e a eficácia das ações do ciclo anterior".</t>
        </r>
      </text>
    </comment>
    <comment ref="D8" authorId="0">
      <text>
        <r>
          <rPr>
            <sz val="10"/>
            <rFont val="Arial"/>
            <family val="2"/>
          </rPr>
          <t xml:space="preserve">Normas e documentos usados como referência.
Ex.: "ISO 9001:2015 e procedimentos do sistema de gestão".</t>
        </r>
      </text>
    </comment>
    <comment ref="F11" authorId="0">
      <text>
        <r>
          <rPr>
            <sz val="10"/>
            <rFont val="Arial"/>
            <family val="2"/>
          </rPr>
          <t xml:space="preserve">Quanto o processo afeta o cliente e a conformidade do produto ou do serviço.</t>
        </r>
      </text>
    </comment>
    <comment ref="G11" authorId="0">
      <text>
        <r>
          <rPr>
            <sz val="10"/>
            <rFont val="Arial"/>
            <family val="2"/>
          </rPr>
          <t xml:space="preserve">Houve mudança de pessoas, de método, de sistema ou de volume desde a última auditoria?</t>
        </r>
      </text>
    </comment>
    <comment ref="N11" authorId="0">
      <text>
        <r>
          <rPr>
            <sz val="10"/>
            <rFont val="Arial"/>
            <family val="2"/>
          </rPr>
          <t xml:space="preserve">A conferência compara o auditor líder com o dono do processo. Quem responde pelo processo não pode auditá-lo.</t>
        </r>
      </text>
    </comment>
    <comment ref="Q11" authorId="0">
      <text>
        <r>
          <rPr>
            <sz val="10"/>
            <rFont val="Arial"/>
            <family val="2"/>
          </rPr>
          <t xml:space="preserve">A auditoria aparece como realizada com atraso quando acontece mais de 30 dias depois da data planejada.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7" authorId="0">
      <text>
        <r>
          <rPr>
            <sz val="10"/>
            <rFont val="Arial"/>
            <family val="2"/>
          </rPr>
          <t xml:space="preserve">O que a auditoria quer saber.
Ex.: "Verificar a conformidade do processo com o procedimento e com o requisito 8.4".</t>
        </r>
      </text>
    </comment>
    <comment ref="E8" authorId="0">
      <text>
        <r>
          <rPr>
            <sz val="10"/>
            <rFont val="Arial"/>
            <family val="2"/>
          </rPr>
          <t xml:space="preserve">Limites da auditoria: locais, atividades e período.
Ex.: "Requisições e pedidos de janeiro a agosto".</t>
        </r>
      </text>
    </comment>
    <comment ref="E9" authorId="0">
      <text>
        <r>
          <rPr>
            <sz val="10"/>
            <rFont val="Arial"/>
            <family val="2"/>
          </rPr>
          <t xml:space="preserve">Documentos usados como referência.
Ex.: "ISO 9001:2015, 8.4. Procedimento PR-SUP-01 rev. 5".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4" authorId="0">
      <text>
        <r>
          <rPr>
            <sz val="10"/>
            <rFont val="Arial"/>
            <family val="2"/>
          </rPr>
          <t xml:space="preserve">A classificação em maior e menor segue o critério definido pela organização. Oportunidade de melhoria não é não conformidade.</t>
        </r>
      </text>
    </comment>
    <comment ref="J4" authorId="0">
      <text>
        <r>
          <rPr>
            <sz val="10"/>
            <rFont val="Arial"/>
            <family val="2"/>
          </rPr>
          <t xml:space="preserve">A constatação só é encerrada depois da verificação de que a ação funcionou, e não na data em que a ação foi implantada.</t>
        </r>
      </text>
    </comment>
  </commentList>
</comments>
</file>

<file path=xl/sharedStrings.xml><?xml version="1.0" encoding="utf-8"?>
<sst xmlns="http://schemas.openxmlformats.org/spreadsheetml/2006/main" count="527" uniqueCount="367">
  <si>
    <t xml:space="preserve">Auditoria interna — Como usar esta planilha</t>
  </si>
  <si>
    <t xml:space="preserve">Modelo para programar as auditorias do ano, planejar cada uma e registrar as constatações.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</si>
  <si>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</si>
  <si>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</si>
  <si>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</si>
  <si>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</si>
  <si>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</si>
  <si>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</si>
  <si>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</si>
  <si>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</si>
  <si>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importância, resultado, tipo e status aceitam apenas as opções da lista. Datas e horários são conferidos na digitação.</t>
  </si>
  <si>
    <t xml:space="preserve">Comentários</t>
  </si>
  <si>
    <t xml:space="preserve">Células com triângulo vermelho no canto trazem uma dica de preenchimento. Passe o mouse sobre elas.</t>
  </si>
  <si>
    <t xml:space="preserve">Os tipos de constatação</t>
  </si>
  <si>
    <t xml:space="preserve">C</t>
  </si>
  <si>
    <t xml:space="preserve">Conformidade: a evidência mostra que o requisito é atendido.</t>
  </si>
  <si>
    <t xml:space="preserve">NC</t>
  </si>
  <si>
    <t xml:space="preserve">Não conformidade: a evidência mostra que um requisito não é atendido. Pode ser classificada como maior ou menor.</t>
  </si>
  <si>
    <t xml:space="preserve">OM</t>
  </si>
  <si>
    <t xml:space="preserve">Oportunidade de melhoria: o requisito é atendido, mas há uma forma melhor de atender.</t>
  </si>
  <si>
    <t xml:space="preserve">Três partes</t>
  </si>
  <si>
    <t xml:space="preserve">Toda não conformidade tem requisito (o que foi combinado), evidência (o que foi encontrado) e declaração (o desvio, em uma frase).</t>
  </si>
  <si>
    <t xml:space="preserve">Ordem recomendada de preenchimento</t>
  </si>
  <si>
    <t xml:space="preserve">Passo 1</t>
  </si>
  <si>
    <t xml:space="preserve">Aba Programa: liste os processos, avalie os três fatores de prioridade e defina a data e o auditor líder de cada auditoria.</t>
  </si>
  <si>
    <t xml:space="preserve">Passo 2</t>
  </si>
  <si>
    <t xml:space="preserve">Aba Plano: para cada auditoria, registre o objetivo, o escopo, os critérios, a equipe e a agenda.</t>
  </si>
  <si>
    <t xml:space="preserve">Passo 3</t>
  </si>
  <si>
    <t xml:space="preserve">Aba Lista de verificação: escreva o que será conferido em cada requisito e o tamanho da amostra.</t>
  </si>
  <si>
    <t xml:space="preserve">Passo 4</t>
  </si>
  <si>
    <t xml:space="preserve">Durante a auditoria, registre na lista a evidência encontrada e o resultado de cada item.</t>
  </si>
  <si>
    <t xml:space="preserve">Passo 5</t>
  </si>
  <si>
    <t xml:space="preserve">Aba Constatações: escreva cada não conformidade com as três partes e cada oportunidade de melhoria com a evidência.</t>
  </si>
  <si>
    <t xml:space="preserve">Passo 6</t>
  </si>
  <si>
    <t xml:space="preserve">Aba Checklist: valide a auditoria antes de distribuir o relatório.</t>
  </si>
  <si>
    <t xml:space="preserve">Passo 7</t>
  </si>
  <si>
    <t xml:space="preserve">Aba Constatações: acompanhe o status até a verificação da eficácia. Aba Programa: registre a auditoria como realizada.</t>
  </si>
  <si>
    <t xml:space="preserve">Abas da planilha</t>
  </si>
  <si>
    <t xml:space="preserve">Programa</t>
  </si>
  <si>
    <t xml:space="preserve">Programa anual de auditoria, com prioridade calculada, conferência de independência e cumprimento.</t>
  </si>
  <si>
    <t xml:space="preserve">Plano</t>
  </si>
  <si>
    <t xml:space="preserve">Plano de uma auditoria: objetivo, escopo, critérios, equipe e agenda, com o tempo de cada atividade.</t>
  </si>
  <si>
    <t xml:space="preserve">Lista de verificação</t>
  </si>
  <si>
    <t xml:space="preserve">Roteiro do auditor, com requisito, amostra, evidência encontrada e resultado.</t>
  </si>
  <si>
    <t xml:space="preserve">Constatações</t>
  </si>
  <si>
    <t xml:space="preserve">Registro das constatações, com conferência das três partes, situação e gráfico por tipo.</t>
  </si>
  <si>
    <t xml:space="preserve">Checklist</t>
  </si>
  <si>
    <t xml:space="preserve">Doze verificações de qualidade da auditoria, com percentual de conclusão.</t>
  </si>
  <si>
    <t xml:space="preserve">Exemplo 1 - Pizzaria</t>
  </si>
  <si>
    <t xml:space="preserve">Auditoria de um processo contra os padrões da própria organização.</t>
  </si>
  <si>
    <t xml:space="preserve">Exemplo 2 - Compras</t>
  </si>
  <si>
    <t xml:space="preserve">Auditoria de um processo contra um procedimento interno e um requisito da ISO 9001.</t>
  </si>
  <si>
    <t xml:space="preserve">Regras e premissas do modelo</t>
  </si>
  <si>
    <t xml:space="preserve">Prioridade</t>
  </si>
  <si>
    <t xml:space="preserve">Pontos = importância (alta 3, média 2, baixa 1) + mudanças recentes (sim 2) + resultado anterior (NC maior 3, NC menor 2, não auditado 2). Com 6 ou mais, a prioridade é alta; de 3 a 5, média. A pontuação é uma convenção deste modelo.</t>
  </si>
  <si>
    <t xml:space="preserve">Frequência</t>
  </si>
  <si>
    <t xml:space="preserve">Prioridade alta: a cada 6 meses. Média: a cada 12. Baixa: a cada 18. É uma sugestão: a organização define as próprias frequências.</t>
  </si>
  <si>
    <t xml:space="preserve">Independência</t>
  </si>
  <si>
    <t xml:space="preserve">A conferência compara o nome do auditor líder com o do dono do processo. Ela não identifica outros conflitos, como subordinação ou participação recente na atividade.</t>
  </si>
  <si>
    <t xml:space="preserve">Uma auditoria por vez</t>
  </si>
  <si>
    <t xml:space="preserve">As abas Plano, Lista de verificação e Constatações servem a uma auditoria. Para a auditoria seguinte, salve uma cópia do arquivo ou duplique as três abas.</t>
  </si>
  <si>
    <t xml:space="preserve">Situação</t>
  </si>
  <si>
    <t xml:space="preserve">Uma auditoria ou uma constatação é considerada atrasada quando a data planejada ou o prazo é anterior à data de hoje e ela ainda não foi concluída.</t>
  </si>
  <si>
    <t xml:space="preserve">Exemplos</t>
  </si>
  <si>
    <t xml:space="preserve">Os dados das abas de exemplo são ilustrativos, criados para este material.</t>
  </si>
  <si>
    <t xml:space="preserve">Programa de auditoria</t>
  </si>
  <si>
    <t xml:space="preserve">Preencha as células em amarelo-claro. As células cinza são calculadas automaticamente.</t>
  </si>
  <si>
    <t xml:space="preserve">Organização ou unidade</t>
  </si>
  <si>
    <t xml:space="preserve">Gestor do programa</t>
  </si>
  <si>
    <t xml:space="preserve">Período do programa</t>
  </si>
  <si>
    <t xml:space="preserve">Data de aprovação</t>
  </si>
  <si>
    <t xml:space="preserve">Elaborado por</t>
  </si>
  <si>
    <t xml:space="preserve">Versão</t>
  </si>
  <si>
    <t xml:space="preserve">Objetivos do programa</t>
  </si>
  <si>
    <t xml:space="preserve">Critérios de auditoria</t>
  </si>
  <si>
    <t xml:space="preserve">Processos</t>
  </si>
  <si>
    <t xml:space="preserve">Fatores de prioridade</t>
  </si>
  <si>
    <t xml:space="preserve">Prioridade calculada</t>
  </si>
  <si>
    <t xml:space="preserve">Planejamento</t>
  </si>
  <si>
    <t xml:space="preserve">Cumprimento</t>
  </si>
  <si>
    <t xml:space="preserve">#</t>
  </si>
  <si>
    <t xml:space="preserve">Processo</t>
  </si>
  <si>
    <t xml:space="preserve">Dono do processo</t>
  </si>
  <si>
    <t xml:space="preserve">Importância</t>
  </si>
  <si>
    <t xml:space="preserve">Mudanças recentes</t>
  </si>
  <si>
    <t xml:space="preserve">Resultado anterior</t>
  </si>
  <si>
    <t xml:space="preserve">Pontos</t>
  </si>
  <si>
    <t xml:space="preserve">Frequência sugerida</t>
  </si>
  <si>
    <t xml:space="preserve">Data planejada</t>
  </si>
  <si>
    <t xml:space="preserve">Auditor líder</t>
  </si>
  <si>
    <t xml:space="preserve">Status</t>
  </si>
  <si>
    <t xml:space="preserve">Realizada em</t>
  </si>
  <si>
    <t xml:space="preserve">Nome do processo</t>
  </si>
  <si>
    <t xml:space="preserve">Cargo de quem responde</t>
  </si>
  <si>
    <t xml:space="preserve">Para o cliente</t>
  </si>
  <si>
    <t xml:space="preserve">Sim ou Não</t>
  </si>
  <si>
    <t xml:space="preserve">Última auditoria</t>
  </si>
  <si>
    <t xml:space="preserve">Soma</t>
  </si>
  <si>
    <t xml:space="preserve">Faixa</t>
  </si>
  <si>
    <t xml:space="preserve">Pela prioridade</t>
  </si>
  <si>
    <t xml:space="preserve">Data</t>
  </si>
  <si>
    <t xml:space="preserve">Cargo ou nome</t>
  </si>
  <si>
    <t xml:space="preserve">Auditor e dono</t>
  </si>
  <si>
    <t xml:space="preserve">Da auditoria</t>
  </si>
  <si>
    <t xml:space="preserve">Calculada</t>
  </si>
  <si>
    <t xml:space="preserve">Ex.</t>
  </si>
  <si>
    <t xml:space="preserve">Produção</t>
  </si>
  <si>
    <t xml:space="preserve">Gerente industrial</t>
  </si>
  <si>
    <t xml:space="preserve">Alta</t>
  </si>
  <si>
    <t xml:space="preserve">Sim</t>
  </si>
  <si>
    <t xml:space="preserve">NC maior</t>
  </si>
  <si>
    <t xml:space="preserve">A cada 6 meses</t>
  </si>
  <si>
    <t xml:space="preserve">Coordenador da Qualidade</t>
  </si>
  <si>
    <t xml:space="preserve">OK</t>
  </si>
  <si>
    <t xml:space="preserve">Planejada</t>
  </si>
  <si>
    <t xml:space="preserve">No prazo</t>
  </si>
  <si>
    <t xml:space="preserve">Resumo automático</t>
  </si>
  <si>
    <t xml:space="preserve">Processos no programa</t>
  </si>
  <si>
    <t xml:space="preserve">Processos de prioridade alta</t>
  </si>
  <si>
    <t xml:space="preserve">Auditorias realizadas</t>
  </si>
  <si>
    <t xml:space="preserve">Auditorias atrasadas</t>
  </si>
  <si>
    <t xml:space="preserve">Cumprimento do programa</t>
  </si>
  <si>
    <t xml:space="preserve">Conflitos de independência</t>
  </si>
  <si>
    <t xml:space="preserve">Aviso</t>
  </si>
  <si>
    <t xml:space="preserve">Plano de auditoria</t>
  </si>
  <si>
    <t xml:space="preserve">Um plano por auditoria. Envie ao auditado antes da data combinada.</t>
  </si>
  <si>
    <t xml:space="preserve">Auditoria nº</t>
  </si>
  <si>
    <t xml:space="preserve">Data da auditoria</t>
  </si>
  <si>
    <t xml:space="preserve">Processo ou área</t>
  </si>
  <si>
    <t xml:space="preserve">Auditado</t>
  </si>
  <si>
    <t xml:space="preserve">Equipe auditora</t>
  </si>
  <si>
    <t xml:space="preserve">Objetivo</t>
  </si>
  <si>
    <t xml:space="preserve">Escopo</t>
  </si>
  <si>
    <t xml:space="preserve">Critérios</t>
  </si>
  <si>
    <t xml:space="preserve">Início</t>
  </si>
  <si>
    <t xml:space="preserve">Fim</t>
  </si>
  <si>
    <t xml:space="preserve">Atividade</t>
  </si>
  <si>
    <t xml:space="preserve">Tipo</t>
  </si>
  <si>
    <t xml:space="preserve">Auditor</t>
  </si>
  <si>
    <t xml:space="preserve">Local</t>
  </si>
  <si>
    <t xml:space="preserve">Duração</t>
  </si>
  <si>
    <t xml:space="preserve">Requisição e análise: amostra de 10 requisições</t>
  </si>
  <si>
    <t xml:space="preserve">Coleta de evidências</t>
  </si>
  <si>
    <t xml:space="preserve">Analista da Qualidade</t>
  </si>
  <si>
    <t xml:space="preserve">Compradores</t>
  </si>
  <si>
    <t xml:space="preserve">Suprimentos</t>
  </si>
  <si>
    <t xml:space="preserve">Atividades na agenda</t>
  </si>
  <si>
    <t xml:space="preserve">Tempo de auditoria, sem os intervalos</t>
  </si>
  <si>
    <t xml:space="preserve">Tempo de coleta de evidências</t>
  </si>
  <si>
    <t xml:space="preserve">Parte do tempo dedicada à coleta</t>
  </si>
  <si>
    <t xml:space="preserve">Aviso: reuniões</t>
  </si>
  <si>
    <t xml:space="preserve">Aviso: coleta</t>
  </si>
  <si>
    <t xml:space="preserve">Campos do cabeçalho preenchidos</t>
  </si>
  <si>
    <t xml:space="preserve">Escreva os itens antes da auditoria. Durante a auditoria, registre a evidência e o resultado.</t>
  </si>
  <si>
    <t xml:space="preserve">Auditoria</t>
  </si>
  <si>
    <t xml:space="preserve">Requisito</t>
  </si>
  <si>
    <t xml:space="preserve">O que verificar</t>
  </si>
  <si>
    <t xml:space="preserve">Amostra</t>
  </si>
  <si>
    <t xml:space="preserve">Evidência encontrada</t>
  </si>
  <si>
    <t xml:space="preserve">Resultado</t>
  </si>
  <si>
    <t xml:space="preserve">Nº da constatação</t>
  </si>
  <si>
    <t xml:space="preserve">Norma ou documento, com o item</t>
  </si>
  <si>
    <t xml:space="preserve">Pergunta aberta</t>
  </si>
  <si>
    <t xml:space="preserve">Quantos, de qual período</t>
  </si>
  <si>
    <t xml:space="preserve">Documento, data, local e números</t>
  </si>
  <si>
    <t xml:space="preserve">Depois de comparar</t>
  </si>
  <si>
    <t xml:space="preserve">Aba Constatações</t>
  </si>
  <si>
    <t xml:space="preserve">PR-SUP-01, item 4.2</t>
  </si>
  <si>
    <t xml:space="preserve">A requisição traz a especificação técnica do item?</t>
  </si>
  <si>
    <t xml:space="preserve">10 requisições, de janeiro a agosto</t>
  </si>
  <si>
    <t xml:space="preserve">4 requisições sem especificação técnica: RC-0412, RC-0433, RC-0457 e RC-0461</t>
  </si>
  <si>
    <t xml:space="preserve">Não conforme</t>
  </si>
  <si>
    <t xml:space="preserve">Itens da lista</t>
  </si>
  <si>
    <t xml:space="preserve">Itens com resultado</t>
  </si>
  <si>
    <t xml:space="preserve">Conformes</t>
  </si>
  <si>
    <t xml:space="preserve">Não conformes</t>
  </si>
  <si>
    <t xml:space="preserve">Oportunidades de melhoria</t>
  </si>
  <si>
    <t xml:space="preserve">Percentual verificado</t>
  </si>
  <si>
    <t xml:space="preserve">Aviso: evidências</t>
  </si>
  <si>
    <t xml:space="preserve">Aviso: constatações</t>
  </si>
  <si>
    <t xml:space="preserve">Constatações da auditoria</t>
  </si>
  <si>
    <t xml:space="preserve">Uma linha por constatação. Toda não conformidade tem requisito, evidência e declaração.</t>
  </si>
  <si>
    <t xml:space="preserve">Nº</t>
  </si>
  <si>
    <t xml:space="preserve">Evidência</t>
  </si>
  <si>
    <t xml:space="preserve">Declaração</t>
  </si>
  <si>
    <t xml:space="preserve">Responsável</t>
  </si>
  <si>
    <t xml:space="preserve">Prazo</t>
  </si>
  <si>
    <t xml:space="preserve">Conferência</t>
  </si>
  <si>
    <t xml:space="preserve">Classificação</t>
  </si>
  <si>
    <t xml:space="preserve">Onde ocorreu</t>
  </si>
  <si>
    <t xml:space="preserve">O que foi combinado, e onde está escrito</t>
  </si>
  <si>
    <t xml:space="preserve">O que foi encontrado, com identificação e amostra</t>
  </si>
  <si>
    <t xml:space="preserve">O desvio, em uma frase, sem causa e sem solução</t>
  </si>
  <si>
    <t xml:space="preserve">Da área auditada</t>
  </si>
  <si>
    <t xml:space="preserve">Para a ação</t>
  </si>
  <si>
    <t xml:space="preserve">Do tratamento</t>
  </si>
  <si>
    <t xml:space="preserve">NC menor</t>
  </si>
  <si>
    <t xml:space="preserve">Requisição de compra</t>
  </si>
  <si>
    <t xml:space="preserve">PR-SUP-01 rev. 5, item 4.2: toda requisição deve conter a especificação técnica do item.</t>
  </si>
  <si>
    <t xml:space="preserve">Requisições RC-0412, RC-0433, RC-0457 e RC-0461 sem especificação técnica, em amostra de 10.</t>
  </si>
  <si>
    <t xml:space="preserve">Requisições de compra são aceitas sem a especificação técnica exigida pelo procedimento.</t>
  </si>
  <si>
    <t xml:space="preserve">Gerente de Suprimentos</t>
  </si>
  <si>
    <t xml:space="preserve">Em tratamento</t>
  </si>
  <si>
    <t xml:space="preserve">Completa</t>
  </si>
  <si>
    <t xml:space="preserve">Oportunidade de melhoria</t>
  </si>
  <si>
    <t xml:space="preserve">Total de constatações</t>
  </si>
  <si>
    <t xml:space="preserve">Encerradas, com eficácia verificada</t>
  </si>
  <si>
    <t xml:space="preserve">Atrasadas</t>
  </si>
  <si>
    <t xml:space="preserve">Checklist de validação da auditoria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</si>
  <si>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</si>
  <si>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</si>
  <si>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</si>
  <si>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auditoria está prevista no programa, com objetivo, escopo e critérios definidos.</t>
  </si>
  <si>
    <t xml:space="preserve">A equipe auditora é independente da atividade auditada.</t>
  </si>
  <si>
    <t xml:space="preserve">O plano foi enviado ao auditado antes da auditoria.</t>
  </si>
  <si>
    <t xml:space="preserve">A lista de verificação cobre os critérios e indica o tamanho das amostras.</t>
  </si>
  <si>
    <t xml:space="preserve">Houve reunião de abertura e reunião de encerramento.</t>
  </si>
  <si>
    <t xml:space="preserve">As evidências foram coletadas no local, por entrevista, observação e análise de registros.</t>
  </si>
  <si>
    <t xml:space="preserve">As amostras foram escolhidas pelo auditor.</t>
  </si>
  <si>
    <t xml:space="preserve">Cada não conformidade tem requisito, evidência e declaração.</t>
  </si>
  <si>
    <t xml:space="preserve">As constatações não citam nomes de pessoas nem propõem soluções.</t>
  </si>
  <si>
    <t xml:space="preserve">O auditado conheceu as constatações antes do relatório.</t>
  </si>
  <si>
    <t xml:space="preserve">O relatório foi distribuído no prazo combinado.</t>
  </si>
  <si>
    <t xml:space="preserve">As constatações têm responsável, prazo e verificação de eficácia prevista.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</si>
  <si>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</si>
  <si>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</si>
  <si>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</si>
  <si>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</si>
  <si>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</si>
  <si>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Auditoria interna — plano, lista de verificação e constatações</t>
  </si>
  <si>
    <t xml:space="preserve">Exemplo preenchido, para consulta. Use as abas Plano, Lista de verificação e Constatações para a sua auditoria.</t>
  </si>
  <si>
    <t xml:space="preserve">2026-03</t>
  </si>
  <si>
    <t xml:space="preserve">Atender pedido de delivery</t>
  </si>
  <si>
    <t xml:space="preserve">Atendente do turno da tarde (auditor líder) e pizzaiolo do turno da tarde</t>
  </si>
  <si>
    <t xml:space="preserve">Líder da expedição e atendentes da noite</t>
  </si>
  <si>
    <t xml:space="preserve">Verificar se os padrões definidos no ciclo de melhoria das entregas estão sendo seguidos.</t>
  </si>
  <si>
    <t xml:space="preserve">Registro do pedido, expedição e controle de temperatura, nos turnos da noite de sexta e de sábado.</t>
  </si>
  <si>
    <t xml:space="preserve">Instrução IT-EXP-01 rev. 2, escala padrão de entregadores e rotina de controle de temperatura.</t>
  </si>
  <si>
    <t xml:space="preserve">Agenda</t>
  </si>
  <si>
    <t xml:space="preserve">Horário</t>
  </si>
  <si>
    <t xml:space="preserve">18:00 a 18:20</t>
  </si>
  <si>
    <t xml:space="preserve">Reunião de abertura</t>
  </si>
  <si>
    <t xml:space="preserve">Todos</t>
  </si>
  <si>
    <t xml:space="preserve">Gerente e líder da expedição</t>
  </si>
  <si>
    <t xml:space="preserve">Escritório</t>
  </si>
  <si>
    <t xml:space="preserve">18:20 a 19:00</t>
  </si>
  <si>
    <t xml:space="preserve">Análise de registros: escala, temperatura e indicador</t>
  </si>
  <si>
    <t xml:space="preserve">Atendente</t>
  </si>
  <si>
    <t xml:space="preserve">Gerente</t>
  </si>
  <si>
    <t xml:space="preserve">19:00 a 21:00</t>
  </si>
  <si>
    <t xml:space="preserve">Observação da expedição no horário de pico</t>
  </si>
  <si>
    <t xml:space="preserve">Atendente e pizzaiolo</t>
  </si>
  <si>
    <t xml:space="preserve">Líder da expedição</t>
  </si>
  <si>
    <t xml:space="preserve">Expedição</t>
  </si>
  <si>
    <t xml:space="preserve">21:00 a 21:40</t>
  </si>
  <si>
    <t xml:space="preserve">Entrevistas: atendimento por telefone e entregadores</t>
  </si>
  <si>
    <t xml:space="preserve">Pizzaiolo</t>
  </si>
  <si>
    <t xml:space="preserve">Atendentes e entregadores</t>
  </si>
  <si>
    <t xml:space="preserve">Balcão</t>
  </si>
  <si>
    <t xml:space="preserve">21:40 a 22:10</t>
  </si>
  <si>
    <t xml:space="preserve">Reunião da equipe auditora</t>
  </si>
  <si>
    <t xml:space="preserve">22:10 a 22:40</t>
  </si>
  <si>
    <t xml:space="preserve">Reunião de encerramento</t>
  </si>
  <si>
    <t xml:space="preserve">Constatação nº</t>
  </si>
  <si>
    <t xml:space="preserve">IT-EXP-01, item 3</t>
  </si>
  <si>
    <t xml:space="preserve">Os pedidos são agrupados por zona antes da saída?</t>
  </si>
  <si>
    <t xml:space="preserve">20 saídas, sexta-feira, das 19h às 21h</t>
  </si>
  <si>
    <t xml:space="preserve">18 saídas agrupadas. 2 saídas avulsas, de pedidos urgentes, como prevê a instrução.</t>
  </si>
  <si>
    <t xml:space="preserve">Conforme</t>
  </si>
  <si>
    <t xml:space="preserve">IT-EXP-01, item 5</t>
  </si>
  <si>
    <t xml:space="preserve">O pedido é conferido antes de ser embalado?</t>
  </si>
  <si>
    <t xml:space="preserve">20 pedidos embalados</t>
  </si>
  <si>
    <t xml:space="preserve">20 etiquetas rubricadas pelo responsável pela conferência.</t>
  </si>
  <si>
    <t xml:space="preserve">Escala padrão</t>
  </si>
  <si>
    <t xml:space="preserve">Há dois entregadores extras nas sextas e nos sábados, das 19h às 22h?</t>
  </si>
  <si>
    <t xml:space="preserve">Escalas das últimas 4 semanas</t>
  </si>
  <si>
    <t xml:space="preserve">Escala cumprida nas 4 semanas.</t>
  </si>
  <si>
    <t xml:space="preserve">IT-EXP-01, item 2</t>
  </si>
  <si>
    <t xml:space="preserve">O pedido é registrado com o complemento do endereço?</t>
  </si>
  <si>
    <t xml:space="preserve">30 pedidos: 20 do site e do aplicativo, 10 por telefone</t>
  </si>
  <si>
    <t xml:space="preserve">Site e aplicativo: 20 com complemento. Telefone: 6 de 10 sem complemento.</t>
  </si>
  <si>
    <t xml:space="preserve">Rotina de temperatura</t>
  </si>
  <si>
    <t xml:space="preserve">A temperatura da câmara fria é registrada duas vezes por turno?</t>
  </si>
  <si>
    <t xml:space="preserve">Registros de 14 dias, 28 turnos</t>
  </si>
  <si>
    <t xml:space="preserve">3 turnos sem nenhum registro: 12/09 noite, 13/09 noite e 20/09 noite.</t>
  </si>
  <si>
    <t xml:space="preserve">Indicador de entregas</t>
  </si>
  <si>
    <t xml:space="preserve">O indicador de entregas no prazo é atualizado toda semana?</t>
  </si>
  <si>
    <t xml:space="preserve">Últimas 8 semanas</t>
  </si>
  <si>
    <t xml:space="preserve">Gráfico atualizado nas 8 semanas, por faixa de horário.</t>
  </si>
  <si>
    <t xml:space="preserve">IT-EXP-01, item 7</t>
  </si>
  <si>
    <t xml:space="preserve">A equipe da expedição foi treinada no método de agrupamento?</t>
  </si>
  <si>
    <t xml:space="preserve">Lista de presença e 2 entregadores admitidos em setembro</t>
  </si>
  <si>
    <t xml:space="preserve">Equipe treinada em julho. A instrução não diz como treinar quem entra depois. 1 dos 2 novos ainda não foi treinado.</t>
  </si>
  <si>
    <t xml:space="preserve">IT-EXP-01 rev. 2, item 2: todo pedido deve ser registrado com o complemento do endereço.</t>
  </si>
  <si>
    <t xml:space="preserve">Em 10 pedidos recebidos por telefone em 19/09, 6 foram registrados sem complemento.</t>
  </si>
  <si>
    <t xml:space="preserve">Pedidos recebidos por telefone são registrados sem o complemento do endereço exigido pela instrução.</t>
  </si>
  <si>
    <t xml:space="preserve">Atendente líder
Em tratamento</t>
  </si>
  <si>
    <t xml:space="preserve">Rotina de controle: a temperatura da câmara fria deve ser registrada duas vezes por turno.</t>
  </si>
  <si>
    <t xml:space="preserve">Planilha de temperatura sem registro nos turnos da noite de 12/09, 13/09 e 20/09, em 28 turnos analisados.</t>
  </si>
  <si>
    <t xml:space="preserve">O registro de temperatura da câmara fria não é feito em todos os turnos.</t>
  </si>
  <si>
    <t xml:space="preserve">Pizzaiolo líder
Aberta</t>
  </si>
  <si>
    <t xml:space="preserve">IT-EXP-01 rev. 2, item 7: a equipe deve ser treinada no método.</t>
  </si>
  <si>
    <t xml:space="preserve">A equipe foi treinada em julho. 1 de 2 entregadores admitidos em setembro ainda não recebeu o treinamento.</t>
  </si>
  <si>
    <t xml:space="preserve">Entregadores admitidos depois do treinamento inicial trabalham sem o treinamento no método exigido pela instrução.</t>
  </si>
  <si>
    <t xml:space="preserve">Líder da expedição
Aberta</t>
  </si>
  <si>
    <t xml:space="preserve">Itens verificados</t>
  </si>
  <si>
    <t xml:space="preserve">Constatações registradas</t>
  </si>
  <si>
    <t xml:space="preserve">Conclusão da auditoria</t>
  </si>
  <si>
    <t xml:space="preserve">Os padrões da expedição estão implantados e são seguidos. O registro do pedido por telefone, o controle de temperatura e o treinamento de quem entra na expedição precisam de ação corretiva.</t>
  </si>
  <si>
    <t xml:space="preserve">2026-07</t>
  </si>
  <si>
    <t xml:space="preserve">Adquirir materiais e serviços</t>
  </si>
  <si>
    <t xml:space="preserve">Analista da Qualidade (auditor líder) e engenheiro de processos</t>
  </si>
  <si>
    <t xml:space="preserve">Gerente de Suprimentos e compradores</t>
  </si>
  <si>
    <t xml:space="preserve">Verificar a conformidade do processo de aquisição com o procedimento interno e com o requisito 8.4 da ISO 9001:2015.</t>
  </si>
  <si>
    <t xml:space="preserve">Requisições, cotações, pedidos, recebimentos e avaliação de fornecedores, de janeiro a agosto de 2026.</t>
  </si>
  <si>
    <t xml:space="preserve">ISO 9001:2015, requisito 8.4. Procedimento PR-SUP-01 rev. 5. Política de compras e alçadas.</t>
  </si>
  <si>
    <t xml:space="preserve">08:30 a 09:00</t>
  </si>
  <si>
    <t xml:space="preserve">Sala de reuniões</t>
  </si>
  <si>
    <t xml:space="preserve">09:00 a 10:30</t>
  </si>
  <si>
    <t xml:space="preserve">Requisição e análise</t>
  </si>
  <si>
    <t xml:space="preserve">10:30 a 12:00</t>
  </si>
  <si>
    <t xml:space="preserve">Cotação e seleção da proposta</t>
  </si>
  <si>
    <t xml:space="preserve">Engenheiro de processos</t>
  </si>
  <si>
    <t xml:space="preserve">13:00 a 14:30</t>
  </si>
  <si>
    <t xml:space="preserve">Pedido, contrato e recebimento</t>
  </si>
  <si>
    <t xml:space="preserve">Comprador e Recebimento</t>
  </si>
  <si>
    <t xml:space="preserve">Almoxarifado</t>
  </si>
  <si>
    <t xml:space="preserve">14:30 a 15:30</t>
  </si>
  <si>
    <t xml:space="preserve">Avaliação de fornecedores</t>
  </si>
  <si>
    <t xml:space="preserve">15:30 a 16:15</t>
  </si>
  <si>
    <t xml:space="preserve">16:15 a 17:00</t>
  </si>
  <si>
    <t xml:space="preserve">PR-SUP-01, item 4.1</t>
  </si>
  <si>
    <t xml:space="preserve">A requisição é aprovada pelo gestor da área antes da compra?</t>
  </si>
  <si>
    <t xml:space="preserve">10 requisições com aprovação registrada no sistema.</t>
  </si>
  <si>
    <t xml:space="preserve">As mesmas 10 requisições</t>
  </si>
  <si>
    <t xml:space="preserve">4 requisições sem especificação técnica: RC-0412, RC-0433, RC-0457 e RC-0461.</t>
  </si>
  <si>
    <t xml:space="preserve">Política de compras</t>
  </si>
  <si>
    <t xml:space="preserve">Compras acima de R$ 2.000 têm três cotações?</t>
  </si>
  <si>
    <t xml:space="preserve">8 compras acima do valor</t>
  </si>
  <si>
    <t xml:space="preserve">8 processos com três cotações arquivadas.</t>
  </si>
  <si>
    <t xml:space="preserve">ISO 9001, 8.4.1</t>
  </si>
  <si>
    <t xml:space="preserve">Os critérios de seleção de fornecedores estão definidos e são aplicados?</t>
  </si>
  <si>
    <t xml:space="preserve">Procedimento e 5 homologações de 2026</t>
  </si>
  <si>
    <t xml:space="preserve">Critérios descritos no procedimento e aplicados nas 5 homologações.</t>
  </si>
  <si>
    <t xml:space="preserve">O desempenho dos fornecedores críticos é avaliado, com registro?</t>
  </si>
  <si>
    <t xml:space="preserve">12 fornecedores críticos</t>
  </si>
  <si>
    <t xml:space="preserve">5 fornecedores sem avaliação registrada em 2026: F-03, F-07, F-08, F-11 e F-12.</t>
  </si>
  <si>
    <t xml:space="preserve">ISO 9001, 8.4.3</t>
  </si>
  <si>
    <t xml:space="preserve">O pedido de compra informa os requisitos do produto ao fornecedor?</t>
  </si>
  <si>
    <t xml:space="preserve">10 pedidos emitidos</t>
  </si>
  <si>
    <t xml:space="preserve">10 pedidos com especificação, quantidade, prazo e condição de aceitação.</t>
  </si>
  <si>
    <t xml:space="preserve">ISO 9001, 8.4.2</t>
  </si>
  <si>
    <t xml:space="preserve">O item recebido é conferido antes da liberação?</t>
  </si>
  <si>
    <t xml:space="preserve">10 recebimentos</t>
  </si>
  <si>
    <t xml:space="preserve">Conferência feita nos 10. O registro é feito em papel e redigitado no sistema no dia seguinte.</t>
  </si>
  <si>
    <t xml:space="preserve">As alçadas de aprovação são respeitadas?</t>
  </si>
  <si>
    <t xml:space="preserve">10 pedidos aprovados dentro da alçada.</t>
  </si>
  <si>
    <t xml:space="preserve">Gerente de Suprimentos
Em tratamento</t>
  </si>
  <si>
    <t xml:space="preserve">ISO 9001:2015, 8.4.1, e PR-SUP-01 rev. 5, item 6.1: avaliar o desempenho dos fornecedores críticos a cada semestre e reter o registro.</t>
  </si>
  <si>
    <t xml:space="preserve">Fornecedores críticos F-03, F-07, F-08, F-11 e F-12 sem avaliação registrada em 2026, em 12 verificados.</t>
  </si>
  <si>
    <t xml:space="preserve">A avaliação semestral de desempenho não foi realizada para parte dos fornecedores críticos.</t>
  </si>
  <si>
    <t xml:space="preserve">Comprador sênior
Aberta</t>
  </si>
  <si>
    <t xml:space="preserve">ISO 9001:2015, 8.4.2: assegurar que os itens recebidos atendem aos requisitos.</t>
  </si>
  <si>
    <t xml:space="preserve">A conferência é registrada em formulário de papel e redigitada no sistema no dia seguinte.</t>
  </si>
  <si>
    <t xml:space="preserve">O registro direto no sistema eliminaria a redigitação e o atraso de um dia na informação.</t>
  </si>
  <si>
    <t xml:space="preserve">Líder do Recebimento
Aberta</t>
  </si>
  <si>
    <t xml:space="preserve">O processo está implantado e atende a seis dos oito itens verificados. A especificação das requisições e a avaliação de fornecedores precisam de ação corretiva.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</si>
</sst>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%"/>
    <numFmt numFmtId="168" formatCode="hh:mm"/>
    <numFmt numFmtId="169" formatCode="[h]:mm"/>
    <numFmt numFmtId="170" formatCode="0&quot; de 9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6D9D7"/>
        </patternFill>
      </fill>
    </dxf>
    <dxf>
      <fill>
        <patternFill>
          <bgColor rgb="FFFBEBC8"/>
        </patternFill>
      </fill>
    </dxf>
    <dxf>
      <fill>
        <patternFill>
          <bgColor rgb="FFD8EFDD"/>
        </patternFill>
      </fill>
    </dxf>
    <dxf>
      <fill>
        <patternFill>
          <bgColor rgb="FFD9DE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6E8CF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D98B88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D9DEE2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Constatações!E24</c:f>
              <c:strCache>
                <c:ptCount val="1"/>
                <c:pt idx="0">
                  <c:v>Constatações</c:v>
                </c:pt>
              </c:strCache>
            </c:strRef>
          </c:tx>
          <c:spPr>
            <a:solidFill>
              <a:srgbClr val="5b6b7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b0413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8b8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6a1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Constatações!$B$25:$B$27</c:f>
              <c:strCache>
                <c:ptCount val="3"/>
                <c:pt idx="0">
                  <c:v>NC maior</c:v>
                </c:pt>
                <c:pt idx="1">
                  <c:v>NC menor</c:v>
                </c:pt>
                <c:pt idx="2">
                  <c:v>Oportunidade de melhoria</c:v>
                </c:pt>
              </c:strCache>
            </c:strRef>
          </c:cat>
          <c:val>
            <c:numRef>
              <c:f>Constatações!$E$25:$E$27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9181089"/>
        <c:axId val="56120232"/>
      </c:barChart>
      <c:catAx>
        <c:axId val="59181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20232"/>
        <c:crosses val="autoZero"/>
        <c:auto val="1"/>
        <c:lblAlgn val="ctr"/>
        <c:lblOffset val="100"/>
        <c:noMultiLvlLbl val="0"/>
      </c:catAx>
      <c:valAx>
        <c:axId val="5612023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81089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23</xdr:row>
      <xdr:rowOff>0</xdr:rowOff>
    </xdr:from>
    <xdr:to>
      <xdr:col>9</xdr:col>
      <xdr:colOff>536040</xdr:colOff>
      <xdr:row>31</xdr:row>
      <xdr:rowOff>110880</xdr:rowOff>
    </xdr:to>
    <xdr:graphicFrame>
      <xdr:nvGraphicFramePr>
        <xdr:cNvPr id="0" name="Chart 1"/>
        <xdr:cNvGraphicFramePr/>
      </xdr:nvGraphicFramePr>
      <xdr:xfrm>
        <a:off x="8387640" y="1171584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31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31.5" hidden="false" customHeight="true" outlineLevel="0" collapsed="false">
      <c r="B19" s="4" t="s">
        <v>25</v>
      </c>
      <c r="C19" s="7" t="s">
        <v>26</v>
      </c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5" customFormat="false" ht="21.75" hidden="false" customHeight="true" outlineLevel="0" collapsed="false">
      <c r="B35" s="3" t="s">
        <v>52</v>
      </c>
      <c r="C35" s="3"/>
    </row>
    <row r="36" customFormat="false" ht="45.75" hidden="false" customHeight="true" outlineLevel="0" collapsed="false">
      <c r="B36" s="4" t="s">
        <v>53</v>
      </c>
      <c r="C36" s="7" t="s">
        <v>54</v>
      </c>
    </row>
    <row r="37" customFormat="false" ht="45.75" hidden="false" customHeight="true" outlineLevel="0" collapsed="false">
      <c r="B37" s="4" t="s">
        <v>55</v>
      </c>
      <c r="C37" s="7" t="s">
        <v>56</v>
      </c>
    </row>
    <row r="38" customFormat="false" ht="45.75" hidden="false" customHeight="true" outlineLevel="0" collapsed="false">
      <c r="B38" s="4" t="s">
        <v>57</v>
      </c>
      <c r="C38" s="7" t="s">
        <v>58</v>
      </c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17:C17"/>
    <mergeCell ref="B26:C26"/>
    <mergeCell ref="B35:C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Q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1" topLeftCell="E12" activePane="bottomRight" state="frozen"/>
      <selection pane="topLeft" activeCell="A1" activeCellId="0" sqref="A1"/>
      <selection pane="topRight" activeCell="E1" activeCellId="0" sqref="E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21"/>
    <col collapsed="false" customWidth="true" hidden="false" outlineLevel="0" max="12" min="12" style="0" width="13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20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67</v>
      </c>
      <c r="C4" s="4"/>
      <c r="D4" s="5"/>
      <c r="E4" s="5"/>
      <c r="F4" s="5"/>
      <c r="G4" s="5"/>
      <c r="H4" s="5"/>
      <c r="I4" s="4" t="s">
        <v>68</v>
      </c>
      <c r="J4" s="4"/>
      <c r="K4" s="4"/>
      <c r="L4" s="5"/>
      <c r="M4" s="5"/>
      <c r="N4" s="5"/>
      <c r="O4" s="5"/>
      <c r="P4" s="5"/>
      <c r="Q4" s="5"/>
    </row>
    <row r="5" customFormat="false" ht="21.75" hidden="false" customHeight="true" outlineLevel="0" collapsed="false">
      <c r="B5" s="4" t="s">
        <v>69</v>
      </c>
      <c r="C5" s="4"/>
      <c r="D5" s="5"/>
      <c r="E5" s="5"/>
      <c r="F5" s="5"/>
      <c r="G5" s="5"/>
      <c r="H5" s="5"/>
      <c r="I5" s="4" t="s">
        <v>70</v>
      </c>
      <c r="J5" s="4"/>
      <c r="K5" s="4"/>
      <c r="L5" s="14"/>
      <c r="M5" s="14"/>
      <c r="N5" s="14"/>
      <c r="O5" s="14"/>
      <c r="P5" s="14"/>
      <c r="Q5" s="14"/>
    </row>
    <row r="6" customFormat="false" ht="21.75" hidden="false" customHeight="true" outlineLevel="0" collapsed="false">
      <c r="B6" s="4" t="s">
        <v>71</v>
      </c>
      <c r="C6" s="4"/>
      <c r="D6" s="5"/>
      <c r="E6" s="5"/>
      <c r="F6" s="5"/>
      <c r="G6" s="5"/>
      <c r="H6" s="5"/>
      <c r="I6" s="4" t="s">
        <v>72</v>
      </c>
      <c r="J6" s="4"/>
      <c r="K6" s="4"/>
      <c r="L6" s="5"/>
      <c r="M6" s="5"/>
      <c r="N6" s="5"/>
      <c r="O6" s="5"/>
      <c r="P6" s="5"/>
      <c r="Q6" s="5"/>
    </row>
    <row r="7" customFormat="false" ht="27" hidden="false" customHeight="true" outlineLevel="0" collapsed="false">
      <c r="B7" s="4" t="s">
        <v>73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customFormat="false" ht="27" hidden="false" customHeight="true" outlineLevel="0" collapsed="false">
      <c r="B8" s="4" t="s">
        <v>74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10" customFormat="false" ht="21.75" hidden="false" customHeight="true" outlineLevel="0" collapsed="false">
      <c r="B10" s="15" t="s">
        <v>75</v>
      </c>
      <c r="C10" s="15"/>
      <c r="D10" s="15"/>
      <c r="E10" s="15"/>
      <c r="F10" s="16" t="s">
        <v>76</v>
      </c>
      <c r="G10" s="16"/>
      <c r="H10" s="16"/>
      <c r="I10" s="15" t="s">
        <v>77</v>
      </c>
      <c r="J10" s="15"/>
      <c r="K10" s="15"/>
      <c r="L10" s="16" t="s">
        <v>78</v>
      </c>
      <c r="M10" s="16"/>
      <c r="N10" s="16"/>
      <c r="O10" s="15" t="s">
        <v>79</v>
      </c>
      <c r="P10" s="15"/>
      <c r="Q10" s="15"/>
    </row>
    <row r="11" customFormat="false" ht="30" hidden="false" customHeight="true" outlineLevel="0" collapsed="false">
      <c r="B11" s="17" t="s">
        <v>80</v>
      </c>
      <c r="C11" s="17" t="s">
        <v>81</v>
      </c>
      <c r="D11" s="17"/>
      <c r="E11" s="17" t="s">
        <v>82</v>
      </c>
      <c r="F11" s="17" t="s">
        <v>83</v>
      </c>
      <c r="G11" s="17" t="s">
        <v>84</v>
      </c>
      <c r="H11" s="17" t="s">
        <v>85</v>
      </c>
      <c r="I11" s="17" t="s">
        <v>86</v>
      </c>
      <c r="J11" s="17" t="s">
        <v>53</v>
      </c>
      <c r="K11" s="17" t="s">
        <v>87</v>
      </c>
      <c r="L11" s="17" t="s">
        <v>88</v>
      </c>
      <c r="M11" s="17" t="s">
        <v>89</v>
      </c>
      <c r="N11" s="17" t="s">
        <v>57</v>
      </c>
      <c r="O11" s="17" t="s">
        <v>90</v>
      </c>
      <c r="P11" s="17" t="s">
        <v>91</v>
      </c>
      <c r="Q11" s="17" t="s">
        <v>61</v>
      </c>
    </row>
    <row r="12" customFormat="false" ht="30" hidden="false" customHeight="true" outlineLevel="0" collapsed="false">
      <c r="B12" s="18"/>
      <c r="C12" s="18" t="s">
        <v>92</v>
      </c>
      <c r="D12" s="18"/>
      <c r="E12" s="18" t="s">
        <v>93</v>
      </c>
      <c r="F12" s="18" t="s">
        <v>94</v>
      </c>
      <c r="G12" s="18" t="s">
        <v>95</v>
      </c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103</v>
      </c>
      <c r="P12" s="18" t="s">
        <v>100</v>
      </c>
      <c r="Q12" s="18" t="s">
        <v>104</v>
      </c>
    </row>
    <row r="13" customFormat="false" ht="27" hidden="false" customHeight="true" outlineLevel="0" collapsed="false">
      <c r="B13" s="18" t="s">
        <v>105</v>
      </c>
      <c r="C13" s="19" t="s">
        <v>106</v>
      </c>
      <c r="D13" s="19"/>
      <c r="E13" s="19" t="s">
        <v>107</v>
      </c>
      <c r="F13" s="18" t="s">
        <v>108</v>
      </c>
      <c r="G13" s="18" t="s">
        <v>109</v>
      </c>
      <c r="H13" s="18" t="s">
        <v>110</v>
      </c>
      <c r="I13" s="18" t="n">
        <v>8</v>
      </c>
      <c r="J13" s="18" t="s">
        <v>108</v>
      </c>
      <c r="K13" s="18" t="s">
        <v>111</v>
      </c>
      <c r="L13" s="20" t="n">
        <v>46315</v>
      </c>
      <c r="M13" s="19" t="s">
        <v>112</v>
      </c>
      <c r="N13" s="18" t="s">
        <v>113</v>
      </c>
      <c r="O13" s="18" t="s">
        <v>114</v>
      </c>
      <c r="P13" s="18"/>
      <c r="Q13" s="18" t="s">
        <v>115</v>
      </c>
    </row>
    <row r="14" customFormat="false" ht="27" hidden="false" customHeight="true" outlineLevel="0" collapsed="false">
      <c r="B14" s="21" t="n">
        <v>1</v>
      </c>
      <c r="C14" s="5"/>
      <c r="D14" s="5"/>
      <c r="E14" s="5"/>
      <c r="F14" s="22"/>
      <c r="G14" s="22"/>
      <c r="H14" s="22"/>
      <c r="I14" s="23" t="str">
        <f aca="false">IF(OR(C14="",F14="",G14="",H14=""),"",IF(F14="Alta",3,IF(F14="Média",2,1))+IF(G14="Sim",2,0)+IF(H14="NC maior",3,IF(OR(H14="NC menor",H14="Não auditado"),2,0)))</f>
        <v/>
      </c>
      <c r="J14" s="24" t="str">
        <f aca="false">IF(I14="","",IF(I14&gt;=6,"Alta",IF(I14&gt;=3,"Média","Baixa")))</f>
        <v/>
      </c>
      <c r="K14" s="25" t="str">
        <f aca="false">IF(J14="","",IF(J14="Alta","A cada 6 meses",IF(J14="Média","A cada 12 meses","A cada 18 meses")))</f>
        <v/>
      </c>
      <c r="L14" s="26"/>
      <c r="M14" s="5"/>
      <c r="N14" s="25" t="str">
        <f aca="false">IF(OR(M14="",E14=""),"",IF(LOWER(TRIM(M14))=LOWER(TRIM(E14)),"Conflito: auditor é o dono","OK"))</f>
        <v/>
      </c>
      <c r="O14" s="22"/>
      <c r="P14" s="26"/>
      <c r="Q14" s="25" t="str">
        <f aca="true">IF(C14="","",IF(O14="Realizada",IF(AND(P14&lt;&gt;"",L14&lt;&gt;"",P14&gt;L14+30),"Realizada com atraso","Realizada"),IF(O14="Cancelada","Cancelada",IF(L14="","Sem data",IF(L14&lt;TODAY(),"Atrasada","No prazo")))))</f>
        <v/>
      </c>
    </row>
    <row r="15" customFormat="false" ht="27" hidden="false" customHeight="true" outlineLevel="0" collapsed="false">
      <c r="B15" s="21" t="n">
        <v>2</v>
      </c>
      <c r="C15" s="5"/>
      <c r="D15" s="5"/>
      <c r="E15" s="5"/>
      <c r="F15" s="22"/>
      <c r="G15" s="22"/>
      <c r="H15" s="22"/>
      <c r="I15" s="23" t="str">
        <f aca="false">IF(OR(C15="",F15="",G15="",H15=""),"",IF(F15="Alta",3,IF(F15="Média",2,1))+IF(G15="Sim",2,0)+IF(H15="NC maior",3,IF(OR(H15="NC menor",H15="Não auditado"),2,0)))</f>
        <v/>
      </c>
      <c r="J15" s="24" t="str">
        <f aca="false">IF(I15="","",IF(I15&gt;=6,"Alta",IF(I15&gt;=3,"Média","Baixa")))</f>
        <v/>
      </c>
      <c r="K15" s="25" t="str">
        <f aca="false">IF(J15="","",IF(J15="Alta","A cada 6 meses",IF(J15="Média","A cada 12 meses","A cada 18 meses")))</f>
        <v/>
      </c>
      <c r="L15" s="26"/>
      <c r="M15" s="5"/>
      <c r="N15" s="25" t="str">
        <f aca="false">IF(OR(M15="",E15=""),"",IF(LOWER(TRIM(M15))=LOWER(TRIM(E15)),"Conflito: auditor é o dono","OK"))</f>
        <v/>
      </c>
      <c r="O15" s="22"/>
      <c r="P15" s="26"/>
      <c r="Q15" s="25" t="str">
        <f aca="true">IF(C15="","",IF(O15="Realizada",IF(AND(P15&lt;&gt;"",L15&lt;&gt;"",P15&gt;L15+30),"Realizada com atraso","Realizada"),IF(O15="Cancelada","Cancelada",IF(L15="","Sem data",IF(L15&lt;TODAY(),"Atrasada","No prazo")))))</f>
        <v/>
      </c>
    </row>
    <row r="16" customFormat="false" ht="27" hidden="false" customHeight="true" outlineLevel="0" collapsed="false">
      <c r="B16" s="21" t="n">
        <v>3</v>
      </c>
      <c r="C16" s="5"/>
      <c r="D16" s="5"/>
      <c r="E16" s="5"/>
      <c r="F16" s="22"/>
      <c r="G16" s="22"/>
      <c r="H16" s="22"/>
      <c r="I16" s="23" t="str">
        <f aca="false">IF(OR(C16="",F16="",G16="",H16=""),"",IF(F16="Alta",3,IF(F16="Média",2,1))+IF(G16="Sim",2,0)+IF(H16="NC maior",3,IF(OR(H16="NC menor",H16="Não auditado"),2,0)))</f>
        <v/>
      </c>
      <c r="J16" s="24" t="str">
        <f aca="false">IF(I16="","",IF(I16&gt;=6,"Alta",IF(I16&gt;=3,"Média","Baixa")))</f>
        <v/>
      </c>
      <c r="K16" s="25" t="str">
        <f aca="false">IF(J16="","",IF(J16="Alta","A cada 6 meses",IF(J16="Média","A cada 12 meses","A cada 18 meses")))</f>
        <v/>
      </c>
      <c r="L16" s="26"/>
      <c r="M16" s="5"/>
      <c r="N16" s="25" t="str">
        <f aca="false">IF(OR(M16="",E16=""),"",IF(LOWER(TRIM(M16))=LOWER(TRIM(E16)),"Conflito: auditor é o dono","OK"))</f>
        <v/>
      </c>
      <c r="O16" s="22"/>
      <c r="P16" s="26"/>
      <c r="Q16" s="25" t="str">
        <f aca="true">IF(C16="","",IF(O16="Realizada",IF(AND(P16&lt;&gt;"",L16&lt;&gt;"",P16&gt;L16+30),"Realizada com atraso","Realizada"),IF(O16="Cancelada","Cancelada",IF(L16="","Sem data",IF(L16&lt;TODAY(),"Atrasada","No prazo")))))</f>
        <v/>
      </c>
    </row>
    <row r="17" customFormat="false" ht="27" hidden="false" customHeight="true" outlineLevel="0" collapsed="false">
      <c r="B17" s="21" t="n">
        <v>4</v>
      </c>
      <c r="C17" s="5"/>
      <c r="D17" s="5"/>
      <c r="E17" s="5"/>
      <c r="F17" s="22"/>
      <c r="G17" s="22"/>
      <c r="H17" s="22"/>
      <c r="I17" s="23" t="str">
        <f aca="false">IF(OR(C17="",F17="",G17="",H17=""),"",IF(F17="Alta",3,IF(F17="Média",2,1))+IF(G17="Sim",2,0)+IF(H17="NC maior",3,IF(OR(H17="NC menor",H17="Não auditado"),2,0)))</f>
        <v/>
      </c>
      <c r="J17" s="24" t="str">
        <f aca="false">IF(I17="","",IF(I17&gt;=6,"Alta",IF(I17&gt;=3,"Média","Baixa")))</f>
        <v/>
      </c>
      <c r="K17" s="25" t="str">
        <f aca="false">IF(J17="","",IF(J17="Alta","A cada 6 meses",IF(J17="Média","A cada 12 meses","A cada 18 meses")))</f>
        <v/>
      </c>
      <c r="L17" s="26"/>
      <c r="M17" s="5"/>
      <c r="N17" s="25" t="str">
        <f aca="false">IF(OR(M17="",E17=""),"",IF(LOWER(TRIM(M17))=LOWER(TRIM(E17)),"Conflito: auditor é o dono","OK"))</f>
        <v/>
      </c>
      <c r="O17" s="22"/>
      <c r="P17" s="26"/>
      <c r="Q17" s="25" t="str">
        <f aca="true">IF(C17="","",IF(O17="Realizada",IF(AND(P17&lt;&gt;"",L17&lt;&gt;"",P17&gt;L17+30),"Realizada com atraso","Realizada"),IF(O17="Cancelada","Cancelada",IF(L17="","Sem data",IF(L17&lt;TODAY(),"Atrasada","No prazo")))))</f>
        <v/>
      </c>
    </row>
    <row r="18" customFormat="false" ht="27" hidden="false" customHeight="true" outlineLevel="0" collapsed="false">
      <c r="B18" s="21" t="n">
        <v>5</v>
      </c>
      <c r="C18" s="5"/>
      <c r="D18" s="5"/>
      <c r="E18" s="5"/>
      <c r="F18" s="22"/>
      <c r="G18" s="22"/>
      <c r="H18" s="22"/>
      <c r="I18" s="23" t="str">
        <f aca="false">IF(OR(C18="",F18="",G18="",H18=""),"",IF(F18="Alta",3,IF(F18="Média",2,1))+IF(G18="Sim",2,0)+IF(H18="NC maior",3,IF(OR(H18="NC menor",H18="Não auditado"),2,0)))</f>
        <v/>
      </c>
      <c r="J18" s="24" t="str">
        <f aca="false">IF(I18="","",IF(I18&gt;=6,"Alta",IF(I18&gt;=3,"Média","Baixa")))</f>
        <v/>
      </c>
      <c r="K18" s="25" t="str">
        <f aca="false">IF(J18="","",IF(J18="Alta","A cada 6 meses",IF(J18="Média","A cada 12 meses","A cada 18 meses")))</f>
        <v/>
      </c>
      <c r="L18" s="26"/>
      <c r="M18" s="5"/>
      <c r="N18" s="25" t="str">
        <f aca="false">IF(OR(M18="",E18=""),"",IF(LOWER(TRIM(M18))=LOWER(TRIM(E18)),"Conflito: auditor é o dono","OK"))</f>
        <v/>
      </c>
      <c r="O18" s="22"/>
      <c r="P18" s="26"/>
      <c r="Q18" s="25" t="str">
        <f aca="true">IF(C18="","",IF(O18="Realizada",IF(AND(P18&lt;&gt;"",L18&lt;&gt;"",P18&gt;L18+30),"Realizada com atraso","Realizada"),IF(O18="Cancelada","Cancelada",IF(L18="","Sem data",IF(L18&lt;TODAY(),"Atrasada","No prazo")))))</f>
        <v/>
      </c>
    </row>
    <row r="19" customFormat="false" ht="27" hidden="false" customHeight="true" outlineLevel="0" collapsed="false">
      <c r="B19" s="21" t="n">
        <v>6</v>
      </c>
      <c r="C19" s="5"/>
      <c r="D19" s="5"/>
      <c r="E19" s="5"/>
      <c r="F19" s="22"/>
      <c r="G19" s="22"/>
      <c r="H19" s="22"/>
      <c r="I19" s="23" t="str">
        <f aca="false">IF(OR(C19="",F19="",G19="",H19=""),"",IF(F19="Alta",3,IF(F19="Média",2,1))+IF(G19="Sim",2,0)+IF(H19="NC maior",3,IF(OR(H19="NC menor",H19="Não auditado"),2,0)))</f>
        <v/>
      </c>
      <c r="J19" s="24" t="str">
        <f aca="false">IF(I19="","",IF(I19&gt;=6,"Alta",IF(I19&gt;=3,"Média","Baixa")))</f>
        <v/>
      </c>
      <c r="K19" s="25" t="str">
        <f aca="false">IF(J19="","",IF(J19="Alta","A cada 6 meses",IF(J19="Média","A cada 12 meses","A cada 18 meses")))</f>
        <v/>
      </c>
      <c r="L19" s="26"/>
      <c r="M19" s="5"/>
      <c r="N19" s="25" t="str">
        <f aca="false">IF(OR(M19="",E19=""),"",IF(LOWER(TRIM(M19))=LOWER(TRIM(E19)),"Conflito: auditor é o dono","OK"))</f>
        <v/>
      </c>
      <c r="O19" s="22"/>
      <c r="P19" s="26"/>
      <c r="Q19" s="25" t="str">
        <f aca="true">IF(C19="","",IF(O19="Realizada",IF(AND(P19&lt;&gt;"",L19&lt;&gt;"",P19&gt;L19+30),"Realizada com atraso","Realizada"),IF(O19="Cancelada","Cancelada",IF(L19="","Sem data",IF(L19&lt;TODAY(),"Atrasada","No prazo")))))</f>
        <v/>
      </c>
    </row>
    <row r="20" customFormat="false" ht="27" hidden="false" customHeight="true" outlineLevel="0" collapsed="false">
      <c r="B20" s="21" t="n">
        <v>7</v>
      </c>
      <c r="C20" s="5"/>
      <c r="D20" s="5"/>
      <c r="E20" s="5"/>
      <c r="F20" s="22"/>
      <c r="G20" s="22"/>
      <c r="H20" s="22"/>
      <c r="I20" s="23" t="str">
        <f aca="false">IF(OR(C20="",F20="",G20="",H20=""),"",IF(F20="Alta",3,IF(F20="Média",2,1))+IF(G20="Sim",2,0)+IF(H20="NC maior",3,IF(OR(H20="NC menor",H20="Não auditado"),2,0)))</f>
        <v/>
      </c>
      <c r="J20" s="24" t="str">
        <f aca="false">IF(I20="","",IF(I20&gt;=6,"Alta",IF(I20&gt;=3,"Média","Baixa")))</f>
        <v/>
      </c>
      <c r="K20" s="25" t="str">
        <f aca="false">IF(J20="","",IF(J20="Alta","A cada 6 meses",IF(J20="Média","A cada 12 meses","A cada 18 meses")))</f>
        <v/>
      </c>
      <c r="L20" s="26"/>
      <c r="M20" s="5"/>
      <c r="N20" s="25" t="str">
        <f aca="false">IF(OR(M20="",E20=""),"",IF(LOWER(TRIM(M20))=LOWER(TRIM(E20)),"Conflito: auditor é o dono","OK"))</f>
        <v/>
      </c>
      <c r="O20" s="22"/>
      <c r="P20" s="26"/>
      <c r="Q20" s="25" t="str">
        <f aca="true">IF(C20="","",IF(O20="Realizada",IF(AND(P20&lt;&gt;"",L20&lt;&gt;"",P20&gt;L20+30),"Realizada com atraso","Realizada"),IF(O20="Cancelada","Cancelada",IF(L20="","Sem data",IF(L20&lt;TODAY(),"Atrasada","No prazo")))))</f>
        <v/>
      </c>
    </row>
    <row r="21" customFormat="false" ht="27" hidden="false" customHeight="true" outlineLevel="0" collapsed="false">
      <c r="B21" s="21" t="n">
        <v>8</v>
      </c>
      <c r="C21" s="5"/>
      <c r="D21" s="5"/>
      <c r="E21" s="5"/>
      <c r="F21" s="22"/>
      <c r="G21" s="22"/>
      <c r="H21" s="22"/>
      <c r="I21" s="23" t="str">
        <f aca="false">IF(OR(C21="",F21="",G21="",H21=""),"",IF(F21="Alta",3,IF(F21="Média",2,1))+IF(G21="Sim",2,0)+IF(H21="NC maior",3,IF(OR(H21="NC menor",H21="Não auditado"),2,0)))</f>
        <v/>
      </c>
      <c r="J21" s="24" t="str">
        <f aca="false">IF(I21="","",IF(I21&gt;=6,"Alta",IF(I21&gt;=3,"Média","Baixa")))</f>
        <v/>
      </c>
      <c r="K21" s="25" t="str">
        <f aca="false">IF(J21="","",IF(J21="Alta","A cada 6 meses",IF(J21="Média","A cada 12 meses","A cada 18 meses")))</f>
        <v/>
      </c>
      <c r="L21" s="26"/>
      <c r="M21" s="5"/>
      <c r="N21" s="25" t="str">
        <f aca="false">IF(OR(M21="",E21=""),"",IF(LOWER(TRIM(M21))=LOWER(TRIM(E21)),"Conflito: auditor é o dono","OK"))</f>
        <v/>
      </c>
      <c r="O21" s="22"/>
      <c r="P21" s="26"/>
      <c r="Q21" s="25" t="str">
        <f aca="true">IF(C21="","",IF(O21="Realizada",IF(AND(P21&lt;&gt;"",L21&lt;&gt;"",P21&gt;L21+30),"Realizada com atraso","Realizada"),IF(O21="Cancelada","Cancelada",IF(L21="","Sem data",IF(L21&lt;TODAY(),"Atrasada","No prazo")))))</f>
        <v/>
      </c>
    </row>
    <row r="22" customFormat="false" ht="27" hidden="false" customHeight="true" outlineLevel="0" collapsed="false">
      <c r="B22" s="21" t="n">
        <v>9</v>
      </c>
      <c r="C22" s="5"/>
      <c r="D22" s="5"/>
      <c r="E22" s="5"/>
      <c r="F22" s="22"/>
      <c r="G22" s="22"/>
      <c r="H22" s="22"/>
      <c r="I22" s="23" t="str">
        <f aca="false">IF(OR(C22="",F22="",G22="",H22=""),"",IF(F22="Alta",3,IF(F22="Média",2,1))+IF(G22="Sim",2,0)+IF(H22="NC maior",3,IF(OR(H22="NC menor",H22="Não auditado"),2,0)))</f>
        <v/>
      </c>
      <c r="J22" s="24" t="str">
        <f aca="false">IF(I22="","",IF(I22&gt;=6,"Alta",IF(I22&gt;=3,"Média","Baixa")))</f>
        <v/>
      </c>
      <c r="K22" s="25" t="str">
        <f aca="false">IF(J22="","",IF(J22="Alta","A cada 6 meses",IF(J22="Média","A cada 12 meses","A cada 18 meses")))</f>
        <v/>
      </c>
      <c r="L22" s="26"/>
      <c r="M22" s="5"/>
      <c r="N22" s="25" t="str">
        <f aca="false">IF(OR(M22="",E22=""),"",IF(LOWER(TRIM(M22))=LOWER(TRIM(E22)),"Conflito: auditor é o dono","OK"))</f>
        <v/>
      </c>
      <c r="O22" s="22"/>
      <c r="P22" s="26"/>
      <c r="Q22" s="25" t="str">
        <f aca="true">IF(C22="","",IF(O22="Realizada",IF(AND(P22&lt;&gt;"",L22&lt;&gt;"",P22&gt;L22+30),"Realizada com atraso","Realizada"),IF(O22="Cancelada","Cancelada",IF(L22="","Sem data",IF(L22&lt;TODAY(),"Atrasada","No prazo")))))</f>
        <v/>
      </c>
    </row>
    <row r="23" customFormat="false" ht="27" hidden="false" customHeight="true" outlineLevel="0" collapsed="false">
      <c r="B23" s="21" t="n">
        <v>10</v>
      </c>
      <c r="C23" s="5"/>
      <c r="D23" s="5"/>
      <c r="E23" s="5"/>
      <c r="F23" s="22"/>
      <c r="G23" s="22"/>
      <c r="H23" s="22"/>
      <c r="I23" s="23" t="str">
        <f aca="false">IF(OR(C23="",F23="",G23="",H23=""),"",IF(F23="Alta",3,IF(F23="Média",2,1))+IF(G23="Sim",2,0)+IF(H23="NC maior",3,IF(OR(H23="NC menor",H23="Não auditado"),2,0)))</f>
        <v/>
      </c>
      <c r="J23" s="24" t="str">
        <f aca="false">IF(I23="","",IF(I23&gt;=6,"Alta",IF(I23&gt;=3,"Média","Baixa")))</f>
        <v/>
      </c>
      <c r="K23" s="25" t="str">
        <f aca="false">IF(J23="","",IF(J23="Alta","A cada 6 meses",IF(J23="Média","A cada 12 meses","A cada 18 meses")))</f>
        <v/>
      </c>
      <c r="L23" s="26"/>
      <c r="M23" s="5"/>
      <c r="N23" s="25" t="str">
        <f aca="false">IF(OR(M23="",E23=""),"",IF(LOWER(TRIM(M23))=LOWER(TRIM(E23)),"Conflito: auditor é o dono","OK"))</f>
        <v/>
      </c>
      <c r="O23" s="22"/>
      <c r="P23" s="26"/>
      <c r="Q23" s="25" t="str">
        <f aca="true">IF(C23="","",IF(O23="Realizada",IF(AND(P23&lt;&gt;"",L23&lt;&gt;"",P23&gt;L23+30),"Realizada com atraso","Realizada"),IF(O23="Cancelada","Cancelada",IF(L23="","Sem data",IF(L23&lt;TODAY(),"Atrasada","No prazo")))))</f>
        <v/>
      </c>
    </row>
    <row r="24" customFormat="false" ht="27" hidden="false" customHeight="true" outlineLevel="0" collapsed="false">
      <c r="B24" s="21" t="n">
        <v>11</v>
      </c>
      <c r="C24" s="5"/>
      <c r="D24" s="5"/>
      <c r="E24" s="5"/>
      <c r="F24" s="22"/>
      <c r="G24" s="22"/>
      <c r="H24" s="22"/>
      <c r="I24" s="23" t="str">
        <f aca="false">IF(OR(C24="",F24="",G24="",H24=""),"",IF(F24="Alta",3,IF(F24="Média",2,1))+IF(G24="Sim",2,0)+IF(H24="NC maior",3,IF(OR(H24="NC menor",H24="Não auditado"),2,0)))</f>
        <v/>
      </c>
      <c r="J24" s="24" t="str">
        <f aca="false">IF(I24="","",IF(I24&gt;=6,"Alta",IF(I24&gt;=3,"Média","Baixa")))</f>
        <v/>
      </c>
      <c r="K24" s="25" t="str">
        <f aca="false">IF(J24="","",IF(J24="Alta","A cada 6 meses",IF(J24="Média","A cada 12 meses","A cada 18 meses")))</f>
        <v/>
      </c>
      <c r="L24" s="26"/>
      <c r="M24" s="5"/>
      <c r="N24" s="25" t="str">
        <f aca="false">IF(OR(M24="",E24=""),"",IF(LOWER(TRIM(M24))=LOWER(TRIM(E24)),"Conflito: auditor é o dono","OK"))</f>
        <v/>
      </c>
      <c r="O24" s="22"/>
      <c r="P24" s="26"/>
      <c r="Q24" s="25" t="str">
        <f aca="true">IF(C24="","",IF(O24="Realizada",IF(AND(P24&lt;&gt;"",L24&lt;&gt;"",P24&gt;L24+30),"Realizada com atraso","Realizada"),IF(O24="Cancelada","Cancelada",IF(L24="","Sem data",IF(L24&lt;TODAY(),"Atrasada","No prazo")))))</f>
        <v/>
      </c>
    </row>
    <row r="25" customFormat="false" ht="27" hidden="false" customHeight="true" outlineLevel="0" collapsed="false">
      <c r="B25" s="21" t="n">
        <v>12</v>
      </c>
      <c r="C25" s="5"/>
      <c r="D25" s="5"/>
      <c r="E25" s="5"/>
      <c r="F25" s="22"/>
      <c r="G25" s="22"/>
      <c r="H25" s="22"/>
      <c r="I25" s="23" t="str">
        <f aca="false">IF(OR(C25="",F25="",G25="",H25=""),"",IF(F25="Alta",3,IF(F25="Média",2,1))+IF(G25="Sim",2,0)+IF(H25="NC maior",3,IF(OR(H25="NC menor",H25="Não auditado"),2,0)))</f>
        <v/>
      </c>
      <c r="J25" s="24" t="str">
        <f aca="false">IF(I25="","",IF(I25&gt;=6,"Alta",IF(I25&gt;=3,"Média","Baixa")))</f>
        <v/>
      </c>
      <c r="K25" s="25" t="str">
        <f aca="false">IF(J25="","",IF(J25="Alta","A cada 6 meses",IF(J25="Média","A cada 12 meses","A cada 18 meses")))</f>
        <v/>
      </c>
      <c r="L25" s="26"/>
      <c r="M25" s="5"/>
      <c r="N25" s="25" t="str">
        <f aca="false">IF(OR(M25="",E25=""),"",IF(LOWER(TRIM(M25))=LOWER(TRIM(E25)),"Conflito: auditor é o dono","OK"))</f>
        <v/>
      </c>
      <c r="O25" s="22"/>
      <c r="P25" s="26"/>
      <c r="Q25" s="25" t="str">
        <f aca="true">IF(C25="","",IF(O25="Realizada",IF(AND(P25&lt;&gt;"",L25&lt;&gt;"",P25&gt;L25+30),"Realizada com atraso","Realizada"),IF(O25="Cancelada","Cancelada",IF(L25="","Sem data",IF(L25&lt;TODAY(),"Atrasada","No prazo")))))</f>
        <v/>
      </c>
    </row>
    <row r="27" customFormat="false" ht="21.75" hidden="false" customHeight="true" outlineLevel="0" collapsed="false">
      <c r="B27" s="15" t="s">
        <v>116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customFormat="false" ht="21.75" hidden="false" customHeight="true" outlineLevel="0" collapsed="false">
      <c r="B28" s="27" t="s">
        <v>117</v>
      </c>
      <c r="C28" s="27"/>
      <c r="D28" s="27"/>
      <c r="E28" s="27"/>
      <c r="F28" s="27"/>
      <c r="G28" s="27"/>
      <c r="H28" s="27"/>
      <c r="I28" s="23" t="n">
        <f aca="false">COUNTA(C14:C25)</f>
        <v>0</v>
      </c>
      <c r="J28" s="23"/>
      <c r="K28" s="23"/>
      <c r="L28" s="23"/>
      <c r="M28" s="23"/>
    </row>
    <row r="29" customFormat="false" ht="21.75" hidden="false" customHeight="true" outlineLevel="0" collapsed="false">
      <c r="B29" s="27" t="s">
        <v>118</v>
      </c>
      <c r="C29" s="27"/>
      <c r="D29" s="27"/>
      <c r="E29" s="27"/>
      <c r="F29" s="27"/>
      <c r="G29" s="27"/>
      <c r="H29" s="27"/>
      <c r="I29" s="23" t="n">
        <f aca="false">COUNTIF(J14:J25,"Alta")</f>
        <v>0</v>
      </c>
      <c r="J29" s="23"/>
      <c r="K29" s="23"/>
      <c r="L29" s="23"/>
      <c r="M29" s="23"/>
    </row>
    <row r="30" customFormat="false" ht="21.75" hidden="false" customHeight="true" outlineLevel="0" collapsed="false">
      <c r="B30" s="27" t="s">
        <v>119</v>
      </c>
      <c r="C30" s="27"/>
      <c r="D30" s="27"/>
      <c r="E30" s="27"/>
      <c r="F30" s="27"/>
      <c r="G30" s="27"/>
      <c r="H30" s="27"/>
      <c r="I30" s="23" t="n">
        <f aca="false">COUNTIF(Q14:Q25,"Realizada")+COUNTIF(Q14:Q25,"Realizada com atraso")</f>
        <v>0</v>
      </c>
      <c r="J30" s="23"/>
      <c r="K30" s="23"/>
      <c r="L30" s="23"/>
      <c r="M30" s="23"/>
    </row>
    <row r="31" customFormat="false" ht="21.75" hidden="false" customHeight="true" outlineLevel="0" collapsed="false">
      <c r="B31" s="27" t="s">
        <v>120</v>
      </c>
      <c r="C31" s="27"/>
      <c r="D31" s="27"/>
      <c r="E31" s="27"/>
      <c r="F31" s="27"/>
      <c r="G31" s="27"/>
      <c r="H31" s="27"/>
      <c r="I31" s="23" t="n">
        <f aca="false">COUNTIF(Q14:Q25,"Atrasada")</f>
        <v>0</v>
      </c>
      <c r="J31" s="23"/>
      <c r="K31" s="23"/>
      <c r="L31" s="23"/>
      <c r="M31" s="23"/>
    </row>
    <row r="32" customFormat="false" ht="21.75" hidden="false" customHeight="true" outlineLevel="0" collapsed="false">
      <c r="B32" s="27" t="s">
        <v>121</v>
      </c>
      <c r="C32" s="27"/>
      <c r="D32" s="27"/>
      <c r="E32" s="27"/>
      <c r="F32" s="27"/>
      <c r="G32" s="27"/>
      <c r="H32" s="27"/>
      <c r="I32" s="28" t="n">
        <f aca="false">IF(I28-COUNTIF(Q14:Q25,"Cancelada")&lt;=0,0,I30/(I28-COUNTIF(Q14:Q25,"Cancelada")))</f>
        <v>0</v>
      </c>
      <c r="J32" s="28"/>
      <c r="K32" s="28"/>
      <c r="L32" s="28"/>
      <c r="M32" s="28"/>
    </row>
    <row r="33" customFormat="false" ht="21.75" hidden="false" customHeight="true" outlineLevel="0" collapsed="false">
      <c r="B33" s="27" t="s">
        <v>122</v>
      </c>
      <c r="C33" s="27"/>
      <c r="D33" s="27"/>
      <c r="E33" s="27"/>
      <c r="F33" s="27"/>
      <c r="G33" s="27"/>
      <c r="H33" s="27"/>
      <c r="I33" s="23" t="n">
        <f aca="false">COUNTIF(N14:N25,"Conflito*")</f>
        <v>0</v>
      </c>
      <c r="J33" s="23"/>
      <c r="K33" s="23"/>
      <c r="L33" s="23"/>
      <c r="M33" s="23"/>
    </row>
    <row r="34" customFormat="false" ht="21.75" hidden="false" customHeight="true" outlineLevel="0" collapsed="false">
      <c r="B34" s="27" t="s">
        <v>123</v>
      </c>
      <c r="C34" s="27"/>
      <c r="D34" s="27"/>
      <c r="E34" s="27"/>
      <c r="F34" s="27"/>
      <c r="G34" s="27"/>
      <c r="H34" s="27"/>
      <c r="I34" s="25" t="str">
        <f aca="false">IF(I28=0,"Liste os processos",IF(I33&gt;0,"Há auditor líder que é dono do processo auditado",IF(COUNT(I14:I25)&lt;I28,"Há processo sem os três fatores de prioridade",IF(I31&gt;0,"Há auditoria atrasada","OK"))))</f>
        <v>Liste os processos</v>
      </c>
      <c r="J34" s="25"/>
      <c r="K34" s="25"/>
      <c r="L34" s="25"/>
      <c r="M34" s="25"/>
    </row>
  </sheetData>
  <mergeCells count="53">
    <mergeCell ref="B1:Q1"/>
    <mergeCell ref="B2:Q2"/>
    <mergeCell ref="B4:C4"/>
    <mergeCell ref="D4:H4"/>
    <mergeCell ref="I4:K4"/>
    <mergeCell ref="L4:Q4"/>
    <mergeCell ref="B5:C5"/>
    <mergeCell ref="D5:H5"/>
    <mergeCell ref="I5:K5"/>
    <mergeCell ref="L5:Q5"/>
    <mergeCell ref="B6:C6"/>
    <mergeCell ref="D6:H6"/>
    <mergeCell ref="I6:K6"/>
    <mergeCell ref="L6:Q6"/>
    <mergeCell ref="B7:C7"/>
    <mergeCell ref="D7:Q7"/>
    <mergeCell ref="B8:C8"/>
    <mergeCell ref="D8:Q8"/>
    <mergeCell ref="B10:E10"/>
    <mergeCell ref="F10:H10"/>
    <mergeCell ref="I10:K10"/>
    <mergeCell ref="L10:N10"/>
    <mergeCell ref="O10:Q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27:Q27"/>
    <mergeCell ref="B28:H28"/>
    <mergeCell ref="I28:M28"/>
    <mergeCell ref="B29:H29"/>
    <mergeCell ref="I29:M29"/>
    <mergeCell ref="B30:H30"/>
    <mergeCell ref="I30:M30"/>
    <mergeCell ref="B31:H31"/>
    <mergeCell ref="I31:M31"/>
    <mergeCell ref="B32:H32"/>
    <mergeCell ref="I32:M32"/>
    <mergeCell ref="B33:H33"/>
    <mergeCell ref="I33:M33"/>
    <mergeCell ref="B34:H34"/>
    <mergeCell ref="I34:M34"/>
  </mergeCells>
  <conditionalFormatting sqref="F14:F25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"Baixa"</formula>
    </cfRule>
  </conditionalFormatting>
  <conditionalFormatting sqref="J14:J25">
    <cfRule type="cellIs" priority="5" operator="equal" aboveAverage="0" equalAverage="0" bottom="0" percent="0" rank="0" text="" dxfId="0">
      <formula>"Alta"</formula>
    </cfRule>
    <cfRule type="cellIs" priority="6" operator="equal" aboveAverage="0" equalAverage="0" bottom="0" percent="0" rank="0" text="" dxfId="1">
      <formula>"Média"</formula>
    </cfRule>
    <cfRule type="cellIs" priority="7" operator="equal" aboveAverage="0" equalAverage="0" bottom="0" percent="0" rank="0" text="" dxfId="2">
      <formula>"Baixa"</formula>
    </cfRule>
  </conditionalFormatting>
  <conditionalFormatting sqref="N14:N25">
    <cfRule type="expression" priority="8" aboveAverage="0" equalAverage="0" bottom="0" percent="0" rank="0" text="" dxfId="2">
      <formula>OR(N14="OK")</formula>
    </cfRule>
    <cfRule type="expression" priority="9" aboveAverage="0" equalAverage="0" bottom="0" percent="0" rank="0" text="" dxfId="1">
      <formula>AND(LEN(N14)&gt;0,NOT(OR(N14="OK")))</formula>
    </cfRule>
  </conditionalFormatting>
  <conditionalFormatting sqref="Q14:Q25">
    <cfRule type="cellIs" priority="10" operator="equal" aboveAverage="0" equalAverage="0" bottom="0" percent="0" rank="0" text="" dxfId="2">
      <formula>"Realizada"</formula>
    </cfRule>
    <cfRule type="cellIs" priority="11" operator="equal" aboveAverage="0" equalAverage="0" bottom="0" percent="0" rank="0" text="" dxfId="2">
      <formula>"No prazo"</formula>
    </cfRule>
    <cfRule type="cellIs" priority="12" operator="equal" aboveAverage="0" equalAverage="0" bottom="0" percent="0" rank="0" text="" dxfId="1">
      <formula>"Realizada com atraso"</formula>
    </cfRule>
    <cfRule type="cellIs" priority="13" operator="equal" aboveAverage="0" equalAverage="0" bottom="0" percent="0" rank="0" text="" dxfId="1">
      <formula>"Sem data"</formula>
    </cfRule>
    <cfRule type="cellIs" priority="14" operator="equal" aboveAverage="0" equalAverage="0" bottom="0" percent="0" rank="0" text="" dxfId="0">
      <formula>"Atrasada"</formula>
    </cfRule>
  </conditionalFormatting>
  <conditionalFormatting sqref="I34:M34">
    <cfRule type="expression" priority="15" aboveAverage="0" equalAverage="0" bottom="0" percent="0" rank="0" text="" dxfId="2">
      <formula>OR(I34="OK")</formula>
    </cfRule>
    <cfRule type="expression" priority="16" aboveAverage="0" equalAverage="0" bottom="0" percent="0" rank="0" text="" dxfId="1">
      <formula>AND(LEN(I34)&gt;0,NOT(OR(I34="OK")))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L5 L14:L25 P14:P25" type="date">
      <formula1>36526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14:F25" type="list">
      <formula1>"Alta,Média,Baixa"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G14:G25" type="list">
      <formula1>"Sim,Não"</formula1>
      <formula2>0</formula2>
    </dataValidation>
    <dataValidation allowBlank="true" error="Escolha uma das opções da lista." errorStyle="stop" errorTitle="Valor inválido" operator="between" prompt="Resultado da última auditoria do processo" promptTitle="Opções" showDropDown="false" showErrorMessage="true" showInputMessage="true" sqref="H14:H25" type="list">
      <formula1>"NC maior,NC menor,Não auditado,Sem NC"</formula1>
      <formula2>0</formula2>
    </dataValidation>
    <dataValidation allowBlank="true" error="Escolha uma das opções da lista." errorStyle="stop" errorTitle="Valor inválido" operator="between" prompt="Planejada, Realizada, Adiada ou Cancelada" promptTitle="Opções" showDropDown="false" showErrorMessage="true" showInputMessage="true" sqref="O14:O25" type="list">
      <formula1>"Planejada,Realizada,Adiada,Cancelada"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1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124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125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126</v>
      </c>
      <c r="C4" s="4"/>
      <c r="D4" s="4"/>
      <c r="E4" s="5"/>
      <c r="F4" s="5"/>
      <c r="G4" s="4" t="s">
        <v>127</v>
      </c>
      <c r="H4" s="14"/>
      <c r="I4" s="14"/>
      <c r="J4" s="14"/>
    </row>
    <row r="5" customFormat="false" ht="21.75" hidden="false" customHeight="true" outlineLevel="0" collapsed="false">
      <c r="B5" s="4" t="s">
        <v>128</v>
      </c>
      <c r="C5" s="4"/>
      <c r="D5" s="4"/>
      <c r="E5" s="5"/>
      <c r="F5" s="5"/>
      <c r="G5" s="4" t="s">
        <v>129</v>
      </c>
      <c r="H5" s="5"/>
      <c r="I5" s="5"/>
      <c r="J5" s="5"/>
    </row>
    <row r="6" customFormat="false" ht="21.75" hidden="false" customHeight="true" outlineLevel="0" collapsed="false">
      <c r="B6" s="4" t="s">
        <v>89</v>
      </c>
      <c r="C6" s="4"/>
      <c r="D6" s="4"/>
      <c r="E6" s="5"/>
      <c r="F6" s="5"/>
      <c r="G6" s="4" t="s">
        <v>130</v>
      </c>
      <c r="H6" s="5"/>
      <c r="I6" s="5"/>
      <c r="J6" s="5"/>
    </row>
    <row r="7" customFormat="false" ht="30" hidden="false" customHeight="true" outlineLevel="0" collapsed="false">
      <c r="B7" s="4" t="s">
        <v>131</v>
      </c>
      <c r="C7" s="4"/>
      <c r="D7" s="4"/>
      <c r="E7" s="5"/>
      <c r="F7" s="5"/>
      <c r="G7" s="5"/>
      <c r="H7" s="5"/>
      <c r="I7" s="5"/>
      <c r="J7" s="5"/>
    </row>
    <row r="8" customFormat="false" ht="30" hidden="false" customHeight="true" outlineLevel="0" collapsed="false">
      <c r="B8" s="4" t="s">
        <v>132</v>
      </c>
      <c r="C8" s="4"/>
      <c r="D8" s="4"/>
      <c r="E8" s="5"/>
      <c r="F8" s="5"/>
      <c r="G8" s="5"/>
      <c r="H8" s="5"/>
      <c r="I8" s="5"/>
      <c r="J8" s="5"/>
    </row>
    <row r="9" customFormat="false" ht="30" hidden="false" customHeight="true" outlineLevel="0" collapsed="false">
      <c r="B9" s="4" t="s">
        <v>133</v>
      </c>
      <c r="C9" s="4"/>
      <c r="D9" s="4"/>
      <c r="E9" s="5"/>
      <c r="F9" s="5"/>
      <c r="G9" s="5"/>
      <c r="H9" s="5"/>
      <c r="I9" s="5"/>
      <c r="J9" s="5"/>
    </row>
    <row r="11" customFormat="false" ht="21.75" hidden="false" customHeight="true" outlineLevel="0" collapsed="false">
      <c r="B11" s="17" t="s">
        <v>80</v>
      </c>
      <c r="C11" s="17" t="s">
        <v>134</v>
      </c>
      <c r="D11" s="17" t="s">
        <v>135</v>
      </c>
      <c r="E11" s="17" t="s">
        <v>136</v>
      </c>
      <c r="F11" s="17" t="s">
        <v>137</v>
      </c>
      <c r="G11" s="17" t="s">
        <v>138</v>
      </c>
      <c r="H11" s="17" t="s">
        <v>129</v>
      </c>
      <c r="I11" s="17" t="s">
        <v>139</v>
      </c>
      <c r="J11" s="17" t="s">
        <v>140</v>
      </c>
    </row>
    <row r="12" customFormat="false" ht="27" hidden="false" customHeight="true" outlineLevel="0" collapsed="false">
      <c r="B12" s="18" t="s">
        <v>105</v>
      </c>
      <c r="C12" s="29" t="n">
        <v>0.375</v>
      </c>
      <c r="D12" s="29" t="n">
        <v>0.4375</v>
      </c>
      <c r="E12" s="19" t="s">
        <v>141</v>
      </c>
      <c r="F12" s="18" t="s">
        <v>142</v>
      </c>
      <c r="G12" s="19" t="s">
        <v>143</v>
      </c>
      <c r="H12" s="19" t="s">
        <v>144</v>
      </c>
      <c r="I12" s="19" t="s">
        <v>145</v>
      </c>
      <c r="J12" s="30" t="n">
        <v>0.0625</v>
      </c>
    </row>
    <row r="13" customFormat="false" ht="27" hidden="false" customHeight="true" outlineLevel="0" collapsed="false">
      <c r="B13" s="21" t="n">
        <v>1</v>
      </c>
      <c r="C13" s="31"/>
      <c r="D13" s="31"/>
      <c r="E13" s="5"/>
      <c r="F13" s="22"/>
      <c r="G13" s="5"/>
      <c r="H13" s="5"/>
      <c r="I13" s="5"/>
      <c r="J13" s="32" t="str">
        <f aca="false">IF(OR(C13="",D13=""),"",IF(D13&lt;C13,"Horário invertido",D13-C13))</f>
        <v/>
      </c>
    </row>
    <row r="14" customFormat="false" ht="27" hidden="false" customHeight="true" outlineLevel="0" collapsed="false">
      <c r="B14" s="21" t="n">
        <v>2</v>
      </c>
      <c r="C14" s="31"/>
      <c r="D14" s="31"/>
      <c r="E14" s="5"/>
      <c r="F14" s="22"/>
      <c r="G14" s="5"/>
      <c r="H14" s="5"/>
      <c r="I14" s="5"/>
      <c r="J14" s="32" t="str">
        <f aca="false">IF(OR(C14="",D14=""),"",IF(D14&lt;C14,"Horário invertido",D14-C14))</f>
        <v/>
      </c>
    </row>
    <row r="15" customFormat="false" ht="27" hidden="false" customHeight="true" outlineLevel="0" collapsed="false">
      <c r="B15" s="21" t="n">
        <v>3</v>
      </c>
      <c r="C15" s="31"/>
      <c r="D15" s="31"/>
      <c r="E15" s="5"/>
      <c r="F15" s="22"/>
      <c r="G15" s="5"/>
      <c r="H15" s="5"/>
      <c r="I15" s="5"/>
      <c r="J15" s="32" t="str">
        <f aca="false">IF(OR(C15="",D15=""),"",IF(D15&lt;C15,"Horário invertido",D15-C15))</f>
        <v/>
      </c>
    </row>
    <row r="16" customFormat="false" ht="27" hidden="false" customHeight="true" outlineLevel="0" collapsed="false">
      <c r="B16" s="21" t="n">
        <v>4</v>
      </c>
      <c r="C16" s="31"/>
      <c r="D16" s="31"/>
      <c r="E16" s="5"/>
      <c r="F16" s="22"/>
      <c r="G16" s="5"/>
      <c r="H16" s="5"/>
      <c r="I16" s="5"/>
      <c r="J16" s="32" t="str">
        <f aca="false">IF(OR(C16="",D16=""),"",IF(D16&lt;C16,"Horário invertido",D16-C16))</f>
        <v/>
      </c>
    </row>
    <row r="17" customFormat="false" ht="27" hidden="false" customHeight="true" outlineLevel="0" collapsed="false">
      <c r="B17" s="21" t="n">
        <v>5</v>
      </c>
      <c r="C17" s="31"/>
      <c r="D17" s="31"/>
      <c r="E17" s="5"/>
      <c r="F17" s="22"/>
      <c r="G17" s="5"/>
      <c r="H17" s="5"/>
      <c r="I17" s="5"/>
      <c r="J17" s="32" t="str">
        <f aca="false">IF(OR(C17="",D17=""),"",IF(D17&lt;C17,"Horário invertido",D17-C17))</f>
        <v/>
      </c>
    </row>
    <row r="18" customFormat="false" ht="27" hidden="false" customHeight="true" outlineLevel="0" collapsed="false">
      <c r="B18" s="21" t="n">
        <v>6</v>
      </c>
      <c r="C18" s="31"/>
      <c r="D18" s="31"/>
      <c r="E18" s="5"/>
      <c r="F18" s="22"/>
      <c r="G18" s="5"/>
      <c r="H18" s="5"/>
      <c r="I18" s="5"/>
      <c r="J18" s="32" t="str">
        <f aca="false">IF(OR(C18="",D18=""),"",IF(D18&lt;C18,"Horário invertido",D18-C18))</f>
        <v/>
      </c>
    </row>
    <row r="19" customFormat="false" ht="27" hidden="false" customHeight="true" outlineLevel="0" collapsed="false">
      <c r="B19" s="21" t="n">
        <v>7</v>
      </c>
      <c r="C19" s="31"/>
      <c r="D19" s="31"/>
      <c r="E19" s="5"/>
      <c r="F19" s="22"/>
      <c r="G19" s="5"/>
      <c r="H19" s="5"/>
      <c r="I19" s="5"/>
      <c r="J19" s="32" t="str">
        <f aca="false">IF(OR(C19="",D19=""),"",IF(D19&lt;C19,"Horário invertido",D19-C19))</f>
        <v/>
      </c>
    </row>
    <row r="20" customFormat="false" ht="27" hidden="false" customHeight="true" outlineLevel="0" collapsed="false">
      <c r="B20" s="21" t="n">
        <v>8</v>
      </c>
      <c r="C20" s="31"/>
      <c r="D20" s="31"/>
      <c r="E20" s="5"/>
      <c r="F20" s="22"/>
      <c r="G20" s="5"/>
      <c r="H20" s="5"/>
      <c r="I20" s="5"/>
      <c r="J20" s="32" t="str">
        <f aca="false">IF(OR(C20="",D20=""),"",IF(D20&lt;C20,"Horário invertido",D20-C20))</f>
        <v/>
      </c>
    </row>
    <row r="21" customFormat="false" ht="27" hidden="false" customHeight="true" outlineLevel="0" collapsed="false">
      <c r="B21" s="21" t="n">
        <v>9</v>
      </c>
      <c r="C21" s="31"/>
      <c r="D21" s="31"/>
      <c r="E21" s="5"/>
      <c r="F21" s="22"/>
      <c r="G21" s="5"/>
      <c r="H21" s="5"/>
      <c r="I21" s="5"/>
      <c r="J21" s="32" t="str">
        <f aca="false">IF(OR(C21="",D21=""),"",IF(D21&lt;C21,"Horário invertido",D21-C21))</f>
        <v/>
      </c>
    </row>
    <row r="22" customFormat="false" ht="27" hidden="false" customHeight="true" outlineLevel="0" collapsed="false">
      <c r="B22" s="21" t="n">
        <v>10</v>
      </c>
      <c r="C22" s="31"/>
      <c r="D22" s="31"/>
      <c r="E22" s="5"/>
      <c r="F22" s="22"/>
      <c r="G22" s="5"/>
      <c r="H22" s="5"/>
      <c r="I22" s="5"/>
      <c r="J22" s="32" t="str">
        <f aca="false">IF(OR(C22="",D22=""),"",IF(D22&lt;C22,"Horário invertido",D22-C22))</f>
        <v/>
      </c>
    </row>
    <row r="23" customFormat="false" ht="27" hidden="false" customHeight="true" outlineLevel="0" collapsed="false">
      <c r="B23" s="21" t="n">
        <v>11</v>
      </c>
      <c r="C23" s="31"/>
      <c r="D23" s="31"/>
      <c r="E23" s="5"/>
      <c r="F23" s="22"/>
      <c r="G23" s="5"/>
      <c r="H23" s="5"/>
      <c r="I23" s="5"/>
      <c r="J23" s="32" t="str">
        <f aca="false">IF(OR(C23="",D23=""),"",IF(D23&lt;C23,"Horário invertido",D23-C23))</f>
        <v/>
      </c>
    </row>
    <row r="24" customFormat="false" ht="27" hidden="false" customHeight="true" outlineLevel="0" collapsed="false">
      <c r="B24" s="21" t="n">
        <v>12</v>
      </c>
      <c r="C24" s="31"/>
      <c r="D24" s="31"/>
      <c r="E24" s="5"/>
      <c r="F24" s="22"/>
      <c r="G24" s="5"/>
      <c r="H24" s="5"/>
      <c r="I24" s="5"/>
      <c r="J24" s="32" t="str">
        <f aca="false">IF(OR(C24="",D24=""),"",IF(D24&lt;C24,"Horário invertido",D24-C24))</f>
        <v/>
      </c>
    </row>
    <row r="26" customFormat="false" ht="21.75" hidden="false" customHeight="true" outlineLevel="0" collapsed="false">
      <c r="B26" s="15" t="s">
        <v>116</v>
      </c>
      <c r="C26" s="15"/>
      <c r="D26" s="15"/>
      <c r="E26" s="15"/>
      <c r="F26" s="15"/>
      <c r="G26" s="15"/>
      <c r="H26" s="15"/>
      <c r="I26" s="15"/>
      <c r="J26" s="15"/>
    </row>
    <row r="27" customFormat="false" ht="21.75" hidden="false" customHeight="true" outlineLevel="0" collapsed="false">
      <c r="B27" s="27" t="s">
        <v>146</v>
      </c>
      <c r="C27" s="27"/>
      <c r="D27" s="27"/>
      <c r="E27" s="27"/>
      <c r="F27" s="23" t="n">
        <f aca="false">COUNTA(E13:E24)</f>
        <v>0</v>
      </c>
      <c r="G27" s="23"/>
      <c r="H27" s="23"/>
    </row>
    <row r="28" customFormat="false" ht="21.75" hidden="false" customHeight="true" outlineLevel="0" collapsed="false">
      <c r="B28" s="27" t="s">
        <v>147</v>
      </c>
      <c r="C28" s="27"/>
      <c r="D28" s="27"/>
      <c r="E28" s="27"/>
      <c r="F28" s="33" t="n">
        <f aca="false">SUM(J13:J24)-SUMIF(F13:F24,"Intervalo",J13:J24)</f>
        <v>0</v>
      </c>
      <c r="G28" s="33"/>
      <c r="H28" s="33"/>
    </row>
    <row r="29" customFormat="false" ht="21.75" hidden="false" customHeight="true" outlineLevel="0" collapsed="false">
      <c r="B29" s="27" t="s">
        <v>148</v>
      </c>
      <c r="C29" s="27"/>
      <c r="D29" s="27"/>
      <c r="E29" s="27"/>
      <c r="F29" s="33" t="n">
        <f aca="false">SUMIF(F13:F24,"Coleta de evidências",J13:J24)</f>
        <v>0</v>
      </c>
      <c r="G29" s="33"/>
      <c r="H29" s="33"/>
    </row>
    <row r="30" customFormat="false" ht="21.75" hidden="false" customHeight="true" outlineLevel="0" collapsed="false">
      <c r="B30" s="27" t="s">
        <v>149</v>
      </c>
      <c r="C30" s="27"/>
      <c r="D30" s="27"/>
      <c r="E30" s="27"/>
      <c r="F30" s="28" t="n">
        <f aca="false">IF(F28=0,0,F29/F28)</f>
        <v>0</v>
      </c>
      <c r="G30" s="28"/>
      <c r="H30" s="28"/>
    </row>
    <row r="31" customFormat="false" ht="21.75" hidden="false" customHeight="true" outlineLevel="0" collapsed="false">
      <c r="B31" s="27" t="s">
        <v>150</v>
      </c>
      <c r="C31" s="27"/>
      <c r="D31" s="27"/>
      <c r="E31" s="27"/>
      <c r="F31" s="25" t="str">
        <f aca="false">IF(F27=0,"Monte a agenda",IF(OR(COUNTIF(F13:F24,"Reunião de abertura")=0,COUNTIF(F13:F24,"Reunião de encerramento")=0),"Inclua as reuniões de abertura e de encerramento","OK"))</f>
        <v>Monte a agenda</v>
      </c>
      <c r="G31" s="25"/>
      <c r="H31" s="25"/>
    </row>
    <row r="32" customFormat="false" ht="21.75" hidden="false" customHeight="true" outlineLevel="0" collapsed="false">
      <c r="B32" s="27" t="s">
        <v>151</v>
      </c>
      <c r="C32" s="27"/>
      <c r="D32" s="27"/>
      <c r="E32" s="27"/>
      <c r="F32" s="25" t="str">
        <f aca="false">IF(F28=0,"Informe os horários",IF(F30&lt;0.5,"Menos da metade do tempo está na coleta de evidências","OK"))</f>
        <v>Informe os horários</v>
      </c>
      <c r="G32" s="25"/>
      <c r="H32" s="25"/>
    </row>
    <row r="33" customFormat="false" ht="21.75" hidden="false" customHeight="true" outlineLevel="0" collapsed="false">
      <c r="B33" s="27" t="s">
        <v>152</v>
      </c>
      <c r="C33" s="27"/>
      <c r="D33" s="27"/>
      <c r="E33" s="27"/>
      <c r="F33" s="34" t="n">
        <f aca="false">COUNTA(E4,H4,E5,H5,E6,H6,E7,E8,E9)</f>
        <v>0</v>
      </c>
      <c r="G33" s="34"/>
      <c r="H33" s="34"/>
    </row>
  </sheetData>
  <mergeCells count="32">
    <mergeCell ref="B1:J1"/>
    <mergeCell ref="B2:J2"/>
    <mergeCell ref="B4:D4"/>
    <mergeCell ref="E4:F4"/>
    <mergeCell ref="H4:J4"/>
    <mergeCell ref="B5:D5"/>
    <mergeCell ref="E5:F5"/>
    <mergeCell ref="H5:J5"/>
    <mergeCell ref="B6:D6"/>
    <mergeCell ref="E6:F6"/>
    <mergeCell ref="H6:J6"/>
    <mergeCell ref="B7:D7"/>
    <mergeCell ref="E7:J7"/>
    <mergeCell ref="B8:D8"/>
    <mergeCell ref="E8:J8"/>
    <mergeCell ref="B9:D9"/>
    <mergeCell ref="E9:J9"/>
    <mergeCell ref="B26:J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</mergeCells>
  <conditionalFormatting sqref="J13:J24">
    <cfRule type="cellIs" priority="2" operator="equal" aboveAverage="0" equalAverage="0" bottom="0" percent="0" rank="0" text="" dxfId="0">
      <formula>"Horário invertido"</formula>
    </cfRule>
  </conditionalFormatting>
  <conditionalFormatting sqref="F31:H32">
    <cfRule type="expression" priority="3" aboveAverage="0" equalAverage="0" bottom="0" percent="0" rank="0" text="" dxfId="2">
      <formula>OR(F31="OK")</formula>
    </cfRule>
    <cfRule type="expression" priority="4" aboveAverage="0" equalAverage="0" bottom="0" percent="0" rank="0" text="" dxfId="1">
      <formula>AND(LEN(F31)&gt;0,NOT(OR(F31="OK")))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4" type="date">
      <formula1>36526</formula1>
      <formula2>0</formula2>
    </dataValidation>
    <dataValidation allowBlank="true" error="Escolha uma das opções da lista." errorStyle="stop" errorTitle="Valor inválido" operator="between" prompt="Tipo da atividade" promptTitle="Opções" showDropDown="false" showErrorMessage="true" showInputMessage="true" sqref="F13:F24" type="list">
      <formula1>"Reunião de abertura,Coleta de evidências,Reunião da equipe,Reunião de encerramento,Intervalo"</formula1>
      <formula2>0</formula2>
    </dataValidation>
    <dataValidation allowBlank="true" error="Digite o horário no formato hora:minuto, como 08:30." errorStyle="stop" errorTitle="Horário inválido" operator="between" showDropDown="false" showErrorMessage="true" showInputMessage="false" sqref="C13:D24" type="time">
      <formula1>0</formula1>
      <formula2>0.999988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42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154</v>
      </c>
      <c r="C4" s="4"/>
      <c r="D4" s="35" t="str">
        <f aca="false">IF(Plano!E4="","",Plano!E4)&amp;IF(Plano!E5="",""," · "&amp;Plano!E5)</f>
        <v/>
      </c>
      <c r="E4" s="35"/>
      <c r="F4" s="4" t="s">
        <v>127</v>
      </c>
      <c r="G4" s="36" t="str">
        <f aca="false">IF(Plano!H4="","",Plano!H4)</f>
        <v/>
      </c>
      <c r="H4" s="36"/>
    </row>
    <row r="6" customFormat="false" ht="30" hidden="false" customHeight="true" outlineLevel="0" collapsed="false">
      <c r="B6" s="17" t="s">
        <v>80</v>
      </c>
      <c r="C6" s="17" t="s">
        <v>155</v>
      </c>
      <c r="D6" s="17" t="s">
        <v>156</v>
      </c>
      <c r="E6" s="17" t="s">
        <v>157</v>
      </c>
      <c r="F6" s="17" t="s">
        <v>158</v>
      </c>
      <c r="G6" s="17" t="s">
        <v>159</v>
      </c>
      <c r="H6" s="17" t="s">
        <v>160</v>
      </c>
    </row>
    <row r="7" customFormat="false" ht="30" hidden="false" customHeight="true" outlineLevel="0" collapsed="false">
      <c r="B7" s="18"/>
      <c r="C7" s="18" t="s">
        <v>161</v>
      </c>
      <c r="D7" s="18" t="s">
        <v>162</v>
      </c>
      <c r="E7" s="18" t="s">
        <v>163</v>
      </c>
      <c r="F7" s="18" t="s">
        <v>164</v>
      </c>
      <c r="G7" s="18" t="s">
        <v>165</v>
      </c>
      <c r="H7" s="18" t="s">
        <v>166</v>
      </c>
    </row>
    <row r="8" customFormat="false" ht="33" hidden="false" customHeight="true" outlineLevel="0" collapsed="false">
      <c r="B8" s="18" t="s">
        <v>105</v>
      </c>
      <c r="C8" s="19" t="s">
        <v>167</v>
      </c>
      <c r="D8" s="19" t="s">
        <v>168</v>
      </c>
      <c r="E8" s="19" t="s">
        <v>169</v>
      </c>
      <c r="F8" s="19" t="s">
        <v>170</v>
      </c>
      <c r="G8" s="18" t="s">
        <v>171</v>
      </c>
      <c r="H8" s="18" t="n">
        <v>1</v>
      </c>
    </row>
    <row r="9" customFormat="false" ht="33" hidden="false" customHeight="true" outlineLevel="0" collapsed="false">
      <c r="B9" s="21" t="n">
        <v>1</v>
      </c>
      <c r="C9" s="5"/>
      <c r="D9" s="5"/>
      <c r="E9" s="5"/>
      <c r="F9" s="5"/>
      <c r="G9" s="22"/>
      <c r="H9" s="22"/>
    </row>
    <row r="10" customFormat="false" ht="33" hidden="false" customHeight="true" outlineLevel="0" collapsed="false">
      <c r="B10" s="21" t="n">
        <v>2</v>
      </c>
      <c r="C10" s="5"/>
      <c r="D10" s="5"/>
      <c r="E10" s="5"/>
      <c r="F10" s="5"/>
      <c r="G10" s="22"/>
      <c r="H10" s="22"/>
    </row>
    <row r="11" customFormat="false" ht="33" hidden="false" customHeight="true" outlineLevel="0" collapsed="false">
      <c r="B11" s="21" t="n">
        <v>3</v>
      </c>
      <c r="C11" s="5"/>
      <c r="D11" s="5"/>
      <c r="E11" s="5"/>
      <c r="F11" s="5"/>
      <c r="G11" s="22"/>
      <c r="H11" s="22"/>
    </row>
    <row r="12" customFormat="false" ht="33" hidden="false" customHeight="true" outlineLevel="0" collapsed="false">
      <c r="B12" s="21" t="n">
        <v>4</v>
      </c>
      <c r="C12" s="5"/>
      <c r="D12" s="5"/>
      <c r="E12" s="5"/>
      <c r="F12" s="5"/>
      <c r="G12" s="22"/>
      <c r="H12" s="22"/>
    </row>
    <row r="13" customFormat="false" ht="33" hidden="false" customHeight="true" outlineLevel="0" collapsed="false">
      <c r="B13" s="21" t="n">
        <v>5</v>
      </c>
      <c r="C13" s="5"/>
      <c r="D13" s="5"/>
      <c r="E13" s="5"/>
      <c r="F13" s="5"/>
      <c r="G13" s="22"/>
      <c r="H13" s="22"/>
    </row>
    <row r="14" customFormat="false" ht="33" hidden="false" customHeight="true" outlineLevel="0" collapsed="false">
      <c r="B14" s="21" t="n">
        <v>6</v>
      </c>
      <c r="C14" s="5"/>
      <c r="D14" s="5"/>
      <c r="E14" s="5"/>
      <c r="F14" s="5"/>
      <c r="G14" s="22"/>
      <c r="H14" s="22"/>
    </row>
    <row r="15" customFormat="false" ht="33" hidden="false" customHeight="true" outlineLevel="0" collapsed="false">
      <c r="B15" s="21" t="n">
        <v>7</v>
      </c>
      <c r="C15" s="5"/>
      <c r="D15" s="5"/>
      <c r="E15" s="5"/>
      <c r="F15" s="5"/>
      <c r="G15" s="22"/>
      <c r="H15" s="22"/>
    </row>
    <row r="16" customFormat="false" ht="33" hidden="false" customHeight="true" outlineLevel="0" collapsed="false">
      <c r="B16" s="21" t="n">
        <v>8</v>
      </c>
      <c r="C16" s="5"/>
      <c r="D16" s="5"/>
      <c r="E16" s="5"/>
      <c r="F16" s="5"/>
      <c r="G16" s="22"/>
      <c r="H16" s="22"/>
    </row>
    <row r="17" customFormat="false" ht="33" hidden="false" customHeight="true" outlineLevel="0" collapsed="false">
      <c r="B17" s="21" t="n">
        <v>9</v>
      </c>
      <c r="C17" s="5"/>
      <c r="D17" s="5"/>
      <c r="E17" s="5"/>
      <c r="F17" s="5"/>
      <c r="G17" s="22"/>
      <c r="H17" s="22"/>
    </row>
    <row r="18" customFormat="false" ht="33" hidden="false" customHeight="true" outlineLevel="0" collapsed="false">
      <c r="B18" s="21" t="n">
        <v>10</v>
      </c>
      <c r="C18" s="5"/>
      <c r="D18" s="5"/>
      <c r="E18" s="5"/>
      <c r="F18" s="5"/>
      <c r="G18" s="22"/>
      <c r="H18" s="22"/>
    </row>
    <row r="19" customFormat="false" ht="33" hidden="false" customHeight="true" outlineLevel="0" collapsed="false">
      <c r="B19" s="21" t="n">
        <v>11</v>
      </c>
      <c r="C19" s="5"/>
      <c r="D19" s="5"/>
      <c r="E19" s="5"/>
      <c r="F19" s="5"/>
      <c r="G19" s="22"/>
      <c r="H19" s="22"/>
    </row>
    <row r="20" customFormat="false" ht="33" hidden="false" customHeight="true" outlineLevel="0" collapsed="false">
      <c r="B20" s="21" t="n">
        <v>12</v>
      </c>
      <c r="C20" s="5"/>
      <c r="D20" s="5"/>
      <c r="E20" s="5"/>
      <c r="F20" s="5"/>
      <c r="G20" s="22"/>
      <c r="H20" s="22"/>
    </row>
    <row r="21" customFormat="false" ht="33" hidden="false" customHeight="true" outlineLevel="0" collapsed="false">
      <c r="B21" s="21" t="n">
        <v>13</v>
      </c>
      <c r="C21" s="5"/>
      <c r="D21" s="5"/>
      <c r="E21" s="5"/>
      <c r="F21" s="5"/>
      <c r="G21" s="22"/>
      <c r="H21" s="22"/>
    </row>
    <row r="22" customFormat="false" ht="33" hidden="false" customHeight="true" outlineLevel="0" collapsed="false">
      <c r="B22" s="21" t="n">
        <v>14</v>
      </c>
      <c r="C22" s="5"/>
      <c r="D22" s="5"/>
      <c r="E22" s="5"/>
      <c r="F22" s="5"/>
      <c r="G22" s="22"/>
      <c r="H22" s="22"/>
    </row>
    <row r="23" customFormat="false" ht="33" hidden="false" customHeight="true" outlineLevel="0" collapsed="false">
      <c r="B23" s="21" t="n">
        <v>15</v>
      </c>
      <c r="C23" s="5"/>
      <c r="D23" s="5"/>
      <c r="E23" s="5"/>
      <c r="F23" s="5"/>
      <c r="G23" s="22"/>
      <c r="H23" s="22"/>
    </row>
    <row r="24" customFormat="false" ht="33" hidden="false" customHeight="true" outlineLevel="0" collapsed="false">
      <c r="B24" s="21" t="n">
        <v>16</v>
      </c>
      <c r="C24" s="5"/>
      <c r="D24" s="5"/>
      <c r="E24" s="5"/>
      <c r="F24" s="5"/>
      <c r="G24" s="22"/>
      <c r="H24" s="22"/>
    </row>
    <row r="25" customFormat="false" ht="33" hidden="false" customHeight="true" outlineLevel="0" collapsed="false">
      <c r="B25" s="21" t="n">
        <v>17</v>
      </c>
      <c r="C25" s="5"/>
      <c r="D25" s="5"/>
      <c r="E25" s="5"/>
      <c r="F25" s="5"/>
      <c r="G25" s="22"/>
      <c r="H25" s="22"/>
    </row>
    <row r="26" customFormat="false" ht="33" hidden="false" customHeight="true" outlineLevel="0" collapsed="false">
      <c r="B26" s="21" t="n">
        <v>18</v>
      </c>
      <c r="C26" s="5"/>
      <c r="D26" s="5"/>
      <c r="E26" s="5"/>
      <c r="F26" s="5"/>
      <c r="G26" s="22"/>
      <c r="H26" s="22"/>
    </row>
    <row r="27" customFormat="false" ht="33" hidden="false" customHeight="true" outlineLevel="0" collapsed="false">
      <c r="B27" s="21" t="n">
        <v>19</v>
      </c>
      <c r="C27" s="5"/>
      <c r="D27" s="5"/>
      <c r="E27" s="5"/>
      <c r="F27" s="5"/>
      <c r="G27" s="22"/>
      <c r="H27" s="22"/>
    </row>
    <row r="28" customFormat="false" ht="33" hidden="false" customHeight="true" outlineLevel="0" collapsed="false">
      <c r="B28" s="21" t="n">
        <v>20</v>
      </c>
      <c r="C28" s="5"/>
      <c r="D28" s="5"/>
      <c r="E28" s="5"/>
      <c r="F28" s="5"/>
      <c r="G28" s="22"/>
      <c r="H28" s="22"/>
    </row>
    <row r="30" customFormat="false" ht="21.75" hidden="false" customHeight="true" outlineLevel="0" collapsed="false">
      <c r="B30" s="15" t="s">
        <v>116</v>
      </c>
      <c r="C30" s="15"/>
      <c r="D30" s="15"/>
      <c r="E30" s="15"/>
      <c r="F30" s="15"/>
      <c r="G30" s="15"/>
      <c r="H30" s="15"/>
    </row>
    <row r="31" customFormat="false" ht="21.75" hidden="false" customHeight="true" outlineLevel="0" collapsed="false">
      <c r="B31" s="27" t="s">
        <v>172</v>
      </c>
      <c r="C31" s="27"/>
      <c r="D31" s="27"/>
      <c r="E31" s="27"/>
      <c r="F31" s="23" t="n">
        <f aca="false">COUNTA(D9:D28)</f>
        <v>0</v>
      </c>
    </row>
    <row r="32" customFormat="false" ht="21.75" hidden="false" customHeight="true" outlineLevel="0" collapsed="false">
      <c r="B32" s="27" t="s">
        <v>173</v>
      </c>
      <c r="C32" s="27"/>
      <c r="D32" s="27"/>
      <c r="E32" s="27"/>
      <c r="F32" s="23" t="n">
        <f aca="false">COUNTA(G9:G28)</f>
        <v>0</v>
      </c>
    </row>
    <row r="33" customFormat="false" ht="21.75" hidden="false" customHeight="true" outlineLevel="0" collapsed="false">
      <c r="B33" s="27" t="s">
        <v>174</v>
      </c>
      <c r="C33" s="27"/>
      <c r="D33" s="27"/>
      <c r="E33" s="27"/>
      <c r="F33" s="23" t="n">
        <f aca="false">COUNTIF(G9:G28,"Conforme")</f>
        <v>0</v>
      </c>
    </row>
    <row r="34" customFormat="false" ht="21.75" hidden="false" customHeight="true" outlineLevel="0" collapsed="false">
      <c r="B34" s="27" t="s">
        <v>175</v>
      </c>
      <c r="C34" s="27"/>
      <c r="D34" s="27"/>
      <c r="E34" s="27"/>
      <c r="F34" s="23" t="n">
        <f aca="false">COUNTIF(G9:G28,"Não conforme")</f>
        <v>0</v>
      </c>
    </row>
    <row r="35" customFormat="false" ht="21.75" hidden="false" customHeight="true" outlineLevel="0" collapsed="false">
      <c r="B35" s="27" t="s">
        <v>176</v>
      </c>
      <c r="C35" s="27"/>
      <c r="D35" s="27"/>
      <c r="E35" s="27"/>
      <c r="F35" s="23" t="n">
        <f aca="false">COUNTIF(G9:G28,"Oportunidade de melhoria")</f>
        <v>0</v>
      </c>
    </row>
    <row r="36" customFormat="false" ht="21.75" hidden="false" customHeight="true" outlineLevel="0" collapsed="false">
      <c r="B36" s="27" t="s">
        <v>177</v>
      </c>
      <c r="C36" s="27"/>
      <c r="D36" s="27"/>
      <c r="E36" s="27"/>
      <c r="F36" s="28" t="n">
        <f aca="false">IF(F31=0,0,F32/F31)</f>
        <v>0</v>
      </c>
    </row>
    <row r="37" customFormat="false" ht="21.75" hidden="false" customHeight="true" outlineLevel="0" collapsed="false">
      <c r="B37" s="27" t="s">
        <v>178</v>
      </c>
      <c r="C37" s="27"/>
      <c r="D37" s="27"/>
      <c r="E37" s="27"/>
      <c r="F37" s="25" t="str">
        <f aca="false">IF(SUMPRODUCT((G9:G28&lt;&gt;"")*(G9:G28&lt;&gt;"Não aplicável")*(F9:F28=""))&gt;0,"Há item com resultado e sem evidência registrada","OK")</f>
        <v>OK</v>
      </c>
    </row>
    <row r="38" customFormat="false" ht="21.75" hidden="false" customHeight="true" outlineLevel="0" collapsed="false">
      <c r="B38" s="27" t="s">
        <v>179</v>
      </c>
      <c r="C38" s="27"/>
      <c r="D38" s="27"/>
      <c r="E38" s="27"/>
      <c r="F38" s="25" t="str">
        <f aca="false">IF(SUMPRODUCT(((G9:G28="Não conforme")+(G9:G28="Oportunidade de melhoria"))*(H9:H28=""))&gt;0,"Há item sem o número da constatação","OK")</f>
        <v>OK</v>
      </c>
    </row>
  </sheetData>
  <mergeCells count="14">
    <mergeCell ref="B1:H1"/>
    <mergeCell ref="B2:H2"/>
    <mergeCell ref="B4:C4"/>
    <mergeCell ref="D4:E4"/>
    <mergeCell ref="G4:H4"/>
    <mergeCell ref="B30:H30"/>
    <mergeCell ref="B31:E31"/>
    <mergeCell ref="B32:E32"/>
    <mergeCell ref="B33:E33"/>
    <mergeCell ref="B34:E34"/>
    <mergeCell ref="B35:E35"/>
    <mergeCell ref="B36:E36"/>
    <mergeCell ref="B37:E37"/>
    <mergeCell ref="B38:E38"/>
  </mergeCells>
  <conditionalFormatting sqref="G9:G28">
    <cfRule type="cellIs" priority="2" operator="equal" aboveAverage="0" equalAverage="0" bottom="0" percent="0" rank="0" text="" dxfId="2">
      <formula>"Conforme"</formula>
    </cfRule>
    <cfRule type="cellIs" priority="3" operator="equal" aboveAverage="0" equalAverage="0" bottom="0" percent="0" rank="0" text="" dxfId="0">
      <formula>"Não conforme"</formula>
    </cfRule>
    <cfRule type="cellIs" priority="4" operator="equal" aboveAverage="0" equalAverage="0" bottom="0" percent="0" rank="0" text="" dxfId="1">
      <formula>"Oportunidade de melhoria"</formula>
    </cfRule>
    <cfRule type="cellIs" priority="5" operator="equal" aboveAverage="0" equalAverage="0" bottom="0" percent="0" rank="0" text="" dxfId="3">
      <formula>"Não aplicável"</formula>
    </cfRule>
  </conditionalFormatting>
  <conditionalFormatting sqref="F37:F38">
    <cfRule type="expression" priority="6" aboveAverage="0" equalAverage="0" bottom="0" percent="0" rank="0" text="" dxfId="2">
      <formula>OR(F37="OK")</formula>
    </cfRule>
    <cfRule type="expression" priority="7" aboveAverage="0" equalAverage="0" bottom="0" percent="0" rank="0" text="" dxfId="1">
      <formula>AND(LEN(F37)&gt;0,NOT(OR(F37="OK")))</formula>
    </cfRule>
  </conditionalFormatting>
  <dataValidations count="2">
    <dataValidation allowBlank="true" error="Escolha uma das opções da lista." errorStyle="stop" errorTitle="Valor inválido" operator="between" prompt="Conforme, Não conforme, Oportunidade de melhoria ou Não aplicável" promptTitle="Opções" showDropDown="false" showErrorMessage="true" showInputMessage="true" sqref="G9:G28" type="list">
      <formula1>"Conforme,Não conforme,Oportunidade de melhoria,Não aplicável"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9:H2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7" min="6" style="0" width="36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180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181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17" t="s">
        <v>182</v>
      </c>
      <c r="C4" s="17" t="s">
        <v>137</v>
      </c>
      <c r="D4" s="17" t="s">
        <v>81</v>
      </c>
      <c r="E4" s="17" t="s">
        <v>155</v>
      </c>
      <c r="F4" s="17" t="s">
        <v>183</v>
      </c>
      <c r="G4" s="17" t="s">
        <v>184</v>
      </c>
      <c r="H4" s="17" t="s">
        <v>185</v>
      </c>
      <c r="I4" s="17" t="s">
        <v>186</v>
      </c>
      <c r="J4" s="17" t="s">
        <v>90</v>
      </c>
      <c r="K4" s="17" t="s">
        <v>187</v>
      </c>
      <c r="L4" s="17" t="s">
        <v>61</v>
      </c>
    </row>
    <row r="5" customFormat="false" ht="30" hidden="false" customHeight="true" outlineLevel="0" collapsed="false">
      <c r="B5" s="18"/>
      <c r="C5" s="18" t="s">
        <v>188</v>
      </c>
      <c r="D5" s="18" t="s">
        <v>189</v>
      </c>
      <c r="E5" s="18" t="s">
        <v>190</v>
      </c>
      <c r="F5" s="18" t="s">
        <v>191</v>
      </c>
      <c r="G5" s="18" t="s">
        <v>192</v>
      </c>
      <c r="H5" s="18" t="s">
        <v>193</v>
      </c>
      <c r="I5" s="18" t="s">
        <v>194</v>
      </c>
      <c r="J5" s="18" t="s">
        <v>195</v>
      </c>
      <c r="K5" s="18" t="s">
        <v>20</v>
      </c>
      <c r="L5" s="18" t="s">
        <v>104</v>
      </c>
    </row>
    <row r="6" customFormat="false" ht="48" hidden="false" customHeight="true" outlineLevel="0" collapsed="false">
      <c r="B6" s="18" t="s">
        <v>105</v>
      </c>
      <c r="C6" s="18" t="s">
        <v>196</v>
      </c>
      <c r="D6" s="19" t="s">
        <v>197</v>
      </c>
      <c r="E6" s="19" t="s">
        <v>198</v>
      </c>
      <c r="F6" s="19" t="s">
        <v>199</v>
      </c>
      <c r="G6" s="19" t="s">
        <v>200</v>
      </c>
      <c r="H6" s="19" t="s">
        <v>201</v>
      </c>
      <c r="I6" s="20" t="n">
        <v>46325</v>
      </c>
      <c r="J6" s="18" t="s">
        <v>202</v>
      </c>
      <c r="K6" s="18" t="s">
        <v>203</v>
      </c>
      <c r="L6" s="18" t="s">
        <v>115</v>
      </c>
    </row>
    <row r="7" customFormat="false" ht="48" hidden="false" customHeight="true" outlineLevel="0" collapsed="false">
      <c r="B7" s="21" t="n">
        <v>1</v>
      </c>
      <c r="C7" s="22"/>
      <c r="D7" s="5"/>
      <c r="E7" s="5"/>
      <c r="F7" s="5"/>
      <c r="G7" s="5"/>
      <c r="H7" s="5"/>
      <c r="I7" s="26"/>
      <c r="J7" s="22"/>
      <c r="K7" s="25" t="str">
        <f aca="false">IF(C7="","",IF(LEFT(C7,2)="NC",IF(COUNTA(E7:G7)=3,"Completa","Falta "&amp;IF(E7="","o requisito",IF(F7="","a evidência","a declaração"))),IF(COUNTA(F7:G7)=2,"Completa","Falta a descrição")))</f>
        <v/>
      </c>
      <c r="L7" s="25" t="str">
        <f aca="true">IF(C7="","",IF(J7="Eficácia verificada","Encerrada",IF(I7="","Sem prazo",IF(I7&lt;TODAY(),"Atrasada","No prazo"))))</f>
        <v/>
      </c>
    </row>
    <row r="8" customFormat="false" ht="48" hidden="false" customHeight="true" outlineLevel="0" collapsed="false">
      <c r="B8" s="21" t="n">
        <v>2</v>
      </c>
      <c r="C8" s="22"/>
      <c r="D8" s="5"/>
      <c r="E8" s="5"/>
      <c r="F8" s="5"/>
      <c r="G8" s="5"/>
      <c r="H8" s="5"/>
      <c r="I8" s="26"/>
      <c r="J8" s="22"/>
      <c r="K8" s="25" t="str">
        <f aca="false">IF(C8="","",IF(LEFT(C8,2)="NC",IF(COUNTA(E8:G8)=3,"Completa","Falta "&amp;IF(E8="","o requisito",IF(F8="","a evidência","a declaração"))),IF(COUNTA(F8:G8)=2,"Completa","Falta a descrição")))</f>
        <v/>
      </c>
      <c r="L8" s="25" t="str">
        <f aca="true">IF(C8="","",IF(J8="Eficácia verificada","Encerrada",IF(I8="","Sem prazo",IF(I8&lt;TODAY(),"Atrasada","No prazo"))))</f>
        <v/>
      </c>
    </row>
    <row r="9" customFormat="false" ht="48" hidden="false" customHeight="true" outlineLevel="0" collapsed="false">
      <c r="B9" s="21" t="n">
        <v>3</v>
      </c>
      <c r="C9" s="22"/>
      <c r="D9" s="5"/>
      <c r="E9" s="5"/>
      <c r="F9" s="5"/>
      <c r="G9" s="5"/>
      <c r="H9" s="5"/>
      <c r="I9" s="26"/>
      <c r="J9" s="22"/>
      <c r="K9" s="25" t="str">
        <f aca="false">IF(C9="","",IF(LEFT(C9,2)="NC",IF(COUNTA(E9:G9)=3,"Completa","Falta "&amp;IF(E9="","o requisito",IF(F9="","a evidência","a declaração"))),IF(COUNTA(F9:G9)=2,"Completa","Falta a descrição")))</f>
        <v/>
      </c>
      <c r="L9" s="25" t="str">
        <f aca="true">IF(C9="","",IF(J9="Eficácia verificada","Encerrada",IF(I9="","Sem prazo",IF(I9&lt;TODAY(),"Atrasada","No prazo"))))</f>
        <v/>
      </c>
    </row>
    <row r="10" customFormat="false" ht="48" hidden="false" customHeight="true" outlineLevel="0" collapsed="false">
      <c r="B10" s="21" t="n">
        <v>4</v>
      </c>
      <c r="C10" s="22"/>
      <c r="D10" s="5"/>
      <c r="E10" s="5"/>
      <c r="F10" s="5"/>
      <c r="G10" s="5"/>
      <c r="H10" s="5"/>
      <c r="I10" s="26"/>
      <c r="J10" s="22"/>
      <c r="K10" s="25" t="str">
        <f aca="false">IF(C10="","",IF(LEFT(C10,2)="NC",IF(COUNTA(E10:G10)=3,"Completa","Falta "&amp;IF(E10="","o requisito",IF(F10="","a evidência","a declaração"))),IF(COUNTA(F10:G10)=2,"Completa","Falta a descrição")))</f>
        <v/>
      </c>
      <c r="L10" s="25" t="str">
        <f aca="true">IF(C10="","",IF(J10="Eficácia verificada","Encerrada",IF(I10="","Sem prazo",IF(I10&lt;TODAY(),"Atrasada","No prazo"))))</f>
        <v/>
      </c>
    </row>
    <row r="11" customFormat="false" ht="48" hidden="false" customHeight="true" outlineLevel="0" collapsed="false">
      <c r="B11" s="21" t="n">
        <v>5</v>
      </c>
      <c r="C11" s="22"/>
      <c r="D11" s="5"/>
      <c r="E11" s="5"/>
      <c r="F11" s="5"/>
      <c r="G11" s="5"/>
      <c r="H11" s="5"/>
      <c r="I11" s="26"/>
      <c r="J11" s="22"/>
      <c r="K11" s="25" t="str">
        <f aca="false">IF(C11="","",IF(LEFT(C11,2)="NC",IF(COUNTA(E11:G11)=3,"Completa","Falta "&amp;IF(E11="","o requisito",IF(F11="","a evidência","a declaração"))),IF(COUNTA(F11:G11)=2,"Completa","Falta a descrição")))</f>
        <v/>
      </c>
      <c r="L11" s="25" t="str">
        <f aca="true">IF(C11="","",IF(J11="Eficácia verificada","Encerrada",IF(I11="","Sem prazo",IF(I11&lt;TODAY(),"Atrasada","No prazo"))))</f>
        <v/>
      </c>
    </row>
    <row r="12" customFormat="false" ht="48" hidden="false" customHeight="true" outlineLevel="0" collapsed="false">
      <c r="B12" s="21" t="n">
        <v>6</v>
      </c>
      <c r="C12" s="22"/>
      <c r="D12" s="5"/>
      <c r="E12" s="5"/>
      <c r="F12" s="5"/>
      <c r="G12" s="5"/>
      <c r="H12" s="5"/>
      <c r="I12" s="26"/>
      <c r="J12" s="22"/>
      <c r="K12" s="25" t="str">
        <f aca="false">IF(C12="","",IF(LEFT(C12,2)="NC",IF(COUNTA(E12:G12)=3,"Completa","Falta "&amp;IF(E12="","o requisito",IF(F12="","a evidência","a declaração"))),IF(COUNTA(F12:G12)=2,"Completa","Falta a descrição")))</f>
        <v/>
      </c>
      <c r="L12" s="25" t="str">
        <f aca="true">IF(C12="","",IF(J12="Eficácia verificada","Encerrada",IF(I12="","Sem prazo",IF(I12&lt;TODAY(),"Atrasada","No prazo"))))</f>
        <v/>
      </c>
    </row>
    <row r="13" customFormat="false" ht="48" hidden="false" customHeight="true" outlineLevel="0" collapsed="false">
      <c r="B13" s="21" t="n">
        <v>7</v>
      </c>
      <c r="C13" s="22"/>
      <c r="D13" s="5"/>
      <c r="E13" s="5"/>
      <c r="F13" s="5"/>
      <c r="G13" s="5"/>
      <c r="H13" s="5"/>
      <c r="I13" s="26"/>
      <c r="J13" s="22"/>
      <c r="K13" s="25" t="str">
        <f aca="false">IF(C13="","",IF(LEFT(C13,2)="NC",IF(COUNTA(E13:G13)=3,"Completa","Falta "&amp;IF(E13="","o requisito",IF(F13="","a evidência","a declaração"))),IF(COUNTA(F13:G13)=2,"Completa","Falta a descrição")))</f>
        <v/>
      </c>
      <c r="L13" s="25" t="str">
        <f aca="true">IF(C13="","",IF(J13="Eficácia verificada","Encerrada",IF(I13="","Sem prazo",IF(I13&lt;TODAY(),"Atrasada","No prazo"))))</f>
        <v/>
      </c>
    </row>
    <row r="14" customFormat="false" ht="48" hidden="false" customHeight="true" outlineLevel="0" collapsed="false">
      <c r="B14" s="21" t="n">
        <v>8</v>
      </c>
      <c r="C14" s="22"/>
      <c r="D14" s="5"/>
      <c r="E14" s="5"/>
      <c r="F14" s="5"/>
      <c r="G14" s="5"/>
      <c r="H14" s="5"/>
      <c r="I14" s="26"/>
      <c r="J14" s="22"/>
      <c r="K14" s="25" t="str">
        <f aca="false">IF(C14="","",IF(LEFT(C14,2)="NC",IF(COUNTA(E14:G14)=3,"Completa","Falta "&amp;IF(E14="","o requisito",IF(F14="","a evidência","a declaração"))),IF(COUNTA(F14:G14)=2,"Completa","Falta a descrição")))</f>
        <v/>
      </c>
      <c r="L14" s="25" t="str">
        <f aca="true">IF(C14="","",IF(J14="Eficácia verificada","Encerrada",IF(I14="","Sem prazo",IF(I14&lt;TODAY(),"Atrasada","No prazo"))))</f>
        <v/>
      </c>
    </row>
    <row r="15" customFormat="false" ht="48" hidden="false" customHeight="true" outlineLevel="0" collapsed="false">
      <c r="B15" s="21" t="n">
        <v>9</v>
      </c>
      <c r="C15" s="22"/>
      <c r="D15" s="5"/>
      <c r="E15" s="5"/>
      <c r="F15" s="5"/>
      <c r="G15" s="5"/>
      <c r="H15" s="5"/>
      <c r="I15" s="26"/>
      <c r="J15" s="22"/>
      <c r="K15" s="25" t="str">
        <f aca="false">IF(C15="","",IF(LEFT(C15,2)="NC",IF(COUNTA(E15:G15)=3,"Completa","Falta "&amp;IF(E15="","o requisito",IF(F15="","a evidência","a declaração"))),IF(COUNTA(F15:G15)=2,"Completa","Falta a descrição")))</f>
        <v/>
      </c>
      <c r="L15" s="25" t="str">
        <f aca="true">IF(C15="","",IF(J15="Eficácia verificada","Encerrada",IF(I15="","Sem prazo",IF(I15&lt;TODAY(),"Atrasada","No prazo"))))</f>
        <v/>
      </c>
    </row>
    <row r="16" customFormat="false" ht="48" hidden="false" customHeight="true" outlineLevel="0" collapsed="false">
      <c r="B16" s="21" t="n">
        <v>10</v>
      </c>
      <c r="C16" s="22"/>
      <c r="D16" s="5"/>
      <c r="E16" s="5"/>
      <c r="F16" s="5"/>
      <c r="G16" s="5"/>
      <c r="H16" s="5"/>
      <c r="I16" s="26"/>
      <c r="J16" s="22"/>
      <c r="K16" s="25" t="str">
        <f aca="false">IF(C16="","",IF(LEFT(C16,2)="NC",IF(COUNTA(E16:G16)=3,"Completa","Falta "&amp;IF(E16="","o requisito",IF(F16="","a evidência","a declaração"))),IF(COUNTA(F16:G16)=2,"Completa","Falta a descrição")))</f>
        <v/>
      </c>
      <c r="L16" s="25" t="str">
        <f aca="true">IF(C16="","",IF(J16="Eficácia verificada","Encerrada",IF(I16="","Sem prazo",IF(I16&lt;TODAY(),"Atrasada","No prazo"))))</f>
        <v/>
      </c>
    </row>
    <row r="17" customFormat="false" ht="48" hidden="false" customHeight="true" outlineLevel="0" collapsed="false">
      <c r="B17" s="21" t="n">
        <v>11</v>
      </c>
      <c r="C17" s="22"/>
      <c r="D17" s="5"/>
      <c r="E17" s="5"/>
      <c r="F17" s="5"/>
      <c r="G17" s="5"/>
      <c r="H17" s="5"/>
      <c r="I17" s="26"/>
      <c r="J17" s="22"/>
      <c r="K17" s="25" t="str">
        <f aca="false">IF(C17="","",IF(LEFT(C17,2)="NC",IF(COUNTA(E17:G17)=3,"Completa","Falta "&amp;IF(E17="","o requisito",IF(F17="","a evidência","a declaração"))),IF(COUNTA(F17:G17)=2,"Completa","Falta a descrição")))</f>
        <v/>
      </c>
      <c r="L17" s="25" t="str">
        <f aca="true">IF(C17="","",IF(J17="Eficácia verificada","Encerrada",IF(I17="","Sem prazo",IF(I17&lt;TODAY(),"Atrasada","No prazo"))))</f>
        <v/>
      </c>
    </row>
    <row r="18" customFormat="false" ht="48" hidden="false" customHeight="true" outlineLevel="0" collapsed="false">
      <c r="B18" s="21" t="n">
        <v>12</v>
      </c>
      <c r="C18" s="22"/>
      <c r="D18" s="5"/>
      <c r="E18" s="5"/>
      <c r="F18" s="5"/>
      <c r="G18" s="5"/>
      <c r="H18" s="5"/>
      <c r="I18" s="26"/>
      <c r="J18" s="22"/>
      <c r="K18" s="25" t="str">
        <f aca="false">IF(C18="","",IF(LEFT(C18,2)="NC",IF(COUNTA(E18:G18)=3,"Completa","Falta "&amp;IF(E18="","o requisito",IF(F18="","a evidência","a declaração"))),IF(COUNTA(F18:G18)=2,"Completa","Falta a descrição")))</f>
        <v/>
      </c>
      <c r="L18" s="25" t="str">
        <f aca="true">IF(C18="","",IF(J18="Eficácia verificada","Encerrada",IF(I18="","Sem prazo",IF(I18&lt;TODAY(),"Atrasada","No prazo"))))</f>
        <v/>
      </c>
    </row>
    <row r="19" customFormat="false" ht="48" hidden="false" customHeight="true" outlineLevel="0" collapsed="false">
      <c r="B19" s="21" t="n">
        <v>13</v>
      </c>
      <c r="C19" s="22"/>
      <c r="D19" s="5"/>
      <c r="E19" s="5"/>
      <c r="F19" s="5"/>
      <c r="G19" s="5"/>
      <c r="H19" s="5"/>
      <c r="I19" s="26"/>
      <c r="J19" s="22"/>
      <c r="K19" s="25" t="str">
        <f aca="false">IF(C19="","",IF(LEFT(C19,2)="NC",IF(COUNTA(E19:G19)=3,"Completa","Falta "&amp;IF(E19="","o requisito",IF(F19="","a evidência","a declaração"))),IF(COUNTA(F19:G19)=2,"Completa","Falta a descrição")))</f>
        <v/>
      </c>
      <c r="L19" s="25" t="str">
        <f aca="true">IF(C19="","",IF(J19="Eficácia verificada","Encerrada",IF(I19="","Sem prazo",IF(I19&lt;TODAY(),"Atrasada","No prazo"))))</f>
        <v/>
      </c>
    </row>
    <row r="20" customFormat="false" ht="48" hidden="false" customHeight="true" outlineLevel="0" collapsed="false">
      <c r="B20" s="21" t="n">
        <v>14</v>
      </c>
      <c r="C20" s="22"/>
      <c r="D20" s="5"/>
      <c r="E20" s="5"/>
      <c r="F20" s="5"/>
      <c r="G20" s="5"/>
      <c r="H20" s="5"/>
      <c r="I20" s="26"/>
      <c r="J20" s="22"/>
      <c r="K20" s="25" t="str">
        <f aca="false">IF(C20="","",IF(LEFT(C20,2)="NC",IF(COUNTA(E20:G20)=3,"Completa","Falta "&amp;IF(E20="","o requisito",IF(F20="","a evidência","a declaração"))),IF(COUNTA(F20:G20)=2,"Completa","Falta a descrição")))</f>
        <v/>
      </c>
      <c r="L20" s="25" t="str">
        <f aca="true">IF(C20="","",IF(J20="Eficácia verificada","Encerrada",IF(I20="","Sem prazo",IF(I20&lt;TODAY(),"Atrasada","No prazo"))))</f>
        <v/>
      </c>
    </row>
    <row r="21" customFormat="false" ht="48" hidden="false" customHeight="true" outlineLevel="0" collapsed="false">
      <c r="B21" s="21" t="n">
        <v>15</v>
      </c>
      <c r="C21" s="22"/>
      <c r="D21" s="5"/>
      <c r="E21" s="5"/>
      <c r="F21" s="5"/>
      <c r="G21" s="5"/>
      <c r="H21" s="5"/>
      <c r="I21" s="26"/>
      <c r="J21" s="22"/>
      <c r="K21" s="25" t="str">
        <f aca="false">IF(C21="","",IF(LEFT(C21,2)="NC",IF(COUNTA(E21:G21)=3,"Completa","Falta "&amp;IF(E21="","o requisito",IF(F21="","a evidência","a declaração"))),IF(COUNTA(F21:G21)=2,"Completa","Falta a descrição")))</f>
        <v/>
      </c>
      <c r="L21" s="25" t="str">
        <f aca="true">IF(C21="","",IF(J21="Eficácia verificada","Encerrada",IF(I21="","Sem prazo",IF(I21&lt;TODAY(),"Atrasada","No prazo"))))</f>
        <v/>
      </c>
    </row>
    <row r="23" customFormat="false" ht="21.75" hidden="false" customHeight="true" outlineLevel="0" collapsed="false">
      <c r="B23" s="15" t="s">
        <v>116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B24" s="23" t="s">
        <v>137</v>
      </c>
      <c r="C24" s="23"/>
      <c r="D24" s="23"/>
      <c r="E24" s="23" t="s">
        <v>44</v>
      </c>
    </row>
    <row r="25" customFormat="false" ht="21.75" hidden="false" customHeight="true" outlineLevel="0" collapsed="false">
      <c r="B25" s="4" t="s">
        <v>110</v>
      </c>
      <c r="C25" s="4"/>
      <c r="D25" s="4"/>
      <c r="E25" s="23" t="n">
        <f aca="false">COUNTIF(C7:C21,"NC maior")</f>
        <v>0</v>
      </c>
    </row>
    <row r="26" customFormat="false" ht="21.75" hidden="false" customHeight="true" outlineLevel="0" collapsed="false">
      <c r="B26" s="4" t="s">
        <v>196</v>
      </c>
      <c r="C26" s="4"/>
      <c r="D26" s="4"/>
      <c r="E26" s="23" t="n">
        <f aca="false">COUNTIF(C7:C21,"NC menor")</f>
        <v>0</v>
      </c>
    </row>
    <row r="27" customFormat="false" ht="21.75" hidden="false" customHeight="true" outlineLevel="0" collapsed="false">
      <c r="B27" s="4" t="s">
        <v>204</v>
      </c>
      <c r="C27" s="4"/>
      <c r="D27" s="4"/>
      <c r="E27" s="23" t="n">
        <f aca="false">COUNTIF(C7:C21,"Oportunidade de melhoria")</f>
        <v>0</v>
      </c>
    </row>
    <row r="28" customFormat="false" ht="21.75" hidden="false" customHeight="true" outlineLevel="0" collapsed="false">
      <c r="B28" s="4" t="s">
        <v>205</v>
      </c>
      <c r="C28" s="4"/>
      <c r="D28" s="4"/>
      <c r="E28" s="23" t="n">
        <f aca="false">COUNTA(C7:C21)</f>
        <v>0</v>
      </c>
    </row>
    <row r="29" customFormat="false" ht="21.75" hidden="false" customHeight="true" outlineLevel="0" collapsed="false">
      <c r="B29" s="4" t="s">
        <v>206</v>
      </c>
      <c r="C29" s="4"/>
      <c r="D29" s="4"/>
      <c r="E29" s="23" t="n">
        <f aca="false">COUNTIF(L7:L21,"Encerrada")</f>
        <v>0</v>
      </c>
    </row>
    <row r="30" customFormat="false" ht="21.75" hidden="false" customHeight="true" outlineLevel="0" collapsed="false">
      <c r="B30" s="4" t="s">
        <v>207</v>
      </c>
      <c r="C30" s="4"/>
      <c r="D30" s="4"/>
      <c r="E30" s="23" t="n">
        <f aca="false">COUNTIF(L7:L21,"Atrasada")</f>
        <v>0</v>
      </c>
    </row>
    <row r="31" customFormat="false" ht="30" hidden="false" customHeight="true" outlineLevel="0" collapsed="false">
      <c r="B31" s="4" t="s">
        <v>123</v>
      </c>
      <c r="C31" s="4"/>
      <c r="D31" s="4"/>
      <c r="E31" s="25" t="str">
        <f aca="false">IF(E28=0,"Registre as constatações",IF(COUNTIF(K7:K21,"Falta*")&gt;0,"Há constatação incompleta: veja a coluna Conferência",IF(SUMPRODUCT((C7:C21&lt;&gt;"")*(H7:H21=""))&gt;0,"Há constatação sem responsável","OK")))</f>
        <v>Registre as constatações</v>
      </c>
    </row>
  </sheetData>
  <mergeCells count="11">
    <mergeCell ref="B1:L1"/>
    <mergeCell ref="B2:L2"/>
    <mergeCell ref="B23:L23"/>
    <mergeCell ref="B24:D24"/>
    <mergeCell ref="B25:D25"/>
    <mergeCell ref="B26:D26"/>
    <mergeCell ref="B27:D27"/>
    <mergeCell ref="B28:D28"/>
    <mergeCell ref="B29:D29"/>
    <mergeCell ref="B30:D30"/>
    <mergeCell ref="B31:D31"/>
  </mergeCells>
  <conditionalFormatting sqref="C7:C21">
    <cfRule type="cellIs" priority="2" operator="equal" aboveAverage="0" equalAverage="0" bottom="0" percent="0" rank="0" text="" dxfId="0">
      <formula>"NC maior"</formula>
    </cfRule>
    <cfRule type="cellIs" priority="3" operator="equal" aboveAverage="0" equalAverage="0" bottom="0" percent="0" rank="0" text="" dxfId="0">
      <formula>"NC menor"</formula>
    </cfRule>
    <cfRule type="cellIs" priority="4" operator="equal" aboveAverage="0" equalAverage="0" bottom="0" percent="0" rank="0" text="" dxfId="1">
      <formula>"Oportunidade de melhoria"</formula>
    </cfRule>
  </conditionalFormatting>
  <conditionalFormatting sqref="J7:J21">
    <cfRule type="cellIs" priority="5" operator="equal" aboveAverage="0" equalAverage="0" bottom="0" percent="0" rank="0" text="" dxfId="2">
      <formula>"Eficácia verificada"</formula>
    </cfRule>
    <cfRule type="cellIs" priority="6" operator="equal" aboveAverage="0" equalAverage="0" bottom="0" percent="0" rank="0" text="" dxfId="1">
      <formula>"Em tratamento"</formula>
    </cfRule>
    <cfRule type="cellIs" priority="7" operator="equal" aboveAverage="0" equalAverage="0" bottom="0" percent="0" rank="0" text="" dxfId="0">
      <formula>"Aberta"</formula>
    </cfRule>
  </conditionalFormatting>
  <conditionalFormatting sqref="K7:K21">
    <cfRule type="expression" priority="8" aboveAverage="0" equalAverage="0" bottom="0" percent="0" rank="0" text="" dxfId="2">
      <formula>OR(K7="Completa")</formula>
    </cfRule>
    <cfRule type="expression" priority="9" aboveAverage="0" equalAverage="0" bottom="0" percent="0" rank="0" text="" dxfId="1">
      <formula>AND(LEN(K7)&gt;0,NOT(OR(K7="Completa")))</formula>
    </cfRule>
  </conditionalFormatting>
  <conditionalFormatting sqref="L7:L21">
    <cfRule type="cellIs" priority="10" operator="equal" aboveAverage="0" equalAverage="0" bottom="0" percent="0" rank="0" text="" dxfId="2">
      <formula>"Encerrada"</formula>
    </cfRule>
    <cfRule type="cellIs" priority="11" operator="equal" aboveAverage="0" equalAverage="0" bottom="0" percent="0" rank="0" text="" dxfId="2">
      <formula>"No prazo"</formula>
    </cfRule>
    <cfRule type="cellIs" priority="12" operator="equal" aboveAverage="0" equalAverage="0" bottom="0" percent="0" rank="0" text="" dxfId="1">
      <formula>"Sem prazo"</formula>
    </cfRule>
    <cfRule type="cellIs" priority="13" operator="equal" aboveAverage="0" equalAverage="0" bottom="0" percent="0" rank="0" text="" dxfId="0">
      <formula>"Atrasada"</formula>
    </cfRule>
  </conditionalFormatting>
  <conditionalFormatting sqref="E31">
    <cfRule type="expression" priority="14" aboveAverage="0" equalAverage="0" bottom="0" percent="0" rank="0" text="" dxfId="2">
      <formula>OR(E31="OK")</formula>
    </cfRule>
    <cfRule type="expression" priority="15" aboveAverage="0" equalAverage="0" bottom="0" percent="0" rank="0" text="" dxfId="1">
      <formula>AND(LEN(E31)&gt;0,NOT(OR(E31="OK")))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7:I21" type="date">
      <formula1>36526</formula1>
      <formula2>0</formula2>
    </dataValidation>
    <dataValidation allowBlank="true" error="Escolha uma das opções da lista." errorStyle="stop" errorTitle="Valor inválido" operator="between" prompt="NC maior, NC menor ou Oportunidade de melhoria" promptTitle="Opções" showDropDown="false" showErrorMessage="true" showInputMessage="true" sqref="C7:C21" type="list">
      <formula1>"NC maior,NC menor,Oportunidade de melhoria"</formula1>
      <formula2>0</formula2>
    </dataValidation>
    <dataValidation allowBlank="true" error="Escolha uma das opções da lista." errorStyle="stop" errorTitle="Valor inválido" operator="between" prompt="Aberta, Em tratamento ou Eficácia verificada" promptTitle="Opções" showDropDown="false" showErrorMessage="true" showInputMessage="true" sqref="J7:J21" type="list">
      <formula1>"Aberta,Em tratamento,Eficácia verificada"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208</v>
      </c>
      <c r="C1" s="1"/>
      <c r="D1" s="1"/>
      <c r="E1" s="1"/>
    </row>
    <row r="2" customFormat="false" ht="19.5" hidden="false" customHeight="true" outlineLevel="0" collapsed="false">
      <c r="B2" s="2" t="s">
        <v>209</v>
      </c>
      <c r="C2" s="2"/>
      <c r="D2" s="2"/>
      <c r="E2" s="2"/>
    </row>
    <row r="4" customFormat="false" ht="21.75" hidden="false" customHeight="true" outlineLevel="0" collapsed="false">
      <c r="B4" s="17" t="s">
        <v>80</v>
      </c>
      <c r="C4" s="17" t="s">
        <v>210</v>
      </c>
      <c r="D4" s="17" t="s">
        <v>90</v>
      </c>
      <c r="E4" s="17" t="s">
        <v>211</v>
      </c>
    </row>
    <row r="5" customFormat="false" ht="30" hidden="false" customHeight="true" outlineLevel="0" collapsed="false">
      <c r="B5" s="21" t="n">
        <v>1</v>
      </c>
      <c r="C5" s="6" t="s">
        <v>212</v>
      </c>
      <c r="D5" s="22"/>
      <c r="E5" s="5"/>
    </row>
    <row r="6" customFormat="false" ht="30" hidden="false" customHeight="true" outlineLevel="0" collapsed="false">
      <c r="B6" s="21" t="n">
        <v>2</v>
      </c>
      <c r="C6" s="6" t="s">
        <v>213</v>
      </c>
      <c r="D6" s="22"/>
      <c r="E6" s="5"/>
    </row>
    <row r="7" customFormat="false" ht="30" hidden="false" customHeight="true" outlineLevel="0" collapsed="false">
      <c r="B7" s="21" t="n">
        <v>3</v>
      </c>
      <c r="C7" s="6" t="s">
        <v>214</v>
      </c>
      <c r="D7" s="22"/>
      <c r="E7" s="5"/>
    </row>
    <row r="8" customFormat="false" ht="30" hidden="false" customHeight="true" outlineLevel="0" collapsed="false">
      <c r="B8" s="21" t="n">
        <v>4</v>
      </c>
      <c r="C8" s="6" t="s">
        <v>215</v>
      </c>
      <c r="D8" s="22"/>
      <c r="E8" s="5"/>
    </row>
    <row r="9" customFormat="false" ht="30" hidden="false" customHeight="true" outlineLevel="0" collapsed="false">
      <c r="B9" s="21" t="n">
        <v>5</v>
      </c>
      <c r="C9" s="6" t="s">
        <v>216</v>
      </c>
      <c r="D9" s="22"/>
      <c r="E9" s="5"/>
    </row>
    <row r="10" customFormat="false" ht="30" hidden="false" customHeight="true" outlineLevel="0" collapsed="false">
      <c r="B10" s="21" t="n">
        <v>6</v>
      </c>
      <c r="C10" s="6" t="s">
        <v>217</v>
      </c>
      <c r="D10" s="22"/>
      <c r="E10" s="5"/>
    </row>
    <row r="11" customFormat="false" ht="30" hidden="false" customHeight="true" outlineLevel="0" collapsed="false">
      <c r="B11" s="21" t="n">
        <v>7</v>
      </c>
      <c r="C11" s="6" t="s">
        <v>218</v>
      </c>
      <c r="D11" s="22"/>
      <c r="E11" s="5"/>
    </row>
    <row r="12" customFormat="false" ht="30" hidden="false" customHeight="true" outlineLevel="0" collapsed="false">
      <c r="B12" s="21" t="n">
        <v>8</v>
      </c>
      <c r="C12" s="6" t="s">
        <v>219</v>
      </c>
      <c r="D12" s="22"/>
      <c r="E12" s="5"/>
    </row>
    <row r="13" customFormat="false" ht="30" hidden="false" customHeight="true" outlineLevel="0" collapsed="false">
      <c r="B13" s="21" t="n">
        <v>9</v>
      </c>
      <c r="C13" s="6" t="s">
        <v>220</v>
      </c>
      <c r="D13" s="22"/>
      <c r="E13" s="5"/>
    </row>
    <row r="14" customFormat="false" ht="30" hidden="false" customHeight="true" outlineLevel="0" collapsed="false">
      <c r="B14" s="21" t="n">
        <v>10</v>
      </c>
      <c r="C14" s="6" t="s">
        <v>221</v>
      </c>
      <c r="D14" s="22"/>
      <c r="E14" s="5"/>
    </row>
    <row r="15" customFormat="false" ht="30" hidden="false" customHeight="true" outlineLevel="0" collapsed="false">
      <c r="B15" s="21" t="n">
        <v>11</v>
      </c>
      <c r="C15" s="6" t="s">
        <v>222</v>
      </c>
      <c r="D15" s="22"/>
      <c r="E15" s="5"/>
    </row>
    <row r="16" customFormat="false" ht="30" hidden="false" customHeight="true" outlineLevel="0" collapsed="false">
      <c r="B16" s="21" t="n">
        <v>12</v>
      </c>
      <c r="C16" s="6" t="s">
        <v>223</v>
      </c>
      <c r="D16" s="22"/>
      <c r="E16" s="5"/>
    </row>
    <row r="18" customFormat="false" ht="21.75" hidden="false" customHeight="true" outlineLevel="0" collapsed="false">
      <c r="B18" s="15" t="s">
        <v>116</v>
      </c>
      <c r="C18" s="15"/>
      <c r="D18" s="15"/>
      <c r="E18" s="15"/>
    </row>
    <row r="19" customFormat="false" ht="19.5" hidden="false" customHeight="true" outlineLevel="0" collapsed="false">
      <c r="B19" s="27" t="s">
        <v>224</v>
      </c>
      <c r="C19" s="27"/>
      <c r="D19" s="23" t="n">
        <f aca="false">COUNTIF(D5:D16,"Sim")</f>
        <v>0</v>
      </c>
    </row>
    <row r="20" customFormat="false" ht="19.5" hidden="false" customHeight="true" outlineLevel="0" collapsed="false">
      <c r="B20" s="27" t="s">
        <v>225</v>
      </c>
      <c r="C20" s="27"/>
      <c r="D20" s="23" t="n">
        <f aca="false">COUNTIF(D5:D16,"Parcial")</f>
        <v>0</v>
      </c>
    </row>
    <row r="21" customFormat="false" ht="19.5" hidden="false" customHeight="true" outlineLevel="0" collapsed="false">
      <c r="B21" s="27" t="s">
        <v>226</v>
      </c>
      <c r="C21" s="27"/>
      <c r="D21" s="23" t="n">
        <f aca="false">COUNTIF(D5:D16,"Não")</f>
        <v>0</v>
      </c>
    </row>
    <row r="22" customFormat="false" ht="19.5" hidden="false" customHeight="true" outlineLevel="0" collapsed="false">
      <c r="B22" s="27" t="s">
        <v>227</v>
      </c>
      <c r="C22" s="27"/>
      <c r="D22" s="23" t="n">
        <f aca="false">COUNTBLANK(D5:D16)</f>
        <v>12</v>
      </c>
    </row>
    <row r="23" customFormat="false" ht="19.5" hidden="false" customHeight="true" outlineLevel="0" collapsed="false">
      <c r="B23" s="27" t="s">
        <v>228</v>
      </c>
      <c r="C23" s="27"/>
      <c r="D23" s="28" t="n">
        <f aca="false">D19/ROWS(D5:D16)</f>
        <v>0</v>
      </c>
    </row>
    <row r="24" customFormat="false" ht="19.5" hidden="false" customHeight="true" outlineLevel="0" collapsed="false">
      <c r="B24" s="27" t="s">
        <v>61</v>
      </c>
      <c r="C24" s="27"/>
      <c r="D24" s="23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0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229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126</v>
      </c>
      <c r="C4" s="4"/>
      <c r="D4" s="37" t="s">
        <v>231</v>
      </c>
      <c r="E4" s="37"/>
      <c r="F4" s="37"/>
      <c r="G4" s="37"/>
      <c r="H4" s="37"/>
    </row>
    <row r="5" customFormat="false" ht="21.75" hidden="false" customHeight="true" outlineLevel="0" collapsed="false">
      <c r="B5" s="4" t="s">
        <v>100</v>
      </c>
      <c r="C5" s="4"/>
      <c r="D5" s="38" t="n">
        <v>46290</v>
      </c>
      <c r="E5" s="38"/>
      <c r="F5" s="38"/>
      <c r="G5" s="38"/>
      <c r="H5" s="38"/>
    </row>
    <row r="6" customFormat="false" ht="21.75" hidden="false" customHeight="true" outlineLevel="0" collapsed="false">
      <c r="B6" s="4" t="s">
        <v>81</v>
      </c>
      <c r="C6" s="4"/>
      <c r="D6" s="37" t="s">
        <v>232</v>
      </c>
      <c r="E6" s="37"/>
      <c r="F6" s="37"/>
      <c r="G6" s="37"/>
      <c r="H6" s="37"/>
    </row>
    <row r="7" customFormat="false" ht="21.75" hidden="false" customHeight="true" outlineLevel="0" collapsed="false">
      <c r="B7" s="4" t="s">
        <v>130</v>
      </c>
      <c r="C7" s="4"/>
      <c r="D7" s="37" t="s">
        <v>233</v>
      </c>
      <c r="E7" s="37"/>
      <c r="F7" s="37"/>
      <c r="G7" s="37"/>
      <c r="H7" s="37"/>
    </row>
    <row r="8" customFormat="false" ht="21.75" hidden="false" customHeight="true" outlineLevel="0" collapsed="false">
      <c r="B8" s="4" t="s">
        <v>129</v>
      </c>
      <c r="C8" s="4"/>
      <c r="D8" s="37" t="s">
        <v>234</v>
      </c>
      <c r="E8" s="37"/>
      <c r="F8" s="37"/>
      <c r="G8" s="37"/>
      <c r="H8" s="37"/>
    </row>
    <row r="9" customFormat="false" ht="21.75" hidden="false" customHeight="true" outlineLevel="0" collapsed="false">
      <c r="B9" s="4" t="s">
        <v>131</v>
      </c>
      <c r="C9" s="4"/>
      <c r="D9" s="37" t="s">
        <v>235</v>
      </c>
      <c r="E9" s="37"/>
      <c r="F9" s="37"/>
      <c r="G9" s="37"/>
      <c r="H9" s="37"/>
    </row>
    <row r="10" customFormat="false" ht="21.75" hidden="false" customHeight="true" outlineLevel="0" collapsed="false">
      <c r="B10" s="4" t="s">
        <v>132</v>
      </c>
      <c r="C10" s="4"/>
      <c r="D10" s="37" t="s">
        <v>236</v>
      </c>
      <c r="E10" s="37"/>
      <c r="F10" s="37"/>
      <c r="G10" s="37"/>
      <c r="H10" s="37"/>
    </row>
    <row r="11" customFormat="false" ht="21.75" hidden="false" customHeight="true" outlineLevel="0" collapsed="false">
      <c r="B11" s="4" t="s">
        <v>133</v>
      </c>
      <c r="C11" s="4"/>
      <c r="D11" s="37" t="s">
        <v>237</v>
      </c>
      <c r="E11" s="37"/>
      <c r="F11" s="37"/>
      <c r="G11" s="37"/>
      <c r="H11" s="37"/>
    </row>
    <row r="13" customFormat="false" ht="21.75" hidden="false" customHeight="true" outlineLevel="0" collapsed="false">
      <c r="B13" s="39" t="s">
        <v>238</v>
      </c>
      <c r="C13" s="39"/>
      <c r="D13" s="39"/>
      <c r="E13" s="39"/>
      <c r="F13" s="39"/>
      <c r="G13" s="39"/>
      <c r="H13" s="39"/>
    </row>
    <row r="14" customFormat="false" ht="21.75" hidden="false" customHeight="true" outlineLevel="0" collapsed="false">
      <c r="B14" s="23" t="s">
        <v>80</v>
      </c>
      <c r="C14" s="23" t="s">
        <v>239</v>
      </c>
      <c r="D14" s="23" t="s">
        <v>136</v>
      </c>
      <c r="E14" s="23" t="s">
        <v>138</v>
      </c>
      <c r="F14" s="23" t="s">
        <v>129</v>
      </c>
      <c r="G14" s="40" t="s">
        <v>139</v>
      </c>
      <c r="H14" s="40"/>
    </row>
    <row r="15" customFormat="false" ht="24" hidden="false" customHeight="true" outlineLevel="0" collapsed="false">
      <c r="B15" s="21" t="n">
        <v>1</v>
      </c>
      <c r="C15" s="41" t="s">
        <v>240</v>
      </c>
      <c r="D15" s="7" t="s">
        <v>241</v>
      </c>
      <c r="E15" s="7" t="s">
        <v>242</v>
      </c>
      <c r="F15" s="7" t="s">
        <v>243</v>
      </c>
      <c r="G15" s="7" t="s">
        <v>244</v>
      </c>
      <c r="H15" s="7"/>
    </row>
    <row r="16" customFormat="false" ht="24" hidden="false" customHeight="true" outlineLevel="0" collapsed="false">
      <c r="B16" s="21" t="n">
        <v>2</v>
      </c>
      <c r="C16" s="41" t="s">
        <v>245</v>
      </c>
      <c r="D16" s="7" t="s">
        <v>246</v>
      </c>
      <c r="E16" s="7" t="s">
        <v>247</v>
      </c>
      <c r="F16" s="7" t="s">
        <v>248</v>
      </c>
      <c r="G16" s="7" t="s">
        <v>244</v>
      </c>
      <c r="H16" s="7"/>
    </row>
    <row r="17" customFormat="false" ht="24" hidden="false" customHeight="true" outlineLevel="0" collapsed="false">
      <c r="B17" s="21" t="n">
        <v>3</v>
      </c>
      <c r="C17" s="41" t="s">
        <v>249</v>
      </c>
      <c r="D17" s="7" t="s">
        <v>250</v>
      </c>
      <c r="E17" s="7" t="s">
        <v>251</v>
      </c>
      <c r="F17" s="7" t="s">
        <v>252</v>
      </c>
      <c r="G17" s="7" t="s">
        <v>253</v>
      </c>
      <c r="H17" s="7"/>
    </row>
    <row r="18" customFormat="false" ht="24" hidden="false" customHeight="true" outlineLevel="0" collapsed="false">
      <c r="B18" s="21" t="n">
        <v>4</v>
      </c>
      <c r="C18" s="41" t="s">
        <v>254</v>
      </c>
      <c r="D18" s="7" t="s">
        <v>255</v>
      </c>
      <c r="E18" s="7" t="s">
        <v>256</v>
      </c>
      <c r="F18" s="7" t="s">
        <v>257</v>
      </c>
      <c r="G18" s="7" t="s">
        <v>258</v>
      </c>
      <c r="H18" s="7"/>
    </row>
    <row r="19" customFormat="false" ht="24" hidden="false" customHeight="true" outlineLevel="0" collapsed="false">
      <c r="B19" s="21" t="n">
        <v>5</v>
      </c>
      <c r="C19" s="41" t="s">
        <v>259</v>
      </c>
      <c r="D19" s="7" t="s">
        <v>260</v>
      </c>
      <c r="E19" s="7" t="s">
        <v>251</v>
      </c>
      <c r="F19" s="7"/>
      <c r="G19" s="7" t="s">
        <v>244</v>
      </c>
      <c r="H19" s="7"/>
    </row>
    <row r="20" customFormat="false" ht="24" hidden="false" customHeight="true" outlineLevel="0" collapsed="false">
      <c r="B20" s="21" t="n">
        <v>6</v>
      </c>
      <c r="C20" s="41" t="s">
        <v>261</v>
      </c>
      <c r="D20" s="7" t="s">
        <v>262</v>
      </c>
      <c r="E20" s="7" t="s">
        <v>242</v>
      </c>
      <c r="F20" s="7" t="s">
        <v>243</v>
      </c>
      <c r="G20" s="7" t="s">
        <v>244</v>
      </c>
      <c r="H20" s="7"/>
    </row>
    <row r="22" customFormat="false" ht="21.75" hidden="false" customHeight="true" outlineLevel="0" collapsed="false">
      <c r="B22" s="42" t="s">
        <v>42</v>
      </c>
      <c r="C22" s="42"/>
      <c r="D22" s="42"/>
      <c r="E22" s="42"/>
      <c r="F22" s="42"/>
      <c r="G22" s="42"/>
      <c r="H22" s="42"/>
    </row>
    <row r="23" customFormat="false" ht="21.75" hidden="false" customHeight="true" outlineLevel="0" collapsed="false">
      <c r="B23" s="23" t="s">
        <v>80</v>
      </c>
      <c r="C23" s="23" t="s">
        <v>155</v>
      </c>
      <c r="D23" s="23" t="s">
        <v>156</v>
      </c>
      <c r="E23" s="23" t="s">
        <v>157</v>
      </c>
      <c r="F23" s="23" t="s">
        <v>158</v>
      </c>
      <c r="G23" s="23" t="s">
        <v>159</v>
      </c>
      <c r="H23" s="23" t="s">
        <v>263</v>
      </c>
    </row>
    <row r="24" customFormat="false" ht="42" hidden="false" customHeight="true" outlineLevel="0" collapsed="false">
      <c r="B24" s="21" t="n">
        <v>1</v>
      </c>
      <c r="C24" s="7" t="s">
        <v>264</v>
      </c>
      <c r="D24" s="7" t="s">
        <v>265</v>
      </c>
      <c r="E24" s="7" t="s">
        <v>266</v>
      </c>
      <c r="F24" s="7" t="s">
        <v>267</v>
      </c>
      <c r="G24" s="41" t="s">
        <v>268</v>
      </c>
      <c r="H24" s="41"/>
    </row>
    <row r="25" customFormat="false" ht="42" hidden="false" customHeight="true" outlineLevel="0" collapsed="false">
      <c r="B25" s="21" t="n">
        <v>2</v>
      </c>
      <c r="C25" s="7" t="s">
        <v>269</v>
      </c>
      <c r="D25" s="7" t="s">
        <v>270</v>
      </c>
      <c r="E25" s="7" t="s">
        <v>271</v>
      </c>
      <c r="F25" s="7" t="s">
        <v>272</v>
      </c>
      <c r="G25" s="41" t="s">
        <v>268</v>
      </c>
      <c r="H25" s="41"/>
    </row>
    <row r="26" customFormat="false" ht="42" hidden="false" customHeight="true" outlineLevel="0" collapsed="false">
      <c r="B26" s="21" t="n">
        <v>3</v>
      </c>
      <c r="C26" s="7" t="s">
        <v>273</v>
      </c>
      <c r="D26" s="7" t="s">
        <v>274</v>
      </c>
      <c r="E26" s="7" t="s">
        <v>275</v>
      </c>
      <c r="F26" s="7" t="s">
        <v>276</v>
      </c>
      <c r="G26" s="41" t="s">
        <v>268</v>
      </c>
      <c r="H26" s="41"/>
    </row>
    <row r="27" customFormat="false" ht="42" hidden="false" customHeight="true" outlineLevel="0" collapsed="false">
      <c r="B27" s="21" t="n">
        <v>4</v>
      </c>
      <c r="C27" s="7" t="s">
        <v>277</v>
      </c>
      <c r="D27" s="7" t="s">
        <v>278</v>
      </c>
      <c r="E27" s="7" t="s">
        <v>279</v>
      </c>
      <c r="F27" s="7" t="s">
        <v>280</v>
      </c>
      <c r="G27" s="41" t="s">
        <v>171</v>
      </c>
      <c r="H27" s="41" t="n">
        <v>1</v>
      </c>
    </row>
    <row r="28" customFormat="false" ht="42" hidden="false" customHeight="true" outlineLevel="0" collapsed="false">
      <c r="B28" s="21" t="n">
        <v>5</v>
      </c>
      <c r="C28" s="7" t="s">
        <v>281</v>
      </c>
      <c r="D28" s="7" t="s">
        <v>282</v>
      </c>
      <c r="E28" s="7" t="s">
        <v>283</v>
      </c>
      <c r="F28" s="7" t="s">
        <v>284</v>
      </c>
      <c r="G28" s="41" t="s">
        <v>171</v>
      </c>
      <c r="H28" s="41" t="n">
        <v>2</v>
      </c>
    </row>
    <row r="29" customFormat="false" ht="42" hidden="false" customHeight="true" outlineLevel="0" collapsed="false">
      <c r="B29" s="21" t="n">
        <v>6</v>
      </c>
      <c r="C29" s="7" t="s">
        <v>285</v>
      </c>
      <c r="D29" s="7" t="s">
        <v>286</v>
      </c>
      <c r="E29" s="7" t="s">
        <v>287</v>
      </c>
      <c r="F29" s="7" t="s">
        <v>288</v>
      </c>
      <c r="G29" s="41" t="s">
        <v>268</v>
      </c>
      <c r="H29" s="41"/>
    </row>
    <row r="30" customFormat="false" ht="42" hidden="false" customHeight="true" outlineLevel="0" collapsed="false">
      <c r="B30" s="21" t="n">
        <v>7</v>
      </c>
      <c r="C30" s="7" t="s">
        <v>289</v>
      </c>
      <c r="D30" s="7" t="s">
        <v>290</v>
      </c>
      <c r="E30" s="7" t="s">
        <v>291</v>
      </c>
      <c r="F30" s="7" t="s">
        <v>292</v>
      </c>
      <c r="G30" s="41" t="s">
        <v>171</v>
      </c>
      <c r="H30" s="41" t="n">
        <v>3</v>
      </c>
    </row>
    <row r="32" customFormat="false" ht="21.75" hidden="false" customHeight="true" outlineLevel="0" collapsed="false">
      <c r="B32" s="43" t="s">
        <v>44</v>
      </c>
      <c r="C32" s="43"/>
      <c r="D32" s="43"/>
      <c r="E32" s="43"/>
      <c r="F32" s="43"/>
      <c r="G32" s="43"/>
      <c r="H32" s="43"/>
    </row>
    <row r="33" customFormat="false" ht="21.75" hidden="false" customHeight="true" outlineLevel="0" collapsed="false">
      <c r="B33" s="23" t="s">
        <v>182</v>
      </c>
      <c r="C33" s="23" t="s">
        <v>137</v>
      </c>
      <c r="D33" s="23" t="s">
        <v>155</v>
      </c>
      <c r="E33" s="23" t="s">
        <v>183</v>
      </c>
      <c r="F33" s="23" t="s">
        <v>184</v>
      </c>
      <c r="G33" s="23" t="s">
        <v>185</v>
      </c>
      <c r="H33" s="23" t="s">
        <v>186</v>
      </c>
    </row>
    <row r="34" customFormat="false" ht="66" hidden="false" customHeight="true" outlineLevel="0" collapsed="false">
      <c r="B34" s="21" t="n">
        <v>1</v>
      </c>
      <c r="C34" s="41" t="s">
        <v>196</v>
      </c>
      <c r="D34" s="7" t="s">
        <v>293</v>
      </c>
      <c r="E34" s="7" t="s">
        <v>294</v>
      </c>
      <c r="F34" s="7" t="s">
        <v>295</v>
      </c>
      <c r="G34" s="7" t="s">
        <v>296</v>
      </c>
      <c r="H34" s="44" t="n">
        <v>46311</v>
      </c>
    </row>
    <row r="35" customFormat="false" ht="66" hidden="false" customHeight="true" outlineLevel="0" collapsed="false">
      <c r="B35" s="21" t="n">
        <v>2</v>
      </c>
      <c r="C35" s="41" t="s">
        <v>196</v>
      </c>
      <c r="D35" s="7" t="s">
        <v>297</v>
      </c>
      <c r="E35" s="7" t="s">
        <v>298</v>
      </c>
      <c r="F35" s="7" t="s">
        <v>299</v>
      </c>
      <c r="G35" s="7" t="s">
        <v>300</v>
      </c>
      <c r="H35" s="44" t="n">
        <v>46304</v>
      </c>
    </row>
    <row r="36" customFormat="false" ht="66" hidden="false" customHeight="true" outlineLevel="0" collapsed="false">
      <c r="B36" s="21" t="n">
        <v>3</v>
      </c>
      <c r="C36" s="41" t="s">
        <v>196</v>
      </c>
      <c r="D36" s="7" t="s">
        <v>301</v>
      </c>
      <c r="E36" s="7" t="s">
        <v>302</v>
      </c>
      <c r="F36" s="7" t="s">
        <v>303</v>
      </c>
      <c r="G36" s="7" t="s">
        <v>304</v>
      </c>
      <c r="H36" s="44" t="n">
        <v>46325</v>
      </c>
    </row>
    <row r="38" customFormat="false" ht="21.75" hidden="false" customHeight="true" outlineLevel="0" collapsed="false">
      <c r="B38" s="15" t="s">
        <v>116</v>
      </c>
      <c r="C38" s="15"/>
      <c r="D38" s="15"/>
      <c r="E38" s="15"/>
      <c r="F38" s="15"/>
      <c r="G38" s="15"/>
      <c r="H38" s="15"/>
    </row>
    <row r="39" customFormat="false" ht="21.75" hidden="false" customHeight="true" outlineLevel="0" collapsed="false">
      <c r="B39" s="27" t="s">
        <v>305</v>
      </c>
      <c r="C39" s="27"/>
      <c r="D39" s="27"/>
      <c r="E39" s="27"/>
      <c r="F39" s="23" t="n">
        <f aca="false">COUNTA(G24:G30)</f>
        <v>7</v>
      </c>
    </row>
    <row r="40" customFormat="false" ht="21.75" hidden="false" customHeight="true" outlineLevel="0" collapsed="false">
      <c r="B40" s="27" t="s">
        <v>174</v>
      </c>
      <c r="C40" s="27"/>
      <c r="D40" s="27"/>
      <c r="E40" s="27"/>
      <c r="F40" s="23" t="n">
        <f aca="false">COUNTIF(G24:G30,"Conforme")</f>
        <v>4</v>
      </c>
    </row>
    <row r="41" customFormat="false" ht="21.75" hidden="false" customHeight="true" outlineLevel="0" collapsed="false">
      <c r="B41" s="27" t="s">
        <v>175</v>
      </c>
      <c r="C41" s="27"/>
      <c r="D41" s="27"/>
      <c r="E41" s="27"/>
      <c r="F41" s="23" t="n">
        <f aca="false">COUNTIF(G24:G30,"Não conforme")</f>
        <v>3</v>
      </c>
    </row>
    <row r="42" customFormat="false" ht="21.75" hidden="false" customHeight="true" outlineLevel="0" collapsed="false">
      <c r="B42" s="27" t="s">
        <v>176</v>
      </c>
      <c r="C42" s="27"/>
      <c r="D42" s="27"/>
      <c r="E42" s="27"/>
      <c r="F42" s="23" t="n">
        <f aca="false">COUNTIF(G24:G30,"Oportunidade de melhoria")</f>
        <v>0</v>
      </c>
    </row>
    <row r="43" customFormat="false" ht="21.75" hidden="false" customHeight="true" outlineLevel="0" collapsed="false">
      <c r="B43" s="27" t="s">
        <v>306</v>
      </c>
      <c r="C43" s="27"/>
      <c r="D43" s="27"/>
      <c r="E43" s="27"/>
      <c r="F43" s="23" t="n">
        <f aca="false">COUNTA(C34:C36)</f>
        <v>3</v>
      </c>
    </row>
    <row r="44" customFormat="false" ht="36" hidden="false" customHeight="true" outlineLevel="0" collapsed="false">
      <c r="B44" s="4" t="s">
        <v>307</v>
      </c>
      <c r="C44" s="4"/>
      <c r="D44" s="7" t="s">
        <v>308</v>
      </c>
      <c r="E44" s="7"/>
      <c r="F44" s="7"/>
      <c r="G44" s="7"/>
      <c r="H44" s="7"/>
    </row>
  </sheetData>
  <mergeCells count="36">
    <mergeCell ref="B1:H1"/>
    <mergeCell ref="B2:H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3:H13"/>
    <mergeCell ref="G14:H14"/>
    <mergeCell ref="G15:H15"/>
    <mergeCell ref="G16:H16"/>
    <mergeCell ref="G17:H17"/>
    <mergeCell ref="G18:H18"/>
    <mergeCell ref="G19:H19"/>
    <mergeCell ref="G20:H20"/>
    <mergeCell ref="B22:H22"/>
    <mergeCell ref="B32:H32"/>
    <mergeCell ref="B38:H38"/>
    <mergeCell ref="B39:E39"/>
    <mergeCell ref="B40:E40"/>
    <mergeCell ref="B41:E41"/>
    <mergeCell ref="B42:E42"/>
    <mergeCell ref="B43:E43"/>
    <mergeCell ref="B44:C44"/>
    <mergeCell ref="D44:H44"/>
  </mergeCells>
  <conditionalFormatting sqref="G24:G30">
    <cfRule type="cellIs" priority="2" operator="equal" aboveAverage="0" equalAverage="0" bottom="0" percent="0" rank="0" text="" dxfId="2">
      <formula>"Conforme"</formula>
    </cfRule>
    <cfRule type="cellIs" priority="3" operator="equal" aboveAverage="0" equalAverage="0" bottom="0" percent="0" rank="0" text="" dxfId="0">
      <formula>"Não conforme"</formula>
    </cfRule>
    <cfRule type="cellIs" priority="4" operator="equal" aboveAverage="0" equalAverage="0" bottom="0" percent="0" rank="0" text="" dxfId="1">
      <formula>"Oportunidade de melhoria"</formula>
    </cfRule>
    <cfRule type="cellIs" priority="5" operator="equal" aboveAverage="0" equalAverage="0" bottom="0" percent="0" rank="0" text="" dxfId="3">
      <formula>"Não aplicável"</formula>
    </cfRule>
  </conditionalFormatting>
  <conditionalFormatting sqref="C34:C36">
    <cfRule type="cellIs" priority="6" operator="equal" aboveAverage="0" equalAverage="0" bottom="0" percent="0" rank="0" text="" dxfId="0">
      <formula>"NC maior"</formula>
    </cfRule>
    <cfRule type="cellIs" priority="7" operator="equal" aboveAverage="0" equalAverage="0" bottom="0" percent="0" rank="0" text="" dxfId="0">
      <formula>"NC menor"</formula>
    </cfRule>
    <cfRule type="cellIs" priority="8" operator="equal" aboveAverage="0" equalAverage="0" bottom="0" percent="0" rank="0" text="" dxfId="1">
      <formula>"Oportunidade de melhoria"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1" man="true" max="16383" min="0"/>
    <brk id="31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229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126</v>
      </c>
      <c r="C4" s="4"/>
      <c r="D4" s="37" t="s">
        <v>309</v>
      </c>
      <c r="E4" s="37"/>
      <c r="F4" s="37"/>
      <c r="G4" s="37"/>
      <c r="H4" s="37"/>
    </row>
    <row r="5" customFormat="false" ht="21.75" hidden="false" customHeight="true" outlineLevel="0" collapsed="false">
      <c r="B5" s="4" t="s">
        <v>100</v>
      </c>
      <c r="C5" s="4"/>
      <c r="D5" s="38" t="n">
        <v>46287</v>
      </c>
      <c r="E5" s="38"/>
      <c r="F5" s="38"/>
      <c r="G5" s="38"/>
      <c r="H5" s="38"/>
    </row>
    <row r="6" customFormat="false" ht="21.75" hidden="false" customHeight="true" outlineLevel="0" collapsed="false">
      <c r="B6" s="4" t="s">
        <v>81</v>
      </c>
      <c r="C6" s="4"/>
      <c r="D6" s="37" t="s">
        <v>310</v>
      </c>
      <c r="E6" s="37"/>
      <c r="F6" s="37"/>
      <c r="G6" s="37"/>
      <c r="H6" s="37"/>
    </row>
    <row r="7" customFormat="false" ht="21.75" hidden="false" customHeight="true" outlineLevel="0" collapsed="false">
      <c r="B7" s="4" t="s">
        <v>130</v>
      </c>
      <c r="C7" s="4"/>
      <c r="D7" s="37" t="s">
        <v>311</v>
      </c>
      <c r="E7" s="37"/>
      <c r="F7" s="37"/>
      <c r="G7" s="37"/>
      <c r="H7" s="37"/>
    </row>
    <row r="8" customFormat="false" ht="21.75" hidden="false" customHeight="true" outlineLevel="0" collapsed="false">
      <c r="B8" s="4" t="s">
        <v>129</v>
      </c>
      <c r="C8" s="4"/>
      <c r="D8" s="37" t="s">
        <v>312</v>
      </c>
      <c r="E8" s="37"/>
      <c r="F8" s="37"/>
      <c r="G8" s="37"/>
      <c r="H8" s="37"/>
    </row>
    <row r="9" customFormat="false" ht="21.75" hidden="false" customHeight="true" outlineLevel="0" collapsed="false">
      <c r="B9" s="4" t="s">
        <v>131</v>
      </c>
      <c r="C9" s="4"/>
      <c r="D9" s="37" t="s">
        <v>313</v>
      </c>
      <c r="E9" s="37"/>
      <c r="F9" s="37"/>
      <c r="G9" s="37"/>
      <c r="H9" s="37"/>
    </row>
    <row r="10" customFormat="false" ht="21.75" hidden="false" customHeight="true" outlineLevel="0" collapsed="false">
      <c r="B10" s="4" t="s">
        <v>132</v>
      </c>
      <c r="C10" s="4"/>
      <c r="D10" s="37" t="s">
        <v>314</v>
      </c>
      <c r="E10" s="37"/>
      <c r="F10" s="37"/>
      <c r="G10" s="37"/>
      <c r="H10" s="37"/>
    </row>
    <row r="11" customFormat="false" ht="21.75" hidden="false" customHeight="true" outlineLevel="0" collapsed="false">
      <c r="B11" s="4" t="s">
        <v>133</v>
      </c>
      <c r="C11" s="4"/>
      <c r="D11" s="37" t="s">
        <v>315</v>
      </c>
      <c r="E11" s="37"/>
      <c r="F11" s="37"/>
      <c r="G11" s="37"/>
      <c r="H11" s="37"/>
    </row>
    <row r="13" customFormat="false" ht="21.75" hidden="false" customHeight="true" outlineLevel="0" collapsed="false">
      <c r="B13" s="39" t="s">
        <v>238</v>
      </c>
      <c r="C13" s="39"/>
      <c r="D13" s="39"/>
      <c r="E13" s="39"/>
      <c r="F13" s="39"/>
      <c r="G13" s="39"/>
      <c r="H13" s="39"/>
    </row>
    <row r="14" customFormat="false" ht="21.75" hidden="false" customHeight="true" outlineLevel="0" collapsed="false">
      <c r="B14" s="23" t="s">
        <v>80</v>
      </c>
      <c r="C14" s="23" t="s">
        <v>239</v>
      </c>
      <c r="D14" s="23" t="s">
        <v>136</v>
      </c>
      <c r="E14" s="23" t="s">
        <v>138</v>
      </c>
      <c r="F14" s="23" t="s">
        <v>129</v>
      </c>
      <c r="G14" s="40" t="s">
        <v>139</v>
      </c>
      <c r="H14" s="40"/>
    </row>
    <row r="15" customFormat="false" ht="24" hidden="false" customHeight="true" outlineLevel="0" collapsed="false">
      <c r="B15" s="21" t="n">
        <v>1</v>
      </c>
      <c r="C15" s="41" t="s">
        <v>316</v>
      </c>
      <c r="D15" s="7" t="s">
        <v>241</v>
      </c>
      <c r="E15" s="7" t="s">
        <v>242</v>
      </c>
      <c r="F15" s="7" t="s">
        <v>201</v>
      </c>
      <c r="G15" s="7" t="s">
        <v>317</v>
      </c>
      <c r="H15" s="7"/>
    </row>
    <row r="16" customFormat="false" ht="24" hidden="false" customHeight="true" outlineLevel="0" collapsed="false">
      <c r="B16" s="21" t="n">
        <v>2</v>
      </c>
      <c r="C16" s="41" t="s">
        <v>318</v>
      </c>
      <c r="D16" s="7" t="s">
        <v>319</v>
      </c>
      <c r="E16" s="7" t="s">
        <v>143</v>
      </c>
      <c r="F16" s="7" t="s">
        <v>144</v>
      </c>
      <c r="G16" s="7" t="s">
        <v>145</v>
      </c>
      <c r="H16" s="7"/>
    </row>
    <row r="17" customFormat="false" ht="24" hidden="false" customHeight="true" outlineLevel="0" collapsed="false">
      <c r="B17" s="21" t="n">
        <v>3</v>
      </c>
      <c r="C17" s="41" t="s">
        <v>320</v>
      </c>
      <c r="D17" s="7" t="s">
        <v>321</v>
      </c>
      <c r="E17" s="7" t="s">
        <v>322</v>
      </c>
      <c r="F17" s="7" t="s">
        <v>144</v>
      </c>
      <c r="G17" s="7" t="s">
        <v>145</v>
      </c>
      <c r="H17" s="7"/>
    </row>
    <row r="18" customFormat="false" ht="24" hidden="false" customHeight="true" outlineLevel="0" collapsed="false">
      <c r="B18" s="21" t="n">
        <v>4</v>
      </c>
      <c r="C18" s="41" t="s">
        <v>323</v>
      </c>
      <c r="D18" s="7" t="s">
        <v>324</v>
      </c>
      <c r="E18" s="7" t="s">
        <v>143</v>
      </c>
      <c r="F18" s="7" t="s">
        <v>325</v>
      </c>
      <c r="G18" s="7" t="s">
        <v>326</v>
      </c>
      <c r="H18" s="7"/>
    </row>
    <row r="19" customFormat="false" ht="24" hidden="false" customHeight="true" outlineLevel="0" collapsed="false">
      <c r="B19" s="21" t="n">
        <v>5</v>
      </c>
      <c r="C19" s="41" t="s">
        <v>327</v>
      </c>
      <c r="D19" s="7" t="s">
        <v>328</v>
      </c>
      <c r="E19" s="7" t="s">
        <v>322</v>
      </c>
      <c r="F19" s="7" t="s">
        <v>201</v>
      </c>
      <c r="G19" s="7" t="s">
        <v>145</v>
      </c>
      <c r="H19" s="7"/>
    </row>
    <row r="20" customFormat="false" ht="24" hidden="false" customHeight="true" outlineLevel="0" collapsed="false">
      <c r="B20" s="21" t="n">
        <v>6</v>
      </c>
      <c r="C20" s="41" t="s">
        <v>329</v>
      </c>
      <c r="D20" s="7" t="s">
        <v>260</v>
      </c>
      <c r="E20" s="7" t="s">
        <v>242</v>
      </c>
      <c r="F20" s="7"/>
      <c r="G20" s="7" t="s">
        <v>317</v>
      </c>
      <c r="H20" s="7"/>
    </row>
    <row r="21" customFormat="false" ht="24" hidden="false" customHeight="true" outlineLevel="0" collapsed="false">
      <c r="B21" s="21" t="n">
        <v>7</v>
      </c>
      <c r="C21" s="41" t="s">
        <v>330</v>
      </c>
      <c r="D21" s="7" t="s">
        <v>262</v>
      </c>
      <c r="E21" s="7" t="s">
        <v>242</v>
      </c>
      <c r="F21" s="7" t="s">
        <v>201</v>
      </c>
      <c r="G21" s="7" t="s">
        <v>317</v>
      </c>
      <c r="H21" s="7"/>
    </row>
    <row r="23" customFormat="false" ht="21.75" hidden="false" customHeight="true" outlineLevel="0" collapsed="false">
      <c r="B23" s="42" t="s">
        <v>42</v>
      </c>
      <c r="C23" s="42"/>
      <c r="D23" s="42"/>
      <c r="E23" s="42"/>
      <c r="F23" s="42"/>
      <c r="G23" s="42"/>
      <c r="H23" s="42"/>
    </row>
    <row r="24" customFormat="false" ht="21.75" hidden="false" customHeight="true" outlineLevel="0" collapsed="false">
      <c r="B24" s="23" t="s">
        <v>80</v>
      </c>
      <c r="C24" s="23" t="s">
        <v>155</v>
      </c>
      <c r="D24" s="23" t="s">
        <v>156</v>
      </c>
      <c r="E24" s="23" t="s">
        <v>157</v>
      </c>
      <c r="F24" s="23" t="s">
        <v>158</v>
      </c>
      <c r="G24" s="23" t="s">
        <v>159</v>
      </c>
      <c r="H24" s="23" t="s">
        <v>263</v>
      </c>
    </row>
    <row r="25" customFormat="false" ht="42" hidden="false" customHeight="true" outlineLevel="0" collapsed="false">
      <c r="B25" s="21" t="n">
        <v>1</v>
      </c>
      <c r="C25" s="7" t="s">
        <v>331</v>
      </c>
      <c r="D25" s="7" t="s">
        <v>332</v>
      </c>
      <c r="E25" s="7" t="s">
        <v>169</v>
      </c>
      <c r="F25" s="7" t="s">
        <v>333</v>
      </c>
      <c r="G25" s="41" t="s">
        <v>268</v>
      </c>
      <c r="H25" s="41"/>
    </row>
    <row r="26" customFormat="false" ht="42" hidden="false" customHeight="true" outlineLevel="0" collapsed="false">
      <c r="B26" s="21" t="n">
        <v>2</v>
      </c>
      <c r="C26" s="7" t="s">
        <v>167</v>
      </c>
      <c r="D26" s="7" t="s">
        <v>168</v>
      </c>
      <c r="E26" s="7" t="s">
        <v>334</v>
      </c>
      <c r="F26" s="7" t="s">
        <v>335</v>
      </c>
      <c r="G26" s="41" t="s">
        <v>171</v>
      </c>
      <c r="H26" s="41" t="n">
        <v>1</v>
      </c>
    </row>
    <row r="27" customFormat="false" ht="42" hidden="false" customHeight="true" outlineLevel="0" collapsed="false">
      <c r="B27" s="21" t="n">
        <v>3</v>
      </c>
      <c r="C27" s="7" t="s">
        <v>336</v>
      </c>
      <c r="D27" s="7" t="s">
        <v>337</v>
      </c>
      <c r="E27" s="7" t="s">
        <v>338</v>
      </c>
      <c r="F27" s="7" t="s">
        <v>339</v>
      </c>
      <c r="G27" s="41" t="s">
        <v>268</v>
      </c>
      <c r="H27" s="41"/>
    </row>
    <row r="28" customFormat="false" ht="42" hidden="false" customHeight="true" outlineLevel="0" collapsed="false">
      <c r="B28" s="21" t="n">
        <v>4</v>
      </c>
      <c r="C28" s="7" t="s">
        <v>340</v>
      </c>
      <c r="D28" s="7" t="s">
        <v>341</v>
      </c>
      <c r="E28" s="7" t="s">
        <v>342</v>
      </c>
      <c r="F28" s="7" t="s">
        <v>343</v>
      </c>
      <c r="G28" s="41" t="s">
        <v>268</v>
      </c>
      <c r="H28" s="41"/>
    </row>
    <row r="29" customFormat="false" ht="42" hidden="false" customHeight="true" outlineLevel="0" collapsed="false">
      <c r="B29" s="21" t="n">
        <v>5</v>
      </c>
      <c r="C29" s="7" t="s">
        <v>340</v>
      </c>
      <c r="D29" s="7" t="s">
        <v>344</v>
      </c>
      <c r="E29" s="7" t="s">
        <v>345</v>
      </c>
      <c r="F29" s="7" t="s">
        <v>346</v>
      </c>
      <c r="G29" s="41" t="s">
        <v>171</v>
      </c>
      <c r="H29" s="41" t="n">
        <v>2</v>
      </c>
    </row>
    <row r="30" customFormat="false" ht="42" hidden="false" customHeight="true" outlineLevel="0" collapsed="false">
      <c r="B30" s="21" t="n">
        <v>6</v>
      </c>
      <c r="C30" s="7" t="s">
        <v>347</v>
      </c>
      <c r="D30" s="7" t="s">
        <v>348</v>
      </c>
      <c r="E30" s="7" t="s">
        <v>349</v>
      </c>
      <c r="F30" s="7" t="s">
        <v>350</v>
      </c>
      <c r="G30" s="41" t="s">
        <v>268</v>
      </c>
      <c r="H30" s="41"/>
    </row>
    <row r="31" customFormat="false" ht="42" hidden="false" customHeight="true" outlineLevel="0" collapsed="false">
      <c r="B31" s="21" t="n">
        <v>7</v>
      </c>
      <c r="C31" s="7" t="s">
        <v>351</v>
      </c>
      <c r="D31" s="7" t="s">
        <v>352</v>
      </c>
      <c r="E31" s="7" t="s">
        <v>353</v>
      </c>
      <c r="F31" s="7" t="s">
        <v>354</v>
      </c>
      <c r="G31" s="41" t="s">
        <v>204</v>
      </c>
      <c r="H31" s="41" t="n">
        <v>3</v>
      </c>
    </row>
    <row r="32" customFormat="false" ht="42" hidden="false" customHeight="true" outlineLevel="0" collapsed="false">
      <c r="B32" s="21" t="n">
        <v>8</v>
      </c>
      <c r="C32" s="7" t="s">
        <v>336</v>
      </c>
      <c r="D32" s="7" t="s">
        <v>355</v>
      </c>
      <c r="E32" s="7" t="s">
        <v>349</v>
      </c>
      <c r="F32" s="7" t="s">
        <v>356</v>
      </c>
      <c r="G32" s="41" t="s">
        <v>268</v>
      </c>
      <c r="H32" s="41"/>
    </row>
    <row r="34" customFormat="false" ht="21.75" hidden="false" customHeight="true" outlineLevel="0" collapsed="false">
      <c r="B34" s="43" t="s">
        <v>44</v>
      </c>
      <c r="C34" s="43"/>
      <c r="D34" s="43"/>
      <c r="E34" s="43"/>
      <c r="F34" s="43"/>
      <c r="G34" s="43"/>
      <c r="H34" s="43"/>
    </row>
    <row r="35" customFormat="false" ht="21.75" hidden="false" customHeight="true" outlineLevel="0" collapsed="false">
      <c r="B35" s="23" t="s">
        <v>182</v>
      </c>
      <c r="C35" s="23" t="s">
        <v>137</v>
      </c>
      <c r="D35" s="23" t="s">
        <v>155</v>
      </c>
      <c r="E35" s="23" t="s">
        <v>183</v>
      </c>
      <c r="F35" s="23" t="s">
        <v>184</v>
      </c>
      <c r="G35" s="23" t="s">
        <v>185</v>
      </c>
      <c r="H35" s="23" t="s">
        <v>186</v>
      </c>
    </row>
    <row r="36" customFormat="false" ht="66" hidden="false" customHeight="true" outlineLevel="0" collapsed="false">
      <c r="B36" s="21" t="n">
        <v>1</v>
      </c>
      <c r="C36" s="41" t="s">
        <v>196</v>
      </c>
      <c r="D36" s="7" t="s">
        <v>198</v>
      </c>
      <c r="E36" s="7" t="s">
        <v>199</v>
      </c>
      <c r="F36" s="7" t="s">
        <v>200</v>
      </c>
      <c r="G36" s="7" t="s">
        <v>357</v>
      </c>
      <c r="H36" s="44" t="n">
        <v>46318</v>
      </c>
    </row>
    <row r="37" customFormat="false" ht="66" hidden="false" customHeight="true" outlineLevel="0" collapsed="false">
      <c r="B37" s="21" t="n">
        <v>2</v>
      </c>
      <c r="C37" s="41" t="s">
        <v>196</v>
      </c>
      <c r="D37" s="7" t="s">
        <v>358</v>
      </c>
      <c r="E37" s="7" t="s">
        <v>359</v>
      </c>
      <c r="F37" s="7" t="s">
        <v>360</v>
      </c>
      <c r="G37" s="7" t="s">
        <v>361</v>
      </c>
      <c r="H37" s="44" t="n">
        <v>46325</v>
      </c>
    </row>
    <row r="38" customFormat="false" ht="66" hidden="false" customHeight="true" outlineLevel="0" collapsed="false">
      <c r="B38" s="21" t="n">
        <v>3</v>
      </c>
      <c r="C38" s="41" t="s">
        <v>204</v>
      </c>
      <c r="D38" s="7" t="s">
        <v>362</v>
      </c>
      <c r="E38" s="7" t="s">
        <v>363</v>
      </c>
      <c r="F38" s="7" t="s">
        <v>364</v>
      </c>
      <c r="G38" s="7" t="s">
        <v>365</v>
      </c>
      <c r="H38" s="44" t="n">
        <v>46353</v>
      </c>
    </row>
    <row r="40" customFormat="false" ht="21.75" hidden="false" customHeight="true" outlineLevel="0" collapsed="false">
      <c r="B40" s="15" t="s">
        <v>116</v>
      </c>
      <c r="C40" s="15"/>
      <c r="D40" s="15"/>
      <c r="E40" s="15"/>
      <c r="F40" s="15"/>
      <c r="G40" s="15"/>
      <c r="H40" s="15"/>
    </row>
    <row r="41" customFormat="false" ht="21.75" hidden="false" customHeight="true" outlineLevel="0" collapsed="false">
      <c r="B41" s="27" t="s">
        <v>305</v>
      </c>
      <c r="C41" s="27"/>
      <c r="D41" s="27"/>
      <c r="E41" s="27"/>
      <c r="F41" s="23" t="n">
        <f aca="false">COUNTA(G25:G32)</f>
        <v>8</v>
      </c>
    </row>
    <row r="42" customFormat="false" ht="21.75" hidden="false" customHeight="true" outlineLevel="0" collapsed="false">
      <c r="B42" s="27" t="s">
        <v>174</v>
      </c>
      <c r="C42" s="27"/>
      <c r="D42" s="27"/>
      <c r="E42" s="27"/>
      <c r="F42" s="23" t="n">
        <f aca="false">COUNTIF(G25:G32,"Conforme")</f>
        <v>5</v>
      </c>
    </row>
    <row r="43" customFormat="false" ht="21.75" hidden="false" customHeight="true" outlineLevel="0" collapsed="false">
      <c r="B43" s="27" t="s">
        <v>175</v>
      </c>
      <c r="C43" s="27"/>
      <c r="D43" s="27"/>
      <c r="E43" s="27"/>
      <c r="F43" s="23" t="n">
        <f aca="false">COUNTIF(G25:G32,"Não conforme")</f>
        <v>2</v>
      </c>
    </row>
    <row r="44" customFormat="false" ht="21.75" hidden="false" customHeight="true" outlineLevel="0" collapsed="false">
      <c r="B44" s="27" t="s">
        <v>176</v>
      </c>
      <c r="C44" s="27"/>
      <c r="D44" s="27"/>
      <c r="E44" s="27"/>
      <c r="F44" s="23" t="n">
        <f aca="false">COUNTIF(G25:G32,"Oportunidade de melhoria")</f>
        <v>1</v>
      </c>
    </row>
    <row r="45" customFormat="false" ht="21.75" hidden="false" customHeight="true" outlineLevel="0" collapsed="false">
      <c r="B45" s="27" t="s">
        <v>306</v>
      </c>
      <c r="C45" s="27"/>
      <c r="D45" s="27"/>
      <c r="E45" s="27"/>
      <c r="F45" s="23" t="n">
        <f aca="false">COUNTA(C36:C38)</f>
        <v>3</v>
      </c>
    </row>
    <row r="46" customFormat="false" ht="36" hidden="false" customHeight="true" outlineLevel="0" collapsed="false">
      <c r="B46" s="4" t="s">
        <v>307</v>
      </c>
      <c r="C46" s="4"/>
      <c r="D46" s="7" t="s">
        <v>366</v>
      </c>
      <c r="E46" s="7"/>
      <c r="F46" s="7"/>
      <c r="G46" s="7"/>
      <c r="H46" s="7"/>
    </row>
  </sheetData>
  <mergeCells count="37">
    <mergeCell ref="B1:H1"/>
    <mergeCell ref="B2:H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3:H13"/>
    <mergeCell ref="G14:H14"/>
    <mergeCell ref="G15:H15"/>
    <mergeCell ref="G16:H16"/>
    <mergeCell ref="G17:H17"/>
    <mergeCell ref="G18:H18"/>
    <mergeCell ref="G19:H19"/>
    <mergeCell ref="G20:H20"/>
    <mergeCell ref="G21:H21"/>
    <mergeCell ref="B23:H23"/>
    <mergeCell ref="B34:H34"/>
    <mergeCell ref="B40:H40"/>
    <mergeCell ref="B41:E41"/>
    <mergeCell ref="B42:E42"/>
    <mergeCell ref="B43:E43"/>
    <mergeCell ref="B44:E44"/>
    <mergeCell ref="B45:E45"/>
    <mergeCell ref="B46:C46"/>
    <mergeCell ref="D46:H46"/>
  </mergeCells>
  <conditionalFormatting sqref="G25:G32">
    <cfRule type="cellIs" priority="2" operator="equal" aboveAverage="0" equalAverage="0" bottom="0" percent="0" rank="0" text="" dxfId="2">
      <formula>"Conforme"</formula>
    </cfRule>
    <cfRule type="cellIs" priority="3" operator="equal" aboveAverage="0" equalAverage="0" bottom="0" percent="0" rank="0" text="" dxfId="0">
      <formula>"Não conforme"</formula>
    </cfRule>
    <cfRule type="cellIs" priority="4" operator="equal" aboveAverage="0" equalAverage="0" bottom="0" percent="0" rank="0" text="" dxfId="1">
      <formula>"Oportunidade de melhoria"</formula>
    </cfRule>
    <cfRule type="cellIs" priority="5" operator="equal" aboveAverage="0" equalAverage="0" bottom="0" percent="0" rank="0" text="" dxfId="3">
      <formula>"Não aplicável"</formula>
    </cfRule>
  </conditionalFormatting>
  <conditionalFormatting sqref="C36:C38">
    <cfRule type="cellIs" priority="6" operator="equal" aboveAverage="0" equalAverage="0" bottom="0" percent="0" rank="0" text="" dxfId="0">
      <formula>"NC maior"</formula>
    </cfRule>
    <cfRule type="cellIs" priority="7" operator="equal" aboveAverage="0" equalAverage="0" bottom="0" percent="0" rank="0" text="" dxfId="0">
      <formula>"NC menor"</formula>
    </cfRule>
    <cfRule type="cellIs" priority="8" operator="equal" aboveAverage="0" equalAverage="0" bottom="0" percent="0" rank="0" text="" dxfId="1">
      <formula>"Oportunidade de melhoria"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2" man="true" max="16383" min="0"/>
    <brk id="3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2026-10-04T16:09:36Z</dcterms:created>
  <dc:creator>Modelo Auditoria</dc:creator>
  <dc:description/>
  <dc:language>pt-BR</dc:language>
  <cp:lastModifiedBy/>
  <dcterms:modified xsi:type="dcterms:W3CDTF">2026-10-04T16:09:37Z</dcterms:modified>
  <cp:revision>0</cp:revision>
  <dc:subject/>
  <dc:title>Auditoria interna — Modelo de programa, plano e constatações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