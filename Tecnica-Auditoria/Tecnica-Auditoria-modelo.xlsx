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Amostras" sheetId="2" state="visible" r:id="rId4"/>
    <sheet name="Evidências" sheetId="3" state="visible" r:id="rId5"/>
    <sheet name="Auditores" sheetId="4" state="visible" r:id="rId6"/>
    <sheet name="Painel" sheetId="5" state="visible" r:id="rId7"/>
    <sheet name="Checklist" sheetId="6" state="visible" r:id="rId8"/>
    <sheet name="Exemplo 1 - Pizzaria" sheetId="7" state="visible" r:id="rId9"/>
    <sheet name="Exemplo 2 - Indústria" sheetId="8" state="visible" r:id="rId10"/>
  </sheets>
  <definedNames>
    <definedName function="false" hidden="false" localSheetId="1" name="_xlnm.Print_Area" vbProcedure="false">Amostras!$B$1:$O$46</definedName>
    <definedName function="false" hidden="false" localSheetId="3" name="_xlnm.Print_Area" vbProcedure="false">Auditores!$B$1:$I$30</definedName>
    <definedName function="false" hidden="false" localSheetId="5" name="_xlnm.Print_Area" vbProcedure="false">Checklist!$B$1:$E$24</definedName>
    <definedName function="false" hidden="false" localSheetId="2" name="_xlnm.Print_Area" vbProcedure="false">Evidências!$B$1:$K$71</definedName>
    <definedName function="false" hidden="false" localSheetId="6" name="_xlnm.Print_Area" vbProcedure="false">'Exemplo 1 - Pizzaria'!$B$1:$O$58</definedName>
    <definedName function="false" hidden="false" localSheetId="7" name="_xlnm.Print_Area" vbProcedure="false">'Exemplo 2 - Indústria'!$B$1:$O$56</definedName>
    <definedName function="false" hidden="false" localSheetId="0" name="_xlnm.Print_Area" vbProcedure="false">Instruções!$B$1:$C$49</definedName>
    <definedName function="false" hidden="false" localSheetId="4" name="_xlnm.Print_Area" vbProcedure="false">Painel!$B$1:$F$45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9" authorId="0">
      <text>
        <r>
          <rPr>
            <sz val="10"/>
            <rFont val="Arial"/>
            <family val="2"/>
          </rPr>
          <t xml:space="preserve">Quantos registros existem no período: todas as comandas de fevereiro, todas as notas de recebimento, todos os instrumentos do posto.</t>
        </r>
      </text>
    </comment>
    <comment ref="H9" authorId="0">
      <text>
        <r>
          <rPr>
            <sz val="10"/>
            <rFont val="Arial"/>
            <family val="2"/>
          </rPr>
          <t xml:space="preserve">Sorteie um número entre 1 e o passo, com um dado ou um sorteio no celular. Depois verifique um caso a cada passo, a partir dele.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4" authorId="0">
      <text>
        <r>
          <rPr>
            <sz val="10"/>
            <rFont val="Arial"/>
            <family val="2"/>
          </rPr>
          <t xml:space="preserve">O registro visto, com a amostra: “3 de 20 comandas de fevereiro sem horário”. Sem o tamanho, a evidência perde força.</t>
        </r>
      </text>
    </comment>
    <comment ref="J4" authorId="0">
      <text>
        <r>
          <rPr>
            <sz val="10"/>
            <rFont val="Arial"/>
            <family val="2"/>
          </rPr>
          <t xml:space="preserve">Forte: duas fontes ou mais. Média: só observação ou só registro. Fraca: só entrevista.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E7" authorId="0">
      <text>
        <r>
          <rPr>
            <sz val="10"/>
            <rFont val="Arial"/>
            <family val="2"/>
          </rPr>
          <t xml:space="preserve">Um critério crítico com nota 0 ou 1 deixa o auditor em formação, qualquer que seja o percentual.</t>
        </r>
      </text>
    </comment>
    <comment ref="F7" authorId="0">
      <text>
        <r>
          <rPr>
            <sz val="10"/>
            <rFont val="Arial"/>
            <family val="2"/>
          </rPr>
          <t xml:space="preserve">0: não fez. 1: fez em parte. 2: fez bem. 3: referência para os outros. Em branco: não observado.</t>
        </r>
      </text>
    </comment>
  </commentList>
</comments>
</file>

<file path=xl/sharedStrings.xml><?xml version="1.0" encoding="utf-8"?>
<sst xmlns="http://schemas.openxmlformats.org/spreadsheetml/2006/main" count="615" uniqueCount="341">
  <si>
    <t xml:space="preserve">Técnica de auditoria — Como usar esta planilha</t>
  </si>
  <si>
    <t xml:space="preserve">Modelo para dimensionar as amostras, pesar as evidências e avaliar os auditores em campo.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</si>
  <si>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</si>
  <si>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</si>
  <si>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</si>
  <si>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</si>
  <si>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(amostra, passo, conclusão, fontes, força, nível, conferências).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</si>
  <si>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</si>
  <si>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</si>
  <si>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</si>
  <si>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Risco, constatação e checklist aceitam apenas as opções da lista. As notas aceitam de 0 a 3.</t>
  </si>
  <si>
    <t xml:space="preserve">Comentários</t>
  </si>
  <si>
    <t xml:space="preserve">Células com triângulo vermelho no canto trazem uma dica de preenchimento. Passe o mouse sobre elas.</t>
  </si>
  <si>
    <t xml:space="preserve">O tamanho da amostra</t>
  </si>
  <si>
    <t xml:space="preserve">População até 5</t>
  </si>
  <si>
    <t xml:space="preserve">Todos os casos.</t>
  </si>
  <si>
    <t xml:space="preserve">População de 6 a 20</t>
  </si>
  <si>
    <t xml:space="preserve">Amostra-base de 5. Risco alto: 8. Médio: 5. Baixo: 3.</t>
  </si>
  <si>
    <t xml:space="preserve">População de 21 a 50</t>
  </si>
  <si>
    <t xml:space="preserve">Amostra-base de 8. Risco alto: 12. Médio: 8. Baixo: 5.</t>
  </si>
  <si>
    <t xml:space="preserve">População de 51 a 100</t>
  </si>
  <si>
    <t xml:space="preserve">Amostra-base de 10. Risco alto: 15. Médio: 10. Baixo: 6.</t>
  </si>
  <si>
    <t xml:space="preserve">População de 101 a 500</t>
  </si>
  <si>
    <t xml:space="preserve">Amostra-base de 15. Risco alto: 23. Médio: 15. Baixo: 9.</t>
  </si>
  <si>
    <t xml:space="preserve">População acima de 500</t>
  </si>
  <si>
    <t xml:space="preserve">Amostra-base de 20. Risco alto: 30. Médio: 20. Baixo: 12.</t>
  </si>
  <si>
    <t xml:space="preserve">Regra</t>
  </si>
  <si>
    <t xml:space="preserve">A amostra-base vezes o fator de risco (alto 1,5, médio 1.0, baixo 0,6), arredondada para cima, com mínimo de 3 e máximo igual à população.</t>
  </si>
  <si>
    <t xml:space="preserve">Passo e início</t>
  </si>
  <si>
    <t xml:space="preserve">O passo é a população dividida pela amostra. O auditor sorteia o início entre 1 e o passo e verifica um caso a cada passo.</t>
  </si>
  <si>
    <t xml:space="preserve">As outras regras de cálculo</t>
  </si>
  <si>
    <t xml:space="preserve">Conforme na amostra</t>
  </si>
  <si>
    <t xml:space="preserve">Amostra completa, sem desvio.</t>
  </si>
  <si>
    <t xml:space="preserve">Desvio pontual: não conformidade, ampliar a amostra</t>
  </si>
  <si>
    <t xml:space="preserve">Amostra completa, com um desvio. Já é não conformidade; amplie a amostra para saber se é pontual ou repetido.</t>
  </si>
  <si>
    <t xml:space="preserve">Desvio repetido: não conformidade</t>
  </si>
  <si>
    <t xml:space="preserve">Amostra completa, com dois desvios ou mais.</t>
  </si>
  <si>
    <t xml:space="preserve">Amostra incompleta</t>
  </si>
  <si>
    <t xml:space="preserve">Menos verificados do que a amostra calculada.</t>
  </si>
  <si>
    <t xml:space="preserve">Força da evidência</t>
  </si>
  <si>
    <t xml:space="preserve">Forte: duas fontes ou mais. Média: só observação ou só registro. Fraca: só entrevista. Não conformidade pede ao menos uma fonte objetiva (força média ou forte); a que só tem entrevista pede corroboração.</t>
  </si>
  <si>
    <t xml:space="preserve">Nível do auditor</t>
  </si>
  <si>
    <t xml:space="preserve">Com pelo menos 8 critérios observados: 80% ou mais, apto a liderar; de 60% a 79%, apto a auditar em equipe; abaixo, em formação. Um critério crítico com nota 0 ou 1 leva a em formação.</t>
  </si>
  <si>
    <t xml:space="preserve">Notas</t>
  </si>
  <si>
    <t xml:space="preserve">0: não fez. 1: fez em parte. 2: fez bem. 3: referência para os outros. Em branco: não observado.</t>
  </si>
  <si>
    <t xml:space="preserve">Ordem recomendada de preenchimento</t>
  </si>
  <si>
    <t xml:space="preserve">Passo 1</t>
  </si>
  <si>
    <t xml:space="preserve">Aba Amostras: os dados da auditoria e, para cada registro a verificar, a população e o risco. Sorteie o início entre 1 e o passo.</t>
  </si>
  <si>
    <t xml:space="preserve">Passo 2</t>
  </si>
  <si>
    <t xml:space="preserve">Aba Amostras, durante a auditoria: quantos foram verificados e quantos desvios.</t>
  </si>
  <si>
    <t xml:space="preserve">Passo 3</t>
  </si>
  <si>
    <t xml:space="preserve">Aba Evidências: cada pergunta, o requisito, as fontes e a constatação.</t>
  </si>
  <si>
    <t xml:space="preserve">Passo 4</t>
  </si>
  <si>
    <t xml:space="preserve">Aba Auditores, se houver observador: o nome, o papel e as notas de cada auditor.</t>
  </si>
  <si>
    <t xml:space="preserve">Passo 5</t>
  </si>
  <si>
    <t xml:space="preserve">Aba Painel: leia os avisos. Depois, valide na aba Checklist.</t>
  </si>
  <si>
    <t xml:space="preserve">Abas da planilha</t>
  </si>
  <si>
    <t xml:space="preserve">Amostras</t>
  </si>
  <si>
    <t xml:space="preserve">Os dados da auditoria e até 30 amostras. Calcula o tamanho, o passo, a conclusão e a conferência.</t>
  </si>
  <si>
    <t xml:space="preserve">Evidências</t>
  </si>
  <si>
    <t xml:space="preserve">Até 60 perguntas. Calcula as fontes, a força e a conferência.</t>
  </si>
  <si>
    <t xml:space="preserve">Auditores</t>
  </si>
  <si>
    <t xml:space="preserve">Até 4 auditores, com notas nos 12 critérios. Calcula os pontos, o percentual, o nível e a conferência.</t>
  </si>
  <si>
    <t xml:space="preserve">Painel</t>
  </si>
  <si>
    <t xml:space="preserve">Os números das três abas, o gráfico das amostras e o aviso.</t>
  </si>
  <si>
    <t xml:space="preserve">Checklist</t>
  </si>
  <si>
    <t xml:space="preserve">Doze verificações da técnica de auditoria, com percentual de conclusão.</t>
  </si>
  <si>
    <t xml:space="preserve">Exemplo 1 - Pizzaria</t>
  </si>
  <si>
    <t xml:space="preserve">A auditoria do salão e do recebimento, em 18/03/2027.</t>
  </si>
  <si>
    <t xml:space="preserve">Exemplo 2 - Indústria</t>
  </si>
  <si>
    <t xml:space="preserve">A auditoria da produção, em 06/10/2027.</t>
  </si>
  <si>
    <t xml:space="preserve">Premissas do modelo</t>
  </si>
  <si>
    <t xml:space="preserve">Convenção</t>
  </si>
  <si>
    <t xml:space="preserve">A ISO 19011 descreve a amostragem por julgamento e a estatística, mas não fixa tamanhos. A tabela, a força e os níveis são uma convenção deste material.</t>
  </si>
  <si>
    <t xml:space="preserve">Exemplos</t>
  </si>
  <si>
    <t xml:space="preserve">Os dados das abas de exemplo são ilustrativos, criados para este material.</t>
  </si>
  <si>
    <t xml:space="preserve">Amostras da auditoria</t>
  </si>
  <si>
    <t xml:space="preserve">Uma amostra por linha: o que se verifica, de que população, com que risco. O tamanho e o passo saem da tabela.</t>
  </si>
  <si>
    <t xml:space="preserve">Auditoria nº</t>
  </si>
  <si>
    <t xml:space="preserve">Processo auditado</t>
  </si>
  <si>
    <t xml:space="preserve">Data</t>
  </si>
  <si>
    <t xml:space="preserve">Auditor líder</t>
  </si>
  <si>
    <t xml:space="preserve">#</t>
  </si>
  <si>
    <t xml:space="preserve">O que se verifica</t>
  </si>
  <si>
    <t xml:space="preserve">Requisito</t>
  </si>
  <si>
    <t xml:space="preserve">Período</t>
  </si>
  <si>
    <t xml:space="preserve">População</t>
  </si>
  <si>
    <t xml:space="preserve">Risco</t>
  </si>
  <si>
    <t xml:space="preserve">Início</t>
  </si>
  <si>
    <t xml:space="preserve">Amostra</t>
  </si>
  <si>
    <t xml:space="preserve">Passo</t>
  </si>
  <si>
    <t xml:space="preserve">Verificados</t>
  </si>
  <si>
    <t xml:space="preserve">Desvios</t>
  </si>
  <si>
    <t xml:space="preserve">Observação</t>
  </si>
  <si>
    <t xml:space="preserve">Conclusão</t>
  </si>
  <si>
    <t xml:space="preserve">Conferência</t>
  </si>
  <si>
    <t xml:space="preserve">Registro e o que conferir</t>
  </si>
  <si>
    <t xml:space="preserve">Ex.: 8.4</t>
  </si>
  <si>
    <t xml:space="preserve">Quantos existem</t>
  </si>
  <si>
    <t xml:space="preserve">Lista</t>
  </si>
  <si>
    <t xml:space="preserve">Sorteado</t>
  </si>
  <si>
    <t xml:space="preserve">Calculada</t>
  </si>
  <si>
    <t xml:space="preserve">Calculado</t>
  </si>
  <si>
    <t xml:space="preserve">Número</t>
  </si>
  <si>
    <t xml:space="preserve">O que se viu</t>
  </si>
  <si>
    <t xml:space="preserve">Ex.</t>
  </si>
  <si>
    <t xml:space="preserve">Notas de recebimento com a temperatura</t>
  </si>
  <si>
    <t xml:space="preserve">8.4</t>
  </si>
  <si>
    <t xml:space="preserve">Fevereiro</t>
  </si>
  <si>
    <t xml:space="preserve">Alto</t>
  </si>
  <si>
    <t xml:space="preserve">OK</t>
  </si>
  <si>
    <t xml:space="preserve">Resumo automático</t>
  </si>
  <si>
    <t xml:space="preserve">Conclusões</t>
  </si>
  <si>
    <t xml:space="preserve">Aviso</t>
  </si>
  <si>
    <t xml:space="preserve">Uma pergunta por linha, com as três fontes possíveis e a constatação. A força sai do número e do tipo de fontes.</t>
  </si>
  <si>
    <t xml:space="preserve">Pergunta</t>
  </si>
  <si>
    <t xml:space="preserve">Entrevista</t>
  </si>
  <si>
    <t xml:space="preserve">Registro</t>
  </si>
  <si>
    <t xml:space="preserve">Constatação</t>
  </si>
  <si>
    <t xml:space="preserve">Fontes</t>
  </si>
  <si>
    <t xml:space="preserve">Força</t>
  </si>
  <si>
    <t xml:space="preserve">Aberta</t>
  </si>
  <si>
    <t xml:space="preserve">Ex.: 7.1.5</t>
  </si>
  <si>
    <t xml:space="preserve">Quem disse o quê</t>
  </si>
  <si>
    <t xml:space="preserve">O que o auditor viu</t>
  </si>
  <si>
    <t xml:space="preserve">Qual registro, com a amostra</t>
  </si>
  <si>
    <t xml:space="preserve">Como o recebimento confere a temperatura?</t>
  </si>
  <si>
    <t xml:space="preserve">Atendente que recebe</t>
  </si>
  <si>
    <t xml:space="preserve">Recebimento das 15h: temperatura anotada</t>
  </si>
  <si>
    <t xml:space="preserve">12 notas de fevereiro com a temperatura</t>
  </si>
  <si>
    <t xml:space="preserve">Conforme</t>
  </si>
  <si>
    <t xml:space="preserve">Forte</t>
  </si>
  <si>
    <t xml:space="preserve">Perguntas</t>
  </si>
  <si>
    <t xml:space="preserve">Avaliação dos auditores em campo</t>
  </si>
  <si>
    <t xml:space="preserve">Uma coluna por auditor observado. Notas de 0 a 3; em branco, não observado.</t>
  </si>
  <si>
    <t xml:space="preserve">Auditor</t>
  </si>
  <si>
    <t xml:space="preserve">Papel na auditoria</t>
  </si>
  <si>
    <t xml:space="preserve">Critério</t>
  </si>
  <si>
    <t xml:space="preserve">Etapa</t>
  </si>
  <si>
    <t xml:space="preserve">Crítico</t>
  </si>
  <si>
    <t xml:space="preserve">Auditor 1</t>
  </si>
  <si>
    <t xml:space="preserve">Auditor 2</t>
  </si>
  <si>
    <t xml:space="preserve">Auditor 3</t>
  </si>
  <si>
    <t xml:space="preserve">Auditor 4</t>
  </si>
  <si>
    <t xml:space="preserve">Leu os documentos e o relatório da auditoria anterior antes de ir a campo.</t>
  </si>
  <si>
    <t xml:space="preserve">Preparação</t>
  </si>
  <si>
    <t xml:space="preserve">—</t>
  </si>
  <si>
    <t xml:space="preserve">Preparou a lista de verificação e o tamanho das amostras com antecedência.</t>
  </si>
  <si>
    <t xml:space="preserve">Confirmou o objetivo, o escopo, os critérios e o plano na reunião de abertura.</t>
  </si>
  <si>
    <t xml:space="preserve">Abertura</t>
  </si>
  <si>
    <t xml:space="preserve">Fez perguntas abertas e pediu para ver: “mostre-me”.</t>
  </si>
  <si>
    <t xml:space="preserve">Ouviu sem interromper e sem sugerir a resposta.</t>
  </si>
  <si>
    <t xml:space="preserve">Escolheu a amostra, em vez de aceitar a oferecida pelo auditado.</t>
  </si>
  <si>
    <t xml:space="preserve">Sim</t>
  </si>
  <si>
    <t xml:space="preserve">Anotou o tamanho de cada amostra e o que encontrou nela.</t>
  </si>
  <si>
    <t xml:space="preserve">Corroborou o que ouviu com observação ou registro.</t>
  </si>
  <si>
    <t xml:space="preserve">Evidência</t>
  </si>
  <si>
    <t xml:space="preserve">Seguiu ao menos uma trilha até o fim, de um registro ao seguinte.</t>
  </si>
  <si>
    <t xml:space="preserve">Escreveu cada não conformidade com requisito, evidência e desvio.</t>
  </si>
  <si>
    <t xml:space="preserve">Não apontou culpados nem ditou a solução.</t>
  </si>
  <si>
    <t xml:space="preserve">Comunicou as constatações durante a auditoria, sem surpresa no encerramento.</t>
  </si>
  <si>
    <t xml:space="preserve">Encerramento</t>
  </si>
  <si>
    <t xml:space="preserve">Critérios observados</t>
  </si>
  <si>
    <t xml:space="preserve">Pontos</t>
  </si>
  <si>
    <t xml:space="preserve">Percentual</t>
  </si>
  <si>
    <t xml:space="preserve">Nível</t>
  </si>
  <si>
    <t xml:space="preserve">Auditores avaliados</t>
  </si>
  <si>
    <t xml:space="preserve">Por nível</t>
  </si>
  <si>
    <t xml:space="preserve">Painel da técnica de auditoria</t>
  </si>
  <si>
    <t xml:space="preserve">Nada a preencher: tudo vem das outras abas.</t>
  </si>
  <si>
    <t xml:space="preserve">Auditoria</t>
  </si>
  <si>
    <t xml:space="preserve">Indicador</t>
  </si>
  <si>
    <t xml:space="preserve">Resultado</t>
  </si>
  <si>
    <t xml:space="preserve">Como se lê</t>
  </si>
  <si>
    <t xml:space="preserve">AMOSTRAS</t>
  </si>
  <si>
    <t xml:space="preserve">Da aba Amostras.</t>
  </si>
  <si>
    <t xml:space="preserve">Registros verificados</t>
  </si>
  <si>
    <t xml:space="preserve">A soma das amostras.</t>
  </si>
  <si>
    <t xml:space="preserve">Em todas as amostras.</t>
  </si>
  <si>
    <t xml:space="preserve">Amostras sem desvio.</t>
  </si>
  <si>
    <t xml:space="preserve">Desvio pontual</t>
  </si>
  <si>
    <t xml:space="preserve">Não conformidade; ampliar para medir a extensão.</t>
  </si>
  <si>
    <t xml:space="preserve">Desvio repetido</t>
  </si>
  <si>
    <t xml:space="preserve">Não conformidade sustentada.</t>
  </si>
  <si>
    <t xml:space="preserve">Completar ou registrar por quê.</t>
  </si>
  <si>
    <t xml:space="preserve">EVIDÊNCIAS</t>
  </si>
  <si>
    <t xml:space="preserve">Da aba Evidências.</t>
  </si>
  <si>
    <t xml:space="preserve">Não conformidades</t>
  </si>
  <si>
    <t xml:space="preserve">Constatações de não conformidade.</t>
  </si>
  <si>
    <t xml:space="preserve">Evidências fortes</t>
  </si>
  <si>
    <t xml:space="preserve">Duas fontes ou mais.</t>
  </si>
  <si>
    <t xml:space="preserve">Evidências fracas</t>
  </si>
  <si>
    <t xml:space="preserve">Só entrevista.</t>
  </si>
  <si>
    <t xml:space="preserve">Não conformidades sem evidência objetiva</t>
  </si>
  <si>
    <t xml:space="preserve">Buscar registro ou observação antes do relatório.</t>
  </si>
  <si>
    <t xml:space="preserve">AUDITORES</t>
  </si>
  <si>
    <t xml:space="preserve">Da aba Auditores.</t>
  </si>
  <si>
    <t xml:space="preserve">Apto a liderar</t>
  </si>
  <si>
    <t xml:space="preserve">Podem conduzir auditorias.</t>
  </si>
  <si>
    <t xml:space="preserve">Apto a auditar em equipe</t>
  </si>
  <si>
    <t xml:space="preserve">Auditam com um líder.</t>
  </si>
  <si>
    <t xml:space="preserve">Em formação</t>
  </si>
  <si>
    <t xml:space="preserve">Acompanhamento até a próxima observação.</t>
  </si>
  <si>
    <t xml:space="preserve">Linhas a completar</t>
  </si>
  <si>
    <t xml:space="preserve">Conferências diferentes de OK nas amostras e nas evidências.</t>
  </si>
  <si>
    <t xml:space="preserve">Amostras por conclusão</t>
  </si>
  <si>
    <t xml:space="preserve">Checklist da técnica de auditoria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</si>
  <si>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</si>
  <si>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</si>
  <si>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</si>
  <si>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</si>
  <si>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Cada item da lista de verificação vira uma pergunta aberta, com o requisito ao lado.</t>
  </si>
  <si>
    <t xml:space="preserve">O tamanho de cada amostra é decidido antes, pela população e pelo risco.</t>
  </si>
  <si>
    <t xml:space="preserve">O auditor escolhe a amostra, e o ponto de partida não vem do auditado.</t>
  </si>
  <si>
    <t xml:space="preserve">O tamanho da amostra e o resultado ficam anotados: quantos se viu e quantos desvios.</t>
  </si>
  <si>
    <t xml:space="preserve">Um desvio pontual já é não conformidade, e a amostra é ampliada para medir a extensão.</t>
  </si>
  <si>
    <t xml:space="preserve">Cada constatação tem ao menos uma evidência objetiva: observação ou registro.</t>
  </si>
  <si>
    <t xml:space="preserve">Toda não conformidade tem ao menos uma evidência objetiva; a que nasce de entrevista é corroborada.</t>
  </si>
  <si>
    <t xml:space="preserve">O auditor segue ao menos uma trilha até o fim em cada processo.</t>
  </si>
  <si>
    <t xml:space="preserve">As perguntas indutoras são evitadas, e o auditado fala mais que o auditor.</t>
  </si>
  <si>
    <t xml:space="preserve">As constatações são mostradas ao auditado durante a auditoria.</t>
  </si>
  <si>
    <t xml:space="preserve">Os auditores são avaliados em campo, por auditoria testemunhada, com critérios escritos.</t>
  </si>
  <si>
    <t xml:space="preserve">Quem está em formação audita em equipe até alcançar o nível de liderar.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</si>
  <si>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</si>
  <si>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</si>
  <si>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</si>
  <si>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</si>
  <si>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</si>
  <si>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Situação</t>
  </si>
  <si>
    <t xml:space="preserve">Técnica de auditoria</t>
  </si>
  <si>
    <t xml:space="preserve">Exemplo preenchido, para consulta. Use as abas Amostras, Evidências e Auditores para a sua auditoria.</t>
  </si>
  <si>
    <t xml:space="preserve">2027-02 · Atender no salão e receber insumos</t>
  </si>
  <si>
    <t xml:space="preserve">Organização</t>
  </si>
  <si>
    <t xml:space="preserve">Pizzaria (loja com salão e delivery)</t>
  </si>
  <si>
    <t xml:space="preserve">Atendente do turno da tarde</t>
  </si>
  <si>
    <t xml:space="preserve">Equipe</t>
  </si>
  <si>
    <t xml:space="preserve">Pizzaiolo do turno da tarde</t>
  </si>
  <si>
    <t xml:space="preserve">Observador</t>
  </si>
  <si>
    <t xml:space="preserve">Consultor que acompanhou a primeira auditoria do salão</t>
  </si>
  <si>
    <t xml:space="preserve">Critérios</t>
  </si>
  <si>
    <t xml:space="preserve">ISO 9001:2015, requisitos 7 e 8. Instrução do salão IT-SAL-01 rev. 2. Rotina de recebimento de insumos.</t>
  </si>
  <si>
    <t xml:space="preserve">Comandas do salão: mesa e horário anotados</t>
  </si>
  <si>
    <t xml:space="preserve">8.5.1</t>
  </si>
  <si>
    <t xml:space="preserve">Fevereiro de 2027</t>
  </si>
  <si>
    <t xml:space="preserve">Médio</t>
  </si>
  <si>
    <t xml:space="preserve">Três comandas sem mesa ou sem horário, todas de sábado.</t>
  </si>
  <si>
    <t xml:space="preserve">Leituras de temperatura da câmara fria</t>
  </si>
  <si>
    <t xml:space="preserve">7.1.4</t>
  </si>
  <si>
    <t xml:space="preserve">Leitura do domingo, 14/02, sem anotação.</t>
  </si>
  <si>
    <t xml:space="preserve">Notas de recebimento com a temperatura anotada</t>
  </si>
  <si>
    <t xml:space="preserve">Fichas de treinamento da equipe nova do salão</t>
  </si>
  <si>
    <t xml:space="preserve">7.2</t>
  </si>
  <si>
    <t xml:space="preserve">Admissões de 2027</t>
  </si>
  <si>
    <t xml:space="preserve">Baixo</t>
  </si>
  <si>
    <t xml:space="preserve">Checklists de limpeza do salão</t>
  </si>
  <si>
    <t xml:space="preserve">Dois checklists não estavam na pasta no dia.</t>
  </si>
  <si>
    <t xml:space="preserve">Como a comanda do salão registra a mesa e o horário?</t>
  </si>
  <si>
    <t xml:space="preserve">Garçom do turno da noite</t>
  </si>
  <si>
    <t xml:space="preserve">Duas comandas abertas na hora; uma sem horário</t>
  </si>
  <si>
    <t xml:space="preserve">20 comandas de fevereiro: 3 sem mesa ou sem horário</t>
  </si>
  <si>
    <t xml:space="preserve">Não conformidade</t>
  </si>
  <si>
    <t xml:space="preserve">Como vocês sabem que o termômetro da câmara mede certo?</t>
  </si>
  <si>
    <t xml:space="preserve">7.1.5</t>
  </si>
  <si>
    <t xml:space="preserve">Pizzaiolo líder: “verificamos todo mês”</t>
  </si>
  <si>
    <t xml:space="preserve">Planilha FR-07: termômetro da câmara verificado em 15/03, reprovado e trocado; leituras anteriores não revistas</t>
  </si>
  <si>
    <t xml:space="preserve">Como as leituras de temperatura da câmara fria são registradas?</t>
  </si>
  <si>
    <t xml:space="preserve">10 leituras de fevereiro: 1 sem anotação, a do domingo, 14/02</t>
  </si>
  <si>
    <t xml:space="preserve">Como o recebimento confere a temperatura dos refrigerados?</t>
  </si>
  <si>
    <t xml:space="preserve">Recebimento do laticínio às 15h: temperatura medida e anotada</t>
  </si>
  <si>
    <t xml:space="preserve">12 notas de fevereiro com a temperatura anotada</t>
  </si>
  <si>
    <t xml:space="preserve">Quem treinou a equipe nova do salão, e como?</t>
  </si>
  <si>
    <t xml:space="preserve">Gerente da loja</t>
  </si>
  <si>
    <t xml:space="preserve">3 fichas de treinamento assinadas, com a instrução IT-SAL-01</t>
  </si>
  <si>
    <t xml:space="preserve">O cliente do salão é avisado do tempo de espera?</t>
  </si>
  <si>
    <t xml:space="preserve">8.2.1</t>
  </si>
  <si>
    <t xml:space="preserve">Garçom: “nem sempre avisamos”</t>
  </si>
  <si>
    <t xml:space="preserve">Como as reclamações do salão são registradas?</t>
  </si>
  <si>
    <t xml:space="preserve">9.1.2</t>
  </si>
  <si>
    <t xml:space="preserve">Registro de reclamações só com o delivery; o salão não aparece</t>
  </si>
  <si>
    <t xml:space="preserve">Oportunidade de melhoria</t>
  </si>
  <si>
    <t xml:space="preserve">A instrução do salão em uso é a vigente?</t>
  </si>
  <si>
    <t xml:space="preserve">7.5</t>
  </si>
  <si>
    <t xml:space="preserve">Instrução no balcão na revisão 1</t>
  </si>
  <si>
    <t xml:space="preserve">Lista mestra: IT-SAL-01 na revisão 2, de 10/02/2027</t>
  </si>
  <si>
    <t xml:space="preserve">Como os insumos são guardados depois do recebimento?</t>
  </si>
  <si>
    <t xml:space="preserve">8.5.4</t>
  </si>
  <si>
    <t xml:space="preserve">Pizzaiolo do turno</t>
  </si>
  <si>
    <t xml:space="preserve">Câmara organizada, com etiquetas de validade</t>
  </si>
  <si>
    <t xml:space="preserve">Como a pizza do salão é conferida antes de servir?</t>
  </si>
  <si>
    <t xml:space="preserve">Conferência do sabor pela comanda, no passa-pratos</t>
  </si>
  <si>
    <t xml:space="preserve">Papel</t>
  </si>
  <si>
    <t xml:space="preserve">2027-11 · Produção (extrusão e rebobinamento)</t>
  </si>
  <si>
    <t xml:space="preserve">Indústria de embalagens plásticas</t>
  </si>
  <si>
    <t xml:space="preserve">Coordenador da Qualidade</t>
  </si>
  <si>
    <t xml:space="preserve">Engenheiro de processos e Analista de RH (auditor em formação)</t>
  </si>
  <si>
    <t xml:space="preserve">Gerente de RH, que mantém a avaliação dos auditores internos</t>
  </si>
  <si>
    <t xml:space="preserve">ISO 9001:2015, requisitos 7.1, 7.2, 8.5 e 8.7. Plano de controle da extrusão rev. 6. Procedimento de mudanças PG-05.</t>
  </si>
  <si>
    <t xml:space="preserve">Registros de espessura por bobina, com cinco pontos</t>
  </si>
  <si>
    <t xml:space="preserve">Julho e agosto de 2027</t>
  </si>
  <si>
    <t xml:space="preserve">Registros de mudança de processo, com autorização</t>
  </si>
  <si>
    <t xml:space="preserve">8.5.6</t>
  </si>
  <si>
    <t xml:space="preserve">2027 até setembro</t>
  </si>
  <si>
    <t xml:space="preserve">Duas mudanças de velocidade do turno C sem autorização.</t>
  </si>
  <si>
    <t xml:space="preserve">Ordens de manutenção corretiva, com o produto afetado</t>
  </si>
  <si>
    <t xml:space="preserve">8.7</t>
  </si>
  <si>
    <t xml:space="preserve">Quebra do chiller, 22/07: produto afetado sem destino.</t>
  </si>
  <si>
    <t xml:space="preserve">Instrumentos do posto com etiqueta em dia</t>
  </si>
  <si>
    <t xml:space="preserve">Na data da auditoria</t>
  </si>
  <si>
    <t xml:space="preserve">Registros de treinamento do turno C</t>
  </si>
  <si>
    <t xml:space="preserve">Admissões e remanejamentos de 2027</t>
  </si>
  <si>
    <t xml:space="preserve">Como uma mudança de processo é autorizada?</t>
  </si>
  <si>
    <t xml:space="preserve">Líder do turno C</t>
  </si>
  <si>
    <t xml:space="preserve">8 registros de mudança de 2027: 2 sem autorização</t>
  </si>
  <si>
    <t xml:space="preserve">Como a espessura é medida na extrusora 3?</t>
  </si>
  <si>
    <t xml:space="preserve">Operador do turno A</t>
  </si>
  <si>
    <t xml:space="preserve">Medição em cinco pontos com o micrômetro de 0,1 µm</t>
  </si>
  <si>
    <t xml:space="preserve">30 bobinas de julho e agosto, todas com os cinco pontos</t>
  </si>
  <si>
    <t xml:space="preserve">O que acontece com o produto quando uma máquina quebra?</t>
  </si>
  <si>
    <t xml:space="preserve">Supervisor de manutenção</t>
  </si>
  <si>
    <t xml:space="preserve">5 ordens corretivas: 1 sem o destino do produto afetado</t>
  </si>
  <si>
    <t xml:space="preserve">Quem mais sabe regular a extrusora 3?</t>
  </si>
  <si>
    <t xml:space="preserve">7.1.6</t>
  </si>
  <si>
    <t xml:space="preserve">Operador sênior e operador do turno C</t>
  </si>
  <si>
    <t xml:space="preserve">Operador do turno C regulando com acompanhamento</t>
  </si>
  <si>
    <t xml:space="preserve">Mapa do conhecimento, C-01, ação até 30/11</t>
  </si>
  <si>
    <t xml:space="preserve">Os instrumentos do posto estão identificados e em dia?</t>
  </si>
  <si>
    <t xml:space="preserve">12 instrumentos com etiqueta em dia</t>
  </si>
  <si>
    <t xml:space="preserve">Lista de instrumentos de 30/09</t>
  </si>
  <si>
    <t xml:space="preserve">O operador novo do turno C foi treinado na regulagem?</t>
  </si>
  <si>
    <t xml:space="preserve">Operador novo: “aprendi com o colega”</t>
  </si>
  <si>
    <t xml:space="preserve">Como o refugo da extrusão é analisado?</t>
  </si>
  <si>
    <t xml:space="preserve">9.1.3</t>
  </si>
  <si>
    <t xml:space="preserve">Gerente industrial</t>
  </si>
  <si>
    <t xml:space="preserve">Painel de indicadores de setembro, com o Pareto do refugo</t>
  </si>
  <si>
    <t xml:space="preserve">O que se faz com a bobina fora de espessura?</t>
  </si>
  <si>
    <t xml:space="preserve">Líder do turno</t>
  </si>
  <si>
    <t xml:space="preserve">Bobina com etiqueta vermelha na área de segregação</t>
  </si>
  <si>
    <t xml:space="preserve">Registro de produto não conforme de 03/10</t>
  </si>
  <si>
    <t xml:space="preserve">Engenheiro de processos</t>
  </si>
  <si>
    <t xml:space="preserve">Analista de RH</t>
  </si>
  <si>
    <t xml:space="preserve">Auditor em formação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</si>
</sst>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"/>
    <numFmt numFmtId="167" formatCode="General"/>
    <numFmt numFmtId="168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7A4A9A"/>
        <bgColor rgb="FF5B6B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8EBCB"/>
        </patternFill>
      </fill>
    </dxf>
    <dxf>
      <fill>
        <patternFill>
          <bgColor rgb="FFF6D9D7"/>
        </patternFill>
      </fill>
    </dxf>
    <dxf>
      <fill>
        <patternFill>
          <bgColor rgb="FFFBEBC8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"Amostras"</c:f>
              <c:strCache>
                <c:ptCount val="1"/>
                <c:pt idx="0">
                  <c:v>Amostras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Painel!$B$31:$B$34</c:f>
              <c:strCache>
                <c:ptCount val="4"/>
                <c:pt idx="0">
                  <c:v>Conforme na amostra</c:v>
                </c:pt>
                <c:pt idx="1">
                  <c:v>Desvio pontual: não conformidade, ampliar a amostra</c:v>
                </c:pt>
                <c:pt idx="2">
                  <c:v>Desvio repetido: não conformidade</c:v>
                </c:pt>
                <c:pt idx="3">
                  <c:v>Amostra incompleta</c:v>
                </c:pt>
              </c:strCache>
            </c:strRef>
          </c:cat>
          <c:val>
            <c:numRef>
              <c:f>Painel!$C$31:$C$34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70"/>
        <c:overlap val="0"/>
        <c:axId val="45500717"/>
        <c:axId val="21500126"/>
      </c:barChart>
      <c:catAx>
        <c:axId val="455007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00126"/>
        <c:crosses val="autoZero"/>
        <c:auto val="1"/>
        <c:lblAlgn val="ctr"/>
        <c:lblOffset val="100"/>
        <c:noMultiLvlLbl val="0"/>
      </c:catAx>
      <c:valAx>
        <c:axId val="2150012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0071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29</xdr:row>
      <xdr:rowOff>0</xdr:rowOff>
    </xdr:from>
    <xdr:to>
      <xdr:col>5</xdr:col>
      <xdr:colOff>2346120</xdr:colOff>
      <xdr:row>41</xdr:row>
      <xdr:rowOff>140400</xdr:rowOff>
    </xdr:to>
    <xdr:graphicFrame>
      <xdr:nvGraphicFramePr>
        <xdr:cNvPr id="0" name="Chart 1"/>
        <xdr:cNvGraphicFramePr/>
      </xdr:nvGraphicFramePr>
      <xdr:xfrm>
        <a:off x="3806280" y="77630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31.5" hidden="false" customHeight="true" outlineLevel="0" collapsed="false">
      <c r="B18" s="4" t="s">
        <v>26</v>
      </c>
      <c r="C18" s="7" t="s">
        <v>27</v>
      </c>
    </row>
    <row r="19" customFormat="false" ht="31.5" hidden="false" customHeight="true" outlineLevel="0" collapsed="false">
      <c r="B19" s="4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45.75" hidden="false" customHeight="true" outlineLevel="0" collapsed="false">
      <c r="B26" s="4" t="s">
        <v>39</v>
      </c>
      <c r="C26" s="7" t="s">
        <v>40</v>
      </c>
    </row>
    <row r="27" customFormat="false" ht="31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30" customFormat="false" ht="21.75" hidden="false" customHeight="true" outlineLevel="0" collapsed="false">
      <c r="B30" s="3" t="s">
        <v>45</v>
      </c>
      <c r="C30" s="3"/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7" customFormat="false" ht="21.75" hidden="false" customHeight="true" outlineLevel="0" collapsed="false">
      <c r="B37" s="3" t="s">
        <v>56</v>
      </c>
      <c r="C37" s="3"/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19.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  <row r="42" customFormat="false" ht="19.5" hidden="false" customHeight="true" outlineLevel="0" collapsed="false">
      <c r="B42" s="4" t="s">
        <v>65</v>
      </c>
      <c r="C42" s="7" t="s">
        <v>66</v>
      </c>
    </row>
    <row r="43" customFormat="false" ht="19.5" hidden="false" customHeight="true" outlineLevel="0" collapsed="false">
      <c r="B43" s="4" t="s">
        <v>67</v>
      </c>
      <c r="C43" s="7" t="s">
        <v>68</v>
      </c>
    </row>
    <row r="44" customFormat="false" ht="19.5" hidden="false" customHeight="true" outlineLevel="0" collapsed="false">
      <c r="B44" s="4" t="s">
        <v>69</v>
      </c>
      <c r="C44" s="7" t="s">
        <v>70</v>
      </c>
    </row>
    <row r="46" customFormat="false" ht="21.75" hidden="false" customHeight="true" outlineLevel="0" collapsed="false">
      <c r="B46" s="3" t="s">
        <v>71</v>
      </c>
      <c r="C46" s="3"/>
    </row>
    <row r="47" customFormat="false" ht="31.5" hidden="false" customHeight="true" outlineLevel="0" collapsed="false">
      <c r="B47" s="4" t="s">
        <v>72</v>
      </c>
      <c r="C47" s="7" t="s">
        <v>73</v>
      </c>
    </row>
    <row r="48" customFormat="false" ht="19.5" hidden="false" customHeight="true" outlineLevel="0" collapsed="false">
      <c r="B48" s="4" t="s">
        <v>74</v>
      </c>
      <c r="C48" s="7" t="s">
        <v>75</v>
      </c>
    </row>
  </sheetData>
  <mergeCells count="8">
    <mergeCell ref="B1:C1"/>
    <mergeCell ref="B2:C2"/>
    <mergeCell ref="B4:C4"/>
    <mergeCell ref="B11:C11"/>
    <mergeCell ref="B21:C21"/>
    <mergeCell ref="B30:C30"/>
    <mergeCell ref="B37:C37"/>
    <mergeCell ref="B46:C4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O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32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76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77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true" outlineLevel="0" collapsed="false">
      <c r="B4" s="4" t="s">
        <v>78</v>
      </c>
      <c r="C4" s="4"/>
      <c r="D4" s="8"/>
      <c r="E4" s="8"/>
      <c r="F4" s="8"/>
      <c r="G4" s="8"/>
    </row>
    <row r="5" customFormat="false" ht="15" hidden="false" customHeight="true" outlineLevel="0" collapsed="false">
      <c r="B5" s="4" t="s">
        <v>79</v>
      </c>
      <c r="C5" s="4"/>
      <c r="D5" s="5"/>
      <c r="E5" s="5"/>
      <c r="F5" s="5"/>
      <c r="G5" s="5"/>
    </row>
    <row r="6" customFormat="false" ht="15" hidden="false" customHeight="true" outlineLevel="0" collapsed="false">
      <c r="B6" s="4" t="s">
        <v>80</v>
      </c>
      <c r="C6" s="4"/>
      <c r="D6" s="9"/>
      <c r="E6" s="9"/>
      <c r="F6" s="9"/>
      <c r="G6" s="9"/>
    </row>
    <row r="7" customFormat="false" ht="15" hidden="false" customHeight="true" outlineLevel="0" collapsed="false">
      <c r="B7" s="4" t="s">
        <v>81</v>
      </c>
      <c r="C7" s="4"/>
      <c r="D7" s="5"/>
      <c r="E7" s="5"/>
      <c r="F7" s="5"/>
      <c r="G7" s="5"/>
    </row>
    <row r="9" customFormat="false" ht="33" hidden="false" customHeight="true" outlineLevel="0" collapsed="false">
      <c r="B9" s="10" t="s">
        <v>82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87</v>
      </c>
      <c r="H9" s="10" t="s">
        <v>88</v>
      </c>
      <c r="I9" s="10" t="s">
        <v>89</v>
      </c>
      <c r="J9" s="10" t="s">
        <v>90</v>
      </c>
      <c r="K9" s="10" t="s">
        <v>91</v>
      </c>
      <c r="L9" s="10" t="s">
        <v>92</v>
      </c>
      <c r="M9" s="10" t="s">
        <v>93</v>
      </c>
      <c r="N9" s="10" t="s">
        <v>94</v>
      </c>
      <c r="O9" s="10" t="s">
        <v>95</v>
      </c>
    </row>
    <row r="10" customFormat="false" ht="30" hidden="false" customHeight="true" outlineLevel="0" collapsed="false">
      <c r="B10" s="11"/>
      <c r="C10" s="11" t="s">
        <v>96</v>
      </c>
      <c r="D10" s="11" t="s">
        <v>97</v>
      </c>
      <c r="E10" s="11"/>
      <c r="F10" s="11" t="s">
        <v>98</v>
      </c>
      <c r="G10" s="11" t="s">
        <v>99</v>
      </c>
      <c r="H10" s="11" t="s">
        <v>100</v>
      </c>
      <c r="I10" s="11" t="s">
        <v>101</v>
      </c>
      <c r="J10" s="11" t="s">
        <v>102</v>
      </c>
      <c r="K10" s="11" t="s">
        <v>103</v>
      </c>
      <c r="L10" s="11" t="s">
        <v>103</v>
      </c>
      <c r="M10" s="11" t="s">
        <v>104</v>
      </c>
      <c r="N10" s="11" t="s">
        <v>101</v>
      </c>
      <c r="O10" s="11" t="s">
        <v>101</v>
      </c>
    </row>
    <row r="11" customFormat="false" ht="21.75" hidden="false" customHeight="true" outlineLevel="0" collapsed="false">
      <c r="B11" s="11" t="s">
        <v>105</v>
      </c>
      <c r="C11" s="12" t="s">
        <v>106</v>
      </c>
      <c r="D11" s="11" t="s">
        <v>107</v>
      </c>
      <c r="E11" s="12" t="s">
        <v>108</v>
      </c>
      <c r="F11" s="11" t="n">
        <v>48</v>
      </c>
      <c r="G11" s="11" t="s">
        <v>109</v>
      </c>
      <c r="H11" s="11" t="n">
        <v>3</v>
      </c>
      <c r="I11" s="11" t="n">
        <v>12</v>
      </c>
      <c r="J11" s="11" t="n">
        <v>4</v>
      </c>
      <c r="K11" s="11" t="n">
        <v>12</v>
      </c>
      <c r="L11" s="11" t="n">
        <v>0</v>
      </c>
      <c r="M11" s="12"/>
      <c r="N11" s="11" t="s">
        <v>31</v>
      </c>
      <c r="O11" s="11" t="s">
        <v>110</v>
      </c>
    </row>
    <row r="12" customFormat="false" ht="21.75" hidden="false" customHeight="true" outlineLevel="0" collapsed="false">
      <c r="B12" s="13" t="n">
        <v>1</v>
      </c>
      <c r="C12" s="5"/>
      <c r="D12" s="8"/>
      <c r="E12" s="5"/>
      <c r="F12" s="14"/>
      <c r="G12" s="8"/>
      <c r="H12" s="14"/>
      <c r="I12" s="15" t="str">
        <f aca="false">IF(OR(N(F12)=0,G12=""),"",IF(F12&lt;=5,F12,IFERROR(MIN(F12,MAX(3,ROUNDUP(IF(F12&lt;=20,5,IF(F12&lt;=50,8,IF(F12&lt;=100,10,IF(F12&lt;=500,15,20))))*IF(G12="Alto",1.5,IF(G12="Médio",1,IF(G12="Baixo",0.6,"")))-0.000000001,0))),"")))</f>
        <v/>
      </c>
      <c r="J12" s="16" t="str">
        <f aca="false">IF(I12="","",INT(F12/I12))</f>
        <v/>
      </c>
      <c r="K12" s="14"/>
      <c r="L12" s="14"/>
      <c r="M12" s="5"/>
      <c r="N12" s="17" t="str">
        <f aca="false">IF(OR(I12="",K12="",L12=""),"",IF(K12&lt;I12,"Amostra incompleta",IF(L12=0,"Conforme na amostra",IF(L12=1,"Desvio pontual: não conformidade, ampliar a amostra","Desvio repetido: não conformidade"))))</f>
        <v/>
      </c>
      <c r="O12" s="18" t="str">
        <f aca="false">IF(C12="","",IF(N(F12)=0,"Falta a população",IF(G12="","Falta o risco",IF(OR(H12="",H12&lt;1,H12&gt;J12),"Início deve ir de 1 a "&amp;J12,IF(K12="","Falta quantos foram verificados",IF(K12&gt;F12,"Verificados acima da população",IF(L12="","Falta quantos desvios",IF(L12&gt;K12,"Mais desvios que verificados","OK"))))))))</f>
        <v/>
      </c>
    </row>
    <row r="13" customFormat="false" ht="21.75" hidden="false" customHeight="true" outlineLevel="0" collapsed="false">
      <c r="B13" s="13" t="n">
        <v>2</v>
      </c>
      <c r="C13" s="5"/>
      <c r="D13" s="8"/>
      <c r="E13" s="5"/>
      <c r="F13" s="14"/>
      <c r="G13" s="8"/>
      <c r="H13" s="14"/>
      <c r="I13" s="15" t="str">
        <f aca="false">IF(OR(N(F13)=0,G13=""),"",IF(F13&lt;=5,F13,IFERROR(MIN(F13,MAX(3,ROUNDUP(IF(F13&lt;=20,5,IF(F13&lt;=50,8,IF(F13&lt;=100,10,IF(F13&lt;=500,15,20))))*IF(G13="Alto",1.5,IF(G13="Médio",1,IF(G13="Baixo",0.6,"")))-0.000000001,0))),"")))</f>
        <v/>
      </c>
      <c r="J13" s="16" t="str">
        <f aca="false">IF(I13="","",INT(F13/I13))</f>
        <v/>
      </c>
      <c r="K13" s="14"/>
      <c r="L13" s="14"/>
      <c r="M13" s="5"/>
      <c r="N13" s="17" t="str">
        <f aca="false">IF(OR(I13="",K13="",L13=""),"",IF(K13&lt;I13,"Amostra incompleta",IF(L13=0,"Conforme na amostra",IF(L13=1,"Desvio pontual: não conformidade, ampliar a amostra","Desvio repetido: não conformidade"))))</f>
        <v/>
      </c>
      <c r="O13" s="18" t="str">
        <f aca="false">IF(C13="","",IF(N(F13)=0,"Falta a população",IF(G13="","Falta o risco",IF(OR(H13="",H13&lt;1,H13&gt;J13),"Início deve ir de 1 a "&amp;J13,IF(K13="","Falta quantos foram verificados",IF(K13&gt;F13,"Verificados acima da população",IF(L13="","Falta quantos desvios",IF(L13&gt;K13,"Mais desvios que verificados","OK"))))))))</f>
        <v/>
      </c>
    </row>
    <row r="14" customFormat="false" ht="21.75" hidden="false" customHeight="true" outlineLevel="0" collapsed="false">
      <c r="B14" s="13" t="n">
        <v>3</v>
      </c>
      <c r="C14" s="5"/>
      <c r="D14" s="8"/>
      <c r="E14" s="5"/>
      <c r="F14" s="14"/>
      <c r="G14" s="8"/>
      <c r="H14" s="14"/>
      <c r="I14" s="15" t="str">
        <f aca="false">IF(OR(N(F14)=0,G14=""),"",IF(F14&lt;=5,F14,IFERROR(MIN(F14,MAX(3,ROUNDUP(IF(F14&lt;=20,5,IF(F14&lt;=50,8,IF(F14&lt;=100,10,IF(F14&lt;=500,15,20))))*IF(G14="Alto",1.5,IF(G14="Médio",1,IF(G14="Baixo",0.6,"")))-0.000000001,0))),"")))</f>
        <v/>
      </c>
      <c r="J14" s="16" t="str">
        <f aca="false">IF(I14="","",INT(F14/I14))</f>
        <v/>
      </c>
      <c r="K14" s="14"/>
      <c r="L14" s="14"/>
      <c r="M14" s="5"/>
      <c r="N14" s="17" t="str">
        <f aca="false">IF(OR(I14="",K14="",L14=""),"",IF(K14&lt;I14,"Amostra incompleta",IF(L14=0,"Conforme na amostra",IF(L14=1,"Desvio pontual: não conformidade, ampliar a amostra","Desvio repetido: não conformidade"))))</f>
        <v/>
      </c>
      <c r="O14" s="18" t="str">
        <f aca="false">IF(C14="","",IF(N(F14)=0,"Falta a população",IF(G14="","Falta o risco",IF(OR(H14="",H14&lt;1,H14&gt;J14),"Início deve ir de 1 a "&amp;J14,IF(K14="","Falta quantos foram verificados",IF(K14&gt;F14,"Verificados acima da população",IF(L14="","Falta quantos desvios",IF(L14&gt;K14,"Mais desvios que verificados","OK"))))))))</f>
        <v/>
      </c>
    </row>
    <row r="15" customFormat="false" ht="21.75" hidden="false" customHeight="true" outlineLevel="0" collapsed="false">
      <c r="B15" s="13" t="n">
        <v>4</v>
      </c>
      <c r="C15" s="5"/>
      <c r="D15" s="8"/>
      <c r="E15" s="5"/>
      <c r="F15" s="14"/>
      <c r="G15" s="8"/>
      <c r="H15" s="14"/>
      <c r="I15" s="15" t="str">
        <f aca="false">IF(OR(N(F15)=0,G15=""),"",IF(F15&lt;=5,F15,IFERROR(MIN(F15,MAX(3,ROUNDUP(IF(F15&lt;=20,5,IF(F15&lt;=50,8,IF(F15&lt;=100,10,IF(F15&lt;=500,15,20))))*IF(G15="Alto",1.5,IF(G15="Médio",1,IF(G15="Baixo",0.6,"")))-0.000000001,0))),"")))</f>
        <v/>
      </c>
      <c r="J15" s="16" t="str">
        <f aca="false">IF(I15="","",INT(F15/I15))</f>
        <v/>
      </c>
      <c r="K15" s="14"/>
      <c r="L15" s="14"/>
      <c r="M15" s="5"/>
      <c r="N15" s="17" t="str">
        <f aca="false">IF(OR(I15="",K15="",L15=""),"",IF(K15&lt;I15,"Amostra incompleta",IF(L15=0,"Conforme na amostra",IF(L15=1,"Desvio pontual: não conformidade, ampliar a amostra","Desvio repetido: não conformidade"))))</f>
        <v/>
      </c>
      <c r="O15" s="18" t="str">
        <f aca="false">IF(C15="","",IF(N(F15)=0,"Falta a população",IF(G15="","Falta o risco",IF(OR(H15="",H15&lt;1,H15&gt;J15),"Início deve ir de 1 a "&amp;J15,IF(K15="","Falta quantos foram verificados",IF(K15&gt;F15,"Verificados acima da população",IF(L15="","Falta quantos desvios",IF(L15&gt;K15,"Mais desvios que verificados","OK"))))))))</f>
        <v/>
      </c>
    </row>
    <row r="16" customFormat="false" ht="21.75" hidden="false" customHeight="true" outlineLevel="0" collapsed="false">
      <c r="B16" s="13" t="n">
        <v>5</v>
      </c>
      <c r="C16" s="5"/>
      <c r="D16" s="8"/>
      <c r="E16" s="5"/>
      <c r="F16" s="14"/>
      <c r="G16" s="8"/>
      <c r="H16" s="14"/>
      <c r="I16" s="15" t="str">
        <f aca="false">IF(OR(N(F16)=0,G16=""),"",IF(F16&lt;=5,F16,IFERROR(MIN(F16,MAX(3,ROUNDUP(IF(F16&lt;=20,5,IF(F16&lt;=50,8,IF(F16&lt;=100,10,IF(F16&lt;=500,15,20))))*IF(G16="Alto",1.5,IF(G16="Médio",1,IF(G16="Baixo",0.6,"")))-0.000000001,0))),"")))</f>
        <v/>
      </c>
      <c r="J16" s="16" t="str">
        <f aca="false">IF(I16="","",INT(F16/I16))</f>
        <v/>
      </c>
      <c r="K16" s="14"/>
      <c r="L16" s="14"/>
      <c r="M16" s="5"/>
      <c r="N16" s="17" t="str">
        <f aca="false">IF(OR(I16="",K16="",L16=""),"",IF(K16&lt;I16,"Amostra incompleta",IF(L16=0,"Conforme na amostra",IF(L16=1,"Desvio pontual: não conformidade, ampliar a amostra","Desvio repetido: não conformidade"))))</f>
        <v/>
      </c>
      <c r="O16" s="18" t="str">
        <f aca="false">IF(C16="","",IF(N(F16)=0,"Falta a população",IF(G16="","Falta o risco",IF(OR(H16="",H16&lt;1,H16&gt;J16),"Início deve ir de 1 a "&amp;J16,IF(K16="","Falta quantos foram verificados",IF(K16&gt;F16,"Verificados acima da população",IF(L16="","Falta quantos desvios",IF(L16&gt;K16,"Mais desvios que verificados","OK"))))))))</f>
        <v/>
      </c>
    </row>
    <row r="17" customFormat="false" ht="21.75" hidden="false" customHeight="true" outlineLevel="0" collapsed="false">
      <c r="B17" s="13" t="n">
        <v>6</v>
      </c>
      <c r="C17" s="5"/>
      <c r="D17" s="8"/>
      <c r="E17" s="5"/>
      <c r="F17" s="14"/>
      <c r="G17" s="8"/>
      <c r="H17" s="14"/>
      <c r="I17" s="15" t="str">
        <f aca="false">IF(OR(N(F17)=0,G17=""),"",IF(F17&lt;=5,F17,IFERROR(MIN(F17,MAX(3,ROUNDUP(IF(F17&lt;=20,5,IF(F17&lt;=50,8,IF(F17&lt;=100,10,IF(F17&lt;=500,15,20))))*IF(G17="Alto",1.5,IF(G17="Médio",1,IF(G17="Baixo",0.6,"")))-0.000000001,0))),"")))</f>
        <v/>
      </c>
      <c r="J17" s="16" t="str">
        <f aca="false">IF(I17="","",INT(F17/I17))</f>
        <v/>
      </c>
      <c r="K17" s="14"/>
      <c r="L17" s="14"/>
      <c r="M17" s="5"/>
      <c r="N17" s="17" t="str">
        <f aca="false">IF(OR(I17="",K17="",L17=""),"",IF(K17&lt;I17,"Amostra incompleta",IF(L17=0,"Conforme na amostra",IF(L17=1,"Desvio pontual: não conformidade, ampliar a amostra","Desvio repetido: não conformidade"))))</f>
        <v/>
      </c>
      <c r="O17" s="18" t="str">
        <f aca="false">IF(C17="","",IF(N(F17)=0,"Falta a população",IF(G17="","Falta o risco",IF(OR(H17="",H17&lt;1,H17&gt;J17),"Início deve ir de 1 a "&amp;J17,IF(K17="","Falta quantos foram verificados",IF(K17&gt;F17,"Verificados acima da população",IF(L17="","Falta quantos desvios",IF(L17&gt;K17,"Mais desvios que verificados","OK"))))))))</f>
        <v/>
      </c>
    </row>
    <row r="18" customFormat="false" ht="21.75" hidden="false" customHeight="true" outlineLevel="0" collapsed="false">
      <c r="B18" s="13" t="n">
        <v>7</v>
      </c>
      <c r="C18" s="5"/>
      <c r="D18" s="8"/>
      <c r="E18" s="5"/>
      <c r="F18" s="14"/>
      <c r="G18" s="8"/>
      <c r="H18" s="14"/>
      <c r="I18" s="15" t="str">
        <f aca="false">IF(OR(N(F18)=0,G18=""),"",IF(F18&lt;=5,F18,IFERROR(MIN(F18,MAX(3,ROUNDUP(IF(F18&lt;=20,5,IF(F18&lt;=50,8,IF(F18&lt;=100,10,IF(F18&lt;=500,15,20))))*IF(G18="Alto",1.5,IF(G18="Médio",1,IF(G18="Baixo",0.6,"")))-0.000000001,0))),"")))</f>
        <v/>
      </c>
      <c r="J18" s="16" t="str">
        <f aca="false">IF(I18="","",INT(F18/I18))</f>
        <v/>
      </c>
      <c r="K18" s="14"/>
      <c r="L18" s="14"/>
      <c r="M18" s="5"/>
      <c r="N18" s="17" t="str">
        <f aca="false">IF(OR(I18="",K18="",L18=""),"",IF(K18&lt;I18,"Amostra incompleta",IF(L18=0,"Conforme na amostra",IF(L18=1,"Desvio pontual: não conformidade, ampliar a amostra","Desvio repetido: não conformidade"))))</f>
        <v/>
      </c>
      <c r="O18" s="18" t="str">
        <f aca="false">IF(C18="","",IF(N(F18)=0,"Falta a população",IF(G18="","Falta o risco",IF(OR(H18="",H18&lt;1,H18&gt;J18),"Início deve ir de 1 a "&amp;J18,IF(K18="","Falta quantos foram verificados",IF(K18&gt;F18,"Verificados acima da população",IF(L18="","Falta quantos desvios",IF(L18&gt;K18,"Mais desvios que verificados","OK"))))))))</f>
        <v/>
      </c>
    </row>
    <row r="19" customFormat="false" ht="21.75" hidden="false" customHeight="true" outlineLevel="0" collapsed="false">
      <c r="B19" s="13" t="n">
        <v>8</v>
      </c>
      <c r="C19" s="5"/>
      <c r="D19" s="8"/>
      <c r="E19" s="5"/>
      <c r="F19" s="14"/>
      <c r="G19" s="8"/>
      <c r="H19" s="14"/>
      <c r="I19" s="15" t="str">
        <f aca="false">IF(OR(N(F19)=0,G19=""),"",IF(F19&lt;=5,F19,IFERROR(MIN(F19,MAX(3,ROUNDUP(IF(F19&lt;=20,5,IF(F19&lt;=50,8,IF(F19&lt;=100,10,IF(F19&lt;=500,15,20))))*IF(G19="Alto",1.5,IF(G19="Médio",1,IF(G19="Baixo",0.6,"")))-0.000000001,0))),"")))</f>
        <v/>
      </c>
      <c r="J19" s="16" t="str">
        <f aca="false">IF(I19="","",INT(F19/I19))</f>
        <v/>
      </c>
      <c r="K19" s="14"/>
      <c r="L19" s="14"/>
      <c r="M19" s="5"/>
      <c r="N19" s="17" t="str">
        <f aca="false">IF(OR(I19="",K19="",L19=""),"",IF(K19&lt;I19,"Amostra incompleta",IF(L19=0,"Conforme na amostra",IF(L19=1,"Desvio pontual: não conformidade, ampliar a amostra","Desvio repetido: não conformidade"))))</f>
        <v/>
      </c>
      <c r="O19" s="18" t="str">
        <f aca="false">IF(C19="","",IF(N(F19)=0,"Falta a população",IF(G19="","Falta o risco",IF(OR(H19="",H19&lt;1,H19&gt;J19),"Início deve ir de 1 a "&amp;J19,IF(K19="","Falta quantos foram verificados",IF(K19&gt;F19,"Verificados acima da população",IF(L19="","Falta quantos desvios",IF(L19&gt;K19,"Mais desvios que verificados","OK"))))))))</f>
        <v/>
      </c>
    </row>
    <row r="20" customFormat="false" ht="21.75" hidden="false" customHeight="true" outlineLevel="0" collapsed="false">
      <c r="B20" s="13" t="n">
        <v>9</v>
      </c>
      <c r="C20" s="5"/>
      <c r="D20" s="8"/>
      <c r="E20" s="5"/>
      <c r="F20" s="14"/>
      <c r="G20" s="8"/>
      <c r="H20" s="14"/>
      <c r="I20" s="15" t="str">
        <f aca="false">IF(OR(N(F20)=0,G20=""),"",IF(F20&lt;=5,F20,IFERROR(MIN(F20,MAX(3,ROUNDUP(IF(F20&lt;=20,5,IF(F20&lt;=50,8,IF(F20&lt;=100,10,IF(F20&lt;=500,15,20))))*IF(G20="Alto",1.5,IF(G20="Médio",1,IF(G20="Baixo",0.6,"")))-0.000000001,0))),"")))</f>
        <v/>
      </c>
      <c r="J20" s="16" t="str">
        <f aca="false">IF(I20="","",INT(F20/I20))</f>
        <v/>
      </c>
      <c r="K20" s="14"/>
      <c r="L20" s="14"/>
      <c r="M20" s="5"/>
      <c r="N20" s="17" t="str">
        <f aca="false">IF(OR(I20="",K20="",L20=""),"",IF(K20&lt;I20,"Amostra incompleta",IF(L20=0,"Conforme na amostra",IF(L20=1,"Desvio pontual: não conformidade, ampliar a amostra","Desvio repetido: não conformidade"))))</f>
        <v/>
      </c>
      <c r="O20" s="18" t="str">
        <f aca="false">IF(C20="","",IF(N(F20)=0,"Falta a população",IF(G20="","Falta o risco",IF(OR(H20="",H20&lt;1,H20&gt;J20),"Início deve ir de 1 a "&amp;J20,IF(K20="","Falta quantos foram verificados",IF(K20&gt;F20,"Verificados acima da população",IF(L20="","Falta quantos desvios",IF(L20&gt;K20,"Mais desvios que verificados","OK"))))))))</f>
        <v/>
      </c>
    </row>
    <row r="21" customFormat="false" ht="21.75" hidden="false" customHeight="true" outlineLevel="0" collapsed="false">
      <c r="B21" s="13" t="n">
        <v>10</v>
      </c>
      <c r="C21" s="5"/>
      <c r="D21" s="8"/>
      <c r="E21" s="5"/>
      <c r="F21" s="14"/>
      <c r="G21" s="8"/>
      <c r="H21" s="14"/>
      <c r="I21" s="15" t="str">
        <f aca="false">IF(OR(N(F21)=0,G21=""),"",IF(F21&lt;=5,F21,IFERROR(MIN(F21,MAX(3,ROUNDUP(IF(F21&lt;=20,5,IF(F21&lt;=50,8,IF(F21&lt;=100,10,IF(F21&lt;=500,15,20))))*IF(G21="Alto",1.5,IF(G21="Médio",1,IF(G21="Baixo",0.6,"")))-0.000000001,0))),"")))</f>
        <v/>
      </c>
      <c r="J21" s="16" t="str">
        <f aca="false">IF(I21="","",INT(F21/I21))</f>
        <v/>
      </c>
      <c r="K21" s="14"/>
      <c r="L21" s="14"/>
      <c r="M21" s="5"/>
      <c r="N21" s="17" t="str">
        <f aca="false">IF(OR(I21="",K21="",L21=""),"",IF(K21&lt;I21,"Amostra incompleta",IF(L21=0,"Conforme na amostra",IF(L21=1,"Desvio pontual: não conformidade, ampliar a amostra","Desvio repetido: não conformidade"))))</f>
        <v/>
      </c>
      <c r="O21" s="18" t="str">
        <f aca="false">IF(C21="","",IF(N(F21)=0,"Falta a população",IF(G21="","Falta o risco",IF(OR(H21="",H21&lt;1,H21&gt;J21),"Início deve ir de 1 a "&amp;J21,IF(K21="","Falta quantos foram verificados",IF(K21&gt;F21,"Verificados acima da população",IF(L21="","Falta quantos desvios",IF(L21&gt;K21,"Mais desvios que verificados","OK"))))))))</f>
        <v/>
      </c>
    </row>
    <row r="22" customFormat="false" ht="21.75" hidden="false" customHeight="true" outlineLevel="0" collapsed="false">
      <c r="B22" s="13" t="n">
        <v>11</v>
      </c>
      <c r="C22" s="5"/>
      <c r="D22" s="8"/>
      <c r="E22" s="5"/>
      <c r="F22" s="14"/>
      <c r="G22" s="8"/>
      <c r="H22" s="14"/>
      <c r="I22" s="15" t="str">
        <f aca="false">IF(OR(N(F22)=0,G22=""),"",IF(F22&lt;=5,F22,IFERROR(MIN(F22,MAX(3,ROUNDUP(IF(F22&lt;=20,5,IF(F22&lt;=50,8,IF(F22&lt;=100,10,IF(F22&lt;=500,15,20))))*IF(G22="Alto",1.5,IF(G22="Médio",1,IF(G22="Baixo",0.6,"")))-0.000000001,0))),"")))</f>
        <v/>
      </c>
      <c r="J22" s="16" t="str">
        <f aca="false">IF(I22="","",INT(F22/I22))</f>
        <v/>
      </c>
      <c r="K22" s="14"/>
      <c r="L22" s="14"/>
      <c r="M22" s="5"/>
      <c r="N22" s="17" t="str">
        <f aca="false">IF(OR(I22="",K22="",L22=""),"",IF(K22&lt;I22,"Amostra incompleta",IF(L22=0,"Conforme na amostra",IF(L22=1,"Desvio pontual: não conformidade, ampliar a amostra","Desvio repetido: não conformidade"))))</f>
        <v/>
      </c>
      <c r="O22" s="18" t="str">
        <f aca="false">IF(C22="","",IF(N(F22)=0,"Falta a população",IF(G22="","Falta o risco",IF(OR(H22="",H22&lt;1,H22&gt;J22),"Início deve ir de 1 a "&amp;J22,IF(K22="","Falta quantos foram verificados",IF(K22&gt;F22,"Verificados acima da população",IF(L22="","Falta quantos desvios",IF(L22&gt;K22,"Mais desvios que verificados","OK"))))))))</f>
        <v/>
      </c>
    </row>
    <row r="23" customFormat="false" ht="21.75" hidden="false" customHeight="true" outlineLevel="0" collapsed="false">
      <c r="B23" s="13" t="n">
        <v>12</v>
      </c>
      <c r="C23" s="5"/>
      <c r="D23" s="8"/>
      <c r="E23" s="5"/>
      <c r="F23" s="14"/>
      <c r="G23" s="8"/>
      <c r="H23" s="14"/>
      <c r="I23" s="15" t="str">
        <f aca="false">IF(OR(N(F23)=0,G23=""),"",IF(F23&lt;=5,F23,IFERROR(MIN(F23,MAX(3,ROUNDUP(IF(F23&lt;=20,5,IF(F23&lt;=50,8,IF(F23&lt;=100,10,IF(F23&lt;=500,15,20))))*IF(G23="Alto",1.5,IF(G23="Médio",1,IF(G23="Baixo",0.6,"")))-0.000000001,0))),"")))</f>
        <v/>
      </c>
      <c r="J23" s="16" t="str">
        <f aca="false">IF(I23="","",INT(F23/I23))</f>
        <v/>
      </c>
      <c r="K23" s="14"/>
      <c r="L23" s="14"/>
      <c r="M23" s="5"/>
      <c r="N23" s="17" t="str">
        <f aca="false">IF(OR(I23="",K23="",L23=""),"",IF(K23&lt;I23,"Amostra incompleta",IF(L23=0,"Conforme na amostra",IF(L23=1,"Desvio pontual: não conformidade, ampliar a amostra","Desvio repetido: não conformidade"))))</f>
        <v/>
      </c>
      <c r="O23" s="18" t="str">
        <f aca="false">IF(C23="","",IF(N(F23)=0,"Falta a população",IF(G23="","Falta o risco",IF(OR(H23="",H23&lt;1,H23&gt;J23),"Início deve ir de 1 a "&amp;J23,IF(K23="","Falta quantos foram verificados",IF(K23&gt;F23,"Verificados acima da população",IF(L23="","Falta quantos desvios",IF(L23&gt;K23,"Mais desvios que verificados","OK"))))))))</f>
        <v/>
      </c>
    </row>
    <row r="24" customFormat="false" ht="21.75" hidden="false" customHeight="true" outlineLevel="0" collapsed="false">
      <c r="B24" s="13" t="n">
        <v>13</v>
      </c>
      <c r="C24" s="5"/>
      <c r="D24" s="8"/>
      <c r="E24" s="5"/>
      <c r="F24" s="14"/>
      <c r="G24" s="8"/>
      <c r="H24" s="14"/>
      <c r="I24" s="15" t="str">
        <f aca="false">IF(OR(N(F24)=0,G24=""),"",IF(F24&lt;=5,F24,IFERROR(MIN(F24,MAX(3,ROUNDUP(IF(F24&lt;=20,5,IF(F24&lt;=50,8,IF(F24&lt;=100,10,IF(F24&lt;=500,15,20))))*IF(G24="Alto",1.5,IF(G24="Médio",1,IF(G24="Baixo",0.6,"")))-0.000000001,0))),"")))</f>
        <v/>
      </c>
      <c r="J24" s="16" t="str">
        <f aca="false">IF(I24="","",INT(F24/I24))</f>
        <v/>
      </c>
      <c r="K24" s="14"/>
      <c r="L24" s="14"/>
      <c r="M24" s="5"/>
      <c r="N24" s="17" t="str">
        <f aca="false">IF(OR(I24="",K24="",L24=""),"",IF(K24&lt;I24,"Amostra incompleta",IF(L24=0,"Conforme na amostra",IF(L24=1,"Desvio pontual: não conformidade, ampliar a amostra","Desvio repetido: não conformidade"))))</f>
        <v/>
      </c>
      <c r="O24" s="18" t="str">
        <f aca="false">IF(C24="","",IF(N(F24)=0,"Falta a população",IF(G24="","Falta o risco",IF(OR(H24="",H24&lt;1,H24&gt;J24),"Início deve ir de 1 a "&amp;J24,IF(K24="","Falta quantos foram verificados",IF(K24&gt;F24,"Verificados acima da população",IF(L24="","Falta quantos desvios",IF(L24&gt;K24,"Mais desvios que verificados","OK"))))))))</f>
        <v/>
      </c>
    </row>
    <row r="25" customFormat="false" ht="21.75" hidden="false" customHeight="true" outlineLevel="0" collapsed="false">
      <c r="B25" s="13" t="n">
        <v>14</v>
      </c>
      <c r="C25" s="5"/>
      <c r="D25" s="8"/>
      <c r="E25" s="5"/>
      <c r="F25" s="14"/>
      <c r="G25" s="8"/>
      <c r="H25" s="14"/>
      <c r="I25" s="15" t="str">
        <f aca="false">IF(OR(N(F25)=0,G25=""),"",IF(F25&lt;=5,F25,IFERROR(MIN(F25,MAX(3,ROUNDUP(IF(F25&lt;=20,5,IF(F25&lt;=50,8,IF(F25&lt;=100,10,IF(F25&lt;=500,15,20))))*IF(G25="Alto",1.5,IF(G25="Médio",1,IF(G25="Baixo",0.6,"")))-0.000000001,0))),"")))</f>
        <v/>
      </c>
      <c r="J25" s="16" t="str">
        <f aca="false">IF(I25="","",INT(F25/I25))</f>
        <v/>
      </c>
      <c r="K25" s="14"/>
      <c r="L25" s="14"/>
      <c r="M25" s="5"/>
      <c r="N25" s="17" t="str">
        <f aca="false">IF(OR(I25="",K25="",L25=""),"",IF(K25&lt;I25,"Amostra incompleta",IF(L25=0,"Conforme na amostra",IF(L25=1,"Desvio pontual: não conformidade, ampliar a amostra","Desvio repetido: não conformidade"))))</f>
        <v/>
      </c>
      <c r="O25" s="18" t="str">
        <f aca="false">IF(C25="","",IF(N(F25)=0,"Falta a população",IF(G25="","Falta o risco",IF(OR(H25="",H25&lt;1,H25&gt;J25),"Início deve ir de 1 a "&amp;J25,IF(K25="","Falta quantos foram verificados",IF(K25&gt;F25,"Verificados acima da população",IF(L25="","Falta quantos desvios",IF(L25&gt;K25,"Mais desvios que verificados","OK"))))))))</f>
        <v/>
      </c>
    </row>
    <row r="26" customFormat="false" ht="21.75" hidden="false" customHeight="true" outlineLevel="0" collapsed="false">
      <c r="B26" s="13" t="n">
        <v>15</v>
      </c>
      <c r="C26" s="5"/>
      <c r="D26" s="8"/>
      <c r="E26" s="5"/>
      <c r="F26" s="14"/>
      <c r="G26" s="8"/>
      <c r="H26" s="14"/>
      <c r="I26" s="15" t="str">
        <f aca="false">IF(OR(N(F26)=0,G26=""),"",IF(F26&lt;=5,F26,IFERROR(MIN(F26,MAX(3,ROUNDUP(IF(F26&lt;=20,5,IF(F26&lt;=50,8,IF(F26&lt;=100,10,IF(F26&lt;=500,15,20))))*IF(G26="Alto",1.5,IF(G26="Médio",1,IF(G26="Baixo",0.6,"")))-0.000000001,0))),"")))</f>
        <v/>
      </c>
      <c r="J26" s="16" t="str">
        <f aca="false">IF(I26="","",INT(F26/I26))</f>
        <v/>
      </c>
      <c r="K26" s="14"/>
      <c r="L26" s="14"/>
      <c r="M26" s="5"/>
      <c r="N26" s="17" t="str">
        <f aca="false">IF(OR(I26="",K26="",L26=""),"",IF(K26&lt;I26,"Amostra incompleta",IF(L26=0,"Conforme na amostra",IF(L26=1,"Desvio pontual: não conformidade, ampliar a amostra","Desvio repetido: não conformidade"))))</f>
        <v/>
      </c>
      <c r="O26" s="18" t="str">
        <f aca="false">IF(C26="","",IF(N(F26)=0,"Falta a população",IF(G26="","Falta o risco",IF(OR(H26="",H26&lt;1,H26&gt;J26),"Início deve ir de 1 a "&amp;J26,IF(K26="","Falta quantos foram verificados",IF(K26&gt;F26,"Verificados acima da população",IF(L26="","Falta quantos desvios",IF(L26&gt;K26,"Mais desvios que verificados","OK"))))))))</f>
        <v/>
      </c>
    </row>
    <row r="27" customFormat="false" ht="21.75" hidden="false" customHeight="true" outlineLevel="0" collapsed="false">
      <c r="B27" s="13" t="n">
        <v>16</v>
      </c>
      <c r="C27" s="5"/>
      <c r="D27" s="8"/>
      <c r="E27" s="5"/>
      <c r="F27" s="14"/>
      <c r="G27" s="8"/>
      <c r="H27" s="14"/>
      <c r="I27" s="15" t="str">
        <f aca="false">IF(OR(N(F27)=0,G27=""),"",IF(F27&lt;=5,F27,IFERROR(MIN(F27,MAX(3,ROUNDUP(IF(F27&lt;=20,5,IF(F27&lt;=50,8,IF(F27&lt;=100,10,IF(F27&lt;=500,15,20))))*IF(G27="Alto",1.5,IF(G27="Médio",1,IF(G27="Baixo",0.6,"")))-0.000000001,0))),"")))</f>
        <v/>
      </c>
      <c r="J27" s="16" t="str">
        <f aca="false">IF(I27="","",INT(F27/I27))</f>
        <v/>
      </c>
      <c r="K27" s="14"/>
      <c r="L27" s="14"/>
      <c r="M27" s="5"/>
      <c r="N27" s="17" t="str">
        <f aca="false">IF(OR(I27="",K27="",L27=""),"",IF(K27&lt;I27,"Amostra incompleta",IF(L27=0,"Conforme na amostra",IF(L27=1,"Desvio pontual: não conformidade, ampliar a amostra","Desvio repetido: não conformidade"))))</f>
        <v/>
      </c>
      <c r="O27" s="18" t="str">
        <f aca="false">IF(C27="","",IF(N(F27)=0,"Falta a população",IF(G27="","Falta o risco",IF(OR(H27="",H27&lt;1,H27&gt;J27),"Início deve ir de 1 a "&amp;J27,IF(K27="","Falta quantos foram verificados",IF(K27&gt;F27,"Verificados acima da população",IF(L27="","Falta quantos desvios",IF(L27&gt;K27,"Mais desvios que verificados","OK"))))))))</f>
        <v/>
      </c>
    </row>
    <row r="28" customFormat="false" ht="21.75" hidden="false" customHeight="true" outlineLevel="0" collapsed="false">
      <c r="B28" s="13" t="n">
        <v>17</v>
      </c>
      <c r="C28" s="5"/>
      <c r="D28" s="8"/>
      <c r="E28" s="5"/>
      <c r="F28" s="14"/>
      <c r="G28" s="8"/>
      <c r="H28" s="14"/>
      <c r="I28" s="15" t="str">
        <f aca="false">IF(OR(N(F28)=0,G28=""),"",IF(F28&lt;=5,F28,IFERROR(MIN(F28,MAX(3,ROUNDUP(IF(F28&lt;=20,5,IF(F28&lt;=50,8,IF(F28&lt;=100,10,IF(F28&lt;=500,15,20))))*IF(G28="Alto",1.5,IF(G28="Médio",1,IF(G28="Baixo",0.6,"")))-0.000000001,0))),"")))</f>
        <v/>
      </c>
      <c r="J28" s="16" t="str">
        <f aca="false">IF(I28="","",INT(F28/I28))</f>
        <v/>
      </c>
      <c r="K28" s="14"/>
      <c r="L28" s="14"/>
      <c r="M28" s="5"/>
      <c r="N28" s="17" t="str">
        <f aca="false">IF(OR(I28="",K28="",L28=""),"",IF(K28&lt;I28,"Amostra incompleta",IF(L28=0,"Conforme na amostra",IF(L28=1,"Desvio pontual: não conformidade, ampliar a amostra","Desvio repetido: não conformidade"))))</f>
        <v/>
      </c>
      <c r="O28" s="18" t="str">
        <f aca="false">IF(C28="","",IF(N(F28)=0,"Falta a população",IF(G28="","Falta o risco",IF(OR(H28="",H28&lt;1,H28&gt;J28),"Início deve ir de 1 a "&amp;J28,IF(K28="","Falta quantos foram verificados",IF(K28&gt;F28,"Verificados acima da população",IF(L28="","Falta quantos desvios",IF(L28&gt;K28,"Mais desvios que verificados","OK"))))))))</f>
        <v/>
      </c>
    </row>
    <row r="29" customFormat="false" ht="21.75" hidden="false" customHeight="true" outlineLevel="0" collapsed="false">
      <c r="B29" s="13" t="n">
        <v>18</v>
      </c>
      <c r="C29" s="5"/>
      <c r="D29" s="8"/>
      <c r="E29" s="5"/>
      <c r="F29" s="14"/>
      <c r="G29" s="8"/>
      <c r="H29" s="14"/>
      <c r="I29" s="15" t="str">
        <f aca="false">IF(OR(N(F29)=0,G29=""),"",IF(F29&lt;=5,F29,IFERROR(MIN(F29,MAX(3,ROUNDUP(IF(F29&lt;=20,5,IF(F29&lt;=50,8,IF(F29&lt;=100,10,IF(F29&lt;=500,15,20))))*IF(G29="Alto",1.5,IF(G29="Médio",1,IF(G29="Baixo",0.6,"")))-0.000000001,0))),"")))</f>
        <v/>
      </c>
      <c r="J29" s="16" t="str">
        <f aca="false">IF(I29="","",INT(F29/I29))</f>
        <v/>
      </c>
      <c r="K29" s="14"/>
      <c r="L29" s="14"/>
      <c r="M29" s="5"/>
      <c r="N29" s="17" t="str">
        <f aca="false">IF(OR(I29="",K29="",L29=""),"",IF(K29&lt;I29,"Amostra incompleta",IF(L29=0,"Conforme na amostra",IF(L29=1,"Desvio pontual: não conformidade, ampliar a amostra","Desvio repetido: não conformidade"))))</f>
        <v/>
      </c>
      <c r="O29" s="18" t="str">
        <f aca="false">IF(C29="","",IF(N(F29)=0,"Falta a população",IF(G29="","Falta o risco",IF(OR(H29="",H29&lt;1,H29&gt;J29),"Início deve ir de 1 a "&amp;J29,IF(K29="","Falta quantos foram verificados",IF(K29&gt;F29,"Verificados acima da população",IF(L29="","Falta quantos desvios",IF(L29&gt;K29,"Mais desvios que verificados","OK"))))))))</f>
        <v/>
      </c>
    </row>
    <row r="30" customFormat="false" ht="21.75" hidden="false" customHeight="true" outlineLevel="0" collapsed="false">
      <c r="B30" s="13" t="n">
        <v>19</v>
      </c>
      <c r="C30" s="5"/>
      <c r="D30" s="8"/>
      <c r="E30" s="5"/>
      <c r="F30" s="14"/>
      <c r="G30" s="8"/>
      <c r="H30" s="14"/>
      <c r="I30" s="15" t="str">
        <f aca="false">IF(OR(N(F30)=0,G30=""),"",IF(F30&lt;=5,F30,IFERROR(MIN(F30,MAX(3,ROUNDUP(IF(F30&lt;=20,5,IF(F30&lt;=50,8,IF(F30&lt;=100,10,IF(F30&lt;=500,15,20))))*IF(G30="Alto",1.5,IF(G30="Médio",1,IF(G30="Baixo",0.6,"")))-0.000000001,0))),"")))</f>
        <v/>
      </c>
      <c r="J30" s="16" t="str">
        <f aca="false">IF(I30="","",INT(F30/I30))</f>
        <v/>
      </c>
      <c r="K30" s="14"/>
      <c r="L30" s="14"/>
      <c r="M30" s="5"/>
      <c r="N30" s="17" t="str">
        <f aca="false">IF(OR(I30="",K30="",L30=""),"",IF(K30&lt;I30,"Amostra incompleta",IF(L30=0,"Conforme na amostra",IF(L30=1,"Desvio pontual: não conformidade, ampliar a amostra","Desvio repetido: não conformidade"))))</f>
        <v/>
      </c>
      <c r="O30" s="18" t="str">
        <f aca="false">IF(C30="","",IF(N(F30)=0,"Falta a população",IF(G30="","Falta o risco",IF(OR(H30="",H30&lt;1,H30&gt;J30),"Início deve ir de 1 a "&amp;J30,IF(K30="","Falta quantos foram verificados",IF(K30&gt;F30,"Verificados acima da população",IF(L30="","Falta quantos desvios",IF(L30&gt;K30,"Mais desvios que verificados","OK"))))))))</f>
        <v/>
      </c>
    </row>
    <row r="31" customFormat="false" ht="21.75" hidden="false" customHeight="true" outlineLevel="0" collapsed="false">
      <c r="B31" s="13" t="n">
        <v>20</v>
      </c>
      <c r="C31" s="5"/>
      <c r="D31" s="8"/>
      <c r="E31" s="5"/>
      <c r="F31" s="14"/>
      <c r="G31" s="8"/>
      <c r="H31" s="14"/>
      <c r="I31" s="15" t="str">
        <f aca="false">IF(OR(N(F31)=0,G31=""),"",IF(F31&lt;=5,F31,IFERROR(MIN(F31,MAX(3,ROUNDUP(IF(F31&lt;=20,5,IF(F31&lt;=50,8,IF(F31&lt;=100,10,IF(F31&lt;=500,15,20))))*IF(G31="Alto",1.5,IF(G31="Médio",1,IF(G31="Baixo",0.6,"")))-0.000000001,0))),"")))</f>
        <v/>
      </c>
      <c r="J31" s="16" t="str">
        <f aca="false">IF(I31="","",INT(F31/I31))</f>
        <v/>
      </c>
      <c r="K31" s="14"/>
      <c r="L31" s="14"/>
      <c r="M31" s="5"/>
      <c r="N31" s="17" t="str">
        <f aca="false">IF(OR(I31="",K31="",L31=""),"",IF(K31&lt;I31,"Amostra incompleta",IF(L31=0,"Conforme na amostra",IF(L31=1,"Desvio pontual: não conformidade, ampliar a amostra","Desvio repetido: não conformidade"))))</f>
        <v/>
      </c>
      <c r="O31" s="18" t="str">
        <f aca="false">IF(C31="","",IF(N(F31)=0,"Falta a população",IF(G31="","Falta o risco",IF(OR(H31="",H31&lt;1,H31&gt;J31),"Início deve ir de 1 a "&amp;J31,IF(K31="","Falta quantos foram verificados",IF(K31&gt;F31,"Verificados acima da população",IF(L31="","Falta quantos desvios",IF(L31&gt;K31,"Mais desvios que verificados","OK"))))))))</f>
        <v/>
      </c>
    </row>
    <row r="32" customFormat="false" ht="21.75" hidden="false" customHeight="true" outlineLevel="0" collapsed="false">
      <c r="B32" s="13" t="n">
        <v>21</v>
      </c>
      <c r="C32" s="5"/>
      <c r="D32" s="8"/>
      <c r="E32" s="5"/>
      <c r="F32" s="14"/>
      <c r="G32" s="8"/>
      <c r="H32" s="14"/>
      <c r="I32" s="15" t="str">
        <f aca="false">IF(OR(N(F32)=0,G32=""),"",IF(F32&lt;=5,F32,IFERROR(MIN(F32,MAX(3,ROUNDUP(IF(F32&lt;=20,5,IF(F32&lt;=50,8,IF(F32&lt;=100,10,IF(F32&lt;=500,15,20))))*IF(G32="Alto",1.5,IF(G32="Médio",1,IF(G32="Baixo",0.6,"")))-0.000000001,0))),"")))</f>
        <v/>
      </c>
      <c r="J32" s="16" t="str">
        <f aca="false">IF(I32="","",INT(F32/I32))</f>
        <v/>
      </c>
      <c r="K32" s="14"/>
      <c r="L32" s="14"/>
      <c r="M32" s="5"/>
      <c r="N32" s="17" t="str">
        <f aca="false">IF(OR(I32="",K32="",L32=""),"",IF(K32&lt;I32,"Amostra incompleta",IF(L32=0,"Conforme na amostra",IF(L32=1,"Desvio pontual: não conformidade, ampliar a amostra","Desvio repetido: não conformidade"))))</f>
        <v/>
      </c>
      <c r="O32" s="18" t="str">
        <f aca="false">IF(C32="","",IF(N(F32)=0,"Falta a população",IF(G32="","Falta o risco",IF(OR(H32="",H32&lt;1,H32&gt;J32),"Início deve ir de 1 a "&amp;J32,IF(K32="","Falta quantos foram verificados",IF(K32&gt;F32,"Verificados acima da população",IF(L32="","Falta quantos desvios",IF(L32&gt;K32,"Mais desvios que verificados","OK"))))))))</f>
        <v/>
      </c>
    </row>
    <row r="33" customFormat="false" ht="21.75" hidden="false" customHeight="true" outlineLevel="0" collapsed="false">
      <c r="B33" s="13" t="n">
        <v>22</v>
      </c>
      <c r="C33" s="5"/>
      <c r="D33" s="8"/>
      <c r="E33" s="5"/>
      <c r="F33" s="14"/>
      <c r="G33" s="8"/>
      <c r="H33" s="14"/>
      <c r="I33" s="15" t="str">
        <f aca="false">IF(OR(N(F33)=0,G33=""),"",IF(F33&lt;=5,F33,IFERROR(MIN(F33,MAX(3,ROUNDUP(IF(F33&lt;=20,5,IF(F33&lt;=50,8,IF(F33&lt;=100,10,IF(F33&lt;=500,15,20))))*IF(G33="Alto",1.5,IF(G33="Médio",1,IF(G33="Baixo",0.6,"")))-0.000000001,0))),"")))</f>
        <v/>
      </c>
      <c r="J33" s="16" t="str">
        <f aca="false">IF(I33="","",INT(F33/I33))</f>
        <v/>
      </c>
      <c r="K33" s="14"/>
      <c r="L33" s="14"/>
      <c r="M33" s="5"/>
      <c r="N33" s="17" t="str">
        <f aca="false">IF(OR(I33="",K33="",L33=""),"",IF(K33&lt;I33,"Amostra incompleta",IF(L33=0,"Conforme na amostra",IF(L33=1,"Desvio pontual: não conformidade, ampliar a amostra","Desvio repetido: não conformidade"))))</f>
        <v/>
      </c>
      <c r="O33" s="18" t="str">
        <f aca="false">IF(C33="","",IF(N(F33)=0,"Falta a população",IF(G33="","Falta o risco",IF(OR(H33="",H33&lt;1,H33&gt;J33),"Início deve ir de 1 a "&amp;J33,IF(K33="","Falta quantos foram verificados",IF(K33&gt;F33,"Verificados acima da população",IF(L33="","Falta quantos desvios",IF(L33&gt;K33,"Mais desvios que verificados","OK"))))))))</f>
        <v/>
      </c>
    </row>
    <row r="34" customFormat="false" ht="21.75" hidden="false" customHeight="true" outlineLevel="0" collapsed="false">
      <c r="B34" s="13" t="n">
        <v>23</v>
      </c>
      <c r="C34" s="5"/>
      <c r="D34" s="8"/>
      <c r="E34" s="5"/>
      <c r="F34" s="14"/>
      <c r="G34" s="8"/>
      <c r="H34" s="14"/>
      <c r="I34" s="15" t="str">
        <f aca="false">IF(OR(N(F34)=0,G34=""),"",IF(F34&lt;=5,F34,IFERROR(MIN(F34,MAX(3,ROUNDUP(IF(F34&lt;=20,5,IF(F34&lt;=50,8,IF(F34&lt;=100,10,IF(F34&lt;=500,15,20))))*IF(G34="Alto",1.5,IF(G34="Médio",1,IF(G34="Baixo",0.6,"")))-0.000000001,0))),"")))</f>
        <v/>
      </c>
      <c r="J34" s="16" t="str">
        <f aca="false">IF(I34="","",INT(F34/I34))</f>
        <v/>
      </c>
      <c r="K34" s="14"/>
      <c r="L34" s="14"/>
      <c r="M34" s="5"/>
      <c r="N34" s="17" t="str">
        <f aca="false">IF(OR(I34="",K34="",L34=""),"",IF(K34&lt;I34,"Amostra incompleta",IF(L34=0,"Conforme na amostra",IF(L34=1,"Desvio pontual: não conformidade, ampliar a amostra","Desvio repetido: não conformidade"))))</f>
        <v/>
      </c>
      <c r="O34" s="18" t="str">
        <f aca="false">IF(C34="","",IF(N(F34)=0,"Falta a população",IF(G34="","Falta o risco",IF(OR(H34="",H34&lt;1,H34&gt;J34),"Início deve ir de 1 a "&amp;J34,IF(K34="","Falta quantos foram verificados",IF(K34&gt;F34,"Verificados acima da população",IF(L34="","Falta quantos desvios",IF(L34&gt;K34,"Mais desvios que verificados","OK"))))))))</f>
        <v/>
      </c>
    </row>
    <row r="35" customFormat="false" ht="21.75" hidden="false" customHeight="true" outlineLevel="0" collapsed="false">
      <c r="B35" s="13" t="n">
        <v>24</v>
      </c>
      <c r="C35" s="5"/>
      <c r="D35" s="8"/>
      <c r="E35" s="5"/>
      <c r="F35" s="14"/>
      <c r="G35" s="8"/>
      <c r="H35" s="14"/>
      <c r="I35" s="15" t="str">
        <f aca="false">IF(OR(N(F35)=0,G35=""),"",IF(F35&lt;=5,F35,IFERROR(MIN(F35,MAX(3,ROUNDUP(IF(F35&lt;=20,5,IF(F35&lt;=50,8,IF(F35&lt;=100,10,IF(F35&lt;=500,15,20))))*IF(G35="Alto",1.5,IF(G35="Médio",1,IF(G35="Baixo",0.6,"")))-0.000000001,0))),"")))</f>
        <v/>
      </c>
      <c r="J35" s="16" t="str">
        <f aca="false">IF(I35="","",INT(F35/I35))</f>
        <v/>
      </c>
      <c r="K35" s="14"/>
      <c r="L35" s="14"/>
      <c r="M35" s="5"/>
      <c r="N35" s="17" t="str">
        <f aca="false">IF(OR(I35="",K35="",L35=""),"",IF(K35&lt;I35,"Amostra incompleta",IF(L35=0,"Conforme na amostra",IF(L35=1,"Desvio pontual: não conformidade, ampliar a amostra","Desvio repetido: não conformidade"))))</f>
        <v/>
      </c>
      <c r="O35" s="18" t="str">
        <f aca="false">IF(C35="","",IF(N(F35)=0,"Falta a população",IF(G35="","Falta o risco",IF(OR(H35="",H35&lt;1,H35&gt;J35),"Início deve ir de 1 a "&amp;J35,IF(K35="","Falta quantos foram verificados",IF(K35&gt;F35,"Verificados acima da população",IF(L35="","Falta quantos desvios",IF(L35&gt;K35,"Mais desvios que verificados","OK"))))))))</f>
        <v/>
      </c>
    </row>
    <row r="36" customFormat="false" ht="21.75" hidden="false" customHeight="true" outlineLevel="0" collapsed="false">
      <c r="B36" s="13" t="n">
        <v>25</v>
      </c>
      <c r="C36" s="5"/>
      <c r="D36" s="8"/>
      <c r="E36" s="5"/>
      <c r="F36" s="14"/>
      <c r="G36" s="8"/>
      <c r="H36" s="14"/>
      <c r="I36" s="15" t="str">
        <f aca="false">IF(OR(N(F36)=0,G36=""),"",IF(F36&lt;=5,F36,IFERROR(MIN(F36,MAX(3,ROUNDUP(IF(F36&lt;=20,5,IF(F36&lt;=50,8,IF(F36&lt;=100,10,IF(F36&lt;=500,15,20))))*IF(G36="Alto",1.5,IF(G36="Médio",1,IF(G36="Baixo",0.6,"")))-0.000000001,0))),"")))</f>
        <v/>
      </c>
      <c r="J36" s="16" t="str">
        <f aca="false">IF(I36="","",INT(F36/I36))</f>
        <v/>
      </c>
      <c r="K36" s="14"/>
      <c r="L36" s="14"/>
      <c r="M36" s="5"/>
      <c r="N36" s="17" t="str">
        <f aca="false">IF(OR(I36="",K36="",L36=""),"",IF(K36&lt;I36,"Amostra incompleta",IF(L36=0,"Conforme na amostra",IF(L36=1,"Desvio pontual: não conformidade, ampliar a amostra","Desvio repetido: não conformidade"))))</f>
        <v/>
      </c>
      <c r="O36" s="18" t="str">
        <f aca="false">IF(C36="","",IF(N(F36)=0,"Falta a população",IF(G36="","Falta o risco",IF(OR(H36="",H36&lt;1,H36&gt;J36),"Início deve ir de 1 a "&amp;J36,IF(K36="","Falta quantos foram verificados",IF(K36&gt;F36,"Verificados acima da população",IF(L36="","Falta quantos desvios",IF(L36&gt;K36,"Mais desvios que verificados","OK"))))))))</f>
        <v/>
      </c>
    </row>
    <row r="37" customFormat="false" ht="21.75" hidden="false" customHeight="true" outlineLevel="0" collapsed="false">
      <c r="B37" s="13" t="n">
        <v>26</v>
      </c>
      <c r="C37" s="5"/>
      <c r="D37" s="8"/>
      <c r="E37" s="5"/>
      <c r="F37" s="14"/>
      <c r="G37" s="8"/>
      <c r="H37" s="14"/>
      <c r="I37" s="15" t="str">
        <f aca="false">IF(OR(N(F37)=0,G37=""),"",IF(F37&lt;=5,F37,IFERROR(MIN(F37,MAX(3,ROUNDUP(IF(F37&lt;=20,5,IF(F37&lt;=50,8,IF(F37&lt;=100,10,IF(F37&lt;=500,15,20))))*IF(G37="Alto",1.5,IF(G37="Médio",1,IF(G37="Baixo",0.6,"")))-0.000000001,0))),"")))</f>
        <v/>
      </c>
      <c r="J37" s="16" t="str">
        <f aca="false">IF(I37="","",INT(F37/I37))</f>
        <v/>
      </c>
      <c r="K37" s="14"/>
      <c r="L37" s="14"/>
      <c r="M37" s="5"/>
      <c r="N37" s="17" t="str">
        <f aca="false">IF(OR(I37="",K37="",L37=""),"",IF(K37&lt;I37,"Amostra incompleta",IF(L37=0,"Conforme na amostra",IF(L37=1,"Desvio pontual: não conformidade, ampliar a amostra","Desvio repetido: não conformidade"))))</f>
        <v/>
      </c>
      <c r="O37" s="18" t="str">
        <f aca="false">IF(C37="","",IF(N(F37)=0,"Falta a população",IF(G37="","Falta o risco",IF(OR(H37="",H37&lt;1,H37&gt;J37),"Início deve ir de 1 a "&amp;J37,IF(K37="","Falta quantos foram verificados",IF(K37&gt;F37,"Verificados acima da população",IF(L37="","Falta quantos desvios",IF(L37&gt;K37,"Mais desvios que verificados","OK"))))))))</f>
        <v/>
      </c>
    </row>
    <row r="38" customFormat="false" ht="21.75" hidden="false" customHeight="true" outlineLevel="0" collapsed="false">
      <c r="B38" s="13" t="n">
        <v>27</v>
      </c>
      <c r="C38" s="5"/>
      <c r="D38" s="8"/>
      <c r="E38" s="5"/>
      <c r="F38" s="14"/>
      <c r="G38" s="8"/>
      <c r="H38" s="14"/>
      <c r="I38" s="15" t="str">
        <f aca="false">IF(OR(N(F38)=0,G38=""),"",IF(F38&lt;=5,F38,IFERROR(MIN(F38,MAX(3,ROUNDUP(IF(F38&lt;=20,5,IF(F38&lt;=50,8,IF(F38&lt;=100,10,IF(F38&lt;=500,15,20))))*IF(G38="Alto",1.5,IF(G38="Médio",1,IF(G38="Baixo",0.6,"")))-0.000000001,0))),"")))</f>
        <v/>
      </c>
      <c r="J38" s="16" t="str">
        <f aca="false">IF(I38="","",INT(F38/I38))</f>
        <v/>
      </c>
      <c r="K38" s="14"/>
      <c r="L38" s="14"/>
      <c r="M38" s="5"/>
      <c r="N38" s="17" t="str">
        <f aca="false">IF(OR(I38="",K38="",L38=""),"",IF(K38&lt;I38,"Amostra incompleta",IF(L38=0,"Conforme na amostra",IF(L38=1,"Desvio pontual: não conformidade, ampliar a amostra","Desvio repetido: não conformidade"))))</f>
        <v/>
      </c>
      <c r="O38" s="18" t="str">
        <f aca="false">IF(C38="","",IF(N(F38)=0,"Falta a população",IF(G38="","Falta o risco",IF(OR(H38="",H38&lt;1,H38&gt;J38),"Início deve ir de 1 a "&amp;J38,IF(K38="","Falta quantos foram verificados",IF(K38&gt;F38,"Verificados acima da população",IF(L38="","Falta quantos desvios",IF(L38&gt;K38,"Mais desvios que verificados","OK"))))))))</f>
        <v/>
      </c>
    </row>
    <row r="39" customFormat="false" ht="21.75" hidden="false" customHeight="true" outlineLevel="0" collapsed="false">
      <c r="B39" s="13" t="n">
        <v>28</v>
      </c>
      <c r="C39" s="5"/>
      <c r="D39" s="8"/>
      <c r="E39" s="5"/>
      <c r="F39" s="14"/>
      <c r="G39" s="8"/>
      <c r="H39" s="14"/>
      <c r="I39" s="15" t="str">
        <f aca="false">IF(OR(N(F39)=0,G39=""),"",IF(F39&lt;=5,F39,IFERROR(MIN(F39,MAX(3,ROUNDUP(IF(F39&lt;=20,5,IF(F39&lt;=50,8,IF(F39&lt;=100,10,IF(F39&lt;=500,15,20))))*IF(G39="Alto",1.5,IF(G39="Médio",1,IF(G39="Baixo",0.6,"")))-0.000000001,0))),"")))</f>
        <v/>
      </c>
      <c r="J39" s="16" t="str">
        <f aca="false">IF(I39="","",INT(F39/I39))</f>
        <v/>
      </c>
      <c r="K39" s="14"/>
      <c r="L39" s="14"/>
      <c r="M39" s="5"/>
      <c r="N39" s="17" t="str">
        <f aca="false">IF(OR(I39="",K39="",L39=""),"",IF(K39&lt;I39,"Amostra incompleta",IF(L39=0,"Conforme na amostra",IF(L39=1,"Desvio pontual: não conformidade, ampliar a amostra","Desvio repetido: não conformidade"))))</f>
        <v/>
      </c>
      <c r="O39" s="18" t="str">
        <f aca="false">IF(C39="","",IF(N(F39)=0,"Falta a população",IF(G39="","Falta o risco",IF(OR(H39="",H39&lt;1,H39&gt;J39),"Início deve ir de 1 a "&amp;J39,IF(K39="","Falta quantos foram verificados",IF(K39&gt;F39,"Verificados acima da população",IF(L39="","Falta quantos desvios",IF(L39&gt;K39,"Mais desvios que verificados","OK"))))))))</f>
        <v/>
      </c>
    </row>
    <row r="40" customFormat="false" ht="21.75" hidden="false" customHeight="true" outlineLevel="0" collapsed="false">
      <c r="B40" s="13" t="n">
        <v>29</v>
      </c>
      <c r="C40" s="5"/>
      <c r="D40" s="8"/>
      <c r="E40" s="5"/>
      <c r="F40" s="14"/>
      <c r="G40" s="8"/>
      <c r="H40" s="14"/>
      <c r="I40" s="15" t="str">
        <f aca="false">IF(OR(N(F40)=0,G40=""),"",IF(F40&lt;=5,F40,IFERROR(MIN(F40,MAX(3,ROUNDUP(IF(F40&lt;=20,5,IF(F40&lt;=50,8,IF(F40&lt;=100,10,IF(F40&lt;=500,15,20))))*IF(G40="Alto",1.5,IF(G40="Médio",1,IF(G40="Baixo",0.6,"")))-0.000000001,0))),"")))</f>
        <v/>
      </c>
      <c r="J40" s="16" t="str">
        <f aca="false">IF(I40="","",INT(F40/I40))</f>
        <v/>
      </c>
      <c r="K40" s="14"/>
      <c r="L40" s="14"/>
      <c r="M40" s="5"/>
      <c r="N40" s="17" t="str">
        <f aca="false">IF(OR(I40="",K40="",L40=""),"",IF(K40&lt;I40,"Amostra incompleta",IF(L40=0,"Conforme na amostra",IF(L40=1,"Desvio pontual: não conformidade, ampliar a amostra","Desvio repetido: não conformidade"))))</f>
        <v/>
      </c>
      <c r="O40" s="18" t="str">
        <f aca="false">IF(C40="","",IF(N(F40)=0,"Falta a população",IF(G40="","Falta o risco",IF(OR(H40="",H40&lt;1,H40&gt;J40),"Início deve ir de 1 a "&amp;J40,IF(K40="","Falta quantos foram verificados",IF(K40&gt;F40,"Verificados acima da população",IF(L40="","Falta quantos desvios",IF(L40&gt;K40,"Mais desvios que verificados","OK"))))))))</f>
        <v/>
      </c>
    </row>
    <row r="41" customFormat="false" ht="21.75" hidden="false" customHeight="true" outlineLevel="0" collapsed="false">
      <c r="B41" s="13" t="n">
        <v>30</v>
      </c>
      <c r="C41" s="5"/>
      <c r="D41" s="8"/>
      <c r="E41" s="5"/>
      <c r="F41" s="14"/>
      <c r="G41" s="8"/>
      <c r="H41" s="14"/>
      <c r="I41" s="15" t="str">
        <f aca="false">IF(OR(N(F41)=0,G41=""),"",IF(F41&lt;=5,F41,IFERROR(MIN(F41,MAX(3,ROUNDUP(IF(F41&lt;=20,5,IF(F41&lt;=50,8,IF(F41&lt;=100,10,IF(F41&lt;=500,15,20))))*IF(G41="Alto",1.5,IF(G41="Médio",1,IF(G41="Baixo",0.6,"")))-0.000000001,0))),"")))</f>
        <v/>
      </c>
      <c r="J41" s="16" t="str">
        <f aca="false">IF(I41="","",INT(F41/I41))</f>
        <v/>
      </c>
      <c r="K41" s="14"/>
      <c r="L41" s="14"/>
      <c r="M41" s="5"/>
      <c r="N41" s="17" t="str">
        <f aca="false">IF(OR(I41="",K41="",L41=""),"",IF(K41&lt;I41,"Amostra incompleta",IF(L41=0,"Conforme na amostra",IF(L41=1,"Desvio pontual: não conformidade, ampliar a amostra","Desvio repetido: não conformidade"))))</f>
        <v/>
      </c>
      <c r="O41" s="18" t="str">
        <f aca="false">IF(C41="","",IF(N(F41)=0,"Falta a população",IF(G41="","Falta o risco",IF(OR(H41="",H41&lt;1,H41&gt;J41),"Início deve ir de 1 a "&amp;J41,IF(K41="","Falta quantos foram verificados",IF(K41&gt;F41,"Verificados acima da população",IF(L41="","Falta quantos desvios",IF(L41&gt;K41,"Mais desvios que verificados","OK"))))))))</f>
        <v/>
      </c>
    </row>
    <row r="43" customFormat="false" ht="21.75" hidden="false" customHeight="true" outlineLevel="0" collapsed="false">
      <c r="B43" s="19" t="s">
        <v>111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customFormat="false" ht="21.75" hidden="false" customHeight="true" outlineLevel="0" collapsed="false">
      <c r="B44" s="20" t="s">
        <v>57</v>
      </c>
      <c r="C44" s="20"/>
      <c r="D44" s="20"/>
      <c r="E44" s="21" t="str">
        <f aca="false">COUNTA(C12:C41)&amp;" amostras, "&amp;SUM(K12:K41)&amp;" registros verificados, "&amp;SUM(L12:L41)&amp;" desvios"</f>
        <v>0 amostras, 0 registros verificados, 0 desvios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customFormat="false" ht="21.75" hidden="false" customHeight="true" outlineLevel="0" collapsed="false">
      <c r="B45" s="20" t="s">
        <v>112</v>
      </c>
      <c r="C45" s="20"/>
      <c r="D45" s="20"/>
      <c r="E45" s="21" t="str">
        <f aca="false">COUNTIF(N12:N41,"Conforme na amostra")&amp;" conforme na amostra"&amp;", "&amp;COUNTIF(N12:N41,"Desvio pontual: não conformidade, ampliar a amostra")&amp;" desvio pontual: não conformidade, ampliar a amostra"&amp;", "&amp;COUNTIF(N12:N41,"Desvio repetido: não conformidade")&amp;" desvio repetido: não conformidade"&amp;", "&amp;COUNTIF(N12:N41,"Amostra incompleta")&amp;" amostra incompleta"</f>
        <v>0 conforme na amostra, 0 desvio pontual: não conformidade, ampliar a amostra, 0 desvio repetido: não conformidade, 0 amostra incompleta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customFormat="false" ht="21.75" hidden="false" customHeight="true" outlineLevel="0" collapsed="false">
      <c r="B46" s="20" t="s">
        <v>113</v>
      </c>
      <c r="C46" s="20"/>
      <c r="D46" s="20"/>
      <c r="E46" s="22" t="str">
        <f aca="false">IF(COUNTA(C12:C41)=0,"Liste as amostras da auditoria",IF(COUNTIF(N12:N41,"Desvio pontual: não conformidade, ampliar a amostra")&gt;0,"Há desvio pontual: amplie a amostra para medir a extensão",IF(COUNTIF(N12:N41,"Amostra incompleta")&gt;0,"Há amostra incompleta: complete ou registre por quê",IF(SUMPRODUCT((O12:O41&lt;&gt;"")*(O12:O41&lt;&gt;"OK"))&gt;0,"Há amostra a completar: veja a coluna Conferência","OK"))))</f>
        <v>Liste as amostras da auditoria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</row>
  </sheetData>
  <mergeCells count="17">
    <mergeCell ref="B1:O1"/>
    <mergeCell ref="B2:O2"/>
    <mergeCell ref="B4:C4"/>
    <mergeCell ref="D4:G4"/>
    <mergeCell ref="B5:C5"/>
    <mergeCell ref="D5:G5"/>
    <mergeCell ref="B6:C6"/>
    <mergeCell ref="D6:G6"/>
    <mergeCell ref="B7:C7"/>
    <mergeCell ref="D7:G7"/>
    <mergeCell ref="B43:O43"/>
    <mergeCell ref="B44:D44"/>
    <mergeCell ref="E44:O44"/>
    <mergeCell ref="B45:D45"/>
    <mergeCell ref="E45:O45"/>
    <mergeCell ref="B46:D46"/>
    <mergeCell ref="E46:O46"/>
  </mergeCells>
  <conditionalFormatting sqref="N12:N41">
    <cfRule type="expression" priority="2" aboveAverage="0" equalAverage="0" bottom="0" percent="0" rank="0" text="" dxfId="0">
      <formula>N12="Conforme na amostra"</formula>
    </cfRule>
    <cfRule type="expression" priority="3" aboveAverage="0" equalAverage="0" bottom="0" percent="0" rank="0" text="" dxfId="1">
      <formula>N12="Desvio pontual: não conformidade, ampliar a amostra"</formula>
    </cfRule>
    <cfRule type="expression" priority="4" aboveAverage="0" equalAverage="0" bottom="0" percent="0" rank="0" text="" dxfId="1">
      <formula>N12="Amostra incompleta"</formula>
    </cfRule>
    <cfRule type="expression" priority="5" aboveAverage="0" equalAverage="0" bottom="0" percent="0" rank="0" text="" dxfId="2">
      <formula>N12="Desvio repetido: não conformidade"</formula>
    </cfRule>
  </conditionalFormatting>
  <conditionalFormatting sqref="O12:O41">
    <cfRule type="expression" priority="6" aboveAverage="0" equalAverage="0" bottom="0" percent="0" rank="0" text="" dxfId="0">
      <formula>OR(O12="OK")</formula>
    </cfRule>
    <cfRule type="expression" priority="7" aboveAverage="0" equalAverage="0" bottom="0" percent="0" rank="0" text="" dxfId="3">
      <formula>AND(LEN(O12)&gt;0,NOT(OR(O12="OK")))</formula>
    </cfRule>
  </conditionalFormatting>
  <conditionalFormatting sqref="E46:O46">
    <cfRule type="expression" priority="8" aboveAverage="0" equalAverage="0" bottom="0" percent="0" rank="0" text="" dxfId="0">
      <formula>OR(E46="OK")</formula>
    </cfRule>
    <cfRule type="expression" priority="9" aboveAverage="0" equalAverage="0" bottom="0" percent="0" rank="0" text="" dxfId="3">
      <formula>AND(LEN(E46)&gt;0,NOT(OR(E46="OK")))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Escolha uma das opções da lista." errorStyle="stop" errorTitle="Valor inválido" operator="between" prompt="Alto, médio ou baixo: o quanto um desvio nesse registro afeta o produto ou o cliente" promptTitle="Opções" showDropDown="false" showErrorMessage="true" showInputMessage="true" sqref="G12:G41" type="list">
      <formula1>"Alto,Médio,Baixo"</formula1>
      <formula2>0</formula2>
    </dataValidation>
    <dataValidation allowBlank="true" error="Digite quantos registros existem na população." errorStyle="stop" errorTitle="Valor inválido" operator="between" showDropDown="false" showErrorMessage="true" showInputMessage="false" sqref="F12:F41" type="whole">
      <formula1>1</formula1>
      <formula2>1000000000</formula2>
    </dataValidation>
    <dataValidation allowBlank="true" error="Digite o número sorteado, entre 1 e o passo." errorStyle="stop" errorTitle="Valor inválido" operator="between" showDropDown="false" showErrorMessage="true" showInputMessage="false" sqref="H12:H41" type="whole">
      <formula1>1</formula1>
      <formula2>1000000</formula2>
    </dataValidation>
    <dataValidation allowBlank="true" error="Digite um número inteiro." errorStyle="stop" errorTitle="Valor inválido" operator="between" showDropDown="false" showErrorMessage="true" showInputMessage="false" sqref="K12:L41" type="whole">
      <formula1>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K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6" min="5" style="0" width="30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114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33" hidden="false" customHeight="true" outlineLevel="0" collapsed="false">
      <c r="B4" s="10" t="s">
        <v>82</v>
      </c>
      <c r="C4" s="10" t="s">
        <v>115</v>
      </c>
      <c r="D4" s="10" t="s">
        <v>84</v>
      </c>
      <c r="E4" s="10" t="s">
        <v>116</v>
      </c>
      <c r="F4" s="10" t="s">
        <v>93</v>
      </c>
      <c r="G4" s="10" t="s">
        <v>117</v>
      </c>
      <c r="H4" s="10" t="s">
        <v>118</v>
      </c>
      <c r="I4" s="10" t="s">
        <v>119</v>
      </c>
      <c r="J4" s="10" t="s">
        <v>120</v>
      </c>
      <c r="K4" s="10" t="s">
        <v>95</v>
      </c>
    </row>
    <row r="5" customFormat="false" ht="30" hidden="false" customHeight="true" outlineLevel="0" collapsed="false">
      <c r="B5" s="11"/>
      <c r="C5" s="11" t="s">
        <v>121</v>
      </c>
      <c r="D5" s="11" t="s">
        <v>122</v>
      </c>
      <c r="E5" s="11" t="s">
        <v>123</v>
      </c>
      <c r="F5" s="11" t="s">
        <v>124</v>
      </c>
      <c r="G5" s="11" t="s">
        <v>125</v>
      </c>
      <c r="H5" s="11" t="s">
        <v>99</v>
      </c>
      <c r="I5" s="11" t="s">
        <v>102</v>
      </c>
      <c r="J5" s="11" t="s">
        <v>101</v>
      </c>
      <c r="K5" s="11" t="s">
        <v>101</v>
      </c>
    </row>
    <row r="6" customFormat="false" ht="30" hidden="false" customHeight="true" outlineLevel="0" collapsed="false">
      <c r="B6" s="11" t="s">
        <v>105</v>
      </c>
      <c r="C6" s="12" t="s">
        <v>126</v>
      </c>
      <c r="D6" s="11" t="s">
        <v>107</v>
      </c>
      <c r="E6" s="12" t="s">
        <v>127</v>
      </c>
      <c r="F6" s="12" t="s">
        <v>128</v>
      </c>
      <c r="G6" s="12" t="s">
        <v>129</v>
      </c>
      <c r="H6" s="11" t="s">
        <v>130</v>
      </c>
      <c r="I6" s="11" t="n">
        <v>3</v>
      </c>
      <c r="J6" s="11" t="s">
        <v>131</v>
      </c>
      <c r="K6" s="11" t="s">
        <v>110</v>
      </c>
    </row>
    <row r="7" customFormat="false" ht="30" hidden="false" customHeight="true" outlineLevel="0" collapsed="false">
      <c r="B7" s="13" t="n">
        <v>1</v>
      </c>
      <c r="C7" s="5"/>
      <c r="D7" s="8"/>
      <c r="E7" s="5"/>
      <c r="F7" s="5"/>
      <c r="G7" s="5"/>
      <c r="H7" s="8"/>
      <c r="I7" s="15" t="str">
        <f aca="false">IF(AND(C7="",D7=""),"",COUNTA(E7:G7))</f>
        <v/>
      </c>
      <c r="J7" s="17" t="str">
        <f aca="false">IF(N(I7)=0,"",IF(I7&gt;=2,"Forte",IF(OR(F7&lt;&gt;"",G7&lt;&gt;""),"Média","Fraca")))</f>
        <v/>
      </c>
      <c r="K7" s="18" t="str">
        <f aca="false">IF(AND(C7="",D7="",COUNTA(E7:H7)=0),"",IF(D7="","Falta o requisito",IF(C7="","Falta a pergunta",IF(N(I7)=0,"Falta a evidência",IF(H7="","Falta a constatação",IF(AND(H7="Não conformidade",J7="Fraca"),"Não conformidade sem evidência objetiva","OK"))))))</f>
        <v/>
      </c>
    </row>
    <row r="8" customFormat="false" ht="30" hidden="false" customHeight="true" outlineLevel="0" collapsed="false">
      <c r="B8" s="13" t="n">
        <v>2</v>
      </c>
      <c r="C8" s="5"/>
      <c r="D8" s="8"/>
      <c r="E8" s="5"/>
      <c r="F8" s="5"/>
      <c r="G8" s="5"/>
      <c r="H8" s="8"/>
      <c r="I8" s="15" t="str">
        <f aca="false">IF(AND(C8="",D8=""),"",COUNTA(E8:G8))</f>
        <v/>
      </c>
      <c r="J8" s="17" t="str">
        <f aca="false">IF(N(I8)=0,"",IF(I8&gt;=2,"Forte",IF(OR(F8&lt;&gt;"",G8&lt;&gt;""),"Média","Fraca")))</f>
        <v/>
      </c>
      <c r="K8" s="18" t="str">
        <f aca="false">IF(AND(C8="",D8="",COUNTA(E8:H8)=0),"",IF(D8="","Falta o requisito",IF(C8="","Falta a pergunta",IF(N(I8)=0,"Falta a evidência",IF(H8="","Falta a constatação",IF(AND(H8="Não conformidade",J8="Fraca"),"Não conformidade sem evidência objetiva","OK"))))))</f>
        <v/>
      </c>
    </row>
    <row r="9" customFormat="false" ht="30" hidden="false" customHeight="true" outlineLevel="0" collapsed="false">
      <c r="B9" s="13" t="n">
        <v>3</v>
      </c>
      <c r="C9" s="5"/>
      <c r="D9" s="8"/>
      <c r="E9" s="5"/>
      <c r="F9" s="5"/>
      <c r="G9" s="5"/>
      <c r="H9" s="8"/>
      <c r="I9" s="15" t="str">
        <f aca="false">IF(AND(C9="",D9=""),"",COUNTA(E9:G9))</f>
        <v/>
      </c>
      <c r="J9" s="17" t="str">
        <f aca="false">IF(N(I9)=0,"",IF(I9&gt;=2,"Forte",IF(OR(F9&lt;&gt;"",G9&lt;&gt;""),"Média","Fraca")))</f>
        <v/>
      </c>
      <c r="K9" s="18" t="str">
        <f aca="false">IF(AND(C9="",D9="",COUNTA(E9:H9)=0),"",IF(D9="","Falta o requisito",IF(C9="","Falta a pergunta",IF(N(I9)=0,"Falta a evidência",IF(H9="","Falta a constatação",IF(AND(H9="Não conformidade",J9="Fraca"),"Não conformidade sem evidência objetiva","OK"))))))</f>
        <v/>
      </c>
    </row>
    <row r="10" customFormat="false" ht="30" hidden="false" customHeight="true" outlineLevel="0" collapsed="false">
      <c r="B10" s="13" t="n">
        <v>4</v>
      </c>
      <c r="C10" s="5"/>
      <c r="D10" s="8"/>
      <c r="E10" s="5"/>
      <c r="F10" s="5"/>
      <c r="G10" s="5"/>
      <c r="H10" s="8"/>
      <c r="I10" s="15" t="str">
        <f aca="false">IF(AND(C10="",D10=""),"",COUNTA(E10:G10))</f>
        <v/>
      </c>
      <c r="J10" s="17" t="str">
        <f aca="false">IF(N(I10)=0,"",IF(I10&gt;=2,"Forte",IF(OR(F10&lt;&gt;"",G10&lt;&gt;""),"Média","Fraca")))</f>
        <v/>
      </c>
      <c r="K10" s="18" t="str">
        <f aca="false">IF(AND(C10="",D10="",COUNTA(E10:H10)=0),"",IF(D10="","Falta o requisito",IF(C10="","Falta a pergunta",IF(N(I10)=0,"Falta a evidência",IF(H10="","Falta a constatação",IF(AND(H10="Não conformidade",J10="Fraca"),"Não conformidade sem evidência objetiva","OK"))))))</f>
        <v/>
      </c>
    </row>
    <row r="11" customFormat="false" ht="30" hidden="false" customHeight="true" outlineLevel="0" collapsed="false">
      <c r="B11" s="13" t="n">
        <v>5</v>
      </c>
      <c r="C11" s="5"/>
      <c r="D11" s="8"/>
      <c r="E11" s="5"/>
      <c r="F11" s="5"/>
      <c r="G11" s="5"/>
      <c r="H11" s="8"/>
      <c r="I11" s="15" t="str">
        <f aca="false">IF(AND(C11="",D11=""),"",COUNTA(E11:G11))</f>
        <v/>
      </c>
      <c r="J11" s="17" t="str">
        <f aca="false">IF(N(I11)=0,"",IF(I11&gt;=2,"Forte",IF(OR(F11&lt;&gt;"",G11&lt;&gt;""),"Média","Fraca")))</f>
        <v/>
      </c>
      <c r="K11" s="18" t="str">
        <f aca="false">IF(AND(C11="",D11="",COUNTA(E11:H11)=0),"",IF(D11="","Falta o requisito",IF(C11="","Falta a pergunta",IF(N(I11)=0,"Falta a evidência",IF(H11="","Falta a constatação",IF(AND(H11="Não conformidade",J11="Fraca"),"Não conformidade sem evidência objetiva","OK"))))))</f>
        <v/>
      </c>
    </row>
    <row r="12" customFormat="false" ht="30" hidden="false" customHeight="true" outlineLevel="0" collapsed="false">
      <c r="B12" s="13" t="n">
        <v>6</v>
      </c>
      <c r="C12" s="5"/>
      <c r="D12" s="8"/>
      <c r="E12" s="5"/>
      <c r="F12" s="5"/>
      <c r="G12" s="5"/>
      <c r="H12" s="8"/>
      <c r="I12" s="15" t="str">
        <f aca="false">IF(AND(C12="",D12=""),"",COUNTA(E12:G12))</f>
        <v/>
      </c>
      <c r="J12" s="17" t="str">
        <f aca="false">IF(N(I12)=0,"",IF(I12&gt;=2,"Forte",IF(OR(F12&lt;&gt;"",G12&lt;&gt;""),"Média","Fraca")))</f>
        <v/>
      </c>
      <c r="K12" s="18" t="str">
        <f aca="false">IF(AND(C12="",D12="",COUNTA(E12:H12)=0),"",IF(D12="","Falta o requisito",IF(C12="","Falta a pergunta",IF(N(I12)=0,"Falta a evidência",IF(H12="","Falta a constatação",IF(AND(H12="Não conformidade",J12="Fraca"),"Não conformidade sem evidência objetiva","OK"))))))</f>
        <v/>
      </c>
    </row>
    <row r="13" customFormat="false" ht="30" hidden="false" customHeight="true" outlineLevel="0" collapsed="false">
      <c r="B13" s="13" t="n">
        <v>7</v>
      </c>
      <c r="C13" s="5"/>
      <c r="D13" s="8"/>
      <c r="E13" s="5"/>
      <c r="F13" s="5"/>
      <c r="G13" s="5"/>
      <c r="H13" s="8"/>
      <c r="I13" s="15" t="str">
        <f aca="false">IF(AND(C13="",D13=""),"",COUNTA(E13:G13))</f>
        <v/>
      </c>
      <c r="J13" s="17" t="str">
        <f aca="false">IF(N(I13)=0,"",IF(I13&gt;=2,"Forte",IF(OR(F13&lt;&gt;"",G13&lt;&gt;""),"Média","Fraca")))</f>
        <v/>
      </c>
      <c r="K13" s="18" t="str">
        <f aca="false">IF(AND(C13="",D13="",COUNTA(E13:H13)=0),"",IF(D13="","Falta o requisito",IF(C13="","Falta a pergunta",IF(N(I13)=0,"Falta a evidência",IF(H13="","Falta a constatação",IF(AND(H13="Não conformidade",J13="Fraca"),"Não conformidade sem evidência objetiva","OK"))))))</f>
        <v/>
      </c>
    </row>
    <row r="14" customFormat="false" ht="30" hidden="false" customHeight="true" outlineLevel="0" collapsed="false">
      <c r="B14" s="13" t="n">
        <v>8</v>
      </c>
      <c r="C14" s="5"/>
      <c r="D14" s="8"/>
      <c r="E14" s="5"/>
      <c r="F14" s="5"/>
      <c r="G14" s="5"/>
      <c r="H14" s="8"/>
      <c r="I14" s="15" t="str">
        <f aca="false">IF(AND(C14="",D14=""),"",COUNTA(E14:G14))</f>
        <v/>
      </c>
      <c r="J14" s="17" t="str">
        <f aca="false">IF(N(I14)=0,"",IF(I14&gt;=2,"Forte",IF(OR(F14&lt;&gt;"",G14&lt;&gt;""),"Média","Fraca")))</f>
        <v/>
      </c>
      <c r="K14" s="18" t="str">
        <f aca="false">IF(AND(C14="",D14="",COUNTA(E14:H14)=0),"",IF(D14="","Falta o requisito",IF(C14="","Falta a pergunta",IF(N(I14)=0,"Falta a evidência",IF(H14="","Falta a constatação",IF(AND(H14="Não conformidade",J14="Fraca"),"Não conformidade sem evidência objetiva","OK"))))))</f>
        <v/>
      </c>
    </row>
    <row r="15" customFormat="false" ht="30" hidden="false" customHeight="true" outlineLevel="0" collapsed="false">
      <c r="B15" s="13" t="n">
        <v>9</v>
      </c>
      <c r="C15" s="5"/>
      <c r="D15" s="8"/>
      <c r="E15" s="5"/>
      <c r="F15" s="5"/>
      <c r="G15" s="5"/>
      <c r="H15" s="8"/>
      <c r="I15" s="15" t="str">
        <f aca="false">IF(AND(C15="",D15=""),"",COUNTA(E15:G15))</f>
        <v/>
      </c>
      <c r="J15" s="17" t="str">
        <f aca="false">IF(N(I15)=0,"",IF(I15&gt;=2,"Forte",IF(OR(F15&lt;&gt;"",G15&lt;&gt;""),"Média","Fraca")))</f>
        <v/>
      </c>
      <c r="K15" s="18" t="str">
        <f aca="false">IF(AND(C15="",D15="",COUNTA(E15:H15)=0),"",IF(D15="","Falta o requisito",IF(C15="","Falta a pergunta",IF(N(I15)=0,"Falta a evidência",IF(H15="","Falta a constatação",IF(AND(H15="Não conformidade",J15="Fraca"),"Não conformidade sem evidência objetiva","OK"))))))</f>
        <v/>
      </c>
    </row>
    <row r="16" customFormat="false" ht="30" hidden="false" customHeight="true" outlineLevel="0" collapsed="false">
      <c r="B16" s="13" t="n">
        <v>10</v>
      </c>
      <c r="C16" s="5"/>
      <c r="D16" s="8"/>
      <c r="E16" s="5"/>
      <c r="F16" s="5"/>
      <c r="G16" s="5"/>
      <c r="H16" s="8"/>
      <c r="I16" s="15" t="str">
        <f aca="false">IF(AND(C16="",D16=""),"",COUNTA(E16:G16))</f>
        <v/>
      </c>
      <c r="J16" s="17" t="str">
        <f aca="false">IF(N(I16)=0,"",IF(I16&gt;=2,"Forte",IF(OR(F16&lt;&gt;"",G16&lt;&gt;""),"Média","Fraca")))</f>
        <v/>
      </c>
      <c r="K16" s="18" t="str">
        <f aca="false">IF(AND(C16="",D16="",COUNTA(E16:H16)=0),"",IF(D16="","Falta o requisito",IF(C16="","Falta a pergunta",IF(N(I16)=0,"Falta a evidência",IF(H16="","Falta a constatação",IF(AND(H16="Não conformidade",J16="Fraca"),"Não conformidade sem evidência objetiva","OK"))))))</f>
        <v/>
      </c>
    </row>
    <row r="17" customFormat="false" ht="30" hidden="false" customHeight="true" outlineLevel="0" collapsed="false">
      <c r="B17" s="13" t="n">
        <v>11</v>
      </c>
      <c r="C17" s="5"/>
      <c r="D17" s="8"/>
      <c r="E17" s="5"/>
      <c r="F17" s="5"/>
      <c r="G17" s="5"/>
      <c r="H17" s="8"/>
      <c r="I17" s="15" t="str">
        <f aca="false">IF(AND(C17="",D17=""),"",COUNTA(E17:G17))</f>
        <v/>
      </c>
      <c r="J17" s="17" t="str">
        <f aca="false">IF(N(I17)=0,"",IF(I17&gt;=2,"Forte",IF(OR(F17&lt;&gt;"",G17&lt;&gt;""),"Média","Fraca")))</f>
        <v/>
      </c>
      <c r="K17" s="18" t="str">
        <f aca="false">IF(AND(C17="",D17="",COUNTA(E17:H17)=0),"",IF(D17="","Falta o requisito",IF(C17="","Falta a pergunta",IF(N(I17)=0,"Falta a evidência",IF(H17="","Falta a constatação",IF(AND(H17="Não conformidade",J17="Fraca"),"Não conformidade sem evidência objetiva","OK"))))))</f>
        <v/>
      </c>
    </row>
    <row r="18" customFormat="false" ht="30" hidden="false" customHeight="true" outlineLevel="0" collapsed="false">
      <c r="B18" s="13" t="n">
        <v>12</v>
      </c>
      <c r="C18" s="5"/>
      <c r="D18" s="8"/>
      <c r="E18" s="5"/>
      <c r="F18" s="5"/>
      <c r="G18" s="5"/>
      <c r="H18" s="8"/>
      <c r="I18" s="15" t="str">
        <f aca="false">IF(AND(C18="",D18=""),"",COUNTA(E18:G18))</f>
        <v/>
      </c>
      <c r="J18" s="17" t="str">
        <f aca="false">IF(N(I18)=0,"",IF(I18&gt;=2,"Forte",IF(OR(F18&lt;&gt;"",G18&lt;&gt;""),"Média","Fraca")))</f>
        <v/>
      </c>
      <c r="K18" s="18" t="str">
        <f aca="false">IF(AND(C18="",D18="",COUNTA(E18:H18)=0),"",IF(D18="","Falta o requisito",IF(C18="","Falta a pergunta",IF(N(I18)=0,"Falta a evidência",IF(H18="","Falta a constatação",IF(AND(H18="Não conformidade",J18="Fraca"),"Não conformidade sem evidência objetiva","OK"))))))</f>
        <v/>
      </c>
    </row>
    <row r="19" customFormat="false" ht="30" hidden="false" customHeight="true" outlineLevel="0" collapsed="false">
      <c r="B19" s="13" t="n">
        <v>13</v>
      </c>
      <c r="C19" s="5"/>
      <c r="D19" s="8"/>
      <c r="E19" s="5"/>
      <c r="F19" s="5"/>
      <c r="G19" s="5"/>
      <c r="H19" s="8"/>
      <c r="I19" s="15" t="str">
        <f aca="false">IF(AND(C19="",D19=""),"",COUNTA(E19:G19))</f>
        <v/>
      </c>
      <c r="J19" s="17" t="str">
        <f aca="false">IF(N(I19)=0,"",IF(I19&gt;=2,"Forte",IF(OR(F19&lt;&gt;"",G19&lt;&gt;""),"Média","Fraca")))</f>
        <v/>
      </c>
      <c r="K19" s="18" t="str">
        <f aca="false">IF(AND(C19="",D19="",COUNTA(E19:H19)=0),"",IF(D19="","Falta o requisito",IF(C19="","Falta a pergunta",IF(N(I19)=0,"Falta a evidência",IF(H19="","Falta a constatação",IF(AND(H19="Não conformidade",J19="Fraca"),"Não conformidade sem evidência objetiva","OK"))))))</f>
        <v/>
      </c>
    </row>
    <row r="20" customFormat="false" ht="30" hidden="false" customHeight="true" outlineLevel="0" collapsed="false">
      <c r="B20" s="13" t="n">
        <v>14</v>
      </c>
      <c r="C20" s="5"/>
      <c r="D20" s="8"/>
      <c r="E20" s="5"/>
      <c r="F20" s="5"/>
      <c r="G20" s="5"/>
      <c r="H20" s="8"/>
      <c r="I20" s="15" t="str">
        <f aca="false">IF(AND(C20="",D20=""),"",COUNTA(E20:G20))</f>
        <v/>
      </c>
      <c r="J20" s="17" t="str">
        <f aca="false">IF(N(I20)=0,"",IF(I20&gt;=2,"Forte",IF(OR(F20&lt;&gt;"",G20&lt;&gt;""),"Média","Fraca")))</f>
        <v/>
      </c>
      <c r="K20" s="18" t="str">
        <f aca="false">IF(AND(C20="",D20="",COUNTA(E20:H20)=0),"",IF(D20="","Falta o requisito",IF(C20="","Falta a pergunta",IF(N(I20)=0,"Falta a evidência",IF(H20="","Falta a constatação",IF(AND(H20="Não conformidade",J20="Fraca"),"Não conformidade sem evidência objetiva","OK"))))))</f>
        <v/>
      </c>
    </row>
    <row r="21" customFormat="false" ht="30" hidden="false" customHeight="true" outlineLevel="0" collapsed="false">
      <c r="B21" s="13" t="n">
        <v>15</v>
      </c>
      <c r="C21" s="5"/>
      <c r="D21" s="8"/>
      <c r="E21" s="5"/>
      <c r="F21" s="5"/>
      <c r="G21" s="5"/>
      <c r="H21" s="8"/>
      <c r="I21" s="15" t="str">
        <f aca="false">IF(AND(C21="",D21=""),"",COUNTA(E21:G21))</f>
        <v/>
      </c>
      <c r="J21" s="17" t="str">
        <f aca="false">IF(N(I21)=0,"",IF(I21&gt;=2,"Forte",IF(OR(F21&lt;&gt;"",G21&lt;&gt;""),"Média","Fraca")))</f>
        <v/>
      </c>
      <c r="K21" s="18" t="str">
        <f aca="false">IF(AND(C21="",D21="",COUNTA(E21:H21)=0),"",IF(D21="","Falta o requisito",IF(C21="","Falta a pergunta",IF(N(I21)=0,"Falta a evidência",IF(H21="","Falta a constatação",IF(AND(H21="Não conformidade",J21="Fraca"),"Não conformidade sem evidência objetiva","OK"))))))</f>
        <v/>
      </c>
    </row>
    <row r="22" customFormat="false" ht="30" hidden="false" customHeight="true" outlineLevel="0" collapsed="false">
      <c r="B22" s="13" t="n">
        <v>16</v>
      </c>
      <c r="C22" s="5"/>
      <c r="D22" s="8"/>
      <c r="E22" s="5"/>
      <c r="F22" s="5"/>
      <c r="G22" s="5"/>
      <c r="H22" s="8"/>
      <c r="I22" s="15" t="str">
        <f aca="false">IF(AND(C22="",D22=""),"",COUNTA(E22:G22))</f>
        <v/>
      </c>
      <c r="J22" s="17" t="str">
        <f aca="false">IF(N(I22)=0,"",IF(I22&gt;=2,"Forte",IF(OR(F22&lt;&gt;"",G22&lt;&gt;""),"Média","Fraca")))</f>
        <v/>
      </c>
      <c r="K22" s="18" t="str">
        <f aca="false">IF(AND(C22="",D22="",COUNTA(E22:H22)=0),"",IF(D22="","Falta o requisito",IF(C22="","Falta a pergunta",IF(N(I22)=0,"Falta a evidência",IF(H22="","Falta a constatação",IF(AND(H22="Não conformidade",J22="Fraca"),"Não conformidade sem evidência objetiva","OK"))))))</f>
        <v/>
      </c>
    </row>
    <row r="23" customFormat="false" ht="30" hidden="false" customHeight="true" outlineLevel="0" collapsed="false">
      <c r="B23" s="13" t="n">
        <v>17</v>
      </c>
      <c r="C23" s="5"/>
      <c r="D23" s="8"/>
      <c r="E23" s="5"/>
      <c r="F23" s="5"/>
      <c r="G23" s="5"/>
      <c r="H23" s="8"/>
      <c r="I23" s="15" t="str">
        <f aca="false">IF(AND(C23="",D23=""),"",COUNTA(E23:G23))</f>
        <v/>
      </c>
      <c r="J23" s="17" t="str">
        <f aca="false">IF(N(I23)=0,"",IF(I23&gt;=2,"Forte",IF(OR(F23&lt;&gt;"",G23&lt;&gt;""),"Média","Fraca")))</f>
        <v/>
      </c>
      <c r="K23" s="18" t="str">
        <f aca="false">IF(AND(C23="",D23="",COUNTA(E23:H23)=0),"",IF(D23="","Falta o requisito",IF(C23="","Falta a pergunta",IF(N(I23)=0,"Falta a evidência",IF(H23="","Falta a constatação",IF(AND(H23="Não conformidade",J23="Fraca"),"Não conformidade sem evidência objetiva","OK"))))))</f>
        <v/>
      </c>
    </row>
    <row r="24" customFormat="false" ht="30" hidden="false" customHeight="true" outlineLevel="0" collapsed="false">
      <c r="B24" s="13" t="n">
        <v>18</v>
      </c>
      <c r="C24" s="5"/>
      <c r="D24" s="8"/>
      <c r="E24" s="5"/>
      <c r="F24" s="5"/>
      <c r="G24" s="5"/>
      <c r="H24" s="8"/>
      <c r="I24" s="15" t="str">
        <f aca="false">IF(AND(C24="",D24=""),"",COUNTA(E24:G24))</f>
        <v/>
      </c>
      <c r="J24" s="17" t="str">
        <f aca="false">IF(N(I24)=0,"",IF(I24&gt;=2,"Forte",IF(OR(F24&lt;&gt;"",G24&lt;&gt;""),"Média","Fraca")))</f>
        <v/>
      </c>
      <c r="K24" s="18" t="str">
        <f aca="false">IF(AND(C24="",D24="",COUNTA(E24:H24)=0),"",IF(D24="","Falta o requisito",IF(C24="","Falta a pergunta",IF(N(I24)=0,"Falta a evidência",IF(H24="","Falta a constatação",IF(AND(H24="Não conformidade",J24="Fraca"),"Não conformidade sem evidência objetiva","OK"))))))</f>
        <v/>
      </c>
    </row>
    <row r="25" customFormat="false" ht="30" hidden="false" customHeight="true" outlineLevel="0" collapsed="false">
      <c r="B25" s="13" t="n">
        <v>19</v>
      </c>
      <c r="C25" s="5"/>
      <c r="D25" s="8"/>
      <c r="E25" s="5"/>
      <c r="F25" s="5"/>
      <c r="G25" s="5"/>
      <c r="H25" s="8"/>
      <c r="I25" s="15" t="str">
        <f aca="false">IF(AND(C25="",D25=""),"",COUNTA(E25:G25))</f>
        <v/>
      </c>
      <c r="J25" s="17" t="str">
        <f aca="false">IF(N(I25)=0,"",IF(I25&gt;=2,"Forte",IF(OR(F25&lt;&gt;"",G25&lt;&gt;""),"Média","Fraca")))</f>
        <v/>
      </c>
      <c r="K25" s="18" t="str">
        <f aca="false">IF(AND(C25="",D25="",COUNTA(E25:H25)=0),"",IF(D25="","Falta o requisito",IF(C25="","Falta a pergunta",IF(N(I25)=0,"Falta a evidência",IF(H25="","Falta a constatação",IF(AND(H25="Não conformidade",J25="Fraca"),"Não conformidade sem evidência objetiva","OK"))))))</f>
        <v/>
      </c>
    </row>
    <row r="26" customFormat="false" ht="30" hidden="false" customHeight="true" outlineLevel="0" collapsed="false">
      <c r="B26" s="13" t="n">
        <v>20</v>
      </c>
      <c r="C26" s="5"/>
      <c r="D26" s="8"/>
      <c r="E26" s="5"/>
      <c r="F26" s="5"/>
      <c r="G26" s="5"/>
      <c r="H26" s="8"/>
      <c r="I26" s="15" t="str">
        <f aca="false">IF(AND(C26="",D26=""),"",COUNTA(E26:G26))</f>
        <v/>
      </c>
      <c r="J26" s="17" t="str">
        <f aca="false">IF(N(I26)=0,"",IF(I26&gt;=2,"Forte",IF(OR(F26&lt;&gt;"",G26&lt;&gt;""),"Média","Fraca")))</f>
        <v/>
      </c>
      <c r="K26" s="18" t="str">
        <f aca="false">IF(AND(C26="",D26="",COUNTA(E26:H26)=0),"",IF(D26="","Falta o requisito",IF(C26="","Falta a pergunta",IF(N(I26)=0,"Falta a evidência",IF(H26="","Falta a constatação",IF(AND(H26="Não conformidade",J26="Fraca"),"Não conformidade sem evidência objetiva","OK"))))))</f>
        <v/>
      </c>
    </row>
    <row r="27" customFormat="false" ht="30" hidden="false" customHeight="true" outlineLevel="0" collapsed="false">
      <c r="B27" s="13" t="n">
        <v>21</v>
      </c>
      <c r="C27" s="5"/>
      <c r="D27" s="8"/>
      <c r="E27" s="5"/>
      <c r="F27" s="5"/>
      <c r="G27" s="5"/>
      <c r="H27" s="8"/>
      <c r="I27" s="15" t="str">
        <f aca="false">IF(AND(C27="",D27=""),"",COUNTA(E27:G27))</f>
        <v/>
      </c>
      <c r="J27" s="17" t="str">
        <f aca="false">IF(N(I27)=0,"",IF(I27&gt;=2,"Forte",IF(OR(F27&lt;&gt;"",G27&lt;&gt;""),"Média","Fraca")))</f>
        <v/>
      </c>
      <c r="K27" s="18" t="str">
        <f aca="false">IF(AND(C27="",D27="",COUNTA(E27:H27)=0),"",IF(D27="","Falta o requisito",IF(C27="","Falta a pergunta",IF(N(I27)=0,"Falta a evidência",IF(H27="","Falta a constatação",IF(AND(H27="Não conformidade",J27="Fraca"),"Não conformidade sem evidência objetiva","OK"))))))</f>
        <v/>
      </c>
    </row>
    <row r="28" customFormat="false" ht="30" hidden="false" customHeight="true" outlineLevel="0" collapsed="false">
      <c r="B28" s="13" t="n">
        <v>22</v>
      </c>
      <c r="C28" s="5"/>
      <c r="D28" s="8"/>
      <c r="E28" s="5"/>
      <c r="F28" s="5"/>
      <c r="G28" s="5"/>
      <c r="H28" s="8"/>
      <c r="I28" s="15" t="str">
        <f aca="false">IF(AND(C28="",D28=""),"",COUNTA(E28:G28))</f>
        <v/>
      </c>
      <c r="J28" s="17" t="str">
        <f aca="false">IF(N(I28)=0,"",IF(I28&gt;=2,"Forte",IF(OR(F28&lt;&gt;"",G28&lt;&gt;""),"Média","Fraca")))</f>
        <v/>
      </c>
      <c r="K28" s="18" t="str">
        <f aca="false">IF(AND(C28="",D28="",COUNTA(E28:H28)=0),"",IF(D28="","Falta o requisito",IF(C28="","Falta a pergunta",IF(N(I28)=0,"Falta a evidência",IF(H28="","Falta a constatação",IF(AND(H28="Não conformidade",J28="Fraca"),"Não conformidade sem evidência objetiva","OK"))))))</f>
        <v/>
      </c>
    </row>
    <row r="29" customFormat="false" ht="30" hidden="false" customHeight="true" outlineLevel="0" collapsed="false">
      <c r="B29" s="13" t="n">
        <v>23</v>
      </c>
      <c r="C29" s="5"/>
      <c r="D29" s="8"/>
      <c r="E29" s="5"/>
      <c r="F29" s="5"/>
      <c r="G29" s="5"/>
      <c r="H29" s="8"/>
      <c r="I29" s="15" t="str">
        <f aca="false">IF(AND(C29="",D29=""),"",COUNTA(E29:G29))</f>
        <v/>
      </c>
      <c r="J29" s="17" t="str">
        <f aca="false">IF(N(I29)=0,"",IF(I29&gt;=2,"Forte",IF(OR(F29&lt;&gt;"",G29&lt;&gt;""),"Média","Fraca")))</f>
        <v/>
      </c>
      <c r="K29" s="18" t="str">
        <f aca="false">IF(AND(C29="",D29="",COUNTA(E29:H29)=0),"",IF(D29="","Falta o requisito",IF(C29="","Falta a pergunta",IF(N(I29)=0,"Falta a evidência",IF(H29="","Falta a constatação",IF(AND(H29="Não conformidade",J29="Fraca"),"Não conformidade sem evidência objetiva","OK"))))))</f>
        <v/>
      </c>
    </row>
    <row r="30" customFormat="false" ht="30" hidden="false" customHeight="true" outlineLevel="0" collapsed="false">
      <c r="B30" s="13" t="n">
        <v>24</v>
      </c>
      <c r="C30" s="5"/>
      <c r="D30" s="8"/>
      <c r="E30" s="5"/>
      <c r="F30" s="5"/>
      <c r="G30" s="5"/>
      <c r="H30" s="8"/>
      <c r="I30" s="15" t="str">
        <f aca="false">IF(AND(C30="",D30=""),"",COUNTA(E30:G30))</f>
        <v/>
      </c>
      <c r="J30" s="17" t="str">
        <f aca="false">IF(N(I30)=0,"",IF(I30&gt;=2,"Forte",IF(OR(F30&lt;&gt;"",G30&lt;&gt;""),"Média","Fraca")))</f>
        <v/>
      </c>
      <c r="K30" s="18" t="str">
        <f aca="false">IF(AND(C30="",D30="",COUNTA(E30:H30)=0),"",IF(D30="","Falta o requisito",IF(C30="","Falta a pergunta",IF(N(I30)=0,"Falta a evidência",IF(H30="","Falta a constatação",IF(AND(H30="Não conformidade",J30="Fraca"),"Não conformidade sem evidência objetiva","OK"))))))</f>
        <v/>
      </c>
    </row>
    <row r="31" customFormat="false" ht="30" hidden="false" customHeight="true" outlineLevel="0" collapsed="false">
      <c r="B31" s="13" t="n">
        <v>25</v>
      </c>
      <c r="C31" s="5"/>
      <c r="D31" s="8"/>
      <c r="E31" s="5"/>
      <c r="F31" s="5"/>
      <c r="G31" s="5"/>
      <c r="H31" s="8"/>
      <c r="I31" s="15" t="str">
        <f aca="false">IF(AND(C31="",D31=""),"",COUNTA(E31:G31))</f>
        <v/>
      </c>
      <c r="J31" s="17" t="str">
        <f aca="false">IF(N(I31)=0,"",IF(I31&gt;=2,"Forte",IF(OR(F31&lt;&gt;"",G31&lt;&gt;""),"Média","Fraca")))</f>
        <v/>
      </c>
      <c r="K31" s="18" t="str">
        <f aca="false">IF(AND(C31="",D31="",COUNTA(E31:H31)=0),"",IF(D31="","Falta o requisito",IF(C31="","Falta a pergunta",IF(N(I31)=0,"Falta a evidência",IF(H31="","Falta a constatação",IF(AND(H31="Não conformidade",J31="Fraca"),"Não conformidade sem evidência objetiva","OK"))))))</f>
        <v/>
      </c>
    </row>
    <row r="32" customFormat="false" ht="30" hidden="false" customHeight="true" outlineLevel="0" collapsed="false">
      <c r="B32" s="13" t="n">
        <v>26</v>
      </c>
      <c r="C32" s="5"/>
      <c r="D32" s="8"/>
      <c r="E32" s="5"/>
      <c r="F32" s="5"/>
      <c r="G32" s="5"/>
      <c r="H32" s="8"/>
      <c r="I32" s="15" t="str">
        <f aca="false">IF(AND(C32="",D32=""),"",COUNTA(E32:G32))</f>
        <v/>
      </c>
      <c r="J32" s="17" t="str">
        <f aca="false">IF(N(I32)=0,"",IF(I32&gt;=2,"Forte",IF(OR(F32&lt;&gt;"",G32&lt;&gt;""),"Média","Fraca")))</f>
        <v/>
      </c>
      <c r="K32" s="18" t="str">
        <f aca="false">IF(AND(C32="",D32="",COUNTA(E32:H32)=0),"",IF(D32="","Falta o requisito",IF(C32="","Falta a pergunta",IF(N(I32)=0,"Falta a evidência",IF(H32="","Falta a constatação",IF(AND(H32="Não conformidade",J32="Fraca"),"Não conformidade sem evidência objetiva","OK"))))))</f>
        <v/>
      </c>
    </row>
    <row r="33" customFormat="false" ht="30" hidden="false" customHeight="true" outlineLevel="0" collapsed="false">
      <c r="B33" s="13" t="n">
        <v>27</v>
      </c>
      <c r="C33" s="5"/>
      <c r="D33" s="8"/>
      <c r="E33" s="5"/>
      <c r="F33" s="5"/>
      <c r="G33" s="5"/>
      <c r="H33" s="8"/>
      <c r="I33" s="15" t="str">
        <f aca="false">IF(AND(C33="",D33=""),"",COUNTA(E33:G33))</f>
        <v/>
      </c>
      <c r="J33" s="17" t="str">
        <f aca="false">IF(N(I33)=0,"",IF(I33&gt;=2,"Forte",IF(OR(F33&lt;&gt;"",G33&lt;&gt;""),"Média","Fraca")))</f>
        <v/>
      </c>
      <c r="K33" s="18" t="str">
        <f aca="false">IF(AND(C33="",D33="",COUNTA(E33:H33)=0),"",IF(D33="","Falta o requisito",IF(C33="","Falta a pergunta",IF(N(I33)=0,"Falta a evidência",IF(H33="","Falta a constatação",IF(AND(H33="Não conformidade",J33="Fraca"),"Não conformidade sem evidência objetiva","OK"))))))</f>
        <v/>
      </c>
    </row>
    <row r="34" customFormat="false" ht="30" hidden="false" customHeight="true" outlineLevel="0" collapsed="false">
      <c r="B34" s="13" t="n">
        <v>28</v>
      </c>
      <c r="C34" s="5"/>
      <c r="D34" s="8"/>
      <c r="E34" s="5"/>
      <c r="F34" s="5"/>
      <c r="G34" s="5"/>
      <c r="H34" s="8"/>
      <c r="I34" s="15" t="str">
        <f aca="false">IF(AND(C34="",D34=""),"",COUNTA(E34:G34))</f>
        <v/>
      </c>
      <c r="J34" s="17" t="str">
        <f aca="false">IF(N(I34)=0,"",IF(I34&gt;=2,"Forte",IF(OR(F34&lt;&gt;"",G34&lt;&gt;""),"Média","Fraca")))</f>
        <v/>
      </c>
      <c r="K34" s="18" t="str">
        <f aca="false">IF(AND(C34="",D34="",COUNTA(E34:H34)=0),"",IF(D34="","Falta o requisito",IF(C34="","Falta a pergunta",IF(N(I34)=0,"Falta a evidência",IF(H34="","Falta a constatação",IF(AND(H34="Não conformidade",J34="Fraca"),"Não conformidade sem evidência objetiva","OK"))))))</f>
        <v/>
      </c>
    </row>
    <row r="35" customFormat="false" ht="30" hidden="false" customHeight="true" outlineLevel="0" collapsed="false">
      <c r="B35" s="13" t="n">
        <v>29</v>
      </c>
      <c r="C35" s="5"/>
      <c r="D35" s="8"/>
      <c r="E35" s="5"/>
      <c r="F35" s="5"/>
      <c r="G35" s="5"/>
      <c r="H35" s="8"/>
      <c r="I35" s="15" t="str">
        <f aca="false">IF(AND(C35="",D35=""),"",COUNTA(E35:G35))</f>
        <v/>
      </c>
      <c r="J35" s="17" t="str">
        <f aca="false">IF(N(I35)=0,"",IF(I35&gt;=2,"Forte",IF(OR(F35&lt;&gt;"",G35&lt;&gt;""),"Média","Fraca")))</f>
        <v/>
      </c>
      <c r="K35" s="18" t="str">
        <f aca="false">IF(AND(C35="",D35="",COUNTA(E35:H35)=0),"",IF(D35="","Falta o requisito",IF(C35="","Falta a pergunta",IF(N(I35)=0,"Falta a evidência",IF(H35="","Falta a constatação",IF(AND(H35="Não conformidade",J35="Fraca"),"Não conformidade sem evidência objetiva","OK"))))))</f>
        <v/>
      </c>
    </row>
    <row r="36" customFormat="false" ht="30" hidden="false" customHeight="true" outlineLevel="0" collapsed="false">
      <c r="B36" s="13" t="n">
        <v>30</v>
      </c>
      <c r="C36" s="5"/>
      <c r="D36" s="8"/>
      <c r="E36" s="5"/>
      <c r="F36" s="5"/>
      <c r="G36" s="5"/>
      <c r="H36" s="8"/>
      <c r="I36" s="15" t="str">
        <f aca="false">IF(AND(C36="",D36=""),"",COUNTA(E36:G36))</f>
        <v/>
      </c>
      <c r="J36" s="17" t="str">
        <f aca="false">IF(N(I36)=0,"",IF(I36&gt;=2,"Forte",IF(OR(F36&lt;&gt;"",G36&lt;&gt;""),"Média","Fraca")))</f>
        <v/>
      </c>
      <c r="K36" s="18" t="str">
        <f aca="false">IF(AND(C36="",D36="",COUNTA(E36:H36)=0),"",IF(D36="","Falta o requisito",IF(C36="","Falta a pergunta",IF(N(I36)=0,"Falta a evidência",IF(H36="","Falta a constatação",IF(AND(H36="Não conformidade",J36="Fraca"),"Não conformidade sem evidência objetiva","OK"))))))</f>
        <v/>
      </c>
    </row>
    <row r="37" customFormat="false" ht="30" hidden="false" customHeight="true" outlineLevel="0" collapsed="false">
      <c r="B37" s="13" t="n">
        <v>31</v>
      </c>
      <c r="C37" s="5"/>
      <c r="D37" s="8"/>
      <c r="E37" s="5"/>
      <c r="F37" s="5"/>
      <c r="G37" s="5"/>
      <c r="H37" s="8"/>
      <c r="I37" s="15" t="str">
        <f aca="false">IF(AND(C37="",D37=""),"",COUNTA(E37:G37))</f>
        <v/>
      </c>
      <c r="J37" s="17" t="str">
        <f aca="false">IF(N(I37)=0,"",IF(I37&gt;=2,"Forte",IF(OR(F37&lt;&gt;"",G37&lt;&gt;""),"Média","Fraca")))</f>
        <v/>
      </c>
      <c r="K37" s="18" t="str">
        <f aca="false">IF(AND(C37="",D37="",COUNTA(E37:H37)=0),"",IF(D37="","Falta o requisito",IF(C37="","Falta a pergunta",IF(N(I37)=0,"Falta a evidência",IF(H37="","Falta a constatação",IF(AND(H37="Não conformidade",J37="Fraca"),"Não conformidade sem evidência objetiva","OK"))))))</f>
        <v/>
      </c>
    </row>
    <row r="38" customFormat="false" ht="30" hidden="false" customHeight="true" outlineLevel="0" collapsed="false">
      <c r="B38" s="13" t="n">
        <v>32</v>
      </c>
      <c r="C38" s="5"/>
      <c r="D38" s="8"/>
      <c r="E38" s="5"/>
      <c r="F38" s="5"/>
      <c r="G38" s="5"/>
      <c r="H38" s="8"/>
      <c r="I38" s="15" t="str">
        <f aca="false">IF(AND(C38="",D38=""),"",COUNTA(E38:G38))</f>
        <v/>
      </c>
      <c r="J38" s="17" t="str">
        <f aca="false">IF(N(I38)=0,"",IF(I38&gt;=2,"Forte",IF(OR(F38&lt;&gt;"",G38&lt;&gt;""),"Média","Fraca")))</f>
        <v/>
      </c>
      <c r="K38" s="18" t="str">
        <f aca="false">IF(AND(C38="",D38="",COUNTA(E38:H38)=0),"",IF(D38="","Falta o requisito",IF(C38="","Falta a pergunta",IF(N(I38)=0,"Falta a evidência",IF(H38="","Falta a constatação",IF(AND(H38="Não conformidade",J38="Fraca"),"Não conformidade sem evidência objetiva","OK"))))))</f>
        <v/>
      </c>
    </row>
    <row r="39" customFormat="false" ht="30" hidden="false" customHeight="true" outlineLevel="0" collapsed="false">
      <c r="B39" s="13" t="n">
        <v>33</v>
      </c>
      <c r="C39" s="5"/>
      <c r="D39" s="8"/>
      <c r="E39" s="5"/>
      <c r="F39" s="5"/>
      <c r="G39" s="5"/>
      <c r="H39" s="8"/>
      <c r="I39" s="15" t="str">
        <f aca="false">IF(AND(C39="",D39=""),"",COUNTA(E39:G39))</f>
        <v/>
      </c>
      <c r="J39" s="17" t="str">
        <f aca="false">IF(N(I39)=0,"",IF(I39&gt;=2,"Forte",IF(OR(F39&lt;&gt;"",G39&lt;&gt;""),"Média","Fraca")))</f>
        <v/>
      </c>
      <c r="K39" s="18" t="str">
        <f aca="false">IF(AND(C39="",D39="",COUNTA(E39:H39)=0),"",IF(D39="","Falta o requisito",IF(C39="","Falta a pergunta",IF(N(I39)=0,"Falta a evidência",IF(H39="","Falta a constatação",IF(AND(H39="Não conformidade",J39="Fraca"),"Não conformidade sem evidência objetiva","OK"))))))</f>
        <v/>
      </c>
    </row>
    <row r="40" customFormat="false" ht="30" hidden="false" customHeight="true" outlineLevel="0" collapsed="false">
      <c r="B40" s="13" t="n">
        <v>34</v>
      </c>
      <c r="C40" s="5"/>
      <c r="D40" s="8"/>
      <c r="E40" s="5"/>
      <c r="F40" s="5"/>
      <c r="G40" s="5"/>
      <c r="H40" s="8"/>
      <c r="I40" s="15" t="str">
        <f aca="false">IF(AND(C40="",D40=""),"",COUNTA(E40:G40))</f>
        <v/>
      </c>
      <c r="J40" s="17" t="str">
        <f aca="false">IF(N(I40)=0,"",IF(I40&gt;=2,"Forte",IF(OR(F40&lt;&gt;"",G40&lt;&gt;""),"Média","Fraca")))</f>
        <v/>
      </c>
      <c r="K40" s="18" t="str">
        <f aca="false">IF(AND(C40="",D40="",COUNTA(E40:H40)=0),"",IF(D40="","Falta o requisito",IF(C40="","Falta a pergunta",IF(N(I40)=0,"Falta a evidência",IF(H40="","Falta a constatação",IF(AND(H40="Não conformidade",J40="Fraca"),"Não conformidade sem evidência objetiva","OK"))))))</f>
        <v/>
      </c>
    </row>
    <row r="41" customFormat="false" ht="30" hidden="false" customHeight="true" outlineLevel="0" collapsed="false">
      <c r="B41" s="13" t="n">
        <v>35</v>
      </c>
      <c r="C41" s="5"/>
      <c r="D41" s="8"/>
      <c r="E41" s="5"/>
      <c r="F41" s="5"/>
      <c r="G41" s="5"/>
      <c r="H41" s="8"/>
      <c r="I41" s="15" t="str">
        <f aca="false">IF(AND(C41="",D41=""),"",COUNTA(E41:G41))</f>
        <v/>
      </c>
      <c r="J41" s="17" t="str">
        <f aca="false">IF(N(I41)=0,"",IF(I41&gt;=2,"Forte",IF(OR(F41&lt;&gt;"",G41&lt;&gt;""),"Média","Fraca")))</f>
        <v/>
      </c>
      <c r="K41" s="18" t="str">
        <f aca="false">IF(AND(C41="",D41="",COUNTA(E41:H41)=0),"",IF(D41="","Falta o requisito",IF(C41="","Falta a pergunta",IF(N(I41)=0,"Falta a evidência",IF(H41="","Falta a constatação",IF(AND(H41="Não conformidade",J41="Fraca"),"Não conformidade sem evidência objetiva","OK"))))))</f>
        <v/>
      </c>
    </row>
    <row r="42" customFormat="false" ht="30" hidden="false" customHeight="true" outlineLevel="0" collapsed="false">
      <c r="B42" s="13" t="n">
        <v>36</v>
      </c>
      <c r="C42" s="5"/>
      <c r="D42" s="8"/>
      <c r="E42" s="5"/>
      <c r="F42" s="5"/>
      <c r="G42" s="5"/>
      <c r="H42" s="8"/>
      <c r="I42" s="15" t="str">
        <f aca="false">IF(AND(C42="",D42=""),"",COUNTA(E42:G42))</f>
        <v/>
      </c>
      <c r="J42" s="17" t="str">
        <f aca="false">IF(N(I42)=0,"",IF(I42&gt;=2,"Forte",IF(OR(F42&lt;&gt;"",G42&lt;&gt;""),"Média","Fraca")))</f>
        <v/>
      </c>
      <c r="K42" s="18" t="str">
        <f aca="false">IF(AND(C42="",D42="",COUNTA(E42:H42)=0),"",IF(D42="","Falta o requisito",IF(C42="","Falta a pergunta",IF(N(I42)=0,"Falta a evidência",IF(H42="","Falta a constatação",IF(AND(H42="Não conformidade",J42="Fraca"),"Não conformidade sem evidência objetiva","OK"))))))</f>
        <v/>
      </c>
    </row>
    <row r="43" customFormat="false" ht="30" hidden="false" customHeight="true" outlineLevel="0" collapsed="false">
      <c r="B43" s="13" t="n">
        <v>37</v>
      </c>
      <c r="C43" s="5"/>
      <c r="D43" s="8"/>
      <c r="E43" s="5"/>
      <c r="F43" s="5"/>
      <c r="G43" s="5"/>
      <c r="H43" s="8"/>
      <c r="I43" s="15" t="str">
        <f aca="false">IF(AND(C43="",D43=""),"",COUNTA(E43:G43))</f>
        <v/>
      </c>
      <c r="J43" s="17" t="str">
        <f aca="false">IF(N(I43)=0,"",IF(I43&gt;=2,"Forte",IF(OR(F43&lt;&gt;"",G43&lt;&gt;""),"Média","Fraca")))</f>
        <v/>
      </c>
      <c r="K43" s="18" t="str">
        <f aca="false">IF(AND(C43="",D43="",COUNTA(E43:H43)=0),"",IF(D43="","Falta o requisito",IF(C43="","Falta a pergunta",IF(N(I43)=0,"Falta a evidência",IF(H43="","Falta a constatação",IF(AND(H43="Não conformidade",J43="Fraca"),"Não conformidade sem evidência objetiva","OK"))))))</f>
        <v/>
      </c>
    </row>
    <row r="44" customFormat="false" ht="30" hidden="false" customHeight="true" outlineLevel="0" collapsed="false">
      <c r="B44" s="13" t="n">
        <v>38</v>
      </c>
      <c r="C44" s="5"/>
      <c r="D44" s="8"/>
      <c r="E44" s="5"/>
      <c r="F44" s="5"/>
      <c r="G44" s="5"/>
      <c r="H44" s="8"/>
      <c r="I44" s="15" t="str">
        <f aca="false">IF(AND(C44="",D44=""),"",COUNTA(E44:G44))</f>
        <v/>
      </c>
      <c r="J44" s="17" t="str">
        <f aca="false">IF(N(I44)=0,"",IF(I44&gt;=2,"Forte",IF(OR(F44&lt;&gt;"",G44&lt;&gt;""),"Média","Fraca")))</f>
        <v/>
      </c>
      <c r="K44" s="18" t="str">
        <f aca="false">IF(AND(C44="",D44="",COUNTA(E44:H44)=0),"",IF(D44="","Falta o requisito",IF(C44="","Falta a pergunta",IF(N(I44)=0,"Falta a evidência",IF(H44="","Falta a constatação",IF(AND(H44="Não conformidade",J44="Fraca"),"Não conformidade sem evidência objetiva","OK"))))))</f>
        <v/>
      </c>
    </row>
    <row r="45" customFormat="false" ht="30" hidden="false" customHeight="true" outlineLevel="0" collapsed="false">
      <c r="B45" s="13" t="n">
        <v>39</v>
      </c>
      <c r="C45" s="5"/>
      <c r="D45" s="8"/>
      <c r="E45" s="5"/>
      <c r="F45" s="5"/>
      <c r="G45" s="5"/>
      <c r="H45" s="8"/>
      <c r="I45" s="15" t="str">
        <f aca="false">IF(AND(C45="",D45=""),"",COUNTA(E45:G45))</f>
        <v/>
      </c>
      <c r="J45" s="17" t="str">
        <f aca="false">IF(N(I45)=0,"",IF(I45&gt;=2,"Forte",IF(OR(F45&lt;&gt;"",G45&lt;&gt;""),"Média","Fraca")))</f>
        <v/>
      </c>
      <c r="K45" s="18" t="str">
        <f aca="false">IF(AND(C45="",D45="",COUNTA(E45:H45)=0),"",IF(D45="","Falta o requisito",IF(C45="","Falta a pergunta",IF(N(I45)=0,"Falta a evidência",IF(H45="","Falta a constatação",IF(AND(H45="Não conformidade",J45="Fraca"),"Não conformidade sem evidência objetiva","OK"))))))</f>
        <v/>
      </c>
    </row>
    <row r="46" customFormat="false" ht="30" hidden="false" customHeight="true" outlineLevel="0" collapsed="false">
      <c r="B46" s="13" t="n">
        <v>40</v>
      </c>
      <c r="C46" s="5"/>
      <c r="D46" s="8"/>
      <c r="E46" s="5"/>
      <c r="F46" s="5"/>
      <c r="G46" s="5"/>
      <c r="H46" s="8"/>
      <c r="I46" s="15" t="str">
        <f aca="false">IF(AND(C46="",D46=""),"",COUNTA(E46:G46))</f>
        <v/>
      </c>
      <c r="J46" s="17" t="str">
        <f aca="false">IF(N(I46)=0,"",IF(I46&gt;=2,"Forte",IF(OR(F46&lt;&gt;"",G46&lt;&gt;""),"Média","Fraca")))</f>
        <v/>
      </c>
      <c r="K46" s="18" t="str">
        <f aca="false">IF(AND(C46="",D46="",COUNTA(E46:H46)=0),"",IF(D46="","Falta o requisito",IF(C46="","Falta a pergunta",IF(N(I46)=0,"Falta a evidência",IF(H46="","Falta a constatação",IF(AND(H46="Não conformidade",J46="Fraca"),"Não conformidade sem evidência objetiva","OK"))))))</f>
        <v/>
      </c>
    </row>
    <row r="47" customFormat="false" ht="30" hidden="false" customHeight="true" outlineLevel="0" collapsed="false">
      <c r="B47" s="13" t="n">
        <v>41</v>
      </c>
      <c r="C47" s="5"/>
      <c r="D47" s="8"/>
      <c r="E47" s="5"/>
      <c r="F47" s="5"/>
      <c r="G47" s="5"/>
      <c r="H47" s="8"/>
      <c r="I47" s="15" t="str">
        <f aca="false">IF(AND(C47="",D47=""),"",COUNTA(E47:G47))</f>
        <v/>
      </c>
      <c r="J47" s="17" t="str">
        <f aca="false">IF(N(I47)=0,"",IF(I47&gt;=2,"Forte",IF(OR(F47&lt;&gt;"",G47&lt;&gt;""),"Média","Fraca")))</f>
        <v/>
      </c>
      <c r="K47" s="18" t="str">
        <f aca="false">IF(AND(C47="",D47="",COUNTA(E47:H47)=0),"",IF(D47="","Falta o requisito",IF(C47="","Falta a pergunta",IF(N(I47)=0,"Falta a evidência",IF(H47="","Falta a constatação",IF(AND(H47="Não conformidade",J47="Fraca"),"Não conformidade sem evidência objetiva","OK"))))))</f>
        <v/>
      </c>
    </row>
    <row r="48" customFormat="false" ht="30" hidden="false" customHeight="true" outlineLevel="0" collapsed="false">
      <c r="B48" s="13" t="n">
        <v>42</v>
      </c>
      <c r="C48" s="5"/>
      <c r="D48" s="8"/>
      <c r="E48" s="5"/>
      <c r="F48" s="5"/>
      <c r="G48" s="5"/>
      <c r="H48" s="8"/>
      <c r="I48" s="15" t="str">
        <f aca="false">IF(AND(C48="",D48=""),"",COUNTA(E48:G48))</f>
        <v/>
      </c>
      <c r="J48" s="17" t="str">
        <f aca="false">IF(N(I48)=0,"",IF(I48&gt;=2,"Forte",IF(OR(F48&lt;&gt;"",G48&lt;&gt;""),"Média","Fraca")))</f>
        <v/>
      </c>
      <c r="K48" s="18" t="str">
        <f aca="false">IF(AND(C48="",D48="",COUNTA(E48:H48)=0),"",IF(D48="","Falta o requisito",IF(C48="","Falta a pergunta",IF(N(I48)=0,"Falta a evidência",IF(H48="","Falta a constatação",IF(AND(H48="Não conformidade",J48="Fraca"),"Não conformidade sem evidência objetiva","OK"))))))</f>
        <v/>
      </c>
    </row>
    <row r="49" customFormat="false" ht="30" hidden="false" customHeight="true" outlineLevel="0" collapsed="false">
      <c r="B49" s="13" t="n">
        <v>43</v>
      </c>
      <c r="C49" s="5"/>
      <c r="D49" s="8"/>
      <c r="E49" s="5"/>
      <c r="F49" s="5"/>
      <c r="G49" s="5"/>
      <c r="H49" s="8"/>
      <c r="I49" s="15" t="str">
        <f aca="false">IF(AND(C49="",D49=""),"",COUNTA(E49:G49))</f>
        <v/>
      </c>
      <c r="J49" s="17" t="str">
        <f aca="false">IF(N(I49)=0,"",IF(I49&gt;=2,"Forte",IF(OR(F49&lt;&gt;"",G49&lt;&gt;""),"Média","Fraca")))</f>
        <v/>
      </c>
      <c r="K49" s="18" t="str">
        <f aca="false">IF(AND(C49="",D49="",COUNTA(E49:H49)=0),"",IF(D49="","Falta o requisito",IF(C49="","Falta a pergunta",IF(N(I49)=0,"Falta a evidência",IF(H49="","Falta a constatação",IF(AND(H49="Não conformidade",J49="Fraca"),"Não conformidade sem evidência objetiva","OK"))))))</f>
        <v/>
      </c>
    </row>
    <row r="50" customFormat="false" ht="30" hidden="false" customHeight="true" outlineLevel="0" collapsed="false">
      <c r="B50" s="13" t="n">
        <v>44</v>
      </c>
      <c r="C50" s="5"/>
      <c r="D50" s="8"/>
      <c r="E50" s="5"/>
      <c r="F50" s="5"/>
      <c r="G50" s="5"/>
      <c r="H50" s="8"/>
      <c r="I50" s="15" t="str">
        <f aca="false">IF(AND(C50="",D50=""),"",COUNTA(E50:G50))</f>
        <v/>
      </c>
      <c r="J50" s="17" t="str">
        <f aca="false">IF(N(I50)=0,"",IF(I50&gt;=2,"Forte",IF(OR(F50&lt;&gt;"",G50&lt;&gt;""),"Média","Fraca")))</f>
        <v/>
      </c>
      <c r="K50" s="18" t="str">
        <f aca="false">IF(AND(C50="",D50="",COUNTA(E50:H50)=0),"",IF(D50="","Falta o requisito",IF(C50="","Falta a pergunta",IF(N(I50)=0,"Falta a evidência",IF(H50="","Falta a constatação",IF(AND(H50="Não conformidade",J50="Fraca"),"Não conformidade sem evidência objetiva","OK"))))))</f>
        <v/>
      </c>
    </row>
    <row r="51" customFormat="false" ht="30" hidden="false" customHeight="true" outlineLevel="0" collapsed="false">
      <c r="B51" s="13" t="n">
        <v>45</v>
      </c>
      <c r="C51" s="5"/>
      <c r="D51" s="8"/>
      <c r="E51" s="5"/>
      <c r="F51" s="5"/>
      <c r="G51" s="5"/>
      <c r="H51" s="8"/>
      <c r="I51" s="15" t="str">
        <f aca="false">IF(AND(C51="",D51=""),"",COUNTA(E51:G51))</f>
        <v/>
      </c>
      <c r="J51" s="17" t="str">
        <f aca="false">IF(N(I51)=0,"",IF(I51&gt;=2,"Forte",IF(OR(F51&lt;&gt;"",G51&lt;&gt;""),"Média","Fraca")))</f>
        <v/>
      </c>
      <c r="K51" s="18" t="str">
        <f aca="false">IF(AND(C51="",D51="",COUNTA(E51:H51)=0),"",IF(D51="","Falta o requisito",IF(C51="","Falta a pergunta",IF(N(I51)=0,"Falta a evidência",IF(H51="","Falta a constatação",IF(AND(H51="Não conformidade",J51="Fraca"),"Não conformidade sem evidência objetiva","OK"))))))</f>
        <v/>
      </c>
    </row>
    <row r="52" customFormat="false" ht="30" hidden="false" customHeight="true" outlineLevel="0" collapsed="false">
      <c r="B52" s="13" t="n">
        <v>46</v>
      </c>
      <c r="C52" s="5"/>
      <c r="D52" s="8"/>
      <c r="E52" s="5"/>
      <c r="F52" s="5"/>
      <c r="G52" s="5"/>
      <c r="H52" s="8"/>
      <c r="I52" s="15" t="str">
        <f aca="false">IF(AND(C52="",D52=""),"",COUNTA(E52:G52))</f>
        <v/>
      </c>
      <c r="J52" s="17" t="str">
        <f aca="false">IF(N(I52)=0,"",IF(I52&gt;=2,"Forte",IF(OR(F52&lt;&gt;"",G52&lt;&gt;""),"Média","Fraca")))</f>
        <v/>
      </c>
      <c r="K52" s="18" t="str">
        <f aca="false">IF(AND(C52="",D52="",COUNTA(E52:H52)=0),"",IF(D52="","Falta o requisito",IF(C52="","Falta a pergunta",IF(N(I52)=0,"Falta a evidência",IF(H52="","Falta a constatação",IF(AND(H52="Não conformidade",J52="Fraca"),"Não conformidade sem evidência objetiva","OK"))))))</f>
        <v/>
      </c>
    </row>
    <row r="53" customFormat="false" ht="30" hidden="false" customHeight="true" outlineLevel="0" collapsed="false">
      <c r="B53" s="13" t="n">
        <v>47</v>
      </c>
      <c r="C53" s="5"/>
      <c r="D53" s="8"/>
      <c r="E53" s="5"/>
      <c r="F53" s="5"/>
      <c r="G53" s="5"/>
      <c r="H53" s="8"/>
      <c r="I53" s="15" t="str">
        <f aca="false">IF(AND(C53="",D53=""),"",COUNTA(E53:G53))</f>
        <v/>
      </c>
      <c r="J53" s="17" t="str">
        <f aca="false">IF(N(I53)=0,"",IF(I53&gt;=2,"Forte",IF(OR(F53&lt;&gt;"",G53&lt;&gt;""),"Média","Fraca")))</f>
        <v/>
      </c>
      <c r="K53" s="18" t="str">
        <f aca="false">IF(AND(C53="",D53="",COUNTA(E53:H53)=0),"",IF(D53="","Falta o requisito",IF(C53="","Falta a pergunta",IF(N(I53)=0,"Falta a evidência",IF(H53="","Falta a constatação",IF(AND(H53="Não conformidade",J53="Fraca"),"Não conformidade sem evidência objetiva","OK"))))))</f>
        <v/>
      </c>
    </row>
    <row r="54" customFormat="false" ht="30" hidden="false" customHeight="true" outlineLevel="0" collapsed="false">
      <c r="B54" s="13" t="n">
        <v>48</v>
      </c>
      <c r="C54" s="5"/>
      <c r="D54" s="8"/>
      <c r="E54" s="5"/>
      <c r="F54" s="5"/>
      <c r="G54" s="5"/>
      <c r="H54" s="8"/>
      <c r="I54" s="15" t="str">
        <f aca="false">IF(AND(C54="",D54=""),"",COUNTA(E54:G54))</f>
        <v/>
      </c>
      <c r="J54" s="17" t="str">
        <f aca="false">IF(N(I54)=0,"",IF(I54&gt;=2,"Forte",IF(OR(F54&lt;&gt;"",G54&lt;&gt;""),"Média","Fraca")))</f>
        <v/>
      </c>
      <c r="K54" s="18" t="str">
        <f aca="false">IF(AND(C54="",D54="",COUNTA(E54:H54)=0),"",IF(D54="","Falta o requisito",IF(C54="","Falta a pergunta",IF(N(I54)=0,"Falta a evidência",IF(H54="","Falta a constatação",IF(AND(H54="Não conformidade",J54="Fraca"),"Não conformidade sem evidência objetiva","OK"))))))</f>
        <v/>
      </c>
    </row>
    <row r="55" customFormat="false" ht="30" hidden="false" customHeight="true" outlineLevel="0" collapsed="false">
      <c r="B55" s="13" t="n">
        <v>49</v>
      </c>
      <c r="C55" s="5"/>
      <c r="D55" s="8"/>
      <c r="E55" s="5"/>
      <c r="F55" s="5"/>
      <c r="G55" s="5"/>
      <c r="H55" s="8"/>
      <c r="I55" s="15" t="str">
        <f aca="false">IF(AND(C55="",D55=""),"",COUNTA(E55:G55))</f>
        <v/>
      </c>
      <c r="J55" s="17" t="str">
        <f aca="false">IF(N(I55)=0,"",IF(I55&gt;=2,"Forte",IF(OR(F55&lt;&gt;"",G55&lt;&gt;""),"Média","Fraca")))</f>
        <v/>
      </c>
      <c r="K55" s="18" t="str">
        <f aca="false">IF(AND(C55="",D55="",COUNTA(E55:H55)=0),"",IF(D55="","Falta o requisito",IF(C55="","Falta a pergunta",IF(N(I55)=0,"Falta a evidência",IF(H55="","Falta a constatação",IF(AND(H55="Não conformidade",J55="Fraca"),"Não conformidade sem evidência objetiva","OK"))))))</f>
        <v/>
      </c>
    </row>
    <row r="56" customFormat="false" ht="30" hidden="false" customHeight="true" outlineLevel="0" collapsed="false">
      <c r="B56" s="13" t="n">
        <v>50</v>
      </c>
      <c r="C56" s="5"/>
      <c r="D56" s="8"/>
      <c r="E56" s="5"/>
      <c r="F56" s="5"/>
      <c r="G56" s="5"/>
      <c r="H56" s="8"/>
      <c r="I56" s="15" t="str">
        <f aca="false">IF(AND(C56="",D56=""),"",COUNTA(E56:G56))</f>
        <v/>
      </c>
      <c r="J56" s="17" t="str">
        <f aca="false">IF(N(I56)=0,"",IF(I56&gt;=2,"Forte",IF(OR(F56&lt;&gt;"",G56&lt;&gt;""),"Média","Fraca")))</f>
        <v/>
      </c>
      <c r="K56" s="18" t="str">
        <f aca="false">IF(AND(C56="",D56="",COUNTA(E56:H56)=0),"",IF(D56="","Falta o requisito",IF(C56="","Falta a pergunta",IF(N(I56)=0,"Falta a evidência",IF(H56="","Falta a constatação",IF(AND(H56="Não conformidade",J56="Fraca"),"Não conformidade sem evidência objetiva","OK"))))))</f>
        <v/>
      </c>
    </row>
    <row r="57" customFormat="false" ht="30" hidden="false" customHeight="true" outlineLevel="0" collapsed="false">
      <c r="B57" s="13" t="n">
        <v>51</v>
      </c>
      <c r="C57" s="5"/>
      <c r="D57" s="8"/>
      <c r="E57" s="5"/>
      <c r="F57" s="5"/>
      <c r="G57" s="5"/>
      <c r="H57" s="8"/>
      <c r="I57" s="15" t="str">
        <f aca="false">IF(AND(C57="",D57=""),"",COUNTA(E57:G57))</f>
        <v/>
      </c>
      <c r="J57" s="17" t="str">
        <f aca="false">IF(N(I57)=0,"",IF(I57&gt;=2,"Forte",IF(OR(F57&lt;&gt;"",G57&lt;&gt;""),"Média","Fraca")))</f>
        <v/>
      </c>
      <c r="K57" s="18" t="str">
        <f aca="false">IF(AND(C57="",D57="",COUNTA(E57:H57)=0),"",IF(D57="","Falta o requisito",IF(C57="","Falta a pergunta",IF(N(I57)=0,"Falta a evidência",IF(H57="","Falta a constatação",IF(AND(H57="Não conformidade",J57="Fraca"),"Não conformidade sem evidência objetiva","OK"))))))</f>
        <v/>
      </c>
    </row>
    <row r="58" customFormat="false" ht="30" hidden="false" customHeight="true" outlineLevel="0" collapsed="false">
      <c r="B58" s="13" t="n">
        <v>52</v>
      </c>
      <c r="C58" s="5"/>
      <c r="D58" s="8"/>
      <c r="E58" s="5"/>
      <c r="F58" s="5"/>
      <c r="G58" s="5"/>
      <c r="H58" s="8"/>
      <c r="I58" s="15" t="str">
        <f aca="false">IF(AND(C58="",D58=""),"",COUNTA(E58:G58))</f>
        <v/>
      </c>
      <c r="J58" s="17" t="str">
        <f aca="false">IF(N(I58)=0,"",IF(I58&gt;=2,"Forte",IF(OR(F58&lt;&gt;"",G58&lt;&gt;""),"Média","Fraca")))</f>
        <v/>
      </c>
      <c r="K58" s="18" t="str">
        <f aca="false">IF(AND(C58="",D58="",COUNTA(E58:H58)=0),"",IF(D58="","Falta o requisito",IF(C58="","Falta a pergunta",IF(N(I58)=0,"Falta a evidência",IF(H58="","Falta a constatação",IF(AND(H58="Não conformidade",J58="Fraca"),"Não conformidade sem evidência objetiva","OK"))))))</f>
        <v/>
      </c>
    </row>
    <row r="59" customFormat="false" ht="30" hidden="false" customHeight="true" outlineLevel="0" collapsed="false">
      <c r="B59" s="13" t="n">
        <v>53</v>
      </c>
      <c r="C59" s="5"/>
      <c r="D59" s="8"/>
      <c r="E59" s="5"/>
      <c r="F59" s="5"/>
      <c r="G59" s="5"/>
      <c r="H59" s="8"/>
      <c r="I59" s="15" t="str">
        <f aca="false">IF(AND(C59="",D59=""),"",COUNTA(E59:G59))</f>
        <v/>
      </c>
      <c r="J59" s="17" t="str">
        <f aca="false">IF(N(I59)=0,"",IF(I59&gt;=2,"Forte",IF(OR(F59&lt;&gt;"",G59&lt;&gt;""),"Média","Fraca")))</f>
        <v/>
      </c>
      <c r="K59" s="18" t="str">
        <f aca="false">IF(AND(C59="",D59="",COUNTA(E59:H59)=0),"",IF(D59="","Falta o requisito",IF(C59="","Falta a pergunta",IF(N(I59)=0,"Falta a evidência",IF(H59="","Falta a constatação",IF(AND(H59="Não conformidade",J59="Fraca"),"Não conformidade sem evidência objetiva","OK"))))))</f>
        <v/>
      </c>
    </row>
    <row r="60" customFormat="false" ht="30" hidden="false" customHeight="true" outlineLevel="0" collapsed="false">
      <c r="B60" s="13" t="n">
        <v>54</v>
      </c>
      <c r="C60" s="5"/>
      <c r="D60" s="8"/>
      <c r="E60" s="5"/>
      <c r="F60" s="5"/>
      <c r="G60" s="5"/>
      <c r="H60" s="8"/>
      <c r="I60" s="15" t="str">
        <f aca="false">IF(AND(C60="",D60=""),"",COUNTA(E60:G60))</f>
        <v/>
      </c>
      <c r="J60" s="17" t="str">
        <f aca="false">IF(N(I60)=0,"",IF(I60&gt;=2,"Forte",IF(OR(F60&lt;&gt;"",G60&lt;&gt;""),"Média","Fraca")))</f>
        <v/>
      </c>
      <c r="K60" s="18" t="str">
        <f aca="false">IF(AND(C60="",D60="",COUNTA(E60:H60)=0),"",IF(D60="","Falta o requisito",IF(C60="","Falta a pergunta",IF(N(I60)=0,"Falta a evidência",IF(H60="","Falta a constatação",IF(AND(H60="Não conformidade",J60="Fraca"),"Não conformidade sem evidência objetiva","OK"))))))</f>
        <v/>
      </c>
    </row>
    <row r="61" customFormat="false" ht="30" hidden="false" customHeight="true" outlineLevel="0" collapsed="false">
      <c r="B61" s="13" t="n">
        <v>55</v>
      </c>
      <c r="C61" s="5"/>
      <c r="D61" s="8"/>
      <c r="E61" s="5"/>
      <c r="F61" s="5"/>
      <c r="G61" s="5"/>
      <c r="H61" s="8"/>
      <c r="I61" s="15" t="str">
        <f aca="false">IF(AND(C61="",D61=""),"",COUNTA(E61:G61))</f>
        <v/>
      </c>
      <c r="J61" s="17" t="str">
        <f aca="false">IF(N(I61)=0,"",IF(I61&gt;=2,"Forte",IF(OR(F61&lt;&gt;"",G61&lt;&gt;""),"Média","Fraca")))</f>
        <v/>
      </c>
      <c r="K61" s="18" t="str">
        <f aca="false">IF(AND(C61="",D61="",COUNTA(E61:H61)=0),"",IF(D61="","Falta o requisito",IF(C61="","Falta a pergunta",IF(N(I61)=0,"Falta a evidência",IF(H61="","Falta a constatação",IF(AND(H61="Não conformidade",J61="Fraca"),"Não conformidade sem evidência objetiva","OK"))))))</f>
        <v/>
      </c>
    </row>
    <row r="62" customFormat="false" ht="30" hidden="false" customHeight="true" outlineLevel="0" collapsed="false">
      <c r="B62" s="13" t="n">
        <v>56</v>
      </c>
      <c r="C62" s="5"/>
      <c r="D62" s="8"/>
      <c r="E62" s="5"/>
      <c r="F62" s="5"/>
      <c r="G62" s="5"/>
      <c r="H62" s="8"/>
      <c r="I62" s="15" t="str">
        <f aca="false">IF(AND(C62="",D62=""),"",COUNTA(E62:G62))</f>
        <v/>
      </c>
      <c r="J62" s="17" t="str">
        <f aca="false">IF(N(I62)=0,"",IF(I62&gt;=2,"Forte",IF(OR(F62&lt;&gt;"",G62&lt;&gt;""),"Média","Fraca")))</f>
        <v/>
      </c>
      <c r="K62" s="18" t="str">
        <f aca="false">IF(AND(C62="",D62="",COUNTA(E62:H62)=0),"",IF(D62="","Falta o requisito",IF(C62="","Falta a pergunta",IF(N(I62)=0,"Falta a evidência",IF(H62="","Falta a constatação",IF(AND(H62="Não conformidade",J62="Fraca"),"Não conformidade sem evidência objetiva","OK"))))))</f>
        <v/>
      </c>
    </row>
    <row r="63" customFormat="false" ht="30" hidden="false" customHeight="true" outlineLevel="0" collapsed="false">
      <c r="B63" s="13" t="n">
        <v>57</v>
      </c>
      <c r="C63" s="5"/>
      <c r="D63" s="8"/>
      <c r="E63" s="5"/>
      <c r="F63" s="5"/>
      <c r="G63" s="5"/>
      <c r="H63" s="8"/>
      <c r="I63" s="15" t="str">
        <f aca="false">IF(AND(C63="",D63=""),"",COUNTA(E63:G63))</f>
        <v/>
      </c>
      <c r="J63" s="17" t="str">
        <f aca="false">IF(N(I63)=0,"",IF(I63&gt;=2,"Forte",IF(OR(F63&lt;&gt;"",G63&lt;&gt;""),"Média","Fraca")))</f>
        <v/>
      </c>
      <c r="K63" s="18" t="str">
        <f aca="false">IF(AND(C63="",D63="",COUNTA(E63:H63)=0),"",IF(D63="","Falta o requisito",IF(C63="","Falta a pergunta",IF(N(I63)=0,"Falta a evidência",IF(H63="","Falta a constatação",IF(AND(H63="Não conformidade",J63="Fraca"),"Não conformidade sem evidência objetiva","OK"))))))</f>
        <v/>
      </c>
    </row>
    <row r="64" customFormat="false" ht="30" hidden="false" customHeight="true" outlineLevel="0" collapsed="false">
      <c r="B64" s="13" t="n">
        <v>58</v>
      </c>
      <c r="C64" s="5"/>
      <c r="D64" s="8"/>
      <c r="E64" s="5"/>
      <c r="F64" s="5"/>
      <c r="G64" s="5"/>
      <c r="H64" s="8"/>
      <c r="I64" s="15" t="str">
        <f aca="false">IF(AND(C64="",D64=""),"",COUNTA(E64:G64))</f>
        <v/>
      </c>
      <c r="J64" s="17" t="str">
        <f aca="false">IF(N(I64)=0,"",IF(I64&gt;=2,"Forte",IF(OR(F64&lt;&gt;"",G64&lt;&gt;""),"Média","Fraca")))</f>
        <v/>
      </c>
      <c r="K64" s="18" t="str">
        <f aca="false">IF(AND(C64="",D64="",COUNTA(E64:H64)=0),"",IF(D64="","Falta o requisito",IF(C64="","Falta a pergunta",IF(N(I64)=0,"Falta a evidência",IF(H64="","Falta a constatação",IF(AND(H64="Não conformidade",J64="Fraca"),"Não conformidade sem evidência objetiva","OK"))))))</f>
        <v/>
      </c>
    </row>
    <row r="65" customFormat="false" ht="30" hidden="false" customHeight="true" outlineLevel="0" collapsed="false">
      <c r="B65" s="13" t="n">
        <v>59</v>
      </c>
      <c r="C65" s="5"/>
      <c r="D65" s="8"/>
      <c r="E65" s="5"/>
      <c r="F65" s="5"/>
      <c r="G65" s="5"/>
      <c r="H65" s="8"/>
      <c r="I65" s="15" t="str">
        <f aca="false">IF(AND(C65="",D65=""),"",COUNTA(E65:G65))</f>
        <v/>
      </c>
      <c r="J65" s="17" t="str">
        <f aca="false">IF(N(I65)=0,"",IF(I65&gt;=2,"Forte",IF(OR(F65&lt;&gt;"",G65&lt;&gt;""),"Média","Fraca")))</f>
        <v/>
      </c>
      <c r="K65" s="18" t="str">
        <f aca="false">IF(AND(C65="",D65="",COUNTA(E65:H65)=0),"",IF(D65="","Falta o requisito",IF(C65="","Falta a pergunta",IF(N(I65)=0,"Falta a evidência",IF(H65="","Falta a constatação",IF(AND(H65="Não conformidade",J65="Fraca"),"Não conformidade sem evidência objetiva","OK"))))))</f>
        <v/>
      </c>
    </row>
    <row r="66" customFormat="false" ht="30" hidden="false" customHeight="true" outlineLevel="0" collapsed="false">
      <c r="B66" s="13" t="n">
        <v>60</v>
      </c>
      <c r="C66" s="5"/>
      <c r="D66" s="8"/>
      <c r="E66" s="5"/>
      <c r="F66" s="5"/>
      <c r="G66" s="5"/>
      <c r="H66" s="8"/>
      <c r="I66" s="15" t="str">
        <f aca="false">IF(AND(C66="",D66=""),"",COUNTA(E66:G66))</f>
        <v/>
      </c>
      <c r="J66" s="17" t="str">
        <f aca="false">IF(N(I66)=0,"",IF(I66&gt;=2,"Forte",IF(OR(F66&lt;&gt;"",G66&lt;&gt;""),"Média","Fraca")))</f>
        <v/>
      </c>
      <c r="K66" s="18" t="str">
        <f aca="false">IF(AND(C66="",D66="",COUNTA(E66:H66)=0),"",IF(D66="","Falta o requisito",IF(C66="","Falta a pergunta",IF(N(I66)=0,"Falta a evidência",IF(H66="","Falta a constatação",IF(AND(H66="Não conformidade",J66="Fraca"),"Não conformidade sem evidência objetiva","OK"))))))</f>
        <v/>
      </c>
    </row>
    <row r="68" customFormat="false" ht="21.75" hidden="false" customHeight="true" outlineLevel="0" collapsed="false">
      <c r="B68" s="19" t="s">
        <v>111</v>
      </c>
      <c r="C68" s="19"/>
      <c r="D68" s="19"/>
      <c r="E68" s="19"/>
      <c r="F68" s="19"/>
      <c r="G68" s="19"/>
      <c r="H68" s="19"/>
      <c r="I68" s="19"/>
      <c r="J68" s="19"/>
      <c r="K68" s="19"/>
    </row>
    <row r="69" customFormat="false" ht="21.75" hidden="false" customHeight="true" outlineLevel="0" collapsed="false">
      <c r="B69" s="20" t="s">
        <v>132</v>
      </c>
      <c r="C69" s="20"/>
      <c r="D69" s="20"/>
      <c r="E69" s="21" t="str">
        <f aca="false">COUNTA(C7:C66)&amp;" perguntas: "&amp;COUNTIF(H7:H66,"Conforme")&amp;" conforme"&amp;", "&amp;COUNTIF(H7:H66,"Não conformidade")&amp;" não conformidade"&amp;", "&amp;COUNTIF(H7:H66,"Oportunidade de melhoria")&amp;" oportunidade de melhoria"</f>
        <v>0 perguntas: 0 conforme, 0 não conformidade, 0 oportunidade de melhoria</v>
      </c>
      <c r="F69" s="21"/>
      <c r="G69" s="21"/>
      <c r="H69" s="21"/>
      <c r="I69" s="21"/>
      <c r="J69" s="21"/>
      <c r="K69" s="21"/>
    </row>
    <row r="70" customFormat="false" ht="21.75" hidden="false" customHeight="true" outlineLevel="0" collapsed="false">
      <c r="B70" s="20" t="s">
        <v>120</v>
      </c>
      <c r="C70" s="20"/>
      <c r="D70" s="20"/>
      <c r="E70" s="21" t="str">
        <f aca="false">COUNTIF(J7:J66,"Forte")&amp;" forte"&amp;", "&amp;COUNTIF(J7:J66,"Média")&amp;" média"&amp;", "&amp;COUNTIF(J7:J66,"Fraca")&amp;" fraca"</f>
        <v>0 forte, 0 média, 0 fraca</v>
      </c>
      <c r="F70" s="21"/>
      <c r="G70" s="21"/>
      <c r="H70" s="21"/>
      <c r="I70" s="21"/>
      <c r="J70" s="21"/>
      <c r="K70" s="21"/>
    </row>
    <row r="71" customFormat="false" ht="21.75" hidden="false" customHeight="true" outlineLevel="0" collapsed="false">
      <c r="B71" s="20" t="s">
        <v>113</v>
      </c>
      <c r="C71" s="20"/>
      <c r="D71" s="20"/>
      <c r="E71" s="22" t="str">
        <f aca="false">IF(COUNTA(C7:C66)=0,"Registre as perguntas e as evidências",IF(COUNTIF(K7:K66,"Não conformidade sem evidência objetiva")&gt;0,"Há não conformidade sem evidência objetiva: busque registro ou observação",IF(SUMPRODUCT((K7:K66&lt;&gt;"")*(K7:K66&lt;&gt;"OK"))&gt;0,"Há pergunta a completar: veja a coluna Conferência","OK")))</f>
        <v>Registre as perguntas e as evidências</v>
      </c>
      <c r="F71" s="22"/>
      <c r="G71" s="22"/>
      <c r="H71" s="22"/>
      <c r="I71" s="22"/>
      <c r="J71" s="22"/>
      <c r="K71" s="22"/>
    </row>
  </sheetData>
  <mergeCells count="9">
    <mergeCell ref="B1:K1"/>
    <mergeCell ref="B2:K2"/>
    <mergeCell ref="B68:K68"/>
    <mergeCell ref="B69:D69"/>
    <mergeCell ref="E69:K69"/>
    <mergeCell ref="B70:D70"/>
    <mergeCell ref="E70:K70"/>
    <mergeCell ref="B71:D71"/>
    <mergeCell ref="E71:K71"/>
  </mergeCells>
  <conditionalFormatting sqref="J7:J66">
    <cfRule type="expression" priority="2" aboveAverage="0" equalAverage="0" bottom="0" percent="0" rank="0" text="" dxfId="0">
      <formula>J7="Forte"</formula>
    </cfRule>
    <cfRule type="expression" priority="3" aboveAverage="0" equalAverage="0" bottom="0" percent="0" rank="0" text="" dxfId="1">
      <formula>J7="Média"</formula>
    </cfRule>
    <cfRule type="expression" priority="4" aboveAverage="0" equalAverage="0" bottom="0" percent="0" rank="0" text="" dxfId="2">
      <formula>J7="Fraca"</formula>
    </cfRule>
  </conditionalFormatting>
  <conditionalFormatting sqref="H7:H66">
    <cfRule type="expression" priority="5" aboveAverage="0" equalAverage="0" bottom="0" percent="0" rank="0" text="" dxfId="0">
      <formula>H7="Conforme"</formula>
    </cfRule>
    <cfRule type="expression" priority="6" aboveAverage="0" equalAverage="0" bottom="0" percent="0" rank="0" text="" dxfId="2">
      <formula>H7="Não conformidade"</formula>
    </cfRule>
    <cfRule type="expression" priority="7" aboveAverage="0" equalAverage="0" bottom="0" percent="0" rank="0" text="" dxfId="1">
      <formula>H7="Oportunidade de melhoria"</formula>
    </cfRule>
  </conditionalFormatting>
  <conditionalFormatting sqref="K7:K66">
    <cfRule type="expression" priority="8" aboveAverage="0" equalAverage="0" bottom="0" percent="0" rank="0" text="" dxfId="0">
      <formula>K7="OK"</formula>
    </cfRule>
    <cfRule type="expression" priority="9" aboveAverage="0" equalAverage="0" bottom="0" percent="0" rank="0" text="" dxfId="2">
      <formula>K7="Não conformidade sem evidência objetiva"</formula>
    </cfRule>
    <cfRule type="expression" priority="10" aboveAverage="0" equalAverage="0" bottom="0" percent="0" rank="0" text="" dxfId="3">
      <formula>LEN(K7)&gt;0</formula>
    </cfRule>
  </conditionalFormatting>
  <conditionalFormatting sqref="E71:K71">
    <cfRule type="expression" priority="11" aboveAverage="0" equalAverage="0" bottom="0" percent="0" rank="0" text="" dxfId="0">
      <formula>OR(E71="OK")</formula>
    </cfRule>
    <cfRule type="expression" priority="12" aboveAverage="0" equalAverage="0" bottom="0" percent="0" rank="0" text="" dxfId="3">
      <formula>AND(LEN(E71)&gt;0,NOT(OR(E71="OK")))</formula>
    </cfRule>
  </conditionalFormatting>
  <dataValidations count="1">
    <dataValidation allowBlank="true" error="Escolha uma das opções da lista." errorStyle="stop" errorTitle="Valor inválido" operator="between" prompt="Conforme, não conformidade ou oportunidade de melhoria" promptTitle="Opções" showDropDown="false" showErrorMessage="true" showInputMessage="true" sqref="H7:H66" type="list">
      <formula1>"Conforme,Não conformidade,Oportunidade de melhoria"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9" min="6" style="0" width="2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133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134</v>
      </c>
      <c r="C2" s="2"/>
      <c r="D2" s="2"/>
      <c r="E2" s="2"/>
      <c r="F2" s="2"/>
      <c r="G2" s="2"/>
      <c r="H2" s="2"/>
      <c r="I2" s="2"/>
    </row>
    <row r="5" customFormat="false" ht="15" hidden="false" customHeight="true" outlineLevel="0" collapsed="false">
      <c r="B5" s="20" t="s">
        <v>135</v>
      </c>
      <c r="C5" s="20"/>
      <c r="D5" s="20"/>
      <c r="E5" s="20"/>
      <c r="F5" s="8"/>
      <c r="G5" s="8"/>
      <c r="H5" s="8"/>
      <c r="I5" s="8"/>
    </row>
    <row r="6" customFormat="false" ht="15" hidden="false" customHeight="true" outlineLevel="0" collapsed="false">
      <c r="B6" s="20" t="s">
        <v>136</v>
      </c>
      <c r="C6" s="20"/>
      <c r="D6" s="20"/>
      <c r="E6" s="20"/>
      <c r="F6" s="8"/>
      <c r="G6" s="8"/>
      <c r="H6" s="8"/>
      <c r="I6" s="8"/>
    </row>
    <row r="7" customFormat="false" ht="21.75" hidden="false" customHeight="true" outlineLevel="0" collapsed="false">
      <c r="B7" s="10" t="s">
        <v>82</v>
      </c>
      <c r="C7" s="10" t="s">
        <v>137</v>
      </c>
      <c r="D7" s="10" t="s">
        <v>138</v>
      </c>
      <c r="E7" s="10" t="s">
        <v>139</v>
      </c>
      <c r="F7" s="10" t="s">
        <v>140</v>
      </c>
      <c r="G7" s="10" t="s">
        <v>141</v>
      </c>
      <c r="H7" s="10" t="s">
        <v>142</v>
      </c>
      <c r="I7" s="10" t="s">
        <v>143</v>
      </c>
    </row>
    <row r="8" customFormat="false" ht="30" hidden="false" customHeight="true" outlineLevel="0" collapsed="false">
      <c r="B8" s="13" t="n">
        <v>1</v>
      </c>
      <c r="C8" s="23" t="s">
        <v>144</v>
      </c>
      <c r="D8" s="24" t="s">
        <v>145</v>
      </c>
      <c r="E8" s="24" t="s">
        <v>146</v>
      </c>
      <c r="F8" s="8"/>
      <c r="G8" s="8"/>
      <c r="H8" s="8"/>
      <c r="I8" s="8"/>
    </row>
    <row r="9" customFormat="false" ht="30" hidden="false" customHeight="true" outlineLevel="0" collapsed="false">
      <c r="B9" s="13" t="n">
        <v>2</v>
      </c>
      <c r="C9" s="23" t="s">
        <v>147</v>
      </c>
      <c r="D9" s="24" t="s">
        <v>145</v>
      </c>
      <c r="E9" s="24" t="s">
        <v>146</v>
      </c>
      <c r="F9" s="8"/>
      <c r="G9" s="8"/>
      <c r="H9" s="8"/>
      <c r="I9" s="8"/>
    </row>
    <row r="10" customFormat="false" ht="30" hidden="false" customHeight="true" outlineLevel="0" collapsed="false">
      <c r="B10" s="13" t="n">
        <v>3</v>
      </c>
      <c r="C10" s="23" t="s">
        <v>148</v>
      </c>
      <c r="D10" s="24" t="s">
        <v>149</v>
      </c>
      <c r="E10" s="24" t="s">
        <v>146</v>
      </c>
      <c r="F10" s="8"/>
      <c r="G10" s="8"/>
      <c r="H10" s="8"/>
      <c r="I10" s="8"/>
    </row>
    <row r="11" customFormat="false" ht="30" hidden="false" customHeight="true" outlineLevel="0" collapsed="false">
      <c r="B11" s="13" t="n">
        <v>4</v>
      </c>
      <c r="C11" s="23" t="s">
        <v>150</v>
      </c>
      <c r="D11" s="24" t="s">
        <v>116</v>
      </c>
      <c r="E11" s="24" t="s">
        <v>146</v>
      </c>
      <c r="F11" s="8"/>
      <c r="G11" s="8"/>
      <c r="H11" s="8"/>
      <c r="I11" s="8"/>
    </row>
    <row r="12" customFormat="false" ht="30" hidden="false" customHeight="true" outlineLevel="0" collapsed="false">
      <c r="B12" s="13" t="n">
        <v>5</v>
      </c>
      <c r="C12" s="23" t="s">
        <v>151</v>
      </c>
      <c r="D12" s="24" t="s">
        <v>116</v>
      </c>
      <c r="E12" s="24" t="s">
        <v>146</v>
      </c>
      <c r="F12" s="8"/>
      <c r="G12" s="8"/>
      <c r="H12" s="8"/>
      <c r="I12" s="8"/>
    </row>
    <row r="13" customFormat="false" ht="30" hidden="false" customHeight="true" outlineLevel="0" collapsed="false">
      <c r="B13" s="13" t="n">
        <v>6</v>
      </c>
      <c r="C13" s="23" t="s">
        <v>152</v>
      </c>
      <c r="D13" s="24" t="s">
        <v>89</v>
      </c>
      <c r="E13" s="17" t="s">
        <v>153</v>
      </c>
      <c r="F13" s="8"/>
      <c r="G13" s="8"/>
      <c r="H13" s="8"/>
      <c r="I13" s="8"/>
    </row>
    <row r="14" customFormat="false" ht="30" hidden="false" customHeight="true" outlineLevel="0" collapsed="false">
      <c r="B14" s="13" t="n">
        <v>7</v>
      </c>
      <c r="C14" s="23" t="s">
        <v>154</v>
      </c>
      <c r="D14" s="24" t="s">
        <v>89</v>
      </c>
      <c r="E14" s="24" t="s">
        <v>146</v>
      </c>
      <c r="F14" s="8"/>
      <c r="G14" s="8"/>
      <c r="H14" s="8"/>
      <c r="I14" s="8"/>
    </row>
    <row r="15" customFormat="false" ht="30" hidden="false" customHeight="true" outlineLevel="0" collapsed="false">
      <c r="B15" s="13" t="n">
        <v>8</v>
      </c>
      <c r="C15" s="23" t="s">
        <v>155</v>
      </c>
      <c r="D15" s="24" t="s">
        <v>156</v>
      </c>
      <c r="E15" s="17" t="s">
        <v>153</v>
      </c>
      <c r="F15" s="8"/>
      <c r="G15" s="8"/>
      <c r="H15" s="8"/>
      <c r="I15" s="8"/>
    </row>
    <row r="16" customFormat="false" ht="30" hidden="false" customHeight="true" outlineLevel="0" collapsed="false">
      <c r="B16" s="13" t="n">
        <v>9</v>
      </c>
      <c r="C16" s="23" t="s">
        <v>157</v>
      </c>
      <c r="D16" s="24" t="s">
        <v>156</v>
      </c>
      <c r="E16" s="24" t="s">
        <v>146</v>
      </c>
      <c r="F16" s="8"/>
      <c r="G16" s="8"/>
      <c r="H16" s="8"/>
      <c r="I16" s="8"/>
    </row>
    <row r="17" customFormat="false" ht="30" hidden="false" customHeight="true" outlineLevel="0" collapsed="false">
      <c r="B17" s="13" t="n">
        <v>10</v>
      </c>
      <c r="C17" s="23" t="s">
        <v>158</v>
      </c>
      <c r="D17" s="24" t="s">
        <v>118</v>
      </c>
      <c r="E17" s="17" t="s">
        <v>153</v>
      </c>
      <c r="F17" s="8"/>
      <c r="G17" s="8"/>
      <c r="H17" s="8"/>
      <c r="I17" s="8"/>
    </row>
    <row r="18" customFormat="false" ht="30" hidden="false" customHeight="true" outlineLevel="0" collapsed="false">
      <c r="B18" s="13" t="n">
        <v>11</v>
      </c>
      <c r="C18" s="23" t="s">
        <v>159</v>
      </c>
      <c r="D18" s="24" t="s">
        <v>118</v>
      </c>
      <c r="E18" s="24" t="s">
        <v>146</v>
      </c>
      <c r="F18" s="8"/>
      <c r="G18" s="8"/>
      <c r="H18" s="8"/>
      <c r="I18" s="8"/>
    </row>
    <row r="19" customFormat="false" ht="30" hidden="false" customHeight="true" outlineLevel="0" collapsed="false">
      <c r="B19" s="13" t="n">
        <v>12</v>
      </c>
      <c r="C19" s="23" t="s">
        <v>160</v>
      </c>
      <c r="D19" s="24" t="s">
        <v>161</v>
      </c>
      <c r="E19" s="24" t="s">
        <v>146</v>
      </c>
      <c r="F19" s="8"/>
      <c r="G19" s="8"/>
      <c r="H19" s="8"/>
      <c r="I19" s="8"/>
    </row>
    <row r="21" customFormat="false" ht="21.75" hidden="false" customHeight="true" outlineLevel="0" collapsed="false">
      <c r="B21" s="20" t="s">
        <v>162</v>
      </c>
      <c r="C21" s="20"/>
      <c r="D21" s="20"/>
      <c r="E21" s="20"/>
      <c r="F21" s="16" t="str">
        <f aca="false">IF(F$5="","",COUNT(F8:F19))</f>
        <v/>
      </c>
      <c r="G21" s="16" t="str">
        <f aca="false">IF(G$5="","",COUNT(G8:G19))</f>
        <v/>
      </c>
      <c r="H21" s="16" t="str">
        <f aca="false">IF(H$5="","",COUNT(H8:H19))</f>
        <v/>
      </c>
      <c r="I21" s="16" t="str">
        <f aca="false">IF(I$5="","",COUNT(I8:I19))</f>
        <v/>
      </c>
    </row>
    <row r="22" customFormat="false" ht="21.75" hidden="false" customHeight="true" outlineLevel="0" collapsed="false">
      <c r="B22" s="20" t="s">
        <v>163</v>
      </c>
      <c r="C22" s="20"/>
      <c r="D22" s="20"/>
      <c r="E22" s="20"/>
      <c r="F22" s="16" t="str">
        <f aca="false">IF(F$5="","",SUM(F8:F19))</f>
        <v/>
      </c>
      <c r="G22" s="16" t="str">
        <f aca="false">IF(G$5="","",SUM(G8:G19))</f>
        <v/>
      </c>
      <c r="H22" s="16" t="str">
        <f aca="false">IF(H$5="","",SUM(H8:H19))</f>
        <v/>
      </c>
      <c r="I22" s="16" t="str">
        <f aca="false">IF(I$5="","",SUM(I8:I19))</f>
        <v/>
      </c>
    </row>
    <row r="23" customFormat="false" ht="21.75" hidden="false" customHeight="true" outlineLevel="0" collapsed="false">
      <c r="B23" s="20" t="s">
        <v>164</v>
      </c>
      <c r="C23" s="20"/>
      <c r="D23" s="20"/>
      <c r="E23" s="20"/>
      <c r="F23" s="25" t="str">
        <f aca="false">IF(OR(F$5="",N(F21)=0),"",F22/(3*F21))</f>
        <v/>
      </c>
      <c r="G23" s="25" t="str">
        <f aca="false">IF(OR(G$5="",N(G21)=0),"",G22/(3*G21))</f>
        <v/>
      </c>
      <c r="H23" s="25" t="str">
        <f aca="false">IF(OR(H$5="",N(H21)=0),"",H22/(3*H21))</f>
        <v/>
      </c>
      <c r="I23" s="25" t="str">
        <f aca="false">IF(OR(I$5="",N(I21)=0),"",I22/(3*I21))</f>
        <v/>
      </c>
    </row>
    <row r="24" customFormat="false" ht="21.75" hidden="false" customHeight="true" outlineLevel="0" collapsed="false">
      <c r="B24" s="20" t="s">
        <v>165</v>
      </c>
      <c r="C24" s="20"/>
      <c r="D24" s="20"/>
      <c r="E24" s="20"/>
      <c r="F24" s="17" t="str">
        <f aca="false">IF(F$5="","",IF(F21=0,"",IF(F21&lt;8,"Observação insuficiente",IF(SUMPRODUCT(($E$8:$E$19="Sim")*(F8:F19&lt;&gt;"")*(F8:F19&lt;=1))&gt;0,"Em formação",IF(F23&gt;=0.8-0.000000001,"Apto a liderar",IF(F23&gt;=0.6-0.000000001,"Apto a auditar em equipe","Em formação"))))))</f>
        <v/>
      </c>
      <c r="G24" s="17" t="str">
        <f aca="false">IF(G$5="","",IF(G21=0,"",IF(G21&lt;8,"Observação insuficiente",IF(SUMPRODUCT(($E$8:$E$19="Sim")*(G8:G19&lt;&gt;"")*(G8:G19&lt;=1))&gt;0,"Em formação",IF(G23&gt;=0.8-0.000000001,"Apto a liderar",IF(G23&gt;=0.6-0.000000001,"Apto a auditar em equipe","Em formação"))))))</f>
        <v/>
      </c>
      <c r="H24" s="17" t="str">
        <f aca="false">IF(H$5="","",IF(H21=0,"",IF(H21&lt;8,"Observação insuficiente",IF(SUMPRODUCT(($E$8:$E$19="Sim")*(H8:H19&lt;&gt;"")*(H8:H19&lt;=1))&gt;0,"Em formação",IF(H23&gt;=0.8-0.000000001,"Apto a liderar",IF(H23&gt;=0.6-0.000000001,"Apto a auditar em equipe","Em formação"))))))</f>
        <v/>
      </c>
      <c r="I24" s="17" t="str">
        <f aca="false">IF(I$5="","",IF(I21=0,"",IF(I21&lt;8,"Observação insuficiente",IF(SUMPRODUCT(($E$8:$E$19="Sim")*(I8:I19&lt;&gt;"")*(I8:I19&lt;=1))&gt;0,"Em formação",IF(I23&gt;=0.8-0.000000001,"Apto a liderar",IF(I23&gt;=0.6-0.000000001,"Apto a auditar em equipe","Em formação"))))))</f>
        <v/>
      </c>
    </row>
    <row r="25" customFormat="false" ht="21.75" hidden="false" customHeight="true" outlineLevel="0" collapsed="false">
      <c r="B25" s="20" t="s">
        <v>95</v>
      </c>
      <c r="C25" s="20"/>
      <c r="D25" s="20"/>
      <c r="E25" s="20"/>
      <c r="F25" s="18" t="str">
        <f aca="false">IF(F$5="",IF(COUNT(F8:F19)&gt;0,"Falta o nome",""),IF(F21=0,"Faltam as notas",IF(F21&lt;8,"Observar mais critérios","OK")))</f>
        <v/>
      </c>
      <c r="G25" s="18" t="str">
        <f aca="false">IF(G$5="",IF(COUNT(G8:G19)&gt;0,"Falta o nome",""),IF(G21=0,"Faltam as notas",IF(G21&lt;8,"Observar mais critérios","OK")))</f>
        <v/>
      </c>
      <c r="H25" s="18" t="str">
        <f aca="false">IF(H$5="",IF(COUNT(H8:H19)&gt;0,"Falta o nome",""),IF(H21=0,"Faltam as notas",IF(H21&lt;8,"Observar mais critérios","OK")))</f>
        <v/>
      </c>
      <c r="I25" s="18" t="str">
        <f aca="false">IF(I$5="",IF(COUNT(I8:I19)&gt;0,"Falta o nome",""),IF(I21=0,"Faltam as notas",IF(I21&lt;8,"Observar mais critérios","OK")))</f>
        <v/>
      </c>
    </row>
    <row r="27" customFormat="false" ht="21.75" hidden="false" customHeight="true" outlineLevel="0" collapsed="false">
      <c r="B27" s="19" t="s">
        <v>111</v>
      </c>
      <c r="C27" s="19"/>
      <c r="D27" s="19"/>
      <c r="E27" s="19"/>
      <c r="F27" s="19"/>
      <c r="G27" s="19"/>
      <c r="H27" s="19"/>
      <c r="I27" s="19"/>
    </row>
    <row r="28" customFormat="false" ht="21.75" hidden="false" customHeight="true" outlineLevel="0" collapsed="false">
      <c r="B28" s="20" t="s">
        <v>166</v>
      </c>
      <c r="C28" s="20"/>
      <c r="D28" s="20"/>
      <c r="E28" s="20"/>
      <c r="F28" s="21" t="n">
        <f aca="false">COUNTA(F5:I5)</f>
        <v>0</v>
      </c>
      <c r="G28" s="21"/>
      <c r="H28" s="21"/>
      <c r="I28" s="21"/>
    </row>
    <row r="29" customFormat="false" ht="21.75" hidden="false" customHeight="true" outlineLevel="0" collapsed="false">
      <c r="B29" s="20" t="s">
        <v>167</v>
      </c>
      <c r="C29" s="20"/>
      <c r="D29" s="20"/>
      <c r="E29" s="20"/>
      <c r="F29" s="21" t="str">
        <f aca="false">COUNTIF(F24:I24,"Apto a liderar")&amp;" apto a liderar"&amp;", "&amp;COUNTIF(F24:I24,"Apto a auditar em equipe")&amp;" apto a auditar em equipe"&amp;", "&amp;COUNTIF(F24:I24,"Em formação")&amp;" em formação"&amp;", "&amp;COUNTIF(F24:I24,"Observação insuficiente")&amp;" observação insuficiente"</f>
        <v>0 apto a liderar, 0 apto a auditar em equipe, 0 em formação, 0 observação insuficiente</v>
      </c>
      <c r="G29" s="21"/>
      <c r="H29" s="21"/>
      <c r="I29" s="21"/>
    </row>
    <row r="30" customFormat="false" ht="21.75" hidden="false" customHeight="true" outlineLevel="0" collapsed="false">
      <c r="B30" s="20" t="s">
        <v>113</v>
      </c>
      <c r="C30" s="20"/>
      <c r="D30" s="20"/>
      <c r="E30" s="20"/>
      <c r="F30" s="22" t="str">
        <f aca="false">IF(F28=0,"Informe os auditores observados",IF(SUMPRODUCT((F25:I25&lt;&gt;"")*(F25:I25&lt;&gt;"OK"))&gt;0,"Há auditor a completar: veja a linha Conferência",IF(COUNTIF(F24:I24,"Em formação")&gt;0,"Há auditor em formação: planeje o acompanhamento","OK")))</f>
        <v>Informe os auditores observados</v>
      </c>
      <c r="G30" s="22"/>
      <c r="H30" s="22"/>
      <c r="I30" s="22"/>
    </row>
  </sheetData>
  <mergeCells count="16">
    <mergeCell ref="B1:I1"/>
    <mergeCell ref="B2:I2"/>
    <mergeCell ref="B5:E5"/>
    <mergeCell ref="B6:E6"/>
    <mergeCell ref="B21:E21"/>
    <mergeCell ref="B22:E22"/>
    <mergeCell ref="B23:E23"/>
    <mergeCell ref="B24:E24"/>
    <mergeCell ref="B25:E25"/>
    <mergeCell ref="B27:I27"/>
    <mergeCell ref="B28:E28"/>
    <mergeCell ref="F28:I28"/>
    <mergeCell ref="B29:E29"/>
    <mergeCell ref="F29:I29"/>
    <mergeCell ref="B30:E30"/>
    <mergeCell ref="F30:I30"/>
  </mergeCells>
  <conditionalFormatting sqref="F24:I24">
    <cfRule type="expression" priority="2" aboveAverage="0" equalAverage="0" bottom="0" percent="0" rank="0" text="" dxfId="0">
      <formula>F24="Apto a liderar"</formula>
    </cfRule>
    <cfRule type="expression" priority="3" aboveAverage="0" equalAverage="0" bottom="0" percent="0" rank="0" text="" dxfId="1">
      <formula>F24="Apto a auditar em equipe"</formula>
    </cfRule>
    <cfRule type="expression" priority="4" aboveAverage="0" equalAverage="0" bottom="0" percent="0" rank="0" text="" dxfId="2">
      <formula>F24="Em formação"</formula>
    </cfRule>
    <cfRule type="expression" priority="5" aboveAverage="0" equalAverage="0" bottom="0" percent="0" rank="0" text="" dxfId="4">
      <formula>F24="Observação insuficiente"</formula>
    </cfRule>
  </conditionalFormatting>
  <conditionalFormatting sqref="F25:I25">
    <cfRule type="expression" priority="6" aboveAverage="0" equalAverage="0" bottom="0" percent="0" rank="0" text="" dxfId="0">
      <formula>OR(F25="OK")</formula>
    </cfRule>
    <cfRule type="expression" priority="7" aboveAverage="0" equalAverage="0" bottom="0" percent="0" rank="0" text="" dxfId="3">
      <formula>AND(LEN(F25)&gt;0,NOT(OR(F25="OK")))</formula>
    </cfRule>
  </conditionalFormatting>
  <conditionalFormatting sqref="F8:I19">
    <cfRule type="expression" priority="8" aboveAverage="0" equalAverage="0" bottom="0" percent="0" rank="0" text="" dxfId="2">
      <formula>AND($E8="Sim",F8&lt;&gt;"",F8&lt;=1)</formula>
    </cfRule>
  </conditionalFormatting>
  <conditionalFormatting sqref="F30:I30">
    <cfRule type="expression" priority="9" aboveAverage="0" equalAverage="0" bottom="0" percent="0" rank="0" text="" dxfId="0">
      <formula>OR(F30="OK")</formula>
    </cfRule>
    <cfRule type="expression" priority="10" aboveAverage="0" equalAverage="0" bottom="0" percent="0" rank="0" text="" dxfId="3">
      <formula>AND(LEN(F30)&gt;0,NOT(OR(F30="OK")))</formula>
    </cfRule>
  </conditionalFormatting>
  <dataValidations count="1">
    <dataValidation allowBlank="true" error="Digite uma nota de 0 a 3, ou deixe em branco se não observou." errorStyle="stop" errorTitle="Valor inválido" operator="between" showDropDown="false" showErrorMessage="true" showInputMessage="false" sqref="F8:I19" type="whole">
      <formula1>0</formula1>
      <formula2>3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168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169</v>
      </c>
      <c r="C2" s="2"/>
      <c r="D2" s="2"/>
      <c r="E2" s="2"/>
      <c r="F2" s="2"/>
    </row>
    <row r="3" customFormat="false" ht="15" hidden="false" customHeight="false" outlineLevel="0" collapsed="false">
      <c r="B3" s="4" t="s">
        <v>170</v>
      </c>
      <c r="C3" s="21" t="str">
        <f aca="false">IF(Amostras!D4="","",Amostras!D4&amp;IF(Amostras!D5="",""," · "&amp;Amostras!D5))</f>
        <v/>
      </c>
      <c r="D3" s="21"/>
      <c r="E3" s="21"/>
      <c r="F3" s="21"/>
    </row>
    <row r="5" customFormat="false" ht="21.75" hidden="false" customHeight="true" outlineLevel="0" collapsed="false">
      <c r="B5" s="10" t="s">
        <v>171</v>
      </c>
      <c r="C5" s="10" t="s">
        <v>172</v>
      </c>
      <c r="D5" s="10" t="s">
        <v>173</v>
      </c>
      <c r="E5" s="10"/>
      <c r="F5" s="10"/>
    </row>
    <row r="6" customFormat="false" ht="21.75" hidden="false" customHeight="true" outlineLevel="0" collapsed="false">
      <c r="B6" s="26" t="s">
        <v>174</v>
      </c>
      <c r="C6" s="26"/>
      <c r="D6" s="26"/>
      <c r="E6" s="26"/>
      <c r="F6" s="26"/>
    </row>
    <row r="7" customFormat="false" ht="21.75" hidden="false" customHeight="true" outlineLevel="0" collapsed="false">
      <c r="B7" s="4" t="s">
        <v>57</v>
      </c>
      <c r="C7" s="15" t="n">
        <f aca="false">COUNTA(Amostras!C12:C41)</f>
        <v>0</v>
      </c>
      <c r="D7" s="27" t="s">
        <v>175</v>
      </c>
      <c r="E7" s="27"/>
      <c r="F7" s="27"/>
    </row>
    <row r="8" customFormat="false" ht="21.75" hidden="false" customHeight="true" outlineLevel="0" collapsed="false">
      <c r="B8" s="4" t="s">
        <v>176</v>
      </c>
      <c r="C8" s="15" t="n">
        <f aca="false">SUM(Amostras!K12:K41)</f>
        <v>0</v>
      </c>
      <c r="D8" s="27" t="s">
        <v>177</v>
      </c>
      <c r="E8" s="27"/>
      <c r="F8" s="27"/>
    </row>
    <row r="9" customFormat="false" ht="21.75" hidden="false" customHeight="true" outlineLevel="0" collapsed="false">
      <c r="B9" s="4" t="s">
        <v>92</v>
      </c>
      <c r="C9" s="15" t="n">
        <f aca="false">SUM(Amostras!L12:L41)</f>
        <v>0</v>
      </c>
      <c r="D9" s="27" t="s">
        <v>178</v>
      </c>
      <c r="E9" s="27"/>
      <c r="F9" s="27"/>
    </row>
    <row r="10" customFormat="false" ht="21.75" hidden="false" customHeight="true" outlineLevel="0" collapsed="false">
      <c r="B10" s="4" t="s">
        <v>31</v>
      </c>
      <c r="C10" s="15" t="n">
        <f aca="false">COUNTIF(Amostras!N12:N41,"Conforme na amostra")</f>
        <v>0</v>
      </c>
      <c r="D10" s="27" t="s">
        <v>179</v>
      </c>
      <c r="E10" s="27"/>
      <c r="F10" s="27"/>
    </row>
    <row r="11" customFormat="false" ht="21.75" hidden="false" customHeight="true" outlineLevel="0" collapsed="false">
      <c r="B11" s="4" t="s">
        <v>180</v>
      </c>
      <c r="C11" s="15" t="n">
        <f aca="false">COUNTIF(Amostras!N12:N41,"Desvio pontual: não conformidade, ampliar a amostra")</f>
        <v>0</v>
      </c>
      <c r="D11" s="27" t="s">
        <v>181</v>
      </c>
      <c r="E11" s="27"/>
      <c r="F11" s="27"/>
    </row>
    <row r="12" customFormat="false" ht="21.75" hidden="false" customHeight="true" outlineLevel="0" collapsed="false">
      <c r="B12" s="4" t="s">
        <v>182</v>
      </c>
      <c r="C12" s="15" t="n">
        <f aca="false">COUNTIF(Amostras!N12:N41,"Desvio repetido: não conformidade")</f>
        <v>0</v>
      </c>
      <c r="D12" s="27" t="s">
        <v>183</v>
      </c>
      <c r="E12" s="27"/>
      <c r="F12" s="27"/>
    </row>
    <row r="13" customFormat="false" ht="21.75" hidden="false" customHeight="true" outlineLevel="0" collapsed="false">
      <c r="B13" s="4" t="s">
        <v>37</v>
      </c>
      <c r="C13" s="15" t="n">
        <f aca="false">COUNTIF(Amostras!N12:N41,"Amostra incompleta")</f>
        <v>0</v>
      </c>
      <c r="D13" s="27" t="s">
        <v>184</v>
      </c>
      <c r="E13" s="27"/>
      <c r="F13" s="27"/>
    </row>
    <row r="14" customFormat="false" ht="21.75" hidden="false" customHeight="true" outlineLevel="0" collapsed="false">
      <c r="B14" s="26" t="s">
        <v>185</v>
      </c>
      <c r="C14" s="26"/>
      <c r="D14" s="26"/>
      <c r="E14" s="26"/>
      <c r="F14" s="26"/>
    </row>
    <row r="15" customFormat="false" ht="21.75" hidden="false" customHeight="true" outlineLevel="0" collapsed="false">
      <c r="B15" s="4" t="s">
        <v>132</v>
      </c>
      <c r="C15" s="15" t="n">
        <f aca="false">COUNTA(Evidências!C7:C66)</f>
        <v>0</v>
      </c>
      <c r="D15" s="27" t="s">
        <v>186</v>
      </c>
      <c r="E15" s="27"/>
      <c r="F15" s="27"/>
    </row>
    <row r="16" customFormat="false" ht="21.75" hidden="false" customHeight="true" outlineLevel="0" collapsed="false">
      <c r="B16" s="4" t="s">
        <v>187</v>
      </c>
      <c r="C16" s="15" t="n">
        <f aca="false">COUNTIF(Evidências!H7:H66,"Não conformidade")</f>
        <v>0</v>
      </c>
      <c r="D16" s="27" t="s">
        <v>188</v>
      </c>
      <c r="E16" s="27"/>
      <c r="F16" s="27"/>
    </row>
    <row r="17" customFormat="false" ht="21.75" hidden="false" customHeight="true" outlineLevel="0" collapsed="false">
      <c r="B17" s="4" t="s">
        <v>189</v>
      </c>
      <c r="C17" s="15" t="n">
        <f aca="false">COUNTIF(Evidências!J7:J66,"Forte")</f>
        <v>0</v>
      </c>
      <c r="D17" s="27" t="s">
        <v>190</v>
      </c>
      <c r="E17" s="27"/>
      <c r="F17" s="27"/>
    </row>
    <row r="18" customFormat="false" ht="21.75" hidden="false" customHeight="true" outlineLevel="0" collapsed="false">
      <c r="B18" s="4" t="s">
        <v>191</v>
      </c>
      <c r="C18" s="15" t="n">
        <f aca="false">COUNTIF(Evidências!J7:J66,"Fraca")</f>
        <v>0</v>
      </c>
      <c r="D18" s="27" t="s">
        <v>192</v>
      </c>
      <c r="E18" s="27"/>
      <c r="F18" s="27"/>
    </row>
    <row r="19" customFormat="false" ht="21.75" hidden="false" customHeight="true" outlineLevel="0" collapsed="false">
      <c r="B19" s="4" t="s">
        <v>193</v>
      </c>
      <c r="C19" s="15" t="n">
        <f aca="false">COUNTIF(Evidências!K7:K66,"Não conformidade sem evidência objetiva")</f>
        <v>0</v>
      </c>
      <c r="D19" s="27" t="s">
        <v>194</v>
      </c>
      <c r="E19" s="27"/>
      <c r="F19" s="27"/>
    </row>
    <row r="20" customFormat="false" ht="21.75" hidden="false" customHeight="true" outlineLevel="0" collapsed="false">
      <c r="B20" s="26" t="s">
        <v>195</v>
      </c>
      <c r="C20" s="26"/>
      <c r="D20" s="26"/>
      <c r="E20" s="26"/>
      <c r="F20" s="26"/>
    </row>
    <row r="21" customFormat="false" ht="21.75" hidden="false" customHeight="true" outlineLevel="0" collapsed="false">
      <c r="B21" s="4" t="s">
        <v>166</v>
      </c>
      <c r="C21" s="15" t="n">
        <f aca="false">COUNTA(Auditores!F5:I5)</f>
        <v>0</v>
      </c>
      <c r="D21" s="27" t="s">
        <v>196</v>
      </c>
      <c r="E21" s="27"/>
      <c r="F21" s="27"/>
    </row>
    <row r="22" customFormat="false" ht="21.75" hidden="false" customHeight="true" outlineLevel="0" collapsed="false">
      <c r="B22" s="4" t="s">
        <v>197</v>
      </c>
      <c r="C22" s="15" t="n">
        <f aca="false">COUNTIF(Auditores!F24:I24,"Apto a liderar")</f>
        <v>0</v>
      </c>
      <c r="D22" s="27" t="s">
        <v>198</v>
      </c>
      <c r="E22" s="27"/>
      <c r="F22" s="27"/>
    </row>
    <row r="23" customFormat="false" ht="21.75" hidden="false" customHeight="true" outlineLevel="0" collapsed="false">
      <c r="B23" s="4" t="s">
        <v>199</v>
      </c>
      <c r="C23" s="15" t="n">
        <f aca="false">COUNTIF(Auditores!F24:I24,"Apto a auditar em equipe")</f>
        <v>0</v>
      </c>
      <c r="D23" s="27" t="s">
        <v>200</v>
      </c>
      <c r="E23" s="27"/>
      <c r="F23" s="27"/>
    </row>
    <row r="24" customFormat="false" ht="21.75" hidden="false" customHeight="true" outlineLevel="0" collapsed="false">
      <c r="B24" s="4" t="s">
        <v>201</v>
      </c>
      <c r="C24" s="15" t="n">
        <f aca="false">COUNTIF(Auditores!F24:I24,"Em formação")</f>
        <v>0</v>
      </c>
      <c r="D24" s="27" t="s">
        <v>202</v>
      </c>
      <c r="E24" s="27"/>
      <c r="F24" s="27"/>
    </row>
    <row r="25" customFormat="false" ht="21.75" hidden="false" customHeight="true" outlineLevel="0" collapsed="false">
      <c r="B25" s="4" t="s">
        <v>203</v>
      </c>
      <c r="C25" s="15" t="n">
        <f aca="false">SUMPRODUCT((Amostras!O12:O41&lt;&gt;"")*(Amostras!O12:O41&lt;&gt;"OK"))+SUMPRODUCT((Evidências!K7:K66&lt;&gt;"")*(Evidências!K7:K66&lt;&gt;"OK"))</f>
        <v>0</v>
      </c>
      <c r="D25" s="27" t="s">
        <v>204</v>
      </c>
      <c r="E25" s="27"/>
      <c r="F25" s="27"/>
    </row>
    <row r="27" customFormat="false" ht="21.75" hidden="false" customHeight="true" outlineLevel="0" collapsed="false">
      <c r="B27" s="19" t="s">
        <v>111</v>
      </c>
      <c r="C27" s="19"/>
      <c r="D27" s="19"/>
      <c r="E27" s="19"/>
      <c r="F27" s="19"/>
    </row>
    <row r="28" customFormat="false" ht="21.75" hidden="false" customHeight="true" outlineLevel="0" collapsed="false">
      <c r="B28" s="4" t="s">
        <v>113</v>
      </c>
      <c r="C28" s="22" t="str">
        <f aca="false">IF(C7+C15=0,"Preencha as abas Amostras e Evidências",IF(C19&gt;0,"Há não conformidade sem evidência objetiva",IF(C11&gt;0,"Há desvio pontual: amplie a amostra",IF(C13&gt;0,"Há amostra incompleta",IF(C25&gt;0,"Há linha a completar: veja as conferências",IF(C24&gt;0,"Há auditor em formação: planeje o acompanhamento","OK"))))))</f>
        <v>Preencha as abas Amostras e Evidências</v>
      </c>
      <c r="D28" s="22"/>
      <c r="E28" s="22"/>
      <c r="F28" s="22"/>
    </row>
    <row r="30" customFormat="false" ht="15" hidden="false" customHeight="false" outlineLevel="0" collapsed="false">
      <c r="B30" s="28" t="s">
        <v>205</v>
      </c>
    </row>
    <row r="31" customFormat="false" ht="15" hidden="false" customHeight="false" outlineLevel="0" collapsed="false">
      <c r="B31" s="23" t="s">
        <v>31</v>
      </c>
      <c r="C31" s="16" t="n">
        <f aca="false">COUNTIF(Amostras!N12:N41,B31)</f>
        <v>0</v>
      </c>
    </row>
    <row r="32" customFormat="false" ht="22.35" hidden="false" customHeight="false" outlineLevel="0" collapsed="false">
      <c r="B32" s="23" t="s">
        <v>33</v>
      </c>
      <c r="C32" s="16" t="n">
        <f aca="false">COUNTIF(Amostras!N12:N41,B32)</f>
        <v>0</v>
      </c>
    </row>
    <row r="33" customFormat="false" ht="15" hidden="false" customHeight="false" outlineLevel="0" collapsed="false">
      <c r="B33" s="23" t="s">
        <v>35</v>
      </c>
      <c r="C33" s="16" t="n">
        <f aca="false">COUNTIF(Amostras!N12:N41,B33)</f>
        <v>0</v>
      </c>
    </row>
    <row r="34" customFormat="false" ht="15" hidden="false" customHeight="false" outlineLevel="0" collapsed="false">
      <c r="B34" s="23" t="s">
        <v>37</v>
      </c>
      <c r="C34" s="16" t="n">
        <f aca="false">COUNTIF(Amostras!N12:N41,B34)</f>
        <v>0</v>
      </c>
    </row>
  </sheetData>
  <mergeCells count="26">
    <mergeCell ref="B1:F1"/>
    <mergeCell ref="B2:F2"/>
    <mergeCell ref="C3:F3"/>
    <mergeCell ref="D5:F5"/>
    <mergeCell ref="B6:F6"/>
    <mergeCell ref="D7:F7"/>
    <mergeCell ref="D8:F8"/>
    <mergeCell ref="D9:F9"/>
    <mergeCell ref="D10:F10"/>
    <mergeCell ref="D11:F11"/>
    <mergeCell ref="D12:F12"/>
    <mergeCell ref="D13:F13"/>
    <mergeCell ref="B14:F14"/>
    <mergeCell ref="D15:F15"/>
    <mergeCell ref="D16:F16"/>
    <mergeCell ref="D17:F17"/>
    <mergeCell ref="D18:F18"/>
    <mergeCell ref="D19:F19"/>
    <mergeCell ref="B20:F20"/>
    <mergeCell ref="D21:F21"/>
    <mergeCell ref="D22:F22"/>
    <mergeCell ref="D23:F23"/>
    <mergeCell ref="D24:F24"/>
    <mergeCell ref="D25:F25"/>
    <mergeCell ref="B27:F27"/>
    <mergeCell ref="C28:F28"/>
  </mergeCells>
  <conditionalFormatting sqref="C28:F28">
    <cfRule type="expression" priority="2" aboveAverage="0" equalAverage="0" bottom="0" percent="0" rank="0" text="" dxfId="0">
      <formula>OR(C28="OK")</formula>
    </cfRule>
    <cfRule type="expression" priority="3" aboveAverage="0" equalAverage="0" bottom="0" percent="0" rank="0" text="" dxfId="3">
      <formula>AND(LEN(C28)&gt;0,NOT(OR(C28="OK")))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206</v>
      </c>
      <c r="C1" s="1"/>
      <c r="D1" s="1"/>
      <c r="E1" s="1"/>
    </row>
    <row r="2" customFormat="false" ht="19.5" hidden="false" customHeight="true" outlineLevel="0" collapsed="false">
      <c r="B2" s="2" t="s">
        <v>207</v>
      </c>
      <c r="C2" s="2"/>
      <c r="D2" s="2"/>
      <c r="E2" s="2"/>
    </row>
    <row r="4" customFormat="false" ht="21.75" hidden="false" customHeight="true" outlineLevel="0" collapsed="false">
      <c r="B4" s="10" t="s">
        <v>82</v>
      </c>
      <c r="C4" s="10" t="s">
        <v>208</v>
      </c>
      <c r="D4" s="10" t="s">
        <v>209</v>
      </c>
      <c r="E4" s="10" t="s">
        <v>210</v>
      </c>
    </row>
    <row r="5" customFormat="false" ht="30" hidden="false" customHeight="true" outlineLevel="0" collapsed="false">
      <c r="B5" s="13" t="n">
        <v>1</v>
      </c>
      <c r="C5" s="6" t="s">
        <v>211</v>
      </c>
      <c r="D5" s="8"/>
      <c r="E5" s="5"/>
    </row>
    <row r="6" customFormat="false" ht="30" hidden="false" customHeight="true" outlineLevel="0" collapsed="false">
      <c r="B6" s="13" t="n">
        <v>2</v>
      </c>
      <c r="C6" s="6" t="s">
        <v>212</v>
      </c>
      <c r="D6" s="8"/>
      <c r="E6" s="5"/>
    </row>
    <row r="7" customFormat="false" ht="30" hidden="false" customHeight="true" outlineLevel="0" collapsed="false">
      <c r="B7" s="13" t="n">
        <v>3</v>
      </c>
      <c r="C7" s="6" t="s">
        <v>213</v>
      </c>
      <c r="D7" s="8"/>
      <c r="E7" s="5"/>
    </row>
    <row r="8" customFormat="false" ht="30" hidden="false" customHeight="true" outlineLevel="0" collapsed="false">
      <c r="B8" s="13" t="n">
        <v>4</v>
      </c>
      <c r="C8" s="6" t="s">
        <v>214</v>
      </c>
      <c r="D8" s="8"/>
      <c r="E8" s="5"/>
    </row>
    <row r="9" customFormat="false" ht="30" hidden="false" customHeight="true" outlineLevel="0" collapsed="false">
      <c r="B9" s="13" t="n">
        <v>5</v>
      </c>
      <c r="C9" s="6" t="s">
        <v>215</v>
      </c>
      <c r="D9" s="8"/>
      <c r="E9" s="5"/>
    </row>
    <row r="10" customFormat="false" ht="30" hidden="false" customHeight="true" outlineLevel="0" collapsed="false">
      <c r="B10" s="13" t="n">
        <v>6</v>
      </c>
      <c r="C10" s="6" t="s">
        <v>216</v>
      </c>
      <c r="D10" s="8"/>
      <c r="E10" s="5"/>
    </row>
    <row r="11" customFormat="false" ht="30" hidden="false" customHeight="true" outlineLevel="0" collapsed="false">
      <c r="B11" s="13" t="n">
        <v>7</v>
      </c>
      <c r="C11" s="6" t="s">
        <v>217</v>
      </c>
      <c r="D11" s="8"/>
      <c r="E11" s="5"/>
    </row>
    <row r="12" customFormat="false" ht="30" hidden="false" customHeight="true" outlineLevel="0" collapsed="false">
      <c r="B12" s="13" t="n">
        <v>8</v>
      </c>
      <c r="C12" s="6" t="s">
        <v>218</v>
      </c>
      <c r="D12" s="8"/>
      <c r="E12" s="5"/>
    </row>
    <row r="13" customFormat="false" ht="30" hidden="false" customHeight="true" outlineLevel="0" collapsed="false">
      <c r="B13" s="13" t="n">
        <v>9</v>
      </c>
      <c r="C13" s="6" t="s">
        <v>219</v>
      </c>
      <c r="D13" s="8"/>
      <c r="E13" s="5"/>
    </row>
    <row r="14" customFormat="false" ht="30" hidden="false" customHeight="true" outlineLevel="0" collapsed="false">
      <c r="B14" s="13" t="n">
        <v>10</v>
      </c>
      <c r="C14" s="6" t="s">
        <v>220</v>
      </c>
      <c r="D14" s="8"/>
      <c r="E14" s="5"/>
    </row>
    <row r="15" customFormat="false" ht="30" hidden="false" customHeight="true" outlineLevel="0" collapsed="false">
      <c r="B15" s="13" t="n">
        <v>11</v>
      </c>
      <c r="C15" s="6" t="s">
        <v>221</v>
      </c>
      <c r="D15" s="8"/>
      <c r="E15" s="5"/>
    </row>
    <row r="16" customFormat="false" ht="30" hidden="false" customHeight="true" outlineLevel="0" collapsed="false">
      <c r="B16" s="13" t="n">
        <v>12</v>
      </c>
      <c r="C16" s="6" t="s">
        <v>222</v>
      </c>
      <c r="D16" s="8"/>
      <c r="E16" s="5"/>
    </row>
    <row r="18" customFormat="false" ht="21.75" hidden="false" customHeight="true" outlineLevel="0" collapsed="false">
      <c r="B18" s="19" t="s">
        <v>111</v>
      </c>
      <c r="C18" s="19"/>
      <c r="D18" s="19"/>
      <c r="E18" s="19"/>
    </row>
    <row r="19" customFormat="false" ht="19.5" hidden="false" customHeight="true" outlineLevel="0" collapsed="false">
      <c r="B19" s="20" t="s">
        <v>223</v>
      </c>
      <c r="C19" s="20"/>
      <c r="D19" s="15" t="n">
        <f aca="false">COUNTIF(D5:D16,"Sim")</f>
        <v>0</v>
      </c>
    </row>
    <row r="20" customFormat="false" ht="19.5" hidden="false" customHeight="true" outlineLevel="0" collapsed="false">
      <c r="B20" s="20" t="s">
        <v>224</v>
      </c>
      <c r="C20" s="20"/>
      <c r="D20" s="15" t="n">
        <f aca="false">COUNTIF(D5:D16,"Parcial")</f>
        <v>0</v>
      </c>
    </row>
    <row r="21" customFormat="false" ht="19.5" hidden="false" customHeight="true" outlineLevel="0" collapsed="false">
      <c r="B21" s="20" t="s">
        <v>225</v>
      </c>
      <c r="C21" s="20"/>
      <c r="D21" s="15" t="n">
        <f aca="false">COUNTIF(D5:D16,"Não")</f>
        <v>0</v>
      </c>
    </row>
    <row r="22" customFormat="false" ht="19.5" hidden="false" customHeight="true" outlineLevel="0" collapsed="false">
      <c r="B22" s="20" t="s">
        <v>226</v>
      </c>
      <c r="C22" s="20"/>
      <c r="D22" s="15" t="n">
        <f aca="false">COUNTBLANK(D5:D16)</f>
        <v>12</v>
      </c>
    </row>
    <row r="23" customFormat="false" ht="19.5" hidden="false" customHeight="true" outlineLevel="0" collapsed="false">
      <c r="B23" s="20" t="s">
        <v>227</v>
      </c>
      <c r="C23" s="20"/>
      <c r="D23" s="25" t="n">
        <f aca="false">D19/ROWS(D5:D16)</f>
        <v>0</v>
      </c>
    </row>
    <row r="24" customFormat="false" ht="19.5" hidden="false" customHeight="true" outlineLevel="0" collapsed="false">
      <c r="B24" s="20" t="s">
        <v>228</v>
      </c>
      <c r="C24" s="20"/>
      <c r="D24" s="15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3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8" min="6" style="0" width="15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32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229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230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170</v>
      </c>
      <c r="C4" s="4"/>
      <c r="D4" s="29" t="s">
        <v>231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customFormat="false" ht="19.5" hidden="false" customHeight="true" outlineLevel="0" collapsed="false">
      <c r="B5" s="4" t="s">
        <v>232</v>
      </c>
      <c r="C5" s="4"/>
      <c r="D5" s="29" t="s">
        <v>233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customFormat="false" ht="19.5" hidden="false" customHeight="true" outlineLevel="0" collapsed="false">
      <c r="B6" s="4" t="s">
        <v>81</v>
      </c>
      <c r="C6" s="4"/>
      <c r="D6" s="29" t="s">
        <v>234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customFormat="false" ht="19.5" hidden="false" customHeight="true" outlineLevel="0" collapsed="false">
      <c r="B7" s="4" t="s">
        <v>235</v>
      </c>
      <c r="C7" s="4"/>
      <c r="D7" s="29" t="s">
        <v>236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customFormat="false" ht="19.5" hidden="false" customHeight="true" outlineLevel="0" collapsed="false">
      <c r="B8" s="4" t="s">
        <v>237</v>
      </c>
      <c r="C8" s="4"/>
      <c r="D8" s="29" t="s">
        <v>238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customFormat="false" ht="19.5" hidden="false" customHeight="true" outlineLevel="0" collapsed="false">
      <c r="B9" s="4" t="s">
        <v>239</v>
      </c>
      <c r="C9" s="4"/>
      <c r="D9" s="29" t="s">
        <v>240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customFormat="false" ht="15" hidden="false" customHeight="true" outlineLevel="0" collapsed="false">
      <c r="B10" s="4" t="s">
        <v>80</v>
      </c>
      <c r="C10" s="4"/>
      <c r="D10" s="30" t="n">
        <v>46464</v>
      </c>
    </row>
    <row r="12" customFormat="false" ht="21.75" hidden="false" customHeight="true" outlineLevel="0" collapsed="false">
      <c r="B12" s="31" t="s">
        <v>57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customFormat="false" ht="30" hidden="false" customHeight="true" outlineLevel="0" collapsed="false">
      <c r="B13" s="15" t="s">
        <v>82</v>
      </c>
      <c r="C13" s="15" t="s">
        <v>83</v>
      </c>
      <c r="D13" s="15" t="s">
        <v>84</v>
      </c>
      <c r="E13" s="15" t="s">
        <v>85</v>
      </c>
      <c r="F13" s="15" t="s">
        <v>86</v>
      </c>
      <c r="G13" s="15" t="s">
        <v>87</v>
      </c>
      <c r="H13" s="15" t="s">
        <v>88</v>
      </c>
      <c r="I13" s="15" t="s">
        <v>89</v>
      </c>
      <c r="J13" s="15" t="s">
        <v>90</v>
      </c>
      <c r="K13" s="15" t="s">
        <v>91</v>
      </c>
      <c r="L13" s="15" t="s">
        <v>92</v>
      </c>
      <c r="M13" s="15" t="s">
        <v>93</v>
      </c>
      <c r="N13" s="15" t="s">
        <v>94</v>
      </c>
      <c r="O13" s="15" t="s">
        <v>95</v>
      </c>
    </row>
    <row r="14" customFormat="false" ht="30.75" hidden="false" customHeight="true" outlineLevel="0" collapsed="false">
      <c r="B14" s="13" t="n">
        <v>1</v>
      </c>
      <c r="C14" s="32" t="s">
        <v>241</v>
      </c>
      <c r="D14" s="33" t="s">
        <v>242</v>
      </c>
      <c r="E14" s="34" t="s">
        <v>243</v>
      </c>
      <c r="F14" s="35" t="n">
        <v>620</v>
      </c>
      <c r="G14" s="33" t="s">
        <v>244</v>
      </c>
      <c r="H14" s="35" t="n">
        <v>7</v>
      </c>
      <c r="I14" s="15" t="n">
        <f aca="false">IF(OR(N(F14)=0,G14=""),"",IF(F14&lt;=5,F14,IFERROR(MIN(F14,MAX(3,ROUNDUP(IF(F14&lt;=20,5,IF(F14&lt;=50,8,IF(F14&lt;=100,10,IF(F14&lt;=500,15,20))))*IF(G14="Alto",1.5,IF(G14="Médio",1,IF(G14="Baixo",0.6,"")))-0.000000001,0))),"")))</f>
        <v>20</v>
      </c>
      <c r="J14" s="16" t="n">
        <f aca="false">IF(I14="","",INT(F14/I14))</f>
        <v>31</v>
      </c>
      <c r="K14" s="35" t="n">
        <v>20</v>
      </c>
      <c r="L14" s="35" t="n">
        <v>3</v>
      </c>
      <c r="M14" s="34" t="s">
        <v>245</v>
      </c>
      <c r="N14" s="17" t="str">
        <f aca="false">IF(OR(I14="",K14="",L14=""),"",IF(K14&lt;I14,"Amostra incompleta",IF(L14=0,"Conforme na amostra",IF(L14=1,"Desvio pontual: não conformidade, ampliar a amostra","Desvio repetido: não conformidade"))))</f>
        <v>Desvio repetido: não conformidade</v>
      </c>
      <c r="O14" s="18" t="str">
        <f aca="false">IF(C14="","",IF(N(F14)=0,"Falta a população",IF(G14="","Falta o risco",IF(OR(H14="",H14&lt;1,H14&gt;J14),"Início deve ir de 1 a "&amp;J14,IF(K14="","Falta quantos foram verificados",IF(K14&gt;F14,"Verificados acima da população",IF(L14="","Falta quantos desvios",IF(L14&gt;K14,"Mais desvios que verificados","OK"))))))))</f>
        <v>OK</v>
      </c>
    </row>
    <row r="15" customFormat="false" ht="30.75" hidden="false" customHeight="true" outlineLevel="0" collapsed="false">
      <c r="B15" s="13" t="n">
        <v>2</v>
      </c>
      <c r="C15" s="32" t="s">
        <v>246</v>
      </c>
      <c r="D15" s="33" t="s">
        <v>247</v>
      </c>
      <c r="E15" s="34" t="s">
        <v>243</v>
      </c>
      <c r="F15" s="35" t="n">
        <v>56</v>
      </c>
      <c r="G15" s="33" t="s">
        <v>244</v>
      </c>
      <c r="H15" s="35" t="n">
        <v>2</v>
      </c>
      <c r="I15" s="15" t="n">
        <f aca="false">IF(OR(N(F15)=0,G15=""),"",IF(F15&lt;=5,F15,IFERROR(MIN(F15,MAX(3,ROUNDUP(IF(F15&lt;=20,5,IF(F15&lt;=50,8,IF(F15&lt;=100,10,IF(F15&lt;=500,15,20))))*IF(G15="Alto",1.5,IF(G15="Médio",1,IF(G15="Baixo",0.6,"")))-0.000000001,0))),"")))</f>
        <v>10</v>
      </c>
      <c r="J15" s="16" t="n">
        <f aca="false">IF(I15="","",INT(F15/I15))</f>
        <v>5</v>
      </c>
      <c r="K15" s="35" t="n">
        <v>10</v>
      </c>
      <c r="L15" s="35" t="n">
        <v>1</v>
      </c>
      <c r="M15" s="34" t="s">
        <v>248</v>
      </c>
      <c r="N15" s="17" t="str">
        <f aca="false">IF(OR(I15="",K15="",L15=""),"",IF(K15&lt;I15,"Amostra incompleta",IF(L15=0,"Conforme na amostra",IF(L15=1,"Desvio pontual: não conformidade, ampliar a amostra","Desvio repetido: não conformidade"))))</f>
        <v>Desvio pontual: não conformidade, ampliar a amostra</v>
      </c>
      <c r="O15" s="18" t="str">
        <f aca="false">IF(C15="","",IF(N(F15)=0,"Falta a população",IF(G15="","Falta o risco",IF(OR(H15="",H15&lt;1,H15&gt;J15),"Início deve ir de 1 a "&amp;J15,IF(K15="","Falta quantos foram verificados",IF(K15&gt;F15,"Verificados acima da população",IF(L15="","Falta quantos desvios",IF(L15&gt;K15,"Mais desvios que verificados","OK"))))))))</f>
        <v>OK</v>
      </c>
    </row>
    <row r="16" customFormat="false" ht="30.75" hidden="false" customHeight="true" outlineLevel="0" collapsed="false">
      <c r="B16" s="13" t="n">
        <v>3</v>
      </c>
      <c r="C16" s="32" t="s">
        <v>249</v>
      </c>
      <c r="D16" s="33" t="s">
        <v>107</v>
      </c>
      <c r="E16" s="34" t="s">
        <v>243</v>
      </c>
      <c r="F16" s="35" t="n">
        <v>48</v>
      </c>
      <c r="G16" s="33" t="s">
        <v>109</v>
      </c>
      <c r="H16" s="35" t="n">
        <v>3</v>
      </c>
      <c r="I16" s="15" t="n">
        <f aca="false">IF(OR(N(F16)=0,G16=""),"",IF(F16&lt;=5,F16,IFERROR(MIN(F16,MAX(3,ROUNDUP(IF(F16&lt;=20,5,IF(F16&lt;=50,8,IF(F16&lt;=100,10,IF(F16&lt;=500,15,20))))*IF(G16="Alto",1.5,IF(G16="Médio",1,IF(G16="Baixo",0.6,"")))-0.000000001,0))),"")))</f>
        <v>12</v>
      </c>
      <c r="J16" s="16" t="n">
        <f aca="false">IF(I16="","",INT(F16/I16))</f>
        <v>4</v>
      </c>
      <c r="K16" s="35" t="n">
        <v>12</v>
      </c>
      <c r="L16" s="35" t="n">
        <v>0</v>
      </c>
      <c r="M16" s="34"/>
      <c r="N16" s="17" t="str">
        <f aca="false">IF(OR(I16="",K16="",L16=""),"",IF(K16&lt;I16,"Amostra incompleta",IF(L16=0,"Conforme na amostra",IF(L16=1,"Desvio pontual: não conformidade, ampliar a amostra","Desvio repetido: não conformidade"))))</f>
        <v>Conforme na amostra</v>
      </c>
      <c r="O16" s="18" t="str">
        <f aca="false">IF(C16="","",IF(N(F16)=0,"Falta a população",IF(G16="","Falta o risco",IF(OR(H16="",H16&lt;1,H16&gt;J16),"Início deve ir de 1 a "&amp;J16,IF(K16="","Falta quantos foram verificados",IF(K16&gt;F16,"Verificados acima da população",IF(L16="","Falta quantos desvios",IF(L16&gt;K16,"Mais desvios que verificados","OK"))))))))</f>
        <v>OK</v>
      </c>
    </row>
    <row r="17" customFormat="false" ht="30.75" hidden="false" customHeight="true" outlineLevel="0" collapsed="false">
      <c r="B17" s="13" t="n">
        <v>4</v>
      </c>
      <c r="C17" s="32" t="s">
        <v>250</v>
      </c>
      <c r="D17" s="33" t="s">
        <v>251</v>
      </c>
      <c r="E17" s="34" t="s">
        <v>252</v>
      </c>
      <c r="F17" s="35" t="n">
        <v>6</v>
      </c>
      <c r="G17" s="33" t="s">
        <v>253</v>
      </c>
      <c r="H17" s="35" t="n">
        <v>1</v>
      </c>
      <c r="I17" s="15" t="n">
        <f aca="false">IF(OR(N(F17)=0,G17=""),"",IF(F17&lt;=5,F17,IFERROR(MIN(F17,MAX(3,ROUNDUP(IF(F17&lt;=20,5,IF(F17&lt;=50,8,IF(F17&lt;=100,10,IF(F17&lt;=500,15,20))))*IF(G17="Alto",1.5,IF(G17="Médio",1,IF(G17="Baixo",0.6,"")))-0.000000001,0))),"")))</f>
        <v>3</v>
      </c>
      <c r="J17" s="16" t="n">
        <f aca="false">IF(I17="","",INT(F17/I17))</f>
        <v>2</v>
      </c>
      <c r="K17" s="35" t="n">
        <v>3</v>
      </c>
      <c r="L17" s="35" t="n">
        <v>0</v>
      </c>
      <c r="M17" s="34"/>
      <c r="N17" s="17" t="str">
        <f aca="false">IF(OR(I17="",K17="",L17=""),"",IF(K17&lt;I17,"Amostra incompleta",IF(L17=0,"Conforme na amostra",IF(L17=1,"Desvio pontual: não conformidade, ampliar a amostra","Desvio repetido: não conformidade"))))</f>
        <v>Conforme na amostra</v>
      </c>
      <c r="O17" s="18" t="str">
        <f aca="false">IF(C17="","",IF(N(F17)=0,"Falta a população",IF(G17="","Falta o risco",IF(OR(H17="",H17&lt;1,H17&gt;J17),"Início deve ir de 1 a "&amp;J17,IF(K17="","Falta quantos foram verificados",IF(K17&gt;F17,"Verificados acima da população",IF(L17="","Falta quantos desvios",IF(L17&gt;K17,"Mais desvios que verificados","OK"))))))))</f>
        <v>OK</v>
      </c>
    </row>
    <row r="18" customFormat="false" ht="30.75" hidden="false" customHeight="true" outlineLevel="0" collapsed="false">
      <c r="B18" s="13" t="n">
        <v>5</v>
      </c>
      <c r="C18" s="32" t="s">
        <v>254</v>
      </c>
      <c r="D18" s="33" t="s">
        <v>247</v>
      </c>
      <c r="E18" s="34" t="s">
        <v>243</v>
      </c>
      <c r="F18" s="35" t="n">
        <v>28</v>
      </c>
      <c r="G18" s="33" t="s">
        <v>244</v>
      </c>
      <c r="H18" s="35" t="n">
        <v>2</v>
      </c>
      <c r="I18" s="15" t="n">
        <f aca="false">IF(OR(N(F18)=0,G18=""),"",IF(F18&lt;=5,F18,IFERROR(MIN(F18,MAX(3,ROUNDUP(IF(F18&lt;=20,5,IF(F18&lt;=50,8,IF(F18&lt;=100,10,IF(F18&lt;=500,15,20))))*IF(G18="Alto",1.5,IF(G18="Médio",1,IF(G18="Baixo",0.6,"")))-0.000000001,0))),"")))</f>
        <v>8</v>
      </c>
      <c r="J18" s="16" t="n">
        <f aca="false">IF(I18="","",INT(F18/I18))</f>
        <v>3</v>
      </c>
      <c r="K18" s="35" t="n">
        <v>6</v>
      </c>
      <c r="L18" s="35" t="n">
        <v>0</v>
      </c>
      <c r="M18" s="34" t="s">
        <v>255</v>
      </c>
      <c r="N18" s="17" t="str">
        <f aca="false">IF(OR(I18="",K18="",L18=""),"",IF(K18&lt;I18,"Amostra incompleta",IF(L18=0,"Conforme na amostra",IF(L18=1,"Desvio pontual: não conformidade, ampliar a amostra","Desvio repetido: não conformidade"))))</f>
        <v>Amostra incompleta</v>
      </c>
      <c r="O18" s="18" t="str">
        <f aca="false">IF(C18="","",IF(N(F18)=0,"Falta a população",IF(G18="","Falta o risco",IF(OR(H18="",H18&lt;1,H18&gt;J18),"Início deve ir de 1 a "&amp;J18,IF(K18="","Falta quantos foram verificados",IF(K18&gt;F18,"Verificados acima da população",IF(L18="","Falta quantos desvios",IF(L18&gt;K18,"Mais desvios que verificados","OK"))))))))</f>
        <v>OK</v>
      </c>
    </row>
    <row r="20" customFormat="false" ht="21.75" hidden="false" customHeight="true" outlineLevel="0" collapsed="false">
      <c r="B20" s="36" t="s">
        <v>59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customFormat="false" ht="30" hidden="false" customHeight="true" outlineLevel="0" collapsed="false">
      <c r="B21" s="15" t="s">
        <v>82</v>
      </c>
      <c r="C21" s="15" t="s">
        <v>115</v>
      </c>
      <c r="D21" s="15" t="s">
        <v>84</v>
      </c>
      <c r="E21" s="15" t="s">
        <v>116</v>
      </c>
      <c r="F21" s="15" t="s">
        <v>93</v>
      </c>
      <c r="G21" s="15"/>
      <c r="H21" s="15" t="s">
        <v>117</v>
      </c>
      <c r="I21" s="15"/>
      <c r="J21" s="15"/>
      <c r="K21" s="15" t="s">
        <v>118</v>
      </c>
      <c r="L21" s="15"/>
      <c r="M21" s="15" t="s">
        <v>120</v>
      </c>
      <c r="N21" s="15" t="s">
        <v>95</v>
      </c>
      <c r="O21" s="15"/>
    </row>
    <row r="22" customFormat="false" ht="30.75" hidden="false" customHeight="true" outlineLevel="0" collapsed="false">
      <c r="B22" s="13" t="n">
        <v>1</v>
      </c>
      <c r="C22" s="37" t="s">
        <v>256</v>
      </c>
      <c r="D22" s="33" t="s">
        <v>242</v>
      </c>
      <c r="E22" s="34" t="s">
        <v>257</v>
      </c>
      <c r="F22" s="34" t="s">
        <v>258</v>
      </c>
      <c r="G22" s="34"/>
      <c r="H22" s="34" t="s">
        <v>259</v>
      </c>
      <c r="I22" s="34"/>
      <c r="J22" s="34"/>
      <c r="K22" s="38" t="s">
        <v>260</v>
      </c>
      <c r="L22" s="38"/>
      <c r="M22" s="39" t="str">
        <f aca="false">IF(COUNTA(E22,F22,H22)=0,"",IF(COUNTA(E22,F22,H22)&gt;=2,"Forte",IF(OR(F22&lt;&gt;"",H22&lt;&gt;""),"Média","Fraca")))</f>
        <v>Forte</v>
      </c>
      <c r="N22" s="18" t="str">
        <f aca="false">IF(D22="","Falta o requisito",IF(C22="","Falta a pergunta",IF(COUNTA(E22,F22,H22)=0,"Falta a evidência",IF(K22="","Falta a constatação",IF(AND(K22="Não conformidade",M22="Fraca"),"Não conformidade sem evidência objetiva","OK")))))</f>
        <v>OK</v>
      </c>
      <c r="O22" s="18"/>
    </row>
    <row r="23" customFormat="false" ht="42.75" hidden="false" customHeight="true" outlineLevel="0" collapsed="false">
      <c r="B23" s="13" t="n">
        <v>2</v>
      </c>
      <c r="C23" s="37" t="s">
        <v>261</v>
      </c>
      <c r="D23" s="33" t="s">
        <v>262</v>
      </c>
      <c r="E23" s="34" t="s">
        <v>263</v>
      </c>
      <c r="F23" s="34"/>
      <c r="G23" s="34"/>
      <c r="H23" s="34" t="s">
        <v>264</v>
      </c>
      <c r="I23" s="34"/>
      <c r="J23" s="34"/>
      <c r="K23" s="38" t="s">
        <v>260</v>
      </c>
      <c r="L23" s="38"/>
      <c r="M23" s="39" t="str">
        <f aca="false">IF(COUNTA(E23,F23,H23)=0,"",IF(COUNTA(E23,F23,H23)&gt;=2,"Forte",IF(OR(F23&lt;&gt;"",H23&lt;&gt;""),"Média","Fraca")))</f>
        <v>Forte</v>
      </c>
      <c r="N23" s="18" t="str">
        <f aca="false">IF(D23="","Falta o requisito",IF(C23="","Falta a pergunta",IF(COUNTA(E23,F23,H23)=0,"Falta a evidência",IF(K23="","Falta a constatação",IF(AND(K23="Não conformidade",M23="Fraca"),"Não conformidade sem evidência objetiva","OK")))))</f>
        <v>OK</v>
      </c>
      <c r="O23" s="18"/>
    </row>
    <row r="24" customFormat="false" ht="30.75" hidden="false" customHeight="true" outlineLevel="0" collapsed="false">
      <c r="B24" s="13" t="n">
        <v>3</v>
      </c>
      <c r="C24" s="37" t="s">
        <v>265</v>
      </c>
      <c r="D24" s="33" t="s">
        <v>247</v>
      </c>
      <c r="E24" s="34"/>
      <c r="F24" s="34"/>
      <c r="G24" s="34"/>
      <c r="H24" s="34" t="s">
        <v>266</v>
      </c>
      <c r="I24" s="34"/>
      <c r="J24" s="34"/>
      <c r="K24" s="38" t="s">
        <v>260</v>
      </c>
      <c r="L24" s="38"/>
      <c r="M24" s="39" t="str">
        <f aca="false">IF(COUNTA(E24,F24,H24)=0,"",IF(COUNTA(E24,F24,H24)&gt;=2,"Forte",IF(OR(F24&lt;&gt;"",H24&lt;&gt;""),"Média","Fraca")))</f>
        <v>Média</v>
      </c>
      <c r="N24" s="18" t="str">
        <f aca="false">IF(D24="","Falta o requisito",IF(C24="","Falta a pergunta",IF(COUNTA(E24,F24,H24)=0,"Falta a evidência",IF(K24="","Falta a constatação",IF(AND(K24="Não conformidade",M24="Fraca"),"Não conformidade sem evidência objetiva","OK")))))</f>
        <v>OK</v>
      </c>
      <c r="O24" s="18"/>
    </row>
    <row r="25" customFormat="false" ht="30.75" hidden="false" customHeight="true" outlineLevel="0" collapsed="false">
      <c r="B25" s="13" t="n">
        <v>4</v>
      </c>
      <c r="C25" s="37" t="s">
        <v>267</v>
      </c>
      <c r="D25" s="33" t="s">
        <v>107</v>
      </c>
      <c r="E25" s="34" t="s">
        <v>127</v>
      </c>
      <c r="F25" s="34" t="s">
        <v>268</v>
      </c>
      <c r="G25" s="34"/>
      <c r="H25" s="34" t="s">
        <v>269</v>
      </c>
      <c r="I25" s="34"/>
      <c r="J25" s="34"/>
      <c r="K25" s="38" t="s">
        <v>130</v>
      </c>
      <c r="L25" s="38"/>
      <c r="M25" s="39" t="str">
        <f aca="false">IF(COUNTA(E25,F25,H25)=0,"",IF(COUNTA(E25,F25,H25)&gt;=2,"Forte",IF(OR(F25&lt;&gt;"",H25&lt;&gt;""),"Média","Fraca")))</f>
        <v>Forte</v>
      </c>
      <c r="N25" s="18" t="str">
        <f aca="false">IF(D25="","Falta o requisito",IF(C25="","Falta a pergunta",IF(COUNTA(E25,F25,H25)=0,"Falta a evidência",IF(K25="","Falta a constatação",IF(AND(K25="Não conformidade",M25="Fraca"),"Não conformidade sem evidência objetiva","OK")))))</f>
        <v>OK</v>
      </c>
      <c r="O25" s="18"/>
    </row>
    <row r="26" customFormat="false" ht="30.75" hidden="false" customHeight="true" outlineLevel="0" collapsed="false">
      <c r="B26" s="13" t="n">
        <v>5</v>
      </c>
      <c r="C26" s="37" t="s">
        <v>270</v>
      </c>
      <c r="D26" s="33" t="s">
        <v>251</v>
      </c>
      <c r="E26" s="34" t="s">
        <v>271</v>
      </c>
      <c r="F26" s="34"/>
      <c r="G26" s="34"/>
      <c r="H26" s="34" t="s">
        <v>272</v>
      </c>
      <c r="I26" s="34"/>
      <c r="J26" s="34"/>
      <c r="K26" s="38" t="s">
        <v>130</v>
      </c>
      <c r="L26" s="38"/>
      <c r="M26" s="39" t="str">
        <f aca="false">IF(COUNTA(E26,F26,H26)=0,"",IF(COUNTA(E26,F26,H26)&gt;=2,"Forte",IF(OR(F26&lt;&gt;"",H26&lt;&gt;""),"Média","Fraca")))</f>
        <v>Forte</v>
      </c>
      <c r="N26" s="18" t="str">
        <f aca="false">IF(D26="","Falta o requisito",IF(C26="","Falta a pergunta",IF(COUNTA(E26,F26,H26)=0,"Falta a evidência",IF(K26="","Falta a constatação",IF(AND(K26="Não conformidade",M26="Fraca"),"Não conformidade sem evidência objetiva","OK")))))</f>
        <v>OK</v>
      </c>
      <c r="O26" s="18"/>
    </row>
    <row r="27" customFormat="false" ht="30.75" hidden="false" customHeight="true" outlineLevel="0" collapsed="false">
      <c r="B27" s="13" t="n">
        <v>6</v>
      </c>
      <c r="C27" s="37" t="s">
        <v>273</v>
      </c>
      <c r="D27" s="33" t="s">
        <v>274</v>
      </c>
      <c r="E27" s="34" t="s">
        <v>275</v>
      </c>
      <c r="F27" s="34"/>
      <c r="G27" s="34"/>
      <c r="H27" s="34"/>
      <c r="I27" s="34"/>
      <c r="J27" s="34"/>
      <c r="K27" s="38" t="s">
        <v>260</v>
      </c>
      <c r="L27" s="38"/>
      <c r="M27" s="39" t="str">
        <f aca="false">IF(COUNTA(E27,F27,H27)=0,"",IF(COUNTA(E27,F27,H27)&gt;=2,"Forte",IF(OR(F27&lt;&gt;"",H27&lt;&gt;""),"Média","Fraca")))</f>
        <v>Fraca</v>
      </c>
      <c r="N27" s="18" t="str">
        <f aca="false">IF(D27="","Falta o requisito",IF(C27="","Falta a pergunta",IF(COUNTA(E27,F27,H27)=0,"Falta a evidência",IF(K27="","Falta a constatação",IF(AND(K27="Não conformidade",M27="Fraca"),"Não conformidade sem evidência objetiva","OK")))))</f>
        <v>Não conformidade sem evidência objetiva</v>
      </c>
      <c r="O27" s="18"/>
    </row>
    <row r="28" customFormat="false" ht="30.75" hidden="false" customHeight="true" outlineLevel="0" collapsed="false">
      <c r="B28" s="13" t="n">
        <v>7</v>
      </c>
      <c r="C28" s="37" t="s">
        <v>276</v>
      </c>
      <c r="D28" s="33" t="s">
        <v>277</v>
      </c>
      <c r="E28" s="34" t="s">
        <v>271</v>
      </c>
      <c r="F28" s="34"/>
      <c r="G28" s="34"/>
      <c r="H28" s="34" t="s">
        <v>278</v>
      </c>
      <c r="I28" s="34"/>
      <c r="J28" s="34"/>
      <c r="K28" s="38" t="s">
        <v>279</v>
      </c>
      <c r="L28" s="38"/>
      <c r="M28" s="39" t="str">
        <f aca="false">IF(COUNTA(E28,F28,H28)=0,"",IF(COUNTA(E28,F28,H28)&gt;=2,"Forte",IF(OR(F28&lt;&gt;"",H28&lt;&gt;""),"Média","Fraca")))</f>
        <v>Forte</v>
      </c>
      <c r="N28" s="18" t="str">
        <f aca="false">IF(D28="","Falta o requisito",IF(C28="","Falta a pergunta",IF(COUNTA(E28,F28,H28)=0,"Falta a evidência",IF(K28="","Falta a constatação",IF(AND(K28="Não conformidade",M28="Fraca"),"Não conformidade sem evidência objetiva","OK")))))</f>
        <v>OK</v>
      </c>
      <c r="O28" s="18"/>
    </row>
    <row r="29" customFormat="false" ht="30.75" hidden="false" customHeight="true" outlineLevel="0" collapsed="false">
      <c r="B29" s="13" t="n">
        <v>8</v>
      </c>
      <c r="C29" s="37" t="s">
        <v>280</v>
      </c>
      <c r="D29" s="33" t="s">
        <v>281</v>
      </c>
      <c r="E29" s="34"/>
      <c r="F29" s="34" t="s">
        <v>282</v>
      </c>
      <c r="G29" s="34"/>
      <c r="H29" s="34" t="s">
        <v>283</v>
      </c>
      <c r="I29" s="34"/>
      <c r="J29" s="34"/>
      <c r="K29" s="38" t="s">
        <v>260</v>
      </c>
      <c r="L29" s="38"/>
      <c r="M29" s="39" t="str">
        <f aca="false">IF(COUNTA(E29,F29,H29)=0,"",IF(COUNTA(E29,F29,H29)&gt;=2,"Forte",IF(OR(F29&lt;&gt;"",H29&lt;&gt;""),"Média","Fraca")))</f>
        <v>Forte</v>
      </c>
      <c r="N29" s="18" t="str">
        <f aca="false">IF(D29="","Falta o requisito",IF(C29="","Falta a pergunta",IF(COUNTA(E29,F29,H29)=0,"Falta a evidência",IF(K29="","Falta a constatação",IF(AND(K29="Não conformidade",M29="Fraca"),"Não conformidade sem evidência objetiva","OK")))))</f>
        <v>OK</v>
      </c>
      <c r="O29" s="18"/>
    </row>
    <row r="30" customFormat="false" ht="30.75" hidden="false" customHeight="true" outlineLevel="0" collapsed="false">
      <c r="B30" s="13" t="n">
        <v>9</v>
      </c>
      <c r="C30" s="37" t="s">
        <v>284</v>
      </c>
      <c r="D30" s="33" t="s">
        <v>285</v>
      </c>
      <c r="E30" s="34" t="s">
        <v>286</v>
      </c>
      <c r="F30" s="34" t="s">
        <v>287</v>
      </c>
      <c r="G30" s="34"/>
      <c r="H30" s="34"/>
      <c r="I30" s="34"/>
      <c r="J30" s="34"/>
      <c r="K30" s="38" t="s">
        <v>130</v>
      </c>
      <c r="L30" s="38"/>
      <c r="M30" s="39" t="str">
        <f aca="false">IF(COUNTA(E30,F30,H30)=0,"",IF(COUNTA(E30,F30,H30)&gt;=2,"Forte",IF(OR(F30&lt;&gt;"",H30&lt;&gt;""),"Média","Fraca")))</f>
        <v>Forte</v>
      </c>
      <c r="N30" s="18" t="str">
        <f aca="false">IF(D30="","Falta o requisito",IF(C30="","Falta a pergunta",IF(COUNTA(E30,F30,H30)=0,"Falta a evidência",IF(K30="","Falta a constatação",IF(AND(K30="Não conformidade",M30="Fraca"),"Não conformidade sem evidência objetiva","OK")))))</f>
        <v>OK</v>
      </c>
      <c r="O30" s="18"/>
    </row>
    <row r="31" customFormat="false" ht="30.75" hidden="false" customHeight="true" outlineLevel="0" collapsed="false">
      <c r="B31" s="13" t="n">
        <v>10</v>
      </c>
      <c r="C31" s="37" t="s">
        <v>288</v>
      </c>
      <c r="D31" s="33" t="s">
        <v>242</v>
      </c>
      <c r="E31" s="34" t="s">
        <v>286</v>
      </c>
      <c r="F31" s="34" t="s">
        <v>289</v>
      </c>
      <c r="G31" s="34"/>
      <c r="H31" s="34"/>
      <c r="I31" s="34"/>
      <c r="J31" s="34"/>
      <c r="K31" s="38"/>
      <c r="L31" s="38"/>
      <c r="M31" s="39" t="str">
        <f aca="false">IF(COUNTA(E31,F31,H31)=0,"",IF(COUNTA(E31,F31,H31)&gt;=2,"Forte",IF(OR(F31&lt;&gt;"",H31&lt;&gt;""),"Média","Fraca")))</f>
        <v>Forte</v>
      </c>
      <c r="N31" s="18" t="str">
        <f aca="false">IF(D31="","Falta o requisito",IF(C31="","Falta a pergunta",IF(COUNTA(E31,F31,H31)=0,"Falta a evidência",IF(K31="","Falta a constatação",IF(AND(K31="Não conformidade",M31="Fraca"),"Não conformidade sem evidência objetiva","OK")))))</f>
        <v>Falta a constatação</v>
      </c>
      <c r="O31" s="18"/>
    </row>
    <row r="33" customFormat="false" ht="21.75" hidden="false" customHeight="true" outlineLevel="0" collapsed="false">
      <c r="B33" s="40" t="s">
        <v>133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</row>
    <row r="34" customFormat="false" ht="42" hidden="false" customHeight="true" outlineLevel="0" collapsed="false">
      <c r="B34" s="15" t="s">
        <v>82</v>
      </c>
      <c r="C34" s="15" t="s">
        <v>137</v>
      </c>
      <c r="D34" s="15" t="s">
        <v>138</v>
      </c>
      <c r="E34" s="15" t="s">
        <v>139</v>
      </c>
      <c r="F34" s="15" t="s">
        <v>234</v>
      </c>
      <c r="G34" s="15" t="s">
        <v>236</v>
      </c>
    </row>
    <row r="35" customFormat="false" ht="15" hidden="false" customHeight="true" outlineLevel="0" collapsed="false">
      <c r="B35" s="41" t="s">
        <v>290</v>
      </c>
      <c r="C35" s="41"/>
      <c r="D35" s="41"/>
      <c r="E35" s="41"/>
      <c r="F35" s="38" t="s">
        <v>81</v>
      </c>
      <c r="G35" s="38" t="s">
        <v>135</v>
      </c>
    </row>
    <row r="36" customFormat="false" ht="30" hidden="false" customHeight="true" outlineLevel="0" collapsed="false">
      <c r="B36" s="13" t="n">
        <v>1</v>
      </c>
      <c r="C36" s="23" t="s">
        <v>144</v>
      </c>
      <c r="D36" s="24" t="s">
        <v>145</v>
      </c>
      <c r="E36" s="24" t="s">
        <v>146</v>
      </c>
      <c r="F36" s="33" t="n">
        <v>2</v>
      </c>
      <c r="G36" s="33" t="n">
        <v>1</v>
      </c>
    </row>
    <row r="37" customFormat="false" ht="30" hidden="false" customHeight="true" outlineLevel="0" collapsed="false">
      <c r="B37" s="13" t="n">
        <v>2</v>
      </c>
      <c r="C37" s="23" t="s">
        <v>147</v>
      </c>
      <c r="D37" s="24" t="s">
        <v>145</v>
      </c>
      <c r="E37" s="24" t="s">
        <v>146</v>
      </c>
      <c r="F37" s="33" t="n">
        <v>2</v>
      </c>
      <c r="G37" s="33" t="n">
        <v>1</v>
      </c>
    </row>
    <row r="38" customFormat="false" ht="30" hidden="false" customHeight="true" outlineLevel="0" collapsed="false">
      <c r="B38" s="13" t="n">
        <v>3</v>
      </c>
      <c r="C38" s="23" t="s">
        <v>148</v>
      </c>
      <c r="D38" s="24" t="s">
        <v>149</v>
      </c>
      <c r="E38" s="24" t="s">
        <v>146</v>
      </c>
      <c r="F38" s="33" t="n">
        <v>3</v>
      </c>
      <c r="G38" s="33"/>
    </row>
    <row r="39" customFormat="false" ht="30" hidden="false" customHeight="true" outlineLevel="0" collapsed="false">
      <c r="B39" s="13" t="n">
        <v>4</v>
      </c>
      <c r="C39" s="23" t="s">
        <v>150</v>
      </c>
      <c r="D39" s="24" t="s">
        <v>116</v>
      </c>
      <c r="E39" s="24" t="s">
        <v>146</v>
      </c>
      <c r="F39" s="33" t="n">
        <v>2</v>
      </c>
      <c r="G39" s="33" t="n">
        <v>2</v>
      </c>
    </row>
    <row r="40" customFormat="false" ht="30" hidden="false" customHeight="true" outlineLevel="0" collapsed="false">
      <c r="B40" s="13" t="n">
        <v>5</v>
      </c>
      <c r="C40" s="23" t="s">
        <v>151</v>
      </c>
      <c r="D40" s="24" t="s">
        <v>116</v>
      </c>
      <c r="E40" s="24" t="s">
        <v>146</v>
      </c>
      <c r="F40" s="33" t="n">
        <v>1</v>
      </c>
      <c r="G40" s="33" t="n">
        <v>2</v>
      </c>
    </row>
    <row r="41" customFormat="false" ht="30" hidden="false" customHeight="true" outlineLevel="0" collapsed="false">
      <c r="B41" s="13" t="n">
        <v>6</v>
      </c>
      <c r="C41" s="23" t="s">
        <v>152</v>
      </c>
      <c r="D41" s="24" t="s">
        <v>89</v>
      </c>
      <c r="E41" s="17" t="s">
        <v>153</v>
      </c>
      <c r="F41" s="33" t="n">
        <v>3</v>
      </c>
      <c r="G41" s="33" t="n">
        <v>2</v>
      </c>
    </row>
    <row r="42" customFormat="false" ht="30" hidden="false" customHeight="true" outlineLevel="0" collapsed="false">
      <c r="B42" s="13" t="n">
        <v>7</v>
      </c>
      <c r="C42" s="23" t="s">
        <v>154</v>
      </c>
      <c r="D42" s="24" t="s">
        <v>89</v>
      </c>
      <c r="E42" s="24" t="s">
        <v>146</v>
      </c>
      <c r="F42" s="33" t="n">
        <v>2</v>
      </c>
      <c r="G42" s="33" t="n">
        <v>1</v>
      </c>
    </row>
    <row r="43" customFormat="false" ht="30" hidden="false" customHeight="true" outlineLevel="0" collapsed="false">
      <c r="B43" s="13" t="n">
        <v>8</v>
      </c>
      <c r="C43" s="23" t="s">
        <v>155</v>
      </c>
      <c r="D43" s="24" t="s">
        <v>156</v>
      </c>
      <c r="E43" s="17" t="s">
        <v>153</v>
      </c>
      <c r="F43" s="33" t="n">
        <v>1</v>
      </c>
      <c r="G43" s="33" t="n">
        <v>2</v>
      </c>
    </row>
    <row r="44" customFormat="false" ht="30" hidden="false" customHeight="true" outlineLevel="0" collapsed="false">
      <c r="B44" s="13" t="n">
        <v>9</v>
      </c>
      <c r="C44" s="23" t="s">
        <v>157</v>
      </c>
      <c r="D44" s="24" t="s">
        <v>156</v>
      </c>
      <c r="E44" s="24" t="s">
        <v>146</v>
      </c>
      <c r="F44" s="33" t="n">
        <v>2</v>
      </c>
      <c r="G44" s="33" t="n">
        <v>3</v>
      </c>
    </row>
    <row r="45" customFormat="false" ht="30" hidden="false" customHeight="true" outlineLevel="0" collapsed="false">
      <c r="B45" s="13" t="n">
        <v>10</v>
      </c>
      <c r="C45" s="23" t="s">
        <v>158</v>
      </c>
      <c r="D45" s="24" t="s">
        <v>118</v>
      </c>
      <c r="E45" s="17" t="s">
        <v>153</v>
      </c>
      <c r="F45" s="33" t="n">
        <v>2</v>
      </c>
      <c r="G45" s="33"/>
    </row>
    <row r="46" customFormat="false" ht="30" hidden="false" customHeight="true" outlineLevel="0" collapsed="false">
      <c r="B46" s="13" t="n">
        <v>11</v>
      </c>
      <c r="C46" s="23" t="s">
        <v>159</v>
      </c>
      <c r="D46" s="24" t="s">
        <v>118</v>
      </c>
      <c r="E46" s="24" t="s">
        <v>146</v>
      </c>
      <c r="F46" s="33" t="n">
        <v>3</v>
      </c>
      <c r="G46" s="33" t="n">
        <v>2</v>
      </c>
    </row>
    <row r="47" customFormat="false" ht="30" hidden="false" customHeight="true" outlineLevel="0" collapsed="false">
      <c r="B47" s="13" t="n">
        <v>12</v>
      </c>
      <c r="C47" s="23" t="s">
        <v>160</v>
      </c>
      <c r="D47" s="24" t="s">
        <v>161</v>
      </c>
      <c r="E47" s="24" t="s">
        <v>146</v>
      </c>
      <c r="F47" s="33"/>
      <c r="G47" s="33" t="n">
        <v>2</v>
      </c>
    </row>
    <row r="48" customFormat="false" ht="21.75" hidden="false" customHeight="true" outlineLevel="0" collapsed="false">
      <c r="B48" s="20" t="s">
        <v>162</v>
      </c>
      <c r="C48" s="20"/>
      <c r="D48" s="20"/>
      <c r="E48" s="20"/>
      <c r="F48" s="16" t="n">
        <f aca="false">IF(F$34="","",COUNT(F36:F47))</f>
        <v>11</v>
      </c>
      <c r="G48" s="16" t="n">
        <f aca="false">IF(G$34="","",COUNT(G36:G47))</f>
        <v>10</v>
      </c>
    </row>
    <row r="49" customFormat="false" ht="21.75" hidden="false" customHeight="true" outlineLevel="0" collapsed="false">
      <c r="B49" s="20" t="s">
        <v>163</v>
      </c>
      <c r="C49" s="20"/>
      <c r="D49" s="20"/>
      <c r="E49" s="20"/>
      <c r="F49" s="16" t="n">
        <f aca="false">IF(F$34="","",SUM(F36:F47))</f>
        <v>23</v>
      </c>
      <c r="G49" s="16" t="n">
        <f aca="false">IF(G$34="","",SUM(G36:G47))</f>
        <v>18</v>
      </c>
    </row>
    <row r="50" customFormat="false" ht="21.75" hidden="false" customHeight="true" outlineLevel="0" collapsed="false">
      <c r="B50" s="20" t="s">
        <v>164</v>
      </c>
      <c r="C50" s="20"/>
      <c r="D50" s="20"/>
      <c r="E50" s="20"/>
      <c r="F50" s="25" t="n">
        <f aca="false">IF(OR(F$34="",N(F48)=0),"",F49/(3*F48))</f>
        <v>0.696969696969697</v>
      </c>
      <c r="G50" s="25" t="n">
        <f aca="false">IF(OR(G$34="",N(G48)=0),"",G49/(3*G48))</f>
        <v>0.6</v>
      </c>
    </row>
    <row r="51" customFormat="false" ht="30" hidden="false" customHeight="true" outlineLevel="0" collapsed="false">
      <c r="B51" s="20" t="s">
        <v>165</v>
      </c>
      <c r="C51" s="20"/>
      <c r="D51" s="20"/>
      <c r="E51" s="20"/>
      <c r="F51" s="39" t="str">
        <f aca="false">IF(F$34="","",IF(F48=0,"",IF(F48&lt;8,"Observação insuficiente",IF(SUMPRODUCT(($E$36:$E$47="Sim")*(F36:F47&lt;&gt;"")*(F36:F47&lt;=1))&gt;0,"Em formação",IF(F50&gt;=0.8-0.000000001,"Apto a liderar",IF(F50&gt;=0.6-0.000000001,"Apto a auditar em equipe","Em formação"))))))</f>
        <v>Em formação</v>
      </c>
      <c r="G51" s="39" t="str">
        <f aca="false">IF(G$34="","",IF(G48=0,"",IF(G48&lt;8,"Observação insuficiente",IF(SUMPRODUCT(($E$36:$E$47="Sim")*(G36:G47&lt;&gt;"")*(G36:G47&lt;=1))&gt;0,"Em formação",IF(G50&gt;=0.8-0.000000001,"Apto a liderar",IF(G50&gt;=0.6-0.000000001,"Apto a auditar em equipe","Em formação"))))))</f>
        <v>Apto a auditar em equipe</v>
      </c>
    </row>
    <row r="52" customFormat="false" ht="21.75" hidden="false" customHeight="true" outlineLevel="0" collapsed="false">
      <c r="B52" s="20" t="s">
        <v>95</v>
      </c>
      <c r="C52" s="20"/>
      <c r="D52" s="20"/>
      <c r="E52" s="20"/>
      <c r="F52" s="18" t="str">
        <f aca="false">IF(F$34="",IF(COUNT(F36:F47)&gt;0,"Falta o nome",""),IF(F48=0,"Faltam as notas",IF(F48&lt;8,"Observar mais critérios","OK")))</f>
        <v>OK</v>
      </c>
      <c r="G52" s="18" t="str">
        <f aca="false">IF(G$34="",IF(COUNT(G36:G47)&gt;0,"Falta o nome",""),IF(G48=0,"Faltam as notas",IF(G48&lt;8,"Observar mais critérios","OK")))</f>
        <v>OK</v>
      </c>
    </row>
    <row r="54" customFormat="false" ht="21.75" hidden="false" customHeight="true" outlineLevel="0" collapsed="false">
      <c r="B54" s="19" t="s">
        <v>111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customFormat="false" ht="21.75" hidden="false" customHeight="true" outlineLevel="0" collapsed="false">
      <c r="B55" s="20" t="s">
        <v>57</v>
      </c>
      <c r="C55" s="20"/>
      <c r="D55" s="20"/>
      <c r="E55" s="21" t="str">
        <f aca="false">SUM(K14:K18)&amp;" registros verificados em "&amp;COUNTA(C14:C18)&amp;" amostras, "&amp;SUM(L14:L18)&amp;" desvios. "&amp;COUNTIF(N14:N18,"Conforme na amostra")&amp;" conforme na amostra"&amp;", "&amp;COUNTIF(N14:N18,"Desvio pontual: não conformidade, ampliar a amostra")&amp;" desvio pontual: não conformidade, ampliar a amostra"&amp;", "&amp;COUNTIF(N14:N18,"Desvio repetido: não conformidade")&amp;" desvio repetido: não conformidade"&amp;", "&amp;COUNTIF(N14:N18,"Amostra incompleta")&amp;" amostra incompleta"</f>
        <v>51 registros verificados em 5 amostras, 4 desvios. 2 conforme na amostra, 1 desvio pontual: não conformidade, ampliar a amostra, 1 desvio repetido: não conformidade, 1 amostra incompleta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customFormat="false" ht="21.75" hidden="false" customHeight="true" outlineLevel="0" collapsed="false">
      <c r="B56" s="20" t="s">
        <v>59</v>
      </c>
      <c r="C56" s="20"/>
      <c r="D56" s="20"/>
      <c r="E56" s="21" t="str">
        <f aca="false">COUNTIF(K22:L31,"Conforme")&amp;" conforme"&amp;", "&amp;COUNTIF(K22:L31,"Não conformidade")&amp;" não conformidade"&amp;", "&amp;COUNTIF(K22:L31,"Oportunidade de melhoria")&amp;" oportunidade de melhoria"&amp;". Força: "&amp;COUNTIF(M22:M31,"Forte")&amp;" forte"&amp;", "&amp;COUNTIF(M22:M31,"Média")&amp;" média"&amp;", "&amp;COUNTIF(M22:M31,"Fraca")&amp;" fraca"</f>
        <v>3 conforme, 5 não conformidade, 1 oportunidade de melhoria. Força: 8 forte, 1 média, 1 fraca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customFormat="false" ht="21.75" hidden="false" customHeight="true" outlineLevel="0" collapsed="false">
      <c r="B57" s="20" t="s">
        <v>61</v>
      </c>
      <c r="C57" s="20"/>
      <c r="D57" s="20"/>
      <c r="E57" s="21" t="str">
        <f aca="false">COUNTIF(F51:G51,"Apto a liderar")&amp;" apto a liderar"&amp;", "&amp;COUNTIF(F51:G51,"Apto a auditar em equipe")&amp;" apto a auditar em equipe"&amp;", "&amp;COUNTIF(F51:G51,"Em formação")&amp;" em formação"&amp;", "&amp;COUNTIF(F51:G51,"Observação insuficiente")&amp;" observação insuficiente"</f>
        <v>0 apto a liderar, 1 apto a auditar em equipe, 1 em formação, 0 observação insuficiente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customFormat="false" ht="21.75" hidden="false" customHeight="true" outlineLevel="0" collapsed="false">
      <c r="B58" s="20" t="s">
        <v>203</v>
      </c>
      <c r="C58" s="20"/>
      <c r="D58" s="20"/>
      <c r="E58" s="21" t="n">
        <f aca="false">SUMPRODUCT((O14:O18&lt;&gt;"OK")*1)+SUMPRODUCT((N22:N31&lt;&gt;"OK")*1)</f>
        <v>2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</row>
  </sheetData>
  <mergeCells count="77">
    <mergeCell ref="B1:O1"/>
    <mergeCell ref="B2:O2"/>
    <mergeCell ref="B4:C4"/>
    <mergeCell ref="D4:O4"/>
    <mergeCell ref="B5:C5"/>
    <mergeCell ref="D5:O5"/>
    <mergeCell ref="B6:C6"/>
    <mergeCell ref="D6:O6"/>
    <mergeCell ref="B7:C7"/>
    <mergeCell ref="D7:O7"/>
    <mergeCell ref="B8:C8"/>
    <mergeCell ref="D8:O8"/>
    <mergeCell ref="B9:C9"/>
    <mergeCell ref="D9:O9"/>
    <mergeCell ref="B10:C10"/>
    <mergeCell ref="B12:O12"/>
    <mergeCell ref="B20:O20"/>
    <mergeCell ref="F21:G21"/>
    <mergeCell ref="H21:J21"/>
    <mergeCell ref="K21:L21"/>
    <mergeCell ref="N21:O21"/>
    <mergeCell ref="F22:G22"/>
    <mergeCell ref="H22:J22"/>
    <mergeCell ref="K22:L22"/>
    <mergeCell ref="N22:O22"/>
    <mergeCell ref="F23:G23"/>
    <mergeCell ref="H23:J23"/>
    <mergeCell ref="K23:L23"/>
    <mergeCell ref="N23:O23"/>
    <mergeCell ref="F24:G24"/>
    <mergeCell ref="H24:J24"/>
    <mergeCell ref="K24:L24"/>
    <mergeCell ref="N24:O24"/>
    <mergeCell ref="F25:G25"/>
    <mergeCell ref="H25:J25"/>
    <mergeCell ref="K25:L25"/>
    <mergeCell ref="N25:O25"/>
    <mergeCell ref="F26:G26"/>
    <mergeCell ref="H26:J26"/>
    <mergeCell ref="K26:L26"/>
    <mergeCell ref="N26:O26"/>
    <mergeCell ref="F27:G27"/>
    <mergeCell ref="H27:J27"/>
    <mergeCell ref="K27:L27"/>
    <mergeCell ref="N27:O27"/>
    <mergeCell ref="F28:G28"/>
    <mergeCell ref="H28:J28"/>
    <mergeCell ref="K28:L28"/>
    <mergeCell ref="N28:O28"/>
    <mergeCell ref="F29:G29"/>
    <mergeCell ref="H29:J29"/>
    <mergeCell ref="K29:L29"/>
    <mergeCell ref="N29:O29"/>
    <mergeCell ref="F30:G30"/>
    <mergeCell ref="H30:J30"/>
    <mergeCell ref="K30:L30"/>
    <mergeCell ref="N30:O30"/>
    <mergeCell ref="F31:G31"/>
    <mergeCell ref="H31:J31"/>
    <mergeCell ref="K31:L31"/>
    <mergeCell ref="N31:O31"/>
    <mergeCell ref="B33:O33"/>
    <mergeCell ref="B35:E35"/>
    <mergeCell ref="B48:E48"/>
    <mergeCell ref="B49:E49"/>
    <mergeCell ref="B50:E50"/>
    <mergeCell ref="B51:E51"/>
    <mergeCell ref="B52:E52"/>
    <mergeCell ref="B54:O54"/>
    <mergeCell ref="B55:D55"/>
    <mergeCell ref="E55:O55"/>
    <mergeCell ref="B56:D56"/>
    <mergeCell ref="E56:O56"/>
    <mergeCell ref="B57:D57"/>
    <mergeCell ref="E57:O57"/>
    <mergeCell ref="B58:D58"/>
    <mergeCell ref="E58:O58"/>
  </mergeCells>
  <conditionalFormatting sqref="N14:N18">
    <cfRule type="expression" priority="2" aboveAverage="0" equalAverage="0" bottom="0" percent="0" rank="0" text="" dxfId="0">
      <formula>N14="Conforme na amostra"</formula>
    </cfRule>
    <cfRule type="expression" priority="3" aboveAverage="0" equalAverage="0" bottom="0" percent="0" rank="0" text="" dxfId="1">
      <formula>N14="Desvio pontual: não conformidade, ampliar a amostra"</formula>
    </cfRule>
    <cfRule type="expression" priority="4" aboveAverage="0" equalAverage="0" bottom="0" percent="0" rank="0" text="" dxfId="1">
      <formula>N14="Amostra incompleta"</formula>
    </cfRule>
    <cfRule type="expression" priority="5" aboveAverage="0" equalAverage="0" bottom="0" percent="0" rank="0" text="" dxfId="2">
      <formula>N14="Desvio repetido: não conformidade"</formula>
    </cfRule>
  </conditionalFormatting>
  <conditionalFormatting sqref="O14:O18">
    <cfRule type="expression" priority="6" aboveAverage="0" equalAverage="0" bottom="0" percent="0" rank="0" text="" dxfId="0">
      <formula>OR(O14="OK")</formula>
    </cfRule>
    <cfRule type="expression" priority="7" aboveAverage="0" equalAverage="0" bottom="0" percent="0" rank="0" text="" dxfId="3">
      <formula>AND(LEN(O14)&gt;0,NOT(OR(O14="OK")))</formula>
    </cfRule>
  </conditionalFormatting>
  <conditionalFormatting sqref="M22:M31">
    <cfRule type="expression" priority="8" aboveAverage="0" equalAverage="0" bottom="0" percent="0" rank="0" text="" dxfId="0">
      <formula>M22="Forte"</formula>
    </cfRule>
    <cfRule type="expression" priority="9" aboveAverage="0" equalAverage="0" bottom="0" percent="0" rank="0" text="" dxfId="1">
      <formula>M22="Média"</formula>
    </cfRule>
    <cfRule type="expression" priority="10" aboveAverage="0" equalAverage="0" bottom="0" percent="0" rank="0" text="" dxfId="2">
      <formula>M22="Fraca"</formula>
    </cfRule>
  </conditionalFormatting>
  <conditionalFormatting sqref="K22:L31">
    <cfRule type="expression" priority="11" aboveAverage="0" equalAverage="0" bottom="0" percent="0" rank="0" text="" dxfId="0">
      <formula>$K22="Conforme"</formula>
    </cfRule>
    <cfRule type="expression" priority="12" aboveAverage="0" equalAverage="0" bottom="0" percent="0" rank="0" text="" dxfId="2">
      <formula>$K22="Não conformidade"</formula>
    </cfRule>
    <cfRule type="expression" priority="13" aboveAverage="0" equalAverage="0" bottom="0" percent="0" rank="0" text="" dxfId="1">
      <formula>$K22="Oportunidade de melhoria"</formula>
    </cfRule>
  </conditionalFormatting>
  <conditionalFormatting sqref="N22:O31">
    <cfRule type="expression" priority="14" aboveAverage="0" equalAverage="0" bottom="0" percent="0" rank="0" text="" dxfId="0">
      <formula>$N22="OK"</formula>
    </cfRule>
    <cfRule type="expression" priority="15" aboveAverage="0" equalAverage="0" bottom="0" percent="0" rank="0" text="" dxfId="2">
      <formula>$N22="Não conformidade sem evidência objetiva"</formula>
    </cfRule>
    <cfRule type="expression" priority="16" aboveAverage="0" equalAverage="0" bottom="0" percent="0" rank="0" text="" dxfId="3">
      <formula>LEN($N22)&gt;0</formula>
    </cfRule>
  </conditionalFormatting>
  <conditionalFormatting sqref="F51:G51">
    <cfRule type="expression" priority="17" aboveAverage="0" equalAverage="0" bottom="0" percent="0" rank="0" text="" dxfId="0">
      <formula>F51="Apto a liderar"</formula>
    </cfRule>
    <cfRule type="expression" priority="18" aboveAverage="0" equalAverage="0" bottom="0" percent="0" rank="0" text="" dxfId="1">
      <formula>F51="Apto a auditar em equipe"</formula>
    </cfRule>
    <cfRule type="expression" priority="19" aboveAverage="0" equalAverage="0" bottom="0" percent="0" rank="0" text="" dxfId="2">
      <formula>F51="Em formação"</formula>
    </cfRule>
    <cfRule type="expression" priority="20" aboveAverage="0" equalAverage="0" bottom="0" percent="0" rank="0" text="" dxfId="4">
      <formula>F51="Observação insuficiente"</formula>
    </cfRule>
  </conditionalFormatting>
  <conditionalFormatting sqref="F52:G52">
    <cfRule type="expression" priority="21" aboveAverage="0" equalAverage="0" bottom="0" percent="0" rank="0" text="" dxfId="0">
      <formula>OR(F52="OK")</formula>
    </cfRule>
    <cfRule type="expression" priority="22" aboveAverage="0" equalAverage="0" bottom="0" percent="0" rank="0" text="" dxfId="3">
      <formula>AND(LEN(F52)&gt;0,NOT(OR(F52="OK")))</formula>
    </cfRule>
  </conditionalFormatting>
  <conditionalFormatting sqref="F36:G47">
    <cfRule type="expression" priority="23" aboveAverage="0" equalAverage="0" bottom="0" percent="0" rank="0" text="" dxfId="2">
      <formula>AND($E36="Sim",F36&lt;&gt;"",F36&lt;=1)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19" man="true" max="16383" min="0"/>
    <brk id="32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8" min="6" style="0" width="15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32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229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230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170</v>
      </c>
      <c r="C4" s="4"/>
      <c r="D4" s="29" t="s">
        <v>291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customFormat="false" ht="19.5" hidden="false" customHeight="true" outlineLevel="0" collapsed="false">
      <c r="B5" s="4" t="s">
        <v>232</v>
      </c>
      <c r="C5" s="4"/>
      <c r="D5" s="29" t="s">
        <v>292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customFormat="false" ht="19.5" hidden="false" customHeight="true" outlineLevel="0" collapsed="false">
      <c r="B6" s="4" t="s">
        <v>81</v>
      </c>
      <c r="C6" s="4"/>
      <c r="D6" s="29" t="s">
        <v>293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customFormat="false" ht="19.5" hidden="false" customHeight="true" outlineLevel="0" collapsed="false">
      <c r="B7" s="4" t="s">
        <v>235</v>
      </c>
      <c r="C7" s="4"/>
      <c r="D7" s="29" t="s">
        <v>294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customFormat="false" ht="19.5" hidden="false" customHeight="true" outlineLevel="0" collapsed="false">
      <c r="B8" s="4" t="s">
        <v>237</v>
      </c>
      <c r="C8" s="4"/>
      <c r="D8" s="29" t="s">
        <v>295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customFormat="false" ht="19.5" hidden="false" customHeight="true" outlineLevel="0" collapsed="false">
      <c r="B9" s="4" t="s">
        <v>239</v>
      </c>
      <c r="C9" s="4"/>
      <c r="D9" s="29" t="s">
        <v>296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customFormat="false" ht="15" hidden="false" customHeight="true" outlineLevel="0" collapsed="false">
      <c r="B10" s="4" t="s">
        <v>80</v>
      </c>
      <c r="C10" s="4"/>
      <c r="D10" s="30" t="n">
        <v>46666</v>
      </c>
    </row>
    <row r="12" customFormat="false" ht="21.75" hidden="false" customHeight="true" outlineLevel="0" collapsed="false">
      <c r="B12" s="31" t="s">
        <v>57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customFormat="false" ht="30" hidden="false" customHeight="true" outlineLevel="0" collapsed="false">
      <c r="B13" s="15" t="s">
        <v>82</v>
      </c>
      <c r="C13" s="15" t="s">
        <v>83</v>
      </c>
      <c r="D13" s="15" t="s">
        <v>84</v>
      </c>
      <c r="E13" s="15" t="s">
        <v>85</v>
      </c>
      <c r="F13" s="15" t="s">
        <v>86</v>
      </c>
      <c r="G13" s="15" t="s">
        <v>87</v>
      </c>
      <c r="H13" s="15" t="s">
        <v>88</v>
      </c>
      <c r="I13" s="15" t="s">
        <v>89</v>
      </c>
      <c r="J13" s="15" t="s">
        <v>90</v>
      </c>
      <c r="K13" s="15" t="s">
        <v>91</v>
      </c>
      <c r="L13" s="15" t="s">
        <v>92</v>
      </c>
      <c r="M13" s="15" t="s">
        <v>93</v>
      </c>
      <c r="N13" s="15" t="s">
        <v>94</v>
      </c>
      <c r="O13" s="15" t="s">
        <v>95</v>
      </c>
    </row>
    <row r="14" customFormat="false" ht="30.75" hidden="false" customHeight="true" outlineLevel="0" collapsed="false">
      <c r="B14" s="13" t="n">
        <v>1</v>
      </c>
      <c r="C14" s="32" t="s">
        <v>297</v>
      </c>
      <c r="D14" s="33" t="s">
        <v>242</v>
      </c>
      <c r="E14" s="34" t="s">
        <v>298</v>
      </c>
      <c r="F14" s="35" t="n">
        <v>1150</v>
      </c>
      <c r="G14" s="33" t="s">
        <v>109</v>
      </c>
      <c r="H14" s="35" t="n">
        <v>12</v>
      </c>
      <c r="I14" s="15" t="n">
        <f aca="false">IF(OR(N(F14)=0,G14=""),"",IF(F14&lt;=5,F14,IFERROR(MIN(F14,MAX(3,ROUNDUP(IF(F14&lt;=20,5,IF(F14&lt;=50,8,IF(F14&lt;=100,10,IF(F14&lt;=500,15,20))))*IF(G14="Alto",1.5,IF(G14="Médio",1,IF(G14="Baixo",0.6,"")))-0.000000001,0))),"")))</f>
        <v>30</v>
      </c>
      <c r="J14" s="16" t="n">
        <f aca="false">IF(I14="","",INT(F14/I14))</f>
        <v>38</v>
      </c>
      <c r="K14" s="35" t="n">
        <v>30</v>
      </c>
      <c r="L14" s="35" t="n">
        <v>0</v>
      </c>
      <c r="M14" s="34"/>
      <c r="N14" s="17" t="str">
        <f aca="false">IF(OR(I14="",K14="",L14=""),"",IF(K14&lt;I14,"Amostra incompleta",IF(L14=0,"Conforme na amostra",IF(L14=1,"Desvio pontual: não conformidade, ampliar a amostra","Desvio repetido: não conformidade"))))</f>
        <v>Conforme na amostra</v>
      </c>
      <c r="O14" s="18" t="str">
        <f aca="false">IF(C14="","",IF(N(F14)=0,"Falta a população",IF(G14="","Falta o risco",IF(OR(H14="",H14&lt;1,H14&gt;J14),"Início deve ir de 1 a "&amp;J14,IF(K14="","Falta quantos foram verificados",IF(K14&gt;F14,"Verificados acima da população",IF(L14="","Falta quantos desvios",IF(L14&gt;K14,"Mais desvios que verificados","OK"))))))))</f>
        <v>OK</v>
      </c>
    </row>
    <row r="15" customFormat="false" ht="30.75" hidden="false" customHeight="true" outlineLevel="0" collapsed="false">
      <c r="B15" s="13" t="n">
        <v>2</v>
      </c>
      <c r="C15" s="32" t="s">
        <v>299</v>
      </c>
      <c r="D15" s="33" t="s">
        <v>300</v>
      </c>
      <c r="E15" s="34" t="s">
        <v>301</v>
      </c>
      <c r="F15" s="35" t="n">
        <v>9</v>
      </c>
      <c r="G15" s="33" t="s">
        <v>109</v>
      </c>
      <c r="H15" s="35" t="n">
        <v>1</v>
      </c>
      <c r="I15" s="15" t="n">
        <f aca="false">IF(OR(N(F15)=0,G15=""),"",IF(F15&lt;=5,F15,IFERROR(MIN(F15,MAX(3,ROUNDUP(IF(F15&lt;=20,5,IF(F15&lt;=50,8,IF(F15&lt;=100,10,IF(F15&lt;=500,15,20))))*IF(G15="Alto",1.5,IF(G15="Médio",1,IF(G15="Baixo",0.6,"")))-0.000000001,0))),"")))</f>
        <v>8</v>
      </c>
      <c r="J15" s="16" t="n">
        <f aca="false">IF(I15="","",INT(F15/I15))</f>
        <v>1</v>
      </c>
      <c r="K15" s="35" t="n">
        <v>8</v>
      </c>
      <c r="L15" s="35" t="n">
        <v>2</v>
      </c>
      <c r="M15" s="34" t="s">
        <v>302</v>
      </c>
      <c r="N15" s="17" t="str">
        <f aca="false">IF(OR(I15="",K15="",L15=""),"",IF(K15&lt;I15,"Amostra incompleta",IF(L15=0,"Conforme na amostra",IF(L15=1,"Desvio pontual: não conformidade, ampliar a amostra","Desvio repetido: não conformidade"))))</f>
        <v>Desvio repetido: não conformidade</v>
      </c>
      <c r="O15" s="18" t="str">
        <f aca="false">IF(C15="","",IF(N(F15)=0,"Falta a população",IF(G15="","Falta o risco",IF(OR(H15="",H15&lt;1,H15&gt;J15),"Início deve ir de 1 a "&amp;J15,IF(K15="","Falta quantos foram verificados",IF(K15&gt;F15,"Verificados acima da população",IF(L15="","Falta quantos desvios",IF(L15&gt;K15,"Mais desvios que verificados","OK"))))))))</f>
        <v>OK</v>
      </c>
    </row>
    <row r="16" customFormat="false" ht="30.75" hidden="false" customHeight="true" outlineLevel="0" collapsed="false">
      <c r="B16" s="13" t="n">
        <v>3</v>
      </c>
      <c r="C16" s="32" t="s">
        <v>303</v>
      </c>
      <c r="D16" s="33" t="s">
        <v>304</v>
      </c>
      <c r="E16" s="34" t="s">
        <v>298</v>
      </c>
      <c r="F16" s="35" t="n">
        <v>14</v>
      </c>
      <c r="G16" s="33" t="s">
        <v>244</v>
      </c>
      <c r="H16" s="35" t="n">
        <v>2</v>
      </c>
      <c r="I16" s="15" t="n">
        <f aca="false">IF(OR(N(F16)=0,G16=""),"",IF(F16&lt;=5,F16,IFERROR(MIN(F16,MAX(3,ROUNDUP(IF(F16&lt;=20,5,IF(F16&lt;=50,8,IF(F16&lt;=100,10,IF(F16&lt;=500,15,20))))*IF(G16="Alto",1.5,IF(G16="Médio",1,IF(G16="Baixo",0.6,"")))-0.000000001,0))),"")))</f>
        <v>5</v>
      </c>
      <c r="J16" s="16" t="n">
        <f aca="false">IF(I16="","",INT(F16/I16))</f>
        <v>2</v>
      </c>
      <c r="K16" s="35" t="n">
        <v>5</v>
      </c>
      <c r="L16" s="35" t="n">
        <v>1</v>
      </c>
      <c r="M16" s="34" t="s">
        <v>305</v>
      </c>
      <c r="N16" s="17" t="str">
        <f aca="false">IF(OR(I16="",K16="",L16=""),"",IF(K16&lt;I16,"Amostra incompleta",IF(L16=0,"Conforme na amostra",IF(L16=1,"Desvio pontual: não conformidade, ampliar a amostra","Desvio repetido: não conformidade"))))</f>
        <v>Desvio pontual: não conformidade, ampliar a amostra</v>
      </c>
      <c r="O16" s="18" t="str">
        <f aca="false">IF(C16="","",IF(N(F16)=0,"Falta a população",IF(G16="","Falta o risco",IF(OR(H16="",H16&lt;1,H16&gt;J16),"Início deve ir de 1 a "&amp;J16,IF(K16="","Falta quantos foram verificados",IF(K16&gt;F16,"Verificados acima da população",IF(L16="","Falta quantos desvios",IF(L16&gt;K16,"Mais desvios que verificados","OK"))))))))</f>
        <v>OK</v>
      </c>
    </row>
    <row r="17" customFormat="false" ht="30.75" hidden="false" customHeight="true" outlineLevel="0" collapsed="false">
      <c r="B17" s="13" t="n">
        <v>4</v>
      </c>
      <c r="C17" s="32" t="s">
        <v>306</v>
      </c>
      <c r="D17" s="33" t="s">
        <v>262</v>
      </c>
      <c r="E17" s="34" t="s">
        <v>307</v>
      </c>
      <c r="F17" s="35" t="n">
        <v>25</v>
      </c>
      <c r="G17" s="33" t="s">
        <v>109</v>
      </c>
      <c r="H17" s="35" t="n">
        <v>1</v>
      </c>
      <c r="I17" s="15" t="n">
        <f aca="false">IF(OR(N(F17)=0,G17=""),"",IF(F17&lt;=5,F17,IFERROR(MIN(F17,MAX(3,ROUNDUP(IF(F17&lt;=20,5,IF(F17&lt;=50,8,IF(F17&lt;=100,10,IF(F17&lt;=500,15,20))))*IF(G17="Alto",1.5,IF(G17="Médio",1,IF(G17="Baixo",0.6,"")))-0.000000001,0))),"")))</f>
        <v>12</v>
      </c>
      <c r="J17" s="16" t="n">
        <f aca="false">IF(I17="","",INT(F17/I17))</f>
        <v>2</v>
      </c>
      <c r="K17" s="35" t="n">
        <v>12</v>
      </c>
      <c r="L17" s="35" t="n">
        <v>0</v>
      </c>
      <c r="M17" s="34"/>
      <c r="N17" s="17" t="str">
        <f aca="false">IF(OR(I17="",K17="",L17=""),"",IF(K17&lt;I17,"Amostra incompleta",IF(L17=0,"Conforme na amostra",IF(L17=1,"Desvio pontual: não conformidade, ampliar a amostra","Desvio repetido: não conformidade"))))</f>
        <v>Conforme na amostra</v>
      </c>
      <c r="O17" s="18" t="str">
        <f aca="false">IF(C17="","",IF(N(F17)=0,"Falta a população",IF(G17="","Falta o risco",IF(OR(H17="",H17&lt;1,H17&gt;J17),"Início deve ir de 1 a "&amp;J17,IF(K17="","Falta quantos foram verificados",IF(K17&gt;F17,"Verificados acima da população",IF(L17="","Falta quantos desvios",IF(L17&gt;K17,"Mais desvios que verificados","OK"))))))))</f>
        <v>OK</v>
      </c>
    </row>
    <row r="18" customFormat="false" ht="30.75" hidden="false" customHeight="true" outlineLevel="0" collapsed="false">
      <c r="B18" s="13" t="n">
        <v>5</v>
      </c>
      <c r="C18" s="32" t="s">
        <v>308</v>
      </c>
      <c r="D18" s="33" t="s">
        <v>251</v>
      </c>
      <c r="E18" s="34" t="s">
        <v>309</v>
      </c>
      <c r="F18" s="35" t="n">
        <v>12</v>
      </c>
      <c r="G18" s="33" t="s">
        <v>244</v>
      </c>
      <c r="H18" s="35" t="n">
        <v>2</v>
      </c>
      <c r="I18" s="15" t="n">
        <f aca="false">IF(OR(N(F18)=0,G18=""),"",IF(F18&lt;=5,F18,IFERROR(MIN(F18,MAX(3,ROUNDUP(IF(F18&lt;=20,5,IF(F18&lt;=50,8,IF(F18&lt;=100,10,IF(F18&lt;=500,15,20))))*IF(G18="Alto",1.5,IF(G18="Médio",1,IF(G18="Baixo",0.6,"")))-0.000000001,0))),"")))</f>
        <v>5</v>
      </c>
      <c r="J18" s="16" t="n">
        <f aca="false">IF(I18="","",INT(F18/I18))</f>
        <v>2</v>
      </c>
      <c r="K18" s="35" t="n">
        <v>5</v>
      </c>
      <c r="L18" s="35" t="n">
        <v>0</v>
      </c>
      <c r="M18" s="34"/>
      <c r="N18" s="17" t="str">
        <f aca="false">IF(OR(I18="",K18="",L18=""),"",IF(K18&lt;I18,"Amostra incompleta",IF(L18=0,"Conforme na amostra",IF(L18=1,"Desvio pontual: não conformidade, ampliar a amostra","Desvio repetido: não conformidade"))))</f>
        <v>Conforme na amostra</v>
      </c>
      <c r="O18" s="18" t="str">
        <f aca="false">IF(C18="","",IF(N(F18)=0,"Falta a população",IF(G18="","Falta o risco",IF(OR(H18="",H18&lt;1,H18&gt;J18),"Início deve ir de 1 a "&amp;J18,IF(K18="","Falta quantos foram verificados",IF(K18&gt;F18,"Verificados acima da população",IF(L18="","Falta quantos desvios",IF(L18&gt;K18,"Mais desvios que verificados","OK"))))))))</f>
        <v>OK</v>
      </c>
    </row>
    <row r="20" customFormat="false" ht="21.75" hidden="false" customHeight="true" outlineLevel="0" collapsed="false">
      <c r="B20" s="36" t="s">
        <v>59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customFormat="false" ht="30" hidden="false" customHeight="true" outlineLevel="0" collapsed="false">
      <c r="B21" s="15" t="s">
        <v>82</v>
      </c>
      <c r="C21" s="15" t="s">
        <v>115</v>
      </c>
      <c r="D21" s="15" t="s">
        <v>84</v>
      </c>
      <c r="E21" s="15" t="s">
        <v>116</v>
      </c>
      <c r="F21" s="15" t="s">
        <v>93</v>
      </c>
      <c r="G21" s="15"/>
      <c r="H21" s="15" t="s">
        <v>117</v>
      </c>
      <c r="I21" s="15"/>
      <c r="J21" s="15"/>
      <c r="K21" s="15" t="s">
        <v>118</v>
      </c>
      <c r="L21" s="15"/>
      <c r="M21" s="15" t="s">
        <v>120</v>
      </c>
      <c r="N21" s="15" t="s">
        <v>95</v>
      </c>
      <c r="O21" s="15"/>
    </row>
    <row r="22" customFormat="false" ht="30.75" hidden="false" customHeight="true" outlineLevel="0" collapsed="false">
      <c r="B22" s="13" t="n">
        <v>1</v>
      </c>
      <c r="C22" s="37" t="s">
        <v>310</v>
      </c>
      <c r="D22" s="33" t="s">
        <v>300</v>
      </c>
      <c r="E22" s="34" t="s">
        <v>311</v>
      </c>
      <c r="F22" s="34"/>
      <c r="G22" s="34"/>
      <c r="H22" s="34" t="s">
        <v>312</v>
      </c>
      <c r="I22" s="34"/>
      <c r="J22" s="34"/>
      <c r="K22" s="38" t="s">
        <v>260</v>
      </c>
      <c r="L22" s="38"/>
      <c r="M22" s="39" t="str">
        <f aca="false">IF(COUNTA(E22,F22,H22)=0,"",IF(COUNTA(E22,F22,H22)&gt;=2,"Forte",IF(OR(F22&lt;&gt;"",H22&lt;&gt;""),"Média","Fraca")))</f>
        <v>Forte</v>
      </c>
      <c r="N22" s="18" t="str">
        <f aca="false">IF(D22="","Falta o requisito",IF(C22="","Falta a pergunta",IF(COUNTA(E22,F22,H22)=0,"Falta a evidência",IF(K22="","Falta a constatação",IF(AND(K22="Não conformidade",M22="Fraca"),"Não conformidade sem evidência objetiva","OK")))))</f>
        <v>OK</v>
      </c>
      <c r="O22" s="18"/>
    </row>
    <row r="23" customFormat="false" ht="30.75" hidden="false" customHeight="true" outlineLevel="0" collapsed="false">
      <c r="B23" s="13" t="n">
        <v>2</v>
      </c>
      <c r="C23" s="37" t="s">
        <v>313</v>
      </c>
      <c r="D23" s="33" t="s">
        <v>242</v>
      </c>
      <c r="E23" s="34" t="s">
        <v>314</v>
      </c>
      <c r="F23" s="34" t="s">
        <v>315</v>
      </c>
      <c r="G23" s="34"/>
      <c r="H23" s="34" t="s">
        <v>316</v>
      </c>
      <c r="I23" s="34"/>
      <c r="J23" s="34"/>
      <c r="K23" s="38" t="s">
        <v>130</v>
      </c>
      <c r="L23" s="38"/>
      <c r="M23" s="39" t="str">
        <f aca="false">IF(COUNTA(E23,F23,H23)=0,"",IF(COUNTA(E23,F23,H23)&gt;=2,"Forte",IF(OR(F23&lt;&gt;"",H23&lt;&gt;""),"Média","Fraca")))</f>
        <v>Forte</v>
      </c>
      <c r="N23" s="18" t="str">
        <f aca="false">IF(D23="","Falta o requisito",IF(C23="","Falta a pergunta",IF(COUNTA(E23,F23,H23)=0,"Falta a evidência",IF(K23="","Falta a constatação",IF(AND(K23="Não conformidade",M23="Fraca"),"Não conformidade sem evidência objetiva","OK")))))</f>
        <v>OK</v>
      </c>
      <c r="O23" s="18"/>
    </row>
    <row r="24" customFormat="false" ht="30.75" hidden="false" customHeight="true" outlineLevel="0" collapsed="false">
      <c r="B24" s="13" t="n">
        <v>3</v>
      </c>
      <c r="C24" s="37" t="s">
        <v>317</v>
      </c>
      <c r="D24" s="33" t="s">
        <v>304</v>
      </c>
      <c r="E24" s="34" t="s">
        <v>318</v>
      </c>
      <c r="F24" s="34"/>
      <c r="G24" s="34"/>
      <c r="H24" s="34" t="s">
        <v>319</v>
      </c>
      <c r="I24" s="34"/>
      <c r="J24" s="34"/>
      <c r="K24" s="38" t="s">
        <v>260</v>
      </c>
      <c r="L24" s="38"/>
      <c r="M24" s="39" t="str">
        <f aca="false">IF(COUNTA(E24,F24,H24)=0,"",IF(COUNTA(E24,F24,H24)&gt;=2,"Forte",IF(OR(F24&lt;&gt;"",H24&lt;&gt;""),"Média","Fraca")))</f>
        <v>Forte</v>
      </c>
      <c r="N24" s="18" t="str">
        <f aca="false">IF(D24="","Falta o requisito",IF(C24="","Falta a pergunta",IF(COUNTA(E24,F24,H24)=0,"Falta a evidência",IF(K24="","Falta a constatação",IF(AND(K24="Não conformidade",M24="Fraca"),"Não conformidade sem evidência objetiva","OK")))))</f>
        <v>OK</v>
      </c>
      <c r="O24" s="18"/>
    </row>
    <row r="25" customFormat="false" ht="30.75" hidden="false" customHeight="true" outlineLevel="0" collapsed="false">
      <c r="B25" s="13" t="n">
        <v>4</v>
      </c>
      <c r="C25" s="37" t="s">
        <v>320</v>
      </c>
      <c r="D25" s="33" t="s">
        <v>321</v>
      </c>
      <c r="E25" s="34" t="s">
        <v>322</v>
      </c>
      <c r="F25" s="34" t="s">
        <v>323</v>
      </c>
      <c r="G25" s="34"/>
      <c r="H25" s="34" t="s">
        <v>324</v>
      </c>
      <c r="I25" s="34"/>
      <c r="J25" s="34"/>
      <c r="K25" s="38" t="s">
        <v>130</v>
      </c>
      <c r="L25" s="38"/>
      <c r="M25" s="39" t="str">
        <f aca="false">IF(COUNTA(E25,F25,H25)=0,"",IF(COUNTA(E25,F25,H25)&gt;=2,"Forte",IF(OR(F25&lt;&gt;"",H25&lt;&gt;""),"Média","Fraca")))</f>
        <v>Forte</v>
      </c>
      <c r="N25" s="18" t="str">
        <f aca="false">IF(D25="","Falta o requisito",IF(C25="","Falta a pergunta",IF(COUNTA(E25,F25,H25)=0,"Falta a evidência",IF(K25="","Falta a constatação",IF(AND(K25="Não conformidade",M25="Fraca"),"Não conformidade sem evidência objetiva","OK")))))</f>
        <v>OK</v>
      </c>
      <c r="O25" s="18"/>
    </row>
    <row r="26" customFormat="false" ht="30.75" hidden="false" customHeight="true" outlineLevel="0" collapsed="false">
      <c r="B26" s="13" t="n">
        <v>5</v>
      </c>
      <c r="C26" s="37" t="s">
        <v>325</v>
      </c>
      <c r="D26" s="33" t="s">
        <v>262</v>
      </c>
      <c r="E26" s="34"/>
      <c r="F26" s="34" t="s">
        <v>326</v>
      </c>
      <c r="G26" s="34"/>
      <c r="H26" s="34" t="s">
        <v>327</v>
      </c>
      <c r="I26" s="34"/>
      <c r="J26" s="34"/>
      <c r="K26" s="38" t="s">
        <v>130</v>
      </c>
      <c r="L26" s="38"/>
      <c r="M26" s="39" t="str">
        <f aca="false">IF(COUNTA(E26,F26,H26)=0,"",IF(COUNTA(E26,F26,H26)&gt;=2,"Forte",IF(OR(F26&lt;&gt;"",H26&lt;&gt;""),"Média","Fraca")))</f>
        <v>Forte</v>
      </c>
      <c r="N26" s="18" t="str">
        <f aca="false">IF(D26="","Falta o requisito",IF(C26="","Falta a pergunta",IF(COUNTA(E26,F26,H26)=0,"Falta a evidência",IF(K26="","Falta a constatação",IF(AND(K26="Não conformidade",M26="Fraca"),"Não conformidade sem evidência objetiva","OK")))))</f>
        <v>OK</v>
      </c>
      <c r="O26" s="18"/>
    </row>
    <row r="27" customFormat="false" ht="30.75" hidden="false" customHeight="true" outlineLevel="0" collapsed="false">
      <c r="B27" s="13" t="n">
        <v>6</v>
      </c>
      <c r="C27" s="37" t="s">
        <v>328</v>
      </c>
      <c r="D27" s="33" t="s">
        <v>251</v>
      </c>
      <c r="E27" s="34" t="s">
        <v>329</v>
      </c>
      <c r="F27" s="34"/>
      <c r="G27" s="34"/>
      <c r="H27" s="34"/>
      <c r="I27" s="34"/>
      <c r="J27" s="34"/>
      <c r="K27" s="38" t="s">
        <v>260</v>
      </c>
      <c r="L27" s="38"/>
      <c r="M27" s="39" t="str">
        <f aca="false">IF(COUNTA(E27,F27,H27)=0,"",IF(COUNTA(E27,F27,H27)&gt;=2,"Forte",IF(OR(F27&lt;&gt;"",H27&lt;&gt;""),"Média","Fraca")))</f>
        <v>Fraca</v>
      </c>
      <c r="N27" s="18" t="str">
        <f aca="false">IF(D27="","Falta o requisito",IF(C27="","Falta a pergunta",IF(COUNTA(E27,F27,H27)=0,"Falta a evidência",IF(K27="","Falta a constatação",IF(AND(K27="Não conformidade",M27="Fraca"),"Não conformidade sem evidência objetiva","OK")))))</f>
        <v>Não conformidade sem evidência objetiva</v>
      </c>
      <c r="O27" s="18"/>
    </row>
    <row r="28" customFormat="false" ht="30.75" hidden="false" customHeight="true" outlineLevel="0" collapsed="false">
      <c r="B28" s="13" t="n">
        <v>7</v>
      </c>
      <c r="C28" s="37" t="s">
        <v>330</v>
      </c>
      <c r="D28" s="33" t="s">
        <v>331</v>
      </c>
      <c r="E28" s="34" t="s">
        <v>332</v>
      </c>
      <c r="F28" s="34"/>
      <c r="G28" s="34"/>
      <c r="H28" s="34" t="s">
        <v>333</v>
      </c>
      <c r="I28" s="34"/>
      <c r="J28" s="34"/>
      <c r="K28" s="38" t="s">
        <v>130</v>
      </c>
      <c r="L28" s="38"/>
      <c r="M28" s="39" t="str">
        <f aca="false">IF(COUNTA(E28,F28,H28)=0,"",IF(COUNTA(E28,F28,H28)&gt;=2,"Forte",IF(OR(F28&lt;&gt;"",H28&lt;&gt;""),"Média","Fraca")))</f>
        <v>Forte</v>
      </c>
      <c r="N28" s="18" t="str">
        <f aca="false">IF(D28="","Falta o requisito",IF(C28="","Falta a pergunta",IF(COUNTA(E28,F28,H28)=0,"Falta a evidência",IF(K28="","Falta a constatação",IF(AND(K28="Não conformidade",M28="Fraca"),"Não conformidade sem evidência objetiva","OK")))))</f>
        <v>OK</v>
      </c>
      <c r="O28" s="18"/>
    </row>
    <row r="29" customFormat="false" ht="30.75" hidden="false" customHeight="true" outlineLevel="0" collapsed="false">
      <c r="B29" s="13" t="n">
        <v>8</v>
      </c>
      <c r="C29" s="37" t="s">
        <v>334</v>
      </c>
      <c r="D29" s="33" t="s">
        <v>304</v>
      </c>
      <c r="E29" s="34" t="s">
        <v>335</v>
      </c>
      <c r="F29" s="34" t="s">
        <v>336</v>
      </c>
      <c r="G29" s="34"/>
      <c r="H29" s="34" t="s">
        <v>337</v>
      </c>
      <c r="I29" s="34"/>
      <c r="J29" s="34"/>
      <c r="K29" s="38" t="s">
        <v>130</v>
      </c>
      <c r="L29" s="38"/>
      <c r="M29" s="39" t="str">
        <f aca="false">IF(COUNTA(E29,F29,H29)=0,"",IF(COUNTA(E29,F29,H29)&gt;=2,"Forte",IF(OR(F29&lt;&gt;"",H29&lt;&gt;""),"Média","Fraca")))</f>
        <v>Forte</v>
      </c>
      <c r="N29" s="18" t="str">
        <f aca="false">IF(D29="","Falta o requisito",IF(C29="","Falta a pergunta",IF(COUNTA(E29,F29,H29)=0,"Falta a evidência",IF(K29="","Falta a constatação",IF(AND(K29="Não conformidade",M29="Fraca"),"Não conformidade sem evidência objetiva","OK")))))</f>
        <v>OK</v>
      </c>
      <c r="O29" s="18"/>
    </row>
    <row r="31" customFormat="false" ht="21.75" hidden="false" customHeight="true" outlineLevel="0" collapsed="false">
      <c r="B31" s="40" t="s">
        <v>133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customFormat="false" ht="42" hidden="false" customHeight="true" outlineLevel="0" collapsed="false">
      <c r="B32" s="15" t="s">
        <v>82</v>
      </c>
      <c r="C32" s="15" t="s">
        <v>137</v>
      </c>
      <c r="D32" s="15" t="s">
        <v>138</v>
      </c>
      <c r="E32" s="15" t="s">
        <v>139</v>
      </c>
      <c r="F32" s="15" t="s">
        <v>293</v>
      </c>
      <c r="G32" s="15" t="s">
        <v>338</v>
      </c>
      <c r="H32" s="15" t="s">
        <v>339</v>
      </c>
    </row>
    <row r="33" customFormat="false" ht="22.35" hidden="false" customHeight="true" outlineLevel="0" collapsed="false">
      <c r="B33" s="41" t="s">
        <v>290</v>
      </c>
      <c r="C33" s="41"/>
      <c r="D33" s="41"/>
      <c r="E33" s="41"/>
      <c r="F33" s="38" t="s">
        <v>81</v>
      </c>
      <c r="G33" s="38" t="s">
        <v>135</v>
      </c>
      <c r="H33" s="38" t="s">
        <v>340</v>
      </c>
    </row>
    <row r="34" customFormat="false" ht="30" hidden="false" customHeight="true" outlineLevel="0" collapsed="false">
      <c r="B34" s="13" t="n">
        <v>1</v>
      </c>
      <c r="C34" s="23" t="s">
        <v>144</v>
      </c>
      <c r="D34" s="24" t="s">
        <v>145</v>
      </c>
      <c r="E34" s="24" t="s">
        <v>146</v>
      </c>
      <c r="F34" s="33" t="n">
        <v>3</v>
      </c>
      <c r="G34" s="33" t="n">
        <v>2</v>
      </c>
      <c r="H34" s="33" t="n">
        <v>2</v>
      </c>
    </row>
    <row r="35" customFormat="false" ht="30" hidden="false" customHeight="true" outlineLevel="0" collapsed="false">
      <c r="B35" s="13" t="n">
        <v>2</v>
      </c>
      <c r="C35" s="23" t="s">
        <v>147</v>
      </c>
      <c r="D35" s="24" t="s">
        <v>145</v>
      </c>
      <c r="E35" s="24" t="s">
        <v>146</v>
      </c>
      <c r="F35" s="33" t="n">
        <v>3</v>
      </c>
      <c r="G35" s="33" t="n">
        <v>2</v>
      </c>
      <c r="H35" s="33" t="n">
        <v>1</v>
      </c>
    </row>
    <row r="36" customFormat="false" ht="30" hidden="false" customHeight="true" outlineLevel="0" collapsed="false">
      <c r="B36" s="13" t="n">
        <v>3</v>
      </c>
      <c r="C36" s="23" t="s">
        <v>148</v>
      </c>
      <c r="D36" s="24" t="s">
        <v>149</v>
      </c>
      <c r="E36" s="24" t="s">
        <v>146</v>
      </c>
      <c r="F36" s="33" t="n">
        <v>3</v>
      </c>
      <c r="G36" s="33"/>
      <c r="H36" s="33"/>
    </row>
    <row r="37" customFormat="false" ht="30" hidden="false" customHeight="true" outlineLevel="0" collapsed="false">
      <c r="B37" s="13" t="n">
        <v>4</v>
      </c>
      <c r="C37" s="23" t="s">
        <v>150</v>
      </c>
      <c r="D37" s="24" t="s">
        <v>116</v>
      </c>
      <c r="E37" s="24" t="s">
        <v>146</v>
      </c>
      <c r="F37" s="33" t="n">
        <v>3</v>
      </c>
      <c r="G37" s="33" t="n">
        <v>2</v>
      </c>
      <c r="H37" s="33" t="n">
        <v>2</v>
      </c>
    </row>
    <row r="38" customFormat="false" ht="30" hidden="false" customHeight="true" outlineLevel="0" collapsed="false">
      <c r="B38" s="13" t="n">
        <v>5</v>
      </c>
      <c r="C38" s="23" t="s">
        <v>151</v>
      </c>
      <c r="D38" s="24" t="s">
        <v>116</v>
      </c>
      <c r="E38" s="24" t="s">
        <v>146</v>
      </c>
      <c r="F38" s="33" t="n">
        <v>2</v>
      </c>
      <c r="G38" s="33" t="n">
        <v>2</v>
      </c>
      <c r="H38" s="33" t="n">
        <v>2</v>
      </c>
    </row>
    <row r="39" customFormat="false" ht="30" hidden="false" customHeight="true" outlineLevel="0" collapsed="false">
      <c r="B39" s="13" t="n">
        <v>6</v>
      </c>
      <c r="C39" s="23" t="s">
        <v>152</v>
      </c>
      <c r="D39" s="24" t="s">
        <v>89</v>
      </c>
      <c r="E39" s="17" t="s">
        <v>153</v>
      </c>
      <c r="F39" s="33" t="n">
        <v>3</v>
      </c>
      <c r="G39" s="33" t="n">
        <v>3</v>
      </c>
      <c r="H39" s="33" t="n">
        <v>1</v>
      </c>
    </row>
    <row r="40" customFormat="false" ht="30" hidden="false" customHeight="true" outlineLevel="0" collapsed="false">
      <c r="B40" s="13" t="n">
        <v>7</v>
      </c>
      <c r="C40" s="23" t="s">
        <v>154</v>
      </c>
      <c r="D40" s="24" t="s">
        <v>89</v>
      </c>
      <c r="E40" s="24" t="s">
        <v>146</v>
      </c>
      <c r="F40" s="33" t="n">
        <v>3</v>
      </c>
      <c r="G40" s="33" t="n">
        <v>2</v>
      </c>
      <c r="H40" s="33" t="n">
        <v>1</v>
      </c>
    </row>
    <row r="41" customFormat="false" ht="30" hidden="false" customHeight="true" outlineLevel="0" collapsed="false">
      <c r="B41" s="13" t="n">
        <v>8</v>
      </c>
      <c r="C41" s="23" t="s">
        <v>155</v>
      </c>
      <c r="D41" s="24" t="s">
        <v>156</v>
      </c>
      <c r="E41" s="17" t="s">
        <v>153</v>
      </c>
      <c r="F41" s="33" t="n">
        <v>3</v>
      </c>
      <c r="G41" s="33" t="n">
        <v>2</v>
      </c>
      <c r="H41" s="33" t="n">
        <v>1</v>
      </c>
    </row>
    <row r="42" customFormat="false" ht="30" hidden="false" customHeight="true" outlineLevel="0" collapsed="false">
      <c r="B42" s="13" t="n">
        <v>9</v>
      </c>
      <c r="C42" s="23" t="s">
        <v>157</v>
      </c>
      <c r="D42" s="24" t="s">
        <v>156</v>
      </c>
      <c r="E42" s="24" t="s">
        <v>146</v>
      </c>
      <c r="F42" s="33" t="n">
        <v>3</v>
      </c>
      <c r="G42" s="33" t="n">
        <v>3</v>
      </c>
      <c r="H42" s="33"/>
    </row>
    <row r="43" customFormat="false" ht="30" hidden="false" customHeight="true" outlineLevel="0" collapsed="false">
      <c r="B43" s="13" t="n">
        <v>10</v>
      </c>
      <c r="C43" s="23" t="s">
        <v>158</v>
      </c>
      <c r="D43" s="24" t="s">
        <v>118</v>
      </c>
      <c r="E43" s="17" t="s">
        <v>153</v>
      </c>
      <c r="F43" s="33" t="n">
        <v>3</v>
      </c>
      <c r="G43" s="33" t="n">
        <v>2</v>
      </c>
      <c r="H43" s="33"/>
    </row>
    <row r="44" customFormat="false" ht="30" hidden="false" customHeight="true" outlineLevel="0" collapsed="false">
      <c r="B44" s="13" t="n">
        <v>11</v>
      </c>
      <c r="C44" s="23" t="s">
        <v>159</v>
      </c>
      <c r="D44" s="24" t="s">
        <v>118</v>
      </c>
      <c r="E44" s="24" t="s">
        <v>146</v>
      </c>
      <c r="F44" s="33" t="n">
        <v>2</v>
      </c>
      <c r="G44" s="33" t="n">
        <v>1</v>
      </c>
      <c r="H44" s="33" t="n">
        <v>2</v>
      </c>
    </row>
    <row r="45" customFormat="false" ht="30" hidden="false" customHeight="true" outlineLevel="0" collapsed="false">
      <c r="B45" s="13" t="n">
        <v>12</v>
      </c>
      <c r="C45" s="23" t="s">
        <v>160</v>
      </c>
      <c r="D45" s="24" t="s">
        <v>161</v>
      </c>
      <c r="E45" s="24" t="s">
        <v>146</v>
      </c>
      <c r="F45" s="33" t="n">
        <v>3</v>
      </c>
      <c r="G45" s="33" t="n">
        <v>2</v>
      </c>
      <c r="H45" s="33"/>
    </row>
    <row r="46" customFormat="false" ht="21.75" hidden="false" customHeight="true" outlineLevel="0" collapsed="false">
      <c r="B46" s="20" t="s">
        <v>162</v>
      </c>
      <c r="C46" s="20"/>
      <c r="D46" s="20"/>
      <c r="E46" s="20"/>
      <c r="F46" s="16" t="n">
        <f aca="false">IF(F$32="","",COUNT(F34:F45))</f>
        <v>12</v>
      </c>
      <c r="G46" s="16" t="n">
        <f aca="false">IF(G$32="","",COUNT(G34:G45))</f>
        <v>11</v>
      </c>
      <c r="H46" s="16" t="n">
        <f aca="false">IF(H$32="","",COUNT(H34:H45))</f>
        <v>8</v>
      </c>
    </row>
    <row r="47" customFormat="false" ht="21.75" hidden="false" customHeight="true" outlineLevel="0" collapsed="false">
      <c r="B47" s="20" t="s">
        <v>163</v>
      </c>
      <c r="C47" s="20"/>
      <c r="D47" s="20"/>
      <c r="E47" s="20"/>
      <c r="F47" s="16" t="n">
        <f aca="false">IF(F$32="","",SUM(F34:F45))</f>
        <v>34</v>
      </c>
      <c r="G47" s="16" t="n">
        <f aca="false">IF(G$32="","",SUM(G34:G45))</f>
        <v>23</v>
      </c>
      <c r="H47" s="16" t="n">
        <f aca="false">IF(H$32="","",SUM(H34:H45))</f>
        <v>12</v>
      </c>
    </row>
    <row r="48" customFormat="false" ht="21.75" hidden="false" customHeight="true" outlineLevel="0" collapsed="false">
      <c r="B48" s="20" t="s">
        <v>164</v>
      </c>
      <c r="C48" s="20"/>
      <c r="D48" s="20"/>
      <c r="E48" s="20"/>
      <c r="F48" s="25" t="n">
        <f aca="false">IF(OR(F$32="",N(F46)=0),"",F47/(3*F46))</f>
        <v>0.944444444444444</v>
      </c>
      <c r="G48" s="25" t="n">
        <f aca="false">IF(OR(G$32="",N(G46)=0),"",G47/(3*G46))</f>
        <v>0.696969696969697</v>
      </c>
      <c r="H48" s="25" t="n">
        <f aca="false">IF(OR(H$32="",N(H46)=0),"",H47/(3*H46))</f>
        <v>0.5</v>
      </c>
    </row>
    <row r="49" customFormat="false" ht="30" hidden="false" customHeight="true" outlineLevel="0" collapsed="false">
      <c r="B49" s="20" t="s">
        <v>165</v>
      </c>
      <c r="C49" s="20"/>
      <c r="D49" s="20"/>
      <c r="E49" s="20"/>
      <c r="F49" s="39" t="str">
        <f aca="false">IF(F$32="","",IF(F46=0,"",IF(F46&lt;8,"Observação insuficiente",IF(SUMPRODUCT(($E$34:$E$45="Sim")*(F34:F45&lt;&gt;"")*(F34:F45&lt;=1))&gt;0,"Em formação",IF(F48&gt;=0.8-0.000000001,"Apto a liderar",IF(F48&gt;=0.6-0.000000001,"Apto a auditar em equipe","Em formação"))))))</f>
        <v>Apto a liderar</v>
      </c>
      <c r="G49" s="39" t="str">
        <f aca="false">IF(G$32="","",IF(G46=0,"",IF(G46&lt;8,"Observação insuficiente",IF(SUMPRODUCT(($E$34:$E$45="Sim")*(G34:G45&lt;&gt;"")*(G34:G45&lt;=1))&gt;0,"Em formação",IF(G48&gt;=0.8-0.000000001,"Apto a liderar",IF(G48&gt;=0.6-0.000000001,"Apto a auditar em equipe","Em formação"))))))</f>
        <v>Apto a auditar em equipe</v>
      </c>
      <c r="H49" s="39" t="str">
        <f aca="false">IF(H$32="","",IF(H46=0,"",IF(H46&lt;8,"Observação insuficiente",IF(SUMPRODUCT(($E$34:$E$45="Sim")*(H34:H45&lt;&gt;"")*(H34:H45&lt;=1))&gt;0,"Em formação",IF(H48&gt;=0.8-0.000000001,"Apto a liderar",IF(H48&gt;=0.6-0.000000001,"Apto a auditar em equipe","Em formação"))))))</f>
        <v>Em formação</v>
      </c>
    </row>
    <row r="50" customFormat="false" ht="21.75" hidden="false" customHeight="true" outlineLevel="0" collapsed="false">
      <c r="B50" s="20" t="s">
        <v>95</v>
      </c>
      <c r="C50" s="20"/>
      <c r="D50" s="20"/>
      <c r="E50" s="20"/>
      <c r="F50" s="18" t="str">
        <f aca="false">IF(F$32="",IF(COUNT(F34:F45)&gt;0,"Falta o nome",""),IF(F46=0,"Faltam as notas",IF(F46&lt;8,"Observar mais critérios","OK")))</f>
        <v>OK</v>
      </c>
      <c r="G50" s="18" t="str">
        <f aca="false">IF(G$32="",IF(COUNT(G34:G45)&gt;0,"Falta o nome",""),IF(G46=0,"Faltam as notas",IF(G46&lt;8,"Observar mais critérios","OK")))</f>
        <v>OK</v>
      </c>
      <c r="H50" s="18" t="str">
        <f aca="false">IF(H$32="",IF(COUNT(H34:H45)&gt;0,"Falta o nome",""),IF(H46=0,"Faltam as notas",IF(H46&lt;8,"Observar mais critérios","OK")))</f>
        <v>OK</v>
      </c>
    </row>
    <row r="52" customFormat="false" ht="21.75" hidden="false" customHeight="true" outlineLevel="0" collapsed="false">
      <c r="B52" s="19" t="s">
        <v>111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customFormat="false" ht="21.75" hidden="false" customHeight="true" outlineLevel="0" collapsed="false">
      <c r="B53" s="20" t="s">
        <v>57</v>
      </c>
      <c r="C53" s="20"/>
      <c r="D53" s="20"/>
      <c r="E53" s="21" t="str">
        <f aca="false">SUM(K14:K18)&amp;" registros verificados em "&amp;COUNTA(C14:C18)&amp;" amostras, "&amp;SUM(L14:L18)&amp;" desvios. "&amp;COUNTIF(N14:N18,"Conforme na amostra")&amp;" conforme na amostra"&amp;", "&amp;COUNTIF(N14:N18,"Desvio pontual: não conformidade, ampliar a amostra")&amp;" desvio pontual: não conformidade, ampliar a amostra"&amp;", "&amp;COUNTIF(N14:N18,"Desvio repetido: não conformidade")&amp;" desvio repetido: não conformidade"&amp;", "&amp;COUNTIF(N14:N18,"Amostra incompleta")&amp;" amostra incompleta"</f>
        <v>60 registros verificados em 5 amostras, 3 desvios. 3 conforme na amostra, 1 desvio pontual: não conformidade, ampliar a amostra, 1 desvio repetido: não conformidade, 0 amostra incompleta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customFormat="false" ht="21.75" hidden="false" customHeight="true" outlineLevel="0" collapsed="false">
      <c r="B54" s="20" t="s">
        <v>59</v>
      </c>
      <c r="C54" s="20"/>
      <c r="D54" s="20"/>
      <c r="E54" s="21" t="str">
        <f aca="false">COUNTIF(K22:L29,"Conforme")&amp;" conforme"&amp;", "&amp;COUNTIF(K22:L29,"Não conformidade")&amp;" não conformidade"&amp;", "&amp;COUNTIF(K22:L29,"Oportunidade de melhoria")&amp;" oportunidade de melhoria"&amp;". Força: "&amp;COUNTIF(M22:M29,"Forte")&amp;" forte"&amp;", "&amp;COUNTIF(M22:M29,"Média")&amp;" média"&amp;", "&amp;COUNTIF(M22:M29,"Fraca")&amp;" fraca"</f>
        <v>5 conforme, 3 não conformidade, 0 oportunidade de melhoria. Força: 7 forte, 0 média, 1 fraca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customFormat="false" ht="21.75" hidden="false" customHeight="true" outlineLevel="0" collapsed="false">
      <c r="B55" s="20" t="s">
        <v>61</v>
      </c>
      <c r="C55" s="20"/>
      <c r="D55" s="20"/>
      <c r="E55" s="21" t="str">
        <f aca="false">COUNTIF(F49:H49,"Apto a liderar")&amp;" apto a liderar"&amp;", "&amp;COUNTIF(F49:H49,"Apto a auditar em equipe")&amp;" apto a auditar em equipe"&amp;", "&amp;COUNTIF(F49:H49,"Em formação")&amp;" em formação"&amp;", "&amp;COUNTIF(F49:H49,"Observação insuficiente")&amp;" observação insuficiente"</f>
        <v>1 apto a liderar, 1 apto a auditar em equipe, 1 em formação, 0 observação insuficiente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customFormat="false" ht="21.75" hidden="false" customHeight="true" outlineLevel="0" collapsed="false">
      <c r="B56" s="20" t="s">
        <v>203</v>
      </c>
      <c r="C56" s="20"/>
      <c r="D56" s="20"/>
      <c r="E56" s="21" t="n">
        <f aca="false">SUMPRODUCT((O14:O18&lt;&gt;"OK")*1)+SUMPRODUCT((N22:N29&lt;&gt;"OK")*1)</f>
        <v>1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</row>
  </sheetData>
  <mergeCells count="69">
    <mergeCell ref="B1:O1"/>
    <mergeCell ref="B2:O2"/>
    <mergeCell ref="B4:C4"/>
    <mergeCell ref="D4:O4"/>
    <mergeCell ref="B5:C5"/>
    <mergeCell ref="D5:O5"/>
    <mergeCell ref="B6:C6"/>
    <mergeCell ref="D6:O6"/>
    <mergeCell ref="B7:C7"/>
    <mergeCell ref="D7:O7"/>
    <mergeCell ref="B8:C8"/>
    <mergeCell ref="D8:O8"/>
    <mergeCell ref="B9:C9"/>
    <mergeCell ref="D9:O9"/>
    <mergeCell ref="B10:C10"/>
    <mergeCell ref="B12:O12"/>
    <mergeCell ref="B20:O20"/>
    <mergeCell ref="F21:G21"/>
    <mergeCell ref="H21:J21"/>
    <mergeCell ref="K21:L21"/>
    <mergeCell ref="N21:O21"/>
    <mergeCell ref="F22:G22"/>
    <mergeCell ref="H22:J22"/>
    <mergeCell ref="K22:L22"/>
    <mergeCell ref="N22:O22"/>
    <mergeCell ref="F23:G23"/>
    <mergeCell ref="H23:J23"/>
    <mergeCell ref="K23:L23"/>
    <mergeCell ref="N23:O23"/>
    <mergeCell ref="F24:G24"/>
    <mergeCell ref="H24:J24"/>
    <mergeCell ref="K24:L24"/>
    <mergeCell ref="N24:O24"/>
    <mergeCell ref="F25:G25"/>
    <mergeCell ref="H25:J25"/>
    <mergeCell ref="K25:L25"/>
    <mergeCell ref="N25:O25"/>
    <mergeCell ref="F26:G26"/>
    <mergeCell ref="H26:J26"/>
    <mergeCell ref="K26:L26"/>
    <mergeCell ref="N26:O26"/>
    <mergeCell ref="F27:G27"/>
    <mergeCell ref="H27:J27"/>
    <mergeCell ref="K27:L27"/>
    <mergeCell ref="N27:O27"/>
    <mergeCell ref="F28:G28"/>
    <mergeCell ref="H28:J28"/>
    <mergeCell ref="K28:L28"/>
    <mergeCell ref="N28:O28"/>
    <mergeCell ref="F29:G29"/>
    <mergeCell ref="H29:J29"/>
    <mergeCell ref="K29:L29"/>
    <mergeCell ref="N29:O29"/>
    <mergeCell ref="B31:O31"/>
    <mergeCell ref="B33:E33"/>
    <mergeCell ref="B46:E46"/>
    <mergeCell ref="B47:E47"/>
    <mergeCell ref="B48:E48"/>
    <mergeCell ref="B49:E49"/>
    <mergeCell ref="B50:E50"/>
    <mergeCell ref="B52:O52"/>
    <mergeCell ref="B53:D53"/>
    <mergeCell ref="E53:O53"/>
    <mergeCell ref="B54:D54"/>
    <mergeCell ref="E54:O54"/>
    <mergeCell ref="B55:D55"/>
    <mergeCell ref="E55:O55"/>
    <mergeCell ref="B56:D56"/>
    <mergeCell ref="E56:O56"/>
  </mergeCells>
  <conditionalFormatting sqref="N14:N18">
    <cfRule type="expression" priority="2" aboveAverage="0" equalAverage="0" bottom="0" percent="0" rank="0" text="" dxfId="0">
      <formula>N14="Conforme na amostra"</formula>
    </cfRule>
    <cfRule type="expression" priority="3" aboveAverage="0" equalAverage="0" bottom="0" percent="0" rank="0" text="" dxfId="1">
      <formula>N14="Desvio pontual: não conformidade, ampliar a amostra"</formula>
    </cfRule>
    <cfRule type="expression" priority="4" aboveAverage="0" equalAverage="0" bottom="0" percent="0" rank="0" text="" dxfId="1">
      <formula>N14="Amostra incompleta"</formula>
    </cfRule>
    <cfRule type="expression" priority="5" aboveAverage="0" equalAverage="0" bottom="0" percent="0" rank="0" text="" dxfId="2">
      <formula>N14="Desvio repetido: não conformidade"</formula>
    </cfRule>
  </conditionalFormatting>
  <conditionalFormatting sqref="O14:O18">
    <cfRule type="expression" priority="6" aboveAverage="0" equalAverage="0" bottom="0" percent="0" rank="0" text="" dxfId="0">
      <formula>OR(O14="OK")</formula>
    </cfRule>
    <cfRule type="expression" priority="7" aboveAverage="0" equalAverage="0" bottom="0" percent="0" rank="0" text="" dxfId="3">
      <formula>AND(LEN(O14)&gt;0,NOT(OR(O14="OK")))</formula>
    </cfRule>
  </conditionalFormatting>
  <conditionalFormatting sqref="M22:M29">
    <cfRule type="expression" priority="8" aboveAverage="0" equalAverage="0" bottom="0" percent="0" rank="0" text="" dxfId="0">
      <formula>M22="Forte"</formula>
    </cfRule>
    <cfRule type="expression" priority="9" aboveAverage="0" equalAverage="0" bottom="0" percent="0" rank="0" text="" dxfId="1">
      <formula>M22="Média"</formula>
    </cfRule>
    <cfRule type="expression" priority="10" aboveAverage="0" equalAverage="0" bottom="0" percent="0" rank="0" text="" dxfId="2">
      <formula>M22="Fraca"</formula>
    </cfRule>
  </conditionalFormatting>
  <conditionalFormatting sqref="K22:L29">
    <cfRule type="expression" priority="11" aboveAverage="0" equalAverage="0" bottom="0" percent="0" rank="0" text="" dxfId="0">
      <formula>$K22="Conforme"</formula>
    </cfRule>
    <cfRule type="expression" priority="12" aboveAverage="0" equalAverage="0" bottom="0" percent="0" rank="0" text="" dxfId="2">
      <formula>$K22="Não conformidade"</formula>
    </cfRule>
    <cfRule type="expression" priority="13" aboveAverage="0" equalAverage="0" bottom="0" percent="0" rank="0" text="" dxfId="1">
      <formula>$K22="Oportunidade de melhoria"</formula>
    </cfRule>
  </conditionalFormatting>
  <conditionalFormatting sqref="N22:O29">
    <cfRule type="expression" priority="14" aboveAverage="0" equalAverage="0" bottom="0" percent="0" rank="0" text="" dxfId="0">
      <formula>$N22="OK"</formula>
    </cfRule>
    <cfRule type="expression" priority="15" aboveAverage="0" equalAverage="0" bottom="0" percent="0" rank="0" text="" dxfId="2">
      <formula>$N22="Não conformidade sem evidência objetiva"</formula>
    </cfRule>
    <cfRule type="expression" priority="16" aboveAverage="0" equalAverage="0" bottom="0" percent="0" rank="0" text="" dxfId="3">
      <formula>LEN($N22)&gt;0</formula>
    </cfRule>
  </conditionalFormatting>
  <conditionalFormatting sqref="F49:H49">
    <cfRule type="expression" priority="17" aboveAverage="0" equalAverage="0" bottom="0" percent="0" rank="0" text="" dxfId="0">
      <formula>F49="Apto a liderar"</formula>
    </cfRule>
    <cfRule type="expression" priority="18" aboveAverage="0" equalAverage="0" bottom="0" percent="0" rank="0" text="" dxfId="1">
      <formula>F49="Apto a auditar em equipe"</formula>
    </cfRule>
    <cfRule type="expression" priority="19" aboveAverage="0" equalAverage="0" bottom="0" percent="0" rank="0" text="" dxfId="2">
      <formula>F49="Em formação"</formula>
    </cfRule>
    <cfRule type="expression" priority="20" aboveAverage="0" equalAverage="0" bottom="0" percent="0" rank="0" text="" dxfId="4">
      <formula>F49="Observação insuficiente"</formula>
    </cfRule>
  </conditionalFormatting>
  <conditionalFormatting sqref="F50:H50">
    <cfRule type="expression" priority="21" aboveAverage="0" equalAverage="0" bottom="0" percent="0" rank="0" text="" dxfId="0">
      <formula>OR(F50="OK")</formula>
    </cfRule>
    <cfRule type="expression" priority="22" aboveAverage="0" equalAverage="0" bottom="0" percent="0" rank="0" text="" dxfId="3">
      <formula>AND(LEN(F50)&gt;0,NOT(OR(F50="OK")))</formula>
    </cfRule>
  </conditionalFormatting>
  <conditionalFormatting sqref="F34:H45">
    <cfRule type="expression" priority="23" aboveAverage="0" equalAverage="0" bottom="0" percent="0" rank="0" text="" dxfId="2">
      <formula>AND($E34="Sim",F34&lt;&gt;"",F34&lt;=1)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19" man="true" max="16383" min="0"/>
    <brk id="3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2026-10-04T16:09:39Z</dcterms:created>
  <dc:creator>Modelo Técnica de auditoria</dc:creator>
  <dc:description/>
  <dc:language>pt-BR</dc:language>
  <cp:lastModifiedBy/>
  <dcterms:modified xsi:type="dcterms:W3CDTF">2026-10-04T16:09:39Z</dcterms:modified>
  <cp:revision>0</cp:revision>
  <dc:subject/>
  <dc:title>Técnica de auditoria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