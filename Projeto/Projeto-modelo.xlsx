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lano" sheetId="2" state="visible" r:id="rId4"/>
    <sheet name="Entradas" sheetId="3" state="visible" r:id="rId5"/>
    <sheet name="Mudanças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2" name="_xlnm.Print_Area" vbProcedure="false">Entradas!$B$1:$K$42</definedName>
    <definedName function="false" hidden="false" localSheetId="6" name="_xlnm.Print_Area" vbProcedure="false">'Exemplo 1 - Pizzaria'!$B$1:$M$44</definedName>
    <definedName function="false" hidden="false" localSheetId="7" name="_xlnm.Print_Area" vbProcedure="false">'Exemplo 2 - Indústria'!$B$1:$M$48</definedName>
    <definedName function="false" hidden="false" localSheetId="0" name="_xlnm.Print_Area" vbProcedure="false">Instruções!$B$1:$C$41</definedName>
    <definedName function="false" hidden="false" localSheetId="3" name="_xlnm.Print_Area" vbProcedure="false">Mudanças!$B$1:$I$31</definedName>
    <definedName function="false" hidden="false" localSheetId="4" name="_xlnm.Print_Area" vbProcedure="false">Painel!$B$1:$G$57</definedName>
    <definedName function="false" hidden="false" localSheetId="1" name="_xlnm.Print_Area" vbProcedure="false">Plano!$B$1:$L$39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2" authorId="0">
      <text>
        <r>
          <rPr>
            <sz val="10"/>
            <rFont val="Arial"/>
            <family val="2"/>
          </rPr>
          <t xml:space="preserve">Verificação: as saídas atendem às entradas? Validação: o produto serve para o uso pretendido? Análise crítica: o projeto segue?</t>
        </r>
      </text>
    </comment>
    <comment ref="J12" authorId="0">
      <text>
        <r>
          <rPr>
            <sz val="10"/>
            <rFont val="Arial"/>
            <family val="2"/>
          </rPr>
          <t xml:space="preserve">O que será feito sobre a ressalva ou a reprovação, com prazo. Na validação reprovada, diga também a entrada nova, se houver.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4" authorId="0">
      <text>
        <r>
          <rPr>
            <sz val="10"/>
            <rFont val="Arial"/>
            <family val="2"/>
          </rPr>
          <t xml:space="preserve">Passe pelos sete tipos, um por um. O tipo esquecido é a entrada que a validação vai revelar tarde.</t>
        </r>
      </text>
    </comment>
    <comment ref="G4" authorId="0">
      <text>
        <r>
          <rPr>
            <sz val="10"/>
            <rFont val="Arial"/>
            <family val="2"/>
          </rPr>
          <t xml:space="preserve">A especificação, a receita, a instrução ou o critério em que a entrada é atendida.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H4" authorId="0">
      <text>
        <r>
          <rPr>
            <sz val="10"/>
            <rFont val="Arial"/>
            <family val="2"/>
          </rPr>
          <t xml:space="preserve">Quem tem a autoridade para mudar o projeto. Uma mudança autorizada por quem não responde pelo projeto é uma constatação.</t>
        </r>
      </text>
    </comment>
  </commentList>
</comments>
</file>

<file path=xl/sharedStrings.xml><?xml version="1.0" encoding="utf-8"?>
<sst xmlns="http://schemas.openxmlformats.org/spreadsheetml/2006/main" count="595" uniqueCount="387">
  <si>
    <t xml:space="preserve">Projeto e desenvolvimento — Como usar esta planilha</t>
  </si>
  <si>
    <t xml:space="preserve">Modelo para planejar o projeto, ligar as entradas às saídas e às verificações, registrar os controles e as mudanças, e decidir a liberação.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</si>
  <si>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</si>
  <si>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</si>
  <si>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</si>
  <si>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</si>
  <si>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conferências,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</si>
  <si>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</si>
  <si>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</si>
  <si>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</si>
  <si>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Tipo da etapa, resultado, tipo da entrada, resultado da verificação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</si>
  <si>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</si>
  <si>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</si>
  <si>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</si>
  <si>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Atrasada</t>
  </si>
  <si>
    <t xml:space="preserve">Etapa sem data de conclusão, com o prazo anterior à data da leitura, informada na aba Plano.</t>
  </si>
  <si>
    <t xml:space="preserve">Falta a ação</t>
  </si>
  <si>
    <t xml:space="preserve">Etapa com o resultado “Aprovado com ressalvas” ou “Reprovado”, sem a ação registrada.</t>
  </si>
  <si>
    <t xml:space="preserve">Liberado sem validação aprovada</t>
  </si>
  <si>
    <t xml:space="preserve">Etapa de “Liberação para produção” concluída sem nenhuma etapa de “Validação” aprovada, com ou sem ressalvas.</t>
  </si>
  <si>
    <t xml:space="preserve">Verificação pendente</t>
  </si>
  <si>
    <t xml:space="preserve">Entrada com tudo preenchido, sem o resultado da verificação.</t>
  </si>
  <si>
    <t xml:space="preserve">Não atende</t>
  </si>
  <si>
    <t xml:space="preserve">Com a ação escrita na coluna Evidência ou ação, a conferência mostra a ação em curso. Sem ela, pede a ação.</t>
  </si>
  <si>
    <t xml:space="preserve">Pode liberar?</t>
  </si>
  <si>
    <t xml:space="preserve">Sim quando há validação aprovada, todas as entradas atendem, nenhuma mudança está a rever e nenhuma etapa está atrasada ou a rever.</t>
  </si>
  <si>
    <t xml:space="preserve">Ordem recomendada de preenchimento</t>
  </si>
  <si>
    <t xml:space="preserve">Passo 1</t>
  </si>
  <si>
    <t xml:space="preserve">Aba Plano: escreva o projeto, o objetivo, o cliente ou o usuário, o responsável, as datas e a data da leitura.</t>
  </si>
  <si>
    <t xml:space="preserve">Passo 2</t>
  </si>
  <si>
    <t xml:space="preserve">Aba Plano: liste as etapas, com tipo, responsável, participantes e prazo. Inclua análises críticas, verificações e validações.</t>
  </si>
  <si>
    <t xml:space="preserve">Passo 3</t>
  </si>
  <si>
    <t xml:space="preserve">Aba Entradas: escreva as entradas pelos sete tipos, com a fonte, a saída que atende e como verificar.</t>
  </si>
  <si>
    <t xml:space="preserve">Passo 4</t>
  </si>
  <si>
    <t xml:space="preserve">Abas Plano e Entradas: conforme o projeto anda, lance as conclusões, os resultados, as ações e as evidências.</t>
  </si>
  <si>
    <t xml:space="preserve">Passo 5</t>
  </si>
  <si>
    <t xml:space="preserve">Aba Mudanças: registre toda alteração em entrada ou saída já aprovada, com a análise, o que foi verificado de novo e quem autorizou.</t>
  </si>
  <si>
    <t xml:space="preserve">Passo 6</t>
  </si>
  <si>
    <t xml:space="preserve">Aba Painel: leia as pendências e a resposta à pergunta “pode liberar?”. Depois, valide na aba Checklist.</t>
  </si>
  <si>
    <t xml:space="preserve">Abas da planilha</t>
  </si>
  <si>
    <t xml:space="preserve">Plano</t>
  </si>
  <si>
    <t xml:space="preserve">O projeto e até 20 etapas. Calcula a conferência de cada etapa e se o plano tem os três controles.</t>
  </si>
  <si>
    <t xml:space="preserve">Entradas</t>
  </si>
  <si>
    <t xml:space="preserve">Até 30 entradas, ligadas às saídas e às verificações. Calcula a conferência de cada entrada.</t>
  </si>
  <si>
    <t xml:space="preserve">Mudanças</t>
  </si>
  <si>
    <t xml:space="preserve">Até 20 mudanças de projeto. Calcula a conferência de cada uma.</t>
  </si>
  <si>
    <t xml:space="preserve">Painel</t>
  </si>
  <si>
    <t xml:space="preserve">Os indicadores, os controles, as entradas por tipo, o gráfico e a decisão de liberar.</t>
  </si>
  <si>
    <t xml:space="preserve">Checklist</t>
  </si>
  <si>
    <t xml:space="preserve">Doze verificações do processo de projeto, com percentual de conclusão.</t>
  </si>
  <si>
    <t xml:space="preserve">Exemplo 1 - Pizzaria</t>
  </si>
  <si>
    <t xml:space="preserve">A pizza vegana do cardápio de inverno, lida em 31/05/2027.</t>
  </si>
  <si>
    <t xml:space="preserve">Exemplo 2 - Indústria</t>
  </si>
  <si>
    <t xml:space="preserve">O filme para vegetais congelados, lido em 30/08/2027.</t>
  </si>
  <si>
    <t xml:space="preserve">Regras e premissas do modelo</t>
  </si>
  <si>
    <t xml:space="preserve">Tamanho do controle</t>
  </si>
  <si>
    <t xml:space="preserve">Um projeto pequeno pode ter cinco etapas e seis entradas. O que não pode faltar é ao menos uma verificação, uma validação e uma análise crítica.</t>
  </si>
  <si>
    <t xml:space="preserve">Resultado da etapa</t>
  </si>
  <si>
    <t xml:space="preserve">Use “Aprovado”, “Aprovado com ressalvas” ou “Reprovado” para todas as etapas concluídas, inclusive as de desenvolvimento.</t>
  </si>
  <si>
    <t xml:space="preserve">Entrada nova</t>
  </si>
  <si>
    <t xml:space="preserve">A entrada que aparece durante o projeto, por exemplo na validação, entra na lista com a fonte que a revelou.</t>
  </si>
  <si>
    <t xml:space="preserve">Exemplos</t>
  </si>
  <si>
    <t xml:space="preserve">Os dados das abas de exemplo são ilustrativos, criados para este material.</t>
  </si>
  <si>
    <t xml:space="preserve">Plano do projeto</t>
  </si>
  <si>
    <t xml:space="preserve">O projeto no alto. Abaixo, as etapas, com os três controles: análise crítica, verificação e validação.</t>
  </si>
  <si>
    <t xml:space="preserve">Organização</t>
  </si>
  <si>
    <t xml:space="preserve">Projeto</t>
  </si>
  <si>
    <t xml:space="preserve">Objetivo</t>
  </si>
  <si>
    <t xml:space="preserve">Cliente ou usuário</t>
  </si>
  <si>
    <t xml:space="preserve">Responsável e aprovação</t>
  </si>
  <si>
    <t xml:space="preserve">Início</t>
  </si>
  <si>
    <t xml:space="preserve">Liberação prevista</t>
  </si>
  <si>
    <t xml:space="preserve">Data da leitura</t>
  </si>
  <si>
    <t xml:space="preserve">Usada para saber o que está atrasado. Atualize a cada leitura.</t>
  </si>
  <si>
    <t xml:space="preserve">#</t>
  </si>
  <si>
    <t xml:space="preserve">Etapa</t>
  </si>
  <si>
    <t xml:space="preserve">Tipo</t>
  </si>
  <si>
    <t xml:space="preserve">Responsável</t>
  </si>
  <si>
    <t xml:space="preserve">Participantes</t>
  </si>
  <si>
    <t xml:space="preserve">Prazo</t>
  </si>
  <si>
    <t xml:space="preserve">Concluída em</t>
  </si>
  <si>
    <t xml:space="preserve">Resultado</t>
  </si>
  <si>
    <t xml:space="preserve">Ações e ressalvas</t>
  </si>
  <si>
    <t xml:space="preserve">Registro</t>
  </si>
  <si>
    <t xml:space="preserve">Conferência</t>
  </si>
  <si>
    <t xml:space="preserve">O que será feito</t>
  </si>
  <si>
    <t xml:space="preserve">Lista</t>
  </si>
  <si>
    <t xml:space="preserve">Uma função</t>
  </si>
  <si>
    <t xml:space="preserve">Áreas, cliente</t>
  </si>
  <si>
    <t xml:space="preserve">Data</t>
  </si>
  <si>
    <t xml:space="preserve">Obrigatórias com ressalva ou reprovação</t>
  </si>
  <si>
    <t xml:space="preserve">Ata, relatório</t>
  </si>
  <si>
    <t xml:space="preserve">Calculada</t>
  </si>
  <si>
    <t xml:space="preserve">Resumo automático</t>
  </si>
  <si>
    <t xml:space="preserve">Etapas no plano</t>
  </si>
  <si>
    <t xml:space="preserve">Controles no plano</t>
  </si>
  <si>
    <t xml:space="preserve">Concluídas e atrasadas</t>
  </si>
  <si>
    <t xml:space="preserve">Aviso</t>
  </si>
  <si>
    <t xml:space="preserve">Entradas, saídas e verificação</t>
  </si>
  <si>
    <t xml:space="preserve">Uma linha por entrada. Cada entrada aponta a saída que a atende e como se verifica: é a matriz de rastreabilidade do projeto.</t>
  </si>
  <si>
    <t xml:space="preserve">Código</t>
  </si>
  <si>
    <t xml:space="preserve">Entrada</t>
  </si>
  <si>
    <t xml:space="preserve">Fonte</t>
  </si>
  <si>
    <t xml:space="preserve">Saída que atende</t>
  </si>
  <si>
    <t xml:space="preserve">Como verificar</t>
  </si>
  <si>
    <t xml:space="preserve">Evidência ou ação</t>
  </si>
  <si>
    <t xml:space="preserve">E1, E2</t>
  </si>
  <si>
    <t xml:space="preserve">Com número e condição</t>
  </si>
  <si>
    <t xml:space="preserve">De onde veio</t>
  </si>
  <si>
    <t xml:space="preserve">Onde o projeto atende</t>
  </si>
  <si>
    <t xml:space="preserve">Método e critério</t>
  </si>
  <si>
    <t xml:space="preserve">O resultado, ou o que será feito</t>
  </si>
  <si>
    <t xml:space="preserve">Ex.</t>
  </si>
  <si>
    <t xml:space="preserve">E3</t>
  </si>
  <si>
    <t xml:space="preserve">Queda de dardo de pelo menos 300 g a -18 °C.</t>
  </si>
  <si>
    <t xml:space="preserve">Funcional ou de desempenho</t>
  </si>
  <si>
    <t xml:space="preserve">Uso pretendido: freezer do cliente</t>
  </si>
  <si>
    <t xml:space="preserve">Resina para baixa temperatura</t>
  </si>
  <si>
    <t xml:space="preserve">Ensaio de queda de dardo a -18 °C</t>
  </si>
  <si>
    <t xml:space="preserve">Atende</t>
  </si>
  <si>
    <t xml:space="preserve">420 g, em 16/07.</t>
  </si>
  <si>
    <t xml:space="preserve">OK</t>
  </si>
  <si>
    <t xml:space="preserve">Entradas escritas</t>
  </si>
  <si>
    <t xml:space="preserve">Por resultado</t>
  </si>
  <si>
    <t xml:space="preserve">Tipos usados</t>
  </si>
  <si>
    <t xml:space="preserve">Mudanças de projeto</t>
  </si>
  <si>
    <t xml:space="preserve">Toda alteração em uma entrada ou em uma saída já aprovada. A mudança diz o que precisa ser verificado ou validado de novo.</t>
  </si>
  <si>
    <t xml:space="preserve">O que mudou</t>
  </si>
  <si>
    <t xml:space="preserve">Motivo</t>
  </si>
  <si>
    <t xml:space="preserve">Análise do impacto</t>
  </si>
  <si>
    <t xml:space="preserve">O que foi verificado ou validado de novo</t>
  </si>
  <si>
    <t xml:space="preserve">Quem autorizou</t>
  </si>
  <si>
    <t xml:space="preserve">De quê, para quê</t>
  </si>
  <si>
    <t xml:space="preserve">Por que mudar</t>
  </si>
  <si>
    <t xml:space="preserve">Efeito nas entradas, nas saídas e no uso</t>
  </si>
  <si>
    <t xml:space="preserve">O ensaio, o teste, a validação</t>
  </si>
  <si>
    <t xml:space="preserve">Quem tem autoridade</t>
  </si>
  <si>
    <t xml:space="preserve">Resina do fornecedor B no lugar do A.</t>
  </si>
  <si>
    <t xml:space="preserve">Prazo de entrega.</t>
  </si>
  <si>
    <t xml:space="preserve">Fichas técnicas comparadas.</t>
  </si>
  <si>
    <t xml:space="preserve">Queda de dardo no lote de teste: 420 g.</t>
  </si>
  <si>
    <t xml:space="preserve">Gerente de engenharia</t>
  </si>
  <si>
    <t xml:space="preserve">Mudanças registradas</t>
  </si>
  <si>
    <t xml:space="preserve">Mudanças a rever</t>
  </si>
  <si>
    <t xml:space="preserve">Painel do projeto</t>
  </si>
  <si>
    <t xml:space="preserve">Nada a preencher: tudo vem das outras abas.</t>
  </si>
  <si>
    <t xml:space="preserve">Indicador</t>
  </si>
  <si>
    <t xml:space="preserve">Como se lê</t>
  </si>
  <si>
    <t xml:space="preserve">Da aba Plano.</t>
  </si>
  <si>
    <t xml:space="preserve">Etapas concluídas</t>
  </si>
  <si>
    <t xml:space="preserve">Com data de conclusão.</t>
  </si>
  <si>
    <t xml:space="preserve">Etapas atrasadas</t>
  </si>
  <si>
    <t xml:space="preserve">Sem conclusão, com o prazo vencido na data da leitura.</t>
  </si>
  <si>
    <t xml:space="preserve">Etapas a rever</t>
  </si>
  <si>
    <t xml:space="preserve">Sem responsável, sem prazo, sem resultado, sem ação.</t>
  </si>
  <si>
    <t xml:space="preserve">Validações aprovadas</t>
  </si>
  <si>
    <t xml:space="preserve">Com ou sem ressalvas. Sem nenhuma, o projeto não pode ser liberado.</t>
  </si>
  <si>
    <t xml:space="preserve">Da aba Entradas.</t>
  </si>
  <si>
    <t xml:space="preserve">Entradas que atendem</t>
  </si>
  <si>
    <t xml:space="preserve">Verificadas e conformes.</t>
  </si>
  <si>
    <t xml:space="preserve">Entradas que não atendem</t>
  </si>
  <si>
    <t xml:space="preserve">Com ou sem ação em curso.</t>
  </si>
  <si>
    <t xml:space="preserve">Entradas pendentes</t>
  </si>
  <si>
    <t xml:space="preserve">Sem resultado de verificação.</t>
  </si>
  <si>
    <t xml:space="preserve">Da aba Mudanças.</t>
  </si>
  <si>
    <t xml:space="preserve">Sem análise, sem autorização ou sem nova verificação.</t>
  </si>
  <si>
    <t xml:space="preserve">Os três controles</t>
  </si>
  <si>
    <t xml:space="preserve">Controle</t>
  </si>
  <si>
    <t xml:space="preserve">No plano</t>
  </si>
  <si>
    <t xml:space="preserve">Concluídos</t>
  </si>
  <si>
    <t xml:space="preserve">Aprovados</t>
  </si>
  <si>
    <t xml:space="preserve">Reprovados</t>
  </si>
  <si>
    <t xml:space="preserve">Pergunta</t>
  </si>
  <si>
    <t xml:space="preserve">Análise crítica</t>
  </si>
  <si>
    <t xml:space="preserve">O projeto segue, muda ou para?</t>
  </si>
  <si>
    <t xml:space="preserve">Verificação</t>
  </si>
  <si>
    <t xml:space="preserve">As saídas atendem às entradas?</t>
  </si>
  <si>
    <t xml:space="preserve">Validação</t>
  </si>
  <si>
    <t xml:space="preserve">O produto serve para o uso pretendido?</t>
  </si>
  <si>
    <t xml:space="preserve">Entradas por tipo</t>
  </si>
  <si>
    <t xml:space="preserve">Atendem</t>
  </si>
  <si>
    <t xml:space="preserve">Não atendem</t>
  </si>
  <si>
    <t xml:space="preserve">Pendentes</t>
  </si>
  <si>
    <t xml:space="preserve">Leitura</t>
  </si>
  <si>
    <t xml:space="preserve">Cliente</t>
  </si>
  <si>
    <t xml:space="preserve">Legal ou regulamentar</t>
  </si>
  <si>
    <t xml:space="preserve">Norma ou código</t>
  </si>
  <si>
    <t xml:space="preserve">Projeto anterior</t>
  </si>
  <si>
    <t xml:space="preserve">Falha potencial</t>
  </si>
  <si>
    <t xml:space="preserve">Da organização</t>
  </si>
  <si>
    <t xml:space="preserve">Checklist do projeto e desenvolvimento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</si>
  <si>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</si>
  <si>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</si>
  <si>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</si>
  <si>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</si>
  <si>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Está decidido se a organização faz projeto e desenvolvimento, e a não aplicabilidade, se houver, está justificada.</t>
  </si>
  <si>
    <t xml:space="preserve">Cada projeto tem um plano: etapas, responsáveis, prazos, análises críticas, verificações e validações.</t>
  </si>
  <si>
    <t xml:space="preserve">O cliente e os usuários participam quando o projeto depende deles.</t>
  </si>
  <si>
    <t xml:space="preserve">As entradas estão escritas: cliente, desempenho, requisitos legais, normas, projetos anteriores, falhas potenciais e a organização.</t>
  </si>
  <si>
    <t xml:space="preserve">Cada entrada é clara, completa e não conflita com as outras.</t>
  </si>
  <si>
    <t xml:space="preserve">Cada entrada tem a saída que a atende e o modo de verificar.</t>
  </si>
  <si>
    <t xml:space="preserve">As saídas incluem os critérios de aceitação e o que é essencial para o uso seguro.</t>
  </si>
  <si>
    <t xml:space="preserve">A verificação confere as saídas contra as entradas, com registro.</t>
  </si>
  <si>
    <t xml:space="preserve">A validação confere o produto no uso pretendido, antes da liberação.</t>
  </si>
  <si>
    <t xml:space="preserve">As análises críticas registram os problemas encontrados e as ações.</t>
  </si>
  <si>
    <t xml:space="preserve">Toda mudança no projeto é analisada, autorizada e verificada de novo, com registro.</t>
  </si>
  <si>
    <t xml:space="preserve">O projeto só é liberado para a produção com a validação aprovada e as entradas verificadas.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</si>
  <si>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</si>
  <si>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</si>
  <si>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</si>
  <si>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</si>
  <si>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</si>
  <si>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Situação</t>
  </si>
  <si>
    <t xml:space="preserve">Projeto e desenvolvimento</t>
  </si>
  <si>
    <t xml:space="preserve">Exemplo preenchido, para consulta. Use as abas Plano, Entradas e Mudanças para o seu projeto.</t>
  </si>
  <si>
    <t xml:space="preserve">Pizzaria (loja com salão e delivery)</t>
  </si>
  <si>
    <t xml:space="preserve">P-03 · Pizza vegana do cardápio de inverno</t>
  </si>
  <si>
    <t xml:space="preserve">Clientes do salão e do aplicativo</t>
  </si>
  <si>
    <t xml:space="preserve">Uma pizza sem ingrediente de origem animal, com o sabor e o tempo de forno das outras, no cardápio de 01/06/2027.</t>
  </si>
  <si>
    <t xml:space="preserve">Pizzaiolo líder. Aprovação: gerente da loja e dono.</t>
  </si>
  <si>
    <t xml:space="preserve">Período</t>
  </si>
  <si>
    <t xml:space="preserve">De 05/04/2027 a 01/06/2027.</t>
  </si>
  <si>
    <t xml:space="preserve">Origem</t>
  </si>
  <si>
    <t xml:space="preserve">Requisito 8.3 atendido em parte no diagnóstico de 2026: sabores novos eram testados com a equipe, sem registro da receita aprovada nem do teste.</t>
  </si>
  <si>
    <t xml:space="preserve">Concluída</t>
  </si>
  <si>
    <t xml:space="preserve">Plano e entradas aprovados</t>
  </si>
  <si>
    <t xml:space="preserve">Planejamento</t>
  </si>
  <si>
    <t xml:space="preserve">Gerente da loja</t>
  </si>
  <si>
    <t xml:space="preserve">Pizzaiolo líder e dono</t>
  </si>
  <si>
    <t xml:space="preserve">Aprovado</t>
  </si>
  <si>
    <t xml:space="preserve">Ata de 05/04</t>
  </si>
  <si>
    <t xml:space="preserve">Receita e ficha técnica, primeira versão</t>
  </si>
  <si>
    <t xml:space="preserve">Desenvolvimento</t>
  </si>
  <si>
    <t xml:space="preserve">Pizzaiolo líder</t>
  </si>
  <si>
    <t xml:space="preserve">Segundo pizzaiolo</t>
  </si>
  <si>
    <t xml:space="preserve">Ficha técnica P-03 rev. 1</t>
  </si>
  <si>
    <t xml:space="preserve">Ficha técnica, custo e teste de forno contra as entradas</t>
  </si>
  <si>
    <t xml:space="preserve">Aprovado com ressalvas</t>
  </si>
  <si>
    <t xml:space="preserve">Custo de 34% (E6): rever o recheio.</t>
  </si>
  <si>
    <t xml:space="preserve">Planilha de verificação P-03</t>
  </si>
  <si>
    <t xml:space="preserve">Análise crítica antes da degustação</t>
  </si>
  <si>
    <t xml:space="preserve">Dono e pizzaiolo líder</t>
  </si>
  <si>
    <t xml:space="preserve">Seguir para a degustação. Resolver o custo até 25/05.</t>
  </si>
  <si>
    <t xml:space="preserve">Ata de 07/05</t>
  </si>
  <si>
    <t xml:space="preserve">Degustação com 20 clientes no salão</t>
  </si>
  <si>
    <t xml:space="preserve">20 clientes, por convite</t>
  </si>
  <si>
    <t xml:space="preserve">Fichas da degustação: nota média 4,3; 17 de 20 pediriam de novo</t>
  </si>
  <si>
    <t xml:space="preserve">Custo recalculado, com o recheio novo</t>
  </si>
  <si>
    <t xml:space="preserve">Inclusão no cardápio de inverno, com treinamento da equipe</t>
  </si>
  <si>
    <t xml:space="preserve">Liberação para produção</t>
  </si>
  <si>
    <t xml:space="preserve">Toda a equipe</t>
  </si>
  <si>
    <t xml:space="preserve">E1</t>
  </si>
  <si>
    <t xml:space="preserve">Nenhum ingrediente de origem animal, inclusive na massa e no molho.</t>
  </si>
  <si>
    <t xml:space="preserve">Pedidos e comentários no aplicativo</t>
  </si>
  <si>
    <t xml:space="preserve">Ficha técnica P-03, com todos os ingredientes</t>
  </si>
  <si>
    <t xml:space="preserve">Conferência da ficha técnica e dos rótulos dos insumos</t>
  </si>
  <si>
    <t xml:space="preserve">Rótulos conferidos em 20/04. Vale para a receita verificada até 03/05: com o queijo da marca B (12/05) e o tofu defumado (18/05), a ficha técnica e os rótulos precisam ser conferidos de novo.</t>
  </si>
  <si>
    <t xml:space="preserve">E2</t>
  </si>
  <si>
    <t xml:space="preserve">Alergênicos informados no cardápio e no aplicativo.</t>
  </si>
  <si>
    <t xml:space="preserve">Requisito legal de rotulagem de alergênicos</t>
  </si>
  <si>
    <t xml:space="preserve">Texto do cardápio e do aplicativo</t>
  </si>
  <si>
    <t xml:space="preserve">Conferência do texto contra a ficha técnica</t>
  </si>
  <si>
    <t xml:space="preserve">Texto conferido em 03/05. Vale para a receita verificada até 03/05: com o queijo da marca B (12/05) e o tofu defumado (18/05), o texto de alergênicos precisa ser conferido de novo.</t>
  </si>
  <si>
    <t xml:space="preserve">Aviso de que a cozinha é compartilhada com produtos de origem animal.</t>
  </si>
  <si>
    <t xml:space="preserve">Oferta: o que a loja não garante</t>
  </si>
  <si>
    <t xml:space="preserve">Texto do cardápio</t>
  </si>
  <si>
    <t xml:space="preserve">Conferência do texto</t>
  </si>
  <si>
    <t xml:space="preserve">Texto conferido em 03/05.</t>
  </si>
  <si>
    <t xml:space="preserve">E4</t>
  </si>
  <si>
    <t xml:space="preserve">Tempo de forno de até 7 minutos, como o das outras pizzas.</t>
  </si>
  <si>
    <t xml:space="preserve">Capacidade do forno no pico</t>
  </si>
  <si>
    <t xml:space="preserve">Instrução de montagem e de forno</t>
  </si>
  <si>
    <t xml:space="preserve">Teste no forno, com 10 pizzas</t>
  </si>
  <si>
    <t xml:space="preserve">7 minutos a 300 °C, em 22/04.</t>
  </si>
  <si>
    <t xml:space="preserve">E5</t>
  </si>
  <si>
    <t xml:space="preserve">Nota de pelo menos 4,0, de 1 a 5, na degustação da equipe.</t>
  </si>
  <si>
    <t xml:space="preserve">Padrão do cardápio</t>
  </si>
  <si>
    <t xml:space="preserve">Receita final</t>
  </si>
  <si>
    <t xml:space="preserve">Degustação com 8 pessoas da equipe</t>
  </si>
  <si>
    <t xml:space="preserve">Nota média de 4,4, em 22/04.</t>
  </si>
  <si>
    <t xml:space="preserve">E6</t>
  </si>
  <si>
    <t xml:space="preserve">Custo de insumos de até 30% do preço de venda.</t>
  </si>
  <si>
    <t xml:space="preserve">Ficha técnica e custo por pizza (objetivo O6)</t>
  </si>
  <si>
    <t xml:space="preserve">Ficha técnica, com o custo</t>
  </si>
  <si>
    <t xml:space="preserve">Cálculo do custo</t>
  </si>
  <si>
    <t xml:space="preserve">Custo de 34%. Recheio trocado em 18/05; custo a recalcular.</t>
  </si>
  <si>
    <t xml:space="preserve">E7</t>
  </si>
  <si>
    <t xml:space="preserve">Queijo vegetal que derreta sem queimar a 300 °C.</t>
  </si>
  <si>
    <t xml:space="preserve">Teste com outra marca, no projeto P-01 de 2026</t>
  </si>
  <si>
    <t xml:space="preserve">Marca do queijo vegetal na ficha técnica</t>
  </si>
  <si>
    <t xml:space="preserve">Teste no forno</t>
  </si>
  <si>
    <t xml:space="preserve">Marca A aprovada em 22/04.</t>
  </si>
  <si>
    <t xml:space="preserve">E8</t>
  </si>
  <si>
    <t xml:space="preserve">Fornecedor do queijo vegetal homologado.</t>
  </si>
  <si>
    <t xml:space="preserve">Avaliação de fornecedores</t>
  </si>
  <si>
    <t xml:space="preserve">Fornecedor na lista de homologados</t>
  </si>
  <si>
    <t xml:space="preserve">Homologação</t>
  </si>
  <si>
    <t xml:space="preserve">O que foi verificado de novo</t>
  </si>
  <si>
    <t xml:space="preserve">Queijo vegetal da marca B no lugar da marca A.</t>
  </si>
  <si>
    <t xml:space="preserve">Falta no fornecedor.</t>
  </si>
  <si>
    <t xml:space="preserve">Recheio de tofu defumado no lugar da castanha de caju.</t>
  </si>
  <si>
    <t xml:space="preserve">Custo de 34% na verificação.</t>
  </si>
  <si>
    <t xml:space="preserve">Custo estimado em 29%, a confirmar.</t>
  </si>
  <si>
    <t xml:space="preserve">Etapas: concluídas, atrasadas</t>
  </si>
  <si>
    <t xml:space="preserve">Entradas: atendem, não atendem, pendentes</t>
  </si>
  <si>
    <t xml:space="preserve">Indústria de embalagens plásticas</t>
  </si>
  <si>
    <t xml:space="preserve">D-07 · Filme para vegetais congelados</t>
  </si>
  <si>
    <t xml:space="preserve">Cliente C, alimentos congelados (proposta PR-118)</t>
  </si>
  <si>
    <t xml:space="preserve">Filme liso de 50 µm que resista ao freezer e ao transporte congelado, para produção regular a partir de outubro de 2027.</t>
  </si>
  <si>
    <t xml:space="preserve">Gerente de engenharia. Aprovação: diretor geral.</t>
  </si>
  <si>
    <t xml:space="preserve">De 07/06/2027 a 24/09/2027.</t>
  </si>
  <si>
    <t xml:space="preserve">Pedido PR-118, aceito com alteração em 07/06: lote de teste antes do pedido firme.</t>
  </si>
  <si>
    <t xml:space="preserve">Plano do projeto e entradas, com o cliente</t>
  </si>
  <si>
    <t xml:space="preserve">Comercial, Qualidade e cliente C</t>
  </si>
  <si>
    <t xml:space="preserve">Ata de 11/06</t>
  </si>
  <si>
    <t xml:space="preserve">Especificação ES-D07 e receita RX-D07</t>
  </si>
  <si>
    <t xml:space="preserve">Produção</t>
  </si>
  <si>
    <t xml:space="preserve">ES-D07 rev. 1 e RX-D07 rev. 1</t>
  </si>
  <si>
    <t xml:space="preserve">Análise crítica antes do lote de teste</t>
  </si>
  <si>
    <t xml:space="preserve">Qualidade, Produção e Comercial</t>
  </si>
  <si>
    <t xml:space="preserve">Ata de 28/06</t>
  </si>
  <si>
    <t xml:space="preserve">Lote de teste de 500 kg: ensaios contra as entradas</t>
  </si>
  <si>
    <t xml:space="preserve">Laboratório</t>
  </si>
  <si>
    <t xml:space="preserve">Engenharia</t>
  </si>
  <si>
    <t xml:space="preserve">Velocidade de 38 m/min (E8): ajustar no lote 2.</t>
  </si>
  <si>
    <t xml:space="preserve">Relatório de ensaios RE-D07-1</t>
  </si>
  <si>
    <t xml:space="preserve">Embalagem, congelamento e transporte no cliente C, por três semanas</t>
  </si>
  <si>
    <t xml:space="preserve">Cliente C</t>
  </si>
  <si>
    <t xml:space="preserve">Reprovado</t>
  </si>
  <si>
    <t xml:space="preserve">Furos em 4% dos pacotes no transporte. Nova entrada E9: camada interna de 20 µm.</t>
  </si>
  <si>
    <t xml:space="preserve">Relatório do cliente C, de 09/08</t>
  </si>
  <si>
    <t xml:space="preserve">Análise crítica depois da validação</t>
  </si>
  <si>
    <t xml:space="preserve">Diretor geral, Qualidade e Comercial</t>
  </si>
  <si>
    <t xml:space="preserve">Ata de 12/08</t>
  </si>
  <si>
    <t xml:space="preserve">Lote 2: ensaios, com perfuração e velocidade</t>
  </si>
  <si>
    <t xml:space="preserve">Segunda validação no cliente C</t>
  </si>
  <si>
    <t xml:space="preserve">Liberação para produção regular, com o plano de controle</t>
  </si>
  <si>
    <t xml:space="preserve">Produção e Qualidade</t>
  </si>
  <si>
    <t xml:space="preserve">Espessura de 50 µm, com tolerância de ±2 µm.</t>
  </si>
  <si>
    <t xml:space="preserve">Proposta PR-118</t>
  </si>
  <si>
    <t xml:space="preserve">Especificação ES-D07</t>
  </si>
  <si>
    <t xml:space="preserve">Micrômetro, cinco pontos, lote de teste</t>
  </si>
  <si>
    <t xml:space="preserve">Média de 50,3 µm, em 16/07.</t>
  </si>
  <si>
    <t xml:space="preserve">Largura de 600 mm e bobina de até 600 mm de diâmetro.</t>
  </si>
  <si>
    <t xml:space="preserve">Visita à embaladora do cliente</t>
  </si>
  <si>
    <t xml:space="preserve">Medição no lote de teste</t>
  </si>
  <si>
    <t xml:space="preserve">600 mm e 580 mm de diâmetro.</t>
  </si>
  <si>
    <t xml:space="preserve">Resina para baixa temperatura e receita RX-D07</t>
  </si>
  <si>
    <t xml:space="preserve">Declaração de conformidade para contato com alimentos.</t>
  </si>
  <si>
    <t xml:space="preserve">Legislação de embalagens para alimentos</t>
  </si>
  <si>
    <t xml:space="preserve">Declaração DC-D07, com as resinas e o aditivo</t>
  </si>
  <si>
    <t xml:space="preserve">Laudo de migração de laboratório externo</t>
  </si>
  <si>
    <t xml:space="preserve">Laudo de 18/07.</t>
  </si>
  <si>
    <t xml:space="preserve">Método de ensaio de queda de dardo da norma técnica.</t>
  </si>
  <si>
    <t xml:space="preserve">Ficha técnica do cliente</t>
  </si>
  <si>
    <t xml:space="preserve">Instrução de ensaio IE-12</t>
  </si>
  <si>
    <t xml:space="preserve">Conferência da instrução com a norma</t>
  </si>
  <si>
    <t xml:space="preserve">Instrução revista em 02/07.</t>
  </si>
  <si>
    <t xml:space="preserve">Perfil de extrusão do filme de 40 µm como ponto de partida.</t>
  </si>
  <si>
    <t xml:space="preserve">Receita RX-40 da extrusora 3</t>
  </si>
  <si>
    <t xml:space="preserve">Receita RX-D07</t>
  </si>
  <si>
    <t xml:space="preserve">Lote de teste de 500 kg</t>
  </si>
  <si>
    <t xml:space="preserve">Lote de teste de 15/07.</t>
  </si>
  <si>
    <t xml:space="preserve">Selagem sem falhas na embaladora do cliente, a 120 °C.</t>
  </si>
  <si>
    <t xml:space="preserve">Faixa de selagem na especificação ES-D07</t>
  </si>
  <si>
    <t xml:space="preserve">Ensaio de selagem no laboratório</t>
  </si>
  <si>
    <t xml:space="preserve">Selagem conforme de 110 a 135 °C.</t>
  </si>
  <si>
    <t xml:space="preserve">Velocidade de pelo menos 40 m/min na extrusora 3.</t>
  </si>
  <si>
    <t xml:space="preserve">Custo-alvo da proposta</t>
  </si>
  <si>
    <t xml:space="preserve">Lote de teste</t>
  </si>
  <si>
    <t xml:space="preserve">38 m/min. Ajustar o resfriamento no lote 2.</t>
  </si>
  <si>
    <t xml:space="preserve">E9</t>
  </si>
  <si>
    <t xml:space="preserve">Resistência à perfuração pelas pontas dos vegetais congelados.</t>
  </si>
  <si>
    <t xml:space="preserve">Validação de 09/08: furos no transporte</t>
  </si>
  <si>
    <t xml:space="preserve">Camada interna de 20 µm (ES-D07 rev. 2)</t>
  </si>
  <si>
    <t xml:space="preserve">Ensaio de perfuração no lote 2</t>
  </si>
  <si>
    <t xml:space="preserve">Resina para baixa temperatura do fornecedor B no lugar do fornecedor A.</t>
  </si>
  <si>
    <t xml:space="preserve">Prazo de entrega do fornecedor A.</t>
  </si>
  <si>
    <t xml:space="preserve">Fichas técnicas comparadas. Laudo de migração estendido à resina B.</t>
  </si>
  <si>
    <t xml:space="preserve">Queda de dardo no lote de teste, com a resina B: 420 g, em 16/07, conforme.</t>
  </si>
  <si>
    <t xml:space="preserve">Camada interna de 15 para 20 µm.</t>
  </si>
  <si>
    <t xml:space="preserve">Validação de 09/08: furos no transporte.</t>
  </si>
  <si>
    <t xml:space="preserve">Efeito na selagem, no custo e na espessura total avaliado.</t>
  </si>
  <si>
    <t xml:space="preserve">Planejado no lote 2: perfuração, selagem e espessura.</t>
  </si>
  <si>
    <t xml:space="preserve">Espessura total de 50 para 52 µm, para compensar a camada interna.</t>
  </si>
  <si>
    <t xml:space="preserve">Pedido da Produção.</t>
  </si>
  <si>
    <t xml:space="preserve">Líder do turno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</si>
</sst>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%"/>
    <numFmt numFmtId="168" formatCode="dd/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2A6FB0"/>
      </patternFill>
    </fill>
    <fill>
      <patternFill patternType="solid">
        <fgColor rgb="FF1E7B73"/>
        <bgColor rgb="FF008080"/>
      </patternFill>
    </fill>
    <fill>
      <patternFill patternType="solid">
        <fgColor rgb="FFA96A12"/>
        <bgColor rgb="FFB04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8EFDD"/>
        </patternFill>
      </fill>
    </dxf>
    <dxf>
      <fill>
        <patternFill>
          <bgColor rgb="FFF8EBCB"/>
        </patternFill>
      </fill>
    </dxf>
    <dxf>
      <fill>
        <patternFill>
          <bgColor rgb="FFF5DEDC"/>
        </patternFill>
      </fill>
    </dxf>
    <dxf>
      <fill>
        <patternFill>
          <bgColor rgb="FFF6D9D7"/>
        </patternFill>
      </fill>
    </dxf>
    <dxf>
      <fill>
        <patternFill>
          <bgColor rgb="FFFBEBC8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2A6FB0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5DEDC"/>
      <rgbColor rgb="FFCC99FF"/>
      <rgbColor rgb="FFF6D9D7"/>
      <rgbColor rgb="FF3366FF"/>
      <rgbColor rgb="FF33CCCC"/>
      <rgbColor rgb="FF99CC00"/>
      <rgbColor rgb="FFFFCC00"/>
      <rgbColor rgb="FFD19A2E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"Atendem"</c:f>
              <c:strCache>
                <c:ptCount val="1"/>
                <c:pt idx="0">
                  <c:v>Atendem</c:v>
                </c:pt>
              </c:strCache>
            </c:strRef>
          </c:tx>
          <c:spPr>
            <a:solidFill>
              <a:srgbClr val="2a6f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Painel!$B$27:$B$33</c:f>
              <c:strCache>
                <c:ptCount val="7"/>
                <c:pt idx="0">
                  <c:v>Cliente</c:v>
                </c:pt>
                <c:pt idx="1">
                  <c:v>Funcional ou de desempenho</c:v>
                </c:pt>
                <c:pt idx="2">
                  <c:v>Legal ou regulamentar</c:v>
                </c:pt>
                <c:pt idx="3">
                  <c:v>Norma ou código</c:v>
                </c:pt>
                <c:pt idx="4">
                  <c:v>Projeto anterior</c:v>
                </c:pt>
                <c:pt idx="5">
                  <c:v>Falha potencial</c:v>
                </c:pt>
                <c:pt idx="6">
                  <c:v>Da organização</c:v>
                </c:pt>
              </c:strCache>
            </c:strRef>
          </c:cat>
          <c:val>
            <c:numRef>
              <c:f>Painel!$D$27:$D$33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"Não atendem"</c:f>
              <c:strCache>
                <c:ptCount val="1"/>
                <c:pt idx="0">
                  <c:v>Não atendem</c:v>
                </c:pt>
              </c:strCache>
            </c:strRef>
          </c:tx>
          <c:spPr>
            <a:solidFill>
              <a:srgbClr val="b041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Painel!$B$27:$B$33</c:f>
              <c:strCache>
                <c:ptCount val="7"/>
                <c:pt idx="0">
                  <c:v>Cliente</c:v>
                </c:pt>
                <c:pt idx="1">
                  <c:v>Funcional ou de desempenho</c:v>
                </c:pt>
                <c:pt idx="2">
                  <c:v>Legal ou regulamentar</c:v>
                </c:pt>
                <c:pt idx="3">
                  <c:v>Norma ou código</c:v>
                </c:pt>
                <c:pt idx="4">
                  <c:v>Projeto anterior</c:v>
                </c:pt>
                <c:pt idx="5">
                  <c:v>Falha potencial</c:v>
                </c:pt>
                <c:pt idx="6">
                  <c:v>Da organização</c:v>
                </c:pt>
              </c:strCache>
            </c:strRef>
          </c:cat>
          <c:val>
            <c:numRef>
              <c:f>Painel!$E$27:$E$33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"Pendentes"</c:f>
              <c:strCache>
                <c:ptCount val="1"/>
                <c:pt idx="0">
                  <c:v>Pendentes</c:v>
                </c:pt>
              </c:strCache>
            </c:strRef>
          </c:tx>
          <c:spPr>
            <a:solidFill>
              <a:srgbClr val="d19a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Painel!$B$27:$B$33</c:f>
              <c:strCache>
                <c:ptCount val="7"/>
                <c:pt idx="0">
                  <c:v>Cliente</c:v>
                </c:pt>
                <c:pt idx="1">
                  <c:v>Funcional ou de desempenho</c:v>
                </c:pt>
                <c:pt idx="2">
                  <c:v>Legal ou regulamentar</c:v>
                </c:pt>
                <c:pt idx="3">
                  <c:v>Norma ou código</c:v>
                </c:pt>
                <c:pt idx="4">
                  <c:v>Projeto anterior</c:v>
                </c:pt>
                <c:pt idx="5">
                  <c:v>Falha potencial</c:v>
                </c:pt>
                <c:pt idx="6">
                  <c:v>Da organização</c:v>
                </c:pt>
              </c:strCache>
            </c:strRef>
          </c:cat>
          <c:val>
            <c:numRef>
              <c:f>Painel!$F$27:$F$33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100"/>
        <c:axId val="19066209"/>
        <c:axId val="32375924"/>
      </c:barChart>
      <c:catAx>
        <c:axId val="1906620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75924"/>
        <c:crosses val="autoZero"/>
        <c:auto val="1"/>
        <c:lblAlgn val="ctr"/>
        <c:lblOffset val="100"/>
        <c:noMultiLvlLbl val="0"/>
      </c:catAx>
      <c:valAx>
        <c:axId val="3237592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66209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0</xdr:rowOff>
    </xdr:from>
    <xdr:to>
      <xdr:col>6</xdr:col>
      <xdr:colOff>1560960</xdr:colOff>
      <xdr:row>54</xdr:row>
      <xdr:rowOff>1080</xdr:rowOff>
    </xdr:to>
    <xdr:graphicFrame>
      <xdr:nvGraphicFramePr>
        <xdr:cNvPr id="0" name="Chart 1"/>
        <xdr:cNvGraphicFramePr/>
      </xdr:nvGraphicFramePr>
      <xdr:xfrm>
        <a:off x="141120" y="9658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19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31.5" hidden="false" customHeight="true" outlineLevel="0" collapsed="false">
      <c r="B16" s="4" t="s">
        <v>22</v>
      </c>
      <c r="C16" s="7" t="s">
        <v>23</v>
      </c>
    </row>
    <row r="17" customFormat="false" ht="31.5" hidden="false" customHeight="true" outlineLevel="0" collapsed="false">
      <c r="B17" s="4" t="s">
        <v>24</v>
      </c>
      <c r="C17" s="7" t="s">
        <v>25</v>
      </c>
    </row>
    <row r="19" customFormat="false" ht="21.75" hidden="false" customHeight="true" outlineLevel="0" collapsed="false">
      <c r="B19" s="3" t="s">
        <v>26</v>
      </c>
      <c r="C19" s="3"/>
    </row>
    <row r="20" customFormat="false" ht="31.5" hidden="false" customHeight="true" outlineLevel="0" collapsed="false">
      <c r="B20" s="4" t="s">
        <v>27</v>
      </c>
      <c r="C20" s="7" t="s">
        <v>28</v>
      </c>
    </row>
    <row r="21" customFormat="false" ht="31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7" customFormat="false" ht="21.75" hidden="false" customHeight="true" outlineLevel="0" collapsed="false">
      <c r="B27" s="3" t="s">
        <v>39</v>
      </c>
      <c r="C27" s="3"/>
    </row>
    <row r="28" customFormat="false" ht="31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6" customFormat="false" ht="21.75" hidden="false" customHeight="true" outlineLevel="0" collapsed="false">
      <c r="B36" s="3" t="s">
        <v>54</v>
      </c>
      <c r="C36" s="3"/>
    </row>
    <row r="37" customFormat="false" ht="31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19.5" hidden="false" customHeight="true" outlineLevel="0" collapsed="false">
      <c r="B40" s="4" t="s">
        <v>61</v>
      </c>
      <c r="C40" s="7" t="s">
        <v>62</v>
      </c>
    </row>
  </sheetData>
  <mergeCells count="7">
    <mergeCell ref="B1:C1"/>
    <mergeCell ref="B2:C2"/>
    <mergeCell ref="B4:C4"/>
    <mergeCell ref="B11:C11"/>
    <mergeCell ref="B19:C19"/>
    <mergeCell ref="B27:C27"/>
    <mergeCell ref="B36:C3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L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36"/>
    <col collapsed="false" customWidth="true" hidden="false" outlineLevel="0" max="11" min="11" style="0" width="24"/>
    <col collapsed="false" customWidth="true" hidden="false" outlineLevel="0" max="12" min="12" style="0" width="30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65</v>
      </c>
      <c r="C4" s="4"/>
      <c r="D4" s="5"/>
      <c r="E4" s="5"/>
      <c r="F4" s="5"/>
      <c r="G4" s="5"/>
      <c r="H4" s="5"/>
      <c r="I4" s="5"/>
      <c r="J4" s="5"/>
      <c r="K4" s="5"/>
      <c r="L4" s="5"/>
    </row>
    <row r="5" customFormat="false" ht="21.75" hidden="false" customHeight="true" outlineLevel="0" collapsed="false">
      <c r="B5" s="4" t="s">
        <v>66</v>
      </c>
      <c r="C5" s="4"/>
      <c r="D5" s="5"/>
      <c r="E5" s="5"/>
      <c r="F5" s="5"/>
      <c r="G5" s="5"/>
      <c r="H5" s="5"/>
      <c r="I5" s="5"/>
      <c r="J5" s="5"/>
      <c r="K5" s="5"/>
      <c r="L5" s="5"/>
    </row>
    <row r="6" customFormat="false" ht="21.75" hidden="false" customHeight="true" outlineLevel="0" collapsed="false">
      <c r="B6" s="4" t="s">
        <v>67</v>
      </c>
      <c r="C6" s="4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B7" s="4" t="s">
        <v>68</v>
      </c>
      <c r="C7" s="4"/>
      <c r="D7" s="5"/>
      <c r="E7" s="5"/>
      <c r="F7" s="5"/>
      <c r="G7" s="5"/>
      <c r="H7" s="5"/>
      <c r="I7" s="5"/>
      <c r="J7" s="5"/>
      <c r="K7" s="5"/>
      <c r="L7" s="5"/>
    </row>
    <row r="8" customFormat="false" ht="21.75" hidden="false" customHeight="true" outlineLevel="0" collapsed="false">
      <c r="B8" s="4" t="s">
        <v>69</v>
      </c>
      <c r="C8" s="4"/>
      <c r="D8" s="5"/>
      <c r="E8" s="5"/>
      <c r="F8" s="5"/>
      <c r="G8" s="5"/>
      <c r="H8" s="5"/>
      <c r="I8" s="5"/>
      <c r="J8" s="5"/>
      <c r="K8" s="5"/>
      <c r="L8" s="5"/>
    </row>
    <row r="9" customFormat="false" ht="21.75" hidden="false" customHeight="true" outlineLevel="0" collapsed="false">
      <c r="B9" s="4" t="s">
        <v>70</v>
      </c>
      <c r="C9" s="4"/>
      <c r="D9" s="8"/>
      <c r="E9" s="4" t="s">
        <v>71</v>
      </c>
      <c r="F9" s="8"/>
    </row>
    <row r="10" customFormat="false" ht="21.75" hidden="false" customHeight="true" outlineLevel="0" collapsed="false">
      <c r="B10" s="4" t="s">
        <v>72</v>
      </c>
      <c r="C10" s="4"/>
      <c r="D10" s="8"/>
      <c r="E10" s="9" t="s">
        <v>73</v>
      </c>
      <c r="F10" s="9"/>
      <c r="G10" s="9"/>
      <c r="H10" s="9"/>
      <c r="I10" s="9"/>
      <c r="J10" s="9"/>
      <c r="K10" s="9"/>
      <c r="L10" s="9"/>
    </row>
    <row r="12" customFormat="false" ht="33" hidden="false" customHeight="true" outlineLevel="0" collapsed="false">
      <c r="B12" s="10" t="s">
        <v>74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</row>
    <row r="13" customFormat="false" ht="30" hidden="false" customHeight="true" outlineLevel="0" collapsed="false">
      <c r="B13" s="11"/>
      <c r="C13" s="11" t="s">
        <v>85</v>
      </c>
      <c r="D13" s="11" t="s">
        <v>86</v>
      </c>
      <c r="E13" s="11" t="s">
        <v>87</v>
      </c>
      <c r="F13" s="11" t="s">
        <v>88</v>
      </c>
      <c r="G13" s="11" t="s">
        <v>89</v>
      </c>
      <c r="H13" s="11" t="s">
        <v>89</v>
      </c>
      <c r="I13" s="11" t="s">
        <v>86</v>
      </c>
      <c r="J13" s="11" t="s">
        <v>90</v>
      </c>
      <c r="K13" s="11" t="s">
        <v>91</v>
      </c>
      <c r="L13" s="11" t="s">
        <v>92</v>
      </c>
    </row>
    <row r="14" customFormat="false" ht="30" hidden="false" customHeight="true" outlineLevel="0" collapsed="false">
      <c r="B14" s="12" t="n">
        <v>1</v>
      </c>
      <c r="C14" s="5"/>
      <c r="D14" s="13"/>
      <c r="E14" s="5"/>
      <c r="F14" s="5"/>
      <c r="G14" s="8"/>
      <c r="H14" s="8"/>
      <c r="I14" s="13"/>
      <c r="J14" s="5"/>
      <c r="K14" s="5"/>
      <c r="L14" s="14" t="str">
        <f aca="false">IF(C14="",IF(COUNTA(D14:K14)&gt;0,"Falta a etapa",""),IF(D14="","Falta o tipo",IF(E14="","Falta o responsável",IF(G14="","Falta o prazo",IF(AND(H14&lt;&gt;"",I14=""),"Falta o resultado",IF(AND(I14&lt;&gt;"",H14=""),"Falta a data de conclusão",IF(AND(OR(I14="Aprovado com ressalvas",I14="Reprovado"),J14=""),"Falta a ação",IF(AND(D14="Liberação para produção",H14&lt;&gt;"",COUNTIFS($D$14:$D$33,"Validação",$I$14:$I$33,"Aprovado")+COUNTIFS($D$14:$D$33,"Validação",$I$14:$I$33,"Aprovado com ressalvas")=0),"Liberado sem validação aprovada",IF(AND(H14="",ISNUMBER($D$10),G14&lt;$D$10),"Atrasada","OK")))))))))</f>
        <v/>
      </c>
    </row>
    <row r="15" customFormat="false" ht="30" hidden="false" customHeight="true" outlineLevel="0" collapsed="false">
      <c r="B15" s="12" t="n">
        <v>2</v>
      </c>
      <c r="C15" s="5"/>
      <c r="D15" s="13"/>
      <c r="E15" s="5"/>
      <c r="F15" s="5"/>
      <c r="G15" s="8"/>
      <c r="H15" s="8"/>
      <c r="I15" s="13"/>
      <c r="J15" s="5"/>
      <c r="K15" s="5"/>
      <c r="L15" s="14" t="str">
        <f aca="false">IF(C15="",IF(COUNTA(D15:K15)&gt;0,"Falta a etapa",""),IF(D15="","Falta o tipo",IF(E15="","Falta o responsável",IF(G15="","Falta o prazo",IF(AND(H15&lt;&gt;"",I15=""),"Falta o resultado",IF(AND(I15&lt;&gt;"",H15=""),"Falta a data de conclusão",IF(AND(OR(I15="Aprovado com ressalvas",I15="Reprovado"),J15=""),"Falta a ação",IF(AND(D15="Liberação para produção",H15&lt;&gt;"",COUNTIFS($D$14:$D$33,"Validação",$I$14:$I$33,"Aprovado")+COUNTIFS($D$14:$D$33,"Validação",$I$14:$I$33,"Aprovado com ressalvas")=0),"Liberado sem validação aprovada",IF(AND(H15="",ISNUMBER($D$10),G15&lt;$D$10),"Atrasada","OK")))))))))</f>
        <v/>
      </c>
    </row>
    <row r="16" customFormat="false" ht="30" hidden="false" customHeight="true" outlineLevel="0" collapsed="false">
      <c r="B16" s="12" t="n">
        <v>3</v>
      </c>
      <c r="C16" s="5"/>
      <c r="D16" s="13"/>
      <c r="E16" s="5"/>
      <c r="F16" s="5"/>
      <c r="G16" s="8"/>
      <c r="H16" s="8"/>
      <c r="I16" s="13"/>
      <c r="J16" s="5"/>
      <c r="K16" s="5"/>
      <c r="L16" s="14" t="str">
        <f aca="false">IF(C16="",IF(COUNTA(D16:K16)&gt;0,"Falta a etapa",""),IF(D16="","Falta o tipo",IF(E16="","Falta o responsável",IF(G16="","Falta o prazo",IF(AND(H16&lt;&gt;"",I16=""),"Falta o resultado",IF(AND(I16&lt;&gt;"",H16=""),"Falta a data de conclusão",IF(AND(OR(I16="Aprovado com ressalvas",I16="Reprovado"),J16=""),"Falta a ação",IF(AND(D16="Liberação para produção",H16&lt;&gt;"",COUNTIFS($D$14:$D$33,"Validação",$I$14:$I$33,"Aprovado")+COUNTIFS($D$14:$D$33,"Validação",$I$14:$I$33,"Aprovado com ressalvas")=0),"Liberado sem validação aprovada",IF(AND(H16="",ISNUMBER($D$10),G16&lt;$D$10),"Atrasada","OK")))))))))</f>
        <v/>
      </c>
    </row>
    <row r="17" customFormat="false" ht="30" hidden="false" customHeight="true" outlineLevel="0" collapsed="false">
      <c r="B17" s="12" t="n">
        <v>4</v>
      </c>
      <c r="C17" s="5"/>
      <c r="D17" s="13"/>
      <c r="E17" s="5"/>
      <c r="F17" s="5"/>
      <c r="G17" s="8"/>
      <c r="H17" s="8"/>
      <c r="I17" s="13"/>
      <c r="J17" s="5"/>
      <c r="K17" s="5"/>
      <c r="L17" s="14" t="str">
        <f aca="false">IF(C17="",IF(COUNTA(D17:K17)&gt;0,"Falta a etapa",""),IF(D17="","Falta o tipo",IF(E17="","Falta o responsável",IF(G17="","Falta o prazo",IF(AND(H17&lt;&gt;"",I17=""),"Falta o resultado",IF(AND(I17&lt;&gt;"",H17=""),"Falta a data de conclusão",IF(AND(OR(I17="Aprovado com ressalvas",I17="Reprovado"),J17=""),"Falta a ação",IF(AND(D17="Liberação para produção",H17&lt;&gt;"",COUNTIFS($D$14:$D$33,"Validação",$I$14:$I$33,"Aprovado")+COUNTIFS($D$14:$D$33,"Validação",$I$14:$I$33,"Aprovado com ressalvas")=0),"Liberado sem validação aprovada",IF(AND(H17="",ISNUMBER($D$10),G17&lt;$D$10),"Atrasada","OK")))))))))</f>
        <v/>
      </c>
    </row>
    <row r="18" customFormat="false" ht="30" hidden="false" customHeight="true" outlineLevel="0" collapsed="false">
      <c r="B18" s="12" t="n">
        <v>5</v>
      </c>
      <c r="C18" s="5"/>
      <c r="D18" s="13"/>
      <c r="E18" s="5"/>
      <c r="F18" s="5"/>
      <c r="G18" s="8"/>
      <c r="H18" s="8"/>
      <c r="I18" s="13"/>
      <c r="J18" s="5"/>
      <c r="K18" s="5"/>
      <c r="L18" s="14" t="str">
        <f aca="false">IF(C18="",IF(COUNTA(D18:K18)&gt;0,"Falta a etapa",""),IF(D18="","Falta o tipo",IF(E18="","Falta o responsável",IF(G18="","Falta o prazo",IF(AND(H18&lt;&gt;"",I18=""),"Falta o resultado",IF(AND(I18&lt;&gt;"",H18=""),"Falta a data de conclusão",IF(AND(OR(I18="Aprovado com ressalvas",I18="Reprovado"),J18=""),"Falta a ação",IF(AND(D18="Liberação para produção",H18&lt;&gt;"",COUNTIFS($D$14:$D$33,"Validação",$I$14:$I$33,"Aprovado")+COUNTIFS($D$14:$D$33,"Validação",$I$14:$I$33,"Aprovado com ressalvas")=0),"Liberado sem validação aprovada",IF(AND(H18="",ISNUMBER($D$10),G18&lt;$D$10),"Atrasada","OK")))))))))</f>
        <v/>
      </c>
    </row>
    <row r="19" customFormat="false" ht="30" hidden="false" customHeight="true" outlineLevel="0" collapsed="false">
      <c r="B19" s="12" t="n">
        <v>6</v>
      </c>
      <c r="C19" s="5"/>
      <c r="D19" s="13"/>
      <c r="E19" s="5"/>
      <c r="F19" s="5"/>
      <c r="G19" s="8"/>
      <c r="H19" s="8"/>
      <c r="I19" s="13"/>
      <c r="J19" s="5"/>
      <c r="K19" s="5"/>
      <c r="L19" s="14" t="str">
        <f aca="false">IF(C19="",IF(COUNTA(D19:K19)&gt;0,"Falta a etapa",""),IF(D19="","Falta o tipo",IF(E19="","Falta o responsável",IF(G19="","Falta o prazo",IF(AND(H19&lt;&gt;"",I19=""),"Falta o resultado",IF(AND(I19&lt;&gt;"",H19=""),"Falta a data de conclusão",IF(AND(OR(I19="Aprovado com ressalvas",I19="Reprovado"),J19=""),"Falta a ação",IF(AND(D19="Liberação para produção",H19&lt;&gt;"",COUNTIFS($D$14:$D$33,"Validação",$I$14:$I$33,"Aprovado")+COUNTIFS($D$14:$D$33,"Validação",$I$14:$I$33,"Aprovado com ressalvas")=0),"Liberado sem validação aprovada",IF(AND(H19="",ISNUMBER($D$10),G19&lt;$D$10),"Atrasada","OK")))))))))</f>
        <v/>
      </c>
    </row>
    <row r="20" customFormat="false" ht="30" hidden="false" customHeight="true" outlineLevel="0" collapsed="false">
      <c r="B20" s="12" t="n">
        <v>7</v>
      </c>
      <c r="C20" s="5"/>
      <c r="D20" s="13"/>
      <c r="E20" s="5"/>
      <c r="F20" s="5"/>
      <c r="G20" s="8"/>
      <c r="H20" s="8"/>
      <c r="I20" s="13"/>
      <c r="J20" s="5"/>
      <c r="K20" s="5"/>
      <c r="L20" s="14" t="str">
        <f aca="false">IF(C20="",IF(COUNTA(D20:K20)&gt;0,"Falta a etapa",""),IF(D20="","Falta o tipo",IF(E20="","Falta o responsável",IF(G20="","Falta o prazo",IF(AND(H20&lt;&gt;"",I20=""),"Falta o resultado",IF(AND(I20&lt;&gt;"",H20=""),"Falta a data de conclusão",IF(AND(OR(I20="Aprovado com ressalvas",I20="Reprovado"),J20=""),"Falta a ação",IF(AND(D20="Liberação para produção",H20&lt;&gt;"",COUNTIFS($D$14:$D$33,"Validação",$I$14:$I$33,"Aprovado")+COUNTIFS($D$14:$D$33,"Validação",$I$14:$I$33,"Aprovado com ressalvas")=0),"Liberado sem validação aprovada",IF(AND(H20="",ISNUMBER($D$10),G20&lt;$D$10),"Atrasada","OK")))))))))</f>
        <v/>
      </c>
    </row>
    <row r="21" customFormat="false" ht="30" hidden="false" customHeight="true" outlineLevel="0" collapsed="false">
      <c r="B21" s="12" t="n">
        <v>8</v>
      </c>
      <c r="C21" s="5"/>
      <c r="D21" s="13"/>
      <c r="E21" s="5"/>
      <c r="F21" s="5"/>
      <c r="G21" s="8"/>
      <c r="H21" s="8"/>
      <c r="I21" s="13"/>
      <c r="J21" s="5"/>
      <c r="K21" s="5"/>
      <c r="L21" s="14" t="str">
        <f aca="false">IF(C21="",IF(COUNTA(D21:K21)&gt;0,"Falta a etapa",""),IF(D21="","Falta o tipo",IF(E21="","Falta o responsável",IF(G21="","Falta o prazo",IF(AND(H21&lt;&gt;"",I21=""),"Falta o resultado",IF(AND(I21&lt;&gt;"",H21=""),"Falta a data de conclusão",IF(AND(OR(I21="Aprovado com ressalvas",I21="Reprovado"),J21=""),"Falta a ação",IF(AND(D21="Liberação para produção",H21&lt;&gt;"",COUNTIFS($D$14:$D$33,"Validação",$I$14:$I$33,"Aprovado")+COUNTIFS($D$14:$D$33,"Validação",$I$14:$I$33,"Aprovado com ressalvas")=0),"Liberado sem validação aprovada",IF(AND(H21="",ISNUMBER($D$10),G21&lt;$D$10),"Atrasada","OK")))))))))</f>
        <v/>
      </c>
    </row>
    <row r="22" customFormat="false" ht="30" hidden="false" customHeight="true" outlineLevel="0" collapsed="false">
      <c r="B22" s="12" t="n">
        <v>9</v>
      </c>
      <c r="C22" s="5"/>
      <c r="D22" s="13"/>
      <c r="E22" s="5"/>
      <c r="F22" s="5"/>
      <c r="G22" s="8"/>
      <c r="H22" s="8"/>
      <c r="I22" s="13"/>
      <c r="J22" s="5"/>
      <c r="K22" s="5"/>
      <c r="L22" s="14" t="str">
        <f aca="false">IF(C22="",IF(COUNTA(D22:K22)&gt;0,"Falta a etapa",""),IF(D22="","Falta o tipo",IF(E22="","Falta o responsável",IF(G22="","Falta o prazo",IF(AND(H22&lt;&gt;"",I22=""),"Falta o resultado",IF(AND(I22&lt;&gt;"",H22=""),"Falta a data de conclusão",IF(AND(OR(I22="Aprovado com ressalvas",I22="Reprovado"),J22=""),"Falta a ação",IF(AND(D22="Liberação para produção",H22&lt;&gt;"",COUNTIFS($D$14:$D$33,"Validação",$I$14:$I$33,"Aprovado")+COUNTIFS($D$14:$D$33,"Validação",$I$14:$I$33,"Aprovado com ressalvas")=0),"Liberado sem validação aprovada",IF(AND(H22="",ISNUMBER($D$10),G22&lt;$D$10),"Atrasada","OK")))))))))</f>
        <v/>
      </c>
    </row>
    <row r="23" customFormat="false" ht="30" hidden="false" customHeight="true" outlineLevel="0" collapsed="false">
      <c r="B23" s="12" t="n">
        <v>10</v>
      </c>
      <c r="C23" s="5"/>
      <c r="D23" s="13"/>
      <c r="E23" s="5"/>
      <c r="F23" s="5"/>
      <c r="G23" s="8"/>
      <c r="H23" s="8"/>
      <c r="I23" s="13"/>
      <c r="J23" s="5"/>
      <c r="K23" s="5"/>
      <c r="L23" s="14" t="str">
        <f aca="false">IF(C23="",IF(COUNTA(D23:K23)&gt;0,"Falta a etapa",""),IF(D23="","Falta o tipo",IF(E23="","Falta o responsável",IF(G23="","Falta o prazo",IF(AND(H23&lt;&gt;"",I23=""),"Falta o resultado",IF(AND(I23&lt;&gt;"",H23=""),"Falta a data de conclusão",IF(AND(OR(I23="Aprovado com ressalvas",I23="Reprovado"),J23=""),"Falta a ação",IF(AND(D23="Liberação para produção",H23&lt;&gt;"",COUNTIFS($D$14:$D$33,"Validação",$I$14:$I$33,"Aprovado")+COUNTIFS($D$14:$D$33,"Validação",$I$14:$I$33,"Aprovado com ressalvas")=0),"Liberado sem validação aprovada",IF(AND(H23="",ISNUMBER($D$10),G23&lt;$D$10),"Atrasada","OK")))))))))</f>
        <v/>
      </c>
    </row>
    <row r="24" customFormat="false" ht="30" hidden="false" customHeight="true" outlineLevel="0" collapsed="false">
      <c r="B24" s="12" t="n">
        <v>11</v>
      </c>
      <c r="C24" s="5"/>
      <c r="D24" s="13"/>
      <c r="E24" s="5"/>
      <c r="F24" s="5"/>
      <c r="G24" s="8"/>
      <c r="H24" s="8"/>
      <c r="I24" s="13"/>
      <c r="J24" s="5"/>
      <c r="K24" s="5"/>
      <c r="L24" s="14" t="str">
        <f aca="false">IF(C24="",IF(COUNTA(D24:K24)&gt;0,"Falta a etapa",""),IF(D24="","Falta o tipo",IF(E24="","Falta o responsável",IF(G24="","Falta o prazo",IF(AND(H24&lt;&gt;"",I24=""),"Falta o resultado",IF(AND(I24&lt;&gt;"",H24=""),"Falta a data de conclusão",IF(AND(OR(I24="Aprovado com ressalvas",I24="Reprovado"),J24=""),"Falta a ação",IF(AND(D24="Liberação para produção",H24&lt;&gt;"",COUNTIFS($D$14:$D$33,"Validação",$I$14:$I$33,"Aprovado")+COUNTIFS($D$14:$D$33,"Validação",$I$14:$I$33,"Aprovado com ressalvas")=0),"Liberado sem validação aprovada",IF(AND(H24="",ISNUMBER($D$10),G24&lt;$D$10),"Atrasada","OK")))))))))</f>
        <v/>
      </c>
    </row>
    <row r="25" customFormat="false" ht="30" hidden="false" customHeight="true" outlineLevel="0" collapsed="false">
      <c r="B25" s="12" t="n">
        <v>12</v>
      </c>
      <c r="C25" s="5"/>
      <c r="D25" s="13"/>
      <c r="E25" s="5"/>
      <c r="F25" s="5"/>
      <c r="G25" s="8"/>
      <c r="H25" s="8"/>
      <c r="I25" s="13"/>
      <c r="J25" s="5"/>
      <c r="K25" s="5"/>
      <c r="L25" s="14" t="str">
        <f aca="false">IF(C25="",IF(COUNTA(D25:K25)&gt;0,"Falta a etapa",""),IF(D25="","Falta o tipo",IF(E25="","Falta o responsável",IF(G25="","Falta o prazo",IF(AND(H25&lt;&gt;"",I25=""),"Falta o resultado",IF(AND(I25&lt;&gt;"",H25=""),"Falta a data de conclusão",IF(AND(OR(I25="Aprovado com ressalvas",I25="Reprovado"),J25=""),"Falta a ação",IF(AND(D25="Liberação para produção",H25&lt;&gt;"",COUNTIFS($D$14:$D$33,"Validação",$I$14:$I$33,"Aprovado")+COUNTIFS($D$14:$D$33,"Validação",$I$14:$I$33,"Aprovado com ressalvas")=0),"Liberado sem validação aprovada",IF(AND(H25="",ISNUMBER($D$10),G25&lt;$D$10),"Atrasada","OK")))))))))</f>
        <v/>
      </c>
    </row>
    <row r="26" customFormat="false" ht="30" hidden="false" customHeight="true" outlineLevel="0" collapsed="false">
      <c r="B26" s="12" t="n">
        <v>13</v>
      </c>
      <c r="C26" s="5"/>
      <c r="D26" s="13"/>
      <c r="E26" s="5"/>
      <c r="F26" s="5"/>
      <c r="G26" s="8"/>
      <c r="H26" s="8"/>
      <c r="I26" s="13"/>
      <c r="J26" s="5"/>
      <c r="K26" s="5"/>
      <c r="L26" s="14" t="str">
        <f aca="false">IF(C26="",IF(COUNTA(D26:K26)&gt;0,"Falta a etapa",""),IF(D26="","Falta o tipo",IF(E26="","Falta o responsável",IF(G26="","Falta o prazo",IF(AND(H26&lt;&gt;"",I26=""),"Falta o resultado",IF(AND(I26&lt;&gt;"",H26=""),"Falta a data de conclusão",IF(AND(OR(I26="Aprovado com ressalvas",I26="Reprovado"),J26=""),"Falta a ação",IF(AND(D26="Liberação para produção",H26&lt;&gt;"",COUNTIFS($D$14:$D$33,"Validação",$I$14:$I$33,"Aprovado")+COUNTIFS($D$14:$D$33,"Validação",$I$14:$I$33,"Aprovado com ressalvas")=0),"Liberado sem validação aprovada",IF(AND(H26="",ISNUMBER($D$10),G26&lt;$D$10),"Atrasada","OK")))))))))</f>
        <v/>
      </c>
    </row>
    <row r="27" customFormat="false" ht="30" hidden="false" customHeight="true" outlineLevel="0" collapsed="false">
      <c r="B27" s="12" t="n">
        <v>14</v>
      </c>
      <c r="C27" s="5"/>
      <c r="D27" s="13"/>
      <c r="E27" s="5"/>
      <c r="F27" s="5"/>
      <c r="G27" s="8"/>
      <c r="H27" s="8"/>
      <c r="I27" s="13"/>
      <c r="J27" s="5"/>
      <c r="K27" s="5"/>
      <c r="L27" s="14" t="str">
        <f aca="false">IF(C27="",IF(COUNTA(D27:K27)&gt;0,"Falta a etapa",""),IF(D27="","Falta o tipo",IF(E27="","Falta o responsável",IF(G27="","Falta o prazo",IF(AND(H27&lt;&gt;"",I27=""),"Falta o resultado",IF(AND(I27&lt;&gt;"",H27=""),"Falta a data de conclusão",IF(AND(OR(I27="Aprovado com ressalvas",I27="Reprovado"),J27=""),"Falta a ação",IF(AND(D27="Liberação para produção",H27&lt;&gt;"",COUNTIFS($D$14:$D$33,"Validação",$I$14:$I$33,"Aprovado")+COUNTIFS($D$14:$D$33,"Validação",$I$14:$I$33,"Aprovado com ressalvas")=0),"Liberado sem validação aprovada",IF(AND(H27="",ISNUMBER($D$10),G27&lt;$D$10),"Atrasada","OK")))))))))</f>
        <v/>
      </c>
    </row>
    <row r="28" customFormat="false" ht="30" hidden="false" customHeight="true" outlineLevel="0" collapsed="false">
      <c r="B28" s="12" t="n">
        <v>15</v>
      </c>
      <c r="C28" s="5"/>
      <c r="D28" s="13"/>
      <c r="E28" s="5"/>
      <c r="F28" s="5"/>
      <c r="G28" s="8"/>
      <c r="H28" s="8"/>
      <c r="I28" s="13"/>
      <c r="J28" s="5"/>
      <c r="K28" s="5"/>
      <c r="L28" s="14" t="str">
        <f aca="false">IF(C28="",IF(COUNTA(D28:K28)&gt;0,"Falta a etapa",""),IF(D28="","Falta o tipo",IF(E28="","Falta o responsável",IF(G28="","Falta o prazo",IF(AND(H28&lt;&gt;"",I28=""),"Falta o resultado",IF(AND(I28&lt;&gt;"",H28=""),"Falta a data de conclusão",IF(AND(OR(I28="Aprovado com ressalvas",I28="Reprovado"),J28=""),"Falta a ação",IF(AND(D28="Liberação para produção",H28&lt;&gt;"",COUNTIFS($D$14:$D$33,"Validação",$I$14:$I$33,"Aprovado")+COUNTIFS($D$14:$D$33,"Validação",$I$14:$I$33,"Aprovado com ressalvas")=0),"Liberado sem validação aprovada",IF(AND(H28="",ISNUMBER($D$10),G28&lt;$D$10),"Atrasada","OK")))))))))</f>
        <v/>
      </c>
    </row>
    <row r="29" customFormat="false" ht="30" hidden="false" customHeight="true" outlineLevel="0" collapsed="false">
      <c r="B29" s="12" t="n">
        <v>16</v>
      </c>
      <c r="C29" s="5"/>
      <c r="D29" s="13"/>
      <c r="E29" s="5"/>
      <c r="F29" s="5"/>
      <c r="G29" s="8"/>
      <c r="H29" s="8"/>
      <c r="I29" s="13"/>
      <c r="J29" s="5"/>
      <c r="K29" s="5"/>
      <c r="L29" s="14" t="str">
        <f aca="false">IF(C29="",IF(COUNTA(D29:K29)&gt;0,"Falta a etapa",""),IF(D29="","Falta o tipo",IF(E29="","Falta o responsável",IF(G29="","Falta o prazo",IF(AND(H29&lt;&gt;"",I29=""),"Falta o resultado",IF(AND(I29&lt;&gt;"",H29=""),"Falta a data de conclusão",IF(AND(OR(I29="Aprovado com ressalvas",I29="Reprovado"),J29=""),"Falta a ação",IF(AND(D29="Liberação para produção",H29&lt;&gt;"",COUNTIFS($D$14:$D$33,"Validação",$I$14:$I$33,"Aprovado")+COUNTIFS($D$14:$D$33,"Validação",$I$14:$I$33,"Aprovado com ressalvas")=0),"Liberado sem validação aprovada",IF(AND(H29="",ISNUMBER($D$10),G29&lt;$D$10),"Atrasada","OK")))))))))</f>
        <v/>
      </c>
    </row>
    <row r="30" customFormat="false" ht="30" hidden="false" customHeight="true" outlineLevel="0" collapsed="false">
      <c r="B30" s="12" t="n">
        <v>17</v>
      </c>
      <c r="C30" s="5"/>
      <c r="D30" s="13"/>
      <c r="E30" s="5"/>
      <c r="F30" s="5"/>
      <c r="G30" s="8"/>
      <c r="H30" s="8"/>
      <c r="I30" s="13"/>
      <c r="J30" s="5"/>
      <c r="K30" s="5"/>
      <c r="L30" s="14" t="str">
        <f aca="false">IF(C30="",IF(COUNTA(D30:K30)&gt;0,"Falta a etapa",""),IF(D30="","Falta o tipo",IF(E30="","Falta o responsável",IF(G30="","Falta o prazo",IF(AND(H30&lt;&gt;"",I30=""),"Falta o resultado",IF(AND(I30&lt;&gt;"",H30=""),"Falta a data de conclusão",IF(AND(OR(I30="Aprovado com ressalvas",I30="Reprovado"),J30=""),"Falta a ação",IF(AND(D30="Liberação para produção",H30&lt;&gt;"",COUNTIFS($D$14:$D$33,"Validação",$I$14:$I$33,"Aprovado")+COUNTIFS($D$14:$D$33,"Validação",$I$14:$I$33,"Aprovado com ressalvas")=0),"Liberado sem validação aprovada",IF(AND(H30="",ISNUMBER($D$10),G30&lt;$D$10),"Atrasada","OK")))))))))</f>
        <v/>
      </c>
    </row>
    <row r="31" customFormat="false" ht="30" hidden="false" customHeight="true" outlineLevel="0" collapsed="false">
      <c r="B31" s="12" t="n">
        <v>18</v>
      </c>
      <c r="C31" s="5"/>
      <c r="D31" s="13"/>
      <c r="E31" s="5"/>
      <c r="F31" s="5"/>
      <c r="G31" s="8"/>
      <c r="H31" s="8"/>
      <c r="I31" s="13"/>
      <c r="J31" s="5"/>
      <c r="K31" s="5"/>
      <c r="L31" s="14" t="str">
        <f aca="false">IF(C31="",IF(COUNTA(D31:K31)&gt;0,"Falta a etapa",""),IF(D31="","Falta o tipo",IF(E31="","Falta o responsável",IF(G31="","Falta o prazo",IF(AND(H31&lt;&gt;"",I31=""),"Falta o resultado",IF(AND(I31&lt;&gt;"",H31=""),"Falta a data de conclusão",IF(AND(OR(I31="Aprovado com ressalvas",I31="Reprovado"),J31=""),"Falta a ação",IF(AND(D31="Liberação para produção",H31&lt;&gt;"",COUNTIFS($D$14:$D$33,"Validação",$I$14:$I$33,"Aprovado")+COUNTIFS($D$14:$D$33,"Validação",$I$14:$I$33,"Aprovado com ressalvas")=0),"Liberado sem validação aprovada",IF(AND(H31="",ISNUMBER($D$10),G31&lt;$D$10),"Atrasada","OK")))))))))</f>
        <v/>
      </c>
    </row>
    <row r="32" customFormat="false" ht="30" hidden="false" customHeight="true" outlineLevel="0" collapsed="false">
      <c r="B32" s="12" t="n">
        <v>19</v>
      </c>
      <c r="C32" s="5"/>
      <c r="D32" s="13"/>
      <c r="E32" s="5"/>
      <c r="F32" s="5"/>
      <c r="G32" s="8"/>
      <c r="H32" s="8"/>
      <c r="I32" s="13"/>
      <c r="J32" s="5"/>
      <c r="K32" s="5"/>
      <c r="L32" s="14" t="str">
        <f aca="false">IF(C32="",IF(COUNTA(D32:K32)&gt;0,"Falta a etapa",""),IF(D32="","Falta o tipo",IF(E32="","Falta o responsável",IF(G32="","Falta o prazo",IF(AND(H32&lt;&gt;"",I32=""),"Falta o resultado",IF(AND(I32&lt;&gt;"",H32=""),"Falta a data de conclusão",IF(AND(OR(I32="Aprovado com ressalvas",I32="Reprovado"),J32=""),"Falta a ação",IF(AND(D32="Liberação para produção",H32&lt;&gt;"",COUNTIFS($D$14:$D$33,"Validação",$I$14:$I$33,"Aprovado")+COUNTIFS($D$14:$D$33,"Validação",$I$14:$I$33,"Aprovado com ressalvas")=0),"Liberado sem validação aprovada",IF(AND(H32="",ISNUMBER($D$10),G32&lt;$D$10),"Atrasada","OK")))))))))</f>
        <v/>
      </c>
    </row>
    <row r="33" customFormat="false" ht="30" hidden="false" customHeight="true" outlineLevel="0" collapsed="false">
      <c r="B33" s="12" t="n">
        <v>20</v>
      </c>
      <c r="C33" s="5"/>
      <c r="D33" s="13"/>
      <c r="E33" s="5"/>
      <c r="F33" s="5"/>
      <c r="G33" s="8"/>
      <c r="H33" s="8"/>
      <c r="I33" s="13"/>
      <c r="J33" s="5"/>
      <c r="K33" s="5"/>
      <c r="L33" s="14" t="str">
        <f aca="false">IF(C33="",IF(COUNTA(D33:K33)&gt;0,"Falta a etapa",""),IF(D33="","Falta o tipo",IF(E33="","Falta o responsável",IF(G33="","Falta o prazo",IF(AND(H33&lt;&gt;"",I33=""),"Falta o resultado",IF(AND(I33&lt;&gt;"",H33=""),"Falta a data de conclusão",IF(AND(OR(I33="Aprovado com ressalvas",I33="Reprovado"),J33=""),"Falta a ação",IF(AND(D33="Liberação para produção",H33&lt;&gt;"",COUNTIFS($D$14:$D$33,"Validação",$I$14:$I$33,"Aprovado")+COUNTIFS($D$14:$D$33,"Validação",$I$14:$I$33,"Aprovado com ressalvas")=0),"Liberado sem validação aprovada",IF(AND(H33="",ISNUMBER($D$10),G33&lt;$D$10),"Atrasada","OK")))))))))</f>
        <v/>
      </c>
    </row>
    <row r="35" customFormat="false" ht="21.75" hidden="false" customHeight="true" outlineLevel="0" collapsed="false">
      <c r="B35" s="15" t="s">
        <v>93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customFormat="false" ht="21.75" hidden="false" customHeight="true" outlineLevel="0" collapsed="false">
      <c r="B36" s="16" t="s">
        <v>94</v>
      </c>
      <c r="C36" s="16"/>
      <c r="D36" s="17" t="n">
        <f aca="false">COUNTA(C14:C33)</f>
        <v>0</v>
      </c>
      <c r="E36" s="17"/>
      <c r="F36" s="17"/>
      <c r="G36" s="17"/>
      <c r="H36" s="17"/>
      <c r="I36" s="17"/>
      <c r="J36" s="17"/>
      <c r="K36" s="17"/>
      <c r="L36" s="17"/>
    </row>
    <row r="37" customFormat="false" ht="21.75" hidden="false" customHeight="true" outlineLevel="0" collapsed="false">
      <c r="B37" s="16" t="s">
        <v>95</v>
      </c>
      <c r="C37" s="16"/>
      <c r="D37" s="17" t="str">
        <f aca="false">IF(D36=0,"",COUNTIF($D$14:$D$33,"Análise crítica")&amp;" análises críticas, "&amp;COUNTIF($D$14:$D$33,"Verificação")&amp;" verificações, "&amp;COUNTIF($D$14:$D$33,"Validação")&amp;" validações")</f>
        <v/>
      </c>
      <c r="E37" s="17"/>
      <c r="F37" s="17"/>
      <c r="G37" s="17"/>
      <c r="H37" s="17"/>
      <c r="I37" s="17"/>
      <c r="J37" s="17"/>
      <c r="K37" s="17"/>
      <c r="L37" s="17"/>
    </row>
    <row r="38" customFormat="false" ht="21.75" hidden="false" customHeight="true" outlineLevel="0" collapsed="false">
      <c r="B38" s="16" t="s">
        <v>96</v>
      </c>
      <c r="C38" s="16"/>
      <c r="D38" s="17" t="str">
        <f aca="false">IF(D36=0,"",COUNTA(H14:H33)&amp;" concluídas, "&amp;COUNTIF(L14:L33,"Atrasada")&amp;" atrasadas")</f>
        <v/>
      </c>
      <c r="E38" s="17"/>
      <c r="F38" s="17"/>
      <c r="G38" s="17"/>
      <c r="H38" s="17"/>
      <c r="I38" s="17"/>
      <c r="J38" s="17"/>
      <c r="K38" s="17"/>
      <c r="L38" s="17"/>
    </row>
    <row r="39" customFormat="false" ht="21.75" hidden="false" customHeight="true" outlineLevel="0" collapsed="false">
      <c r="B39" s="16" t="s">
        <v>97</v>
      </c>
      <c r="C39" s="16"/>
      <c r="D39" s="18" t="str">
        <f aca="false">IF(D5="","Escreva o projeto",IF(D36=0,"Escreva as etapas",IF(COUNTIF(L14:L33,"Liberado sem validação aprovada")&gt;0,"Há liberação sem validação aprovada",IF(COUNTIF($D$14:$D$33,"Validação")=0,"O plano não tem validação",IF(COUNTIF($D$14:$D$33,"Verificação")=0,"O plano não tem verificação",IF(COUNTIF($D$14:$D$33,"Análise crítica")=0,"O plano não tem análise crítica",IF(COUNTIF(L14:L33,"Atrasada")&gt;0,"Há etapa atrasada",IF(SUMPRODUCT((L14:L33&lt;&gt;"")*(L14:L33&lt;&gt;"OK"))&gt;0,"Há etapa a rever: veja a coluna Conferência","OK"))))))))</f>
        <v>Escreva o projeto</v>
      </c>
      <c r="E39" s="18"/>
      <c r="F39" s="18"/>
      <c r="G39" s="18"/>
      <c r="H39" s="18"/>
      <c r="I39" s="18"/>
      <c r="J39" s="18"/>
      <c r="K39" s="18"/>
      <c r="L39" s="18"/>
    </row>
  </sheetData>
  <mergeCells count="24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9:C9"/>
    <mergeCell ref="B10:C10"/>
    <mergeCell ref="E10:L10"/>
    <mergeCell ref="B35:L35"/>
    <mergeCell ref="B36:C36"/>
    <mergeCell ref="D36:L36"/>
    <mergeCell ref="B37:C37"/>
    <mergeCell ref="D37:L37"/>
    <mergeCell ref="B38:C38"/>
    <mergeCell ref="D38:L38"/>
    <mergeCell ref="B39:C39"/>
    <mergeCell ref="D39:L39"/>
  </mergeCells>
  <conditionalFormatting sqref="I14:I33">
    <cfRule type="expression" priority="2" aboveAverage="0" equalAverage="0" bottom="0" percent="0" rank="0" text="" dxfId="0">
      <formula>I14="Aprovado"</formula>
    </cfRule>
    <cfRule type="expression" priority="3" aboveAverage="0" equalAverage="0" bottom="0" percent="0" rank="0" text="" dxfId="1">
      <formula>I14="Aprovado com ressalvas"</formula>
    </cfRule>
    <cfRule type="expression" priority="4" aboveAverage="0" equalAverage="0" bottom="0" percent="0" rank="0" text="" dxfId="2">
      <formula>I14="Reprovado"</formula>
    </cfRule>
  </conditionalFormatting>
  <conditionalFormatting sqref="L14:L33">
    <cfRule type="expression" priority="5" aboveAverage="0" equalAverage="0" bottom="0" percent="0" rank="0" text="" dxfId="0">
      <formula>L14="OK"</formula>
    </cfRule>
    <cfRule type="expression" priority="6" aboveAverage="0" equalAverage="0" bottom="0" percent="0" rank="0" text="" dxfId="3">
      <formula>L14="Liberado sem validação aprovada"</formula>
    </cfRule>
    <cfRule type="expression" priority="7" aboveAverage="0" equalAverage="0" bottom="0" percent="0" rank="0" text="" dxfId="3">
      <formula>L14="Atrasada"</formula>
    </cfRule>
    <cfRule type="expression" priority="8" aboveAverage="0" equalAverage="0" bottom="0" percent="0" rank="0" text="" dxfId="4">
      <formula>LEN(L14)&gt;0</formula>
    </cfRule>
  </conditionalFormatting>
  <conditionalFormatting sqref="D39:L39">
    <cfRule type="expression" priority="9" aboveAverage="0" equalAverage="0" bottom="0" percent="0" rank="0" text="" dxfId="0">
      <formula>OR(D39="OK")</formula>
    </cfRule>
    <cfRule type="expression" priority="10" aboveAverage="0" equalAverage="0" bottom="0" percent="0" rank="0" text="" dxfId="4">
      <formula>AND(LEN(D39)&gt;0,NOT(OR(D39="OK")))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9:D10 F9 G14:H33" type="date">
      <formula1>36526</formula1>
      <formula2>0</formula2>
    </dataValidation>
    <dataValidation allowBlank="true" error="Escolha uma das opções da lista." errorStyle="stop" errorTitle="Valor inválido" operator="between" prompt="Planejamento, desenvolvimento, análise crítica, verificação, validação ou liberação" promptTitle="Opções" showDropDown="false" showErrorMessage="true" showInputMessage="true" sqref="D14:D33" type="list">
      <formula1>"Planejamento,Desenvolvimento,Análise crítica,Verificação,Validação,Liberação para produção"</formula1>
      <formula2>0</formula2>
    </dataValidation>
    <dataValidation allowBlank="true" error="Escolha uma das opções da lista." errorStyle="stop" errorTitle="Valor inválido" operator="between" prompt="Resultado da etapa concluída" promptTitle="Opções" showDropDown="false" showErrorMessage="true" showInputMessage="true" sqref="I14:I33" type="list">
      <formula1>"Aprovado,Aprovado com ressalvas,Reprovado"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9" min="9" style="0" width="13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98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99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33" hidden="false" customHeight="true" outlineLevel="0" collapsed="false">
      <c r="B4" s="10" t="s">
        <v>74</v>
      </c>
      <c r="C4" s="10" t="s">
        <v>100</v>
      </c>
      <c r="D4" s="10" t="s">
        <v>101</v>
      </c>
      <c r="E4" s="10" t="s">
        <v>76</v>
      </c>
      <c r="F4" s="10" t="s">
        <v>102</v>
      </c>
      <c r="G4" s="10" t="s">
        <v>103</v>
      </c>
      <c r="H4" s="10" t="s">
        <v>104</v>
      </c>
      <c r="I4" s="10" t="s">
        <v>81</v>
      </c>
      <c r="J4" s="10" t="s">
        <v>105</v>
      </c>
      <c r="K4" s="10" t="s">
        <v>84</v>
      </c>
    </row>
    <row r="5" customFormat="false" ht="30" hidden="false" customHeight="true" outlineLevel="0" collapsed="false">
      <c r="B5" s="11"/>
      <c r="C5" s="11" t="s">
        <v>106</v>
      </c>
      <c r="D5" s="11" t="s">
        <v>107</v>
      </c>
      <c r="E5" s="11" t="s">
        <v>86</v>
      </c>
      <c r="F5" s="11" t="s">
        <v>108</v>
      </c>
      <c r="G5" s="11" t="s">
        <v>109</v>
      </c>
      <c r="H5" s="11" t="s">
        <v>110</v>
      </c>
      <c r="I5" s="11" t="s">
        <v>86</v>
      </c>
      <c r="J5" s="11" t="s">
        <v>111</v>
      </c>
      <c r="K5" s="11" t="s">
        <v>92</v>
      </c>
    </row>
    <row r="6" customFormat="false" ht="30" hidden="false" customHeight="true" outlineLevel="0" collapsed="false">
      <c r="B6" s="11" t="s">
        <v>112</v>
      </c>
      <c r="C6" s="11" t="s">
        <v>113</v>
      </c>
      <c r="D6" s="9" t="s">
        <v>114</v>
      </c>
      <c r="E6" s="11" t="s">
        <v>115</v>
      </c>
      <c r="F6" s="9" t="s">
        <v>116</v>
      </c>
      <c r="G6" s="9" t="s">
        <v>117</v>
      </c>
      <c r="H6" s="9" t="s">
        <v>118</v>
      </c>
      <c r="I6" s="11" t="s">
        <v>119</v>
      </c>
      <c r="J6" s="9" t="s">
        <v>120</v>
      </c>
      <c r="K6" s="11" t="s">
        <v>121</v>
      </c>
    </row>
    <row r="7" customFormat="false" ht="30" hidden="false" customHeight="true" outlineLevel="0" collapsed="false">
      <c r="B7" s="12" t="n">
        <v>1</v>
      </c>
      <c r="C7" s="13"/>
      <c r="D7" s="5"/>
      <c r="E7" s="13"/>
      <c r="F7" s="5"/>
      <c r="G7" s="5"/>
      <c r="H7" s="5"/>
      <c r="I7" s="13"/>
      <c r="J7" s="5"/>
      <c r="K7" s="14" t="str">
        <f aca="false">IF(D7="",IF(COUNTA(C7,E7:J7)&gt;0,"Falta a entrada",""),IF(E7="","Falta o tipo",IF(F7="","Falta a fonte",IF(G7="","Falta a saída que atende",IF(H7="","Falta como verificar",IF(I7="Não atende",IF(J7="","Não atende, sem ação","Não atende: ação em curso"),IF(I7="","Verificação pendente","OK")))))))</f>
        <v/>
      </c>
    </row>
    <row r="8" customFormat="false" ht="30" hidden="false" customHeight="true" outlineLevel="0" collapsed="false">
      <c r="B8" s="12" t="n">
        <v>2</v>
      </c>
      <c r="C8" s="13"/>
      <c r="D8" s="5"/>
      <c r="E8" s="13"/>
      <c r="F8" s="5"/>
      <c r="G8" s="5"/>
      <c r="H8" s="5"/>
      <c r="I8" s="13"/>
      <c r="J8" s="5"/>
      <c r="K8" s="14" t="str">
        <f aca="false">IF(D8="",IF(COUNTA(C8,E8:J8)&gt;0,"Falta a entrada",""),IF(E8="","Falta o tipo",IF(F8="","Falta a fonte",IF(G8="","Falta a saída que atende",IF(H8="","Falta como verificar",IF(I8="Não atende",IF(J8="","Não atende, sem ação","Não atende: ação em curso"),IF(I8="","Verificação pendente","OK")))))))</f>
        <v/>
      </c>
    </row>
    <row r="9" customFormat="false" ht="30" hidden="false" customHeight="true" outlineLevel="0" collapsed="false">
      <c r="B9" s="12" t="n">
        <v>3</v>
      </c>
      <c r="C9" s="13"/>
      <c r="D9" s="5"/>
      <c r="E9" s="13"/>
      <c r="F9" s="5"/>
      <c r="G9" s="5"/>
      <c r="H9" s="5"/>
      <c r="I9" s="13"/>
      <c r="J9" s="5"/>
      <c r="K9" s="14" t="str">
        <f aca="false">IF(D9="",IF(COUNTA(C9,E9:J9)&gt;0,"Falta a entrada",""),IF(E9="","Falta o tipo",IF(F9="","Falta a fonte",IF(G9="","Falta a saída que atende",IF(H9="","Falta como verificar",IF(I9="Não atende",IF(J9="","Não atende, sem ação","Não atende: ação em curso"),IF(I9="","Verificação pendente","OK")))))))</f>
        <v/>
      </c>
    </row>
    <row r="10" customFormat="false" ht="30" hidden="false" customHeight="true" outlineLevel="0" collapsed="false">
      <c r="B10" s="12" t="n">
        <v>4</v>
      </c>
      <c r="C10" s="13"/>
      <c r="D10" s="5"/>
      <c r="E10" s="13"/>
      <c r="F10" s="5"/>
      <c r="G10" s="5"/>
      <c r="H10" s="5"/>
      <c r="I10" s="13"/>
      <c r="J10" s="5"/>
      <c r="K10" s="14" t="str">
        <f aca="false">IF(D10="",IF(COUNTA(C10,E10:J10)&gt;0,"Falta a entrada",""),IF(E10="","Falta o tipo",IF(F10="","Falta a fonte",IF(G10="","Falta a saída que atende",IF(H10="","Falta como verificar",IF(I10="Não atende",IF(J10="","Não atende, sem ação","Não atende: ação em curso"),IF(I10="","Verificação pendente","OK")))))))</f>
        <v/>
      </c>
    </row>
    <row r="11" customFormat="false" ht="30" hidden="false" customHeight="true" outlineLevel="0" collapsed="false">
      <c r="B11" s="12" t="n">
        <v>5</v>
      </c>
      <c r="C11" s="13"/>
      <c r="D11" s="5"/>
      <c r="E11" s="13"/>
      <c r="F11" s="5"/>
      <c r="G11" s="5"/>
      <c r="H11" s="5"/>
      <c r="I11" s="13"/>
      <c r="J11" s="5"/>
      <c r="K11" s="14" t="str">
        <f aca="false">IF(D11="",IF(COUNTA(C11,E11:J11)&gt;0,"Falta a entrada",""),IF(E11="","Falta o tipo",IF(F11="","Falta a fonte",IF(G11="","Falta a saída que atende",IF(H11="","Falta como verificar",IF(I11="Não atende",IF(J11="","Não atende, sem ação","Não atende: ação em curso"),IF(I11="","Verificação pendente","OK")))))))</f>
        <v/>
      </c>
    </row>
    <row r="12" customFormat="false" ht="30" hidden="false" customHeight="true" outlineLevel="0" collapsed="false">
      <c r="B12" s="12" t="n">
        <v>6</v>
      </c>
      <c r="C12" s="13"/>
      <c r="D12" s="5"/>
      <c r="E12" s="13"/>
      <c r="F12" s="5"/>
      <c r="G12" s="5"/>
      <c r="H12" s="5"/>
      <c r="I12" s="13"/>
      <c r="J12" s="5"/>
      <c r="K12" s="14" t="str">
        <f aca="false">IF(D12="",IF(COUNTA(C12,E12:J12)&gt;0,"Falta a entrada",""),IF(E12="","Falta o tipo",IF(F12="","Falta a fonte",IF(G12="","Falta a saída que atende",IF(H12="","Falta como verificar",IF(I12="Não atende",IF(J12="","Não atende, sem ação","Não atende: ação em curso"),IF(I12="","Verificação pendente","OK")))))))</f>
        <v/>
      </c>
    </row>
    <row r="13" customFormat="false" ht="30" hidden="false" customHeight="true" outlineLevel="0" collapsed="false">
      <c r="B13" s="12" t="n">
        <v>7</v>
      </c>
      <c r="C13" s="13"/>
      <c r="D13" s="5"/>
      <c r="E13" s="13"/>
      <c r="F13" s="5"/>
      <c r="G13" s="5"/>
      <c r="H13" s="5"/>
      <c r="I13" s="13"/>
      <c r="J13" s="5"/>
      <c r="K13" s="14" t="str">
        <f aca="false">IF(D13="",IF(COUNTA(C13,E13:J13)&gt;0,"Falta a entrada",""),IF(E13="","Falta o tipo",IF(F13="","Falta a fonte",IF(G13="","Falta a saída que atende",IF(H13="","Falta como verificar",IF(I13="Não atende",IF(J13="","Não atende, sem ação","Não atende: ação em curso"),IF(I13="","Verificação pendente","OK")))))))</f>
        <v/>
      </c>
    </row>
    <row r="14" customFormat="false" ht="30" hidden="false" customHeight="true" outlineLevel="0" collapsed="false">
      <c r="B14" s="12" t="n">
        <v>8</v>
      </c>
      <c r="C14" s="13"/>
      <c r="D14" s="5"/>
      <c r="E14" s="13"/>
      <c r="F14" s="5"/>
      <c r="G14" s="5"/>
      <c r="H14" s="5"/>
      <c r="I14" s="13"/>
      <c r="J14" s="5"/>
      <c r="K14" s="14" t="str">
        <f aca="false">IF(D14="",IF(COUNTA(C14,E14:J14)&gt;0,"Falta a entrada",""),IF(E14="","Falta o tipo",IF(F14="","Falta a fonte",IF(G14="","Falta a saída que atende",IF(H14="","Falta como verificar",IF(I14="Não atende",IF(J14="","Não atende, sem ação","Não atende: ação em curso"),IF(I14="","Verificação pendente","OK")))))))</f>
        <v/>
      </c>
    </row>
    <row r="15" customFormat="false" ht="30" hidden="false" customHeight="true" outlineLevel="0" collapsed="false">
      <c r="B15" s="12" t="n">
        <v>9</v>
      </c>
      <c r="C15" s="13"/>
      <c r="D15" s="5"/>
      <c r="E15" s="13"/>
      <c r="F15" s="5"/>
      <c r="G15" s="5"/>
      <c r="H15" s="5"/>
      <c r="I15" s="13"/>
      <c r="J15" s="5"/>
      <c r="K15" s="14" t="str">
        <f aca="false">IF(D15="",IF(COUNTA(C15,E15:J15)&gt;0,"Falta a entrada",""),IF(E15="","Falta o tipo",IF(F15="","Falta a fonte",IF(G15="","Falta a saída que atende",IF(H15="","Falta como verificar",IF(I15="Não atende",IF(J15="","Não atende, sem ação","Não atende: ação em curso"),IF(I15="","Verificação pendente","OK")))))))</f>
        <v/>
      </c>
    </row>
    <row r="16" customFormat="false" ht="30" hidden="false" customHeight="true" outlineLevel="0" collapsed="false">
      <c r="B16" s="12" t="n">
        <v>10</v>
      </c>
      <c r="C16" s="13"/>
      <c r="D16" s="5"/>
      <c r="E16" s="13"/>
      <c r="F16" s="5"/>
      <c r="G16" s="5"/>
      <c r="H16" s="5"/>
      <c r="I16" s="13"/>
      <c r="J16" s="5"/>
      <c r="K16" s="14" t="str">
        <f aca="false">IF(D16="",IF(COUNTA(C16,E16:J16)&gt;0,"Falta a entrada",""),IF(E16="","Falta o tipo",IF(F16="","Falta a fonte",IF(G16="","Falta a saída que atende",IF(H16="","Falta como verificar",IF(I16="Não atende",IF(J16="","Não atende, sem ação","Não atende: ação em curso"),IF(I16="","Verificação pendente","OK")))))))</f>
        <v/>
      </c>
    </row>
    <row r="17" customFormat="false" ht="30" hidden="false" customHeight="true" outlineLevel="0" collapsed="false">
      <c r="B17" s="12" t="n">
        <v>11</v>
      </c>
      <c r="C17" s="13"/>
      <c r="D17" s="5"/>
      <c r="E17" s="13"/>
      <c r="F17" s="5"/>
      <c r="G17" s="5"/>
      <c r="H17" s="5"/>
      <c r="I17" s="13"/>
      <c r="J17" s="5"/>
      <c r="K17" s="14" t="str">
        <f aca="false">IF(D17="",IF(COUNTA(C17,E17:J17)&gt;0,"Falta a entrada",""),IF(E17="","Falta o tipo",IF(F17="","Falta a fonte",IF(G17="","Falta a saída que atende",IF(H17="","Falta como verificar",IF(I17="Não atende",IF(J17="","Não atende, sem ação","Não atende: ação em curso"),IF(I17="","Verificação pendente","OK")))))))</f>
        <v/>
      </c>
    </row>
    <row r="18" customFormat="false" ht="30" hidden="false" customHeight="true" outlineLevel="0" collapsed="false">
      <c r="B18" s="12" t="n">
        <v>12</v>
      </c>
      <c r="C18" s="13"/>
      <c r="D18" s="5"/>
      <c r="E18" s="13"/>
      <c r="F18" s="5"/>
      <c r="G18" s="5"/>
      <c r="H18" s="5"/>
      <c r="I18" s="13"/>
      <c r="J18" s="5"/>
      <c r="K18" s="14" t="str">
        <f aca="false">IF(D18="",IF(COUNTA(C18,E18:J18)&gt;0,"Falta a entrada",""),IF(E18="","Falta o tipo",IF(F18="","Falta a fonte",IF(G18="","Falta a saída que atende",IF(H18="","Falta como verificar",IF(I18="Não atende",IF(J18="","Não atende, sem ação","Não atende: ação em curso"),IF(I18="","Verificação pendente","OK")))))))</f>
        <v/>
      </c>
    </row>
    <row r="19" customFormat="false" ht="30" hidden="false" customHeight="true" outlineLevel="0" collapsed="false">
      <c r="B19" s="12" t="n">
        <v>13</v>
      </c>
      <c r="C19" s="13"/>
      <c r="D19" s="5"/>
      <c r="E19" s="13"/>
      <c r="F19" s="5"/>
      <c r="G19" s="5"/>
      <c r="H19" s="5"/>
      <c r="I19" s="13"/>
      <c r="J19" s="5"/>
      <c r="K19" s="14" t="str">
        <f aca="false">IF(D19="",IF(COUNTA(C19,E19:J19)&gt;0,"Falta a entrada",""),IF(E19="","Falta o tipo",IF(F19="","Falta a fonte",IF(G19="","Falta a saída que atende",IF(H19="","Falta como verificar",IF(I19="Não atende",IF(J19="","Não atende, sem ação","Não atende: ação em curso"),IF(I19="","Verificação pendente","OK")))))))</f>
        <v/>
      </c>
    </row>
    <row r="20" customFormat="false" ht="30" hidden="false" customHeight="true" outlineLevel="0" collapsed="false">
      <c r="B20" s="12" t="n">
        <v>14</v>
      </c>
      <c r="C20" s="13"/>
      <c r="D20" s="5"/>
      <c r="E20" s="13"/>
      <c r="F20" s="5"/>
      <c r="G20" s="5"/>
      <c r="H20" s="5"/>
      <c r="I20" s="13"/>
      <c r="J20" s="5"/>
      <c r="K20" s="14" t="str">
        <f aca="false">IF(D20="",IF(COUNTA(C20,E20:J20)&gt;0,"Falta a entrada",""),IF(E20="","Falta o tipo",IF(F20="","Falta a fonte",IF(G20="","Falta a saída que atende",IF(H20="","Falta como verificar",IF(I20="Não atende",IF(J20="","Não atende, sem ação","Não atende: ação em curso"),IF(I20="","Verificação pendente","OK")))))))</f>
        <v/>
      </c>
    </row>
    <row r="21" customFormat="false" ht="30" hidden="false" customHeight="true" outlineLevel="0" collapsed="false">
      <c r="B21" s="12" t="n">
        <v>15</v>
      </c>
      <c r="C21" s="13"/>
      <c r="D21" s="5"/>
      <c r="E21" s="13"/>
      <c r="F21" s="5"/>
      <c r="G21" s="5"/>
      <c r="H21" s="5"/>
      <c r="I21" s="13"/>
      <c r="J21" s="5"/>
      <c r="K21" s="14" t="str">
        <f aca="false">IF(D21="",IF(COUNTA(C21,E21:J21)&gt;0,"Falta a entrada",""),IF(E21="","Falta o tipo",IF(F21="","Falta a fonte",IF(G21="","Falta a saída que atende",IF(H21="","Falta como verificar",IF(I21="Não atende",IF(J21="","Não atende, sem ação","Não atende: ação em curso"),IF(I21="","Verificação pendente","OK")))))))</f>
        <v/>
      </c>
    </row>
    <row r="22" customFormat="false" ht="30" hidden="false" customHeight="true" outlineLevel="0" collapsed="false">
      <c r="B22" s="12" t="n">
        <v>16</v>
      </c>
      <c r="C22" s="13"/>
      <c r="D22" s="5"/>
      <c r="E22" s="13"/>
      <c r="F22" s="5"/>
      <c r="G22" s="5"/>
      <c r="H22" s="5"/>
      <c r="I22" s="13"/>
      <c r="J22" s="5"/>
      <c r="K22" s="14" t="str">
        <f aca="false">IF(D22="",IF(COUNTA(C22,E22:J22)&gt;0,"Falta a entrada",""),IF(E22="","Falta o tipo",IF(F22="","Falta a fonte",IF(G22="","Falta a saída que atende",IF(H22="","Falta como verificar",IF(I22="Não atende",IF(J22="","Não atende, sem ação","Não atende: ação em curso"),IF(I22="","Verificação pendente","OK")))))))</f>
        <v/>
      </c>
    </row>
    <row r="23" customFormat="false" ht="30" hidden="false" customHeight="true" outlineLevel="0" collapsed="false">
      <c r="B23" s="12" t="n">
        <v>17</v>
      </c>
      <c r="C23" s="13"/>
      <c r="D23" s="5"/>
      <c r="E23" s="13"/>
      <c r="F23" s="5"/>
      <c r="G23" s="5"/>
      <c r="H23" s="5"/>
      <c r="I23" s="13"/>
      <c r="J23" s="5"/>
      <c r="K23" s="14" t="str">
        <f aca="false">IF(D23="",IF(COUNTA(C23,E23:J23)&gt;0,"Falta a entrada",""),IF(E23="","Falta o tipo",IF(F23="","Falta a fonte",IF(G23="","Falta a saída que atende",IF(H23="","Falta como verificar",IF(I23="Não atende",IF(J23="","Não atende, sem ação","Não atende: ação em curso"),IF(I23="","Verificação pendente","OK")))))))</f>
        <v/>
      </c>
    </row>
    <row r="24" customFormat="false" ht="30" hidden="false" customHeight="true" outlineLevel="0" collapsed="false">
      <c r="B24" s="12" t="n">
        <v>18</v>
      </c>
      <c r="C24" s="13"/>
      <c r="D24" s="5"/>
      <c r="E24" s="13"/>
      <c r="F24" s="5"/>
      <c r="G24" s="5"/>
      <c r="H24" s="5"/>
      <c r="I24" s="13"/>
      <c r="J24" s="5"/>
      <c r="K24" s="14" t="str">
        <f aca="false">IF(D24="",IF(COUNTA(C24,E24:J24)&gt;0,"Falta a entrada",""),IF(E24="","Falta o tipo",IF(F24="","Falta a fonte",IF(G24="","Falta a saída que atende",IF(H24="","Falta como verificar",IF(I24="Não atende",IF(J24="","Não atende, sem ação","Não atende: ação em curso"),IF(I24="","Verificação pendente","OK")))))))</f>
        <v/>
      </c>
    </row>
    <row r="25" customFormat="false" ht="30" hidden="false" customHeight="true" outlineLevel="0" collapsed="false">
      <c r="B25" s="12" t="n">
        <v>19</v>
      </c>
      <c r="C25" s="13"/>
      <c r="D25" s="5"/>
      <c r="E25" s="13"/>
      <c r="F25" s="5"/>
      <c r="G25" s="5"/>
      <c r="H25" s="5"/>
      <c r="I25" s="13"/>
      <c r="J25" s="5"/>
      <c r="K25" s="14" t="str">
        <f aca="false">IF(D25="",IF(COUNTA(C25,E25:J25)&gt;0,"Falta a entrada",""),IF(E25="","Falta o tipo",IF(F25="","Falta a fonte",IF(G25="","Falta a saída que atende",IF(H25="","Falta como verificar",IF(I25="Não atende",IF(J25="","Não atende, sem ação","Não atende: ação em curso"),IF(I25="","Verificação pendente","OK")))))))</f>
        <v/>
      </c>
    </row>
    <row r="26" customFormat="false" ht="30" hidden="false" customHeight="true" outlineLevel="0" collapsed="false">
      <c r="B26" s="12" t="n">
        <v>20</v>
      </c>
      <c r="C26" s="13"/>
      <c r="D26" s="5"/>
      <c r="E26" s="13"/>
      <c r="F26" s="5"/>
      <c r="G26" s="5"/>
      <c r="H26" s="5"/>
      <c r="I26" s="13"/>
      <c r="J26" s="5"/>
      <c r="K26" s="14" t="str">
        <f aca="false">IF(D26="",IF(COUNTA(C26,E26:J26)&gt;0,"Falta a entrada",""),IF(E26="","Falta o tipo",IF(F26="","Falta a fonte",IF(G26="","Falta a saída que atende",IF(H26="","Falta como verificar",IF(I26="Não atende",IF(J26="","Não atende, sem ação","Não atende: ação em curso"),IF(I26="","Verificação pendente","OK")))))))</f>
        <v/>
      </c>
    </row>
    <row r="27" customFormat="false" ht="30" hidden="false" customHeight="true" outlineLevel="0" collapsed="false">
      <c r="B27" s="12" t="n">
        <v>21</v>
      </c>
      <c r="C27" s="13"/>
      <c r="D27" s="5"/>
      <c r="E27" s="13"/>
      <c r="F27" s="5"/>
      <c r="G27" s="5"/>
      <c r="H27" s="5"/>
      <c r="I27" s="13"/>
      <c r="J27" s="5"/>
      <c r="K27" s="14" t="str">
        <f aca="false">IF(D27="",IF(COUNTA(C27,E27:J27)&gt;0,"Falta a entrada",""),IF(E27="","Falta o tipo",IF(F27="","Falta a fonte",IF(G27="","Falta a saída que atende",IF(H27="","Falta como verificar",IF(I27="Não atende",IF(J27="","Não atende, sem ação","Não atende: ação em curso"),IF(I27="","Verificação pendente","OK")))))))</f>
        <v/>
      </c>
    </row>
    <row r="28" customFormat="false" ht="30" hidden="false" customHeight="true" outlineLevel="0" collapsed="false">
      <c r="B28" s="12" t="n">
        <v>22</v>
      </c>
      <c r="C28" s="13"/>
      <c r="D28" s="5"/>
      <c r="E28" s="13"/>
      <c r="F28" s="5"/>
      <c r="G28" s="5"/>
      <c r="H28" s="5"/>
      <c r="I28" s="13"/>
      <c r="J28" s="5"/>
      <c r="K28" s="14" t="str">
        <f aca="false">IF(D28="",IF(COUNTA(C28,E28:J28)&gt;0,"Falta a entrada",""),IF(E28="","Falta o tipo",IF(F28="","Falta a fonte",IF(G28="","Falta a saída que atende",IF(H28="","Falta como verificar",IF(I28="Não atende",IF(J28="","Não atende, sem ação","Não atende: ação em curso"),IF(I28="","Verificação pendente","OK")))))))</f>
        <v/>
      </c>
    </row>
    <row r="29" customFormat="false" ht="30" hidden="false" customHeight="true" outlineLevel="0" collapsed="false">
      <c r="B29" s="12" t="n">
        <v>23</v>
      </c>
      <c r="C29" s="13"/>
      <c r="D29" s="5"/>
      <c r="E29" s="13"/>
      <c r="F29" s="5"/>
      <c r="G29" s="5"/>
      <c r="H29" s="5"/>
      <c r="I29" s="13"/>
      <c r="J29" s="5"/>
      <c r="K29" s="14" t="str">
        <f aca="false">IF(D29="",IF(COUNTA(C29,E29:J29)&gt;0,"Falta a entrada",""),IF(E29="","Falta o tipo",IF(F29="","Falta a fonte",IF(G29="","Falta a saída que atende",IF(H29="","Falta como verificar",IF(I29="Não atende",IF(J29="","Não atende, sem ação","Não atende: ação em curso"),IF(I29="","Verificação pendente","OK")))))))</f>
        <v/>
      </c>
    </row>
    <row r="30" customFormat="false" ht="30" hidden="false" customHeight="true" outlineLevel="0" collapsed="false">
      <c r="B30" s="12" t="n">
        <v>24</v>
      </c>
      <c r="C30" s="13"/>
      <c r="D30" s="5"/>
      <c r="E30" s="13"/>
      <c r="F30" s="5"/>
      <c r="G30" s="5"/>
      <c r="H30" s="5"/>
      <c r="I30" s="13"/>
      <c r="J30" s="5"/>
      <c r="K30" s="14" t="str">
        <f aca="false">IF(D30="",IF(COUNTA(C30,E30:J30)&gt;0,"Falta a entrada",""),IF(E30="","Falta o tipo",IF(F30="","Falta a fonte",IF(G30="","Falta a saída que atende",IF(H30="","Falta como verificar",IF(I30="Não atende",IF(J30="","Não atende, sem ação","Não atende: ação em curso"),IF(I30="","Verificação pendente","OK")))))))</f>
        <v/>
      </c>
    </row>
    <row r="31" customFormat="false" ht="30" hidden="false" customHeight="true" outlineLevel="0" collapsed="false">
      <c r="B31" s="12" t="n">
        <v>25</v>
      </c>
      <c r="C31" s="13"/>
      <c r="D31" s="5"/>
      <c r="E31" s="13"/>
      <c r="F31" s="5"/>
      <c r="G31" s="5"/>
      <c r="H31" s="5"/>
      <c r="I31" s="13"/>
      <c r="J31" s="5"/>
      <c r="K31" s="14" t="str">
        <f aca="false">IF(D31="",IF(COUNTA(C31,E31:J31)&gt;0,"Falta a entrada",""),IF(E31="","Falta o tipo",IF(F31="","Falta a fonte",IF(G31="","Falta a saída que atende",IF(H31="","Falta como verificar",IF(I31="Não atende",IF(J31="","Não atende, sem ação","Não atende: ação em curso"),IF(I31="","Verificação pendente","OK")))))))</f>
        <v/>
      </c>
    </row>
    <row r="32" customFormat="false" ht="30" hidden="false" customHeight="true" outlineLevel="0" collapsed="false">
      <c r="B32" s="12" t="n">
        <v>26</v>
      </c>
      <c r="C32" s="13"/>
      <c r="D32" s="5"/>
      <c r="E32" s="13"/>
      <c r="F32" s="5"/>
      <c r="G32" s="5"/>
      <c r="H32" s="5"/>
      <c r="I32" s="13"/>
      <c r="J32" s="5"/>
      <c r="K32" s="14" t="str">
        <f aca="false">IF(D32="",IF(COUNTA(C32,E32:J32)&gt;0,"Falta a entrada",""),IF(E32="","Falta o tipo",IF(F32="","Falta a fonte",IF(G32="","Falta a saída que atende",IF(H32="","Falta como verificar",IF(I32="Não atende",IF(J32="","Não atende, sem ação","Não atende: ação em curso"),IF(I32="","Verificação pendente","OK")))))))</f>
        <v/>
      </c>
    </row>
    <row r="33" customFormat="false" ht="30" hidden="false" customHeight="true" outlineLevel="0" collapsed="false">
      <c r="B33" s="12" t="n">
        <v>27</v>
      </c>
      <c r="C33" s="13"/>
      <c r="D33" s="5"/>
      <c r="E33" s="13"/>
      <c r="F33" s="5"/>
      <c r="G33" s="5"/>
      <c r="H33" s="5"/>
      <c r="I33" s="13"/>
      <c r="J33" s="5"/>
      <c r="K33" s="14" t="str">
        <f aca="false">IF(D33="",IF(COUNTA(C33,E33:J33)&gt;0,"Falta a entrada",""),IF(E33="","Falta o tipo",IF(F33="","Falta a fonte",IF(G33="","Falta a saída que atende",IF(H33="","Falta como verificar",IF(I33="Não atende",IF(J33="","Não atende, sem ação","Não atende: ação em curso"),IF(I33="","Verificação pendente","OK")))))))</f>
        <v/>
      </c>
    </row>
    <row r="34" customFormat="false" ht="30" hidden="false" customHeight="true" outlineLevel="0" collapsed="false">
      <c r="B34" s="12" t="n">
        <v>28</v>
      </c>
      <c r="C34" s="13"/>
      <c r="D34" s="5"/>
      <c r="E34" s="13"/>
      <c r="F34" s="5"/>
      <c r="G34" s="5"/>
      <c r="H34" s="5"/>
      <c r="I34" s="13"/>
      <c r="J34" s="5"/>
      <c r="K34" s="14" t="str">
        <f aca="false">IF(D34="",IF(COUNTA(C34,E34:J34)&gt;0,"Falta a entrada",""),IF(E34="","Falta o tipo",IF(F34="","Falta a fonte",IF(G34="","Falta a saída que atende",IF(H34="","Falta como verificar",IF(I34="Não atende",IF(J34="","Não atende, sem ação","Não atende: ação em curso"),IF(I34="","Verificação pendente","OK")))))))</f>
        <v/>
      </c>
    </row>
    <row r="35" customFormat="false" ht="30" hidden="false" customHeight="true" outlineLevel="0" collapsed="false">
      <c r="B35" s="12" t="n">
        <v>29</v>
      </c>
      <c r="C35" s="13"/>
      <c r="D35" s="5"/>
      <c r="E35" s="13"/>
      <c r="F35" s="5"/>
      <c r="G35" s="5"/>
      <c r="H35" s="5"/>
      <c r="I35" s="13"/>
      <c r="J35" s="5"/>
      <c r="K35" s="14" t="str">
        <f aca="false">IF(D35="",IF(COUNTA(C35,E35:J35)&gt;0,"Falta a entrada",""),IF(E35="","Falta o tipo",IF(F35="","Falta a fonte",IF(G35="","Falta a saída que atende",IF(H35="","Falta como verificar",IF(I35="Não atende",IF(J35="","Não atende, sem ação","Não atende: ação em curso"),IF(I35="","Verificação pendente","OK")))))))</f>
        <v/>
      </c>
    </row>
    <row r="36" customFormat="false" ht="30" hidden="false" customHeight="true" outlineLevel="0" collapsed="false">
      <c r="B36" s="12" t="n">
        <v>30</v>
      </c>
      <c r="C36" s="13"/>
      <c r="D36" s="5"/>
      <c r="E36" s="13"/>
      <c r="F36" s="5"/>
      <c r="G36" s="5"/>
      <c r="H36" s="5"/>
      <c r="I36" s="13"/>
      <c r="J36" s="5"/>
      <c r="K36" s="14" t="str">
        <f aca="false">IF(D36="",IF(COUNTA(C36,E36:J36)&gt;0,"Falta a entrada",""),IF(E36="","Falta o tipo",IF(F36="","Falta a fonte",IF(G36="","Falta a saída que atende",IF(H36="","Falta como verificar",IF(I36="Não atende",IF(J36="","Não atende, sem ação","Não atende: ação em curso"),IF(I36="","Verificação pendente","OK")))))))</f>
        <v/>
      </c>
    </row>
    <row r="38" customFormat="false" ht="21.75" hidden="false" customHeight="true" outlineLevel="0" collapsed="false">
      <c r="B38" s="15" t="s">
        <v>93</v>
      </c>
      <c r="C38" s="15"/>
      <c r="D38" s="15"/>
      <c r="E38" s="15"/>
      <c r="F38" s="15"/>
      <c r="G38" s="15"/>
      <c r="H38" s="15"/>
      <c r="I38" s="15"/>
      <c r="J38" s="15"/>
      <c r="K38" s="15"/>
    </row>
    <row r="39" customFormat="false" ht="21.75" hidden="false" customHeight="true" outlineLevel="0" collapsed="false">
      <c r="B39" s="16" t="s">
        <v>122</v>
      </c>
      <c r="C39" s="16"/>
      <c r="D39" s="17" t="n">
        <f aca="false">COUNTA(D7:D36)</f>
        <v>0</v>
      </c>
      <c r="E39" s="17"/>
      <c r="F39" s="17"/>
      <c r="G39" s="17"/>
      <c r="H39" s="17"/>
      <c r="I39" s="17"/>
      <c r="J39" s="17"/>
      <c r="K39" s="17"/>
    </row>
    <row r="40" customFormat="false" ht="21.75" hidden="false" customHeight="true" outlineLevel="0" collapsed="false">
      <c r="B40" s="16" t="s">
        <v>123</v>
      </c>
      <c r="C40" s="16"/>
      <c r="D40" s="17" t="str">
        <f aca="false">IF(D39=0,"",COUNTIF(I7:I36,"Atende")&amp;" atendem, "&amp;COUNTIF(I7:I36,"Não atende")&amp;" não atendem, "&amp;COUNTIF(K7:K36,"Verificação pendente")&amp;" pendentes")</f>
        <v/>
      </c>
      <c r="E40" s="17"/>
      <c r="F40" s="17"/>
      <c r="G40" s="17"/>
      <c r="H40" s="17"/>
      <c r="I40" s="17"/>
      <c r="J40" s="17"/>
      <c r="K40" s="17"/>
    </row>
    <row r="41" customFormat="false" ht="21.75" hidden="false" customHeight="true" outlineLevel="0" collapsed="false">
      <c r="B41" s="16" t="s">
        <v>124</v>
      </c>
      <c r="C41" s="16"/>
      <c r="D41" s="17" t="str">
        <f aca="false">SUMPRODUCT((COUNTIF(E7:E36,{"Cliente","Funcional ou de desempenho","Legal ou regulamentar","Norma ou código","Projeto anterior","Falha potencial","Da organização"})&gt;0)*1)&amp;" de 7"</f>
        <v>0 de 7</v>
      </c>
      <c r="E41" s="17"/>
      <c r="F41" s="17"/>
      <c r="G41" s="17"/>
      <c r="H41" s="17"/>
      <c r="I41" s="17"/>
      <c r="J41" s="17"/>
      <c r="K41" s="17"/>
    </row>
    <row r="42" customFormat="false" ht="21.75" hidden="false" customHeight="true" outlineLevel="0" collapsed="false">
      <c r="B42" s="16" t="s">
        <v>97</v>
      </c>
      <c r="C42" s="16"/>
      <c r="D42" s="18" t="str">
        <f aca="false">IF(D39=0,"Escreva as entradas",IF(COUNTIF(K7:K36,"Não atende, sem ação")&gt;0,"Há entrada que não atende, sem ação",IF(SUMPRODUCT((K7:K36&lt;&gt;"")*(K7:K36&lt;&gt;"OK")*(K7:K36&lt;&gt;"Verificação pendente")*(K7:K36&lt;&gt;"Não atende: ação em curso"))&gt;0,"Há entrada a completar: veja a coluna Conferência",IF(COUNTIF(K7:K36,"Verificação pendente")+COUNTIF(K7:K36,"Não atende: ação em curso")&gt;0,"Há entrada pendente ou que não atende: não libere ainda","OK"))))</f>
        <v>Escreva as entradas</v>
      </c>
      <c r="E42" s="18"/>
      <c r="F42" s="18"/>
      <c r="G42" s="18"/>
      <c r="H42" s="18"/>
      <c r="I42" s="18"/>
      <c r="J42" s="18"/>
      <c r="K42" s="18"/>
    </row>
  </sheetData>
  <mergeCells count="11">
    <mergeCell ref="B1:K1"/>
    <mergeCell ref="B2:K2"/>
    <mergeCell ref="B38:K38"/>
    <mergeCell ref="B39:C39"/>
    <mergeCell ref="D39:K39"/>
    <mergeCell ref="B40:C40"/>
    <mergeCell ref="D40:K40"/>
    <mergeCell ref="B41:C41"/>
    <mergeCell ref="D41:K41"/>
    <mergeCell ref="B42:C42"/>
    <mergeCell ref="D42:K42"/>
  </mergeCells>
  <conditionalFormatting sqref="I7:I36">
    <cfRule type="expression" priority="2" aboveAverage="0" equalAverage="0" bottom="0" percent="0" rank="0" text="" dxfId="0">
      <formula>I7="Atende"</formula>
    </cfRule>
    <cfRule type="expression" priority="3" aboveAverage="0" equalAverage="0" bottom="0" percent="0" rank="0" text="" dxfId="2">
      <formula>I7="Não atende"</formula>
    </cfRule>
  </conditionalFormatting>
  <conditionalFormatting sqref="K7:K36">
    <cfRule type="expression" priority="4" aboveAverage="0" equalAverage="0" bottom="0" percent="0" rank="0" text="" dxfId="0">
      <formula>K7="OK"</formula>
    </cfRule>
    <cfRule type="expression" priority="5" aboveAverage="0" equalAverage="0" bottom="0" percent="0" rank="0" text="" dxfId="3">
      <formula>K7="Não atende, sem ação"</formula>
    </cfRule>
    <cfRule type="expression" priority="6" aboveAverage="0" equalAverage="0" bottom="0" percent="0" rank="0" text="" dxfId="1">
      <formula>K7="Verificação pendente"</formula>
    </cfRule>
    <cfRule type="expression" priority="7" aboveAverage="0" equalAverage="0" bottom="0" percent="0" rank="0" text="" dxfId="1">
      <formula>K7="Não atende: ação em curso"</formula>
    </cfRule>
    <cfRule type="expression" priority="8" aboveAverage="0" equalAverage="0" bottom="0" percent="0" rank="0" text="" dxfId="4">
      <formula>LEN(K7)&gt;0</formula>
    </cfRule>
  </conditionalFormatting>
  <conditionalFormatting sqref="D42:K42">
    <cfRule type="expression" priority="9" aboveAverage="0" equalAverage="0" bottom="0" percent="0" rank="0" text="" dxfId="0">
      <formula>OR(D42="OK")</formula>
    </cfRule>
    <cfRule type="expression" priority="10" aboveAverage="0" equalAverage="0" bottom="0" percent="0" rank="0" text="" dxfId="4">
      <formula>AND(LEN(D42)&gt;0,NOT(OR(D42="OK")))</formula>
    </cfRule>
  </conditionalFormatting>
  <dataValidations count="2">
    <dataValidation allowBlank="true" error="Escolha uma das opções da lista." errorStyle="stop" errorTitle="Valor inválido" operator="between" prompt="Cliente, desempenho, legal, norma, projeto anterior, falha potencial ou da organização" promptTitle="Opções" showDropDown="false" showErrorMessage="true" showInputMessage="true" sqref="E7:E36" type="list">
      <formula1>"Cliente,Funcional ou de desempenho,Legal ou regulamentar,Norma ou código,Projeto anterior,Falha potencial,Da organização"</formula1>
      <formula2>0</formula2>
    </dataValidation>
    <dataValidation allowBlank="true" error="Escolha uma das opções da lista." errorStyle="stop" errorTitle="Valor inválido" operator="between" prompt="Resultado da verificação. Deixe vazio enquanto não foi verificada." promptTitle="Opções" showDropDown="false" showErrorMessage="true" showInputMessage="true" sqref="I7:I36" type="list">
      <formula1>"Atende,Não atende"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7" min="6" style="0" width="36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125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126</v>
      </c>
      <c r="C2" s="2"/>
      <c r="D2" s="2"/>
      <c r="E2" s="2"/>
      <c r="F2" s="2"/>
      <c r="G2" s="2"/>
      <c r="H2" s="2"/>
      <c r="I2" s="2"/>
    </row>
    <row r="4" customFormat="false" ht="33" hidden="false" customHeight="true" outlineLevel="0" collapsed="false">
      <c r="B4" s="10" t="s">
        <v>74</v>
      </c>
      <c r="C4" s="10" t="s">
        <v>89</v>
      </c>
      <c r="D4" s="10" t="s">
        <v>127</v>
      </c>
      <c r="E4" s="10" t="s">
        <v>128</v>
      </c>
      <c r="F4" s="10" t="s">
        <v>129</v>
      </c>
      <c r="G4" s="10" t="s">
        <v>130</v>
      </c>
      <c r="H4" s="10" t="s">
        <v>131</v>
      </c>
      <c r="I4" s="10" t="s">
        <v>84</v>
      </c>
    </row>
    <row r="5" customFormat="false" ht="30" hidden="false" customHeight="true" outlineLevel="0" collapsed="false">
      <c r="B5" s="11"/>
      <c r="C5" s="11" t="s">
        <v>89</v>
      </c>
      <c r="D5" s="11" t="s">
        <v>132</v>
      </c>
      <c r="E5" s="11" t="s">
        <v>133</v>
      </c>
      <c r="F5" s="11" t="s">
        <v>134</v>
      </c>
      <c r="G5" s="11" t="s">
        <v>135</v>
      </c>
      <c r="H5" s="11" t="s">
        <v>136</v>
      </c>
      <c r="I5" s="11" t="s">
        <v>92</v>
      </c>
    </row>
    <row r="6" customFormat="false" ht="30" hidden="false" customHeight="true" outlineLevel="0" collapsed="false">
      <c r="B6" s="11" t="s">
        <v>112</v>
      </c>
      <c r="C6" s="19" t="n">
        <v>46576</v>
      </c>
      <c r="D6" s="9" t="s">
        <v>137</v>
      </c>
      <c r="E6" s="9" t="s">
        <v>138</v>
      </c>
      <c r="F6" s="9" t="s">
        <v>139</v>
      </c>
      <c r="G6" s="9" t="s">
        <v>140</v>
      </c>
      <c r="H6" s="9" t="s">
        <v>141</v>
      </c>
      <c r="I6" s="11" t="s">
        <v>121</v>
      </c>
    </row>
    <row r="7" customFormat="false" ht="30" hidden="false" customHeight="true" outlineLevel="0" collapsed="false">
      <c r="B7" s="12" t="n">
        <v>1</v>
      </c>
      <c r="C7" s="8"/>
      <c r="D7" s="5"/>
      <c r="E7" s="5"/>
      <c r="F7" s="5"/>
      <c r="G7" s="5"/>
      <c r="H7" s="5"/>
      <c r="I7" s="14" t="str">
        <f aca="false">IF(D7="",IF(COUNTA(C7,E7:H7)&gt;0,"Falta o que mudou",""),IF(F7="","Falta a análise",IF(H7="","Falta quem autorizou",IF(G7="","Falta o que foi verificado de novo","OK"))))</f>
        <v/>
      </c>
    </row>
    <row r="8" customFormat="false" ht="30" hidden="false" customHeight="true" outlineLevel="0" collapsed="false">
      <c r="B8" s="12" t="n">
        <v>2</v>
      </c>
      <c r="C8" s="8"/>
      <c r="D8" s="5"/>
      <c r="E8" s="5"/>
      <c r="F8" s="5"/>
      <c r="G8" s="5"/>
      <c r="H8" s="5"/>
      <c r="I8" s="14" t="str">
        <f aca="false">IF(D8="",IF(COUNTA(C8,E8:H8)&gt;0,"Falta o que mudou",""),IF(F8="","Falta a análise",IF(H8="","Falta quem autorizou",IF(G8="","Falta o que foi verificado de novo","OK"))))</f>
        <v/>
      </c>
    </row>
    <row r="9" customFormat="false" ht="30" hidden="false" customHeight="true" outlineLevel="0" collapsed="false">
      <c r="B9" s="12" t="n">
        <v>3</v>
      </c>
      <c r="C9" s="8"/>
      <c r="D9" s="5"/>
      <c r="E9" s="5"/>
      <c r="F9" s="5"/>
      <c r="G9" s="5"/>
      <c r="H9" s="5"/>
      <c r="I9" s="14" t="str">
        <f aca="false">IF(D9="",IF(COUNTA(C9,E9:H9)&gt;0,"Falta o que mudou",""),IF(F9="","Falta a análise",IF(H9="","Falta quem autorizou",IF(G9="","Falta o que foi verificado de novo","OK"))))</f>
        <v/>
      </c>
    </row>
    <row r="10" customFormat="false" ht="30" hidden="false" customHeight="true" outlineLevel="0" collapsed="false">
      <c r="B10" s="12" t="n">
        <v>4</v>
      </c>
      <c r="C10" s="8"/>
      <c r="D10" s="5"/>
      <c r="E10" s="5"/>
      <c r="F10" s="5"/>
      <c r="G10" s="5"/>
      <c r="H10" s="5"/>
      <c r="I10" s="14" t="str">
        <f aca="false">IF(D10="",IF(COUNTA(C10,E10:H10)&gt;0,"Falta o que mudou",""),IF(F10="","Falta a análise",IF(H10="","Falta quem autorizou",IF(G10="","Falta o que foi verificado de novo","OK"))))</f>
        <v/>
      </c>
    </row>
    <row r="11" customFormat="false" ht="30" hidden="false" customHeight="true" outlineLevel="0" collapsed="false">
      <c r="B11" s="12" t="n">
        <v>5</v>
      </c>
      <c r="C11" s="8"/>
      <c r="D11" s="5"/>
      <c r="E11" s="5"/>
      <c r="F11" s="5"/>
      <c r="G11" s="5"/>
      <c r="H11" s="5"/>
      <c r="I11" s="14" t="str">
        <f aca="false">IF(D11="",IF(COUNTA(C11,E11:H11)&gt;0,"Falta o que mudou",""),IF(F11="","Falta a análise",IF(H11="","Falta quem autorizou",IF(G11="","Falta o que foi verificado de novo","OK"))))</f>
        <v/>
      </c>
    </row>
    <row r="12" customFormat="false" ht="30" hidden="false" customHeight="true" outlineLevel="0" collapsed="false">
      <c r="B12" s="12" t="n">
        <v>6</v>
      </c>
      <c r="C12" s="8"/>
      <c r="D12" s="5"/>
      <c r="E12" s="5"/>
      <c r="F12" s="5"/>
      <c r="G12" s="5"/>
      <c r="H12" s="5"/>
      <c r="I12" s="14" t="str">
        <f aca="false">IF(D12="",IF(COUNTA(C12,E12:H12)&gt;0,"Falta o que mudou",""),IF(F12="","Falta a análise",IF(H12="","Falta quem autorizou",IF(G12="","Falta o que foi verificado de novo","OK"))))</f>
        <v/>
      </c>
    </row>
    <row r="13" customFormat="false" ht="30" hidden="false" customHeight="true" outlineLevel="0" collapsed="false">
      <c r="B13" s="12" t="n">
        <v>7</v>
      </c>
      <c r="C13" s="8"/>
      <c r="D13" s="5"/>
      <c r="E13" s="5"/>
      <c r="F13" s="5"/>
      <c r="G13" s="5"/>
      <c r="H13" s="5"/>
      <c r="I13" s="14" t="str">
        <f aca="false">IF(D13="",IF(COUNTA(C13,E13:H13)&gt;0,"Falta o que mudou",""),IF(F13="","Falta a análise",IF(H13="","Falta quem autorizou",IF(G13="","Falta o que foi verificado de novo","OK"))))</f>
        <v/>
      </c>
    </row>
    <row r="14" customFormat="false" ht="30" hidden="false" customHeight="true" outlineLevel="0" collapsed="false">
      <c r="B14" s="12" t="n">
        <v>8</v>
      </c>
      <c r="C14" s="8"/>
      <c r="D14" s="5"/>
      <c r="E14" s="5"/>
      <c r="F14" s="5"/>
      <c r="G14" s="5"/>
      <c r="H14" s="5"/>
      <c r="I14" s="14" t="str">
        <f aca="false">IF(D14="",IF(COUNTA(C14,E14:H14)&gt;0,"Falta o que mudou",""),IF(F14="","Falta a análise",IF(H14="","Falta quem autorizou",IF(G14="","Falta o que foi verificado de novo","OK"))))</f>
        <v/>
      </c>
    </row>
    <row r="15" customFormat="false" ht="30" hidden="false" customHeight="true" outlineLevel="0" collapsed="false">
      <c r="B15" s="12" t="n">
        <v>9</v>
      </c>
      <c r="C15" s="8"/>
      <c r="D15" s="5"/>
      <c r="E15" s="5"/>
      <c r="F15" s="5"/>
      <c r="G15" s="5"/>
      <c r="H15" s="5"/>
      <c r="I15" s="14" t="str">
        <f aca="false">IF(D15="",IF(COUNTA(C15,E15:H15)&gt;0,"Falta o que mudou",""),IF(F15="","Falta a análise",IF(H15="","Falta quem autorizou",IF(G15="","Falta o que foi verificado de novo","OK"))))</f>
        <v/>
      </c>
    </row>
    <row r="16" customFormat="false" ht="30" hidden="false" customHeight="true" outlineLevel="0" collapsed="false">
      <c r="B16" s="12" t="n">
        <v>10</v>
      </c>
      <c r="C16" s="8"/>
      <c r="D16" s="5"/>
      <c r="E16" s="5"/>
      <c r="F16" s="5"/>
      <c r="G16" s="5"/>
      <c r="H16" s="5"/>
      <c r="I16" s="14" t="str">
        <f aca="false">IF(D16="",IF(COUNTA(C16,E16:H16)&gt;0,"Falta o que mudou",""),IF(F16="","Falta a análise",IF(H16="","Falta quem autorizou",IF(G16="","Falta o que foi verificado de novo","OK"))))</f>
        <v/>
      </c>
    </row>
    <row r="17" customFormat="false" ht="30" hidden="false" customHeight="true" outlineLevel="0" collapsed="false">
      <c r="B17" s="12" t="n">
        <v>11</v>
      </c>
      <c r="C17" s="8"/>
      <c r="D17" s="5"/>
      <c r="E17" s="5"/>
      <c r="F17" s="5"/>
      <c r="G17" s="5"/>
      <c r="H17" s="5"/>
      <c r="I17" s="14" t="str">
        <f aca="false">IF(D17="",IF(COUNTA(C17,E17:H17)&gt;0,"Falta o que mudou",""),IF(F17="","Falta a análise",IF(H17="","Falta quem autorizou",IF(G17="","Falta o que foi verificado de novo","OK"))))</f>
        <v/>
      </c>
    </row>
    <row r="18" customFormat="false" ht="30" hidden="false" customHeight="true" outlineLevel="0" collapsed="false">
      <c r="B18" s="12" t="n">
        <v>12</v>
      </c>
      <c r="C18" s="8"/>
      <c r="D18" s="5"/>
      <c r="E18" s="5"/>
      <c r="F18" s="5"/>
      <c r="G18" s="5"/>
      <c r="H18" s="5"/>
      <c r="I18" s="14" t="str">
        <f aca="false">IF(D18="",IF(COUNTA(C18,E18:H18)&gt;0,"Falta o que mudou",""),IF(F18="","Falta a análise",IF(H18="","Falta quem autorizou",IF(G18="","Falta o que foi verificado de novo","OK"))))</f>
        <v/>
      </c>
    </row>
    <row r="19" customFormat="false" ht="30" hidden="false" customHeight="true" outlineLevel="0" collapsed="false">
      <c r="B19" s="12" t="n">
        <v>13</v>
      </c>
      <c r="C19" s="8"/>
      <c r="D19" s="5"/>
      <c r="E19" s="5"/>
      <c r="F19" s="5"/>
      <c r="G19" s="5"/>
      <c r="H19" s="5"/>
      <c r="I19" s="14" t="str">
        <f aca="false">IF(D19="",IF(COUNTA(C19,E19:H19)&gt;0,"Falta o que mudou",""),IF(F19="","Falta a análise",IF(H19="","Falta quem autorizou",IF(G19="","Falta o que foi verificado de novo","OK"))))</f>
        <v/>
      </c>
    </row>
    <row r="20" customFormat="false" ht="30" hidden="false" customHeight="true" outlineLevel="0" collapsed="false">
      <c r="B20" s="12" t="n">
        <v>14</v>
      </c>
      <c r="C20" s="8"/>
      <c r="D20" s="5"/>
      <c r="E20" s="5"/>
      <c r="F20" s="5"/>
      <c r="G20" s="5"/>
      <c r="H20" s="5"/>
      <c r="I20" s="14" t="str">
        <f aca="false">IF(D20="",IF(COUNTA(C20,E20:H20)&gt;0,"Falta o que mudou",""),IF(F20="","Falta a análise",IF(H20="","Falta quem autorizou",IF(G20="","Falta o que foi verificado de novo","OK"))))</f>
        <v/>
      </c>
    </row>
    <row r="21" customFormat="false" ht="30" hidden="false" customHeight="true" outlineLevel="0" collapsed="false">
      <c r="B21" s="12" t="n">
        <v>15</v>
      </c>
      <c r="C21" s="8"/>
      <c r="D21" s="5"/>
      <c r="E21" s="5"/>
      <c r="F21" s="5"/>
      <c r="G21" s="5"/>
      <c r="H21" s="5"/>
      <c r="I21" s="14" t="str">
        <f aca="false">IF(D21="",IF(COUNTA(C21,E21:H21)&gt;0,"Falta o que mudou",""),IF(F21="","Falta a análise",IF(H21="","Falta quem autorizou",IF(G21="","Falta o que foi verificado de novo","OK"))))</f>
        <v/>
      </c>
    </row>
    <row r="22" customFormat="false" ht="30" hidden="false" customHeight="true" outlineLevel="0" collapsed="false">
      <c r="B22" s="12" t="n">
        <v>16</v>
      </c>
      <c r="C22" s="8"/>
      <c r="D22" s="5"/>
      <c r="E22" s="5"/>
      <c r="F22" s="5"/>
      <c r="G22" s="5"/>
      <c r="H22" s="5"/>
      <c r="I22" s="14" t="str">
        <f aca="false">IF(D22="",IF(COUNTA(C22,E22:H22)&gt;0,"Falta o que mudou",""),IF(F22="","Falta a análise",IF(H22="","Falta quem autorizou",IF(G22="","Falta o que foi verificado de novo","OK"))))</f>
        <v/>
      </c>
    </row>
    <row r="23" customFormat="false" ht="30" hidden="false" customHeight="true" outlineLevel="0" collapsed="false">
      <c r="B23" s="12" t="n">
        <v>17</v>
      </c>
      <c r="C23" s="8"/>
      <c r="D23" s="5"/>
      <c r="E23" s="5"/>
      <c r="F23" s="5"/>
      <c r="G23" s="5"/>
      <c r="H23" s="5"/>
      <c r="I23" s="14" t="str">
        <f aca="false">IF(D23="",IF(COUNTA(C23,E23:H23)&gt;0,"Falta o que mudou",""),IF(F23="","Falta a análise",IF(H23="","Falta quem autorizou",IF(G23="","Falta o que foi verificado de novo","OK"))))</f>
        <v/>
      </c>
    </row>
    <row r="24" customFormat="false" ht="30" hidden="false" customHeight="true" outlineLevel="0" collapsed="false">
      <c r="B24" s="12" t="n">
        <v>18</v>
      </c>
      <c r="C24" s="8"/>
      <c r="D24" s="5"/>
      <c r="E24" s="5"/>
      <c r="F24" s="5"/>
      <c r="G24" s="5"/>
      <c r="H24" s="5"/>
      <c r="I24" s="14" t="str">
        <f aca="false">IF(D24="",IF(COUNTA(C24,E24:H24)&gt;0,"Falta o que mudou",""),IF(F24="","Falta a análise",IF(H24="","Falta quem autorizou",IF(G24="","Falta o que foi verificado de novo","OK"))))</f>
        <v/>
      </c>
    </row>
    <row r="25" customFormat="false" ht="30" hidden="false" customHeight="true" outlineLevel="0" collapsed="false">
      <c r="B25" s="12" t="n">
        <v>19</v>
      </c>
      <c r="C25" s="8"/>
      <c r="D25" s="5"/>
      <c r="E25" s="5"/>
      <c r="F25" s="5"/>
      <c r="G25" s="5"/>
      <c r="H25" s="5"/>
      <c r="I25" s="14" t="str">
        <f aca="false">IF(D25="",IF(COUNTA(C25,E25:H25)&gt;0,"Falta o que mudou",""),IF(F25="","Falta a análise",IF(H25="","Falta quem autorizou",IF(G25="","Falta o que foi verificado de novo","OK"))))</f>
        <v/>
      </c>
    </row>
    <row r="26" customFormat="false" ht="30" hidden="false" customHeight="true" outlineLevel="0" collapsed="false">
      <c r="B26" s="12" t="n">
        <v>20</v>
      </c>
      <c r="C26" s="8"/>
      <c r="D26" s="5"/>
      <c r="E26" s="5"/>
      <c r="F26" s="5"/>
      <c r="G26" s="5"/>
      <c r="H26" s="5"/>
      <c r="I26" s="14" t="str">
        <f aca="false">IF(D26="",IF(COUNTA(C26,E26:H26)&gt;0,"Falta o que mudou",""),IF(F26="","Falta a análise",IF(H26="","Falta quem autorizou",IF(G26="","Falta o que foi verificado de novo","OK"))))</f>
        <v/>
      </c>
    </row>
    <row r="28" customFormat="false" ht="21.75" hidden="false" customHeight="true" outlineLevel="0" collapsed="false">
      <c r="B28" s="15" t="s">
        <v>93</v>
      </c>
      <c r="C28" s="15"/>
      <c r="D28" s="15"/>
      <c r="E28" s="15"/>
      <c r="F28" s="15"/>
      <c r="G28" s="15"/>
      <c r="H28" s="15"/>
      <c r="I28" s="15"/>
    </row>
    <row r="29" customFormat="false" ht="21.75" hidden="false" customHeight="true" outlineLevel="0" collapsed="false">
      <c r="B29" s="16" t="s">
        <v>142</v>
      </c>
      <c r="C29" s="16"/>
      <c r="D29" s="17" t="n">
        <f aca="false">COUNTA(D7:D26)</f>
        <v>0</v>
      </c>
      <c r="E29" s="17"/>
      <c r="F29" s="17"/>
      <c r="G29" s="17"/>
      <c r="H29" s="17"/>
      <c r="I29" s="17"/>
    </row>
    <row r="30" customFormat="false" ht="21.75" hidden="false" customHeight="true" outlineLevel="0" collapsed="false">
      <c r="B30" s="16" t="s">
        <v>143</v>
      </c>
      <c r="C30" s="16"/>
      <c r="D30" s="17" t="n">
        <f aca="false">SUMPRODUCT((I7:I26&lt;&gt;"")*(I7:I26&lt;&gt;"OK"))</f>
        <v>0</v>
      </c>
      <c r="E30" s="17"/>
      <c r="F30" s="17"/>
      <c r="G30" s="17"/>
      <c r="H30" s="17"/>
      <c r="I30" s="17"/>
    </row>
    <row r="31" customFormat="false" ht="21.75" hidden="false" customHeight="true" outlineLevel="0" collapsed="false">
      <c r="B31" s="16" t="s">
        <v>97</v>
      </c>
      <c r="C31" s="16"/>
      <c r="D31" s="18" t="str">
        <f aca="false">IF(D29=0,"Nenhuma mudança registrada: confirme se o projeto não mudou",IF(D30&gt;0,"Há mudança a rever: veja a coluna Conferência","OK"))</f>
        <v>Nenhuma mudança registrada: confirme se o projeto não mudou</v>
      </c>
      <c r="E31" s="18"/>
      <c r="F31" s="18"/>
      <c r="G31" s="18"/>
      <c r="H31" s="18"/>
      <c r="I31" s="18"/>
    </row>
  </sheetData>
  <mergeCells count="9">
    <mergeCell ref="B1:I1"/>
    <mergeCell ref="B2:I2"/>
    <mergeCell ref="B28:I28"/>
    <mergeCell ref="B29:C29"/>
    <mergeCell ref="D29:I29"/>
    <mergeCell ref="B30:C30"/>
    <mergeCell ref="D30:I30"/>
    <mergeCell ref="B31:C31"/>
    <mergeCell ref="D31:I31"/>
  </mergeCells>
  <conditionalFormatting sqref="I7:I26">
    <cfRule type="expression" priority="2" aboveAverage="0" equalAverage="0" bottom="0" percent="0" rank="0" text="" dxfId="0">
      <formula>OR(I7="OK")</formula>
    </cfRule>
    <cfRule type="expression" priority="3" aboveAverage="0" equalAverage="0" bottom="0" percent="0" rank="0" text="" dxfId="4">
      <formula>AND(LEN(I7)&gt;0,NOT(OR(I7="OK")))</formula>
    </cfRule>
  </conditionalFormatting>
  <conditionalFormatting sqref="D31:I31">
    <cfRule type="expression" priority="4" aboveAverage="0" equalAverage="0" bottom="0" percent="0" rank="0" text="" dxfId="0">
      <formula>OR(D31="OK",D31="Nenhuma mudança registrada: confirme se o projeto não mudou")</formula>
    </cfRule>
    <cfRule type="expression" priority="5" aboveAverage="0" equalAverage="0" bottom="0" percent="0" rank="0" text="" dxfId="4">
      <formula>AND(LEN(D31)&gt;0,NOT(OR(D31="OK",D31="Nenhuma mudança registrada: confirme se o projeto não mudou")))</formula>
    </cfRule>
  </conditionalFormatting>
  <dataValidations count="1">
    <dataValidation allowBlank="true" error="Digite uma data no formato dia/mês/ano." errorStyle="stop" errorTitle="Data inválida" operator="greaterThanOrEqual" showDropDown="false" showErrorMessage="true" showInputMessage="false" sqref="C7:C26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34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144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145</v>
      </c>
      <c r="C2" s="2"/>
      <c r="D2" s="2"/>
      <c r="E2" s="2"/>
      <c r="F2" s="2"/>
      <c r="G2" s="2"/>
    </row>
    <row r="3" customFormat="false" ht="15" hidden="false" customHeight="false" outlineLevel="0" collapsed="false">
      <c r="B3" s="4" t="s">
        <v>66</v>
      </c>
      <c r="C3" s="6" t="str">
        <f aca="false">IF(Plano!D5="","",Plano!D5)</f>
        <v/>
      </c>
      <c r="D3" s="6"/>
      <c r="E3" s="6"/>
      <c r="F3" s="6"/>
      <c r="G3" s="6"/>
    </row>
    <row r="5" customFormat="false" ht="21.75" hidden="false" customHeight="true" outlineLevel="0" collapsed="false">
      <c r="B5" s="10" t="s">
        <v>146</v>
      </c>
      <c r="C5" s="10" t="s">
        <v>81</v>
      </c>
      <c r="D5" s="10" t="s">
        <v>147</v>
      </c>
      <c r="E5" s="10"/>
      <c r="F5" s="10"/>
      <c r="G5" s="10"/>
    </row>
    <row r="6" customFormat="false" ht="21.75" hidden="false" customHeight="true" outlineLevel="0" collapsed="false">
      <c r="B6" s="4" t="s">
        <v>94</v>
      </c>
      <c r="C6" s="20" t="n">
        <f aca="false">COUNTA(Plano!C14:C33)</f>
        <v>0</v>
      </c>
      <c r="D6" s="21" t="s">
        <v>148</v>
      </c>
      <c r="E6" s="21"/>
      <c r="F6" s="21"/>
      <c r="G6" s="21"/>
    </row>
    <row r="7" customFormat="false" ht="21.75" hidden="false" customHeight="true" outlineLevel="0" collapsed="false">
      <c r="B7" s="4" t="s">
        <v>149</v>
      </c>
      <c r="C7" s="20" t="n">
        <f aca="false">COUNTA(Plano!H14:H33)</f>
        <v>0</v>
      </c>
      <c r="D7" s="21" t="s">
        <v>150</v>
      </c>
      <c r="E7" s="21"/>
      <c r="F7" s="21"/>
      <c r="G7" s="21"/>
    </row>
    <row r="8" customFormat="false" ht="21.75" hidden="false" customHeight="true" outlineLevel="0" collapsed="false">
      <c r="B8" s="4" t="s">
        <v>151</v>
      </c>
      <c r="C8" s="20" t="n">
        <f aca="false">COUNTIF(Plano!L14:L33,"Atrasada")</f>
        <v>0</v>
      </c>
      <c r="D8" s="21" t="s">
        <v>152</v>
      </c>
      <c r="E8" s="21"/>
      <c r="F8" s="21"/>
      <c r="G8" s="21"/>
    </row>
    <row r="9" customFormat="false" ht="21.75" hidden="false" customHeight="true" outlineLevel="0" collapsed="false">
      <c r="B9" s="4" t="s">
        <v>153</v>
      </c>
      <c r="C9" s="20" t="n">
        <f aca="false">SUMPRODUCT((Plano!L14:L33&lt;&gt;"")*(Plano!L14:L33&lt;&gt;"OK")*(Plano!L14:L33&lt;&gt;"Atrasada"))</f>
        <v>0</v>
      </c>
      <c r="D9" s="21" t="s">
        <v>154</v>
      </c>
      <c r="E9" s="21"/>
      <c r="F9" s="21"/>
      <c r="G9" s="21"/>
    </row>
    <row r="10" customFormat="false" ht="21.75" hidden="false" customHeight="true" outlineLevel="0" collapsed="false">
      <c r="B10" s="4" t="s">
        <v>155</v>
      </c>
      <c r="C10" s="20" t="n">
        <f aca="false">COUNTIFS(Plano!D14:D33,"Validação",Plano!I14:I33,"Aprovado")+COUNTIFS(Plano!D14:D33,"Validação",Plano!I14:I33,"Aprovado com ressalvas")</f>
        <v>0</v>
      </c>
      <c r="D10" s="21" t="s">
        <v>156</v>
      </c>
      <c r="E10" s="21"/>
      <c r="F10" s="21"/>
      <c r="G10" s="21"/>
    </row>
    <row r="11" customFormat="false" ht="21.75" hidden="false" customHeight="true" outlineLevel="0" collapsed="false">
      <c r="B11" s="4" t="s">
        <v>122</v>
      </c>
      <c r="C11" s="20" t="n">
        <f aca="false">COUNTA(Entradas!D7:D36)</f>
        <v>0</v>
      </c>
      <c r="D11" s="21" t="s">
        <v>157</v>
      </c>
      <c r="E11" s="21"/>
      <c r="F11" s="21"/>
      <c r="G11" s="21"/>
    </row>
    <row r="12" customFormat="false" ht="21.75" hidden="false" customHeight="true" outlineLevel="0" collapsed="false">
      <c r="B12" s="4" t="s">
        <v>158</v>
      </c>
      <c r="C12" s="20" t="n">
        <f aca="false">COUNTIF(Entradas!I7:I36,"Atende")</f>
        <v>0</v>
      </c>
      <c r="D12" s="21" t="s">
        <v>159</v>
      </c>
      <c r="E12" s="21"/>
      <c r="F12" s="21"/>
      <c r="G12" s="21"/>
    </row>
    <row r="13" customFormat="false" ht="21.75" hidden="false" customHeight="true" outlineLevel="0" collapsed="false">
      <c r="B13" s="4" t="s">
        <v>160</v>
      </c>
      <c r="C13" s="20" t="n">
        <f aca="false">COUNTIF(Entradas!I7:I36,"Não atende")</f>
        <v>0</v>
      </c>
      <c r="D13" s="21" t="s">
        <v>161</v>
      </c>
      <c r="E13" s="21"/>
      <c r="F13" s="21"/>
      <c r="G13" s="21"/>
    </row>
    <row r="14" customFormat="false" ht="21.75" hidden="false" customHeight="true" outlineLevel="0" collapsed="false">
      <c r="B14" s="4" t="s">
        <v>162</v>
      </c>
      <c r="C14" s="20" t="n">
        <f aca="false">COUNTIF(Entradas!K7:K36,"Verificação pendente")</f>
        <v>0</v>
      </c>
      <c r="D14" s="21" t="s">
        <v>163</v>
      </c>
      <c r="E14" s="21"/>
      <c r="F14" s="21"/>
      <c r="G14" s="21"/>
    </row>
    <row r="15" customFormat="false" ht="21.75" hidden="false" customHeight="true" outlineLevel="0" collapsed="false">
      <c r="B15" s="4" t="s">
        <v>142</v>
      </c>
      <c r="C15" s="20" t="n">
        <f aca="false">COUNTA(Mudanças!D7:D26)</f>
        <v>0</v>
      </c>
      <c r="D15" s="21" t="s">
        <v>164</v>
      </c>
      <c r="E15" s="21"/>
      <c r="F15" s="21"/>
      <c r="G15" s="21"/>
    </row>
    <row r="16" customFormat="false" ht="21.75" hidden="false" customHeight="true" outlineLevel="0" collapsed="false">
      <c r="B16" s="4" t="s">
        <v>143</v>
      </c>
      <c r="C16" s="20" t="n">
        <f aca="false">SUMPRODUCT((Mudanças!I7:I26&lt;&gt;"")*(Mudanças!I7:I26&lt;&gt;"OK"))</f>
        <v>0</v>
      </c>
      <c r="D16" s="21" t="s">
        <v>165</v>
      </c>
      <c r="E16" s="21"/>
      <c r="F16" s="21"/>
      <c r="G16" s="21"/>
    </row>
    <row r="17" customFormat="false" ht="24" hidden="false" customHeight="true" outlineLevel="0" collapsed="false">
      <c r="B17" s="4" t="s">
        <v>24</v>
      </c>
      <c r="C17" s="20" t="str">
        <f aca="false">IF(C6=0,"",IF(AND(C10&gt;0,C11&gt;0,C13+C14=0,C16=0,C8+C9=0),"Sim","Ainda não"))</f>
        <v/>
      </c>
      <c r="D17" s="18" t="str">
        <f aca="false">IF(C17="Ainda não",IF(C10=0,"Falta uma validação aprovada.",IF(C13+C14&gt;0,"Há entrada que não atende ou sem verificação.",IF(C16&gt;0,"Há mudança sem análise, autorização ou nova verificação.","Há etapa atrasada ou a rever."))),IF(C17="Sim","As três perguntas do módulo 7 têm resposta sim.",""))</f>
        <v/>
      </c>
      <c r="E17" s="18"/>
      <c r="F17" s="18"/>
      <c r="G17" s="18"/>
    </row>
    <row r="19" customFormat="false" ht="21.75" hidden="false" customHeight="true" outlineLevel="0" collapsed="false">
      <c r="B19" s="15" t="s">
        <v>166</v>
      </c>
      <c r="C19" s="15"/>
      <c r="D19" s="15"/>
      <c r="E19" s="15"/>
      <c r="F19" s="15"/>
      <c r="G19" s="15"/>
    </row>
    <row r="20" customFormat="false" ht="15" hidden="false" customHeight="false" outlineLevel="0" collapsed="false">
      <c r="B20" s="10" t="s">
        <v>167</v>
      </c>
      <c r="C20" s="10" t="s">
        <v>168</v>
      </c>
      <c r="D20" s="10" t="s">
        <v>169</v>
      </c>
      <c r="E20" s="10" t="s">
        <v>170</v>
      </c>
      <c r="F20" s="10" t="s">
        <v>171</v>
      </c>
      <c r="G20" s="10" t="s">
        <v>172</v>
      </c>
    </row>
    <row r="21" customFormat="false" ht="21.75" hidden="false" customHeight="true" outlineLevel="0" collapsed="false">
      <c r="B21" s="4" t="s">
        <v>173</v>
      </c>
      <c r="C21" s="22" t="n">
        <f aca="false">COUNTIF(Plano!D14:D33,B21)</f>
        <v>0</v>
      </c>
      <c r="D21" s="22" t="n">
        <f aca="false">COUNTIFS(Plano!D14:D33,B21,Plano!H14:H33,"&lt;&gt;")</f>
        <v>0</v>
      </c>
      <c r="E21" s="22" t="n">
        <f aca="false">COUNTIFS(Plano!D14:D33,B21,Plano!I14:I33,"Aprovado")+COUNTIFS(Plano!D14:D33,B21,Plano!I14:I33,"Aprovado com ressalvas")</f>
        <v>0</v>
      </c>
      <c r="F21" s="22" t="n">
        <f aca="false">COUNTIFS(Plano!D14:D33,B21,Plano!I14:I33,"Reprovado")</f>
        <v>0</v>
      </c>
      <c r="G21" s="21" t="s">
        <v>174</v>
      </c>
    </row>
    <row r="22" customFormat="false" ht="21.75" hidden="false" customHeight="true" outlineLevel="0" collapsed="false">
      <c r="B22" s="4" t="s">
        <v>175</v>
      </c>
      <c r="C22" s="22" t="n">
        <f aca="false">COUNTIF(Plano!D14:D33,B22)</f>
        <v>0</v>
      </c>
      <c r="D22" s="22" t="n">
        <f aca="false">COUNTIFS(Plano!D14:D33,B22,Plano!H14:H33,"&lt;&gt;")</f>
        <v>0</v>
      </c>
      <c r="E22" s="22" t="n">
        <f aca="false">COUNTIFS(Plano!D14:D33,B22,Plano!I14:I33,"Aprovado")+COUNTIFS(Plano!D14:D33,B22,Plano!I14:I33,"Aprovado com ressalvas")</f>
        <v>0</v>
      </c>
      <c r="F22" s="22" t="n">
        <f aca="false">COUNTIFS(Plano!D14:D33,B22,Plano!I14:I33,"Reprovado")</f>
        <v>0</v>
      </c>
      <c r="G22" s="21" t="s">
        <v>176</v>
      </c>
    </row>
    <row r="23" customFormat="false" ht="21.75" hidden="false" customHeight="true" outlineLevel="0" collapsed="false">
      <c r="B23" s="4" t="s">
        <v>177</v>
      </c>
      <c r="C23" s="22" t="n">
        <f aca="false">COUNTIF(Plano!D14:D33,B23)</f>
        <v>0</v>
      </c>
      <c r="D23" s="22" t="n">
        <f aca="false">COUNTIFS(Plano!D14:D33,B23,Plano!H14:H33,"&lt;&gt;")</f>
        <v>0</v>
      </c>
      <c r="E23" s="22" t="n">
        <f aca="false">COUNTIFS(Plano!D14:D33,B23,Plano!I14:I33,"Aprovado")+COUNTIFS(Plano!D14:D33,B23,Plano!I14:I33,"Aprovado com ressalvas")</f>
        <v>0</v>
      </c>
      <c r="F23" s="22" t="n">
        <f aca="false">COUNTIFS(Plano!D14:D33,B23,Plano!I14:I33,"Reprovado")</f>
        <v>0</v>
      </c>
      <c r="G23" s="21" t="s">
        <v>178</v>
      </c>
    </row>
    <row r="25" customFormat="false" ht="21.75" hidden="false" customHeight="true" outlineLevel="0" collapsed="false">
      <c r="B25" s="15" t="s">
        <v>179</v>
      </c>
      <c r="C25" s="15"/>
      <c r="D25" s="15"/>
      <c r="E25" s="15"/>
      <c r="F25" s="15"/>
      <c r="G25" s="15"/>
    </row>
    <row r="26" customFormat="false" ht="15" hidden="false" customHeight="false" outlineLevel="0" collapsed="false">
      <c r="B26" s="10" t="s">
        <v>76</v>
      </c>
      <c r="C26" s="10" t="s">
        <v>42</v>
      </c>
      <c r="D26" s="10" t="s">
        <v>180</v>
      </c>
      <c r="E26" s="10" t="s">
        <v>181</v>
      </c>
      <c r="F26" s="10" t="s">
        <v>182</v>
      </c>
      <c r="G26" s="10" t="s">
        <v>183</v>
      </c>
    </row>
    <row r="27" customFormat="false" ht="21.75" hidden="false" customHeight="true" outlineLevel="0" collapsed="false">
      <c r="B27" s="4" t="s">
        <v>184</v>
      </c>
      <c r="C27" s="22" t="n">
        <f aca="false">COUNTIF(Entradas!E7:E36,B27)</f>
        <v>0</v>
      </c>
      <c r="D27" s="22" t="n">
        <f aca="false">COUNTIFS(Entradas!E7:E36,B27,Entradas!I7:I36,"Atende")</f>
        <v>0</v>
      </c>
      <c r="E27" s="22" t="n">
        <f aca="false">COUNTIFS(Entradas!E7:E36,B27,Entradas!I7:I36,"Não atende")</f>
        <v>0</v>
      </c>
      <c r="F27" s="22" t="n">
        <f aca="false">COUNTIFS(Entradas!E7:E36,B27,Entradas!K7:K36,"Verificação pendente")</f>
        <v>0</v>
      </c>
      <c r="G27" s="18" t="str">
        <f aca="false">IF(C27=0,"Nenhuma entrada deste tipo: confirme se é isso mesmo",IF(E27+F27&gt;0,"Há o que verificar ou resolver",""))</f>
        <v>Nenhuma entrada deste tipo: confirme se é isso mesmo</v>
      </c>
    </row>
    <row r="28" customFormat="false" ht="21.75" hidden="false" customHeight="true" outlineLevel="0" collapsed="false">
      <c r="B28" s="4" t="s">
        <v>115</v>
      </c>
      <c r="C28" s="22" t="n">
        <f aca="false">COUNTIF(Entradas!E7:E36,B28)</f>
        <v>0</v>
      </c>
      <c r="D28" s="22" t="n">
        <f aca="false">COUNTIFS(Entradas!E7:E36,B28,Entradas!I7:I36,"Atende")</f>
        <v>0</v>
      </c>
      <c r="E28" s="22" t="n">
        <f aca="false">COUNTIFS(Entradas!E7:E36,B28,Entradas!I7:I36,"Não atende")</f>
        <v>0</v>
      </c>
      <c r="F28" s="22" t="n">
        <f aca="false">COUNTIFS(Entradas!E7:E36,B28,Entradas!K7:K36,"Verificação pendente")</f>
        <v>0</v>
      </c>
      <c r="G28" s="18" t="str">
        <f aca="false">IF(C28=0,"Nenhuma entrada deste tipo: confirme se é isso mesmo",IF(E28+F28&gt;0,"Há o que verificar ou resolver",""))</f>
        <v>Nenhuma entrada deste tipo: confirme se é isso mesmo</v>
      </c>
    </row>
    <row r="29" customFormat="false" ht="21.75" hidden="false" customHeight="true" outlineLevel="0" collapsed="false">
      <c r="B29" s="4" t="s">
        <v>185</v>
      </c>
      <c r="C29" s="22" t="n">
        <f aca="false">COUNTIF(Entradas!E7:E36,B29)</f>
        <v>0</v>
      </c>
      <c r="D29" s="22" t="n">
        <f aca="false">COUNTIFS(Entradas!E7:E36,B29,Entradas!I7:I36,"Atende")</f>
        <v>0</v>
      </c>
      <c r="E29" s="22" t="n">
        <f aca="false">COUNTIFS(Entradas!E7:E36,B29,Entradas!I7:I36,"Não atende")</f>
        <v>0</v>
      </c>
      <c r="F29" s="22" t="n">
        <f aca="false">COUNTIFS(Entradas!E7:E36,B29,Entradas!K7:K36,"Verificação pendente")</f>
        <v>0</v>
      </c>
      <c r="G29" s="18" t="str">
        <f aca="false">IF(C29=0,"Nenhuma entrada deste tipo: confirme se é isso mesmo",IF(E29+F29&gt;0,"Há o que verificar ou resolver",""))</f>
        <v>Nenhuma entrada deste tipo: confirme se é isso mesmo</v>
      </c>
    </row>
    <row r="30" customFormat="false" ht="21.75" hidden="false" customHeight="true" outlineLevel="0" collapsed="false">
      <c r="B30" s="4" t="s">
        <v>186</v>
      </c>
      <c r="C30" s="22" t="n">
        <f aca="false">COUNTIF(Entradas!E7:E36,B30)</f>
        <v>0</v>
      </c>
      <c r="D30" s="22" t="n">
        <f aca="false">COUNTIFS(Entradas!E7:E36,B30,Entradas!I7:I36,"Atende")</f>
        <v>0</v>
      </c>
      <c r="E30" s="22" t="n">
        <f aca="false">COUNTIFS(Entradas!E7:E36,B30,Entradas!I7:I36,"Não atende")</f>
        <v>0</v>
      </c>
      <c r="F30" s="22" t="n">
        <f aca="false">COUNTIFS(Entradas!E7:E36,B30,Entradas!K7:K36,"Verificação pendente")</f>
        <v>0</v>
      </c>
      <c r="G30" s="18" t="str">
        <f aca="false">IF(C30=0,"Nenhuma entrada deste tipo: confirme se é isso mesmo",IF(E30+F30&gt;0,"Há o que verificar ou resolver",""))</f>
        <v>Nenhuma entrada deste tipo: confirme se é isso mesmo</v>
      </c>
    </row>
    <row r="31" customFormat="false" ht="21.75" hidden="false" customHeight="true" outlineLevel="0" collapsed="false">
      <c r="B31" s="4" t="s">
        <v>187</v>
      </c>
      <c r="C31" s="22" t="n">
        <f aca="false">COUNTIF(Entradas!E7:E36,B31)</f>
        <v>0</v>
      </c>
      <c r="D31" s="22" t="n">
        <f aca="false">COUNTIFS(Entradas!E7:E36,B31,Entradas!I7:I36,"Atende")</f>
        <v>0</v>
      </c>
      <c r="E31" s="22" t="n">
        <f aca="false">COUNTIFS(Entradas!E7:E36,B31,Entradas!I7:I36,"Não atende")</f>
        <v>0</v>
      </c>
      <c r="F31" s="22" t="n">
        <f aca="false">COUNTIFS(Entradas!E7:E36,B31,Entradas!K7:K36,"Verificação pendente")</f>
        <v>0</v>
      </c>
      <c r="G31" s="18" t="str">
        <f aca="false">IF(C31=0,"Nenhuma entrada deste tipo: confirme se é isso mesmo",IF(E31+F31&gt;0,"Há o que verificar ou resolver",""))</f>
        <v>Nenhuma entrada deste tipo: confirme se é isso mesmo</v>
      </c>
    </row>
    <row r="32" customFormat="false" ht="21.75" hidden="false" customHeight="true" outlineLevel="0" collapsed="false">
      <c r="B32" s="4" t="s">
        <v>188</v>
      </c>
      <c r="C32" s="22" t="n">
        <f aca="false">COUNTIF(Entradas!E7:E36,B32)</f>
        <v>0</v>
      </c>
      <c r="D32" s="22" t="n">
        <f aca="false">COUNTIFS(Entradas!E7:E36,B32,Entradas!I7:I36,"Atende")</f>
        <v>0</v>
      </c>
      <c r="E32" s="22" t="n">
        <f aca="false">COUNTIFS(Entradas!E7:E36,B32,Entradas!I7:I36,"Não atende")</f>
        <v>0</v>
      </c>
      <c r="F32" s="22" t="n">
        <f aca="false">COUNTIFS(Entradas!E7:E36,B32,Entradas!K7:K36,"Verificação pendente")</f>
        <v>0</v>
      </c>
      <c r="G32" s="18" t="str">
        <f aca="false">IF(C32=0,"Nenhuma entrada deste tipo: confirme se é isso mesmo",IF(E32+F32&gt;0,"Há o que verificar ou resolver",""))</f>
        <v>Nenhuma entrada deste tipo: confirme se é isso mesmo</v>
      </c>
    </row>
    <row r="33" customFormat="false" ht="21.75" hidden="false" customHeight="true" outlineLevel="0" collapsed="false">
      <c r="B33" s="4" t="s">
        <v>189</v>
      </c>
      <c r="C33" s="22" t="n">
        <f aca="false">COUNTIF(Entradas!E7:E36,B33)</f>
        <v>0</v>
      </c>
      <c r="D33" s="22" t="n">
        <f aca="false">COUNTIFS(Entradas!E7:E36,B33,Entradas!I7:I36,"Atende")</f>
        <v>0</v>
      </c>
      <c r="E33" s="22" t="n">
        <f aca="false">COUNTIFS(Entradas!E7:E36,B33,Entradas!I7:I36,"Não atende")</f>
        <v>0</v>
      </c>
      <c r="F33" s="22" t="n">
        <f aca="false">COUNTIFS(Entradas!E7:E36,B33,Entradas!K7:K36,"Verificação pendente")</f>
        <v>0</v>
      </c>
      <c r="G33" s="18" t="str">
        <f aca="false">IF(C33=0,"Nenhuma entrada deste tipo: confirme se é isso mesmo",IF(E33+F33&gt;0,"Há o que verificar ou resolver",""))</f>
        <v>Nenhuma entrada deste tipo: confirme se é isso mesmo</v>
      </c>
    </row>
    <row r="35" customFormat="false" ht="21.75" hidden="false" customHeight="true" outlineLevel="0" collapsed="false">
      <c r="B35" s="15" t="s">
        <v>93</v>
      </c>
      <c r="C35" s="15"/>
      <c r="D35" s="15"/>
      <c r="E35" s="15"/>
      <c r="F35" s="15"/>
      <c r="G35" s="15"/>
    </row>
    <row r="36" customFormat="false" ht="21.75" hidden="false" customHeight="true" outlineLevel="0" collapsed="false">
      <c r="B36" s="4" t="s">
        <v>97</v>
      </c>
      <c r="C36" s="18" t="str">
        <f aca="false">IF(C6=0,"Escreva o plano na aba Plano",IF(COUNTIF(Plano!L14:L33,"Liberado sem validação aprovada")&gt;0,"Há liberação sem validação aprovada",IF(C23=0,"O plano não tem validação",IF(C8&gt;0,"Há etapa atrasada",IF(C16&gt;0,"Há mudança a rever",IF(C13+C14&gt;0,"Há entrada que não atende ou pendente",IF(C9&gt;0,"Há etapa a rever","OK")))))))</f>
        <v>Escreva o plano na aba Plano</v>
      </c>
      <c r="D36" s="18"/>
      <c r="E36" s="18"/>
      <c r="F36" s="18"/>
      <c r="G36" s="18"/>
    </row>
  </sheetData>
  <mergeCells count="20">
    <mergeCell ref="B1:G1"/>
    <mergeCell ref="B2:G2"/>
    <mergeCell ref="C3:G3"/>
    <mergeCell ref="D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B19:G19"/>
    <mergeCell ref="B25:G25"/>
    <mergeCell ref="B35:G35"/>
    <mergeCell ref="C36:G36"/>
  </mergeCells>
  <conditionalFormatting sqref="C17">
    <cfRule type="expression" priority="2" aboveAverage="0" equalAverage="0" bottom="0" percent="0" rank="0" text="" dxfId="0">
      <formula>C17="Sim"</formula>
    </cfRule>
    <cfRule type="expression" priority="3" aboveAverage="0" equalAverage="0" bottom="0" percent="0" rank="0" text="" dxfId="3">
      <formula>C17="Ainda não"</formula>
    </cfRule>
  </conditionalFormatting>
  <conditionalFormatting sqref="G27:G33">
    <cfRule type="expression" priority="4" aboveAverage="0" equalAverage="0" bottom="0" percent="0" rank="0" text="" dxfId="5">
      <formula>G27=""</formula>
    </cfRule>
    <cfRule type="expression" priority="5" aboveAverage="0" equalAverage="0" bottom="0" percent="0" rank="0" text="" dxfId="4">
      <formula>LEN(G27)&gt;0</formula>
    </cfRule>
  </conditionalFormatting>
  <conditionalFormatting sqref="C36:G36">
    <cfRule type="expression" priority="6" aboveAverage="0" equalAverage="0" bottom="0" percent="0" rank="0" text="" dxfId="0">
      <formula>OR(C36="OK")</formula>
    </cfRule>
    <cfRule type="expression" priority="7" aboveAverage="0" equalAverage="0" bottom="0" percent="0" rank="0" text="" dxfId="4">
      <formula>AND(LEN(C36)&gt;0,NOT(OR(C36="OK")))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190</v>
      </c>
      <c r="C1" s="1"/>
      <c r="D1" s="1"/>
      <c r="E1" s="1"/>
    </row>
    <row r="2" customFormat="false" ht="19.5" hidden="false" customHeight="true" outlineLevel="0" collapsed="false">
      <c r="B2" s="2" t="s">
        <v>191</v>
      </c>
      <c r="C2" s="2"/>
      <c r="D2" s="2"/>
      <c r="E2" s="2"/>
    </row>
    <row r="4" customFormat="false" ht="21.75" hidden="false" customHeight="true" outlineLevel="0" collapsed="false">
      <c r="B4" s="10" t="s">
        <v>74</v>
      </c>
      <c r="C4" s="10" t="s">
        <v>192</v>
      </c>
      <c r="D4" s="10" t="s">
        <v>193</v>
      </c>
      <c r="E4" s="10" t="s">
        <v>194</v>
      </c>
    </row>
    <row r="5" customFormat="false" ht="30" hidden="false" customHeight="true" outlineLevel="0" collapsed="false">
      <c r="B5" s="12" t="n">
        <v>1</v>
      </c>
      <c r="C5" s="6" t="s">
        <v>195</v>
      </c>
      <c r="D5" s="13"/>
      <c r="E5" s="5"/>
    </row>
    <row r="6" customFormat="false" ht="30" hidden="false" customHeight="true" outlineLevel="0" collapsed="false">
      <c r="B6" s="12" t="n">
        <v>2</v>
      </c>
      <c r="C6" s="6" t="s">
        <v>196</v>
      </c>
      <c r="D6" s="13"/>
      <c r="E6" s="5"/>
    </row>
    <row r="7" customFormat="false" ht="30" hidden="false" customHeight="true" outlineLevel="0" collapsed="false">
      <c r="B7" s="12" t="n">
        <v>3</v>
      </c>
      <c r="C7" s="6" t="s">
        <v>197</v>
      </c>
      <c r="D7" s="13"/>
      <c r="E7" s="5"/>
    </row>
    <row r="8" customFormat="false" ht="30" hidden="false" customHeight="true" outlineLevel="0" collapsed="false">
      <c r="B8" s="12" t="n">
        <v>4</v>
      </c>
      <c r="C8" s="6" t="s">
        <v>198</v>
      </c>
      <c r="D8" s="13"/>
      <c r="E8" s="5"/>
    </row>
    <row r="9" customFormat="false" ht="30" hidden="false" customHeight="true" outlineLevel="0" collapsed="false">
      <c r="B9" s="12" t="n">
        <v>5</v>
      </c>
      <c r="C9" s="6" t="s">
        <v>199</v>
      </c>
      <c r="D9" s="13"/>
      <c r="E9" s="5"/>
    </row>
    <row r="10" customFormat="false" ht="30" hidden="false" customHeight="true" outlineLevel="0" collapsed="false">
      <c r="B10" s="12" t="n">
        <v>6</v>
      </c>
      <c r="C10" s="6" t="s">
        <v>200</v>
      </c>
      <c r="D10" s="13"/>
      <c r="E10" s="5"/>
    </row>
    <row r="11" customFormat="false" ht="30" hidden="false" customHeight="true" outlineLevel="0" collapsed="false">
      <c r="B11" s="12" t="n">
        <v>7</v>
      </c>
      <c r="C11" s="6" t="s">
        <v>201</v>
      </c>
      <c r="D11" s="13"/>
      <c r="E11" s="5"/>
    </row>
    <row r="12" customFormat="false" ht="30" hidden="false" customHeight="true" outlineLevel="0" collapsed="false">
      <c r="B12" s="12" t="n">
        <v>8</v>
      </c>
      <c r="C12" s="6" t="s">
        <v>202</v>
      </c>
      <c r="D12" s="13"/>
      <c r="E12" s="5"/>
    </row>
    <row r="13" customFormat="false" ht="30" hidden="false" customHeight="true" outlineLevel="0" collapsed="false">
      <c r="B13" s="12" t="n">
        <v>9</v>
      </c>
      <c r="C13" s="6" t="s">
        <v>203</v>
      </c>
      <c r="D13" s="13"/>
      <c r="E13" s="5"/>
    </row>
    <row r="14" customFormat="false" ht="30" hidden="false" customHeight="true" outlineLevel="0" collapsed="false">
      <c r="B14" s="12" t="n">
        <v>10</v>
      </c>
      <c r="C14" s="6" t="s">
        <v>204</v>
      </c>
      <c r="D14" s="13"/>
      <c r="E14" s="5"/>
    </row>
    <row r="15" customFormat="false" ht="30" hidden="false" customHeight="true" outlineLevel="0" collapsed="false">
      <c r="B15" s="12" t="n">
        <v>11</v>
      </c>
      <c r="C15" s="6" t="s">
        <v>205</v>
      </c>
      <c r="D15" s="13"/>
      <c r="E15" s="5"/>
    </row>
    <row r="16" customFormat="false" ht="30" hidden="false" customHeight="true" outlineLevel="0" collapsed="false">
      <c r="B16" s="12" t="n">
        <v>12</v>
      </c>
      <c r="C16" s="6" t="s">
        <v>206</v>
      </c>
      <c r="D16" s="13"/>
      <c r="E16" s="5"/>
    </row>
    <row r="18" customFormat="false" ht="21.75" hidden="false" customHeight="true" outlineLevel="0" collapsed="false">
      <c r="B18" s="15" t="s">
        <v>93</v>
      </c>
      <c r="C18" s="15"/>
      <c r="D18" s="15"/>
      <c r="E18" s="15"/>
    </row>
    <row r="19" customFormat="false" ht="19.5" hidden="false" customHeight="true" outlineLevel="0" collapsed="false">
      <c r="B19" s="16" t="s">
        <v>207</v>
      </c>
      <c r="C19" s="16"/>
      <c r="D19" s="20" t="n">
        <f aca="false">COUNTIF(D5:D16,"Sim")</f>
        <v>0</v>
      </c>
    </row>
    <row r="20" customFormat="false" ht="19.5" hidden="false" customHeight="true" outlineLevel="0" collapsed="false">
      <c r="B20" s="16" t="s">
        <v>208</v>
      </c>
      <c r="C20" s="16"/>
      <c r="D20" s="20" t="n">
        <f aca="false">COUNTIF(D5:D16,"Parcial")</f>
        <v>0</v>
      </c>
    </row>
    <row r="21" customFormat="false" ht="19.5" hidden="false" customHeight="true" outlineLevel="0" collapsed="false">
      <c r="B21" s="16" t="s">
        <v>209</v>
      </c>
      <c r="C21" s="16"/>
      <c r="D21" s="20" t="n">
        <f aca="false">COUNTIF(D5:D16,"Não")</f>
        <v>0</v>
      </c>
    </row>
    <row r="22" customFormat="false" ht="19.5" hidden="false" customHeight="true" outlineLevel="0" collapsed="false">
      <c r="B22" s="16" t="s">
        <v>210</v>
      </c>
      <c r="C22" s="16"/>
      <c r="D22" s="20" t="n">
        <f aca="false">COUNTBLANK(D5:D16)</f>
        <v>12</v>
      </c>
    </row>
    <row r="23" customFormat="false" ht="19.5" hidden="false" customHeight="true" outlineLevel="0" collapsed="false">
      <c r="B23" s="16" t="s">
        <v>211</v>
      </c>
      <c r="C23" s="16"/>
      <c r="D23" s="23" t="n">
        <f aca="false">D19/ROWS(D5:D16)</f>
        <v>0</v>
      </c>
    </row>
    <row r="24" customFormat="false" ht="19.5" hidden="false" customHeight="true" outlineLevel="0" collapsed="false">
      <c r="B24" s="16" t="s">
        <v>212</v>
      </c>
      <c r="C24" s="16"/>
      <c r="D24" s="20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4">
      <formula>"Parcial"</formula>
    </cfRule>
    <cfRule type="cellIs" priority="4" operator="equal" aboveAverage="0" equalAverage="0" bottom="0" percent="0" rank="0" text="" dxfId="3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4" min="3" style="0" width="24"/>
    <col collapsed="false" customWidth="true" hidden="false" outlineLevel="0" max="5" min="5" style="0" width="17"/>
    <col collapsed="false" customWidth="true" hidden="false" outlineLevel="0" max="7" min="6" style="0" width="2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213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214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4" t="s">
        <v>65</v>
      </c>
      <c r="C4" s="4"/>
      <c r="D4" s="24" t="s">
        <v>215</v>
      </c>
      <c r="E4" s="24"/>
      <c r="F4" s="24"/>
      <c r="G4" s="24"/>
      <c r="H4" s="24"/>
      <c r="I4" s="24"/>
      <c r="J4" s="24"/>
      <c r="K4" s="24"/>
      <c r="L4" s="24"/>
      <c r="M4" s="24"/>
    </row>
    <row r="5" customFormat="false" ht="19.5" hidden="false" customHeight="true" outlineLevel="0" collapsed="false">
      <c r="B5" s="4" t="s">
        <v>66</v>
      </c>
      <c r="C5" s="4"/>
      <c r="D5" s="24" t="s">
        <v>216</v>
      </c>
      <c r="E5" s="24"/>
      <c r="F5" s="24"/>
      <c r="G5" s="24"/>
      <c r="H5" s="24"/>
      <c r="I5" s="24"/>
      <c r="J5" s="24"/>
      <c r="K5" s="24"/>
      <c r="L5" s="24"/>
      <c r="M5" s="24"/>
    </row>
    <row r="6" customFormat="false" ht="19.5" hidden="false" customHeight="true" outlineLevel="0" collapsed="false">
      <c r="B6" s="4" t="s">
        <v>68</v>
      </c>
      <c r="C6" s="4"/>
      <c r="D6" s="24" t="s">
        <v>217</v>
      </c>
      <c r="E6" s="24"/>
      <c r="F6" s="24"/>
      <c r="G6" s="24"/>
      <c r="H6" s="24"/>
      <c r="I6" s="24"/>
      <c r="J6" s="24"/>
      <c r="K6" s="24"/>
      <c r="L6" s="24"/>
      <c r="M6" s="24"/>
    </row>
    <row r="7" customFormat="false" ht="19.5" hidden="false" customHeight="true" outlineLevel="0" collapsed="false">
      <c r="B7" s="4" t="s">
        <v>67</v>
      </c>
      <c r="C7" s="4"/>
      <c r="D7" s="24" t="s">
        <v>218</v>
      </c>
      <c r="E7" s="24"/>
      <c r="F7" s="24"/>
      <c r="G7" s="24"/>
      <c r="H7" s="24"/>
      <c r="I7" s="24"/>
      <c r="J7" s="24"/>
      <c r="K7" s="24"/>
      <c r="L7" s="24"/>
      <c r="M7" s="24"/>
    </row>
    <row r="8" customFormat="false" ht="19.5" hidden="false" customHeight="true" outlineLevel="0" collapsed="false">
      <c r="B8" s="4" t="s">
        <v>69</v>
      </c>
      <c r="C8" s="4"/>
      <c r="D8" s="24" t="s">
        <v>219</v>
      </c>
      <c r="E8" s="24"/>
      <c r="F8" s="24"/>
      <c r="G8" s="24"/>
      <c r="H8" s="24"/>
      <c r="I8" s="24"/>
      <c r="J8" s="24"/>
      <c r="K8" s="24"/>
      <c r="L8" s="24"/>
      <c r="M8" s="24"/>
    </row>
    <row r="9" customFormat="false" ht="19.5" hidden="false" customHeight="true" outlineLevel="0" collapsed="false">
      <c r="B9" s="4" t="s">
        <v>220</v>
      </c>
      <c r="C9" s="4"/>
      <c r="D9" s="24" t="s">
        <v>221</v>
      </c>
      <c r="E9" s="24"/>
      <c r="F9" s="24"/>
      <c r="G9" s="24"/>
      <c r="H9" s="24"/>
      <c r="I9" s="24"/>
      <c r="J9" s="24"/>
      <c r="K9" s="24"/>
      <c r="L9" s="24"/>
      <c r="M9" s="24"/>
    </row>
    <row r="10" customFormat="false" ht="19.5" hidden="false" customHeight="true" outlineLevel="0" collapsed="false">
      <c r="B10" s="4" t="s">
        <v>222</v>
      </c>
      <c r="C10" s="4"/>
      <c r="D10" s="24" t="s">
        <v>223</v>
      </c>
      <c r="E10" s="24"/>
      <c r="F10" s="24"/>
      <c r="G10" s="24"/>
      <c r="H10" s="24"/>
      <c r="I10" s="24"/>
      <c r="J10" s="24"/>
      <c r="K10" s="24"/>
      <c r="L10" s="24"/>
      <c r="M10" s="24"/>
    </row>
    <row r="11" customFormat="false" ht="15" hidden="false" customHeight="true" outlineLevel="0" collapsed="false">
      <c r="B11" s="4" t="s">
        <v>72</v>
      </c>
      <c r="C11" s="4"/>
      <c r="D11" s="25" t="n">
        <v>46538</v>
      </c>
    </row>
    <row r="13" customFormat="false" ht="21.75" hidden="false" customHeight="true" outlineLevel="0" collapsed="false">
      <c r="B13" s="26" t="s">
        <v>63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customFormat="false" ht="30" hidden="false" customHeight="true" outlineLevel="0" collapsed="false">
      <c r="B14" s="20" t="s">
        <v>74</v>
      </c>
      <c r="C14" s="27" t="s">
        <v>75</v>
      </c>
      <c r="D14" s="27"/>
      <c r="E14" s="20" t="s">
        <v>76</v>
      </c>
      <c r="F14" s="20" t="s">
        <v>77</v>
      </c>
      <c r="G14" s="20" t="s">
        <v>78</v>
      </c>
      <c r="H14" s="20" t="s">
        <v>79</v>
      </c>
      <c r="I14" s="20" t="s">
        <v>224</v>
      </c>
      <c r="J14" s="20" t="s">
        <v>81</v>
      </c>
      <c r="K14" s="20" t="s">
        <v>82</v>
      </c>
      <c r="L14" s="20" t="s">
        <v>83</v>
      </c>
      <c r="M14" s="20" t="s">
        <v>84</v>
      </c>
    </row>
    <row r="15" customFormat="false" ht="30.75" hidden="false" customHeight="true" outlineLevel="0" collapsed="false">
      <c r="B15" s="12" t="n">
        <v>1</v>
      </c>
      <c r="C15" s="28" t="s">
        <v>225</v>
      </c>
      <c r="D15" s="28"/>
      <c r="E15" s="29" t="s">
        <v>226</v>
      </c>
      <c r="F15" s="7" t="s">
        <v>227</v>
      </c>
      <c r="G15" s="7" t="s">
        <v>228</v>
      </c>
      <c r="H15" s="30" t="n">
        <v>46482</v>
      </c>
      <c r="I15" s="30" t="n">
        <v>46482</v>
      </c>
      <c r="J15" s="29" t="s">
        <v>229</v>
      </c>
      <c r="K15" s="7"/>
      <c r="L15" s="7" t="s">
        <v>230</v>
      </c>
      <c r="M15" s="14" t="str">
        <f aca="false">IF(C15="",IF(1&gt;0,"Falta a etapa",""),IF(E15="","Falta o tipo",IF(F15="","Falta o responsável",IF(H15="","Falta o prazo",IF(AND(I15&lt;&gt;"",J15=""),"Falta o resultado",IF(AND(J15&lt;&gt;"",I15=""),"Falta a data de conclusão",IF(AND(OR(J15="Aprovado com ressalvas",J15="Reprovado"),K15=""),"Falta a ação",IF(AND(E15="Liberação para produção",I15&lt;&gt;"",COUNTIFS($E$15:$E$21,"Validação",$J$15:$J$21,"Aprovado")+COUNTIFS($E$15:$E$21,"Validação",$J$15:$J$21,"Aprovado com ressalvas")=0),"Liberado sem validação aprovada",IF(AND(I15="",ISNUMBER($D$11),H15&lt;$D$11),"Atrasada","OK")))))))))</f>
        <v>OK</v>
      </c>
    </row>
    <row r="16" customFormat="false" ht="30.75" hidden="false" customHeight="true" outlineLevel="0" collapsed="false">
      <c r="B16" s="12" t="n">
        <v>2</v>
      </c>
      <c r="C16" s="28" t="s">
        <v>231</v>
      </c>
      <c r="D16" s="28"/>
      <c r="E16" s="29" t="s">
        <v>232</v>
      </c>
      <c r="F16" s="7" t="s">
        <v>233</v>
      </c>
      <c r="G16" s="7" t="s">
        <v>234</v>
      </c>
      <c r="H16" s="30" t="n">
        <v>46500</v>
      </c>
      <c r="I16" s="30" t="n">
        <v>46499</v>
      </c>
      <c r="J16" s="29" t="s">
        <v>229</v>
      </c>
      <c r="K16" s="7"/>
      <c r="L16" s="7" t="s">
        <v>235</v>
      </c>
      <c r="M16" s="14" t="str">
        <f aca="false">IF(C16="",IF(1&gt;0,"Falta a etapa",""),IF(E16="","Falta o tipo",IF(F16="","Falta o responsável",IF(H16="","Falta o prazo",IF(AND(I16&lt;&gt;"",J16=""),"Falta o resultado",IF(AND(J16&lt;&gt;"",I16=""),"Falta a data de conclusão",IF(AND(OR(J16="Aprovado com ressalvas",J16="Reprovado"),K16=""),"Falta a ação",IF(AND(E16="Liberação para produção",I16&lt;&gt;"",COUNTIFS($E$15:$E$21,"Validação",$J$15:$J$21,"Aprovado")+COUNTIFS($E$15:$E$21,"Validação",$J$15:$J$21,"Aprovado com ressalvas")=0),"Liberado sem validação aprovada",IF(AND(I16="",ISNUMBER($D$11),H16&lt;$D$11),"Atrasada","OK")))))))))</f>
        <v>OK</v>
      </c>
    </row>
    <row r="17" customFormat="false" ht="30.75" hidden="false" customHeight="true" outlineLevel="0" collapsed="false">
      <c r="B17" s="12" t="n">
        <v>3</v>
      </c>
      <c r="C17" s="28" t="s">
        <v>236</v>
      </c>
      <c r="D17" s="28"/>
      <c r="E17" s="29" t="s">
        <v>175</v>
      </c>
      <c r="F17" s="7" t="s">
        <v>233</v>
      </c>
      <c r="G17" s="7" t="s">
        <v>227</v>
      </c>
      <c r="H17" s="30" t="n">
        <v>46507</v>
      </c>
      <c r="I17" s="30" t="n">
        <v>46510</v>
      </c>
      <c r="J17" s="29" t="s">
        <v>237</v>
      </c>
      <c r="K17" s="7" t="s">
        <v>238</v>
      </c>
      <c r="L17" s="7" t="s">
        <v>239</v>
      </c>
      <c r="M17" s="14" t="str">
        <f aca="false">IF(C17="",IF(1&gt;0,"Falta a etapa",""),IF(E17="","Falta o tipo",IF(F17="","Falta o responsável",IF(H17="","Falta o prazo",IF(AND(I17&lt;&gt;"",J17=""),"Falta o resultado",IF(AND(J17&lt;&gt;"",I17=""),"Falta a data de conclusão",IF(AND(OR(J17="Aprovado com ressalvas",J17="Reprovado"),K17=""),"Falta a ação",IF(AND(E17="Liberação para produção",I17&lt;&gt;"",COUNTIFS($E$15:$E$21,"Validação",$J$15:$J$21,"Aprovado")+COUNTIFS($E$15:$E$21,"Validação",$J$15:$J$21,"Aprovado com ressalvas")=0),"Liberado sem validação aprovada",IF(AND(I17="",ISNUMBER($D$11),H17&lt;$D$11),"Atrasada","OK")))))))))</f>
        <v>OK</v>
      </c>
    </row>
    <row r="18" customFormat="false" ht="42.75" hidden="false" customHeight="true" outlineLevel="0" collapsed="false">
      <c r="B18" s="12" t="n">
        <v>4</v>
      </c>
      <c r="C18" s="28" t="s">
        <v>240</v>
      </c>
      <c r="D18" s="28"/>
      <c r="E18" s="29" t="s">
        <v>173</v>
      </c>
      <c r="F18" s="7" t="s">
        <v>227</v>
      </c>
      <c r="G18" s="7" t="s">
        <v>241</v>
      </c>
      <c r="H18" s="30" t="n">
        <v>46514</v>
      </c>
      <c r="I18" s="30" t="n">
        <v>46514</v>
      </c>
      <c r="J18" s="29" t="s">
        <v>237</v>
      </c>
      <c r="K18" s="7" t="s">
        <v>242</v>
      </c>
      <c r="L18" s="7" t="s">
        <v>243</v>
      </c>
      <c r="M18" s="14" t="str">
        <f aca="false">IF(C18="",IF(1&gt;0,"Falta a etapa",""),IF(E18="","Falta o tipo",IF(F18="","Falta o responsável",IF(H18="","Falta o prazo",IF(AND(I18&lt;&gt;"",J18=""),"Falta o resultado",IF(AND(J18&lt;&gt;"",I18=""),"Falta a data de conclusão",IF(AND(OR(J18="Aprovado com ressalvas",J18="Reprovado"),K18=""),"Falta a ação",IF(AND(E18="Liberação para produção",I18&lt;&gt;"",COUNTIFS($E$15:$E$21,"Validação",$J$15:$J$21,"Aprovado")+COUNTIFS($E$15:$E$21,"Validação",$J$15:$J$21,"Aprovado com ressalvas")=0),"Liberado sem validação aprovada",IF(AND(I18="",ISNUMBER($D$11),H18&lt;$D$11),"Atrasada","OK")))))))))</f>
        <v>OK</v>
      </c>
    </row>
    <row r="19" customFormat="false" ht="54.75" hidden="false" customHeight="true" outlineLevel="0" collapsed="false">
      <c r="B19" s="12" t="n">
        <v>5</v>
      </c>
      <c r="C19" s="28" t="s">
        <v>244</v>
      </c>
      <c r="D19" s="28"/>
      <c r="E19" s="29" t="s">
        <v>177</v>
      </c>
      <c r="F19" s="7" t="s">
        <v>227</v>
      </c>
      <c r="G19" s="7" t="s">
        <v>245</v>
      </c>
      <c r="H19" s="30" t="n">
        <v>46528</v>
      </c>
      <c r="I19" s="30" t="n">
        <v>46527</v>
      </c>
      <c r="J19" s="29" t="s">
        <v>229</v>
      </c>
      <c r="K19" s="7"/>
      <c r="L19" s="7" t="s">
        <v>246</v>
      </c>
      <c r="M19" s="14" t="str">
        <f aca="false">IF(C19="",IF(1&gt;0,"Falta a etapa",""),IF(E19="","Falta o tipo",IF(F19="","Falta o responsável",IF(H19="","Falta o prazo",IF(AND(I19&lt;&gt;"",J19=""),"Falta o resultado",IF(AND(J19&lt;&gt;"",I19=""),"Falta a data de conclusão",IF(AND(OR(J19="Aprovado com ressalvas",J19="Reprovado"),K19=""),"Falta a ação",IF(AND(E19="Liberação para produção",I19&lt;&gt;"",COUNTIFS($E$15:$E$21,"Validação",$J$15:$J$21,"Aprovado")+COUNTIFS($E$15:$E$21,"Validação",$J$15:$J$21,"Aprovado com ressalvas")=0),"Liberado sem validação aprovada",IF(AND(I19="",ISNUMBER($D$11),H19&lt;$D$11),"Atrasada","OK")))))))))</f>
        <v>OK</v>
      </c>
    </row>
    <row r="20" customFormat="false" ht="21.75" hidden="false" customHeight="true" outlineLevel="0" collapsed="false">
      <c r="B20" s="12" t="n">
        <v>6</v>
      </c>
      <c r="C20" s="28" t="s">
        <v>247</v>
      </c>
      <c r="D20" s="28"/>
      <c r="E20" s="29" t="s">
        <v>175</v>
      </c>
      <c r="F20" s="7" t="s">
        <v>233</v>
      </c>
      <c r="G20" s="7" t="s">
        <v>227</v>
      </c>
      <c r="H20" s="30" t="n">
        <v>46532</v>
      </c>
      <c r="I20" s="30"/>
      <c r="J20" s="29"/>
      <c r="K20" s="7"/>
      <c r="L20" s="7"/>
      <c r="M20" s="14" t="str">
        <f aca="false">IF(C20="",IF(1&gt;0,"Falta a etapa",""),IF(E20="","Falta o tipo",IF(F20="","Falta o responsável",IF(H20="","Falta o prazo",IF(AND(I20&lt;&gt;"",J20=""),"Falta o resultado",IF(AND(J20&lt;&gt;"",I20=""),"Falta a data de conclusão",IF(AND(OR(J20="Aprovado com ressalvas",J20="Reprovado"),K20=""),"Falta a ação",IF(AND(E20="Liberação para produção",I20&lt;&gt;"",COUNTIFS($E$15:$E$21,"Validação",$J$15:$J$21,"Aprovado")+COUNTIFS($E$15:$E$21,"Validação",$J$15:$J$21,"Aprovado com ressalvas")=0),"Liberado sem validação aprovada",IF(AND(I20="",ISNUMBER($D$11),H20&lt;$D$11),"Atrasada","OK")))))))))</f>
        <v>Atrasada</v>
      </c>
    </row>
    <row r="21" customFormat="false" ht="30.75" hidden="false" customHeight="true" outlineLevel="0" collapsed="false">
      <c r="B21" s="12" t="n">
        <v>7</v>
      </c>
      <c r="C21" s="28" t="s">
        <v>248</v>
      </c>
      <c r="D21" s="28"/>
      <c r="E21" s="29" t="s">
        <v>249</v>
      </c>
      <c r="F21" s="7" t="s">
        <v>227</v>
      </c>
      <c r="G21" s="7" t="s">
        <v>250</v>
      </c>
      <c r="H21" s="30" t="n">
        <v>46539</v>
      </c>
      <c r="I21" s="30"/>
      <c r="J21" s="29"/>
      <c r="K21" s="7"/>
      <c r="L21" s="7"/>
      <c r="M21" s="14" t="str">
        <f aca="false">IF(C21="",IF(1&gt;0,"Falta a etapa",""),IF(E21="","Falta o tipo",IF(F21="","Falta o responsável",IF(H21="","Falta o prazo",IF(AND(I21&lt;&gt;"",J21=""),"Falta o resultado",IF(AND(J21&lt;&gt;"",I21=""),"Falta a data de conclusão",IF(AND(OR(J21="Aprovado com ressalvas",J21="Reprovado"),K21=""),"Falta a ação",IF(AND(E21="Liberação para produção",I21&lt;&gt;"",COUNTIFS($E$15:$E$21,"Validação",$J$15:$J$21,"Aprovado")+COUNTIFS($E$15:$E$21,"Validação",$J$15:$J$21,"Aprovado com ressalvas")=0),"Liberado sem validação aprovada",IF(AND(I21="",ISNUMBER($D$11),H21&lt;$D$11),"Atrasada","OK")))))))))</f>
        <v>OK</v>
      </c>
    </row>
    <row r="23" customFormat="false" ht="21.75" hidden="false" customHeight="true" outlineLevel="0" collapsed="false">
      <c r="B23" s="31" t="s">
        <v>98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customFormat="false" ht="30" hidden="false" customHeight="true" outlineLevel="0" collapsed="false">
      <c r="B24" s="20" t="s">
        <v>74</v>
      </c>
      <c r="C24" s="27" t="s">
        <v>101</v>
      </c>
      <c r="D24" s="27"/>
      <c r="E24" s="20" t="s">
        <v>76</v>
      </c>
      <c r="F24" s="20" t="s">
        <v>102</v>
      </c>
      <c r="G24" s="20" t="s">
        <v>103</v>
      </c>
      <c r="H24" s="20" t="s">
        <v>104</v>
      </c>
      <c r="I24" s="20" t="s">
        <v>81</v>
      </c>
      <c r="J24" s="27" t="s">
        <v>105</v>
      </c>
      <c r="K24" s="27"/>
      <c r="L24" s="27"/>
      <c r="M24" s="20" t="s">
        <v>84</v>
      </c>
    </row>
    <row r="25" customFormat="false" ht="54.75" hidden="false" customHeight="true" outlineLevel="0" collapsed="false">
      <c r="B25" s="32" t="s">
        <v>251</v>
      </c>
      <c r="C25" s="28" t="s">
        <v>252</v>
      </c>
      <c r="D25" s="28"/>
      <c r="E25" s="29" t="s">
        <v>184</v>
      </c>
      <c r="F25" s="7" t="s">
        <v>253</v>
      </c>
      <c r="G25" s="7" t="s">
        <v>254</v>
      </c>
      <c r="H25" s="7" t="s">
        <v>255</v>
      </c>
      <c r="I25" s="29" t="s">
        <v>119</v>
      </c>
      <c r="J25" s="7" t="s">
        <v>256</v>
      </c>
      <c r="K25" s="7"/>
      <c r="L25" s="7"/>
      <c r="M25" s="14" t="str">
        <f aca="false">IF(C25="",IF(1&gt;0,"Falta a entrada",""),IF(E25="","Falta o tipo",IF(F25="","Falta a fonte",IF(G25="","Falta a saída que atende",IF(H25="","Falta como verificar",IF(I25="Não atende",IF(J25="","Não atende, sem ação","Não atende: ação em curso"),IF(I25="","Verificação pendente","OK")))))))</f>
        <v>OK</v>
      </c>
    </row>
    <row r="26" customFormat="false" ht="42.75" hidden="false" customHeight="true" outlineLevel="0" collapsed="false">
      <c r="B26" s="32" t="s">
        <v>257</v>
      </c>
      <c r="C26" s="28" t="s">
        <v>258</v>
      </c>
      <c r="D26" s="28"/>
      <c r="E26" s="29" t="s">
        <v>185</v>
      </c>
      <c r="F26" s="7" t="s">
        <v>259</v>
      </c>
      <c r="G26" s="7" t="s">
        <v>260</v>
      </c>
      <c r="H26" s="7" t="s">
        <v>261</v>
      </c>
      <c r="I26" s="29" t="s">
        <v>119</v>
      </c>
      <c r="J26" s="7" t="s">
        <v>262</v>
      </c>
      <c r="K26" s="7"/>
      <c r="L26" s="7"/>
      <c r="M26" s="14" t="str">
        <f aca="false">IF(C26="",IF(1&gt;0,"Falta a entrada",""),IF(E26="","Falta o tipo",IF(F26="","Falta a fonte",IF(G26="","Falta a saída que atende",IF(H26="","Falta como verificar",IF(I26="Não atende",IF(J26="","Não atende, sem ação","Não atende: ação em curso"),IF(I26="","Verificação pendente","OK")))))))</f>
        <v>OK</v>
      </c>
    </row>
    <row r="27" customFormat="false" ht="30.75" hidden="false" customHeight="true" outlineLevel="0" collapsed="false">
      <c r="B27" s="32" t="s">
        <v>113</v>
      </c>
      <c r="C27" s="28" t="s">
        <v>263</v>
      </c>
      <c r="D27" s="28"/>
      <c r="E27" s="29" t="s">
        <v>188</v>
      </c>
      <c r="F27" s="7" t="s">
        <v>264</v>
      </c>
      <c r="G27" s="7" t="s">
        <v>265</v>
      </c>
      <c r="H27" s="7" t="s">
        <v>266</v>
      </c>
      <c r="I27" s="29" t="s">
        <v>119</v>
      </c>
      <c r="J27" s="7" t="s">
        <v>267</v>
      </c>
      <c r="K27" s="7"/>
      <c r="L27" s="7"/>
      <c r="M27" s="14" t="str">
        <f aca="false">IF(C27="",IF(1&gt;0,"Falta a entrada",""),IF(E27="","Falta o tipo",IF(F27="","Falta a fonte",IF(G27="","Falta a saída que atende",IF(H27="","Falta como verificar",IF(I27="Não atende",IF(J27="","Não atende, sem ação","Não atende: ação em curso"),IF(I27="","Verificação pendente","OK")))))))</f>
        <v>OK</v>
      </c>
    </row>
    <row r="28" customFormat="false" ht="30.75" hidden="false" customHeight="true" outlineLevel="0" collapsed="false">
      <c r="B28" s="32" t="s">
        <v>268</v>
      </c>
      <c r="C28" s="28" t="s">
        <v>269</v>
      </c>
      <c r="D28" s="28"/>
      <c r="E28" s="29" t="s">
        <v>115</v>
      </c>
      <c r="F28" s="7" t="s">
        <v>270</v>
      </c>
      <c r="G28" s="7" t="s">
        <v>271</v>
      </c>
      <c r="H28" s="7" t="s">
        <v>272</v>
      </c>
      <c r="I28" s="29" t="s">
        <v>119</v>
      </c>
      <c r="J28" s="7" t="s">
        <v>273</v>
      </c>
      <c r="K28" s="7"/>
      <c r="L28" s="7"/>
      <c r="M28" s="14" t="str">
        <f aca="false">IF(C28="",IF(1&gt;0,"Falta a entrada",""),IF(E28="","Falta o tipo",IF(F28="","Falta a fonte",IF(G28="","Falta a saída que atende",IF(H28="","Falta como verificar",IF(I28="Não atende",IF(J28="","Não atende, sem ação","Não atende: ação em curso"),IF(I28="","Verificação pendente","OK")))))))</f>
        <v>OK</v>
      </c>
    </row>
    <row r="29" customFormat="false" ht="30.75" hidden="false" customHeight="true" outlineLevel="0" collapsed="false">
      <c r="B29" s="32" t="s">
        <v>274</v>
      </c>
      <c r="C29" s="28" t="s">
        <v>275</v>
      </c>
      <c r="D29" s="28"/>
      <c r="E29" s="29" t="s">
        <v>115</v>
      </c>
      <c r="F29" s="7" t="s">
        <v>276</v>
      </c>
      <c r="G29" s="7" t="s">
        <v>277</v>
      </c>
      <c r="H29" s="7" t="s">
        <v>278</v>
      </c>
      <c r="I29" s="29" t="s">
        <v>119</v>
      </c>
      <c r="J29" s="7" t="s">
        <v>279</v>
      </c>
      <c r="K29" s="7"/>
      <c r="L29" s="7"/>
      <c r="M29" s="14" t="str">
        <f aca="false">IF(C29="",IF(1&gt;0,"Falta a entrada",""),IF(E29="","Falta o tipo",IF(F29="","Falta a fonte",IF(G29="","Falta a saída que atende",IF(H29="","Falta como verificar",IF(I29="Não atende",IF(J29="","Não atende, sem ação","Não atende: ação em curso"),IF(I29="","Verificação pendente","OK")))))))</f>
        <v>OK</v>
      </c>
    </row>
    <row r="30" customFormat="false" ht="42.75" hidden="false" customHeight="true" outlineLevel="0" collapsed="false">
      <c r="B30" s="32" t="s">
        <v>280</v>
      </c>
      <c r="C30" s="28" t="s">
        <v>281</v>
      </c>
      <c r="D30" s="28"/>
      <c r="E30" s="29" t="s">
        <v>189</v>
      </c>
      <c r="F30" s="7" t="s">
        <v>282</v>
      </c>
      <c r="G30" s="7" t="s">
        <v>283</v>
      </c>
      <c r="H30" s="7" t="s">
        <v>284</v>
      </c>
      <c r="I30" s="29" t="s">
        <v>22</v>
      </c>
      <c r="J30" s="7" t="s">
        <v>285</v>
      </c>
      <c r="K30" s="7"/>
      <c r="L30" s="7"/>
      <c r="M30" s="14" t="str">
        <f aca="false">IF(C30="",IF(1&gt;0,"Falta a entrada",""),IF(E30="","Falta o tipo",IF(F30="","Falta a fonte",IF(G30="","Falta a saída que atende",IF(H30="","Falta como verificar",IF(I30="Não atende",IF(J30="","Não atende, sem ação","Não atende: ação em curso"),IF(I30="","Verificação pendente","OK")))))))</f>
        <v>Não atende: ação em curso</v>
      </c>
    </row>
    <row r="31" customFormat="false" ht="42.75" hidden="false" customHeight="true" outlineLevel="0" collapsed="false">
      <c r="B31" s="32" t="s">
        <v>286</v>
      </c>
      <c r="C31" s="28" t="s">
        <v>287</v>
      </c>
      <c r="D31" s="28"/>
      <c r="E31" s="29" t="s">
        <v>187</v>
      </c>
      <c r="F31" s="7" t="s">
        <v>288</v>
      </c>
      <c r="G31" s="7" t="s">
        <v>289</v>
      </c>
      <c r="H31" s="7" t="s">
        <v>290</v>
      </c>
      <c r="I31" s="29" t="s">
        <v>119</v>
      </c>
      <c r="J31" s="7" t="s">
        <v>291</v>
      </c>
      <c r="K31" s="7"/>
      <c r="L31" s="7"/>
      <c r="M31" s="14" t="str">
        <f aca="false">IF(C31="",IF(1&gt;0,"Falta a entrada",""),IF(E31="","Falta o tipo",IF(F31="","Falta a fonte",IF(G31="","Falta a saída que atende",IF(H31="","Falta como verificar",IF(I31="Não atende",IF(J31="","Não atende, sem ação","Não atende: ação em curso"),IF(I31="","Verificação pendente","OK")))))))</f>
        <v>OK</v>
      </c>
    </row>
    <row r="32" customFormat="false" ht="30.75" hidden="false" customHeight="true" outlineLevel="0" collapsed="false">
      <c r="B32" s="32" t="s">
        <v>292</v>
      </c>
      <c r="C32" s="28" t="s">
        <v>293</v>
      </c>
      <c r="D32" s="28"/>
      <c r="E32" s="29" t="s">
        <v>189</v>
      </c>
      <c r="F32" s="7" t="s">
        <v>294</v>
      </c>
      <c r="G32" s="7" t="s">
        <v>295</v>
      </c>
      <c r="H32" s="7" t="s">
        <v>296</v>
      </c>
      <c r="I32" s="29"/>
      <c r="J32" s="7"/>
      <c r="K32" s="7"/>
      <c r="L32" s="7"/>
      <c r="M32" s="14" t="str">
        <f aca="false">IF(C32="",IF(1&gt;0,"Falta a entrada",""),IF(E32="","Falta o tipo",IF(F32="","Falta a fonte",IF(G32="","Falta a saída que atende",IF(H32="","Falta como verificar",IF(I32="Não atende",IF(J32="","Não atende, sem ação","Não atende: ação em curso"),IF(I32="","Verificação pendente","OK")))))))</f>
        <v>Verificação pendente</v>
      </c>
    </row>
    <row r="34" customFormat="false" ht="21.75" hidden="false" customHeight="true" outlineLevel="0" collapsed="false">
      <c r="B34" s="33" t="s">
        <v>125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customFormat="false" ht="30" hidden="false" customHeight="true" outlineLevel="0" collapsed="false">
      <c r="B35" s="20" t="s">
        <v>89</v>
      </c>
      <c r="C35" s="27" t="s">
        <v>127</v>
      </c>
      <c r="D35" s="27"/>
      <c r="E35" s="27" t="s">
        <v>128</v>
      </c>
      <c r="F35" s="27"/>
      <c r="G35" s="27" t="s">
        <v>129</v>
      </c>
      <c r="H35" s="27"/>
      <c r="I35" s="27" t="s">
        <v>297</v>
      </c>
      <c r="J35" s="27"/>
      <c r="K35" s="27"/>
      <c r="L35" s="20" t="s">
        <v>131</v>
      </c>
      <c r="M35" s="20" t="s">
        <v>84</v>
      </c>
    </row>
    <row r="36" customFormat="false" ht="21.75" hidden="false" customHeight="true" outlineLevel="0" collapsed="false">
      <c r="B36" s="34" t="n">
        <v>46519</v>
      </c>
      <c r="C36" s="28" t="s">
        <v>298</v>
      </c>
      <c r="D36" s="28"/>
      <c r="E36" s="7" t="s">
        <v>299</v>
      </c>
      <c r="F36" s="7"/>
      <c r="G36" s="7"/>
      <c r="H36" s="7"/>
      <c r="I36" s="7"/>
      <c r="J36" s="7"/>
      <c r="K36" s="7"/>
      <c r="L36" s="7" t="s">
        <v>233</v>
      </c>
      <c r="M36" s="14" t="str">
        <f aca="false">IF(C36="",IF(1&gt;0,"Falta o que mudou",""),IF(G36="","Falta a análise",IF(L36="","Falta quem autorizou",IF(I36="","Falta o que foi verificado de novo","OK"))))</f>
        <v>Falta a análise</v>
      </c>
    </row>
    <row r="37" customFormat="false" ht="30.75" hidden="false" customHeight="true" outlineLevel="0" collapsed="false">
      <c r="B37" s="34" t="n">
        <v>46525</v>
      </c>
      <c r="C37" s="28" t="s">
        <v>300</v>
      </c>
      <c r="D37" s="28"/>
      <c r="E37" s="7" t="s">
        <v>301</v>
      </c>
      <c r="F37" s="7"/>
      <c r="G37" s="7" t="s">
        <v>302</v>
      </c>
      <c r="H37" s="7"/>
      <c r="I37" s="7"/>
      <c r="J37" s="7"/>
      <c r="K37" s="7"/>
      <c r="L37" s="7" t="s">
        <v>227</v>
      </c>
      <c r="M37" s="14" t="str">
        <f aca="false">IF(C37="",IF(1&gt;0,"Falta o que mudou",""),IF(G37="","Falta a análise",IF(L37="","Falta quem autorizou",IF(I37="","Falta o que foi verificado de novo","OK"))))</f>
        <v>Falta o que foi verificado de novo</v>
      </c>
    </row>
    <row r="39" customFormat="false" ht="21.75" hidden="false" customHeight="true" outlineLevel="0" collapsed="false">
      <c r="B39" s="15" t="s">
        <v>93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customFormat="false" ht="21.75" hidden="false" customHeight="true" outlineLevel="0" collapsed="false">
      <c r="B40" s="16" t="s">
        <v>303</v>
      </c>
      <c r="C40" s="16"/>
      <c r="D40" s="16"/>
      <c r="E40" s="16"/>
      <c r="F40" s="17" t="str">
        <f aca="false">COUNTA(I15:I21)&amp;" de "&amp;COUNTA(C15:C21)&amp;" concluídas, "&amp;COUNTIF(M15:M21,"Atrasada")&amp;" atrasadas"</f>
        <v>5 de 7 concluídas, 1 atrasadas</v>
      </c>
      <c r="G40" s="17"/>
      <c r="H40" s="17"/>
      <c r="I40" s="17"/>
      <c r="J40" s="17"/>
      <c r="K40" s="17"/>
      <c r="L40" s="17"/>
      <c r="M40" s="17"/>
    </row>
    <row r="41" customFormat="false" ht="21.75" hidden="false" customHeight="true" outlineLevel="0" collapsed="false">
      <c r="B41" s="16" t="s">
        <v>155</v>
      </c>
      <c r="C41" s="16"/>
      <c r="D41" s="16"/>
      <c r="E41" s="16"/>
      <c r="F41" s="17" t="n">
        <f aca="false">COUNTIFS($E$15:$E$21,"Validação",$J$15:$J$21,"Aprovado")+COUNTIFS($E$15:$E$21,"Validação",$J$15:$J$21,"Aprovado com ressalvas")</f>
        <v>1</v>
      </c>
      <c r="G41" s="17"/>
      <c r="H41" s="17"/>
      <c r="I41" s="17"/>
      <c r="J41" s="17"/>
      <c r="K41" s="17"/>
      <c r="L41" s="17"/>
      <c r="M41" s="17"/>
    </row>
    <row r="42" customFormat="false" ht="21.75" hidden="false" customHeight="true" outlineLevel="0" collapsed="false">
      <c r="B42" s="16" t="s">
        <v>304</v>
      </c>
      <c r="C42" s="16"/>
      <c r="D42" s="16"/>
      <c r="E42" s="16"/>
      <c r="F42" s="17" t="str">
        <f aca="false">COUNTIF(I25:I32,"Atende")&amp;" atendem, "&amp;COUNTIF(I25:I32,"Não atende")&amp;" não atendem, "&amp;COUNTIF(M25:M32,"Verificação pendente")&amp;" pendentes"</f>
        <v>6 atendem, 1 não atendem, 1 pendentes</v>
      </c>
      <c r="G42" s="17"/>
      <c r="H42" s="17"/>
      <c r="I42" s="17"/>
      <c r="J42" s="17"/>
      <c r="K42" s="17"/>
      <c r="L42" s="17"/>
      <c r="M42" s="17"/>
    </row>
    <row r="43" customFormat="false" ht="21.75" hidden="false" customHeight="true" outlineLevel="0" collapsed="false">
      <c r="B43" s="16" t="s">
        <v>143</v>
      </c>
      <c r="C43" s="16"/>
      <c r="D43" s="16"/>
      <c r="E43" s="16"/>
      <c r="F43" s="17" t="n">
        <f aca="false">SUMPRODUCT((M36:M37&lt;&gt;"OK")*1)</f>
        <v>2</v>
      </c>
      <c r="G43" s="17"/>
      <c r="H43" s="17"/>
      <c r="I43" s="17"/>
      <c r="J43" s="17"/>
      <c r="K43" s="17"/>
      <c r="L43" s="17"/>
      <c r="M43" s="17"/>
    </row>
    <row r="44" customFormat="false" ht="21.75" hidden="false" customHeight="true" outlineLevel="0" collapsed="false">
      <c r="B44" s="16" t="s">
        <v>24</v>
      </c>
      <c r="C44" s="16"/>
      <c r="D44" s="16"/>
      <c r="E44" s="16"/>
      <c r="F44" s="17" t="str">
        <f aca="false">IF(AND(COUNTIFS($E$15:$E$21,"Validação",$J$15:$J$21,"Aprovado")+COUNTIFS($E$15:$E$21,"Validação",$J$15:$J$21,"Aprovado com ressalvas")&gt;0,(COUNTIF(I25:I32,"Não atende")+COUNTIF(M25:M32,"Verificação pendente"))=0,SUMPRODUCT((M36:M37&lt;&gt;"OK")*1)=0,SUMPRODUCT((M15:M21&lt;&gt;"OK")*1)=0),"Sim","Ainda não")</f>
        <v>Ainda não</v>
      </c>
      <c r="G44" s="17"/>
      <c r="H44" s="17"/>
      <c r="I44" s="17"/>
      <c r="J44" s="17"/>
      <c r="K44" s="17"/>
      <c r="L44" s="17"/>
      <c r="M44" s="17"/>
    </row>
  </sheetData>
  <mergeCells count="69">
    <mergeCell ref="B1:M1"/>
    <mergeCell ref="B2:M2"/>
    <mergeCell ref="B4:C4"/>
    <mergeCell ref="D4:M4"/>
    <mergeCell ref="B5:C5"/>
    <mergeCell ref="D5:M5"/>
    <mergeCell ref="B6:C6"/>
    <mergeCell ref="D6:M6"/>
    <mergeCell ref="B7:C7"/>
    <mergeCell ref="D7:M7"/>
    <mergeCell ref="B8:C8"/>
    <mergeCell ref="D8:M8"/>
    <mergeCell ref="B9:C9"/>
    <mergeCell ref="D9:M9"/>
    <mergeCell ref="B10:C10"/>
    <mergeCell ref="D10:M10"/>
    <mergeCell ref="B11:C11"/>
    <mergeCell ref="B13:M13"/>
    <mergeCell ref="C14:D14"/>
    <mergeCell ref="C15:D15"/>
    <mergeCell ref="C16:D16"/>
    <mergeCell ref="C17:D17"/>
    <mergeCell ref="C18:D18"/>
    <mergeCell ref="C19:D19"/>
    <mergeCell ref="C20:D20"/>
    <mergeCell ref="C21:D21"/>
    <mergeCell ref="B23:M23"/>
    <mergeCell ref="C24:D24"/>
    <mergeCell ref="J24:L24"/>
    <mergeCell ref="C25:D25"/>
    <mergeCell ref="J25:L25"/>
    <mergeCell ref="C26:D26"/>
    <mergeCell ref="J26:L26"/>
    <mergeCell ref="C27:D27"/>
    <mergeCell ref="J27:L27"/>
    <mergeCell ref="C28:D28"/>
    <mergeCell ref="J28:L28"/>
    <mergeCell ref="C29:D29"/>
    <mergeCell ref="J29:L29"/>
    <mergeCell ref="C30:D30"/>
    <mergeCell ref="J30:L30"/>
    <mergeCell ref="C31:D31"/>
    <mergeCell ref="J31:L31"/>
    <mergeCell ref="C32:D32"/>
    <mergeCell ref="J32:L32"/>
    <mergeCell ref="B34:M34"/>
    <mergeCell ref="C35:D35"/>
    <mergeCell ref="E35:F35"/>
    <mergeCell ref="G35:H35"/>
    <mergeCell ref="I35:K35"/>
    <mergeCell ref="C36:D36"/>
    <mergeCell ref="E36:F36"/>
    <mergeCell ref="G36:H36"/>
    <mergeCell ref="I36:K36"/>
    <mergeCell ref="C37:D37"/>
    <mergeCell ref="E37:F37"/>
    <mergeCell ref="G37:H37"/>
    <mergeCell ref="I37:K37"/>
    <mergeCell ref="B39:M39"/>
    <mergeCell ref="B40:E40"/>
    <mergeCell ref="F40:M40"/>
    <mergeCell ref="B41:E41"/>
    <mergeCell ref="F41:M41"/>
    <mergeCell ref="B42:E42"/>
    <mergeCell ref="F42:M42"/>
    <mergeCell ref="B43:E43"/>
    <mergeCell ref="F43:M43"/>
    <mergeCell ref="B44:E44"/>
    <mergeCell ref="F44:M44"/>
  </mergeCells>
  <conditionalFormatting sqref="J15:J21">
    <cfRule type="expression" priority="2" aboveAverage="0" equalAverage="0" bottom="0" percent="0" rank="0" text="" dxfId="0">
      <formula>J15="Aprovado"</formula>
    </cfRule>
    <cfRule type="expression" priority="3" aboveAverage="0" equalAverage="0" bottom="0" percent="0" rank="0" text="" dxfId="1">
      <formula>J15="Aprovado com ressalvas"</formula>
    </cfRule>
    <cfRule type="expression" priority="4" aboveAverage="0" equalAverage="0" bottom="0" percent="0" rank="0" text="" dxfId="2">
      <formula>J15="Reprovado"</formula>
    </cfRule>
  </conditionalFormatting>
  <conditionalFormatting sqref="M15:M21">
    <cfRule type="expression" priority="5" aboveAverage="0" equalAverage="0" bottom="0" percent="0" rank="0" text="" dxfId="0">
      <formula>M15="OK"</formula>
    </cfRule>
    <cfRule type="expression" priority="6" aboveAverage="0" equalAverage="0" bottom="0" percent="0" rank="0" text="" dxfId="3">
      <formula>M15="Liberado sem validação aprovada"</formula>
    </cfRule>
    <cfRule type="expression" priority="7" aboveAverage="0" equalAverage="0" bottom="0" percent="0" rank="0" text="" dxfId="3">
      <formula>M15="Atrasada"</formula>
    </cfRule>
    <cfRule type="expression" priority="8" aboveAverage="0" equalAverage="0" bottom="0" percent="0" rank="0" text="" dxfId="4">
      <formula>LEN(M15)&gt;0</formula>
    </cfRule>
  </conditionalFormatting>
  <conditionalFormatting sqref="I25:I32">
    <cfRule type="expression" priority="9" aboveAverage="0" equalAverage="0" bottom="0" percent="0" rank="0" text="" dxfId="0">
      <formula>I25="Atende"</formula>
    </cfRule>
    <cfRule type="expression" priority="10" aboveAverage="0" equalAverage="0" bottom="0" percent="0" rank="0" text="" dxfId="2">
      <formula>I25="Não atende"</formula>
    </cfRule>
  </conditionalFormatting>
  <conditionalFormatting sqref="M25:M32">
    <cfRule type="expression" priority="11" aboveAverage="0" equalAverage="0" bottom="0" percent="0" rank="0" text="" dxfId="0">
      <formula>M25="OK"</formula>
    </cfRule>
    <cfRule type="expression" priority="12" aboveAverage="0" equalAverage="0" bottom="0" percent="0" rank="0" text="" dxfId="3">
      <formula>M25="Não atende, sem ação"</formula>
    </cfRule>
    <cfRule type="expression" priority="13" aboveAverage="0" equalAverage="0" bottom="0" percent="0" rank="0" text="" dxfId="1">
      <formula>M25="Verificação pendente"</formula>
    </cfRule>
    <cfRule type="expression" priority="14" aboveAverage="0" equalAverage="0" bottom="0" percent="0" rank="0" text="" dxfId="1">
      <formula>M25="Não atende: ação em curso"</formula>
    </cfRule>
    <cfRule type="expression" priority="15" aboveAverage="0" equalAverage="0" bottom="0" percent="0" rank="0" text="" dxfId="4">
      <formula>LEN(M25)&gt;0</formula>
    </cfRule>
  </conditionalFormatting>
  <conditionalFormatting sqref="M36:M37">
    <cfRule type="expression" priority="16" aboveAverage="0" equalAverage="0" bottom="0" percent="0" rank="0" text="" dxfId="0">
      <formula>OR(M36="OK")</formula>
    </cfRule>
    <cfRule type="expression" priority="17" aboveAverage="0" equalAverage="0" bottom="0" percent="0" rank="0" text="" dxfId="4">
      <formula>AND(LEN(M36)&gt;0,NOT(OR(M36="OK")))</formula>
    </cfRule>
  </conditionalFormatting>
  <conditionalFormatting sqref="F44:M44">
    <cfRule type="expression" priority="18" aboveAverage="0" equalAverage="0" bottom="0" percent="0" rank="0" text="" dxfId="0">
      <formula>F44="Sim"</formula>
    </cfRule>
    <cfRule type="expression" priority="19" aboveAverage="0" equalAverage="0" bottom="0" percent="0" rank="0" text="" dxfId="3">
      <formula>F44="Ainda não"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2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4" min="3" style="0" width="24"/>
    <col collapsed="false" customWidth="true" hidden="false" outlineLevel="0" max="5" min="5" style="0" width="17"/>
    <col collapsed="false" customWidth="true" hidden="false" outlineLevel="0" max="7" min="6" style="0" width="2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213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214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4" t="s">
        <v>65</v>
      </c>
      <c r="C4" s="4"/>
      <c r="D4" s="24" t="s">
        <v>305</v>
      </c>
      <c r="E4" s="24"/>
      <c r="F4" s="24"/>
      <c r="G4" s="24"/>
      <c r="H4" s="24"/>
      <c r="I4" s="24"/>
      <c r="J4" s="24"/>
      <c r="K4" s="24"/>
      <c r="L4" s="24"/>
      <c r="M4" s="24"/>
    </row>
    <row r="5" customFormat="false" ht="19.5" hidden="false" customHeight="true" outlineLevel="0" collapsed="false">
      <c r="B5" s="4" t="s">
        <v>66</v>
      </c>
      <c r="C5" s="4"/>
      <c r="D5" s="24" t="s">
        <v>306</v>
      </c>
      <c r="E5" s="24"/>
      <c r="F5" s="24"/>
      <c r="G5" s="24"/>
      <c r="H5" s="24"/>
      <c r="I5" s="24"/>
      <c r="J5" s="24"/>
      <c r="K5" s="24"/>
      <c r="L5" s="24"/>
      <c r="M5" s="24"/>
    </row>
    <row r="6" customFormat="false" ht="19.5" hidden="false" customHeight="true" outlineLevel="0" collapsed="false">
      <c r="B6" s="4" t="s">
        <v>68</v>
      </c>
      <c r="C6" s="4"/>
      <c r="D6" s="24" t="s">
        <v>307</v>
      </c>
      <c r="E6" s="24"/>
      <c r="F6" s="24"/>
      <c r="G6" s="24"/>
      <c r="H6" s="24"/>
      <c r="I6" s="24"/>
      <c r="J6" s="24"/>
      <c r="K6" s="24"/>
      <c r="L6" s="24"/>
      <c r="M6" s="24"/>
    </row>
    <row r="7" customFormat="false" ht="19.5" hidden="false" customHeight="true" outlineLevel="0" collapsed="false">
      <c r="B7" s="4" t="s">
        <v>67</v>
      </c>
      <c r="C7" s="4"/>
      <c r="D7" s="24" t="s">
        <v>308</v>
      </c>
      <c r="E7" s="24"/>
      <c r="F7" s="24"/>
      <c r="G7" s="24"/>
      <c r="H7" s="24"/>
      <c r="I7" s="24"/>
      <c r="J7" s="24"/>
      <c r="K7" s="24"/>
      <c r="L7" s="24"/>
      <c r="M7" s="24"/>
    </row>
    <row r="8" customFormat="false" ht="19.5" hidden="false" customHeight="true" outlineLevel="0" collapsed="false">
      <c r="B8" s="4" t="s">
        <v>69</v>
      </c>
      <c r="C8" s="4"/>
      <c r="D8" s="24" t="s">
        <v>309</v>
      </c>
      <c r="E8" s="24"/>
      <c r="F8" s="24"/>
      <c r="G8" s="24"/>
      <c r="H8" s="24"/>
      <c r="I8" s="24"/>
      <c r="J8" s="24"/>
      <c r="K8" s="24"/>
      <c r="L8" s="24"/>
      <c r="M8" s="24"/>
    </row>
    <row r="9" customFormat="false" ht="19.5" hidden="false" customHeight="true" outlineLevel="0" collapsed="false">
      <c r="B9" s="4" t="s">
        <v>220</v>
      </c>
      <c r="C9" s="4"/>
      <c r="D9" s="24" t="s">
        <v>310</v>
      </c>
      <c r="E9" s="24"/>
      <c r="F9" s="24"/>
      <c r="G9" s="24"/>
      <c r="H9" s="24"/>
      <c r="I9" s="24"/>
      <c r="J9" s="24"/>
      <c r="K9" s="24"/>
      <c r="L9" s="24"/>
      <c r="M9" s="24"/>
    </row>
    <row r="10" customFormat="false" ht="19.5" hidden="false" customHeight="true" outlineLevel="0" collapsed="false">
      <c r="B10" s="4" t="s">
        <v>222</v>
      </c>
      <c r="C10" s="4"/>
      <c r="D10" s="24" t="s">
        <v>311</v>
      </c>
      <c r="E10" s="24"/>
      <c r="F10" s="24"/>
      <c r="G10" s="24"/>
      <c r="H10" s="24"/>
      <c r="I10" s="24"/>
      <c r="J10" s="24"/>
      <c r="K10" s="24"/>
      <c r="L10" s="24"/>
      <c r="M10" s="24"/>
    </row>
    <row r="11" customFormat="false" ht="15" hidden="false" customHeight="true" outlineLevel="0" collapsed="false">
      <c r="B11" s="4" t="s">
        <v>72</v>
      </c>
      <c r="C11" s="4"/>
      <c r="D11" s="25" t="n">
        <v>46629</v>
      </c>
    </row>
    <row r="13" customFormat="false" ht="21.75" hidden="false" customHeight="true" outlineLevel="0" collapsed="false">
      <c r="B13" s="26" t="s">
        <v>63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customFormat="false" ht="30" hidden="false" customHeight="true" outlineLevel="0" collapsed="false">
      <c r="B14" s="20" t="s">
        <v>74</v>
      </c>
      <c r="C14" s="27" t="s">
        <v>75</v>
      </c>
      <c r="D14" s="27"/>
      <c r="E14" s="20" t="s">
        <v>76</v>
      </c>
      <c r="F14" s="20" t="s">
        <v>77</v>
      </c>
      <c r="G14" s="20" t="s">
        <v>78</v>
      </c>
      <c r="H14" s="20" t="s">
        <v>79</v>
      </c>
      <c r="I14" s="20" t="s">
        <v>224</v>
      </c>
      <c r="J14" s="20" t="s">
        <v>81</v>
      </c>
      <c r="K14" s="20" t="s">
        <v>82</v>
      </c>
      <c r="L14" s="20" t="s">
        <v>83</v>
      </c>
      <c r="M14" s="20" t="s">
        <v>84</v>
      </c>
    </row>
    <row r="15" customFormat="false" ht="30.75" hidden="false" customHeight="true" outlineLevel="0" collapsed="false">
      <c r="B15" s="12" t="n">
        <v>1</v>
      </c>
      <c r="C15" s="28" t="s">
        <v>312</v>
      </c>
      <c r="D15" s="28"/>
      <c r="E15" s="29" t="s">
        <v>226</v>
      </c>
      <c r="F15" s="7" t="s">
        <v>141</v>
      </c>
      <c r="G15" s="7" t="s">
        <v>313</v>
      </c>
      <c r="H15" s="30" t="n">
        <v>46549</v>
      </c>
      <c r="I15" s="30" t="n">
        <v>46549</v>
      </c>
      <c r="J15" s="29" t="s">
        <v>229</v>
      </c>
      <c r="K15" s="7"/>
      <c r="L15" s="7" t="s">
        <v>314</v>
      </c>
      <c r="M15" s="14" t="str">
        <f aca="false">IF(C15="",IF(1&gt;0,"Falta a etapa",""),IF(E15="","Falta o tipo",IF(F15="","Falta o responsável",IF(H15="","Falta o prazo",IF(AND(I15&lt;&gt;"",J15=""),"Falta o resultado",IF(AND(J15&lt;&gt;"",I15=""),"Falta a data de conclusão",IF(AND(OR(J15="Aprovado com ressalvas",J15="Reprovado"),K15=""),"Falta a ação",IF(AND(E15="Liberação para produção",I15&lt;&gt;"",COUNTIFS($E$15:$E$23,"Validação",$J$15:$J$23,"Aprovado")+COUNTIFS($E$15:$E$23,"Validação",$J$15:$J$23,"Aprovado com ressalvas")=0),"Liberado sem validação aprovada",IF(AND(I15="",ISNUMBER($D$11),H15&lt;$D$11),"Atrasada","OK")))))))))</f>
        <v>OK</v>
      </c>
    </row>
    <row r="16" customFormat="false" ht="30.75" hidden="false" customHeight="true" outlineLevel="0" collapsed="false">
      <c r="B16" s="12" t="n">
        <v>2</v>
      </c>
      <c r="C16" s="28" t="s">
        <v>315</v>
      </c>
      <c r="D16" s="28"/>
      <c r="E16" s="29" t="s">
        <v>232</v>
      </c>
      <c r="F16" s="7" t="s">
        <v>141</v>
      </c>
      <c r="G16" s="7" t="s">
        <v>316</v>
      </c>
      <c r="H16" s="30" t="n">
        <v>46563</v>
      </c>
      <c r="I16" s="30" t="n">
        <v>46562</v>
      </c>
      <c r="J16" s="29" t="s">
        <v>229</v>
      </c>
      <c r="K16" s="7"/>
      <c r="L16" s="7" t="s">
        <v>317</v>
      </c>
      <c r="M16" s="14" t="str">
        <f aca="false">IF(C16="",IF(1&gt;0,"Falta a etapa",""),IF(E16="","Falta o tipo",IF(F16="","Falta o responsável",IF(H16="","Falta o prazo",IF(AND(I16&lt;&gt;"",J16=""),"Falta o resultado",IF(AND(J16&lt;&gt;"",I16=""),"Falta a data de conclusão",IF(AND(OR(J16="Aprovado com ressalvas",J16="Reprovado"),K16=""),"Falta a ação",IF(AND(E16="Liberação para produção",I16&lt;&gt;"",COUNTIFS($E$15:$E$23,"Validação",$J$15:$J$23,"Aprovado")+COUNTIFS($E$15:$E$23,"Validação",$J$15:$J$23,"Aprovado com ressalvas")=0),"Liberado sem validação aprovada",IF(AND(I16="",ISNUMBER($D$11),H16&lt;$D$11),"Atrasada","OK")))))))))</f>
        <v>OK</v>
      </c>
    </row>
    <row r="17" customFormat="false" ht="30.75" hidden="false" customHeight="true" outlineLevel="0" collapsed="false">
      <c r="B17" s="12" t="n">
        <v>3</v>
      </c>
      <c r="C17" s="28" t="s">
        <v>318</v>
      </c>
      <c r="D17" s="28"/>
      <c r="E17" s="29" t="s">
        <v>173</v>
      </c>
      <c r="F17" s="7" t="s">
        <v>141</v>
      </c>
      <c r="G17" s="7" t="s">
        <v>319</v>
      </c>
      <c r="H17" s="30" t="n">
        <v>46566</v>
      </c>
      <c r="I17" s="30" t="n">
        <v>46566</v>
      </c>
      <c r="J17" s="29" t="s">
        <v>229</v>
      </c>
      <c r="K17" s="7"/>
      <c r="L17" s="7" t="s">
        <v>320</v>
      </c>
      <c r="M17" s="14" t="str">
        <f aca="false">IF(C17="",IF(1&gt;0,"Falta a etapa",""),IF(E17="","Falta o tipo",IF(F17="","Falta o responsável",IF(H17="","Falta o prazo",IF(AND(I17&lt;&gt;"",J17=""),"Falta o resultado",IF(AND(J17&lt;&gt;"",I17=""),"Falta a data de conclusão",IF(AND(OR(J17="Aprovado com ressalvas",J17="Reprovado"),K17=""),"Falta a ação",IF(AND(E17="Liberação para produção",I17&lt;&gt;"",COUNTIFS($E$15:$E$23,"Validação",$J$15:$J$23,"Aprovado")+COUNTIFS($E$15:$E$23,"Validação",$J$15:$J$23,"Aprovado com ressalvas")=0),"Liberado sem validação aprovada",IF(AND(I17="",ISNUMBER($D$11),H17&lt;$D$11),"Atrasada","OK")))))))))</f>
        <v>OK</v>
      </c>
    </row>
    <row r="18" customFormat="false" ht="30.75" hidden="false" customHeight="true" outlineLevel="0" collapsed="false">
      <c r="B18" s="12" t="n">
        <v>4</v>
      </c>
      <c r="C18" s="28" t="s">
        <v>321</v>
      </c>
      <c r="D18" s="28"/>
      <c r="E18" s="29" t="s">
        <v>175</v>
      </c>
      <c r="F18" s="7" t="s">
        <v>322</v>
      </c>
      <c r="G18" s="7" t="s">
        <v>323</v>
      </c>
      <c r="H18" s="30" t="n">
        <v>46584</v>
      </c>
      <c r="I18" s="30" t="n">
        <v>46584</v>
      </c>
      <c r="J18" s="29" t="s">
        <v>237</v>
      </c>
      <c r="K18" s="7" t="s">
        <v>324</v>
      </c>
      <c r="L18" s="7" t="s">
        <v>325</v>
      </c>
      <c r="M18" s="14" t="str">
        <f aca="false">IF(C18="",IF(1&gt;0,"Falta a etapa",""),IF(E18="","Falta o tipo",IF(F18="","Falta o responsável",IF(H18="","Falta o prazo",IF(AND(I18&lt;&gt;"",J18=""),"Falta o resultado",IF(AND(J18&lt;&gt;"",I18=""),"Falta a data de conclusão",IF(AND(OR(J18="Aprovado com ressalvas",J18="Reprovado"),K18=""),"Falta a ação",IF(AND(E18="Liberação para produção",I18&lt;&gt;"",COUNTIFS($E$15:$E$23,"Validação",$J$15:$J$23,"Aprovado")+COUNTIFS($E$15:$E$23,"Validação",$J$15:$J$23,"Aprovado com ressalvas")=0),"Liberado sem validação aprovada",IF(AND(I18="",ISNUMBER($D$11),H18&lt;$D$11),"Atrasada","OK")))))))))</f>
        <v>OK</v>
      </c>
    </row>
    <row r="19" customFormat="false" ht="54.75" hidden="false" customHeight="true" outlineLevel="0" collapsed="false">
      <c r="B19" s="12" t="n">
        <v>5</v>
      </c>
      <c r="C19" s="28" t="s">
        <v>326</v>
      </c>
      <c r="D19" s="28"/>
      <c r="E19" s="29" t="s">
        <v>177</v>
      </c>
      <c r="F19" s="7" t="s">
        <v>141</v>
      </c>
      <c r="G19" s="7" t="s">
        <v>327</v>
      </c>
      <c r="H19" s="30" t="n">
        <v>46605</v>
      </c>
      <c r="I19" s="30" t="n">
        <v>46608</v>
      </c>
      <c r="J19" s="29" t="s">
        <v>328</v>
      </c>
      <c r="K19" s="7" t="s">
        <v>329</v>
      </c>
      <c r="L19" s="7" t="s">
        <v>330</v>
      </c>
      <c r="M19" s="14" t="str">
        <f aca="false">IF(C19="",IF(1&gt;0,"Falta a etapa",""),IF(E19="","Falta o tipo",IF(F19="","Falta o responsável",IF(H19="","Falta o prazo",IF(AND(I19&lt;&gt;"",J19=""),"Falta o resultado",IF(AND(J19&lt;&gt;"",I19=""),"Falta a data de conclusão",IF(AND(OR(J19="Aprovado com ressalvas",J19="Reprovado"),K19=""),"Falta a ação",IF(AND(E19="Liberação para produção",I19&lt;&gt;"",COUNTIFS($E$15:$E$23,"Validação",$J$15:$J$23,"Aprovado")+COUNTIFS($E$15:$E$23,"Validação",$J$15:$J$23,"Aprovado com ressalvas")=0),"Liberado sem validação aprovada",IF(AND(I19="",ISNUMBER($D$11),H19&lt;$D$11),"Atrasada","OK")))))))))</f>
        <v>OK</v>
      </c>
    </row>
    <row r="20" customFormat="false" ht="30.75" hidden="false" customHeight="true" outlineLevel="0" collapsed="false">
      <c r="B20" s="12" t="n">
        <v>6</v>
      </c>
      <c r="C20" s="28" t="s">
        <v>331</v>
      </c>
      <c r="D20" s="28"/>
      <c r="E20" s="29" t="s">
        <v>173</v>
      </c>
      <c r="F20" s="7" t="s">
        <v>141</v>
      </c>
      <c r="G20" s="7" t="s">
        <v>332</v>
      </c>
      <c r="H20" s="30" t="n">
        <v>46612</v>
      </c>
      <c r="I20" s="30" t="n">
        <v>46611</v>
      </c>
      <c r="J20" s="29" t="s">
        <v>229</v>
      </c>
      <c r="K20" s="7"/>
      <c r="L20" s="7" t="s">
        <v>333</v>
      </c>
      <c r="M20" s="14" t="str">
        <f aca="false">IF(C20="",IF(1&gt;0,"Falta a etapa",""),IF(E20="","Falta o tipo",IF(F20="","Falta o responsável",IF(H20="","Falta o prazo",IF(AND(I20&lt;&gt;"",J20=""),"Falta o resultado",IF(AND(J20&lt;&gt;"",I20=""),"Falta a data de conclusão",IF(AND(OR(J20="Aprovado com ressalvas",J20="Reprovado"),K20=""),"Falta a ação",IF(AND(E20="Liberação para produção",I20&lt;&gt;"",COUNTIFS($E$15:$E$23,"Validação",$J$15:$J$23,"Aprovado")+COUNTIFS($E$15:$E$23,"Validação",$J$15:$J$23,"Aprovado com ressalvas")=0),"Liberado sem validação aprovada",IF(AND(I20="",ISNUMBER($D$11),H20&lt;$D$11),"Atrasada","OK")))))))))</f>
        <v>OK</v>
      </c>
    </row>
    <row r="21" customFormat="false" ht="21.75" hidden="false" customHeight="true" outlineLevel="0" collapsed="false">
      <c r="B21" s="12" t="n">
        <v>7</v>
      </c>
      <c r="C21" s="28" t="s">
        <v>334</v>
      </c>
      <c r="D21" s="28"/>
      <c r="E21" s="29" t="s">
        <v>175</v>
      </c>
      <c r="F21" s="7" t="s">
        <v>322</v>
      </c>
      <c r="G21" s="7" t="s">
        <v>323</v>
      </c>
      <c r="H21" s="30" t="n">
        <v>46626</v>
      </c>
      <c r="I21" s="30"/>
      <c r="J21" s="29"/>
      <c r="K21" s="7"/>
      <c r="L21" s="7"/>
      <c r="M21" s="14" t="str">
        <f aca="false">IF(C21="",IF(1&gt;0,"Falta a etapa",""),IF(E21="","Falta o tipo",IF(F21="","Falta o responsável",IF(H21="","Falta o prazo",IF(AND(I21&lt;&gt;"",J21=""),"Falta o resultado",IF(AND(J21&lt;&gt;"",I21=""),"Falta a data de conclusão",IF(AND(OR(J21="Aprovado com ressalvas",J21="Reprovado"),K21=""),"Falta a ação",IF(AND(E21="Liberação para produção",I21&lt;&gt;"",COUNTIFS($E$15:$E$23,"Validação",$J$15:$J$23,"Aprovado")+COUNTIFS($E$15:$E$23,"Validação",$J$15:$J$23,"Aprovado com ressalvas")=0),"Liberado sem validação aprovada",IF(AND(I21="",ISNUMBER($D$11),H21&lt;$D$11),"Atrasada","OK")))))))))</f>
        <v>Atrasada</v>
      </c>
    </row>
    <row r="22" customFormat="false" ht="30.75" hidden="false" customHeight="true" outlineLevel="0" collapsed="false">
      <c r="B22" s="12" t="n">
        <v>8</v>
      </c>
      <c r="C22" s="28" t="s">
        <v>335</v>
      </c>
      <c r="D22" s="28"/>
      <c r="E22" s="29" t="s">
        <v>177</v>
      </c>
      <c r="F22" s="7" t="s">
        <v>141</v>
      </c>
      <c r="G22" s="7" t="s">
        <v>327</v>
      </c>
      <c r="H22" s="30" t="n">
        <v>46647</v>
      </c>
      <c r="I22" s="30"/>
      <c r="J22" s="29"/>
      <c r="K22" s="7"/>
      <c r="L22" s="7"/>
      <c r="M22" s="14" t="str">
        <f aca="false">IF(C22="",IF(1&gt;0,"Falta a etapa",""),IF(E22="","Falta o tipo",IF(F22="","Falta o responsável",IF(H22="","Falta o prazo",IF(AND(I22&lt;&gt;"",J22=""),"Falta o resultado",IF(AND(J22&lt;&gt;"",I22=""),"Falta a data de conclusão",IF(AND(OR(J22="Aprovado com ressalvas",J22="Reprovado"),K22=""),"Falta a ação",IF(AND(E22="Liberação para produção",I22&lt;&gt;"",COUNTIFS($E$15:$E$23,"Validação",$J$15:$J$23,"Aprovado")+COUNTIFS($E$15:$E$23,"Validação",$J$15:$J$23,"Aprovado com ressalvas")=0),"Liberado sem validação aprovada",IF(AND(I22="",ISNUMBER($D$11),H22&lt;$D$11),"Atrasada","OK")))))))))</f>
        <v>OK</v>
      </c>
    </row>
    <row r="23" customFormat="false" ht="30.75" hidden="false" customHeight="true" outlineLevel="0" collapsed="false">
      <c r="B23" s="12" t="n">
        <v>9</v>
      </c>
      <c r="C23" s="28" t="s">
        <v>336</v>
      </c>
      <c r="D23" s="28"/>
      <c r="E23" s="29" t="s">
        <v>249</v>
      </c>
      <c r="F23" s="7" t="s">
        <v>141</v>
      </c>
      <c r="G23" s="7" t="s">
        <v>337</v>
      </c>
      <c r="H23" s="30" t="n">
        <v>46654</v>
      </c>
      <c r="I23" s="30"/>
      <c r="J23" s="29"/>
      <c r="K23" s="7"/>
      <c r="L23" s="7"/>
      <c r="M23" s="14" t="str">
        <f aca="false">IF(C23="",IF(1&gt;0,"Falta a etapa",""),IF(E23="","Falta o tipo",IF(F23="","Falta o responsável",IF(H23="","Falta o prazo",IF(AND(I23&lt;&gt;"",J23=""),"Falta o resultado",IF(AND(J23&lt;&gt;"",I23=""),"Falta a data de conclusão",IF(AND(OR(J23="Aprovado com ressalvas",J23="Reprovado"),K23=""),"Falta a ação",IF(AND(E23="Liberação para produção",I23&lt;&gt;"",COUNTIFS($E$15:$E$23,"Validação",$J$15:$J$23,"Aprovado")+COUNTIFS($E$15:$E$23,"Validação",$J$15:$J$23,"Aprovado com ressalvas")=0),"Liberado sem validação aprovada",IF(AND(I23="",ISNUMBER($D$11),H23&lt;$D$11),"Atrasada","OK")))))))))</f>
        <v>OK</v>
      </c>
    </row>
    <row r="25" customFormat="false" ht="21.75" hidden="false" customHeight="true" outlineLevel="0" collapsed="false">
      <c r="B25" s="31" t="s">
        <v>98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customFormat="false" ht="30" hidden="false" customHeight="true" outlineLevel="0" collapsed="false">
      <c r="B26" s="20" t="s">
        <v>74</v>
      </c>
      <c r="C26" s="27" t="s">
        <v>101</v>
      </c>
      <c r="D26" s="27"/>
      <c r="E26" s="20" t="s">
        <v>76</v>
      </c>
      <c r="F26" s="20" t="s">
        <v>102</v>
      </c>
      <c r="G26" s="20" t="s">
        <v>103</v>
      </c>
      <c r="H26" s="20" t="s">
        <v>104</v>
      </c>
      <c r="I26" s="20" t="s">
        <v>81</v>
      </c>
      <c r="J26" s="27" t="s">
        <v>105</v>
      </c>
      <c r="K26" s="27"/>
      <c r="L26" s="27"/>
      <c r="M26" s="20" t="s">
        <v>84</v>
      </c>
    </row>
    <row r="27" customFormat="false" ht="42.75" hidden="false" customHeight="true" outlineLevel="0" collapsed="false">
      <c r="B27" s="32" t="s">
        <v>251</v>
      </c>
      <c r="C27" s="28" t="s">
        <v>338</v>
      </c>
      <c r="D27" s="28"/>
      <c r="E27" s="29" t="s">
        <v>184</v>
      </c>
      <c r="F27" s="7" t="s">
        <v>339</v>
      </c>
      <c r="G27" s="7" t="s">
        <v>340</v>
      </c>
      <c r="H27" s="7" t="s">
        <v>341</v>
      </c>
      <c r="I27" s="29" t="s">
        <v>119</v>
      </c>
      <c r="J27" s="7" t="s">
        <v>342</v>
      </c>
      <c r="K27" s="7"/>
      <c r="L27" s="7"/>
      <c r="M27" s="14" t="str">
        <f aca="false">IF(C27="",IF(1&gt;0,"Falta a entrada",""),IF(E27="","Falta o tipo",IF(F27="","Falta a fonte",IF(G27="","Falta a saída que atende",IF(H27="","Falta como verificar",IF(I27="Não atende",IF(J27="","Não atende, sem ação","Não atende: ação em curso"),IF(I27="","Verificação pendente","OK")))))))</f>
        <v>OK</v>
      </c>
    </row>
    <row r="28" customFormat="false" ht="30.75" hidden="false" customHeight="true" outlineLevel="0" collapsed="false">
      <c r="B28" s="32" t="s">
        <v>257</v>
      </c>
      <c r="C28" s="28" t="s">
        <v>343</v>
      </c>
      <c r="D28" s="28"/>
      <c r="E28" s="29" t="s">
        <v>184</v>
      </c>
      <c r="F28" s="7" t="s">
        <v>344</v>
      </c>
      <c r="G28" s="7" t="s">
        <v>340</v>
      </c>
      <c r="H28" s="7" t="s">
        <v>345</v>
      </c>
      <c r="I28" s="29" t="s">
        <v>119</v>
      </c>
      <c r="J28" s="7" t="s">
        <v>346</v>
      </c>
      <c r="K28" s="7"/>
      <c r="L28" s="7"/>
      <c r="M28" s="14" t="str">
        <f aca="false">IF(C28="",IF(1&gt;0,"Falta a entrada",""),IF(E28="","Falta o tipo",IF(F28="","Falta a fonte",IF(G28="","Falta a saída que atende",IF(H28="","Falta como verificar",IF(I28="Não atende",IF(J28="","Não atende, sem ação","Não atende: ação em curso"),IF(I28="","Verificação pendente","OK")))))))</f>
        <v>OK</v>
      </c>
    </row>
    <row r="29" customFormat="false" ht="42.75" hidden="false" customHeight="true" outlineLevel="0" collapsed="false">
      <c r="B29" s="32" t="s">
        <v>113</v>
      </c>
      <c r="C29" s="28" t="s">
        <v>114</v>
      </c>
      <c r="D29" s="28"/>
      <c r="E29" s="29" t="s">
        <v>115</v>
      </c>
      <c r="F29" s="7" t="s">
        <v>116</v>
      </c>
      <c r="G29" s="7" t="s">
        <v>347</v>
      </c>
      <c r="H29" s="7" t="s">
        <v>118</v>
      </c>
      <c r="I29" s="29" t="s">
        <v>119</v>
      </c>
      <c r="J29" s="7" t="s">
        <v>120</v>
      </c>
      <c r="K29" s="7"/>
      <c r="L29" s="7"/>
      <c r="M29" s="14" t="str">
        <f aca="false">IF(C29="",IF(1&gt;0,"Falta a entrada",""),IF(E29="","Falta o tipo",IF(F29="","Falta a fonte",IF(G29="","Falta a saída que atende",IF(H29="","Falta como verificar",IF(I29="Não atende",IF(J29="","Não atende, sem ação","Não atende: ação em curso"),IF(I29="","Verificação pendente","OK")))))))</f>
        <v>OK</v>
      </c>
    </row>
    <row r="30" customFormat="false" ht="42.75" hidden="false" customHeight="true" outlineLevel="0" collapsed="false">
      <c r="B30" s="32" t="s">
        <v>268</v>
      </c>
      <c r="C30" s="28" t="s">
        <v>348</v>
      </c>
      <c r="D30" s="28"/>
      <c r="E30" s="29" t="s">
        <v>185</v>
      </c>
      <c r="F30" s="7" t="s">
        <v>349</v>
      </c>
      <c r="G30" s="7" t="s">
        <v>350</v>
      </c>
      <c r="H30" s="7" t="s">
        <v>351</v>
      </c>
      <c r="I30" s="29" t="s">
        <v>119</v>
      </c>
      <c r="J30" s="7" t="s">
        <v>352</v>
      </c>
      <c r="K30" s="7"/>
      <c r="L30" s="7"/>
      <c r="M30" s="14" t="str">
        <f aca="false">IF(C30="",IF(1&gt;0,"Falta a entrada",""),IF(E30="","Falta o tipo",IF(F30="","Falta a fonte",IF(G30="","Falta a saída que atende",IF(H30="","Falta como verificar",IF(I30="Não atende",IF(J30="","Não atende, sem ação","Não atende: ação em curso"),IF(I30="","Verificação pendente","OK")))))))</f>
        <v>OK</v>
      </c>
    </row>
    <row r="31" customFormat="false" ht="30.75" hidden="false" customHeight="true" outlineLevel="0" collapsed="false">
      <c r="B31" s="32" t="s">
        <v>274</v>
      </c>
      <c r="C31" s="28" t="s">
        <v>353</v>
      </c>
      <c r="D31" s="28"/>
      <c r="E31" s="29" t="s">
        <v>186</v>
      </c>
      <c r="F31" s="7" t="s">
        <v>354</v>
      </c>
      <c r="G31" s="7" t="s">
        <v>355</v>
      </c>
      <c r="H31" s="7" t="s">
        <v>356</v>
      </c>
      <c r="I31" s="29" t="s">
        <v>119</v>
      </c>
      <c r="J31" s="7" t="s">
        <v>357</v>
      </c>
      <c r="K31" s="7"/>
      <c r="L31" s="7"/>
      <c r="M31" s="14" t="str">
        <f aca="false">IF(C31="",IF(1&gt;0,"Falta a entrada",""),IF(E31="","Falta o tipo",IF(F31="","Falta a fonte",IF(G31="","Falta a saída que atende",IF(H31="","Falta como verificar",IF(I31="Não atende",IF(J31="","Não atende, sem ação","Não atende: ação em curso"),IF(I31="","Verificação pendente","OK")))))))</f>
        <v>OK</v>
      </c>
    </row>
    <row r="32" customFormat="false" ht="30.75" hidden="false" customHeight="true" outlineLevel="0" collapsed="false">
      <c r="B32" s="32" t="s">
        <v>280</v>
      </c>
      <c r="C32" s="28" t="s">
        <v>358</v>
      </c>
      <c r="D32" s="28"/>
      <c r="E32" s="29" t="s">
        <v>187</v>
      </c>
      <c r="F32" s="7" t="s">
        <v>359</v>
      </c>
      <c r="G32" s="7" t="s">
        <v>360</v>
      </c>
      <c r="H32" s="7" t="s">
        <v>361</v>
      </c>
      <c r="I32" s="29" t="s">
        <v>119</v>
      </c>
      <c r="J32" s="7" t="s">
        <v>362</v>
      </c>
      <c r="K32" s="7"/>
      <c r="L32" s="7"/>
      <c r="M32" s="14" t="str">
        <f aca="false">IF(C32="",IF(1&gt;0,"Falta a entrada",""),IF(E32="","Falta o tipo",IF(F32="","Falta a fonte",IF(G32="","Falta a saída que atende",IF(H32="","Falta como verificar",IF(I32="Não atende",IF(J32="","Não atende, sem ação","Não atende: ação em curso"),IF(I32="","Verificação pendente","OK")))))))</f>
        <v>OK</v>
      </c>
    </row>
    <row r="33" customFormat="false" ht="30.75" hidden="false" customHeight="true" outlineLevel="0" collapsed="false">
      <c r="B33" s="32" t="s">
        <v>286</v>
      </c>
      <c r="C33" s="28" t="s">
        <v>363</v>
      </c>
      <c r="D33" s="28"/>
      <c r="E33" s="29" t="s">
        <v>184</v>
      </c>
      <c r="F33" s="7" t="s">
        <v>344</v>
      </c>
      <c r="G33" s="7" t="s">
        <v>364</v>
      </c>
      <c r="H33" s="7" t="s">
        <v>365</v>
      </c>
      <c r="I33" s="29" t="s">
        <v>119</v>
      </c>
      <c r="J33" s="7" t="s">
        <v>366</v>
      </c>
      <c r="K33" s="7"/>
      <c r="L33" s="7"/>
      <c r="M33" s="14" t="str">
        <f aca="false">IF(C33="",IF(1&gt;0,"Falta a entrada",""),IF(E33="","Falta o tipo",IF(F33="","Falta a fonte",IF(G33="","Falta a saída que atende",IF(H33="","Falta como verificar",IF(I33="Não atende",IF(J33="","Não atende, sem ação","Não atende: ação em curso"),IF(I33="","Verificação pendente","OK")))))))</f>
        <v>OK</v>
      </c>
    </row>
    <row r="34" customFormat="false" ht="30.75" hidden="false" customHeight="true" outlineLevel="0" collapsed="false">
      <c r="B34" s="32" t="s">
        <v>292</v>
      </c>
      <c r="C34" s="28" t="s">
        <v>367</v>
      </c>
      <c r="D34" s="28"/>
      <c r="E34" s="29" t="s">
        <v>189</v>
      </c>
      <c r="F34" s="7" t="s">
        <v>368</v>
      </c>
      <c r="G34" s="7" t="s">
        <v>360</v>
      </c>
      <c r="H34" s="7" t="s">
        <v>369</v>
      </c>
      <c r="I34" s="29" t="s">
        <v>22</v>
      </c>
      <c r="J34" s="7" t="s">
        <v>370</v>
      </c>
      <c r="K34" s="7"/>
      <c r="L34" s="7"/>
      <c r="M34" s="14" t="str">
        <f aca="false">IF(C34="",IF(1&gt;0,"Falta a entrada",""),IF(E34="","Falta o tipo",IF(F34="","Falta a fonte",IF(G34="","Falta a saída que atende",IF(H34="","Falta como verificar",IF(I34="Não atende",IF(J34="","Não atende, sem ação","Não atende: ação em curso"),IF(I34="","Verificação pendente","OK")))))))</f>
        <v>Não atende: ação em curso</v>
      </c>
    </row>
    <row r="35" customFormat="false" ht="30.75" hidden="false" customHeight="true" outlineLevel="0" collapsed="false">
      <c r="B35" s="32" t="s">
        <v>371</v>
      </c>
      <c r="C35" s="28" t="s">
        <v>372</v>
      </c>
      <c r="D35" s="28"/>
      <c r="E35" s="29" t="s">
        <v>188</v>
      </c>
      <c r="F35" s="7" t="s">
        <v>373</v>
      </c>
      <c r="G35" s="7" t="s">
        <v>374</v>
      </c>
      <c r="H35" s="7" t="s">
        <v>375</v>
      </c>
      <c r="I35" s="29"/>
      <c r="J35" s="7"/>
      <c r="K35" s="7"/>
      <c r="L35" s="7"/>
      <c r="M35" s="14" t="str">
        <f aca="false">IF(C35="",IF(1&gt;0,"Falta a entrada",""),IF(E35="","Falta o tipo",IF(F35="","Falta a fonte",IF(G35="","Falta a saída que atende",IF(H35="","Falta como verificar",IF(I35="Não atende",IF(J35="","Não atende, sem ação","Não atende: ação em curso"),IF(I35="","Verificação pendente","OK")))))))</f>
        <v>Verificação pendente</v>
      </c>
    </row>
    <row r="37" customFormat="false" ht="21.75" hidden="false" customHeight="true" outlineLevel="0" collapsed="false">
      <c r="B37" s="33" t="s">
        <v>125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customFormat="false" ht="30" hidden="false" customHeight="true" outlineLevel="0" collapsed="false">
      <c r="B38" s="20" t="s">
        <v>89</v>
      </c>
      <c r="C38" s="27" t="s">
        <v>127</v>
      </c>
      <c r="D38" s="27"/>
      <c r="E38" s="27" t="s">
        <v>128</v>
      </c>
      <c r="F38" s="27"/>
      <c r="G38" s="27" t="s">
        <v>129</v>
      </c>
      <c r="H38" s="27"/>
      <c r="I38" s="27" t="s">
        <v>297</v>
      </c>
      <c r="J38" s="27"/>
      <c r="K38" s="27"/>
      <c r="L38" s="20" t="s">
        <v>131</v>
      </c>
      <c r="M38" s="20" t="s">
        <v>84</v>
      </c>
    </row>
    <row r="39" customFormat="false" ht="30.75" hidden="false" customHeight="true" outlineLevel="0" collapsed="false">
      <c r="B39" s="34" t="n">
        <v>46576</v>
      </c>
      <c r="C39" s="28" t="s">
        <v>376</v>
      </c>
      <c r="D39" s="28"/>
      <c r="E39" s="7" t="s">
        <v>377</v>
      </c>
      <c r="F39" s="7"/>
      <c r="G39" s="7" t="s">
        <v>378</v>
      </c>
      <c r="H39" s="7"/>
      <c r="I39" s="7" t="s">
        <v>379</v>
      </c>
      <c r="J39" s="7"/>
      <c r="K39" s="7"/>
      <c r="L39" s="7" t="s">
        <v>141</v>
      </c>
      <c r="M39" s="14" t="str">
        <f aca="false">IF(C39="",IF(1&gt;0,"Falta o que mudou",""),IF(G39="","Falta a análise",IF(L39="","Falta quem autorizou",IF(I39="","Falta o que foi verificado de novo","OK"))))</f>
        <v>OK</v>
      </c>
    </row>
    <row r="40" customFormat="false" ht="30.75" hidden="false" customHeight="true" outlineLevel="0" collapsed="false">
      <c r="B40" s="34" t="n">
        <v>46611</v>
      </c>
      <c r="C40" s="28" t="s">
        <v>380</v>
      </c>
      <c r="D40" s="28"/>
      <c r="E40" s="7" t="s">
        <v>381</v>
      </c>
      <c r="F40" s="7"/>
      <c r="G40" s="7" t="s">
        <v>382</v>
      </c>
      <c r="H40" s="7"/>
      <c r="I40" s="7" t="s">
        <v>383</v>
      </c>
      <c r="J40" s="7"/>
      <c r="K40" s="7"/>
      <c r="L40" s="7" t="s">
        <v>141</v>
      </c>
      <c r="M40" s="14" t="str">
        <f aca="false">IF(C40="",IF(1&gt;0,"Falta o que mudou",""),IF(G40="","Falta a análise",IF(L40="","Falta quem autorizou",IF(I40="","Falta o que foi verificado de novo","OK"))))</f>
        <v>OK</v>
      </c>
    </row>
    <row r="41" customFormat="false" ht="30.75" hidden="false" customHeight="true" outlineLevel="0" collapsed="false">
      <c r="B41" s="34" t="n">
        <v>46621</v>
      </c>
      <c r="C41" s="28" t="s">
        <v>384</v>
      </c>
      <c r="D41" s="28"/>
      <c r="E41" s="7" t="s">
        <v>385</v>
      </c>
      <c r="F41" s="7"/>
      <c r="G41" s="7"/>
      <c r="H41" s="7"/>
      <c r="I41" s="7"/>
      <c r="J41" s="7"/>
      <c r="K41" s="7"/>
      <c r="L41" s="7" t="s">
        <v>386</v>
      </c>
      <c r="M41" s="14" t="str">
        <f aca="false">IF(C41="",IF(1&gt;0,"Falta o que mudou",""),IF(G41="","Falta a análise",IF(L41="","Falta quem autorizou",IF(I41="","Falta o que foi verificado de novo","OK"))))</f>
        <v>Falta a análise</v>
      </c>
    </row>
    <row r="43" customFormat="false" ht="21.75" hidden="false" customHeight="true" outlineLevel="0" collapsed="false">
      <c r="B43" s="15" t="s">
        <v>93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customFormat="false" ht="21.75" hidden="false" customHeight="true" outlineLevel="0" collapsed="false">
      <c r="B44" s="16" t="s">
        <v>303</v>
      </c>
      <c r="C44" s="16"/>
      <c r="D44" s="16"/>
      <c r="E44" s="16"/>
      <c r="F44" s="17" t="str">
        <f aca="false">COUNTA(I15:I23)&amp;" de "&amp;COUNTA(C15:C23)&amp;" concluídas, "&amp;COUNTIF(M15:M23,"Atrasada")&amp;" atrasadas"</f>
        <v>6 de 9 concluídas, 1 atrasadas</v>
      </c>
      <c r="G44" s="17"/>
      <c r="H44" s="17"/>
      <c r="I44" s="17"/>
      <c r="J44" s="17"/>
      <c r="K44" s="17"/>
      <c r="L44" s="17"/>
      <c r="M44" s="17"/>
    </row>
    <row r="45" customFormat="false" ht="21.75" hidden="false" customHeight="true" outlineLevel="0" collapsed="false">
      <c r="B45" s="16" t="s">
        <v>155</v>
      </c>
      <c r="C45" s="16"/>
      <c r="D45" s="16"/>
      <c r="E45" s="16"/>
      <c r="F45" s="17" t="n">
        <f aca="false">COUNTIFS($E$15:$E$23,"Validação",$J$15:$J$23,"Aprovado")+COUNTIFS($E$15:$E$23,"Validação",$J$15:$J$23,"Aprovado com ressalvas")</f>
        <v>0</v>
      </c>
      <c r="G45" s="17"/>
      <c r="H45" s="17"/>
      <c r="I45" s="17"/>
      <c r="J45" s="17"/>
      <c r="K45" s="17"/>
      <c r="L45" s="17"/>
      <c r="M45" s="17"/>
    </row>
    <row r="46" customFormat="false" ht="21.75" hidden="false" customHeight="true" outlineLevel="0" collapsed="false">
      <c r="B46" s="16" t="s">
        <v>304</v>
      </c>
      <c r="C46" s="16"/>
      <c r="D46" s="16"/>
      <c r="E46" s="16"/>
      <c r="F46" s="17" t="str">
        <f aca="false">COUNTIF(I27:I35,"Atende")&amp;" atendem, "&amp;COUNTIF(I27:I35,"Não atende")&amp;" não atendem, "&amp;COUNTIF(M27:M35,"Verificação pendente")&amp;" pendentes"</f>
        <v>7 atendem, 1 não atendem, 1 pendentes</v>
      </c>
      <c r="G46" s="17"/>
      <c r="H46" s="17"/>
      <c r="I46" s="17"/>
      <c r="J46" s="17"/>
      <c r="K46" s="17"/>
      <c r="L46" s="17"/>
      <c r="M46" s="17"/>
    </row>
    <row r="47" customFormat="false" ht="21.75" hidden="false" customHeight="true" outlineLevel="0" collapsed="false">
      <c r="B47" s="16" t="s">
        <v>143</v>
      </c>
      <c r="C47" s="16"/>
      <c r="D47" s="16"/>
      <c r="E47" s="16"/>
      <c r="F47" s="17" t="n">
        <f aca="false">SUMPRODUCT((M39:M41&lt;&gt;"OK")*1)</f>
        <v>1</v>
      </c>
      <c r="G47" s="17"/>
      <c r="H47" s="17"/>
      <c r="I47" s="17"/>
      <c r="J47" s="17"/>
      <c r="K47" s="17"/>
      <c r="L47" s="17"/>
      <c r="M47" s="17"/>
    </row>
    <row r="48" customFormat="false" ht="21.75" hidden="false" customHeight="true" outlineLevel="0" collapsed="false">
      <c r="B48" s="16" t="s">
        <v>24</v>
      </c>
      <c r="C48" s="16"/>
      <c r="D48" s="16"/>
      <c r="E48" s="16"/>
      <c r="F48" s="17" t="str">
        <f aca="false">IF(AND(COUNTIFS($E$15:$E$23,"Validação",$J$15:$J$23,"Aprovado")+COUNTIFS($E$15:$E$23,"Validação",$J$15:$J$23,"Aprovado com ressalvas")&gt;0,(COUNTIF(I27:I35,"Não atende")+COUNTIF(M27:M35,"Verificação pendente"))=0,SUMPRODUCT((M39:M41&lt;&gt;"OK")*1)=0,SUMPRODUCT((M15:M23&lt;&gt;"OK")*1)=0),"Sim","Ainda não")</f>
        <v>Ainda não</v>
      </c>
      <c r="G48" s="17"/>
      <c r="H48" s="17"/>
      <c r="I48" s="17"/>
      <c r="J48" s="17"/>
      <c r="K48" s="17"/>
      <c r="L48" s="17"/>
      <c r="M48" s="17"/>
    </row>
  </sheetData>
  <mergeCells count="77">
    <mergeCell ref="B1:M1"/>
    <mergeCell ref="B2:M2"/>
    <mergeCell ref="B4:C4"/>
    <mergeCell ref="D4:M4"/>
    <mergeCell ref="B5:C5"/>
    <mergeCell ref="D5:M5"/>
    <mergeCell ref="B6:C6"/>
    <mergeCell ref="D6:M6"/>
    <mergeCell ref="B7:C7"/>
    <mergeCell ref="D7:M7"/>
    <mergeCell ref="B8:C8"/>
    <mergeCell ref="D8:M8"/>
    <mergeCell ref="B9:C9"/>
    <mergeCell ref="D9:M9"/>
    <mergeCell ref="B10:C10"/>
    <mergeCell ref="D10:M10"/>
    <mergeCell ref="B11:C11"/>
    <mergeCell ref="B13:M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B25:M25"/>
    <mergeCell ref="C26:D26"/>
    <mergeCell ref="J26:L26"/>
    <mergeCell ref="C27:D27"/>
    <mergeCell ref="J27:L27"/>
    <mergeCell ref="C28:D28"/>
    <mergeCell ref="J28:L28"/>
    <mergeCell ref="C29:D29"/>
    <mergeCell ref="J29:L29"/>
    <mergeCell ref="C30:D30"/>
    <mergeCell ref="J30:L30"/>
    <mergeCell ref="C31:D31"/>
    <mergeCell ref="J31:L31"/>
    <mergeCell ref="C32:D32"/>
    <mergeCell ref="J32:L32"/>
    <mergeCell ref="C33:D33"/>
    <mergeCell ref="J33:L33"/>
    <mergeCell ref="C34:D34"/>
    <mergeCell ref="J34:L34"/>
    <mergeCell ref="C35:D35"/>
    <mergeCell ref="J35:L35"/>
    <mergeCell ref="B37:M37"/>
    <mergeCell ref="C38:D38"/>
    <mergeCell ref="E38:F38"/>
    <mergeCell ref="G38:H38"/>
    <mergeCell ref="I38:K38"/>
    <mergeCell ref="C39:D39"/>
    <mergeCell ref="E39:F39"/>
    <mergeCell ref="G39:H39"/>
    <mergeCell ref="I39:K39"/>
    <mergeCell ref="C40:D40"/>
    <mergeCell ref="E40:F40"/>
    <mergeCell ref="G40:H40"/>
    <mergeCell ref="I40:K40"/>
    <mergeCell ref="C41:D41"/>
    <mergeCell ref="E41:F41"/>
    <mergeCell ref="G41:H41"/>
    <mergeCell ref="I41:K41"/>
    <mergeCell ref="B43:M43"/>
    <mergeCell ref="B44:E44"/>
    <mergeCell ref="F44:M44"/>
    <mergeCell ref="B45:E45"/>
    <mergeCell ref="F45:M45"/>
    <mergeCell ref="B46:E46"/>
    <mergeCell ref="F46:M46"/>
    <mergeCell ref="B47:E47"/>
    <mergeCell ref="F47:M47"/>
    <mergeCell ref="B48:E48"/>
    <mergeCell ref="F48:M48"/>
  </mergeCells>
  <conditionalFormatting sqref="J15:J23">
    <cfRule type="expression" priority="2" aboveAverage="0" equalAverage="0" bottom="0" percent="0" rank="0" text="" dxfId="0">
      <formula>J15="Aprovado"</formula>
    </cfRule>
    <cfRule type="expression" priority="3" aboveAverage="0" equalAverage="0" bottom="0" percent="0" rank="0" text="" dxfId="1">
      <formula>J15="Aprovado com ressalvas"</formula>
    </cfRule>
    <cfRule type="expression" priority="4" aboveAverage="0" equalAverage="0" bottom="0" percent="0" rank="0" text="" dxfId="2">
      <formula>J15="Reprovado"</formula>
    </cfRule>
  </conditionalFormatting>
  <conditionalFormatting sqref="M15:M23">
    <cfRule type="expression" priority="5" aboveAverage="0" equalAverage="0" bottom="0" percent="0" rank="0" text="" dxfId="0">
      <formula>M15="OK"</formula>
    </cfRule>
    <cfRule type="expression" priority="6" aboveAverage="0" equalAverage="0" bottom="0" percent="0" rank="0" text="" dxfId="3">
      <formula>M15="Liberado sem validação aprovada"</formula>
    </cfRule>
    <cfRule type="expression" priority="7" aboveAverage="0" equalAverage="0" bottom="0" percent="0" rank="0" text="" dxfId="3">
      <formula>M15="Atrasada"</formula>
    </cfRule>
    <cfRule type="expression" priority="8" aboveAverage="0" equalAverage="0" bottom="0" percent="0" rank="0" text="" dxfId="4">
      <formula>LEN(M15)&gt;0</formula>
    </cfRule>
  </conditionalFormatting>
  <conditionalFormatting sqref="I27:I35">
    <cfRule type="expression" priority="9" aboveAverage="0" equalAverage="0" bottom="0" percent="0" rank="0" text="" dxfId="0">
      <formula>I27="Atende"</formula>
    </cfRule>
    <cfRule type="expression" priority="10" aboveAverage="0" equalAverage="0" bottom="0" percent="0" rank="0" text="" dxfId="2">
      <formula>I27="Não atende"</formula>
    </cfRule>
  </conditionalFormatting>
  <conditionalFormatting sqref="M27:M35">
    <cfRule type="expression" priority="11" aboveAverage="0" equalAverage="0" bottom="0" percent="0" rank="0" text="" dxfId="0">
      <formula>M27="OK"</formula>
    </cfRule>
    <cfRule type="expression" priority="12" aboveAverage="0" equalAverage="0" bottom="0" percent="0" rank="0" text="" dxfId="3">
      <formula>M27="Não atende, sem ação"</formula>
    </cfRule>
    <cfRule type="expression" priority="13" aboveAverage="0" equalAverage="0" bottom="0" percent="0" rank="0" text="" dxfId="1">
      <formula>M27="Verificação pendente"</formula>
    </cfRule>
    <cfRule type="expression" priority="14" aboveAverage="0" equalAverage="0" bottom="0" percent="0" rank="0" text="" dxfId="1">
      <formula>M27="Não atende: ação em curso"</formula>
    </cfRule>
    <cfRule type="expression" priority="15" aboveAverage="0" equalAverage="0" bottom="0" percent="0" rank="0" text="" dxfId="4">
      <formula>LEN(M27)&gt;0</formula>
    </cfRule>
  </conditionalFormatting>
  <conditionalFormatting sqref="M39:M41">
    <cfRule type="expression" priority="16" aboveAverage="0" equalAverage="0" bottom="0" percent="0" rank="0" text="" dxfId="0">
      <formula>OR(M39="OK")</formula>
    </cfRule>
    <cfRule type="expression" priority="17" aboveAverage="0" equalAverage="0" bottom="0" percent="0" rank="0" text="" dxfId="4">
      <formula>AND(LEN(M39)&gt;0,NOT(OR(M39="OK")))</formula>
    </cfRule>
  </conditionalFormatting>
  <conditionalFormatting sqref="F48:M48">
    <cfRule type="expression" priority="18" aboveAverage="0" equalAverage="0" bottom="0" percent="0" rank="0" text="" dxfId="0">
      <formula>F48="Sim"</formula>
    </cfRule>
    <cfRule type="expression" priority="19" aboveAverage="0" equalAverage="0" bottom="0" percent="0" rank="0" text="" dxfId="3">
      <formula>F48="Ainda não"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2026-10-05T12:05:31Z</dcterms:created>
  <dc:creator>Modelo Projeto</dc:creator>
  <dc:description/>
  <dc:language>pt-BR</dc:language>
  <cp:lastModifiedBy/>
  <dcterms:modified xsi:type="dcterms:W3CDTF">2026-10-05T12:05:31Z</dcterms:modified>
  <cp:revision>0</cp:revision>
  <dc:subject/>
  <dc:title>Projeto e desenvolvimento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