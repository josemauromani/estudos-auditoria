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ções" sheetId="1" state="visible" r:id="rId3"/>
    <sheet name="SIPOC" sheetId="2" state="visible" r:id="rId4"/>
    <sheet name="Requisitos" sheetId="3" state="visible" r:id="rId5"/>
    <sheet name="Checklist" sheetId="4" state="visible" r:id="rId6"/>
    <sheet name="Oportunidades" sheetId="5" state="visible" r:id="rId7"/>
    <sheet name="Exemplo 1 - Pizzaria" sheetId="6" state="visible" r:id="rId8"/>
    <sheet name="Exemplo 2 - Compras" sheetId="7" state="visible" r:id="rId9"/>
  </sheets>
  <definedNames>
    <definedName function="false" hidden="false" localSheetId="3" name="_xlnm.Print_Area" vbProcedure="false">Checklist!$B$1:$E$24</definedName>
    <definedName function="false" hidden="false" localSheetId="5" name="_xlnm.Print_Area" vbProcedure="false">'Exemplo 1 - Pizzaria'!$B$1:$G$32</definedName>
    <definedName function="false" hidden="false" localSheetId="6" name="_xlnm.Print_Area" vbProcedure="false">'Exemplo 2 - Compras'!$B$1:$G$32</definedName>
    <definedName function="false" hidden="false" localSheetId="0" name="_xlnm.Print_Area" vbProcedure="false">Instruções!$B$1:$C$42</definedName>
    <definedName function="false" hidden="false" localSheetId="4" name="_xlnm.Print_Area" vbProcedure="false">Oportunidades!$B$1:$I$27</definedName>
    <definedName function="false" hidden="false" localSheetId="2" name="_xlnm.Print_Area" vbProcedure="false">Requisitos!$B$1:$H$40</definedName>
    <definedName function="false" hidden="false" localSheetId="1" name="_xlnm.Print_Area" vbProcedure="false">SIPOC!$B$1:$G$32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4" authorId="0">
      <text>
        <r>
          <rPr>
            <sz val="10"/>
            <rFont val="Arial"/>
            <family val="2"/>
          </rPr>
          <t xml:space="preserve">Use verbo + objeto.
Ex.: "Atender pedido de delivery".</t>
        </r>
      </text>
    </comment>
    <comment ref="D7" authorId="0">
      <text>
        <r>
          <rPr>
            <sz val="10"/>
            <rFont val="Arial"/>
            <family val="2"/>
          </rPr>
          <t xml:space="preserve">Para que o processo existe? Qual resultado ele gera para o cliente?</t>
        </r>
      </text>
    </comment>
    <comment ref="D8" authorId="0">
      <text>
        <r>
          <rPr>
            <sz val="10"/>
            <rFont val="Arial"/>
            <family val="2"/>
          </rPr>
          <t xml:space="preserve">Evento que dispara o processo.
Ex.: "Cliente confirma o pedido".</t>
        </r>
      </text>
    </comment>
    <comment ref="D9" authorId="0">
      <text>
        <r>
          <rPr>
            <sz val="10"/>
            <rFont val="Arial"/>
            <family val="2"/>
          </rPr>
          <t xml:space="preserve">Evento que encerra o processo.
Ex.: "Pedido entregue e pago".</t>
        </r>
      </text>
    </comment>
    <comment ref="D10" authorId="0">
      <text>
        <r>
          <rPr>
            <sz val="10"/>
            <rFont val="Arial"/>
            <family val="2"/>
          </rPr>
          <t xml:space="preserve">O que fica de fora, para evitar discussões de escopo.
Ex.: "Compra de ingredientes; pós-venda".</t>
        </r>
      </text>
    </comment>
    <comment ref="G4" authorId="0">
      <text>
        <r>
          <rPr>
            <sz val="10"/>
            <rFont val="Arial"/>
            <family val="2"/>
          </rPr>
          <t xml:space="preserve">Pessoa que responde pelo resultado do processo de ponta a ponta.</t>
        </r>
      </text>
    </comment>
  </commentList>
</comments>
</file>

<file path=xl/sharedStrings.xml><?xml version="1.0" encoding="utf-8"?>
<sst xmlns="http://schemas.openxmlformats.org/spreadsheetml/2006/main" count="326" uniqueCount="231">
  <si>
    <t xml:space="preserve">SIPOC — Como usar esta planilha</t>
  </si>
  <si>
    <t xml:space="preserve">Modelo para mapear um processo em alto nível: Fornecedores, Entradas, Processo, Saídas e Clientes.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</si>
  <si>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</si>
  <si>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</si>
  <si>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</si>
  <si>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</si>
  <si>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contagens, avisos). Não altere.</t>
  </si>
  <si>
    <t xml:space="preserve">Cinza em itálico</t>
  </si>
  <si>
    <t xml:space="preserve">Linha de exemplo (marcada com “Ex.”). Mostra o formato esperado e não entra nas contagens.</t>
  </si>
  <si>
    <t xml:space="preserve">Listas suspensas</t>
  </si>
  <si>
    <t xml:space="preserve">Colunas de status, impacto e elemento aceitam apenas as opções da lista.</t>
  </si>
  <si>
    <t xml:space="preserve">Comentários</t>
  </si>
  <si>
    <t xml:space="preserve">Células com triângulo vermelho no canto trazem uma dica de preenchimento. Passe o mouse sobre elas.</t>
  </si>
  <si>
    <t xml:space="preserve">As cinco colunas</t>
  </si>
  <si>
    <t xml:space="preserve">S</t>
  </si>
  <si>
    <t xml:space="preserve">Fornecedores: quem entrega as entradas. Pode ser uma pessoa, área, empresa ou sistema.</t>
  </si>
  <si>
    <t xml:space="preserve">I</t>
  </si>
  <si>
    <t xml:space="preserve">Entradas: materiais, informações ou serviços que o processo consome ou transforma.</t>
  </si>
  <si>
    <t xml:space="preserve">P</t>
  </si>
  <si>
    <t xml:space="preserve">Processo: as macroetapas, em ordem, escritas com verbo no infinitivo + objeto.</t>
  </si>
  <si>
    <t xml:space="preserve">O</t>
  </si>
  <si>
    <t xml:space="preserve">Saídas: produtos, serviços ou informações que o processo entrega.</t>
  </si>
  <si>
    <t xml:space="preserve">C</t>
  </si>
  <si>
    <t xml:space="preserve">Clientes: quem recebe cada saída. Pode ser interno ou externo.</t>
  </si>
  <si>
    <t xml:space="preserve">Ordem recomendada de preenchimento (aba SIPOC)</t>
  </si>
  <si>
    <t xml:space="preserve">Passo 1</t>
  </si>
  <si>
    <t xml:space="preserve">Preencha o cabeçalho: nome do processo, dono, objetivo, início (gatilho) e fim (entrega final).</t>
  </si>
  <si>
    <t xml:space="preserve">Passo 2</t>
  </si>
  <si>
    <t xml:space="preserve">Coluna P: liste de 4 a 7 macroetapas, na ordem em que acontecem.</t>
  </si>
  <si>
    <t xml:space="preserve">Passo 3</t>
  </si>
  <si>
    <t xml:space="preserve">Coluna O: liste o que o processo entrega.</t>
  </si>
  <si>
    <t xml:space="preserve">Passo 4</t>
  </si>
  <si>
    <t xml:space="preserve">Coluna C: na mesma linha de cada saída, escreva quem a recebe.</t>
  </si>
  <si>
    <t xml:space="preserve">Passo 5</t>
  </si>
  <si>
    <t xml:space="preserve">Coluna I: liste o que o processo precisa receber para funcionar.</t>
  </si>
  <si>
    <t xml:space="preserve">Passo 6</t>
  </si>
  <si>
    <t xml:space="preserve">Coluna S: na mesma linha de cada entrada, escreva quem a fornece.</t>
  </si>
  <si>
    <t xml:space="preserve">Passo 7</t>
  </si>
  <si>
    <t xml:space="preserve">Aba Requisitos: registre o que se exige de cada entrada e o que cada cliente exige de cada saída.</t>
  </si>
  <si>
    <t xml:space="preserve">Passo 8</t>
  </si>
  <si>
    <t xml:space="preserve">Aba Checklist: valide o SIPOC com quem executa o processo e com o dono do processo.</t>
  </si>
  <si>
    <t xml:space="preserve">Passo 9</t>
  </si>
  <si>
    <t xml:space="preserve">Aba Oportunidades: registre lacunas e problemas percebidos durante o mapeamento.</t>
  </si>
  <si>
    <t xml:space="preserve">Abas da planilha</t>
  </si>
  <si>
    <t xml:space="preserve">SIPOC</t>
  </si>
  <si>
    <t xml:space="preserve">Modelo principal. Cabeçalho do processo, tabela com as cinco colunas e resumo automático.</t>
  </si>
  <si>
    <t xml:space="preserve">Requisitos</t>
  </si>
  <si>
    <t xml:space="preserve">Puxa entradas e saídas da aba SIPOC e pede o requisito, o indicador e a meta de cada uma.</t>
  </si>
  <si>
    <t xml:space="preserve">Checklist</t>
  </si>
  <si>
    <t xml:space="preserve">Doze verificações de qualidade do SIPOC, com percentual de conclusão.</t>
  </si>
  <si>
    <t xml:space="preserve">Oportunidades</t>
  </si>
  <si>
    <t xml:space="preserve">Registro de lacunas e ações de melhoria, com contagem por status.</t>
  </si>
  <si>
    <t xml:space="preserve">Exemplo 1 - Pizzaria</t>
  </si>
  <si>
    <t xml:space="preserve">SIPOC preenchido de um processo simples: atender pedido de delivery.</t>
  </si>
  <si>
    <t xml:space="preserve">Exemplo 2 - Compras</t>
  </si>
  <si>
    <t xml:space="preserve">SIPOC preenchido de um processo corporativo: adquirir materiais e serviços.</t>
  </si>
  <si>
    <t xml:space="preserve">Regras e premissas do modelo</t>
  </si>
  <si>
    <t xml:space="preserve">Macroetapas</t>
  </si>
  <si>
    <t xml:space="preserve">O aviso da coluna P considera adequado ter de 4 a 7 etapas. É a faixa usual da prática de SIPOC; acima disso, o mapa começa a virar fluxograma.</t>
  </si>
  <si>
    <t xml:space="preserve">Alinhamento</t>
  </si>
  <si>
    <t xml:space="preserve">Os avisos comparam a quantidade de itens entre S e I e entre O e C, supondo um fornecedor por entrada e um cliente por saída na mesma linha. Repita o nome quando um mesmo fornecedor ou cliente aparecer em mais de uma linha.</t>
  </si>
  <si>
    <t xml:space="preserve">Capacidade</t>
  </si>
  <si>
    <t xml:space="preserve">A tabela comporta 12 linhas. Se faltar espaço, o processo provavelmente está detalhado demais para um SIPOC: agrupe itens.</t>
  </si>
  <si>
    <t xml:space="preserve">Exemplos</t>
  </si>
  <si>
    <t xml:space="preserve">Os dados das abas de exemplo são ilustrativos, criados para este material.</t>
  </si>
  <si>
    <t xml:space="preserve">SIPOC — Mapeamento de processo</t>
  </si>
  <si>
    <t xml:space="preserve">Preencha as células em amarelo-claro. As células cinza são calculadas automaticamente.</t>
  </si>
  <si>
    <t xml:space="preserve">Nome do processo</t>
  </si>
  <si>
    <t xml:space="preserve">Dono do processo</t>
  </si>
  <si>
    <t xml:space="preserve">Área / unidade</t>
  </si>
  <si>
    <t xml:space="preserve">Data</t>
  </si>
  <si>
    <t xml:space="preserve">Elaborado por</t>
  </si>
  <si>
    <t xml:space="preserve">Versão</t>
  </si>
  <si>
    <t xml:space="preserve">Objetivo do processo</t>
  </si>
  <si>
    <t xml:space="preserve">Início (gatilho)</t>
  </si>
  <si>
    <t xml:space="preserve">Fim (entrega final)</t>
  </si>
  <si>
    <t xml:space="preserve">Fora do escopo</t>
  </si>
  <si>
    <t xml:space="preserve">#</t>
  </si>
  <si>
    <t xml:space="preserve">Fornecedores (Suppliers)</t>
  </si>
  <si>
    <t xml:space="preserve">Entradas (Inputs)</t>
  </si>
  <si>
    <t xml:space="preserve">Processo (Process)</t>
  </si>
  <si>
    <t xml:space="preserve">Saídas (Outputs)</t>
  </si>
  <si>
    <t xml:space="preserve">Clientes (Customers)</t>
  </si>
  <si>
    <t xml:space="preserve">Quem fornece cada entrada?</t>
  </si>
  <si>
    <t xml:space="preserve">O que o processo recebe para funcionar?</t>
  </si>
  <si>
    <t xml:space="preserve">Quais são as macroetapas? (4 a 7, verbo + objeto)</t>
  </si>
  <si>
    <t xml:space="preserve">O que o processo entrega?</t>
  </si>
  <si>
    <t xml:space="preserve">Quem recebe cada saída?</t>
  </si>
  <si>
    <t xml:space="preserve">Ex.</t>
  </si>
  <si>
    <t xml:space="preserve">Fornecedor de ingredientes</t>
  </si>
  <si>
    <t xml:space="preserve">Ingredientes dentro da validade</t>
  </si>
  <si>
    <t xml:space="preserve">Preparar e assar a pizza</t>
  </si>
  <si>
    <t xml:space="preserve">Pizza pronta conforme o pedido</t>
  </si>
  <si>
    <t xml:space="preserve">Cliente final</t>
  </si>
  <si>
    <t xml:space="preserve">Resumo automático</t>
  </si>
  <si>
    <t xml:space="preserve">Qtd.</t>
  </si>
  <si>
    <t xml:space="preserve">Aviso</t>
  </si>
  <si>
    <t xml:space="preserve">Campos do cabeçalho preenchidos (de 10)</t>
  </si>
  <si>
    <t xml:space="preserve">Requisitos de entradas e saídas</t>
  </si>
  <si>
    <t xml:space="preserve">As colunas cinza vêm da aba SIPOC. Preencha as colunas em amarelo-claro.</t>
  </si>
  <si>
    <t xml:space="preserve">1. Entradas: o que o processo exige de cada fornecedor</t>
  </si>
  <si>
    <t xml:space="preserve">Fornecedor</t>
  </si>
  <si>
    <t xml:space="preserve">Entrada</t>
  </si>
  <si>
    <t xml:space="preserve">Requisito da entrada</t>
  </si>
  <si>
    <t xml:space="preserve">Como verificar</t>
  </si>
  <si>
    <t xml:space="preserve">Quem verifica</t>
  </si>
  <si>
    <t xml:space="preserve">Atende hoje?</t>
  </si>
  <si>
    <t xml:space="preserve">Ingredientes</t>
  </si>
  <si>
    <t xml:space="preserve">Dentro da validade e refrigerados até 5 °C</t>
  </si>
  <si>
    <t xml:space="preserve">Conferência no recebimento</t>
  </si>
  <si>
    <t xml:space="preserve">Auxiliar de cozinha</t>
  </si>
  <si>
    <t xml:space="preserve">Sim</t>
  </si>
  <si>
    <t xml:space="preserve">2. Saídas: o que cada cliente exige do processo</t>
  </si>
  <si>
    <t xml:space="preserve">Saída</t>
  </si>
  <si>
    <t xml:space="preserve">Cliente</t>
  </si>
  <si>
    <t xml:space="preserve">Requisito do cliente</t>
  </si>
  <si>
    <t xml:space="preserve">Indicador</t>
  </si>
  <si>
    <t xml:space="preserve">Meta</t>
  </si>
  <si>
    <t xml:space="preserve">Entrega em até 40 minutos</t>
  </si>
  <si>
    <t xml:space="preserve">% de entregas no prazo</t>
  </si>
  <si>
    <t xml:space="preserve">95% ou mais</t>
  </si>
  <si>
    <t xml:space="preserve">Parcial</t>
  </si>
  <si>
    <t xml:space="preserve">Requisitos de entrada definidos</t>
  </si>
  <si>
    <t xml:space="preserve">Requisitos de saída definidos</t>
  </si>
  <si>
    <t xml:space="preserve">Requisitos atendidos (Sim)</t>
  </si>
  <si>
    <t xml:space="preserve">Requisitos parciais ou não atendidos</t>
  </si>
  <si>
    <t xml:space="preserve">Checklist de validação do SIPOC</t>
  </si>
  <si>
    <t xml:space="preserve">Escolha o status de cada item na lista suspensa (coluna em amarelo-claro).</t>
  </si>
  <si>
    <t xml:space="preserve">Item de verificação</t>
  </si>
  <si>
    <t xml:space="preserve">Status</t>
  </si>
  <si>
    <t xml:space="preserve">Observações</t>
  </si>
  <si>
    <t xml:space="preserve">O processo tem nome claro, no formato verbo + objeto.</t>
  </si>
  <si>
    <t xml:space="preserve">Os limites estão definidos: evento de início (gatilho) e entrega final.</t>
  </si>
  <si>
    <t xml:space="preserve">O processo tem de 4 a 7 macroetapas.</t>
  </si>
  <si>
    <t xml:space="preserve">Cada etapa começa com verbo no infinitivo e descreve o que é feito, não quem faz.</t>
  </si>
  <si>
    <t xml:space="preserve">As etapas retratam o processo como ele é hoje, não como deveria ser.</t>
  </si>
  <si>
    <t xml:space="preserve">Toda saída tem pelo menos um cliente identificado.</t>
  </si>
  <si>
    <t xml:space="preserve">Clientes internos e externos foram considerados.</t>
  </si>
  <si>
    <t xml:space="preserve">Toda entrada tem pelo menos um fornecedor identificado.</t>
  </si>
  <si>
    <t xml:space="preserve">Toda entrada é usada por alguma etapa do processo.</t>
  </si>
  <si>
    <t xml:space="preserve">Os requisitos das principais saídas foram levantados com os clientes.</t>
  </si>
  <si>
    <t xml:space="preserve">O SIPOC foi construído com a participação de quem executa o processo.</t>
  </si>
  <si>
    <t xml:space="preserve">O dono do processo validou o resultado.</t>
  </si>
  <si>
    <t xml:space="preserve">Itens atendidos (Sim)</t>
  </si>
  <si>
    <t xml:space="preserve">Itens parciais</t>
  </si>
  <si>
    <t xml:space="preserve">Itens não atendidos</t>
  </si>
  <si>
    <t xml:space="preserve">Itens sem resposta</t>
  </si>
  <si>
    <t xml:space="preserve">Percentual atendido</t>
  </si>
  <si>
    <t xml:space="preserve">Situação</t>
  </si>
  <si>
    <t xml:space="preserve">Oportunidades de melhoria</t>
  </si>
  <si>
    <t xml:space="preserve">Registre aqui as lacunas percebidas durante o mapeamento. Preencha as células em amarelo-claro.</t>
  </si>
  <si>
    <t xml:space="preserve">Lacuna ou problema observado</t>
  </si>
  <si>
    <t xml:space="preserve">Elemento</t>
  </si>
  <si>
    <t xml:space="preserve">Impacto</t>
  </si>
  <si>
    <t xml:space="preserve">Ação proposta</t>
  </si>
  <si>
    <t xml:space="preserve">Responsável</t>
  </si>
  <si>
    <t xml:space="preserve">Prazo</t>
  </si>
  <si>
    <t xml:space="preserve">Pedidos chegam sem o complemento do endereço</t>
  </si>
  <si>
    <t xml:space="preserve">Alto</t>
  </si>
  <si>
    <t xml:space="preserve">Tornar o campo obrigatório no formulário de pedido</t>
  </si>
  <si>
    <t xml:space="preserve">Gerente da loja</t>
  </si>
  <si>
    <t xml:space="preserve">Aberta</t>
  </si>
  <si>
    <t xml:space="preserve">Oportunidades registradas</t>
  </si>
  <si>
    <t xml:space="preserve">Abertas</t>
  </si>
  <si>
    <t xml:space="preserve">Em andamento</t>
  </si>
  <si>
    <t xml:space="preserve">Concluídas</t>
  </si>
  <si>
    <t xml:space="preserve">Alto impacto ainda não concluídas</t>
  </si>
  <si>
    <t xml:space="preserve">Exemplo preenchido, para consulta. Use a aba SIPOC para o seu processo.</t>
  </si>
  <si>
    <t xml:space="preserve">Atender pedido de delivery</t>
  </si>
  <si>
    <t xml:space="preserve">Pizzaria (loja)</t>
  </si>
  <si>
    <t xml:space="preserve">Equipe da loja</t>
  </si>
  <si>
    <t xml:space="preserve">1.0</t>
  </si>
  <si>
    <t xml:space="preserve">Entregar ao cliente a pizza certa, quente e no prazo combinado.</t>
  </si>
  <si>
    <t xml:space="preserve">Cliente confirma o pedido (telefone ou aplicativo).</t>
  </si>
  <si>
    <t xml:space="preserve">Pizza entregue e pagamento confirmado.</t>
  </si>
  <si>
    <t xml:space="preserve">Compra de ingredientes, atendimento no salão e pós-venda.</t>
  </si>
  <si>
    <t xml:space="preserve">Leia na horizontal: cada entrada está na linha do seu fornecedor; cada saída, na linha do seu cliente. As etapas do processo seguem a ordem de execução.</t>
  </si>
  <si>
    <t xml:space="preserve">Pedido: sabor, tamanho, endereço e forma de pagamento</t>
  </si>
  <si>
    <t xml:space="preserve">Registrar o pedido</t>
  </si>
  <si>
    <t xml:space="preserve">Pizza quente, conforme o pedido</t>
  </si>
  <si>
    <t xml:space="preserve">Aplicativo de delivery</t>
  </si>
  <si>
    <t xml:space="preserve">Dados do pedido e confirmação de pagamento</t>
  </si>
  <si>
    <t xml:space="preserve">Montar a pizza</t>
  </si>
  <si>
    <t xml:space="preserve">Comprovante ou nota fiscal</t>
  </si>
  <si>
    <t xml:space="preserve">Massa, molho, queijo e recheios</t>
  </si>
  <si>
    <t xml:space="preserve">Assar</t>
  </si>
  <si>
    <t xml:space="preserve">Pagamento recebido</t>
  </si>
  <si>
    <t xml:space="preserve">Caixa da pizzaria</t>
  </si>
  <si>
    <t xml:space="preserve">Fabricante de embalagens</t>
  </si>
  <si>
    <t xml:space="preserve">Caixas de pizza</t>
  </si>
  <si>
    <t xml:space="preserve">Embalar e conferir</t>
  </si>
  <si>
    <t xml:space="preserve">Status do pedido atualizado</t>
  </si>
  <si>
    <t xml:space="preserve">Distribuidora de gás</t>
  </si>
  <si>
    <t xml:space="preserve">Gás para o forno</t>
  </si>
  <si>
    <t xml:space="preserve">Entregar ao cliente</t>
  </si>
  <si>
    <t xml:space="preserve">Registro de tempos de preparo e entrega</t>
  </si>
  <si>
    <t xml:space="preserve">Entregador parceiro</t>
  </si>
  <si>
    <t xml:space="preserve">Disponibilidade para a rota</t>
  </si>
  <si>
    <t xml:space="preserve">Confirmar o pagamento</t>
  </si>
  <si>
    <t xml:space="preserve">Adquirir materiais e serviços</t>
  </si>
  <si>
    <t xml:space="preserve">Gerente de Suprimentos</t>
  </si>
  <si>
    <t xml:space="preserve">Suprimentos</t>
  </si>
  <si>
    <t xml:space="preserve">Equipe de Suprimentos</t>
  </si>
  <si>
    <t xml:space="preserve">Atender às necessidades das áreas com o item certo, no prazo, ao melhor custo total e dentro da política de compras.</t>
  </si>
  <si>
    <t xml:space="preserve">Requisição de compra aprovada pelo gestor da área.</t>
  </si>
  <si>
    <t xml:space="preserve">Item recebido, conferido e nota fiscal liberada para pagamento.</t>
  </si>
  <si>
    <t xml:space="preserve">Homologação de novos fornecedores, pagamento e gestão de estoque.</t>
  </si>
  <si>
    <t xml:space="preserve">Área requisitante</t>
  </si>
  <si>
    <t xml:space="preserve">Requisição de compra com especificação técnica</t>
  </si>
  <si>
    <t xml:space="preserve">Analisar a requisição</t>
  </si>
  <si>
    <t xml:space="preserve">Pedido de compra ou contrato emitido</t>
  </si>
  <si>
    <t xml:space="preserve">Fornecedor selecionado</t>
  </si>
  <si>
    <t xml:space="preserve">Fornecedores homologados</t>
  </si>
  <si>
    <t xml:space="preserve">Propostas comerciais</t>
  </si>
  <si>
    <t xml:space="preserve">Cotar com fornecedores</t>
  </si>
  <si>
    <t xml:space="preserve">Material ou serviço entregue conforme a especificação</t>
  </si>
  <si>
    <t xml:space="preserve">Controladoria</t>
  </si>
  <si>
    <t xml:space="preserve">Orçamento disponível no centro de custo</t>
  </si>
  <si>
    <t xml:space="preserve">Negociar e selecionar a proposta</t>
  </si>
  <si>
    <t xml:space="preserve">Nota fiscal conferida e liberada</t>
  </si>
  <si>
    <t xml:space="preserve">Contas a pagar</t>
  </si>
  <si>
    <t xml:space="preserve">Jurídico</t>
  </si>
  <si>
    <t xml:space="preserve">Minutas contratuais padrão</t>
  </si>
  <si>
    <t xml:space="preserve">Emitir o pedido de compra ou contrato</t>
  </si>
  <si>
    <t xml:space="preserve">Avaliação de desempenho do fornecedor</t>
  </si>
  <si>
    <t xml:space="preserve">Gestão de fornecedores</t>
  </si>
  <si>
    <t xml:space="preserve">Diretoria</t>
  </si>
  <si>
    <t xml:space="preserve">Política de compras e alçadas de aprovação</t>
  </si>
  <si>
    <t xml:space="preserve">Receber e conferir o item</t>
  </si>
  <si>
    <t xml:space="preserve">Registro da economia obtida na negociação</t>
  </si>
  <si>
    <t xml:space="preserve">Liberar a nota fiscal para pagamento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</si>
</sst>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0&quot; itens&quot;"/>
    <numFmt numFmtId="167" formatCode="0&quot; de 10&quot;"/>
    <numFmt numFmtId="168" formatCode="General"/>
    <numFmt numFmtId="169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b val="true"/>
      <sz val="9"/>
      <color rgb="FF16242E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D9EEEB"/>
      </patternFill>
    </fill>
    <fill>
      <patternFill patternType="solid">
        <fgColor rgb="FFFFF9DB"/>
        <bgColor rgb="FFFBEBC8"/>
      </patternFill>
    </fill>
    <fill>
      <patternFill patternType="solid">
        <fgColor rgb="FF2B5C8A"/>
        <bgColor rgb="FF1E7B73"/>
      </patternFill>
    </fill>
    <fill>
      <patternFill patternType="solid">
        <fgColor rgb="FFDCE8F3"/>
        <bgColor rgb="FFD9EEEB"/>
      </patternFill>
    </fill>
    <fill>
      <patternFill patternType="solid">
        <fgColor rgb="FF1E7B73"/>
        <bgColor rgb="FF008080"/>
      </patternFill>
    </fill>
    <fill>
      <patternFill patternType="solid">
        <fgColor rgb="FFD9EEEB"/>
        <bgColor rgb="FFD8EFDD"/>
      </patternFill>
    </fill>
    <fill>
      <patternFill patternType="solid">
        <fgColor rgb="FFA96A12"/>
        <bgColor rgb="FFB0413E"/>
      </patternFill>
    </fill>
    <fill>
      <patternFill patternType="solid">
        <fgColor rgb="FFF6E8CF"/>
        <bgColor rgb="FFFBEBC8"/>
      </patternFill>
    </fill>
    <fill>
      <patternFill patternType="solid">
        <fgColor rgb="FF7A4A9A"/>
        <bgColor rgb="FF5B6B76"/>
      </patternFill>
    </fill>
    <fill>
      <patternFill patternType="solid">
        <fgColor rgb="FFE9DEF1"/>
        <bgColor rgb="FFF5DEDC"/>
      </patternFill>
    </fill>
    <fill>
      <patternFill patternType="solid">
        <fgColor rgb="FFB0413E"/>
        <bgColor rgb="FF993300"/>
      </patternFill>
    </fill>
    <fill>
      <patternFill patternType="solid">
        <fgColor rgb="FFF5DEDC"/>
        <bgColor rgb="FFF6D9D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8EFDD"/>
        </patternFill>
      </fill>
    </dxf>
    <dxf>
      <fill>
        <patternFill>
          <bgColor rgb="FFFBEBC8"/>
        </patternFill>
      </fill>
    </dxf>
    <dxf>
      <fill>
        <patternFill>
          <bgColor rgb="FFF6D9D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E9DEF1"/>
      <rgbColor rgb="FF808080"/>
      <rgbColor rgb="FF9999FF"/>
      <rgbColor rgb="FFB0413E"/>
      <rgbColor rgb="FFFFF9DB"/>
      <rgbColor rgb="FFD9EEEB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8F3"/>
      <rgbColor rgb="FFD8EFDD"/>
      <rgbColor rgb="FFFBEBC8"/>
      <rgbColor rgb="FFEEF1F3"/>
      <rgbColor rgb="FFF5DEDC"/>
      <rgbColor rgb="FFF6E8C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7A4A9A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2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19.5" hidden="false" customHeight="true" outlineLevel="0" collapsed="false">
      <c r="B8" s="4" t="s">
        <v>9</v>
      </c>
      <c r="C8" s="7" t="s">
        <v>10</v>
      </c>
    </row>
    <row r="9" customFormat="false" ht="31.5" hidden="false" customHeight="true" outlineLevel="0" collapsed="false">
      <c r="B9" s="4" t="s">
        <v>11</v>
      </c>
      <c r="C9" s="7" t="s">
        <v>12</v>
      </c>
    </row>
    <row r="11" customFormat="false" ht="21.75" hidden="false" customHeight="true" outlineLevel="0" collapsed="false">
      <c r="B11" s="3" t="s">
        <v>13</v>
      </c>
      <c r="C11" s="3"/>
    </row>
    <row r="12" customFormat="false" ht="19.5" hidden="false" customHeight="true" outlineLevel="0" collapsed="false">
      <c r="B12" s="8" t="s">
        <v>14</v>
      </c>
      <c r="C12" s="9" t="s">
        <v>15</v>
      </c>
    </row>
    <row r="13" customFormat="false" ht="19.5" hidden="false" customHeight="true" outlineLevel="0" collapsed="false">
      <c r="B13" s="10" t="s">
        <v>16</v>
      </c>
      <c r="C13" s="11" t="s">
        <v>17</v>
      </c>
    </row>
    <row r="14" customFormat="false" ht="19.5" hidden="false" customHeight="true" outlineLevel="0" collapsed="false">
      <c r="B14" s="12" t="s">
        <v>18</v>
      </c>
      <c r="C14" s="13" t="s">
        <v>19</v>
      </c>
    </row>
    <row r="15" customFormat="false" ht="19.5" hidden="false" customHeight="true" outlineLevel="0" collapsed="false">
      <c r="B15" s="14" t="s">
        <v>20</v>
      </c>
      <c r="C15" s="15" t="s">
        <v>21</v>
      </c>
    </row>
    <row r="16" customFormat="false" ht="19.5" hidden="false" customHeight="true" outlineLevel="0" collapsed="false">
      <c r="B16" s="16" t="s">
        <v>22</v>
      </c>
      <c r="C16" s="17" t="s">
        <v>23</v>
      </c>
    </row>
    <row r="18" customFormat="false" ht="21.75" hidden="false" customHeight="true" outlineLevel="0" collapsed="false">
      <c r="B18" s="3" t="s">
        <v>24</v>
      </c>
      <c r="C18" s="3"/>
    </row>
    <row r="19" customFormat="false" ht="19.5" hidden="false" customHeight="true" outlineLevel="0" collapsed="false">
      <c r="B19" s="4" t="s">
        <v>25</v>
      </c>
      <c r="C19" s="7" t="s">
        <v>26</v>
      </c>
    </row>
    <row r="20" customFormat="false" ht="19.5" hidden="false" customHeight="true" outlineLevel="0" collapsed="false">
      <c r="B20" s="4" t="s">
        <v>27</v>
      </c>
      <c r="C20" s="7" t="s">
        <v>28</v>
      </c>
    </row>
    <row r="21" customFormat="false" ht="19.5" hidden="false" customHeight="true" outlineLevel="0" collapsed="false">
      <c r="B21" s="4" t="s">
        <v>29</v>
      </c>
      <c r="C21" s="7" t="s">
        <v>30</v>
      </c>
    </row>
    <row r="22" customFormat="false" ht="19.5" hidden="false" customHeight="true" outlineLevel="0" collapsed="false">
      <c r="B22" s="4" t="s">
        <v>31</v>
      </c>
      <c r="C22" s="7" t="s">
        <v>32</v>
      </c>
    </row>
    <row r="23" customFormat="false" ht="19.5" hidden="false" customHeight="true" outlineLevel="0" collapsed="false">
      <c r="B23" s="4" t="s">
        <v>33</v>
      </c>
      <c r="C23" s="7" t="s">
        <v>34</v>
      </c>
    </row>
    <row r="24" customFormat="false" ht="19.5" hidden="false" customHeight="true" outlineLevel="0" collapsed="false">
      <c r="B24" s="4" t="s">
        <v>35</v>
      </c>
      <c r="C24" s="7" t="s">
        <v>36</v>
      </c>
    </row>
    <row r="25" customFormat="false" ht="31.5" hidden="false" customHeight="true" outlineLevel="0" collapsed="false">
      <c r="B25" s="4" t="s">
        <v>37</v>
      </c>
      <c r="C25" s="7" t="s">
        <v>38</v>
      </c>
    </row>
    <row r="26" customFormat="false" ht="19.5" hidden="false" customHeight="true" outlineLevel="0" collapsed="false">
      <c r="B26" s="4" t="s">
        <v>39</v>
      </c>
      <c r="C26" s="7" t="s">
        <v>40</v>
      </c>
    </row>
    <row r="27" customFormat="false" ht="19.5" hidden="false" customHeight="true" outlineLevel="0" collapsed="false">
      <c r="B27" s="4" t="s">
        <v>41</v>
      </c>
      <c r="C27" s="7" t="s">
        <v>42</v>
      </c>
    </row>
    <row r="29" customFormat="false" ht="21.75" hidden="false" customHeight="true" outlineLevel="0" collapsed="false">
      <c r="B29" s="3" t="s">
        <v>43</v>
      </c>
      <c r="C29" s="3"/>
    </row>
    <row r="30" customFormat="false" ht="19.5" hidden="false" customHeight="true" outlineLevel="0" collapsed="false">
      <c r="B30" s="4" t="s">
        <v>44</v>
      </c>
      <c r="C30" s="7" t="s">
        <v>45</v>
      </c>
    </row>
    <row r="31" customFormat="false" ht="19.5" hidden="false" customHeight="true" outlineLevel="0" collapsed="false">
      <c r="B31" s="4" t="s">
        <v>46</v>
      </c>
      <c r="C31" s="7" t="s">
        <v>47</v>
      </c>
    </row>
    <row r="32" customFormat="false" ht="19.5" hidden="false" customHeight="true" outlineLevel="0" collapsed="false">
      <c r="B32" s="4" t="s">
        <v>48</v>
      </c>
      <c r="C32" s="7" t="s">
        <v>49</v>
      </c>
    </row>
    <row r="33" customFormat="false" ht="19.5" hidden="false" customHeight="true" outlineLevel="0" collapsed="false">
      <c r="B33" s="4" t="s">
        <v>50</v>
      </c>
      <c r="C33" s="7" t="s">
        <v>51</v>
      </c>
    </row>
    <row r="34" customFormat="false" ht="19.5" hidden="false" customHeight="true" outlineLevel="0" collapsed="false">
      <c r="B34" s="4" t="s">
        <v>52</v>
      </c>
      <c r="C34" s="7" t="s">
        <v>53</v>
      </c>
    </row>
    <row r="35" customFormat="false" ht="19.5" hidden="false" customHeight="true" outlineLevel="0" collapsed="false">
      <c r="B35" s="4" t="s">
        <v>54</v>
      </c>
      <c r="C35" s="7" t="s">
        <v>55</v>
      </c>
    </row>
    <row r="37" customFormat="false" ht="21.75" hidden="false" customHeight="true" outlineLevel="0" collapsed="false">
      <c r="B37" s="3" t="s">
        <v>56</v>
      </c>
      <c r="C37" s="3"/>
    </row>
    <row r="38" customFormat="false" ht="45.75" hidden="false" customHeight="true" outlineLevel="0" collapsed="false">
      <c r="B38" s="4" t="s">
        <v>57</v>
      </c>
      <c r="C38" s="7" t="s">
        <v>58</v>
      </c>
    </row>
    <row r="39" customFormat="false" ht="45.75" hidden="false" customHeight="true" outlineLevel="0" collapsed="false">
      <c r="B39" s="4" t="s">
        <v>59</v>
      </c>
      <c r="C39" s="7" t="s">
        <v>60</v>
      </c>
    </row>
    <row r="40" customFormat="false" ht="45.75" hidden="false" customHeight="true" outlineLevel="0" collapsed="false">
      <c r="B40" s="4" t="s">
        <v>61</v>
      </c>
      <c r="C40" s="7" t="s">
        <v>62</v>
      </c>
    </row>
    <row r="41" customFormat="false" ht="45.75" hidden="false" customHeight="true" outlineLevel="0" collapsed="false">
      <c r="B41" s="4" t="s">
        <v>63</v>
      </c>
      <c r="C41" s="7" t="s">
        <v>64</v>
      </c>
    </row>
  </sheetData>
  <mergeCells count="7">
    <mergeCell ref="B1:C1"/>
    <mergeCell ref="B2:C2"/>
    <mergeCell ref="B4:C4"/>
    <mergeCell ref="B11:C11"/>
    <mergeCell ref="B18:C18"/>
    <mergeCell ref="B29:C29"/>
    <mergeCell ref="B37:C37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G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4" min="3" style="0" width="30"/>
    <col collapsed="false" customWidth="true" hidden="false" outlineLevel="0" max="5" min="5" style="0" width="36"/>
    <col collapsed="false" customWidth="true" hidden="false" outlineLevel="0" max="7" min="6" style="0" width="30"/>
    <col collapsed="false" customWidth="true" hidden="false" outlineLevel="0" max="8" min="8" style="0" width="2"/>
  </cols>
  <sheetData>
    <row r="1" customFormat="false" ht="31.5" hidden="false" customHeight="true" outlineLevel="0" collapsed="false">
      <c r="B1" s="1" t="s">
        <v>65</v>
      </c>
      <c r="C1" s="1"/>
      <c r="D1" s="1"/>
      <c r="E1" s="1"/>
      <c r="F1" s="1"/>
      <c r="G1" s="1"/>
    </row>
    <row r="2" customFormat="false" ht="19.5" hidden="false" customHeight="true" outlineLevel="0" collapsed="false">
      <c r="B2" s="2" t="s">
        <v>66</v>
      </c>
      <c r="C2" s="2"/>
      <c r="D2" s="2"/>
      <c r="E2" s="2"/>
      <c r="F2" s="2"/>
      <c r="G2" s="2"/>
    </row>
    <row r="4" customFormat="false" ht="21.75" hidden="false" customHeight="true" outlineLevel="0" collapsed="false">
      <c r="B4" s="4" t="s">
        <v>67</v>
      </c>
      <c r="C4" s="4"/>
      <c r="D4" s="5"/>
      <c r="E4" s="5"/>
      <c r="F4" s="4" t="s">
        <v>68</v>
      </c>
      <c r="G4" s="5"/>
    </row>
    <row r="5" customFormat="false" ht="21.75" hidden="false" customHeight="true" outlineLevel="0" collapsed="false">
      <c r="B5" s="4" t="s">
        <v>69</v>
      </c>
      <c r="C5" s="4"/>
      <c r="D5" s="5"/>
      <c r="E5" s="5"/>
      <c r="F5" s="4" t="s">
        <v>70</v>
      </c>
      <c r="G5" s="18"/>
    </row>
    <row r="6" customFormat="false" ht="21.75" hidden="false" customHeight="true" outlineLevel="0" collapsed="false">
      <c r="B6" s="4" t="s">
        <v>71</v>
      </c>
      <c r="C6" s="4"/>
      <c r="D6" s="5"/>
      <c r="E6" s="5"/>
      <c r="F6" s="4" t="s">
        <v>72</v>
      </c>
      <c r="G6" s="5"/>
    </row>
    <row r="7" customFormat="false" ht="30" hidden="false" customHeight="true" outlineLevel="0" collapsed="false">
      <c r="B7" s="4" t="s">
        <v>73</v>
      </c>
      <c r="C7" s="4"/>
      <c r="D7" s="5"/>
      <c r="E7" s="5"/>
      <c r="F7" s="5"/>
      <c r="G7" s="5"/>
    </row>
    <row r="8" customFormat="false" ht="30" hidden="false" customHeight="true" outlineLevel="0" collapsed="false">
      <c r="B8" s="4" t="s">
        <v>74</v>
      </c>
      <c r="C8" s="4"/>
      <c r="D8" s="5"/>
      <c r="E8" s="5"/>
      <c r="F8" s="5"/>
      <c r="G8" s="5"/>
    </row>
    <row r="9" customFormat="false" ht="30" hidden="false" customHeight="true" outlineLevel="0" collapsed="false">
      <c r="B9" s="4" t="s">
        <v>75</v>
      </c>
      <c r="C9" s="4"/>
      <c r="D9" s="5"/>
      <c r="E9" s="5"/>
      <c r="F9" s="5"/>
      <c r="G9" s="5"/>
    </row>
    <row r="10" customFormat="false" ht="30" hidden="false" customHeight="true" outlineLevel="0" collapsed="false">
      <c r="B10" s="4" t="s">
        <v>76</v>
      </c>
      <c r="C10" s="4"/>
      <c r="D10" s="5"/>
      <c r="E10" s="5"/>
      <c r="F10" s="5"/>
      <c r="G10" s="5"/>
    </row>
    <row r="12" customFormat="false" ht="33.75" hidden="false" customHeight="true" outlineLevel="0" collapsed="false">
      <c r="B12" s="19"/>
      <c r="C12" s="20" t="s">
        <v>14</v>
      </c>
      <c r="D12" s="21" t="s">
        <v>16</v>
      </c>
      <c r="E12" s="22" t="s">
        <v>18</v>
      </c>
      <c r="F12" s="23" t="s">
        <v>20</v>
      </c>
      <c r="G12" s="24" t="s">
        <v>22</v>
      </c>
    </row>
    <row r="13" customFormat="false" ht="21.75" hidden="false" customHeight="true" outlineLevel="0" collapsed="false">
      <c r="B13" s="25" t="s">
        <v>77</v>
      </c>
      <c r="C13" s="8" t="s">
        <v>78</v>
      </c>
      <c r="D13" s="10" t="s">
        <v>79</v>
      </c>
      <c r="E13" s="12" t="s">
        <v>80</v>
      </c>
      <c r="F13" s="14" t="s">
        <v>81</v>
      </c>
      <c r="G13" s="16" t="s">
        <v>82</v>
      </c>
    </row>
    <row r="14" customFormat="false" ht="31.5" hidden="false" customHeight="true" outlineLevel="0" collapsed="false">
      <c r="B14" s="6"/>
      <c r="C14" s="26" t="s">
        <v>83</v>
      </c>
      <c r="D14" s="27" t="s">
        <v>84</v>
      </c>
      <c r="E14" s="28" t="s">
        <v>85</v>
      </c>
      <c r="F14" s="29" t="s">
        <v>86</v>
      </c>
      <c r="G14" s="30" t="s">
        <v>87</v>
      </c>
    </row>
    <row r="15" customFormat="false" ht="30" hidden="false" customHeight="true" outlineLevel="0" collapsed="false">
      <c r="B15" s="31" t="s">
        <v>88</v>
      </c>
      <c r="C15" s="32" t="s">
        <v>89</v>
      </c>
      <c r="D15" s="32" t="s">
        <v>90</v>
      </c>
      <c r="E15" s="32" t="s">
        <v>91</v>
      </c>
      <c r="F15" s="32" t="s">
        <v>92</v>
      </c>
      <c r="G15" s="32" t="s">
        <v>93</v>
      </c>
    </row>
    <row r="16" customFormat="false" ht="33.75" hidden="false" customHeight="true" outlineLevel="0" collapsed="false">
      <c r="B16" s="33" t="n">
        <v>1</v>
      </c>
      <c r="C16" s="5"/>
      <c r="D16" s="5"/>
      <c r="E16" s="5"/>
      <c r="F16" s="5"/>
      <c r="G16" s="5"/>
    </row>
    <row r="17" customFormat="false" ht="33.75" hidden="false" customHeight="true" outlineLevel="0" collapsed="false">
      <c r="B17" s="33" t="n">
        <v>2</v>
      </c>
      <c r="C17" s="5"/>
      <c r="D17" s="5"/>
      <c r="E17" s="5"/>
      <c r="F17" s="5"/>
      <c r="G17" s="5"/>
    </row>
    <row r="18" customFormat="false" ht="33.75" hidden="false" customHeight="true" outlineLevel="0" collapsed="false">
      <c r="B18" s="33" t="n">
        <v>3</v>
      </c>
      <c r="C18" s="5"/>
      <c r="D18" s="5"/>
      <c r="E18" s="5"/>
      <c r="F18" s="5"/>
      <c r="G18" s="5"/>
    </row>
    <row r="19" customFormat="false" ht="33.75" hidden="false" customHeight="true" outlineLevel="0" collapsed="false">
      <c r="B19" s="33" t="n">
        <v>4</v>
      </c>
      <c r="C19" s="5"/>
      <c r="D19" s="5"/>
      <c r="E19" s="5"/>
      <c r="F19" s="5"/>
      <c r="G19" s="5"/>
    </row>
    <row r="20" customFormat="false" ht="33.75" hidden="false" customHeight="true" outlineLevel="0" collapsed="false">
      <c r="B20" s="33" t="n">
        <v>5</v>
      </c>
      <c r="C20" s="5"/>
      <c r="D20" s="5"/>
      <c r="E20" s="5"/>
      <c r="F20" s="5"/>
      <c r="G20" s="5"/>
    </row>
    <row r="21" customFormat="false" ht="33.75" hidden="false" customHeight="true" outlineLevel="0" collapsed="false">
      <c r="B21" s="33" t="n">
        <v>6</v>
      </c>
      <c r="C21" s="5"/>
      <c r="D21" s="5"/>
      <c r="E21" s="5"/>
      <c r="F21" s="5"/>
      <c r="G21" s="5"/>
    </row>
    <row r="22" customFormat="false" ht="33.75" hidden="false" customHeight="true" outlineLevel="0" collapsed="false">
      <c r="B22" s="33" t="n">
        <v>7</v>
      </c>
      <c r="C22" s="5"/>
      <c r="D22" s="5"/>
      <c r="E22" s="5"/>
      <c r="F22" s="5"/>
      <c r="G22" s="5"/>
    </row>
    <row r="23" customFormat="false" ht="33.75" hidden="false" customHeight="true" outlineLevel="0" collapsed="false">
      <c r="B23" s="33" t="n">
        <v>8</v>
      </c>
      <c r="C23" s="5"/>
      <c r="D23" s="5"/>
      <c r="E23" s="5"/>
      <c r="F23" s="5"/>
      <c r="G23" s="5"/>
    </row>
    <row r="24" customFormat="false" ht="33.75" hidden="false" customHeight="true" outlineLevel="0" collapsed="false">
      <c r="B24" s="33" t="n">
        <v>9</v>
      </c>
      <c r="C24" s="5"/>
      <c r="D24" s="5"/>
      <c r="E24" s="5"/>
      <c r="F24" s="5"/>
      <c r="G24" s="5"/>
    </row>
    <row r="25" customFormat="false" ht="33.75" hidden="false" customHeight="true" outlineLevel="0" collapsed="false">
      <c r="B25" s="33" t="n">
        <v>10</v>
      </c>
      <c r="C25" s="5"/>
      <c r="D25" s="5"/>
      <c r="E25" s="5"/>
      <c r="F25" s="5"/>
      <c r="G25" s="5"/>
    </row>
    <row r="26" customFormat="false" ht="33.75" hidden="false" customHeight="true" outlineLevel="0" collapsed="false">
      <c r="B26" s="33" t="n">
        <v>11</v>
      </c>
      <c r="C26" s="5"/>
      <c r="D26" s="5"/>
      <c r="E26" s="5"/>
      <c r="F26" s="5"/>
      <c r="G26" s="5"/>
    </row>
    <row r="27" customFormat="false" ht="33.75" hidden="false" customHeight="true" outlineLevel="0" collapsed="false">
      <c r="B27" s="33" t="n">
        <v>12</v>
      </c>
      <c r="C27" s="5"/>
      <c r="D27" s="5"/>
      <c r="E27" s="5"/>
      <c r="F27" s="5"/>
      <c r="G27" s="5"/>
    </row>
    <row r="29" customFormat="false" ht="21.75" hidden="false" customHeight="true" outlineLevel="0" collapsed="false">
      <c r="B29" s="34" t="s">
        <v>94</v>
      </c>
      <c r="C29" s="34"/>
      <c r="D29" s="34"/>
      <c r="E29" s="34"/>
      <c r="F29" s="34"/>
      <c r="G29" s="34"/>
    </row>
    <row r="30" customFormat="false" ht="21.75" hidden="false" customHeight="true" outlineLevel="0" collapsed="false">
      <c r="B30" s="35" t="s">
        <v>95</v>
      </c>
      <c r="C30" s="36" t="n">
        <f aca="false">COUNTA(C16:C27)</f>
        <v>0</v>
      </c>
      <c r="D30" s="36" t="n">
        <f aca="false">COUNTA(D16:D27)</f>
        <v>0</v>
      </c>
      <c r="E30" s="36" t="n">
        <f aca="false">COUNTA(E16:E27)</f>
        <v>0</v>
      </c>
      <c r="F30" s="36" t="n">
        <f aca="false">COUNTA(F16:F27)</f>
        <v>0</v>
      </c>
      <c r="G30" s="36" t="n">
        <f aca="false">COUNTA(G16:G27)</f>
        <v>0</v>
      </c>
    </row>
    <row r="31" customFormat="false" ht="43.5" hidden="false" customHeight="true" outlineLevel="0" collapsed="false">
      <c r="B31" s="35" t="s">
        <v>96</v>
      </c>
      <c r="C31" s="37" t="str">
        <f aca="false">IF(C30=0,"Liste os fornecedores",IF(C30&lt;D30,"Há entradas sem fornecedor na mesma linha","OK"))</f>
        <v>Liste os fornecedores</v>
      </c>
      <c r="D31" s="37" t="str">
        <f aca="false">IF(D30=0,"Liste as entradas",IF(D30&lt;C30,"Há fornecedores sem entrada na mesma linha","OK"))</f>
        <v>Liste as entradas</v>
      </c>
      <c r="E31" s="37" t="str">
        <f aca="false">IF(E30=0,"Liste as macroetapas",IF(E30&lt;4,"Poucas etapas: confira se o processo está completo",IF(E30&gt;7,"Muitas etapas: agrupe em 4 a 7 macroetapas","OK")))</f>
        <v>Liste as macroetapas</v>
      </c>
      <c r="F31" s="37" t="str">
        <f aca="false">IF(F30=0,"Liste as saídas",IF(F30&lt;G30,"Há clientes sem saída na mesma linha","OK"))</f>
        <v>Liste as saídas</v>
      </c>
      <c r="G31" s="37" t="str">
        <f aca="false">IF(G30=0,"Liste os clientes",IF(G30&lt;F30,"Há saídas sem cliente na mesma linha","OK"))</f>
        <v>Liste os clientes</v>
      </c>
    </row>
    <row r="32" customFormat="false" ht="21.75" hidden="false" customHeight="true" outlineLevel="0" collapsed="false">
      <c r="B32" s="38" t="s">
        <v>97</v>
      </c>
      <c r="C32" s="38"/>
      <c r="D32" s="38"/>
      <c r="E32" s="38"/>
      <c r="F32" s="39" t="n">
        <f aca="false">COUNTA(D4,G4,D5,G5,D6,G6,D7,D8,D9,D10)</f>
        <v>0</v>
      </c>
      <c r="G32" s="39"/>
    </row>
  </sheetData>
  <mergeCells count="19">
    <mergeCell ref="B1:G1"/>
    <mergeCell ref="B2:G2"/>
    <mergeCell ref="B4:C4"/>
    <mergeCell ref="D4:E4"/>
    <mergeCell ref="B5:C5"/>
    <mergeCell ref="D5:E5"/>
    <mergeCell ref="B6:C6"/>
    <mergeCell ref="D6:E6"/>
    <mergeCell ref="B7:C7"/>
    <mergeCell ref="D7:G7"/>
    <mergeCell ref="B8:C8"/>
    <mergeCell ref="D8:G8"/>
    <mergeCell ref="B9:C9"/>
    <mergeCell ref="D9:G9"/>
    <mergeCell ref="B10:C10"/>
    <mergeCell ref="D10:G10"/>
    <mergeCell ref="B29:G29"/>
    <mergeCell ref="B32:E32"/>
    <mergeCell ref="F32:G32"/>
  </mergeCells>
  <conditionalFormatting sqref="C31:G31">
    <cfRule type="cellIs" priority="2" operator="equal" aboveAverage="0" equalAverage="0" bottom="0" percent="0" rank="0" text="" dxfId="0">
      <formula>"OK"</formula>
    </cfRule>
    <cfRule type="cellIs" priority="3" operator="notEqual" aboveAverage="0" equalAverage="0" bottom="0" percent="0" rank="0" text="" dxfId="1">
      <formula>"OK"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4" min="3" style="0" width="28"/>
    <col collapsed="false" customWidth="true" hidden="false" outlineLevel="0" max="5" min="5" style="0" width="36"/>
    <col collapsed="false" customWidth="true" hidden="false" outlineLevel="0" max="6" min="6" style="0" width="28"/>
    <col collapsed="false" customWidth="true" hidden="false" outlineLevel="0" max="7" min="7" style="0" width="24"/>
    <col collapsed="false" customWidth="true" hidden="false" outlineLevel="0" max="8" min="8" style="0" width="16"/>
    <col collapsed="false" customWidth="true" hidden="false" outlineLevel="0" max="9" min="9" style="0" width="2"/>
  </cols>
  <sheetData>
    <row r="1" customFormat="false" ht="31.5" hidden="false" customHeight="true" outlineLevel="0" collapsed="false">
      <c r="B1" s="1" t="s">
        <v>98</v>
      </c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B2" s="2" t="s">
        <v>99</v>
      </c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B4" s="40" t="s">
        <v>100</v>
      </c>
      <c r="C4" s="40"/>
      <c r="D4" s="40"/>
      <c r="E4" s="40"/>
      <c r="F4" s="40"/>
      <c r="G4" s="40"/>
      <c r="H4" s="40"/>
    </row>
    <row r="5" customFormat="false" ht="30" hidden="false" customHeight="true" outlineLevel="0" collapsed="false">
      <c r="B5" s="41" t="s">
        <v>77</v>
      </c>
      <c r="C5" s="41" t="s">
        <v>101</v>
      </c>
      <c r="D5" s="41" t="s">
        <v>102</v>
      </c>
      <c r="E5" s="41" t="s">
        <v>103</v>
      </c>
      <c r="F5" s="41" t="s">
        <v>104</v>
      </c>
      <c r="G5" s="41" t="s">
        <v>105</v>
      </c>
      <c r="H5" s="41" t="s">
        <v>106</v>
      </c>
    </row>
    <row r="6" customFormat="false" ht="31.5" hidden="false" customHeight="true" outlineLevel="0" collapsed="false">
      <c r="B6" s="31" t="s">
        <v>88</v>
      </c>
      <c r="C6" s="32" t="s">
        <v>89</v>
      </c>
      <c r="D6" s="32" t="s">
        <v>107</v>
      </c>
      <c r="E6" s="32" t="s">
        <v>108</v>
      </c>
      <c r="F6" s="32" t="s">
        <v>109</v>
      </c>
      <c r="G6" s="32" t="s">
        <v>110</v>
      </c>
      <c r="H6" s="31" t="s">
        <v>111</v>
      </c>
    </row>
    <row r="7" customFormat="false" ht="31.5" hidden="false" customHeight="true" outlineLevel="0" collapsed="false">
      <c r="B7" s="33" t="n">
        <v>1</v>
      </c>
      <c r="C7" s="6" t="str">
        <f aca="false">IF(SIPOC!C16="","",SIPOC!C16)</f>
        <v/>
      </c>
      <c r="D7" s="6" t="str">
        <f aca="false">IF(SIPOC!D16="","",SIPOC!D16)</f>
        <v/>
      </c>
      <c r="E7" s="5"/>
      <c r="F7" s="5"/>
      <c r="G7" s="5"/>
      <c r="H7" s="42"/>
    </row>
    <row r="8" customFormat="false" ht="31.5" hidden="false" customHeight="true" outlineLevel="0" collapsed="false">
      <c r="B8" s="33" t="n">
        <v>2</v>
      </c>
      <c r="C8" s="6" t="str">
        <f aca="false">IF(SIPOC!C17="","",SIPOC!C17)</f>
        <v/>
      </c>
      <c r="D8" s="6" t="str">
        <f aca="false">IF(SIPOC!D17="","",SIPOC!D17)</f>
        <v/>
      </c>
      <c r="E8" s="5"/>
      <c r="F8" s="5"/>
      <c r="G8" s="5"/>
      <c r="H8" s="42"/>
    </row>
    <row r="9" customFormat="false" ht="31.5" hidden="false" customHeight="true" outlineLevel="0" collapsed="false">
      <c r="B9" s="33" t="n">
        <v>3</v>
      </c>
      <c r="C9" s="6" t="str">
        <f aca="false">IF(SIPOC!C18="","",SIPOC!C18)</f>
        <v/>
      </c>
      <c r="D9" s="6" t="str">
        <f aca="false">IF(SIPOC!D18="","",SIPOC!D18)</f>
        <v/>
      </c>
      <c r="E9" s="5"/>
      <c r="F9" s="5"/>
      <c r="G9" s="5"/>
      <c r="H9" s="42"/>
    </row>
    <row r="10" customFormat="false" ht="31.5" hidden="false" customHeight="true" outlineLevel="0" collapsed="false">
      <c r="B10" s="33" t="n">
        <v>4</v>
      </c>
      <c r="C10" s="6" t="str">
        <f aca="false">IF(SIPOC!C19="","",SIPOC!C19)</f>
        <v/>
      </c>
      <c r="D10" s="6" t="str">
        <f aca="false">IF(SIPOC!D19="","",SIPOC!D19)</f>
        <v/>
      </c>
      <c r="E10" s="5"/>
      <c r="F10" s="5"/>
      <c r="G10" s="5"/>
      <c r="H10" s="42"/>
    </row>
    <row r="11" customFormat="false" ht="31.5" hidden="false" customHeight="true" outlineLevel="0" collapsed="false">
      <c r="B11" s="33" t="n">
        <v>5</v>
      </c>
      <c r="C11" s="6" t="str">
        <f aca="false">IF(SIPOC!C20="","",SIPOC!C20)</f>
        <v/>
      </c>
      <c r="D11" s="6" t="str">
        <f aca="false">IF(SIPOC!D20="","",SIPOC!D20)</f>
        <v/>
      </c>
      <c r="E11" s="5"/>
      <c r="F11" s="5"/>
      <c r="G11" s="5"/>
      <c r="H11" s="42"/>
    </row>
    <row r="12" customFormat="false" ht="31.5" hidden="false" customHeight="true" outlineLevel="0" collapsed="false">
      <c r="B12" s="33" t="n">
        <v>6</v>
      </c>
      <c r="C12" s="6" t="str">
        <f aca="false">IF(SIPOC!C21="","",SIPOC!C21)</f>
        <v/>
      </c>
      <c r="D12" s="6" t="str">
        <f aca="false">IF(SIPOC!D21="","",SIPOC!D21)</f>
        <v/>
      </c>
      <c r="E12" s="5"/>
      <c r="F12" s="5"/>
      <c r="G12" s="5"/>
      <c r="H12" s="42"/>
    </row>
    <row r="13" customFormat="false" ht="31.5" hidden="false" customHeight="true" outlineLevel="0" collapsed="false">
      <c r="B13" s="33" t="n">
        <v>7</v>
      </c>
      <c r="C13" s="6" t="str">
        <f aca="false">IF(SIPOC!C22="","",SIPOC!C22)</f>
        <v/>
      </c>
      <c r="D13" s="6" t="str">
        <f aca="false">IF(SIPOC!D22="","",SIPOC!D22)</f>
        <v/>
      </c>
      <c r="E13" s="5"/>
      <c r="F13" s="5"/>
      <c r="G13" s="5"/>
      <c r="H13" s="42"/>
    </row>
    <row r="14" customFormat="false" ht="31.5" hidden="false" customHeight="true" outlineLevel="0" collapsed="false">
      <c r="B14" s="33" t="n">
        <v>8</v>
      </c>
      <c r="C14" s="6" t="str">
        <f aca="false">IF(SIPOC!C23="","",SIPOC!C23)</f>
        <v/>
      </c>
      <c r="D14" s="6" t="str">
        <f aca="false">IF(SIPOC!D23="","",SIPOC!D23)</f>
        <v/>
      </c>
      <c r="E14" s="5"/>
      <c r="F14" s="5"/>
      <c r="G14" s="5"/>
      <c r="H14" s="42"/>
    </row>
    <row r="15" customFormat="false" ht="31.5" hidden="false" customHeight="true" outlineLevel="0" collapsed="false">
      <c r="B15" s="33" t="n">
        <v>9</v>
      </c>
      <c r="C15" s="6" t="str">
        <f aca="false">IF(SIPOC!C24="","",SIPOC!C24)</f>
        <v/>
      </c>
      <c r="D15" s="6" t="str">
        <f aca="false">IF(SIPOC!D24="","",SIPOC!D24)</f>
        <v/>
      </c>
      <c r="E15" s="5"/>
      <c r="F15" s="5"/>
      <c r="G15" s="5"/>
      <c r="H15" s="42"/>
    </row>
    <row r="16" customFormat="false" ht="31.5" hidden="false" customHeight="true" outlineLevel="0" collapsed="false">
      <c r="B16" s="33" t="n">
        <v>10</v>
      </c>
      <c r="C16" s="6" t="str">
        <f aca="false">IF(SIPOC!C25="","",SIPOC!C25)</f>
        <v/>
      </c>
      <c r="D16" s="6" t="str">
        <f aca="false">IF(SIPOC!D25="","",SIPOC!D25)</f>
        <v/>
      </c>
      <c r="E16" s="5"/>
      <c r="F16" s="5"/>
      <c r="G16" s="5"/>
      <c r="H16" s="42"/>
    </row>
    <row r="17" customFormat="false" ht="31.5" hidden="false" customHeight="true" outlineLevel="0" collapsed="false">
      <c r="B17" s="33" t="n">
        <v>11</v>
      </c>
      <c r="C17" s="6" t="str">
        <f aca="false">IF(SIPOC!C26="","",SIPOC!C26)</f>
        <v/>
      </c>
      <c r="D17" s="6" t="str">
        <f aca="false">IF(SIPOC!D26="","",SIPOC!D26)</f>
        <v/>
      </c>
      <c r="E17" s="5"/>
      <c r="F17" s="5"/>
      <c r="G17" s="5"/>
      <c r="H17" s="42"/>
    </row>
    <row r="18" customFormat="false" ht="31.5" hidden="false" customHeight="true" outlineLevel="0" collapsed="false">
      <c r="B18" s="33" t="n">
        <v>12</v>
      </c>
      <c r="C18" s="6" t="str">
        <f aca="false">IF(SIPOC!C27="","",SIPOC!C27)</f>
        <v/>
      </c>
      <c r="D18" s="6" t="str">
        <f aca="false">IF(SIPOC!D27="","",SIPOC!D27)</f>
        <v/>
      </c>
      <c r="E18" s="5"/>
      <c r="F18" s="5"/>
      <c r="G18" s="5"/>
      <c r="H18" s="42"/>
    </row>
    <row r="20" customFormat="false" ht="21.75" hidden="false" customHeight="true" outlineLevel="0" collapsed="false">
      <c r="B20" s="43" t="s">
        <v>112</v>
      </c>
      <c r="C20" s="43"/>
      <c r="D20" s="43"/>
      <c r="E20" s="43"/>
      <c r="F20" s="43"/>
      <c r="G20" s="43"/>
      <c r="H20" s="43"/>
    </row>
    <row r="21" customFormat="false" ht="30" hidden="false" customHeight="true" outlineLevel="0" collapsed="false">
      <c r="B21" s="44" t="s">
        <v>77</v>
      </c>
      <c r="C21" s="44" t="s">
        <v>113</v>
      </c>
      <c r="D21" s="44" t="s">
        <v>114</v>
      </c>
      <c r="E21" s="44" t="s">
        <v>115</v>
      </c>
      <c r="F21" s="44" t="s">
        <v>116</v>
      </c>
      <c r="G21" s="44" t="s">
        <v>117</v>
      </c>
      <c r="H21" s="44" t="s">
        <v>106</v>
      </c>
    </row>
    <row r="22" customFormat="false" ht="31.5" hidden="false" customHeight="true" outlineLevel="0" collapsed="false">
      <c r="B22" s="31" t="s">
        <v>88</v>
      </c>
      <c r="C22" s="32" t="s">
        <v>92</v>
      </c>
      <c r="D22" s="32" t="s">
        <v>93</v>
      </c>
      <c r="E22" s="32" t="s">
        <v>118</v>
      </c>
      <c r="F22" s="32" t="s">
        <v>119</v>
      </c>
      <c r="G22" s="32" t="s">
        <v>120</v>
      </c>
      <c r="H22" s="31" t="s">
        <v>121</v>
      </c>
    </row>
    <row r="23" customFormat="false" ht="31.5" hidden="false" customHeight="true" outlineLevel="0" collapsed="false">
      <c r="B23" s="33" t="n">
        <v>1</v>
      </c>
      <c r="C23" s="6" t="str">
        <f aca="false">IF(SIPOC!F16="","",SIPOC!F16)</f>
        <v/>
      </c>
      <c r="D23" s="6" t="str">
        <f aca="false">IF(SIPOC!G16="","",SIPOC!G16)</f>
        <v/>
      </c>
      <c r="E23" s="5"/>
      <c r="F23" s="5"/>
      <c r="G23" s="5"/>
      <c r="H23" s="42"/>
    </row>
    <row r="24" customFormat="false" ht="31.5" hidden="false" customHeight="true" outlineLevel="0" collapsed="false">
      <c r="B24" s="33" t="n">
        <v>2</v>
      </c>
      <c r="C24" s="6" t="str">
        <f aca="false">IF(SIPOC!F17="","",SIPOC!F17)</f>
        <v/>
      </c>
      <c r="D24" s="6" t="str">
        <f aca="false">IF(SIPOC!G17="","",SIPOC!G17)</f>
        <v/>
      </c>
      <c r="E24" s="5"/>
      <c r="F24" s="5"/>
      <c r="G24" s="5"/>
      <c r="H24" s="42"/>
    </row>
    <row r="25" customFormat="false" ht="31.5" hidden="false" customHeight="true" outlineLevel="0" collapsed="false">
      <c r="B25" s="33" t="n">
        <v>3</v>
      </c>
      <c r="C25" s="6" t="str">
        <f aca="false">IF(SIPOC!F18="","",SIPOC!F18)</f>
        <v/>
      </c>
      <c r="D25" s="6" t="str">
        <f aca="false">IF(SIPOC!G18="","",SIPOC!G18)</f>
        <v/>
      </c>
      <c r="E25" s="5"/>
      <c r="F25" s="5"/>
      <c r="G25" s="5"/>
      <c r="H25" s="42"/>
    </row>
    <row r="26" customFormat="false" ht="31.5" hidden="false" customHeight="true" outlineLevel="0" collapsed="false">
      <c r="B26" s="33" t="n">
        <v>4</v>
      </c>
      <c r="C26" s="6" t="str">
        <f aca="false">IF(SIPOC!F19="","",SIPOC!F19)</f>
        <v/>
      </c>
      <c r="D26" s="6" t="str">
        <f aca="false">IF(SIPOC!G19="","",SIPOC!G19)</f>
        <v/>
      </c>
      <c r="E26" s="5"/>
      <c r="F26" s="5"/>
      <c r="G26" s="5"/>
      <c r="H26" s="42"/>
    </row>
    <row r="27" customFormat="false" ht="31.5" hidden="false" customHeight="true" outlineLevel="0" collapsed="false">
      <c r="B27" s="33" t="n">
        <v>5</v>
      </c>
      <c r="C27" s="6" t="str">
        <f aca="false">IF(SIPOC!F20="","",SIPOC!F20)</f>
        <v/>
      </c>
      <c r="D27" s="6" t="str">
        <f aca="false">IF(SIPOC!G20="","",SIPOC!G20)</f>
        <v/>
      </c>
      <c r="E27" s="5"/>
      <c r="F27" s="5"/>
      <c r="G27" s="5"/>
      <c r="H27" s="42"/>
    </row>
    <row r="28" customFormat="false" ht="31.5" hidden="false" customHeight="true" outlineLevel="0" collapsed="false">
      <c r="B28" s="33" t="n">
        <v>6</v>
      </c>
      <c r="C28" s="6" t="str">
        <f aca="false">IF(SIPOC!F21="","",SIPOC!F21)</f>
        <v/>
      </c>
      <c r="D28" s="6" t="str">
        <f aca="false">IF(SIPOC!G21="","",SIPOC!G21)</f>
        <v/>
      </c>
      <c r="E28" s="5"/>
      <c r="F28" s="5"/>
      <c r="G28" s="5"/>
      <c r="H28" s="42"/>
    </row>
    <row r="29" customFormat="false" ht="31.5" hidden="false" customHeight="true" outlineLevel="0" collapsed="false">
      <c r="B29" s="33" t="n">
        <v>7</v>
      </c>
      <c r="C29" s="6" t="str">
        <f aca="false">IF(SIPOC!F22="","",SIPOC!F22)</f>
        <v/>
      </c>
      <c r="D29" s="6" t="str">
        <f aca="false">IF(SIPOC!G22="","",SIPOC!G22)</f>
        <v/>
      </c>
      <c r="E29" s="5"/>
      <c r="F29" s="5"/>
      <c r="G29" s="5"/>
      <c r="H29" s="42"/>
    </row>
    <row r="30" customFormat="false" ht="31.5" hidden="false" customHeight="true" outlineLevel="0" collapsed="false">
      <c r="B30" s="33" t="n">
        <v>8</v>
      </c>
      <c r="C30" s="6" t="str">
        <f aca="false">IF(SIPOC!F23="","",SIPOC!F23)</f>
        <v/>
      </c>
      <c r="D30" s="6" t="str">
        <f aca="false">IF(SIPOC!G23="","",SIPOC!G23)</f>
        <v/>
      </c>
      <c r="E30" s="5"/>
      <c r="F30" s="5"/>
      <c r="G30" s="5"/>
      <c r="H30" s="42"/>
    </row>
    <row r="31" customFormat="false" ht="31.5" hidden="false" customHeight="true" outlineLevel="0" collapsed="false">
      <c r="B31" s="33" t="n">
        <v>9</v>
      </c>
      <c r="C31" s="6" t="str">
        <f aca="false">IF(SIPOC!F24="","",SIPOC!F24)</f>
        <v/>
      </c>
      <c r="D31" s="6" t="str">
        <f aca="false">IF(SIPOC!G24="","",SIPOC!G24)</f>
        <v/>
      </c>
      <c r="E31" s="5"/>
      <c r="F31" s="5"/>
      <c r="G31" s="5"/>
      <c r="H31" s="42"/>
    </row>
    <row r="32" customFormat="false" ht="31.5" hidden="false" customHeight="true" outlineLevel="0" collapsed="false">
      <c r="B32" s="33" t="n">
        <v>10</v>
      </c>
      <c r="C32" s="6" t="str">
        <f aca="false">IF(SIPOC!F25="","",SIPOC!F25)</f>
        <v/>
      </c>
      <c r="D32" s="6" t="str">
        <f aca="false">IF(SIPOC!G25="","",SIPOC!G25)</f>
        <v/>
      </c>
      <c r="E32" s="5"/>
      <c r="F32" s="5"/>
      <c r="G32" s="5"/>
      <c r="H32" s="42"/>
    </row>
    <row r="33" customFormat="false" ht="31.5" hidden="false" customHeight="true" outlineLevel="0" collapsed="false">
      <c r="B33" s="33" t="n">
        <v>11</v>
      </c>
      <c r="C33" s="6" t="str">
        <f aca="false">IF(SIPOC!F26="","",SIPOC!F26)</f>
        <v/>
      </c>
      <c r="D33" s="6" t="str">
        <f aca="false">IF(SIPOC!G26="","",SIPOC!G26)</f>
        <v/>
      </c>
      <c r="E33" s="5"/>
      <c r="F33" s="5"/>
      <c r="G33" s="5"/>
      <c r="H33" s="42"/>
    </row>
    <row r="34" customFormat="false" ht="31.5" hidden="false" customHeight="true" outlineLevel="0" collapsed="false">
      <c r="B34" s="33" t="n">
        <v>12</v>
      </c>
      <c r="C34" s="6" t="str">
        <f aca="false">IF(SIPOC!F27="","",SIPOC!F27)</f>
        <v/>
      </c>
      <c r="D34" s="6" t="str">
        <f aca="false">IF(SIPOC!G27="","",SIPOC!G27)</f>
        <v/>
      </c>
      <c r="E34" s="5"/>
      <c r="F34" s="5"/>
      <c r="G34" s="5"/>
      <c r="H34" s="42"/>
    </row>
    <row r="36" customFormat="false" ht="21.75" hidden="false" customHeight="true" outlineLevel="0" collapsed="false">
      <c r="B36" s="34" t="s">
        <v>94</v>
      </c>
      <c r="C36" s="34"/>
      <c r="D36" s="34"/>
      <c r="E36" s="34"/>
      <c r="F36" s="34"/>
      <c r="G36" s="34"/>
      <c r="H36" s="34"/>
    </row>
    <row r="37" customFormat="false" ht="19.5" hidden="false" customHeight="true" outlineLevel="0" collapsed="false">
      <c r="B37" s="45" t="s">
        <v>122</v>
      </c>
      <c r="C37" s="45"/>
      <c r="D37" s="45"/>
      <c r="E37" s="45"/>
      <c r="F37" s="46" t="n">
        <f aca="false">COUNTA(E7:E18)</f>
        <v>0</v>
      </c>
    </row>
    <row r="38" customFormat="false" ht="19.5" hidden="false" customHeight="true" outlineLevel="0" collapsed="false">
      <c r="B38" s="45" t="s">
        <v>123</v>
      </c>
      <c r="C38" s="45"/>
      <c r="D38" s="45"/>
      <c r="E38" s="45"/>
      <c r="F38" s="46" t="n">
        <f aca="false">COUNTA(E23:E34)</f>
        <v>0</v>
      </c>
    </row>
    <row r="39" customFormat="false" ht="19.5" hidden="false" customHeight="true" outlineLevel="0" collapsed="false">
      <c r="B39" s="45" t="s">
        <v>124</v>
      </c>
      <c r="C39" s="45"/>
      <c r="D39" s="45"/>
      <c r="E39" s="45"/>
      <c r="F39" s="46" t="n">
        <f aca="false">COUNTIF(H7:H18,"Sim")+COUNTIF(H23:H34,"Sim")</f>
        <v>0</v>
      </c>
    </row>
    <row r="40" customFormat="false" ht="19.5" hidden="false" customHeight="true" outlineLevel="0" collapsed="false">
      <c r="B40" s="45" t="s">
        <v>125</v>
      </c>
      <c r="C40" s="45"/>
      <c r="D40" s="45"/>
      <c r="E40" s="45"/>
      <c r="F40" s="46" t="n">
        <f aca="false">COUNTIF(H7:H18,"Parcial")+COUNTIF(H7:H18,"Não")+COUNTIF(H23:H34,"Parcial")+COUNTIF(H23:H34,"Não")</f>
        <v>0</v>
      </c>
    </row>
  </sheetData>
  <mergeCells count="9">
    <mergeCell ref="B1:H1"/>
    <mergeCell ref="B2:H2"/>
    <mergeCell ref="B4:H4"/>
    <mergeCell ref="B20:H20"/>
    <mergeCell ref="B36:H36"/>
    <mergeCell ref="B37:E37"/>
    <mergeCell ref="B38:E38"/>
    <mergeCell ref="B39:E39"/>
    <mergeCell ref="B40:E40"/>
  </mergeCells>
  <conditionalFormatting sqref="H7:H18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1">
      <formula>"Parcial"</formula>
    </cfRule>
    <cfRule type="cellIs" priority="4" operator="equal" aboveAverage="0" equalAverage="0" bottom="0" percent="0" rank="0" text="" dxfId="2">
      <formula>"Não"</formula>
    </cfRule>
  </conditionalFormatting>
  <conditionalFormatting sqref="H23:H34">
    <cfRule type="cellIs" priority="5" operator="equal" aboveAverage="0" equalAverage="0" bottom="0" percent="0" rank="0" text="" dxfId="0">
      <formula>"Sim"</formula>
    </cfRule>
    <cfRule type="cellIs" priority="6" operator="equal" aboveAverage="0" equalAverage="0" bottom="0" percent="0" rank="0" text="" dxfId="1">
      <formula>"Parcial"</formula>
    </cfRule>
    <cfRule type="cellIs" priority="7" operator="equal" aboveAverage="0" equalAverage="0" bottom="0" percent="0" rank="0" text="" dxfId="2">
      <formula>"Não"</formula>
    </cfRule>
  </conditionalFormatting>
  <dataValidations count="2">
    <dataValidation allowBlank="true" error="Escolha uma das opções da lista." errorStyle="stop" errorTitle="Valor inválido" operator="between" prompt="Sim, Parcial ou Não" promptTitle="Opções" showDropDown="false" showErrorMessage="true" showInputMessage="true" sqref="H7:H18" type="list">
      <formula1>"Sim,Parcial,Não"</formula1>
      <formula2>0</formula2>
    </dataValidation>
    <dataValidation allowBlank="true" error="Escolha uma das opções da lista." errorStyle="stop" errorTitle="Valor inválido" operator="between" prompt="Sim, Parcial ou Não" promptTitle="Opções" showDropDown="false" showErrorMessage="true" showInputMessage="true" sqref="H23:H34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19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126</v>
      </c>
      <c r="C1" s="1"/>
      <c r="D1" s="1"/>
      <c r="E1" s="1"/>
    </row>
    <row r="2" customFormat="false" ht="19.5" hidden="false" customHeight="true" outlineLevel="0" collapsed="false">
      <c r="B2" s="2" t="s">
        <v>127</v>
      </c>
      <c r="C2" s="2"/>
      <c r="D2" s="2"/>
      <c r="E2" s="2"/>
    </row>
    <row r="4" customFormat="false" ht="21.75" hidden="false" customHeight="true" outlineLevel="0" collapsed="false">
      <c r="B4" s="25" t="s">
        <v>77</v>
      </c>
      <c r="C4" s="25" t="s">
        <v>128</v>
      </c>
      <c r="D4" s="25" t="s">
        <v>129</v>
      </c>
      <c r="E4" s="25" t="s">
        <v>130</v>
      </c>
    </row>
    <row r="5" customFormat="false" ht="30" hidden="false" customHeight="true" outlineLevel="0" collapsed="false">
      <c r="B5" s="33" t="n">
        <v>1</v>
      </c>
      <c r="C5" s="6" t="s">
        <v>131</v>
      </c>
      <c r="D5" s="42"/>
      <c r="E5" s="5"/>
    </row>
    <row r="6" customFormat="false" ht="30" hidden="false" customHeight="true" outlineLevel="0" collapsed="false">
      <c r="B6" s="33" t="n">
        <v>2</v>
      </c>
      <c r="C6" s="6" t="s">
        <v>132</v>
      </c>
      <c r="D6" s="42"/>
      <c r="E6" s="5"/>
    </row>
    <row r="7" customFormat="false" ht="30" hidden="false" customHeight="true" outlineLevel="0" collapsed="false">
      <c r="B7" s="33" t="n">
        <v>3</v>
      </c>
      <c r="C7" s="6" t="s">
        <v>133</v>
      </c>
      <c r="D7" s="42"/>
      <c r="E7" s="5"/>
    </row>
    <row r="8" customFormat="false" ht="30" hidden="false" customHeight="true" outlineLevel="0" collapsed="false">
      <c r="B8" s="33" t="n">
        <v>4</v>
      </c>
      <c r="C8" s="6" t="s">
        <v>134</v>
      </c>
      <c r="D8" s="42"/>
      <c r="E8" s="5"/>
    </row>
    <row r="9" customFormat="false" ht="30" hidden="false" customHeight="true" outlineLevel="0" collapsed="false">
      <c r="B9" s="33" t="n">
        <v>5</v>
      </c>
      <c r="C9" s="6" t="s">
        <v>135</v>
      </c>
      <c r="D9" s="42"/>
      <c r="E9" s="5"/>
    </row>
    <row r="10" customFormat="false" ht="30" hidden="false" customHeight="true" outlineLevel="0" collapsed="false">
      <c r="B10" s="33" t="n">
        <v>6</v>
      </c>
      <c r="C10" s="6" t="s">
        <v>136</v>
      </c>
      <c r="D10" s="42"/>
      <c r="E10" s="5"/>
    </row>
    <row r="11" customFormat="false" ht="30" hidden="false" customHeight="true" outlineLevel="0" collapsed="false">
      <c r="B11" s="33" t="n">
        <v>7</v>
      </c>
      <c r="C11" s="6" t="s">
        <v>137</v>
      </c>
      <c r="D11" s="42"/>
      <c r="E11" s="5"/>
    </row>
    <row r="12" customFormat="false" ht="30" hidden="false" customHeight="true" outlineLevel="0" collapsed="false">
      <c r="B12" s="33" t="n">
        <v>8</v>
      </c>
      <c r="C12" s="6" t="s">
        <v>138</v>
      </c>
      <c r="D12" s="42"/>
      <c r="E12" s="5"/>
    </row>
    <row r="13" customFormat="false" ht="30" hidden="false" customHeight="true" outlineLevel="0" collapsed="false">
      <c r="B13" s="33" t="n">
        <v>9</v>
      </c>
      <c r="C13" s="6" t="s">
        <v>139</v>
      </c>
      <c r="D13" s="42"/>
      <c r="E13" s="5"/>
    </row>
    <row r="14" customFormat="false" ht="30" hidden="false" customHeight="true" outlineLevel="0" collapsed="false">
      <c r="B14" s="33" t="n">
        <v>10</v>
      </c>
      <c r="C14" s="6" t="s">
        <v>140</v>
      </c>
      <c r="D14" s="42"/>
      <c r="E14" s="5"/>
    </row>
    <row r="15" customFormat="false" ht="30" hidden="false" customHeight="true" outlineLevel="0" collapsed="false">
      <c r="B15" s="33" t="n">
        <v>11</v>
      </c>
      <c r="C15" s="6" t="s">
        <v>141</v>
      </c>
      <c r="D15" s="42"/>
      <c r="E15" s="5"/>
    </row>
    <row r="16" customFormat="false" ht="30" hidden="false" customHeight="true" outlineLevel="0" collapsed="false">
      <c r="B16" s="33" t="n">
        <v>12</v>
      </c>
      <c r="C16" s="6" t="s">
        <v>142</v>
      </c>
      <c r="D16" s="42"/>
      <c r="E16" s="5"/>
    </row>
    <row r="18" customFormat="false" ht="21.75" hidden="false" customHeight="true" outlineLevel="0" collapsed="false">
      <c r="B18" s="34" t="s">
        <v>94</v>
      </c>
      <c r="C18" s="34"/>
      <c r="D18" s="34"/>
      <c r="E18" s="34"/>
    </row>
    <row r="19" customFormat="false" ht="19.5" hidden="false" customHeight="true" outlineLevel="0" collapsed="false">
      <c r="B19" s="45" t="s">
        <v>143</v>
      </c>
      <c r="C19" s="45"/>
      <c r="D19" s="46" t="n">
        <f aca="false">COUNTIF(D5:D16,"Sim")</f>
        <v>0</v>
      </c>
    </row>
    <row r="20" customFormat="false" ht="19.5" hidden="false" customHeight="true" outlineLevel="0" collapsed="false">
      <c r="B20" s="45" t="s">
        <v>144</v>
      </c>
      <c r="C20" s="45"/>
      <c r="D20" s="46" t="n">
        <f aca="false">COUNTIF(D5:D16,"Parcial")</f>
        <v>0</v>
      </c>
    </row>
    <row r="21" customFormat="false" ht="19.5" hidden="false" customHeight="true" outlineLevel="0" collapsed="false">
      <c r="B21" s="45" t="s">
        <v>145</v>
      </c>
      <c r="C21" s="45"/>
      <c r="D21" s="46" t="n">
        <f aca="false">COUNTIF(D5:D16,"Não")</f>
        <v>0</v>
      </c>
    </row>
    <row r="22" customFormat="false" ht="19.5" hidden="false" customHeight="true" outlineLevel="0" collapsed="false">
      <c r="B22" s="45" t="s">
        <v>146</v>
      </c>
      <c r="C22" s="45"/>
      <c r="D22" s="46" t="n">
        <f aca="false">COUNTBLANK(D5:D16)</f>
        <v>12</v>
      </c>
    </row>
    <row r="23" customFormat="false" ht="19.5" hidden="false" customHeight="true" outlineLevel="0" collapsed="false">
      <c r="B23" s="45" t="s">
        <v>147</v>
      </c>
      <c r="C23" s="45"/>
      <c r="D23" s="47" t="n">
        <f aca="false">D19/ROWS(D5:D16)</f>
        <v>0</v>
      </c>
    </row>
    <row r="24" customFormat="false" ht="19.5" hidden="false" customHeight="true" outlineLevel="0" collapsed="false">
      <c r="B24" s="45" t="s">
        <v>148</v>
      </c>
      <c r="C24" s="45"/>
      <c r="D24" s="46" t="str">
        <f aca="false">IF(D19=ROWS(D5:D16),"Validado",IF(D22&gt;0,"Em andamento","Com pendências"))</f>
        <v>Em andamento</v>
      </c>
    </row>
  </sheetData>
  <mergeCells count="9">
    <mergeCell ref="B1:E1"/>
    <mergeCell ref="B2:E2"/>
    <mergeCell ref="B18:E18"/>
    <mergeCell ref="B19:C19"/>
    <mergeCell ref="B20:C20"/>
    <mergeCell ref="B21:C21"/>
    <mergeCell ref="B22:C22"/>
    <mergeCell ref="B23:C23"/>
    <mergeCell ref="B24:C24"/>
  </mergeCells>
  <conditionalFormatting sqref="D5:D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1">
      <formula>"Parcial"</formula>
    </cfRule>
    <cfRule type="cellIs" priority="4" operator="equal" aboveAverage="0" equalAverage="0" bottom="0" percent="0" rank="0" text="" dxfId="2">
      <formula>"Não"</formula>
    </cfRule>
  </conditionalFormatting>
  <dataValidations count="1">
    <dataValidation allowBlank="true" error="Escolha uma das opções da lista." errorStyle="stop" errorTitle="Valor inválido" operator="between" prompt="Sim, Parcial ou Não" promptTitle="Opções" showDropDown="false" showErrorMessage="true" showInputMessage="true" sqref="D5:D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13E"/>
    <pageSetUpPr fitToPage="true"/>
  </sheetPr>
  <dimension ref="B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2"/>
  </cols>
  <sheetData>
    <row r="1" customFormat="false" ht="31.5" hidden="false" customHeight="true" outlineLevel="0" collapsed="false">
      <c r="B1" s="1" t="s">
        <v>149</v>
      </c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B2" s="2" t="s">
        <v>150</v>
      </c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B4" s="25" t="s">
        <v>77</v>
      </c>
      <c r="C4" s="25" t="s">
        <v>151</v>
      </c>
      <c r="D4" s="25" t="s">
        <v>152</v>
      </c>
      <c r="E4" s="25" t="s">
        <v>153</v>
      </c>
      <c r="F4" s="25" t="s">
        <v>154</v>
      </c>
      <c r="G4" s="25" t="s">
        <v>155</v>
      </c>
      <c r="H4" s="25" t="s">
        <v>156</v>
      </c>
      <c r="I4" s="25" t="s">
        <v>129</v>
      </c>
    </row>
    <row r="5" customFormat="false" ht="31.5" hidden="false" customHeight="true" outlineLevel="0" collapsed="false">
      <c r="B5" s="31" t="s">
        <v>88</v>
      </c>
      <c r="C5" s="32" t="s">
        <v>157</v>
      </c>
      <c r="D5" s="31" t="s">
        <v>102</v>
      </c>
      <c r="E5" s="31" t="s">
        <v>158</v>
      </c>
      <c r="F5" s="32" t="s">
        <v>159</v>
      </c>
      <c r="G5" s="32" t="s">
        <v>160</v>
      </c>
      <c r="H5" s="48" t="n">
        <v>46325</v>
      </c>
      <c r="I5" s="31" t="s">
        <v>161</v>
      </c>
    </row>
    <row r="6" customFormat="false" ht="30" hidden="false" customHeight="true" outlineLevel="0" collapsed="false">
      <c r="B6" s="33" t="n">
        <v>1</v>
      </c>
      <c r="C6" s="5"/>
      <c r="D6" s="42"/>
      <c r="E6" s="42"/>
      <c r="F6" s="5"/>
      <c r="G6" s="5"/>
      <c r="H6" s="49"/>
      <c r="I6" s="42"/>
    </row>
    <row r="7" customFormat="false" ht="30" hidden="false" customHeight="true" outlineLevel="0" collapsed="false">
      <c r="B7" s="33" t="n">
        <v>2</v>
      </c>
      <c r="C7" s="5"/>
      <c r="D7" s="42"/>
      <c r="E7" s="42"/>
      <c r="F7" s="5"/>
      <c r="G7" s="5"/>
      <c r="H7" s="49"/>
      <c r="I7" s="42"/>
    </row>
    <row r="8" customFormat="false" ht="30" hidden="false" customHeight="true" outlineLevel="0" collapsed="false">
      <c r="B8" s="33" t="n">
        <v>3</v>
      </c>
      <c r="C8" s="5"/>
      <c r="D8" s="42"/>
      <c r="E8" s="42"/>
      <c r="F8" s="5"/>
      <c r="G8" s="5"/>
      <c r="H8" s="49"/>
      <c r="I8" s="42"/>
    </row>
    <row r="9" customFormat="false" ht="30" hidden="false" customHeight="true" outlineLevel="0" collapsed="false">
      <c r="B9" s="33" t="n">
        <v>4</v>
      </c>
      <c r="C9" s="5"/>
      <c r="D9" s="42"/>
      <c r="E9" s="42"/>
      <c r="F9" s="5"/>
      <c r="G9" s="5"/>
      <c r="H9" s="49"/>
      <c r="I9" s="42"/>
    </row>
    <row r="10" customFormat="false" ht="30" hidden="false" customHeight="true" outlineLevel="0" collapsed="false">
      <c r="B10" s="33" t="n">
        <v>5</v>
      </c>
      <c r="C10" s="5"/>
      <c r="D10" s="42"/>
      <c r="E10" s="42"/>
      <c r="F10" s="5"/>
      <c r="G10" s="5"/>
      <c r="H10" s="49"/>
      <c r="I10" s="42"/>
    </row>
    <row r="11" customFormat="false" ht="30" hidden="false" customHeight="true" outlineLevel="0" collapsed="false">
      <c r="B11" s="33" t="n">
        <v>6</v>
      </c>
      <c r="C11" s="5"/>
      <c r="D11" s="42"/>
      <c r="E11" s="42"/>
      <c r="F11" s="5"/>
      <c r="G11" s="5"/>
      <c r="H11" s="49"/>
      <c r="I11" s="42"/>
    </row>
    <row r="12" customFormat="false" ht="30" hidden="false" customHeight="true" outlineLevel="0" collapsed="false">
      <c r="B12" s="33" t="n">
        <v>7</v>
      </c>
      <c r="C12" s="5"/>
      <c r="D12" s="42"/>
      <c r="E12" s="42"/>
      <c r="F12" s="5"/>
      <c r="G12" s="5"/>
      <c r="H12" s="49"/>
      <c r="I12" s="42"/>
    </row>
    <row r="13" customFormat="false" ht="30" hidden="false" customHeight="true" outlineLevel="0" collapsed="false">
      <c r="B13" s="33" t="n">
        <v>8</v>
      </c>
      <c r="C13" s="5"/>
      <c r="D13" s="42"/>
      <c r="E13" s="42"/>
      <c r="F13" s="5"/>
      <c r="G13" s="5"/>
      <c r="H13" s="49"/>
      <c r="I13" s="42"/>
    </row>
    <row r="14" customFormat="false" ht="30" hidden="false" customHeight="true" outlineLevel="0" collapsed="false">
      <c r="B14" s="33" t="n">
        <v>9</v>
      </c>
      <c r="C14" s="5"/>
      <c r="D14" s="42"/>
      <c r="E14" s="42"/>
      <c r="F14" s="5"/>
      <c r="G14" s="5"/>
      <c r="H14" s="49"/>
      <c r="I14" s="42"/>
    </row>
    <row r="15" customFormat="false" ht="30" hidden="false" customHeight="true" outlineLevel="0" collapsed="false">
      <c r="B15" s="33" t="n">
        <v>10</v>
      </c>
      <c r="C15" s="5"/>
      <c r="D15" s="42"/>
      <c r="E15" s="42"/>
      <c r="F15" s="5"/>
      <c r="G15" s="5"/>
      <c r="H15" s="49"/>
      <c r="I15" s="42"/>
    </row>
    <row r="16" customFormat="false" ht="30" hidden="false" customHeight="true" outlineLevel="0" collapsed="false">
      <c r="B16" s="33" t="n">
        <v>11</v>
      </c>
      <c r="C16" s="5"/>
      <c r="D16" s="42"/>
      <c r="E16" s="42"/>
      <c r="F16" s="5"/>
      <c r="G16" s="5"/>
      <c r="H16" s="49"/>
      <c r="I16" s="42"/>
    </row>
    <row r="17" customFormat="false" ht="30" hidden="false" customHeight="true" outlineLevel="0" collapsed="false">
      <c r="B17" s="33" t="n">
        <v>12</v>
      </c>
      <c r="C17" s="5"/>
      <c r="D17" s="42"/>
      <c r="E17" s="42"/>
      <c r="F17" s="5"/>
      <c r="G17" s="5"/>
      <c r="H17" s="49"/>
      <c r="I17" s="42"/>
    </row>
    <row r="18" customFormat="false" ht="30" hidden="false" customHeight="true" outlineLevel="0" collapsed="false">
      <c r="B18" s="33" t="n">
        <v>13</v>
      </c>
      <c r="C18" s="5"/>
      <c r="D18" s="42"/>
      <c r="E18" s="42"/>
      <c r="F18" s="5"/>
      <c r="G18" s="5"/>
      <c r="H18" s="49"/>
      <c r="I18" s="42"/>
    </row>
    <row r="19" customFormat="false" ht="30" hidden="false" customHeight="true" outlineLevel="0" collapsed="false">
      <c r="B19" s="33" t="n">
        <v>14</v>
      </c>
      <c r="C19" s="5"/>
      <c r="D19" s="42"/>
      <c r="E19" s="42"/>
      <c r="F19" s="5"/>
      <c r="G19" s="5"/>
      <c r="H19" s="49"/>
      <c r="I19" s="42"/>
    </row>
    <row r="20" customFormat="false" ht="30" hidden="false" customHeight="true" outlineLevel="0" collapsed="false">
      <c r="B20" s="33" t="n">
        <v>15</v>
      </c>
      <c r="C20" s="5"/>
      <c r="D20" s="42"/>
      <c r="E20" s="42"/>
      <c r="F20" s="5"/>
      <c r="G20" s="5"/>
      <c r="H20" s="49"/>
      <c r="I20" s="42"/>
    </row>
    <row r="22" customFormat="false" ht="21.75" hidden="false" customHeight="true" outlineLevel="0" collapsed="false">
      <c r="B22" s="34" t="s">
        <v>94</v>
      </c>
      <c r="C22" s="34"/>
      <c r="D22" s="34"/>
      <c r="E22" s="34"/>
      <c r="F22" s="34"/>
      <c r="G22" s="34"/>
      <c r="H22" s="34"/>
      <c r="I22" s="34"/>
    </row>
    <row r="23" customFormat="false" ht="19.5" hidden="false" customHeight="true" outlineLevel="0" collapsed="false">
      <c r="B23" s="45" t="s">
        <v>162</v>
      </c>
      <c r="C23" s="45"/>
      <c r="D23" s="45"/>
      <c r="E23" s="45"/>
      <c r="F23" s="45"/>
      <c r="G23" s="46" t="n">
        <f aca="false">COUNTA(C6:C20)</f>
        <v>0</v>
      </c>
    </row>
    <row r="24" customFormat="false" ht="19.5" hidden="false" customHeight="true" outlineLevel="0" collapsed="false">
      <c r="B24" s="45" t="s">
        <v>163</v>
      </c>
      <c r="C24" s="45"/>
      <c r="D24" s="45"/>
      <c r="E24" s="45"/>
      <c r="F24" s="45"/>
      <c r="G24" s="46" t="n">
        <f aca="false">COUNTIF(I6:I20,"Aberta")</f>
        <v>0</v>
      </c>
    </row>
    <row r="25" customFormat="false" ht="19.5" hidden="false" customHeight="true" outlineLevel="0" collapsed="false">
      <c r="B25" s="45" t="s">
        <v>164</v>
      </c>
      <c r="C25" s="45"/>
      <c r="D25" s="45"/>
      <c r="E25" s="45"/>
      <c r="F25" s="45"/>
      <c r="G25" s="46" t="n">
        <f aca="false">COUNTIF(I6:I20,"Em andamento")</f>
        <v>0</v>
      </c>
    </row>
    <row r="26" customFormat="false" ht="19.5" hidden="false" customHeight="true" outlineLevel="0" collapsed="false">
      <c r="B26" s="45" t="s">
        <v>165</v>
      </c>
      <c r="C26" s="45"/>
      <c r="D26" s="45"/>
      <c r="E26" s="45"/>
      <c r="F26" s="45"/>
      <c r="G26" s="46" t="n">
        <f aca="false">COUNTIF(I6:I20,"Concluída")</f>
        <v>0</v>
      </c>
    </row>
    <row r="27" customFormat="false" ht="19.5" hidden="false" customHeight="true" outlineLevel="0" collapsed="false">
      <c r="B27" s="45" t="s">
        <v>166</v>
      </c>
      <c r="C27" s="45"/>
      <c r="D27" s="45"/>
      <c r="E27" s="45"/>
      <c r="F27" s="45"/>
      <c r="G27" s="46" t="n">
        <f aca="false">COUNTIFS(E6:E20,"Alto",I6:I20,"&lt;&gt;Concluída")</f>
        <v>0</v>
      </c>
    </row>
  </sheetData>
  <mergeCells count="8">
    <mergeCell ref="B1:I1"/>
    <mergeCell ref="B2:I2"/>
    <mergeCell ref="B22:I22"/>
    <mergeCell ref="B23:F23"/>
    <mergeCell ref="B24:F24"/>
    <mergeCell ref="B25:F25"/>
    <mergeCell ref="B26:F26"/>
    <mergeCell ref="B27:F27"/>
  </mergeCells>
  <conditionalFormatting sqref="I6:I20">
    <cfRule type="cellIs" priority="2" operator="equal" aboveAverage="0" equalAverage="0" bottom="0" percent="0" rank="0" text="" dxfId="0">
      <formula>"Concluída"</formula>
    </cfRule>
    <cfRule type="cellIs" priority="3" operator="equal" aboveAverage="0" equalAverage="0" bottom="0" percent="0" rank="0" text="" dxfId="1">
      <formula>"Em andamento"</formula>
    </cfRule>
    <cfRule type="cellIs" priority="4" operator="equal" aboveAverage="0" equalAverage="0" bottom="0" percent="0" rank="0" text="" dxfId="2">
      <formula>"Aberta"</formula>
    </cfRule>
  </conditionalFormatting>
  <conditionalFormatting sqref="E6:E20">
    <cfRule type="cellIs" priority="5" operator="equal" aboveAverage="0" equalAverage="0" bottom="0" percent="0" rank="0" text="" dxfId="0">
      <formula>"Baixo"</formula>
    </cfRule>
    <cfRule type="cellIs" priority="6" operator="equal" aboveAverage="0" equalAverage="0" bottom="0" percent="0" rank="0" text="" dxfId="1">
      <formula>"Médio"</formula>
    </cfRule>
    <cfRule type="cellIs" priority="7" operator="equal" aboveAverage="0" equalAverage="0" bottom="0" percent="0" rank="0" text="" dxfId="2">
      <formula>"Alto"</formula>
    </cfRule>
  </conditionalFormatting>
  <dataValidations count="4">
    <dataValidation allowBlank="true" error="Escolha uma das opções da lista." errorStyle="stop" errorTitle="Valor inválido" operator="between" prompt="Em qual coluna do SIPOC está a lacuna?" promptTitle="Opções" showDropDown="false" showErrorMessage="true" showInputMessage="true" sqref="D6:D20" type="list">
      <formula1>"Fornecedor,Entrada,Processo,Saída,Cliente"</formula1>
      <formula2>0</formula2>
    </dataValidation>
    <dataValidation allowBlank="true" error="Escolha uma das opções da lista." errorStyle="stop" errorTitle="Valor inválido" operator="between" prompt="Alto, Médio ou Baixo" promptTitle="Opções" showDropDown="false" showErrorMessage="true" showInputMessage="true" sqref="E6:E20" type="list">
      <formula1>"Alto,Médio,Baixo"</formula1>
      <formula2>0</formula2>
    </dataValidation>
    <dataValidation allowBlank="true" error="Escolha uma das opções da lista." errorStyle="stop" errorTitle="Valor inválido" operator="between" prompt="Aberta, Em andamento ou Concluída" promptTitle="Opções" showDropDown="false" showErrorMessage="true" showInputMessage="true" sqref="I6:I20" type="list">
      <formula1>"Aberta,Em andamento,Concluída"</formula1>
      <formula2>0</formula2>
    </dataValidation>
    <dataValidation allowBlank="true" error="Digite uma data no formato dia/mês/ano." errorStyle="stop" errorTitle="Data inválida" operator="greaterThan" showDropDown="false" showErrorMessage="true" showInputMessage="false" sqref="H6:H20" type="date">
      <formula1>36526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4" min="3" style="0" width="30"/>
    <col collapsed="false" customWidth="true" hidden="false" outlineLevel="0" max="5" min="5" style="0" width="36"/>
    <col collapsed="false" customWidth="true" hidden="false" outlineLevel="0" max="7" min="6" style="0" width="30"/>
    <col collapsed="false" customWidth="true" hidden="false" outlineLevel="0" max="8" min="8" style="0" width="2"/>
  </cols>
  <sheetData>
    <row r="1" customFormat="false" ht="31.5" hidden="false" customHeight="true" outlineLevel="0" collapsed="false">
      <c r="B1" s="1" t="s">
        <v>65</v>
      </c>
      <c r="C1" s="1"/>
      <c r="D1" s="1"/>
      <c r="E1" s="1"/>
      <c r="F1" s="1"/>
      <c r="G1" s="1"/>
    </row>
    <row r="2" customFormat="false" ht="19.5" hidden="false" customHeight="true" outlineLevel="0" collapsed="false">
      <c r="B2" s="2" t="s">
        <v>167</v>
      </c>
      <c r="C2" s="2"/>
      <c r="D2" s="2"/>
      <c r="E2" s="2"/>
      <c r="F2" s="2"/>
      <c r="G2" s="2"/>
    </row>
    <row r="4" customFormat="false" ht="21.75" hidden="false" customHeight="true" outlineLevel="0" collapsed="false">
      <c r="B4" s="4" t="s">
        <v>67</v>
      </c>
      <c r="C4" s="4"/>
      <c r="D4" s="7" t="s">
        <v>168</v>
      </c>
      <c r="E4" s="7"/>
      <c r="F4" s="4" t="s">
        <v>68</v>
      </c>
      <c r="G4" s="7" t="s">
        <v>160</v>
      </c>
    </row>
    <row r="5" customFormat="false" ht="21.75" hidden="false" customHeight="true" outlineLevel="0" collapsed="false">
      <c r="B5" s="4" t="s">
        <v>69</v>
      </c>
      <c r="C5" s="4"/>
      <c r="D5" s="7" t="s">
        <v>169</v>
      </c>
      <c r="E5" s="7"/>
      <c r="F5" s="4" t="s">
        <v>70</v>
      </c>
      <c r="G5" s="50" t="n">
        <v>46293</v>
      </c>
    </row>
    <row r="6" customFormat="false" ht="21.75" hidden="false" customHeight="true" outlineLevel="0" collapsed="false">
      <c r="B6" s="4" t="s">
        <v>71</v>
      </c>
      <c r="C6" s="4"/>
      <c r="D6" s="7" t="s">
        <v>170</v>
      </c>
      <c r="E6" s="7"/>
      <c r="F6" s="4" t="s">
        <v>72</v>
      </c>
      <c r="G6" s="7" t="s">
        <v>171</v>
      </c>
    </row>
    <row r="7" customFormat="false" ht="30" hidden="false" customHeight="true" outlineLevel="0" collapsed="false">
      <c r="B7" s="4" t="s">
        <v>73</v>
      </c>
      <c r="C7" s="4"/>
      <c r="D7" s="7" t="s">
        <v>172</v>
      </c>
      <c r="E7" s="7"/>
      <c r="F7" s="7"/>
      <c r="G7" s="7"/>
    </row>
    <row r="8" customFormat="false" ht="30" hidden="false" customHeight="true" outlineLevel="0" collapsed="false">
      <c r="B8" s="4" t="s">
        <v>74</v>
      </c>
      <c r="C8" s="4"/>
      <c r="D8" s="7" t="s">
        <v>173</v>
      </c>
      <c r="E8" s="7"/>
      <c r="F8" s="7"/>
      <c r="G8" s="7"/>
    </row>
    <row r="9" customFormat="false" ht="30" hidden="false" customHeight="true" outlineLevel="0" collapsed="false">
      <c r="B9" s="4" t="s">
        <v>75</v>
      </c>
      <c r="C9" s="4"/>
      <c r="D9" s="7" t="s">
        <v>174</v>
      </c>
      <c r="E9" s="7"/>
      <c r="F9" s="7"/>
      <c r="G9" s="7"/>
    </row>
    <row r="10" customFormat="false" ht="30" hidden="false" customHeight="true" outlineLevel="0" collapsed="false">
      <c r="B10" s="4" t="s">
        <v>76</v>
      </c>
      <c r="C10" s="4"/>
      <c r="D10" s="7" t="s">
        <v>175</v>
      </c>
      <c r="E10" s="7"/>
      <c r="F10" s="7"/>
      <c r="G10" s="7"/>
    </row>
    <row r="12" customFormat="false" ht="33.75" hidden="false" customHeight="true" outlineLevel="0" collapsed="false">
      <c r="B12" s="19"/>
      <c r="C12" s="20" t="s">
        <v>14</v>
      </c>
      <c r="D12" s="21" t="s">
        <v>16</v>
      </c>
      <c r="E12" s="22" t="s">
        <v>18</v>
      </c>
      <c r="F12" s="23" t="s">
        <v>20</v>
      </c>
      <c r="G12" s="24" t="s">
        <v>22</v>
      </c>
    </row>
    <row r="13" customFormat="false" ht="21.75" hidden="false" customHeight="true" outlineLevel="0" collapsed="false">
      <c r="B13" s="25" t="s">
        <v>77</v>
      </c>
      <c r="C13" s="8" t="s">
        <v>78</v>
      </c>
      <c r="D13" s="10" t="s">
        <v>79</v>
      </c>
      <c r="E13" s="12" t="s">
        <v>80</v>
      </c>
      <c r="F13" s="14" t="s">
        <v>81</v>
      </c>
      <c r="G13" s="16" t="s">
        <v>82</v>
      </c>
    </row>
    <row r="14" customFormat="false" ht="31.5" hidden="false" customHeight="true" outlineLevel="0" collapsed="false">
      <c r="B14" s="6"/>
      <c r="C14" s="26" t="s">
        <v>83</v>
      </c>
      <c r="D14" s="27" t="s">
        <v>84</v>
      </c>
      <c r="E14" s="28" t="s">
        <v>85</v>
      </c>
      <c r="F14" s="29" t="s">
        <v>86</v>
      </c>
      <c r="G14" s="30" t="s">
        <v>87</v>
      </c>
    </row>
    <row r="15" customFormat="false" ht="30" hidden="false" customHeight="true" outlineLevel="0" collapsed="false">
      <c r="B15" s="31" t="s">
        <v>176</v>
      </c>
      <c r="C15" s="31"/>
      <c r="D15" s="31"/>
      <c r="E15" s="31"/>
      <c r="F15" s="31"/>
      <c r="G15" s="31"/>
    </row>
    <row r="16" customFormat="false" ht="33.75" hidden="false" customHeight="true" outlineLevel="0" collapsed="false">
      <c r="B16" s="33" t="n">
        <v>1</v>
      </c>
      <c r="C16" s="9" t="s">
        <v>114</v>
      </c>
      <c r="D16" s="11" t="s">
        <v>177</v>
      </c>
      <c r="E16" s="13" t="s">
        <v>178</v>
      </c>
      <c r="F16" s="15" t="s">
        <v>179</v>
      </c>
      <c r="G16" s="17" t="s">
        <v>93</v>
      </c>
    </row>
    <row r="17" customFormat="false" ht="33.75" hidden="false" customHeight="true" outlineLevel="0" collapsed="false">
      <c r="B17" s="33" t="n">
        <v>2</v>
      </c>
      <c r="C17" s="9" t="s">
        <v>180</v>
      </c>
      <c r="D17" s="11" t="s">
        <v>181</v>
      </c>
      <c r="E17" s="13" t="s">
        <v>182</v>
      </c>
      <c r="F17" s="15" t="s">
        <v>183</v>
      </c>
      <c r="G17" s="17" t="s">
        <v>93</v>
      </c>
    </row>
    <row r="18" customFormat="false" ht="33.75" hidden="false" customHeight="true" outlineLevel="0" collapsed="false">
      <c r="B18" s="33" t="n">
        <v>3</v>
      </c>
      <c r="C18" s="9" t="s">
        <v>89</v>
      </c>
      <c r="D18" s="11" t="s">
        <v>184</v>
      </c>
      <c r="E18" s="13" t="s">
        <v>185</v>
      </c>
      <c r="F18" s="15" t="s">
        <v>186</v>
      </c>
      <c r="G18" s="17" t="s">
        <v>187</v>
      </c>
    </row>
    <row r="19" customFormat="false" ht="33.75" hidden="false" customHeight="true" outlineLevel="0" collapsed="false">
      <c r="B19" s="33" t="n">
        <v>4</v>
      </c>
      <c r="C19" s="9" t="s">
        <v>188</v>
      </c>
      <c r="D19" s="11" t="s">
        <v>189</v>
      </c>
      <c r="E19" s="13" t="s">
        <v>190</v>
      </c>
      <c r="F19" s="15" t="s">
        <v>191</v>
      </c>
      <c r="G19" s="17" t="s">
        <v>180</v>
      </c>
    </row>
    <row r="20" customFormat="false" ht="33.75" hidden="false" customHeight="true" outlineLevel="0" collapsed="false">
      <c r="B20" s="33" t="n">
        <v>5</v>
      </c>
      <c r="C20" s="9" t="s">
        <v>192</v>
      </c>
      <c r="D20" s="11" t="s">
        <v>193</v>
      </c>
      <c r="E20" s="13" t="s">
        <v>194</v>
      </c>
      <c r="F20" s="15" t="s">
        <v>195</v>
      </c>
      <c r="G20" s="17" t="s">
        <v>160</v>
      </c>
    </row>
    <row r="21" customFormat="false" ht="33.75" hidden="false" customHeight="true" outlineLevel="0" collapsed="false">
      <c r="B21" s="33" t="n">
        <v>6</v>
      </c>
      <c r="C21" s="9" t="s">
        <v>196</v>
      </c>
      <c r="D21" s="11" t="s">
        <v>197</v>
      </c>
      <c r="E21" s="13" t="s">
        <v>198</v>
      </c>
      <c r="F21" s="7"/>
      <c r="G21" s="7"/>
    </row>
    <row r="22" customFormat="false" ht="33.75" hidden="false" customHeight="true" outlineLevel="0" collapsed="false">
      <c r="B22" s="33" t="n">
        <v>7</v>
      </c>
      <c r="C22" s="7"/>
      <c r="D22" s="7"/>
      <c r="E22" s="7"/>
      <c r="F22" s="7"/>
      <c r="G22" s="7"/>
    </row>
    <row r="23" customFormat="false" ht="33.75" hidden="false" customHeight="true" outlineLevel="0" collapsed="false">
      <c r="B23" s="33" t="n">
        <v>8</v>
      </c>
      <c r="C23" s="7"/>
      <c r="D23" s="7"/>
      <c r="E23" s="7"/>
      <c r="F23" s="7"/>
      <c r="G23" s="7"/>
    </row>
    <row r="24" customFormat="false" ht="33.75" hidden="false" customHeight="true" outlineLevel="0" collapsed="false">
      <c r="B24" s="33" t="n">
        <v>9</v>
      </c>
      <c r="C24" s="7"/>
      <c r="D24" s="7"/>
      <c r="E24" s="7"/>
      <c r="F24" s="7"/>
      <c r="G24" s="7"/>
    </row>
    <row r="25" customFormat="false" ht="33.75" hidden="false" customHeight="true" outlineLevel="0" collapsed="false">
      <c r="B25" s="33" t="n">
        <v>10</v>
      </c>
      <c r="C25" s="7"/>
      <c r="D25" s="7"/>
      <c r="E25" s="7"/>
      <c r="F25" s="7"/>
      <c r="G25" s="7"/>
    </row>
    <row r="26" customFormat="false" ht="33.75" hidden="false" customHeight="true" outlineLevel="0" collapsed="false">
      <c r="B26" s="33" t="n">
        <v>11</v>
      </c>
      <c r="C26" s="7"/>
      <c r="D26" s="7"/>
      <c r="E26" s="7"/>
      <c r="F26" s="7"/>
      <c r="G26" s="7"/>
    </row>
    <row r="27" customFormat="false" ht="33.75" hidden="false" customHeight="true" outlineLevel="0" collapsed="false">
      <c r="B27" s="33" t="n">
        <v>12</v>
      </c>
      <c r="C27" s="7"/>
      <c r="D27" s="7"/>
      <c r="E27" s="7"/>
      <c r="F27" s="7"/>
      <c r="G27" s="7"/>
    </row>
    <row r="29" customFormat="false" ht="21.75" hidden="false" customHeight="true" outlineLevel="0" collapsed="false">
      <c r="B29" s="34" t="s">
        <v>94</v>
      </c>
      <c r="C29" s="34"/>
      <c r="D29" s="34"/>
      <c r="E29" s="34"/>
      <c r="F29" s="34"/>
      <c r="G29" s="34"/>
    </row>
    <row r="30" customFormat="false" ht="21.75" hidden="false" customHeight="true" outlineLevel="0" collapsed="false">
      <c r="B30" s="35" t="s">
        <v>95</v>
      </c>
      <c r="C30" s="36" t="n">
        <f aca="false">COUNTA(C16:C27)</f>
        <v>6</v>
      </c>
      <c r="D30" s="36" t="n">
        <f aca="false">COUNTA(D16:D27)</f>
        <v>6</v>
      </c>
      <c r="E30" s="36" t="n">
        <f aca="false">COUNTA(E16:E27)</f>
        <v>6</v>
      </c>
      <c r="F30" s="36" t="n">
        <f aca="false">COUNTA(F16:F27)</f>
        <v>5</v>
      </c>
      <c r="G30" s="36" t="n">
        <f aca="false">COUNTA(G16:G27)</f>
        <v>5</v>
      </c>
    </row>
    <row r="31" customFormat="false" ht="43.5" hidden="false" customHeight="true" outlineLevel="0" collapsed="false">
      <c r="B31" s="35" t="s">
        <v>96</v>
      </c>
      <c r="C31" s="37" t="str">
        <f aca="false">IF(C30=0,"Liste os fornecedores",IF(C30&lt;D30,"Há entradas sem fornecedor na mesma linha","OK"))</f>
        <v>OK</v>
      </c>
      <c r="D31" s="37" t="str">
        <f aca="false">IF(D30=0,"Liste as entradas",IF(D30&lt;C30,"Há fornecedores sem entrada na mesma linha","OK"))</f>
        <v>OK</v>
      </c>
      <c r="E31" s="37" t="str">
        <f aca="false">IF(E30=0,"Liste as macroetapas",IF(E30&lt;4,"Poucas etapas: confira se o processo está completo",IF(E30&gt;7,"Muitas etapas: agrupe em 4 a 7 macroetapas","OK")))</f>
        <v>OK</v>
      </c>
      <c r="F31" s="37" t="str">
        <f aca="false">IF(F30=0,"Liste as saídas",IF(F30&lt;G30,"Há clientes sem saída na mesma linha","OK"))</f>
        <v>OK</v>
      </c>
      <c r="G31" s="37" t="str">
        <f aca="false">IF(G30=0,"Liste os clientes",IF(G30&lt;F30,"Há saídas sem cliente na mesma linha","OK"))</f>
        <v>OK</v>
      </c>
    </row>
    <row r="32" customFormat="false" ht="21.75" hidden="false" customHeight="true" outlineLevel="0" collapsed="false">
      <c r="B32" s="38" t="s">
        <v>97</v>
      </c>
      <c r="C32" s="38"/>
      <c r="D32" s="38"/>
      <c r="E32" s="38"/>
      <c r="F32" s="39" t="n">
        <f aca="false">COUNTA(D4,G4,D5,G5,D6,G6,D7,D8,D9,D10)</f>
        <v>10</v>
      </c>
      <c r="G32" s="39"/>
    </row>
  </sheetData>
  <mergeCells count="20">
    <mergeCell ref="B1:G1"/>
    <mergeCell ref="B2:G2"/>
    <mergeCell ref="B4:C4"/>
    <mergeCell ref="D4:E4"/>
    <mergeCell ref="B5:C5"/>
    <mergeCell ref="D5:E5"/>
    <mergeCell ref="B6:C6"/>
    <mergeCell ref="D6:E6"/>
    <mergeCell ref="B7:C7"/>
    <mergeCell ref="D7:G7"/>
    <mergeCell ref="B8:C8"/>
    <mergeCell ref="D8:G8"/>
    <mergeCell ref="B9:C9"/>
    <mergeCell ref="D9:G9"/>
    <mergeCell ref="B10:C10"/>
    <mergeCell ref="D10:G10"/>
    <mergeCell ref="B15:G15"/>
    <mergeCell ref="B29:G29"/>
    <mergeCell ref="B32:E32"/>
    <mergeCell ref="F32:G32"/>
  </mergeCells>
  <conditionalFormatting sqref="C31:G31">
    <cfRule type="cellIs" priority="2" operator="equal" aboveAverage="0" equalAverage="0" bottom="0" percent="0" rank="0" text="" dxfId="0">
      <formula>"OK"</formula>
    </cfRule>
    <cfRule type="cellIs" priority="3" operator="notEqual" aboveAverage="0" equalAverage="0" bottom="0" percent="0" rank="0" text="" dxfId="1">
      <formula>"OK"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4" min="3" style="0" width="30"/>
    <col collapsed="false" customWidth="true" hidden="false" outlineLevel="0" max="5" min="5" style="0" width="36"/>
    <col collapsed="false" customWidth="true" hidden="false" outlineLevel="0" max="7" min="6" style="0" width="30"/>
    <col collapsed="false" customWidth="true" hidden="false" outlineLevel="0" max="8" min="8" style="0" width="2"/>
  </cols>
  <sheetData>
    <row r="1" customFormat="false" ht="31.5" hidden="false" customHeight="true" outlineLevel="0" collapsed="false">
      <c r="B1" s="1" t="s">
        <v>65</v>
      </c>
      <c r="C1" s="1"/>
      <c r="D1" s="1"/>
      <c r="E1" s="1"/>
      <c r="F1" s="1"/>
      <c r="G1" s="1"/>
    </row>
    <row r="2" customFormat="false" ht="19.5" hidden="false" customHeight="true" outlineLevel="0" collapsed="false">
      <c r="B2" s="2" t="s">
        <v>167</v>
      </c>
      <c r="C2" s="2"/>
      <c r="D2" s="2"/>
      <c r="E2" s="2"/>
      <c r="F2" s="2"/>
      <c r="G2" s="2"/>
    </row>
    <row r="4" customFormat="false" ht="21.75" hidden="false" customHeight="true" outlineLevel="0" collapsed="false">
      <c r="B4" s="4" t="s">
        <v>67</v>
      </c>
      <c r="C4" s="4"/>
      <c r="D4" s="7" t="s">
        <v>199</v>
      </c>
      <c r="E4" s="7"/>
      <c r="F4" s="4" t="s">
        <v>68</v>
      </c>
      <c r="G4" s="7" t="s">
        <v>200</v>
      </c>
    </row>
    <row r="5" customFormat="false" ht="21.75" hidden="false" customHeight="true" outlineLevel="0" collapsed="false">
      <c r="B5" s="4" t="s">
        <v>69</v>
      </c>
      <c r="C5" s="4"/>
      <c r="D5" s="7" t="s">
        <v>201</v>
      </c>
      <c r="E5" s="7"/>
      <c r="F5" s="4" t="s">
        <v>70</v>
      </c>
      <c r="G5" s="50" t="n">
        <v>46293</v>
      </c>
    </row>
    <row r="6" customFormat="false" ht="21.75" hidden="false" customHeight="true" outlineLevel="0" collapsed="false">
      <c r="B6" s="4" t="s">
        <v>71</v>
      </c>
      <c r="C6" s="4"/>
      <c r="D6" s="7" t="s">
        <v>202</v>
      </c>
      <c r="E6" s="7"/>
      <c r="F6" s="4" t="s">
        <v>72</v>
      </c>
      <c r="G6" s="7" t="s">
        <v>171</v>
      </c>
    </row>
    <row r="7" customFormat="false" ht="30" hidden="false" customHeight="true" outlineLevel="0" collapsed="false">
      <c r="B7" s="4" t="s">
        <v>73</v>
      </c>
      <c r="C7" s="4"/>
      <c r="D7" s="7" t="s">
        <v>203</v>
      </c>
      <c r="E7" s="7"/>
      <c r="F7" s="7"/>
      <c r="G7" s="7"/>
    </row>
    <row r="8" customFormat="false" ht="30" hidden="false" customHeight="true" outlineLevel="0" collapsed="false">
      <c r="B8" s="4" t="s">
        <v>74</v>
      </c>
      <c r="C8" s="4"/>
      <c r="D8" s="7" t="s">
        <v>204</v>
      </c>
      <c r="E8" s="7"/>
      <c r="F8" s="7"/>
      <c r="G8" s="7"/>
    </row>
    <row r="9" customFormat="false" ht="30" hidden="false" customHeight="true" outlineLevel="0" collapsed="false">
      <c r="B9" s="4" t="s">
        <v>75</v>
      </c>
      <c r="C9" s="4"/>
      <c r="D9" s="7" t="s">
        <v>205</v>
      </c>
      <c r="E9" s="7"/>
      <c r="F9" s="7"/>
      <c r="G9" s="7"/>
    </row>
    <row r="10" customFormat="false" ht="30" hidden="false" customHeight="true" outlineLevel="0" collapsed="false">
      <c r="B10" s="4" t="s">
        <v>76</v>
      </c>
      <c r="C10" s="4"/>
      <c r="D10" s="7" t="s">
        <v>206</v>
      </c>
      <c r="E10" s="7"/>
      <c r="F10" s="7"/>
      <c r="G10" s="7"/>
    </row>
    <row r="12" customFormat="false" ht="33.75" hidden="false" customHeight="true" outlineLevel="0" collapsed="false">
      <c r="B12" s="19"/>
      <c r="C12" s="20" t="s">
        <v>14</v>
      </c>
      <c r="D12" s="21" t="s">
        <v>16</v>
      </c>
      <c r="E12" s="22" t="s">
        <v>18</v>
      </c>
      <c r="F12" s="23" t="s">
        <v>20</v>
      </c>
      <c r="G12" s="24" t="s">
        <v>22</v>
      </c>
    </row>
    <row r="13" customFormat="false" ht="21.75" hidden="false" customHeight="true" outlineLevel="0" collapsed="false">
      <c r="B13" s="25" t="s">
        <v>77</v>
      </c>
      <c r="C13" s="8" t="s">
        <v>78</v>
      </c>
      <c r="D13" s="10" t="s">
        <v>79</v>
      </c>
      <c r="E13" s="12" t="s">
        <v>80</v>
      </c>
      <c r="F13" s="14" t="s">
        <v>81</v>
      </c>
      <c r="G13" s="16" t="s">
        <v>82</v>
      </c>
    </row>
    <row r="14" customFormat="false" ht="31.5" hidden="false" customHeight="true" outlineLevel="0" collapsed="false">
      <c r="B14" s="6"/>
      <c r="C14" s="26" t="s">
        <v>83</v>
      </c>
      <c r="D14" s="27" t="s">
        <v>84</v>
      </c>
      <c r="E14" s="28" t="s">
        <v>85</v>
      </c>
      <c r="F14" s="29" t="s">
        <v>86</v>
      </c>
      <c r="G14" s="30" t="s">
        <v>87</v>
      </c>
    </row>
    <row r="15" customFormat="false" ht="30" hidden="false" customHeight="true" outlineLevel="0" collapsed="false">
      <c r="B15" s="31" t="s">
        <v>176</v>
      </c>
      <c r="C15" s="31"/>
      <c r="D15" s="31"/>
      <c r="E15" s="31"/>
      <c r="F15" s="31"/>
      <c r="G15" s="31"/>
    </row>
    <row r="16" customFormat="false" ht="33.75" hidden="false" customHeight="true" outlineLevel="0" collapsed="false">
      <c r="B16" s="33" t="n">
        <v>1</v>
      </c>
      <c r="C16" s="9" t="s">
        <v>207</v>
      </c>
      <c r="D16" s="11" t="s">
        <v>208</v>
      </c>
      <c r="E16" s="13" t="s">
        <v>209</v>
      </c>
      <c r="F16" s="15" t="s">
        <v>210</v>
      </c>
      <c r="G16" s="17" t="s">
        <v>211</v>
      </c>
    </row>
    <row r="17" customFormat="false" ht="33.75" hidden="false" customHeight="true" outlineLevel="0" collapsed="false">
      <c r="B17" s="33" t="n">
        <v>2</v>
      </c>
      <c r="C17" s="9" t="s">
        <v>212</v>
      </c>
      <c r="D17" s="11" t="s">
        <v>213</v>
      </c>
      <c r="E17" s="13" t="s">
        <v>214</v>
      </c>
      <c r="F17" s="15" t="s">
        <v>215</v>
      </c>
      <c r="G17" s="17" t="s">
        <v>207</v>
      </c>
    </row>
    <row r="18" customFormat="false" ht="33.75" hidden="false" customHeight="true" outlineLevel="0" collapsed="false">
      <c r="B18" s="33" t="n">
        <v>3</v>
      </c>
      <c r="C18" s="9" t="s">
        <v>216</v>
      </c>
      <c r="D18" s="11" t="s">
        <v>217</v>
      </c>
      <c r="E18" s="13" t="s">
        <v>218</v>
      </c>
      <c r="F18" s="15" t="s">
        <v>219</v>
      </c>
      <c r="G18" s="17" t="s">
        <v>220</v>
      </c>
    </row>
    <row r="19" customFormat="false" ht="33.75" hidden="false" customHeight="true" outlineLevel="0" collapsed="false">
      <c r="B19" s="33" t="n">
        <v>4</v>
      </c>
      <c r="C19" s="9" t="s">
        <v>221</v>
      </c>
      <c r="D19" s="11" t="s">
        <v>222</v>
      </c>
      <c r="E19" s="13" t="s">
        <v>223</v>
      </c>
      <c r="F19" s="15" t="s">
        <v>224</v>
      </c>
      <c r="G19" s="17" t="s">
        <v>225</v>
      </c>
    </row>
    <row r="20" customFormat="false" ht="33.75" hidden="false" customHeight="true" outlineLevel="0" collapsed="false">
      <c r="B20" s="33" t="n">
        <v>5</v>
      </c>
      <c r="C20" s="9" t="s">
        <v>226</v>
      </c>
      <c r="D20" s="11" t="s">
        <v>227</v>
      </c>
      <c r="E20" s="13" t="s">
        <v>228</v>
      </c>
      <c r="F20" s="15" t="s">
        <v>229</v>
      </c>
      <c r="G20" s="17" t="s">
        <v>216</v>
      </c>
    </row>
    <row r="21" customFormat="false" ht="33.75" hidden="false" customHeight="true" outlineLevel="0" collapsed="false">
      <c r="B21" s="33" t="n">
        <v>6</v>
      </c>
      <c r="C21" s="7"/>
      <c r="D21" s="7"/>
      <c r="E21" s="13" t="s">
        <v>230</v>
      </c>
      <c r="F21" s="7"/>
      <c r="G21" s="7"/>
    </row>
    <row r="22" customFormat="false" ht="33.75" hidden="false" customHeight="true" outlineLevel="0" collapsed="false">
      <c r="B22" s="33" t="n">
        <v>7</v>
      </c>
      <c r="C22" s="7"/>
      <c r="D22" s="7"/>
      <c r="E22" s="7"/>
      <c r="F22" s="7"/>
      <c r="G22" s="7"/>
    </row>
    <row r="23" customFormat="false" ht="33.75" hidden="false" customHeight="true" outlineLevel="0" collapsed="false">
      <c r="B23" s="33" t="n">
        <v>8</v>
      </c>
      <c r="C23" s="7"/>
      <c r="D23" s="7"/>
      <c r="E23" s="7"/>
      <c r="F23" s="7"/>
      <c r="G23" s="7"/>
    </row>
    <row r="24" customFormat="false" ht="33.75" hidden="false" customHeight="true" outlineLevel="0" collapsed="false">
      <c r="B24" s="33" t="n">
        <v>9</v>
      </c>
      <c r="C24" s="7"/>
      <c r="D24" s="7"/>
      <c r="E24" s="7"/>
      <c r="F24" s="7"/>
      <c r="G24" s="7"/>
    </row>
    <row r="25" customFormat="false" ht="33.75" hidden="false" customHeight="true" outlineLevel="0" collapsed="false">
      <c r="B25" s="33" t="n">
        <v>10</v>
      </c>
      <c r="C25" s="7"/>
      <c r="D25" s="7"/>
      <c r="E25" s="7"/>
      <c r="F25" s="7"/>
      <c r="G25" s="7"/>
    </row>
    <row r="26" customFormat="false" ht="33.75" hidden="false" customHeight="true" outlineLevel="0" collapsed="false">
      <c r="B26" s="33" t="n">
        <v>11</v>
      </c>
      <c r="C26" s="7"/>
      <c r="D26" s="7"/>
      <c r="E26" s="7"/>
      <c r="F26" s="7"/>
      <c r="G26" s="7"/>
    </row>
    <row r="27" customFormat="false" ht="33.75" hidden="false" customHeight="true" outlineLevel="0" collapsed="false">
      <c r="B27" s="33" t="n">
        <v>12</v>
      </c>
      <c r="C27" s="7"/>
      <c r="D27" s="7"/>
      <c r="E27" s="7"/>
      <c r="F27" s="7"/>
      <c r="G27" s="7"/>
    </row>
    <row r="29" customFormat="false" ht="21.75" hidden="false" customHeight="true" outlineLevel="0" collapsed="false">
      <c r="B29" s="34" t="s">
        <v>94</v>
      </c>
      <c r="C29" s="34"/>
      <c r="D29" s="34"/>
      <c r="E29" s="34"/>
      <c r="F29" s="34"/>
      <c r="G29" s="34"/>
    </row>
    <row r="30" customFormat="false" ht="21.75" hidden="false" customHeight="true" outlineLevel="0" collapsed="false">
      <c r="B30" s="35" t="s">
        <v>95</v>
      </c>
      <c r="C30" s="36" t="n">
        <f aca="false">COUNTA(C16:C27)</f>
        <v>5</v>
      </c>
      <c r="D30" s="36" t="n">
        <f aca="false">COUNTA(D16:D27)</f>
        <v>5</v>
      </c>
      <c r="E30" s="36" t="n">
        <f aca="false">COUNTA(E16:E27)</f>
        <v>6</v>
      </c>
      <c r="F30" s="36" t="n">
        <f aca="false">COUNTA(F16:F27)</f>
        <v>5</v>
      </c>
      <c r="G30" s="36" t="n">
        <f aca="false">COUNTA(G16:G27)</f>
        <v>5</v>
      </c>
    </row>
    <row r="31" customFormat="false" ht="43.5" hidden="false" customHeight="true" outlineLevel="0" collapsed="false">
      <c r="B31" s="35" t="s">
        <v>96</v>
      </c>
      <c r="C31" s="37" t="str">
        <f aca="false">IF(C30=0,"Liste os fornecedores",IF(C30&lt;D30,"Há entradas sem fornecedor na mesma linha","OK"))</f>
        <v>OK</v>
      </c>
      <c r="D31" s="37" t="str">
        <f aca="false">IF(D30=0,"Liste as entradas",IF(D30&lt;C30,"Há fornecedores sem entrada na mesma linha","OK"))</f>
        <v>OK</v>
      </c>
      <c r="E31" s="37" t="str">
        <f aca="false">IF(E30=0,"Liste as macroetapas",IF(E30&lt;4,"Poucas etapas: confira se o processo está completo",IF(E30&gt;7,"Muitas etapas: agrupe em 4 a 7 macroetapas","OK")))</f>
        <v>OK</v>
      </c>
      <c r="F31" s="37" t="str">
        <f aca="false">IF(F30=0,"Liste as saídas",IF(F30&lt;G30,"Há clientes sem saída na mesma linha","OK"))</f>
        <v>OK</v>
      </c>
      <c r="G31" s="37" t="str">
        <f aca="false">IF(G30=0,"Liste os clientes",IF(G30&lt;F30,"Há saídas sem cliente na mesma linha","OK"))</f>
        <v>OK</v>
      </c>
    </row>
    <row r="32" customFormat="false" ht="21.75" hidden="false" customHeight="true" outlineLevel="0" collapsed="false">
      <c r="B32" s="38" t="s">
        <v>97</v>
      </c>
      <c r="C32" s="38"/>
      <c r="D32" s="38"/>
      <c r="E32" s="38"/>
      <c r="F32" s="39" t="n">
        <f aca="false">COUNTA(D4,G4,D5,G5,D6,G6,D7,D8,D9,D10)</f>
        <v>10</v>
      </c>
      <c r="G32" s="39"/>
    </row>
  </sheetData>
  <mergeCells count="20">
    <mergeCell ref="B1:G1"/>
    <mergeCell ref="B2:G2"/>
    <mergeCell ref="B4:C4"/>
    <mergeCell ref="D4:E4"/>
    <mergeCell ref="B5:C5"/>
    <mergeCell ref="D5:E5"/>
    <mergeCell ref="B6:C6"/>
    <mergeCell ref="D6:E6"/>
    <mergeCell ref="B7:C7"/>
    <mergeCell ref="D7:G7"/>
    <mergeCell ref="B8:C8"/>
    <mergeCell ref="D8:G8"/>
    <mergeCell ref="B9:C9"/>
    <mergeCell ref="D9:G9"/>
    <mergeCell ref="B10:C10"/>
    <mergeCell ref="D10:G10"/>
    <mergeCell ref="B15:G15"/>
    <mergeCell ref="B29:G29"/>
    <mergeCell ref="B32:E32"/>
    <mergeCell ref="F32:G32"/>
  </mergeCells>
  <conditionalFormatting sqref="C31:G31">
    <cfRule type="cellIs" priority="2" operator="equal" aboveAverage="0" equalAverage="0" bottom="0" percent="0" rank="0" text="" dxfId="0">
      <formula>"OK"</formula>
    </cfRule>
    <cfRule type="cellIs" priority="3" operator="notEqual" aboveAverage="0" equalAverage="0" bottom="0" percent="0" rank="0" text="" dxfId="1">
      <formula>"OK"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2026-09-28T15:46:04Z</dcterms:created>
  <dc:creator>Modelo SIPOC</dc:creator>
  <dc:description/>
  <dc:language>pt-BR</dc:language>
  <cp:lastModifiedBy/>
  <dcterms:modified xsi:type="dcterms:W3CDTF">2026-09-28T15:46:04Z</dcterms:modified>
  <cp:revision>0</cp:revision>
  <dc:subject/>
  <dc:title>SIPOC — Modelo de mapeamento de processo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