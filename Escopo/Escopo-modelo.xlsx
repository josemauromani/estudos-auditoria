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Escopo" sheetId="2" state="visible" r:id="rId4"/>
    <sheet name="Aplicabilidade" sheetId="3" state="visible" r:id="rId5"/>
    <sheet name="Liderança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2" name="_xlnm.Print_Area" vbProcedure="false">Aplicabilidade!$B$1:$H$56</definedName>
    <definedName function="false" hidden="false" localSheetId="5" name="_xlnm.Print_Area" vbProcedure="false">Checklist!$B$1:$E$24</definedName>
    <definedName function="false" hidden="false" localSheetId="1" name="_xlnm.Print_Area" vbProcedure="false">Escopo!$B$1:$D$17</definedName>
    <definedName function="false" hidden="false" localSheetId="6" name="_xlnm.Print_Area" vbProcedure="false">'Exemplo 1 - Pizzaria'!$B$1:$K$41</definedName>
    <definedName function="false" hidden="false" localSheetId="7" name="_xlnm.Print_Area" vbProcedure="false">'Exemplo 2 - Indústria'!$B$1:$K$40</definedName>
    <definedName function="false" hidden="false" localSheetId="0" name="_xlnm.Print_Area" vbProcedure="false">Instruções!$B$1:$C$38</definedName>
    <definedName function="false" hidden="false" localSheetId="3" name="_xlnm.Print_Area" vbProcedure="false">Liderança!$B$1:$K$20</definedName>
    <definedName function="false" hidden="false" localSheetId="4" name="_xlnm.Print_Area" vbProcedure="false">Painel!$B$1:$F$47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8" authorId="0">
      <text>
        <r>
          <rPr>
            <sz val="10"/>
            <rFont val="Arial"/>
            <family val="2"/>
          </rPr>
          <t xml:space="preserve">Atividades do sistema feitas por outras empresas: transporte, armazenagem, laboratório, calibração. Continuam no escopo.</t>
        </r>
      </text>
    </comment>
    <comment ref="B9" authorId="0">
      <text>
        <r>
          <rPr>
            <sz val="10"/>
            <rFont val="Arial"/>
            <family val="2"/>
          </rPr>
          <t xml:space="preserve">Unidades, linhas de produto ou serviços que ficam fora do sistema, e o motivo. É uma decisão de fronteira, e não de aplicabilidade.</t>
        </r>
      </text>
    </comment>
    <comment ref="B10" authorId="0">
      <text>
        <r>
          <rPr>
            <sz val="10"/>
            <rFont val="Arial"/>
            <family val="2"/>
          </rPr>
          <t xml:space="preserve">O que, onde e como, em uma ou duas frases. É o texto que costuma ir para o certificado.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21" authorId="0">
      <text>
        <r>
          <rPr>
            <sz val="10"/>
            <rFont val="Arial"/>
            <family val="2"/>
          </rPr>
          <t xml:space="preserve">Quando nenhum resultado depende de medição, ou a medição não exige rastreabilidade a padrões.</t>
        </r>
      </text>
    </comment>
    <comment ref="D32" authorId="0">
      <text>
        <r>
          <rPr>
            <sz val="10"/>
            <rFont val="Arial"/>
            <family val="2"/>
          </rPr>
          <t xml:space="preserve">Quando a organização não define as características do que fornece: produz pelo projeto do cliente ou revende.</t>
        </r>
      </text>
    </comment>
    <comment ref="D38" authorId="0">
      <text>
        <r>
          <rPr>
            <sz val="10"/>
            <rFont val="Arial"/>
            <family val="2"/>
          </rPr>
          <t xml:space="preserve">Quando nada do cliente ou do fornecedor fica sob os cuidados da organização: material, ferramenta, dado.</t>
        </r>
      </text>
    </comment>
    <comment ref="D40" authorId="0">
      <text>
        <r>
          <rPr>
            <sz val="10"/>
            <rFont val="Arial"/>
            <family val="2"/>
          </rPr>
          <t xml:space="preserve">Quando não há nenhuma atividade depois da entrega: garantia, troca, assistência, reclamação.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O que a direção faz, de fato: “conduz a análise crítica”, “aprovou a compra do medidor”. Evite “apoia a qualidade”.</t>
        </r>
      </text>
    </comment>
  </commentList>
</comments>
</file>

<file path=xl/sharedStrings.xml><?xml version="1.0" encoding="utf-8"?>
<sst xmlns="http://schemas.openxmlformats.org/spreadsheetml/2006/main" count="581" uniqueCount="366">
  <si>
    <t xml:space="preserve">Escopo e liderança — Como usar esta planilha</t>
  </si>
  <si>
    <t xml:space="preserve">Modelo para escrever o escopo, decidir a aplicabilidade de cada requisito e registrar como a direção demonstra a liderança.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</si>
  <si>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</si>
  <si>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</si>
  <si>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</si>
  <si>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</si>
  <si>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(requisitos, compromissos, conferências, avisos). Não altere.</t>
  </si>
  <si>
    <t xml:space="preserve">Listas suspensas</t>
  </si>
  <si>
    <t xml:space="preserve">Aplica-se, efeito no cliente, situação do compromisso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</si>
  <si>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</si>
  <si>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</si>
  <si>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</si>
  <si>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Pode não se aplicar</t>
  </si>
  <si>
    <t xml:space="preserve">Os requisitos 7.1.5, 8.3, 8.5.3 e 8.5.5. Podem ser declarados não aplicáveis, com justificativa, se a ausência não afetar o cliente.</t>
  </si>
  <si>
    <t xml:space="preserve">Aplica-se sempre</t>
  </si>
  <si>
    <t xml:space="preserve">Todos os outros. Marcar “Não” neles gera o aviso “requisito que se aplica sempre”.</t>
  </si>
  <si>
    <t xml:space="preserve">Exclusão indevida</t>
  </si>
  <si>
    <t xml:space="preserve">Requisito declarado não aplicável cuja ausência afeta a conformidade do produto ou a satisfação do cliente.</t>
  </si>
  <si>
    <t xml:space="preserve">Falta a ação</t>
  </si>
  <si>
    <t xml:space="preserve">Compromisso “Parcial” ou “Não demonstrado” sem ação.</t>
  </si>
  <si>
    <t xml:space="preserve">Falta o registro</t>
  </si>
  <si>
    <t xml:space="preserve">Compromisso “Demonstrado” sem dizer onde fica a evidência.</t>
  </si>
  <si>
    <t xml:space="preserve">Ordem recomendada de preenchimento</t>
  </si>
  <si>
    <t xml:space="preserve">Passo 1</t>
  </si>
  <si>
    <t xml:space="preserve">Aba Escopo: escreva a organização, as unidades, os produtos e serviços, os processos e os processos terceirizados.</t>
  </si>
  <si>
    <t xml:space="preserve">Passo 2</t>
  </si>
  <si>
    <t xml:space="preserve">Aba Escopo: escreva o que fica fora, se houver, e por quê.</t>
  </si>
  <si>
    <t xml:space="preserve">Passo 3</t>
  </si>
  <si>
    <t xml:space="preserve">Aba Aplicabilidade: para cada requisito, diga se se aplica. Para os que não se aplicam, escreva a justificativa e avalie o efeito no cliente.</t>
  </si>
  <si>
    <t xml:space="preserve">Passo 4</t>
  </si>
  <si>
    <t xml:space="preserve">Aba Escopo: escreva a declaração, a revisão e quem aprovou.</t>
  </si>
  <si>
    <t xml:space="preserve">Passo 5</t>
  </si>
  <si>
    <t xml:space="preserve">Aba Liderança: para cada compromisso, o que a direção faz, a frequência, o registro, a situação e, se preciso, a ação.</t>
  </si>
  <si>
    <t xml:space="preserve">Passo 6</t>
  </si>
  <si>
    <t xml:space="preserve">Aba Painel: leia os avisos. Depois, valide na aba Checklist.</t>
  </si>
  <si>
    <t xml:space="preserve">Abas da planilha</t>
  </si>
  <si>
    <t xml:space="preserve">Escopo</t>
  </si>
  <si>
    <t xml:space="preserve">Os campos do escopo, com a conferência dos obrigatórios: unidades, produtos e serviços, processos, declaração e aprovação.</t>
  </si>
  <si>
    <t xml:space="preserve">Aplicabilidade</t>
  </si>
  <si>
    <t xml:space="preserve">Os 45 requisitos do estudo da ISO 9001, com a decisão e a conferência de cada um.</t>
  </si>
  <si>
    <t xml:space="preserve">Liderança</t>
  </si>
  <si>
    <t xml:space="preserve">Os 10 compromissos da direção, com evidência, situação e ação.</t>
  </si>
  <si>
    <t xml:space="preserve">Painel</t>
  </si>
  <si>
    <t xml:space="preserve">Os indicadores, os compromissos por situação, o gráfico e o aviso.</t>
  </si>
  <si>
    <t xml:space="preserve">Checklist</t>
  </si>
  <si>
    <t xml:space="preserve">Doze verificações do escopo e da liderança, com percentual de conclusão.</t>
  </si>
  <si>
    <t xml:space="preserve">Exemplo 1 - Pizzaria</t>
  </si>
  <si>
    <t xml:space="preserve">O primeiro escopo da loja, em rascunho, e a liderança do dono.</t>
  </si>
  <si>
    <t xml:space="preserve">Exemplo 2 - Indústria</t>
  </si>
  <si>
    <t xml:space="preserve">A revisão do escopo antes da certificação, e a liderança da diretoria.</t>
  </si>
  <si>
    <t xml:space="preserve">Regras e premissas do modelo</t>
  </si>
  <si>
    <t xml:space="preserve">Lista de requisitos</t>
  </si>
  <si>
    <t xml:space="preserve">A mesma do estudo ISO 9001 requisito a requisito: 45 itens, com alguns subitens agrupados.</t>
  </si>
  <si>
    <t xml:space="preserve">Requisitos que podem não se aplicar</t>
  </si>
  <si>
    <t xml:space="preserve">Convenção deste material, a partir da prática. A norma não traz uma lista; ela pede justificativa e que a ausência não afete o cliente.</t>
  </si>
  <si>
    <t xml:space="preserve">Exemplos</t>
  </si>
  <si>
    <t xml:space="preserve">Os dados das abas de exemplo são ilustrativos, criados para este material.</t>
  </si>
  <si>
    <t xml:space="preserve">Escopo do sistema de gestão da qualidade</t>
  </si>
  <si>
    <t xml:space="preserve">O que, onde e como o sistema cobre. Os requisitos não aplicáveis ficam na aba Aplicabilidade.</t>
  </si>
  <si>
    <t xml:space="preserve">Organização</t>
  </si>
  <si>
    <t xml:space="preserve">Conferência</t>
  </si>
  <si>
    <t xml:space="preserve">Unidades e locais</t>
  </si>
  <si>
    <t xml:space="preserve">Produtos e serviços</t>
  </si>
  <si>
    <t xml:space="preserve">Processos</t>
  </si>
  <si>
    <t xml:space="preserve">Processos terceirizados</t>
  </si>
  <si>
    <t xml:space="preserve">Opcional</t>
  </si>
  <si>
    <t xml:space="preserve">Fora do escopo</t>
  </si>
  <si>
    <t xml:space="preserve">Declaração de escopo</t>
  </si>
  <si>
    <t xml:space="preserve">Revisão e data</t>
  </si>
  <si>
    <t xml:space="preserve">Aprovado por</t>
  </si>
  <si>
    <t xml:space="preserve">Resumo automático</t>
  </si>
  <si>
    <t xml:space="preserve">Campos obrigatórios preenchidos</t>
  </si>
  <si>
    <t xml:space="preserve">Requisitos não aplicáveis</t>
  </si>
  <si>
    <t xml:space="preserve">Aviso</t>
  </si>
  <si>
    <t xml:space="preserve">Aplicabilidade dos requisitos</t>
  </si>
  <si>
    <t xml:space="preserve">Requisito por requisito: aplica-se? Para os que não se aplicam, a justificativa e o efeito no cliente.</t>
  </si>
  <si>
    <t xml:space="preserve">Requisito</t>
  </si>
  <si>
    <t xml:space="preserve">Título</t>
  </si>
  <si>
    <t xml:space="preserve">Pode não se aplicar?</t>
  </si>
  <si>
    <t xml:space="preserve">Aplica-se?</t>
  </si>
  <si>
    <t xml:space="preserve">Justificativa, se não se aplica</t>
  </si>
  <si>
    <t xml:space="preserve">Afeta o cliente?</t>
  </si>
  <si>
    <t xml:space="preserve">Do estudo da ISO 9001</t>
  </si>
  <si>
    <t xml:space="preserve">Convenção do material</t>
  </si>
  <si>
    <t xml:space="preserve">Lista</t>
  </si>
  <si>
    <t xml:space="preserve">Por que nenhuma atividade se liga a ele</t>
  </si>
  <si>
    <t xml:space="preserve">Calculada</t>
  </si>
  <si>
    <t xml:space="preserve">Ex.</t>
  </si>
  <si>
    <t xml:space="preserve">Projeto e desenvolvimento de produtos e serviços</t>
  </si>
  <si>
    <t xml:space="preserve">Não</t>
  </si>
  <si>
    <t xml:space="preserve">Produzimos só pelo desenho e pela especificação do cliente, sem alterar nada.</t>
  </si>
  <si>
    <t xml:space="preserve">OK</t>
  </si>
  <si>
    <t xml:space="preserve">4.1</t>
  </si>
  <si>
    <t xml:space="preserve">Entendendo a organização e seu contexto</t>
  </si>
  <si>
    <t xml:space="preserve">4.2</t>
  </si>
  <si>
    <t xml:space="preserve">Entendendo as necessidades e expectativas de partes interessadas</t>
  </si>
  <si>
    <t xml:space="preserve">4.3</t>
  </si>
  <si>
    <t xml:space="preserve">Determinando o escopo do sistema de gestão da qualidade</t>
  </si>
  <si>
    <t xml:space="preserve">4.4</t>
  </si>
  <si>
    <t xml:space="preserve">Sistema de gestão da qualidade e seus processos</t>
  </si>
  <si>
    <t xml:space="preserve">5.1.1</t>
  </si>
  <si>
    <t xml:space="preserve">Liderança e comprometimento: generalidades</t>
  </si>
  <si>
    <t xml:space="preserve">5.1.2</t>
  </si>
  <si>
    <t xml:space="preserve">Foco no cliente</t>
  </si>
  <si>
    <t xml:space="preserve">5.2</t>
  </si>
  <si>
    <t xml:space="preserve">Política</t>
  </si>
  <si>
    <t xml:space="preserve">5.3</t>
  </si>
  <si>
    <t xml:space="preserve">Papéis, responsabilidades e autoridades organizacionais</t>
  </si>
  <si>
    <t xml:space="preserve">6.1</t>
  </si>
  <si>
    <t xml:space="preserve">Ações para abordar riscos e oportunidades</t>
  </si>
  <si>
    <t xml:space="preserve">6.2</t>
  </si>
  <si>
    <t xml:space="preserve">Objetivos da qualidade e planejamento para alcançá-los</t>
  </si>
  <si>
    <t xml:space="preserve">6.3</t>
  </si>
  <si>
    <t xml:space="preserve">Planejamento de mudanças</t>
  </si>
  <si>
    <t xml:space="preserve">7.1.1</t>
  </si>
  <si>
    <t xml:space="preserve">Recursos: generalidades e pessoas (7.1.1 e 7.1.2)</t>
  </si>
  <si>
    <t xml:space="preserve">7.1.3</t>
  </si>
  <si>
    <t xml:space="preserve">Infraestrutura</t>
  </si>
  <si>
    <t xml:space="preserve">7.1.4</t>
  </si>
  <si>
    <t xml:space="preserve">Ambiente para a operação dos processos</t>
  </si>
  <si>
    <t xml:space="preserve">7.1.5</t>
  </si>
  <si>
    <t xml:space="preserve">Recursos de monitoramento e medição</t>
  </si>
  <si>
    <t xml:space="preserve">7.1.6</t>
  </si>
  <si>
    <t xml:space="preserve">Conhecimento organizacional</t>
  </si>
  <si>
    <t xml:space="preserve">7.2</t>
  </si>
  <si>
    <t xml:space="preserve">Competência</t>
  </si>
  <si>
    <t xml:space="preserve">7.3</t>
  </si>
  <si>
    <t xml:space="preserve">Conscientização</t>
  </si>
  <si>
    <t xml:space="preserve">7.4</t>
  </si>
  <si>
    <t xml:space="preserve">Comunicação</t>
  </si>
  <si>
    <t xml:space="preserve">7.5</t>
  </si>
  <si>
    <t xml:space="preserve">Informação documentada</t>
  </si>
  <si>
    <t xml:space="preserve">8.1</t>
  </si>
  <si>
    <t xml:space="preserve">Planejamento e controle operacionais</t>
  </si>
  <si>
    <t xml:space="preserve">8.2.1</t>
  </si>
  <si>
    <t xml:space="preserve">Comunicação com o cliente</t>
  </si>
  <si>
    <t xml:space="preserve">8.2.2</t>
  </si>
  <si>
    <t xml:space="preserve">Determinação de requisitos relativos a produtos e serviços</t>
  </si>
  <si>
    <t xml:space="preserve">8.2.3</t>
  </si>
  <si>
    <t xml:space="preserve">Análise crítica de requisitos relativos a produtos e serviços</t>
  </si>
  <si>
    <t xml:space="preserve">8.2.4</t>
  </si>
  <si>
    <t xml:space="preserve">Mudanças nos requisitos para produtos e serviços</t>
  </si>
  <si>
    <t xml:space="preserve">8.3</t>
  </si>
  <si>
    <t xml:space="preserve">8.4.1</t>
  </si>
  <si>
    <t xml:space="preserve">Provedores externos: generalidades</t>
  </si>
  <si>
    <t xml:space="preserve">8.4.2</t>
  </si>
  <si>
    <t xml:space="preserve">Provedores externos: tipo e extensão do controle</t>
  </si>
  <si>
    <t xml:space="preserve">8.4.3</t>
  </si>
  <si>
    <t xml:space="preserve">Provedores externos: informação</t>
  </si>
  <si>
    <t xml:space="preserve">8.5.1</t>
  </si>
  <si>
    <t xml:space="preserve">Controle de produção e de provisão de serviço</t>
  </si>
  <si>
    <t xml:space="preserve">8.5.2</t>
  </si>
  <si>
    <t xml:space="preserve">Identificação e rastreabilidade</t>
  </si>
  <si>
    <t xml:space="preserve">8.5.3</t>
  </si>
  <si>
    <t xml:space="preserve">Propriedade pertencente a clientes ou provedores externos</t>
  </si>
  <si>
    <t xml:space="preserve">8.5.4</t>
  </si>
  <si>
    <t xml:space="preserve">Preservação</t>
  </si>
  <si>
    <t xml:space="preserve">8.5.5</t>
  </si>
  <si>
    <t xml:space="preserve">Atividades pós-entrega</t>
  </si>
  <si>
    <t xml:space="preserve">8.5.6</t>
  </si>
  <si>
    <t xml:space="preserve">Controle de mudanças</t>
  </si>
  <si>
    <t xml:space="preserve">8.6</t>
  </si>
  <si>
    <t xml:space="preserve">Liberação de produtos e serviços</t>
  </si>
  <si>
    <t xml:space="preserve">8.7</t>
  </si>
  <si>
    <t xml:space="preserve">Controle de saídas não conformes</t>
  </si>
  <si>
    <t xml:space="preserve">9.1.1</t>
  </si>
  <si>
    <t xml:space="preserve">Monitoramento, medição, análise e avaliação: generalidades</t>
  </si>
  <si>
    <t xml:space="preserve">9.1.2</t>
  </si>
  <si>
    <t xml:space="preserve">Satisfação do cliente</t>
  </si>
  <si>
    <t xml:space="preserve">9.1.3</t>
  </si>
  <si>
    <t xml:space="preserve">Análise e avaliação</t>
  </si>
  <si>
    <t xml:space="preserve">9.2</t>
  </si>
  <si>
    <t xml:space="preserve">Auditoria interna</t>
  </si>
  <si>
    <t xml:space="preserve">9.3</t>
  </si>
  <si>
    <t xml:space="preserve">Análise crítica pela direção</t>
  </si>
  <si>
    <t xml:space="preserve">10.1</t>
  </si>
  <si>
    <t xml:space="preserve">Melhoria: generalidades</t>
  </si>
  <si>
    <t xml:space="preserve">10.2</t>
  </si>
  <si>
    <t xml:space="preserve">Não conformidade e ação corretiva</t>
  </si>
  <si>
    <t xml:space="preserve">10.3</t>
  </si>
  <si>
    <t xml:space="preserve">Melhoria contínua</t>
  </si>
  <si>
    <t xml:space="preserve">Requisitos decididos</t>
  </si>
  <si>
    <t xml:space="preserve">Aplicáveis e não aplicáveis</t>
  </si>
  <si>
    <t xml:space="preserve">Liderança e comprometimento da direção</t>
  </si>
  <si>
    <t xml:space="preserve">Para cada compromisso: o que a direção faz, com que frequência e onde fica o registro. O que é parcial pede ação.</t>
  </si>
  <si>
    <t xml:space="preserve">#</t>
  </si>
  <si>
    <t xml:space="preserve">Compromisso</t>
  </si>
  <si>
    <t xml:space="preserve">O que a direção faz</t>
  </si>
  <si>
    <t xml:space="preserve">Frequência</t>
  </si>
  <si>
    <t xml:space="preserve">Registro</t>
  </si>
  <si>
    <t xml:space="preserve">Situação</t>
  </si>
  <si>
    <t xml:space="preserve">Ação</t>
  </si>
  <si>
    <t xml:space="preserve">Responsável</t>
  </si>
  <si>
    <t xml:space="preserve">Prazo</t>
  </si>
  <si>
    <t xml:space="preserve">Fixo</t>
  </si>
  <si>
    <t xml:space="preserve">Um fato, e não uma intenção</t>
  </si>
  <si>
    <t xml:space="preserve">Mensal, anual</t>
  </si>
  <si>
    <t xml:space="preserve">Onde a evidência fica</t>
  </si>
  <si>
    <t xml:space="preserve">Se parcial ou não demonstrado</t>
  </si>
  <si>
    <t xml:space="preserve">Uma função</t>
  </si>
  <si>
    <t xml:space="preserve">Data</t>
  </si>
  <si>
    <t xml:space="preserve">Responder pela eficácia do sistema de gestão da qualidade.</t>
  </si>
  <si>
    <t xml:space="preserve">Garantir que a política e os objetivos sejam compatíveis com o contexto e com a estratégia.</t>
  </si>
  <si>
    <t xml:space="preserve">Integrar os requisitos do sistema aos processos do negócio.</t>
  </si>
  <si>
    <t xml:space="preserve">Promover a abordagem de processo e a mentalidade de risco.</t>
  </si>
  <si>
    <t xml:space="preserve">Garantir os recursos necessários ao sistema.</t>
  </si>
  <si>
    <t xml:space="preserve">Comunicar a importância de uma gestão da qualidade eficaz e de atender aos requisitos.</t>
  </si>
  <si>
    <t xml:space="preserve">Garantir que o sistema alcance os resultados pretendidos.</t>
  </si>
  <si>
    <t xml:space="preserve">Engajar, dirigir e apoiar as pessoas para que contribuam com o sistema.</t>
  </si>
  <si>
    <t xml:space="preserve">Promover a melhoria.</t>
  </si>
  <si>
    <t xml:space="preserve">Apoiar os outros gestores a demonstrar liderança nas suas áreas.</t>
  </si>
  <si>
    <t xml:space="preserve">Por situação</t>
  </si>
  <si>
    <t xml:space="preserve">Ações</t>
  </si>
  <si>
    <t xml:space="preserve">Painel do escopo e da liderança</t>
  </si>
  <si>
    <t xml:space="preserve">Nada a preencher: tudo vem das outras abas.</t>
  </si>
  <si>
    <t xml:space="preserve">Indicador</t>
  </si>
  <si>
    <t xml:space="preserve">Resultado</t>
  </si>
  <si>
    <t xml:space="preserve">Como se lê</t>
  </si>
  <si>
    <t xml:space="preserve">Campos obrigatórios do escopo</t>
  </si>
  <si>
    <t xml:space="preserve">Unidades, produtos e serviços, processos, declaração e aprovação.</t>
  </si>
  <si>
    <t xml:space="preserve">Escopo aprovado</t>
  </si>
  <si>
    <t xml:space="preserve">A direção aprova o escopo.</t>
  </si>
  <si>
    <t xml:space="preserve">Da aba Aplicabilidade.</t>
  </si>
  <si>
    <t xml:space="preserve">Cada um com justificativa, e sem efeito no cliente.</t>
  </si>
  <si>
    <t xml:space="preserve">Não aplicáveis que se aplicam</t>
  </si>
  <si>
    <t xml:space="preserve">Exclusão indevida, ou requisito que se aplica sempre.</t>
  </si>
  <si>
    <t xml:space="preserve">Requisitos a decidir ou completar</t>
  </si>
  <si>
    <t xml:space="preserve">Sem decisão, sem justificativa ou sem o efeito avaliado.</t>
  </si>
  <si>
    <t xml:space="preserve">Demonstrado</t>
  </si>
  <si>
    <t xml:space="preserve">Compromissos da direção, de 10.</t>
  </si>
  <si>
    <t xml:space="preserve">Parcial</t>
  </si>
  <si>
    <t xml:space="preserve">Pedem ação, com responsável e prazo.</t>
  </si>
  <si>
    <t xml:space="preserve">Não demonstrado</t>
  </si>
  <si>
    <t xml:space="preserve">Levar à análise crítica.</t>
  </si>
  <si>
    <t xml:space="preserve">Compromissos a completar</t>
  </si>
  <si>
    <t xml:space="preserve">Sem evidência, sem ação ou sem registro.</t>
  </si>
  <si>
    <t xml:space="preserve">Os compromissos da direção</t>
  </si>
  <si>
    <t xml:space="preserve">Prazo da ação</t>
  </si>
  <si>
    <t xml:space="preserve">1 · Responder pela eficácia</t>
  </si>
  <si>
    <t xml:space="preserve">2 · Política e objetivos</t>
  </si>
  <si>
    <t xml:space="preserve">3 · Integração ao negócio</t>
  </si>
  <si>
    <t xml:space="preserve">4 · Processos e riscos</t>
  </si>
  <si>
    <t xml:space="preserve">5 · Recursos</t>
  </si>
  <si>
    <t xml:space="preserve">6 · Comunicação</t>
  </si>
  <si>
    <t xml:space="preserve">7 · Resultados</t>
  </si>
  <si>
    <t xml:space="preserve">8 · Pessoas</t>
  </si>
  <si>
    <t xml:space="preserve">9 · Melhoria</t>
  </si>
  <si>
    <t xml:space="preserve">10 · Outros gestores</t>
  </si>
  <si>
    <t xml:space="preserve">Checklist do escopo e da liderança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</si>
  <si>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</si>
  <si>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</si>
  <si>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</si>
  <si>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</si>
  <si>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O contexto e as partes interessadas foram considerados para definir o escopo.</t>
  </si>
  <si>
    <t xml:space="preserve">A declaração de escopo diz que produtos e serviços estão cobertos.</t>
  </si>
  <si>
    <t xml:space="preserve">As unidades, os locais e as atividades dentro do escopo estão claros.</t>
  </si>
  <si>
    <t xml:space="preserve">Os processos terceirizados aparecem no escopo e são controlados.</t>
  </si>
  <si>
    <t xml:space="preserve">Cada requisito considerado não aplicável tem justificativa.</t>
  </si>
  <si>
    <t xml:space="preserve">Nenhuma não aplicabilidade afeta a conformidade do produto ou a satisfação do cliente.</t>
  </si>
  <si>
    <t xml:space="preserve">O escopo está escrito, aprovado e disponível como informação documentada.</t>
  </si>
  <si>
    <t xml:space="preserve">A direção responde pela eficácia do sistema e conduz a análise crítica.</t>
  </si>
  <si>
    <t xml:space="preserve">A política e os objetivos são compatíveis com a estratégia e com o contexto.</t>
  </si>
  <si>
    <t xml:space="preserve">Os requisitos do sistema estão integrados aos processos do negócio, e não em paralelo.</t>
  </si>
  <si>
    <t xml:space="preserve">A direção garante os recursos e comunica a importância da qualidade.</t>
  </si>
  <si>
    <t xml:space="preserve">A direção engaja as pessoas, promove a melhoria e apoia os outros gestores.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</si>
  <si>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</si>
  <si>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</si>
  <si>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</si>
  <si>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</si>
  <si>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</si>
  <si>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Escopo e liderança</t>
  </si>
  <si>
    <t xml:space="preserve">Exemplo preenchido, para consulta. Use as abas Escopo, Aplicabilidade e Liderança para a sua organização.</t>
  </si>
  <si>
    <t xml:space="preserve">Pizzaria (loja com salão e delivery)</t>
  </si>
  <si>
    <t xml:space="preserve">Escopo escrito em</t>
  </si>
  <si>
    <t xml:space="preserve">08/02/2027. Gerente da loja, com o dono.</t>
  </si>
  <si>
    <t xml:space="preserve">Leitura</t>
  </si>
  <si>
    <t xml:space="preserve">15/02/2027.</t>
  </si>
  <si>
    <t xml:space="preserve">Origem</t>
  </si>
  <si>
    <t xml:space="preserve">Requisito 4.3 não atendido no diagnóstico de 2026: não havia escopo escrito.</t>
  </si>
  <si>
    <t xml:space="preserve">Campo</t>
  </si>
  <si>
    <t xml:space="preserve">Conteúdo</t>
  </si>
  <si>
    <t xml:space="preserve">Uma loja, com salão, cozinha e expedição.</t>
  </si>
  <si>
    <t xml:space="preserve">Pizzas e bebidas, servidas no salão, para retirada no balcão e entregues em casa. Encomendas para eventos.</t>
  </si>
  <si>
    <t xml:space="preserve">Registrar o pedido, produzir e embalar, entregar; planejar e dirigir a loja, medir e melhorar; comprar e armazenar, manter equipamentos e motos, treinar a equipe.</t>
  </si>
  <si>
    <t xml:space="preserve">Pagamento pelo aplicativo, controle de pragas e manutenção do forno, por empresas contratadas.</t>
  </si>
  <si>
    <t xml:space="preserve">Nenhuma parte da loja.</t>
  </si>
  <si>
    <t xml:space="preserve">Produção e venda de pizzas e bebidas no salão, para retirada e por entrega, e encomendas para eventos, na loja do bairro.</t>
  </si>
  <si>
    <t xml:space="preserve">Rascunho de 08/02/2027</t>
  </si>
  <si>
    <t xml:space="preserve">Aplicabilidade: 43 de 45 requisitos aplicáveis. Os declarados não aplicáveis:</t>
  </si>
  <si>
    <t xml:space="preserve">Req.</t>
  </si>
  <si>
    <t xml:space="preserve">Justificativa</t>
  </si>
  <si>
    <t xml:space="preserve">Por que pode não se aplicar</t>
  </si>
  <si>
    <t xml:space="preserve">A loja não projeta produtos: segue receitas.</t>
  </si>
  <si>
    <t xml:space="preserve">Sim</t>
  </si>
  <si>
    <t xml:space="preserve">Quando a organização não define as características do que fornece: produz pelo projeto do cliente ou revende.</t>
  </si>
  <si>
    <t xml:space="preserve">A loja não recebe bens do cliente.</t>
  </si>
  <si>
    <t xml:space="preserve">Quando nada do cliente ou do fornecedor fica sob os cuidados da organização: material, ferramenta, dado.</t>
  </si>
  <si>
    <t xml:space="preserve">Responder pela eficácia</t>
  </si>
  <si>
    <t xml:space="preserve">O dono conduz a análise crítica de dezembro e assina as decisões.</t>
  </si>
  <si>
    <t xml:space="preserve">Anual</t>
  </si>
  <si>
    <t xml:space="preserve">Ata da análise crítica de 14/12/2026</t>
  </si>
  <si>
    <t xml:space="preserve">Política e objetivos</t>
  </si>
  <si>
    <t xml:space="preserve">Os objetivos de 2027 saíram da análise crítica e da SWOT, com o dono.</t>
  </si>
  <si>
    <t xml:space="preserve">Quadro de objetivos de 2027</t>
  </si>
  <si>
    <t xml:space="preserve">Integração ao negócio</t>
  </si>
  <si>
    <t xml:space="preserve">Os indicadores são lidos na reunião semanal, junto com as vendas.</t>
  </si>
  <si>
    <t xml:space="preserve">Semanal</t>
  </si>
  <si>
    <t xml:space="preserve">Painel de indicadores</t>
  </si>
  <si>
    <t xml:space="preserve">Processos e riscos</t>
  </si>
  <si>
    <t xml:space="preserve">O mapa de processos está na parede da cozinha. Os riscos são revistos uma vez por ano.</t>
  </si>
  <si>
    <t xml:space="preserve">Matriz de riscos</t>
  </si>
  <si>
    <t xml:space="preserve">Ler os riscos de cada processo na reunião mensal com os líderes.</t>
  </si>
  <si>
    <t xml:space="preserve">Gerente da loja</t>
  </si>
  <si>
    <t xml:space="preserve">Recursos</t>
  </si>
  <si>
    <t xml:space="preserve">Aprovou o segundo pizzaiolo e o treinamento. O segundo forno está em estudo.</t>
  </si>
  <si>
    <t xml:space="preserve">Quando necessário</t>
  </si>
  <si>
    <t xml:space="preserve">Fala da qualidade na abertura do turno de sexta-feira.</t>
  </si>
  <si>
    <t xml:space="preserve">Incluir os entregadores e mandar uma mensagem por semana no grupo da equipe.</t>
  </si>
  <si>
    <t xml:space="preserve">Dono</t>
  </si>
  <si>
    <t xml:space="preserve">Resultados</t>
  </si>
  <si>
    <t xml:space="preserve">Acompanha o quadro de objetivos todo mês.</t>
  </si>
  <si>
    <t xml:space="preserve">Mensal</t>
  </si>
  <si>
    <t xml:space="preserve">Quadro de objetivos</t>
  </si>
  <si>
    <t xml:space="preserve">Pessoas</t>
  </si>
  <si>
    <t xml:space="preserve">Escolhe o funcionário do mês, com os líderes.</t>
  </si>
  <si>
    <t xml:space="preserve">Melhoria</t>
  </si>
  <si>
    <t xml:space="preserve">Pede um ciclo PDCA por semestre e acompanha o resultado.</t>
  </si>
  <si>
    <t xml:space="preserve">Semestral</t>
  </si>
  <si>
    <t xml:space="preserve">PDCA dos atrasos na entrega</t>
  </si>
  <si>
    <t xml:space="preserve">Outros gestores</t>
  </si>
  <si>
    <t xml:space="preserve">As decisões dos processos passam todas pelo gerente.</t>
  </si>
  <si>
    <t xml:space="preserve">Compromissos por situação</t>
  </si>
  <si>
    <t xml:space="preserve">Indústria de embalagens plásticas</t>
  </si>
  <si>
    <t xml:space="preserve">10/05/2027. Coordenador da Qualidade, com o diretor geral e os gerentes.</t>
  </si>
  <si>
    <t xml:space="preserve">17/05/2027.</t>
  </si>
  <si>
    <t xml:space="preserve">Objetivo O4: certificação ISO 9001 até dezembro. A revisão do escopo é a primeira etapa.</t>
  </si>
  <si>
    <t xml:space="preserve">Fábrica: extrusão, impressão, corte e expedição. Armazém externo, operado por empresa de logística contratada.</t>
  </si>
  <si>
    <t xml:space="preserve">Filmes técnicos lisos e impressos para embalagem de alimentos, e o desenvolvimento de filmes sob encomenda.</t>
  </si>
  <si>
    <t xml:space="preserve">Vender e programar, desenvolver, extrusar, imprimir, cortar, inspecionar e expedir; gestão do sistema; suprimentos, manutenção, laboratório e pessoas.</t>
  </si>
  <si>
    <t xml:space="preserve">Armazenagem e transporte, ensaios de migração em laboratório externo e calibração dos instrumentos.</t>
  </si>
  <si>
    <t xml:space="preserve">Nenhuma unidade. O armazém externo entra como processo terceirizado.</t>
  </si>
  <si>
    <t xml:space="preserve">Projeto, fabricação e expedição de filmes plásticos técnicos, lisos e impressos, para embalagem de alimentos.</t>
  </si>
  <si>
    <t xml:space="preserve">Revisão 1, de 10/05/2027</t>
  </si>
  <si>
    <t xml:space="preserve">Diretor geral</t>
  </si>
  <si>
    <t xml:space="preserve">Aplicabilidade: 44 de 45 requisitos aplicáveis. Os declarados não aplicáveis:</t>
  </si>
  <si>
    <t xml:space="preserve">A fábrica não recebe material do cliente.</t>
  </si>
  <si>
    <t xml:space="preserve">O diretor geral conduz a análise crítica a cada semestre.</t>
  </si>
  <si>
    <t xml:space="preserve">Ata da análise crítica de 18/02/2027</t>
  </si>
  <si>
    <t xml:space="preserve">Os objetivos de 2027 estão ligados à SWOT e à certificação.</t>
  </si>
  <si>
    <t xml:space="preserve">Os indicadores da qualidade são lidos na reunião mensal de resultados, junto com os financeiros.</t>
  </si>
  <si>
    <t xml:space="preserve">Ata da reunião de resultados</t>
  </si>
  <si>
    <t xml:space="preserve">Cada gerente é dono de processo, com tartaruga e matriz de riscos.</t>
  </si>
  <si>
    <t xml:space="preserve">Mapa de processos e matrizes de riscos</t>
  </si>
  <si>
    <t xml:space="preserve">Aprovou o medidor de espessura de R$ 96.000, e a instalação atrasou.</t>
  </si>
  <si>
    <t xml:space="preserve">Acompanhar a instalação na reunião mensal de resultados.</t>
  </si>
  <si>
    <t xml:space="preserve">Comunicado trimestral do diretor sobre qualidade e clientes, no mural e na intranet.</t>
  </si>
  <si>
    <t xml:space="preserve">Trimestral</t>
  </si>
  <si>
    <t xml:space="preserve">Comunicados publicados</t>
  </si>
  <si>
    <t xml:space="preserve">Os objetivos são revistos a cada trimestre, com os gerentes.</t>
  </si>
  <si>
    <t xml:space="preserve">Programa de sugestões e operadores nas equipes de melhoria.</t>
  </si>
  <si>
    <t xml:space="preserve">Registro de sugestões</t>
  </si>
  <si>
    <t xml:space="preserve">Uma reunião por mês do gerente industrial com o turno da noite, que não participa.</t>
  </si>
  <si>
    <t xml:space="preserve">Gerente industrial</t>
  </si>
  <si>
    <t xml:space="preserve">Mantém a equipe de melhoria do refugo, com horas e verba.</t>
  </si>
  <si>
    <t xml:space="preserve">Ciclo PDCA do refugo</t>
  </si>
  <si>
    <t xml:space="preserve">Os gerentes conduzem a análise crítica do seu processo antes da geral.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</si>
</sst>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sz val="10"/>
      <name val="Arial"/>
      <family val="2"/>
    </font>
    <font>
      <b val="true"/>
      <sz val="10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A96A12"/>
        <bgColor rgb="FFB04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8EBCB"/>
        </patternFill>
      </fill>
    </dxf>
    <dxf>
      <fill>
        <patternFill>
          <bgColor rgb="FFF6D9D7"/>
        </patternFill>
      </fill>
    </dxf>
    <dxf>
      <fill>
        <patternFill>
          <bgColor rgb="FFF5DE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5DED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"Compromissos"</c:f>
              <c:strCache>
                <c:ptCount val="1"/>
                <c:pt idx="0">
                  <c:v>Compromissos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Painel!$B$33:$B$35</c:f>
              <c:strCache>
                <c:ptCount val="3"/>
                <c:pt idx="0">
                  <c:v>Demonstrado</c:v>
                </c:pt>
                <c:pt idx="1">
                  <c:v>Parcial</c:v>
                </c:pt>
                <c:pt idx="2">
                  <c:v>Não demonstrado</c:v>
                </c:pt>
              </c:strCache>
            </c:strRef>
          </c:cat>
          <c:val>
            <c:numRef>
              <c:f>Painel!$C$33:$C$35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80"/>
        <c:overlap val="0"/>
        <c:axId val="27346000"/>
        <c:axId val="88855004"/>
      </c:barChart>
      <c:catAx>
        <c:axId val="2734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55004"/>
        <c:crosses val="autoZero"/>
        <c:auto val="1"/>
        <c:lblAlgn val="ctr"/>
        <c:lblOffset val="100"/>
        <c:noMultiLvlLbl val="0"/>
      </c:catAx>
      <c:valAx>
        <c:axId val="8885500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46000"/>
        <c:crosses val="autoZero"/>
        <c:crossBetween val="between"/>
        <c:majorUnit val="2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32</xdr:row>
      <xdr:rowOff>0</xdr:rowOff>
    </xdr:from>
    <xdr:to>
      <xdr:col>5</xdr:col>
      <xdr:colOff>2346120</xdr:colOff>
      <xdr:row>44</xdr:row>
      <xdr:rowOff>53640</xdr:rowOff>
    </xdr:to>
    <xdr:graphicFrame>
      <xdr:nvGraphicFramePr>
        <xdr:cNvPr id="0" name="Chart 1"/>
        <xdr:cNvGraphicFramePr/>
      </xdr:nvGraphicFramePr>
      <xdr:xfrm>
        <a:off x="3665160" y="84200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31.5" hidden="false" customHeight="true" outlineLevel="0" collapsed="false">
      <c r="B7" s="4" t="s">
        <v>7</v>
      </c>
      <c r="C7" s="7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10" customFormat="false" ht="21.75" hidden="false" customHeight="true" outlineLevel="0" collapsed="false">
      <c r="B10" s="3" t="s">
        <v>11</v>
      </c>
      <c r="C10" s="3"/>
    </row>
    <row r="11" customFormat="false" ht="31.5" hidden="false" customHeight="true" outlineLevel="0" collapsed="false">
      <c r="B11" s="4" t="s">
        <v>12</v>
      </c>
      <c r="C11" s="7" t="s">
        <v>13</v>
      </c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19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7" customFormat="false" ht="21.75" hidden="false" customHeight="true" outlineLevel="0" collapsed="false">
      <c r="B17" s="3" t="s">
        <v>22</v>
      </c>
      <c r="C17" s="3"/>
    </row>
    <row r="18" customFormat="false" ht="31.5" hidden="false" customHeight="true" outlineLevel="0" collapsed="false">
      <c r="B18" s="4" t="s">
        <v>23</v>
      </c>
      <c r="C18" s="7" t="s">
        <v>24</v>
      </c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31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5" customFormat="false" ht="21.75" hidden="false" customHeight="true" outlineLevel="0" collapsed="false">
      <c r="B25" s="3" t="s">
        <v>35</v>
      </c>
      <c r="C25" s="3"/>
    </row>
    <row r="26" customFormat="false" ht="31.5" hidden="false" customHeight="true" outlineLevel="0" collapsed="false">
      <c r="B26" s="4" t="s">
        <v>36</v>
      </c>
      <c r="C26" s="7" t="s">
        <v>37</v>
      </c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4" customFormat="false" ht="21.75" hidden="false" customHeight="true" outlineLevel="0" collapsed="false">
      <c r="B34" s="3" t="s">
        <v>50</v>
      </c>
      <c r="C34" s="3"/>
    </row>
    <row r="35" customFormat="false" ht="19.5" hidden="false" customHeight="true" outlineLevel="0" collapsed="false">
      <c r="B35" s="4" t="s">
        <v>51</v>
      </c>
      <c r="C35" s="7" t="s">
        <v>52</v>
      </c>
    </row>
    <row r="36" customFormat="false" ht="31.5" hidden="false" customHeight="true" outlineLevel="0" collapsed="false">
      <c r="B36" s="4" t="s">
        <v>53</v>
      </c>
      <c r="C36" s="7" t="s">
        <v>54</v>
      </c>
    </row>
    <row r="37" customFormat="false" ht="19.5" hidden="false" customHeight="true" outlineLevel="0" collapsed="false">
      <c r="B37" s="4" t="s">
        <v>55</v>
      </c>
      <c r="C37" s="7" t="s">
        <v>56</v>
      </c>
    </row>
  </sheetData>
  <mergeCells count="7">
    <mergeCell ref="B1:C1"/>
    <mergeCell ref="B2:C2"/>
    <mergeCell ref="B4:C4"/>
    <mergeCell ref="B10:C10"/>
    <mergeCell ref="B17:C17"/>
    <mergeCell ref="B25:C25"/>
    <mergeCell ref="B34:C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26"/>
    <col collapsed="false" customWidth="true" hidden="false" outlineLevel="0" max="5" min="5" style="0" width="2"/>
  </cols>
  <sheetData>
    <row r="1" customFormat="false" ht="31.5" hidden="false" customHeight="true" outlineLevel="0" collapsed="false">
      <c r="B1" s="1" t="s">
        <v>57</v>
      </c>
      <c r="C1" s="1"/>
      <c r="D1" s="1"/>
    </row>
    <row r="2" customFormat="false" ht="19.5" hidden="false" customHeight="true" outlineLevel="0" collapsed="false">
      <c r="B2" s="2" t="s">
        <v>58</v>
      </c>
      <c r="C2" s="2"/>
      <c r="D2" s="2"/>
    </row>
    <row r="4" customFormat="false" ht="21.75" hidden="false" customHeight="true" outlineLevel="0" collapsed="false">
      <c r="B4" s="4" t="s">
        <v>59</v>
      </c>
      <c r="C4" s="5"/>
      <c r="D4" s="8" t="s">
        <v>60</v>
      </c>
    </row>
    <row r="5" customFormat="false" ht="30" hidden="false" customHeight="true" outlineLevel="0" collapsed="false">
      <c r="B5" s="4" t="s">
        <v>61</v>
      </c>
      <c r="C5" s="5"/>
      <c r="D5" s="9" t="str">
        <f aca="false">IF(C5="","Falta: unidades e locais","OK")</f>
        <v>Falta: unidades e locais</v>
      </c>
    </row>
    <row r="6" customFormat="false" ht="45" hidden="false" customHeight="true" outlineLevel="0" collapsed="false">
      <c r="B6" s="4" t="s">
        <v>62</v>
      </c>
      <c r="C6" s="5"/>
      <c r="D6" s="9" t="str">
        <f aca="false">IF(C6="","Falta: produtos e serviços","OK")</f>
        <v>Falta: produtos e serviços</v>
      </c>
    </row>
    <row r="7" customFormat="false" ht="45" hidden="false" customHeight="true" outlineLevel="0" collapsed="false">
      <c r="B7" s="4" t="s">
        <v>63</v>
      </c>
      <c r="C7" s="5"/>
      <c r="D7" s="9" t="str">
        <f aca="false">IF(C7="","Falta: processos","OK")</f>
        <v>Falta: processos</v>
      </c>
    </row>
    <row r="8" customFormat="false" ht="30" hidden="false" customHeight="true" outlineLevel="0" collapsed="false">
      <c r="B8" s="4" t="s">
        <v>64</v>
      </c>
      <c r="C8" s="5"/>
      <c r="D8" s="10" t="s">
        <v>65</v>
      </c>
    </row>
    <row r="9" customFormat="false" ht="30" hidden="false" customHeight="true" outlineLevel="0" collapsed="false">
      <c r="B9" s="4" t="s">
        <v>66</v>
      </c>
      <c r="C9" s="5"/>
      <c r="D9" s="10" t="s">
        <v>65</v>
      </c>
    </row>
    <row r="10" customFormat="false" ht="45" hidden="false" customHeight="true" outlineLevel="0" collapsed="false">
      <c r="B10" s="4" t="s">
        <v>67</v>
      </c>
      <c r="C10" s="5"/>
      <c r="D10" s="9" t="str">
        <f aca="false">IF(C10="","Falta: declaração de escopo","OK")</f>
        <v>Falta: declaração de escopo</v>
      </c>
    </row>
    <row r="11" customFormat="false" ht="30" hidden="false" customHeight="true" outlineLevel="0" collapsed="false">
      <c r="B11" s="4" t="s">
        <v>68</v>
      </c>
      <c r="C11" s="5"/>
      <c r="D11" s="10" t="s">
        <v>65</v>
      </c>
    </row>
    <row r="12" customFormat="false" ht="30" hidden="false" customHeight="true" outlineLevel="0" collapsed="false">
      <c r="B12" s="4" t="s">
        <v>69</v>
      </c>
      <c r="C12" s="5"/>
      <c r="D12" s="9" t="str">
        <f aca="false">IF(C12="","Falta: aprovado por","OK")</f>
        <v>Falta: aprovado por</v>
      </c>
    </row>
    <row r="14" customFormat="false" ht="21.75" hidden="false" customHeight="true" outlineLevel="0" collapsed="false">
      <c r="B14" s="11" t="s">
        <v>70</v>
      </c>
      <c r="C14" s="11"/>
      <c r="D14" s="11"/>
    </row>
    <row r="15" customFormat="false" ht="21.75" hidden="false" customHeight="true" outlineLevel="0" collapsed="false">
      <c r="B15" s="12" t="s">
        <v>71</v>
      </c>
      <c r="C15" s="13" t="str">
        <f aca="false">COUNTIF(D5:D12,"OK")&amp;" de 5"</f>
        <v>0 de 5</v>
      </c>
      <c r="D15" s="13"/>
    </row>
    <row r="16" customFormat="false" ht="21.75" hidden="false" customHeight="true" outlineLevel="0" collapsed="false">
      <c r="B16" s="12" t="s">
        <v>72</v>
      </c>
      <c r="C16" s="13" t="str">
        <f aca="false">COUNTIF(Aplicabilidade!E7:E51,"Não")&amp;" de 45: veja a aba Aplicabilidade"</f>
        <v>0 de 45: veja a aba Aplicabilidade</v>
      </c>
      <c r="D16" s="13"/>
    </row>
    <row r="17" customFormat="false" ht="21.75" hidden="false" customHeight="true" outlineLevel="0" collapsed="false">
      <c r="B17" s="12" t="s">
        <v>73</v>
      </c>
      <c r="C17" s="14" t="str">
        <f aca="false">IF(C4="","Escreva a organização",IF(COUNTIF(D5:D12,"OK")&lt;5,"Há campo obrigatório em branco",IF(COUNTIF(Aplicabilidade!H7:H51,"Exclusão indevida")+COUNTIF(Aplicabilidade!H7:H51,"Requisito que se aplica sempre")&gt;0,"Há requisito declarado não aplicável que se aplica",IF(SUMPRODUCT((Aplicabilidade!H7:H51&lt;&gt;"OK")*1)&gt;0,"Há requisito a decidir ou a completar na aba Aplicabilidade","OK"))))</f>
        <v>Escreva a organização</v>
      </c>
      <c r="D17" s="14"/>
    </row>
  </sheetData>
  <mergeCells count="6">
    <mergeCell ref="B1:D1"/>
    <mergeCell ref="B2:D2"/>
    <mergeCell ref="B14:D14"/>
    <mergeCell ref="C15:D15"/>
    <mergeCell ref="C16:D16"/>
    <mergeCell ref="C17:D17"/>
  </mergeCells>
  <conditionalFormatting sqref="D5:D12">
    <cfRule type="expression" priority="2" aboveAverage="0" equalAverage="0" bottom="0" percent="0" rank="0" text="" dxfId="0">
      <formula>OR(D5="OK",D5="Opcional")</formula>
    </cfRule>
    <cfRule type="expression" priority="3" aboveAverage="0" equalAverage="0" bottom="0" percent="0" rank="0" text="" dxfId="1">
      <formula>AND(LEN(D5)&gt;0,NOT(OR(D5="OK",D5="Opcional")))</formula>
    </cfRule>
  </conditionalFormatting>
  <conditionalFormatting sqref="C17:D17">
    <cfRule type="expression" priority="4" aboveAverage="0" equalAverage="0" bottom="0" percent="0" rank="0" text="" dxfId="0">
      <formula>OR(C17="OK")</formula>
    </cfRule>
    <cfRule type="expression" priority="5" aboveAverage="0" equalAverage="0" bottom="0" percent="0" rank="0" text="" dxfId="1">
      <formula>AND(LEN(C17)&gt;0,NOT(OR(C17="OK")))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74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75</v>
      </c>
      <c r="C2" s="2"/>
      <c r="D2" s="2"/>
      <c r="E2" s="2"/>
      <c r="F2" s="2"/>
      <c r="G2" s="2"/>
      <c r="H2" s="2"/>
    </row>
    <row r="4" customFormat="false" ht="33" hidden="false" customHeight="true" outlineLevel="0" collapsed="false"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60</v>
      </c>
    </row>
    <row r="5" customFormat="false" ht="30" hidden="false" customHeight="true" outlineLevel="0" collapsed="false">
      <c r="B5" s="10"/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84</v>
      </c>
      <c r="H5" s="10" t="s">
        <v>86</v>
      </c>
    </row>
    <row r="6" customFormat="false" ht="30" hidden="false" customHeight="true" outlineLevel="0" collapsed="false">
      <c r="B6" s="10" t="s">
        <v>87</v>
      </c>
      <c r="C6" s="15" t="s">
        <v>88</v>
      </c>
      <c r="D6" s="10" t="s">
        <v>12</v>
      </c>
      <c r="E6" s="10" t="s">
        <v>89</v>
      </c>
      <c r="F6" s="15" t="s">
        <v>90</v>
      </c>
      <c r="G6" s="10" t="s">
        <v>89</v>
      </c>
      <c r="H6" s="10" t="s">
        <v>91</v>
      </c>
    </row>
    <row r="7" customFormat="false" ht="24" hidden="false" customHeight="true" outlineLevel="0" collapsed="false">
      <c r="B7" s="16" t="s">
        <v>92</v>
      </c>
      <c r="C7" s="17" t="s">
        <v>93</v>
      </c>
      <c r="D7" s="18" t="s">
        <v>14</v>
      </c>
      <c r="E7" s="19"/>
      <c r="F7" s="5"/>
      <c r="G7" s="19"/>
      <c r="H7" s="9" t="str">
        <f aca="false">IF(E7="","Falta decidir",IF(E7="Sim","OK",IF(D7="Aplica-se sempre","Requisito que se aplica sempre",IF(F7="","Falta a justificativa",IF(G7="","Falta avaliar o efeito",IF(G7="Sim","Exclusão indevida","OK"))))))</f>
        <v>Falta decidir</v>
      </c>
    </row>
    <row r="8" customFormat="false" ht="24" hidden="false" customHeight="true" outlineLevel="0" collapsed="false">
      <c r="B8" s="16" t="s">
        <v>94</v>
      </c>
      <c r="C8" s="17" t="s">
        <v>95</v>
      </c>
      <c r="D8" s="18" t="s">
        <v>14</v>
      </c>
      <c r="E8" s="19"/>
      <c r="F8" s="5"/>
      <c r="G8" s="19"/>
      <c r="H8" s="9" t="str">
        <f aca="false">IF(E8="","Falta decidir",IF(E8="Sim","OK",IF(D8="Aplica-se sempre","Requisito que se aplica sempre",IF(F8="","Falta a justificativa",IF(G8="","Falta avaliar o efeito",IF(G8="Sim","Exclusão indevida","OK"))))))</f>
        <v>Falta decidir</v>
      </c>
    </row>
    <row r="9" customFormat="false" ht="24" hidden="false" customHeight="true" outlineLevel="0" collapsed="false">
      <c r="B9" s="16" t="s">
        <v>96</v>
      </c>
      <c r="C9" s="17" t="s">
        <v>97</v>
      </c>
      <c r="D9" s="18" t="s">
        <v>14</v>
      </c>
      <c r="E9" s="19"/>
      <c r="F9" s="5"/>
      <c r="G9" s="19"/>
      <c r="H9" s="9" t="str">
        <f aca="false">IF(E9="","Falta decidir",IF(E9="Sim","OK",IF(D9="Aplica-se sempre","Requisito que se aplica sempre",IF(F9="","Falta a justificativa",IF(G9="","Falta avaliar o efeito",IF(G9="Sim","Exclusão indevida","OK"))))))</f>
        <v>Falta decidir</v>
      </c>
    </row>
    <row r="10" customFormat="false" ht="24" hidden="false" customHeight="true" outlineLevel="0" collapsed="false">
      <c r="B10" s="16" t="s">
        <v>98</v>
      </c>
      <c r="C10" s="17" t="s">
        <v>99</v>
      </c>
      <c r="D10" s="18" t="s">
        <v>14</v>
      </c>
      <c r="E10" s="19"/>
      <c r="F10" s="5"/>
      <c r="G10" s="19"/>
      <c r="H10" s="9" t="str">
        <f aca="false">IF(E10="","Falta decidir",IF(E10="Sim","OK",IF(D10="Aplica-se sempre","Requisito que se aplica sempre",IF(F10="","Falta a justificativa",IF(G10="","Falta avaliar o efeito",IF(G10="Sim","Exclusão indevida","OK"))))))</f>
        <v>Falta decidir</v>
      </c>
    </row>
    <row r="11" customFormat="false" ht="24" hidden="false" customHeight="true" outlineLevel="0" collapsed="false">
      <c r="B11" s="16" t="s">
        <v>100</v>
      </c>
      <c r="C11" s="17" t="s">
        <v>101</v>
      </c>
      <c r="D11" s="18" t="s">
        <v>14</v>
      </c>
      <c r="E11" s="19"/>
      <c r="F11" s="5"/>
      <c r="G11" s="19"/>
      <c r="H11" s="9" t="str">
        <f aca="false">IF(E11="","Falta decidir",IF(E11="Sim","OK",IF(D11="Aplica-se sempre","Requisito que se aplica sempre",IF(F11="","Falta a justificativa",IF(G11="","Falta avaliar o efeito",IF(G11="Sim","Exclusão indevida","OK"))))))</f>
        <v>Falta decidir</v>
      </c>
    </row>
    <row r="12" customFormat="false" ht="24" hidden="false" customHeight="true" outlineLevel="0" collapsed="false">
      <c r="B12" s="16" t="s">
        <v>102</v>
      </c>
      <c r="C12" s="17" t="s">
        <v>103</v>
      </c>
      <c r="D12" s="18" t="s">
        <v>14</v>
      </c>
      <c r="E12" s="19"/>
      <c r="F12" s="5"/>
      <c r="G12" s="19"/>
      <c r="H12" s="9" t="str">
        <f aca="false">IF(E12="","Falta decidir",IF(E12="Sim","OK",IF(D12="Aplica-se sempre","Requisito que se aplica sempre",IF(F12="","Falta a justificativa",IF(G12="","Falta avaliar o efeito",IF(G12="Sim","Exclusão indevida","OK"))))))</f>
        <v>Falta decidir</v>
      </c>
    </row>
    <row r="13" customFormat="false" ht="24" hidden="false" customHeight="true" outlineLevel="0" collapsed="false">
      <c r="B13" s="16" t="s">
        <v>104</v>
      </c>
      <c r="C13" s="17" t="s">
        <v>105</v>
      </c>
      <c r="D13" s="18" t="s">
        <v>14</v>
      </c>
      <c r="E13" s="19"/>
      <c r="F13" s="5"/>
      <c r="G13" s="19"/>
      <c r="H13" s="9" t="str">
        <f aca="false">IF(E13="","Falta decidir",IF(E13="Sim","OK",IF(D13="Aplica-se sempre","Requisito que se aplica sempre",IF(F13="","Falta a justificativa",IF(G13="","Falta avaliar o efeito",IF(G13="Sim","Exclusão indevida","OK"))))))</f>
        <v>Falta decidir</v>
      </c>
    </row>
    <row r="14" customFormat="false" ht="24" hidden="false" customHeight="true" outlineLevel="0" collapsed="false">
      <c r="B14" s="16" t="s">
        <v>106</v>
      </c>
      <c r="C14" s="17" t="s">
        <v>107</v>
      </c>
      <c r="D14" s="18" t="s">
        <v>14</v>
      </c>
      <c r="E14" s="19"/>
      <c r="F14" s="5"/>
      <c r="G14" s="19"/>
      <c r="H14" s="9" t="str">
        <f aca="false">IF(E14="","Falta decidir",IF(E14="Sim","OK",IF(D14="Aplica-se sempre","Requisito que se aplica sempre",IF(F14="","Falta a justificativa",IF(G14="","Falta avaliar o efeito",IF(G14="Sim","Exclusão indevida","OK"))))))</f>
        <v>Falta decidir</v>
      </c>
    </row>
    <row r="15" customFormat="false" ht="24" hidden="false" customHeight="true" outlineLevel="0" collapsed="false">
      <c r="B15" s="16" t="s">
        <v>108</v>
      </c>
      <c r="C15" s="17" t="s">
        <v>109</v>
      </c>
      <c r="D15" s="18" t="s">
        <v>14</v>
      </c>
      <c r="E15" s="19"/>
      <c r="F15" s="5"/>
      <c r="G15" s="19"/>
      <c r="H15" s="9" t="str">
        <f aca="false">IF(E15="","Falta decidir",IF(E15="Sim","OK",IF(D15="Aplica-se sempre","Requisito que se aplica sempre",IF(F15="","Falta a justificativa",IF(G15="","Falta avaliar o efeito",IF(G15="Sim","Exclusão indevida","OK"))))))</f>
        <v>Falta decidir</v>
      </c>
    </row>
    <row r="16" customFormat="false" ht="24" hidden="false" customHeight="true" outlineLevel="0" collapsed="false">
      <c r="B16" s="16" t="s">
        <v>110</v>
      </c>
      <c r="C16" s="17" t="s">
        <v>111</v>
      </c>
      <c r="D16" s="18" t="s">
        <v>14</v>
      </c>
      <c r="E16" s="19"/>
      <c r="F16" s="5"/>
      <c r="G16" s="19"/>
      <c r="H16" s="9" t="str">
        <f aca="false">IF(E16="","Falta decidir",IF(E16="Sim","OK",IF(D16="Aplica-se sempre","Requisito que se aplica sempre",IF(F16="","Falta a justificativa",IF(G16="","Falta avaliar o efeito",IF(G16="Sim","Exclusão indevida","OK"))))))</f>
        <v>Falta decidir</v>
      </c>
    </row>
    <row r="17" customFormat="false" ht="24" hidden="false" customHeight="true" outlineLevel="0" collapsed="false">
      <c r="B17" s="16" t="s">
        <v>112</v>
      </c>
      <c r="C17" s="17" t="s">
        <v>113</v>
      </c>
      <c r="D17" s="18" t="s">
        <v>14</v>
      </c>
      <c r="E17" s="19"/>
      <c r="F17" s="5"/>
      <c r="G17" s="19"/>
      <c r="H17" s="9" t="str">
        <f aca="false">IF(E17="","Falta decidir",IF(E17="Sim","OK",IF(D17="Aplica-se sempre","Requisito que se aplica sempre",IF(F17="","Falta a justificativa",IF(G17="","Falta avaliar o efeito",IF(G17="Sim","Exclusão indevida","OK"))))))</f>
        <v>Falta decidir</v>
      </c>
    </row>
    <row r="18" customFormat="false" ht="24" hidden="false" customHeight="true" outlineLevel="0" collapsed="false">
      <c r="B18" s="16" t="s">
        <v>114</v>
      </c>
      <c r="C18" s="17" t="s">
        <v>115</v>
      </c>
      <c r="D18" s="18" t="s">
        <v>14</v>
      </c>
      <c r="E18" s="19"/>
      <c r="F18" s="5"/>
      <c r="G18" s="19"/>
      <c r="H18" s="9" t="str">
        <f aca="false">IF(E18="","Falta decidir",IF(E18="Sim","OK",IF(D18="Aplica-se sempre","Requisito que se aplica sempre",IF(F18="","Falta a justificativa",IF(G18="","Falta avaliar o efeito",IF(G18="Sim","Exclusão indevida","OK"))))))</f>
        <v>Falta decidir</v>
      </c>
    </row>
    <row r="19" customFormat="false" ht="24" hidden="false" customHeight="true" outlineLevel="0" collapsed="false">
      <c r="B19" s="16" t="s">
        <v>116</v>
      </c>
      <c r="C19" s="17" t="s">
        <v>117</v>
      </c>
      <c r="D19" s="18" t="s">
        <v>14</v>
      </c>
      <c r="E19" s="19"/>
      <c r="F19" s="5"/>
      <c r="G19" s="19"/>
      <c r="H19" s="9" t="str">
        <f aca="false">IF(E19="","Falta decidir",IF(E19="Sim","OK",IF(D19="Aplica-se sempre","Requisito que se aplica sempre",IF(F19="","Falta a justificativa",IF(G19="","Falta avaliar o efeito",IF(G19="Sim","Exclusão indevida","OK"))))))</f>
        <v>Falta decidir</v>
      </c>
    </row>
    <row r="20" customFormat="false" ht="24" hidden="false" customHeight="true" outlineLevel="0" collapsed="false">
      <c r="B20" s="16" t="s">
        <v>118</v>
      </c>
      <c r="C20" s="17" t="s">
        <v>119</v>
      </c>
      <c r="D20" s="18" t="s">
        <v>14</v>
      </c>
      <c r="E20" s="19"/>
      <c r="F20" s="5"/>
      <c r="G20" s="19"/>
      <c r="H20" s="9" t="str">
        <f aca="false">IF(E20="","Falta decidir",IF(E20="Sim","OK",IF(D20="Aplica-se sempre","Requisito que se aplica sempre",IF(F20="","Falta a justificativa",IF(G20="","Falta avaliar o efeito",IF(G20="Sim","Exclusão indevida","OK"))))))</f>
        <v>Falta decidir</v>
      </c>
    </row>
    <row r="21" customFormat="false" ht="24" hidden="false" customHeight="true" outlineLevel="0" collapsed="false">
      <c r="B21" s="16" t="s">
        <v>120</v>
      </c>
      <c r="C21" s="17" t="s">
        <v>121</v>
      </c>
      <c r="D21" s="18" t="s">
        <v>12</v>
      </c>
      <c r="E21" s="19"/>
      <c r="F21" s="5"/>
      <c r="G21" s="19"/>
      <c r="H21" s="9" t="str">
        <f aca="false">IF(E21="","Falta decidir",IF(E21="Sim","OK",IF(D21="Aplica-se sempre","Requisito que se aplica sempre",IF(F21="","Falta a justificativa",IF(G21="","Falta avaliar o efeito",IF(G21="Sim","Exclusão indevida","OK"))))))</f>
        <v>Falta decidir</v>
      </c>
    </row>
    <row r="22" customFormat="false" ht="24" hidden="false" customHeight="true" outlineLevel="0" collapsed="false">
      <c r="B22" s="16" t="s">
        <v>122</v>
      </c>
      <c r="C22" s="17" t="s">
        <v>123</v>
      </c>
      <c r="D22" s="18" t="s">
        <v>14</v>
      </c>
      <c r="E22" s="19"/>
      <c r="F22" s="5"/>
      <c r="G22" s="19"/>
      <c r="H22" s="9" t="str">
        <f aca="false">IF(E22="","Falta decidir",IF(E22="Sim","OK",IF(D22="Aplica-se sempre","Requisito que se aplica sempre",IF(F22="","Falta a justificativa",IF(G22="","Falta avaliar o efeito",IF(G22="Sim","Exclusão indevida","OK"))))))</f>
        <v>Falta decidir</v>
      </c>
    </row>
    <row r="23" customFormat="false" ht="24" hidden="false" customHeight="true" outlineLevel="0" collapsed="false">
      <c r="B23" s="16" t="s">
        <v>124</v>
      </c>
      <c r="C23" s="17" t="s">
        <v>125</v>
      </c>
      <c r="D23" s="18" t="s">
        <v>14</v>
      </c>
      <c r="E23" s="19"/>
      <c r="F23" s="5"/>
      <c r="G23" s="19"/>
      <c r="H23" s="9" t="str">
        <f aca="false">IF(E23="","Falta decidir",IF(E23="Sim","OK",IF(D23="Aplica-se sempre","Requisito que se aplica sempre",IF(F23="","Falta a justificativa",IF(G23="","Falta avaliar o efeito",IF(G23="Sim","Exclusão indevida","OK"))))))</f>
        <v>Falta decidir</v>
      </c>
    </row>
    <row r="24" customFormat="false" ht="24" hidden="false" customHeight="true" outlineLevel="0" collapsed="false">
      <c r="B24" s="16" t="s">
        <v>126</v>
      </c>
      <c r="C24" s="17" t="s">
        <v>127</v>
      </c>
      <c r="D24" s="18" t="s">
        <v>14</v>
      </c>
      <c r="E24" s="19"/>
      <c r="F24" s="5"/>
      <c r="G24" s="19"/>
      <c r="H24" s="9" t="str">
        <f aca="false">IF(E24="","Falta decidir",IF(E24="Sim","OK",IF(D24="Aplica-se sempre","Requisito que se aplica sempre",IF(F24="","Falta a justificativa",IF(G24="","Falta avaliar o efeito",IF(G24="Sim","Exclusão indevida","OK"))))))</f>
        <v>Falta decidir</v>
      </c>
    </row>
    <row r="25" customFormat="false" ht="24" hidden="false" customHeight="true" outlineLevel="0" collapsed="false">
      <c r="B25" s="16" t="s">
        <v>128</v>
      </c>
      <c r="C25" s="17" t="s">
        <v>129</v>
      </c>
      <c r="D25" s="18" t="s">
        <v>14</v>
      </c>
      <c r="E25" s="19"/>
      <c r="F25" s="5"/>
      <c r="G25" s="19"/>
      <c r="H25" s="9" t="str">
        <f aca="false">IF(E25="","Falta decidir",IF(E25="Sim","OK",IF(D25="Aplica-se sempre","Requisito que se aplica sempre",IF(F25="","Falta a justificativa",IF(G25="","Falta avaliar o efeito",IF(G25="Sim","Exclusão indevida","OK"))))))</f>
        <v>Falta decidir</v>
      </c>
    </row>
    <row r="26" customFormat="false" ht="24" hidden="false" customHeight="true" outlineLevel="0" collapsed="false">
      <c r="B26" s="16" t="s">
        <v>130</v>
      </c>
      <c r="C26" s="17" t="s">
        <v>131</v>
      </c>
      <c r="D26" s="18" t="s">
        <v>14</v>
      </c>
      <c r="E26" s="19"/>
      <c r="F26" s="5"/>
      <c r="G26" s="19"/>
      <c r="H26" s="9" t="str">
        <f aca="false">IF(E26="","Falta decidir",IF(E26="Sim","OK",IF(D26="Aplica-se sempre","Requisito que se aplica sempre",IF(F26="","Falta a justificativa",IF(G26="","Falta avaliar o efeito",IF(G26="Sim","Exclusão indevida","OK"))))))</f>
        <v>Falta decidir</v>
      </c>
    </row>
    <row r="27" customFormat="false" ht="24" hidden="false" customHeight="true" outlineLevel="0" collapsed="false">
      <c r="B27" s="16" t="s">
        <v>132</v>
      </c>
      <c r="C27" s="17" t="s">
        <v>133</v>
      </c>
      <c r="D27" s="18" t="s">
        <v>14</v>
      </c>
      <c r="E27" s="19"/>
      <c r="F27" s="5"/>
      <c r="G27" s="19"/>
      <c r="H27" s="9" t="str">
        <f aca="false">IF(E27="","Falta decidir",IF(E27="Sim","OK",IF(D27="Aplica-se sempre","Requisito que se aplica sempre",IF(F27="","Falta a justificativa",IF(G27="","Falta avaliar o efeito",IF(G27="Sim","Exclusão indevida","OK"))))))</f>
        <v>Falta decidir</v>
      </c>
    </row>
    <row r="28" customFormat="false" ht="24" hidden="false" customHeight="true" outlineLevel="0" collapsed="false">
      <c r="B28" s="16" t="s">
        <v>134</v>
      </c>
      <c r="C28" s="17" t="s">
        <v>135</v>
      </c>
      <c r="D28" s="18" t="s">
        <v>14</v>
      </c>
      <c r="E28" s="19"/>
      <c r="F28" s="5"/>
      <c r="G28" s="19"/>
      <c r="H28" s="9" t="str">
        <f aca="false">IF(E28="","Falta decidir",IF(E28="Sim","OK",IF(D28="Aplica-se sempre","Requisito que se aplica sempre",IF(F28="","Falta a justificativa",IF(G28="","Falta avaliar o efeito",IF(G28="Sim","Exclusão indevida","OK"))))))</f>
        <v>Falta decidir</v>
      </c>
    </row>
    <row r="29" customFormat="false" ht="24" hidden="false" customHeight="true" outlineLevel="0" collapsed="false">
      <c r="B29" s="16" t="s">
        <v>136</v>
      </c>
      <c r="C29" s="17" t="s">
        <v>137</v>
      </c>
      <c r="D29" s="18" t="s">
        <v>14</v>
      </c>
      <c r="E29" s="19"/>
      <c r="F29" s="5"/>
      <c r="G29" s="19"/>
      <c r="H29" s="9" t="str">
        <f aca="false">IF(E29="","Falta decidir",IF(E29="Sim","OK",IF(D29="Aplica-se sempre","Requisito que se aplica sempre",IF(F29="","Falta a justificativa",IF(G29="","Falta avaliar o efeito",IF(G29="Sim","Exclusão indevida","OK"))))))</f>
        <v>Falta decidir</v>
      </c>
    </row>
    <row r="30" customFormat="false" ht="24" hidden="false" customHeight="true" outlineLevel="0" collapsed="false">
      <c r="B30" s="16" t="s">
        <v>138</v>
      </c>
      <c r="C30" s="17" t="s">
        <v>139</v>
      </c>
      <c r="D30" s="18" t="s">
        <v>14</v>
      </c>
      <c r="E30" s="19"/>
      <c r="F30" s="5"/>
      <c r="G30" s="19"/>
      <c r="H30" s="9" t="str">
        <f aca="false">IF(E30="","Falta decidir",IF(E30="Sim","OK",IF(D30="Aplica-se sempre","Requisito que se aplica sempre",IF(F30="","Falta a justificativa",IF(G30="","Falta avaliar o efeito",IF(G30="Sim","Exclusão indevida","OK"))))))</f>
        <v>Falta decidir</v>
      </c>
    </row>
    <row r="31" customFormat="false" ht="24" hidden="false" customHeight="true" outlineLevel="0" collapsed="false">
      <c r="B31" s="16" t="s">
        <v>140</v>
      </c>
      <c r="C31" s="17" t="s">
        <v>141</v>
      </c>
      <c r="D31" s="18" t="s">
        <v>14</v>
      </c>
      <c r="E31" s="19"/>
      <c r="F31" s="5"/>
      <c r="G31" s="19"/>
      <c r="H31" s="9" t="str">
        <f aca="false">IF(E31="","Falta decidir",IF(E31="Sim","OK",IF(D31="Aplica-se sempre","Requisito que se aplica sempre",IF(F31="","Falta a justificativa",IF(G31="","Falta avaliar o efeito",IF(G31="Sim","Exclusão indevida","OK"))))))</f>
        <v>Falta decidir</v>
      </c>
    </row>
    <row r="32" customFormat="false" ht="24" hidden="false" customHeight="true" outlineLevel="0" collapsed="false">
      <c r="B32" s="16" t="s">
        <v>142</v>
      </c>
      <c r="C32" s="17" t="s">
        <v>88</v>
      </c>
      <c r="D32" s="18" t="s">
        <v>12</v>
      </c>
      <c r="E32" s="19"/>
      <c r="F32" s="5"/>
      <c r="G32" s="19"/>
      <c r="H32" s="9" t="str">
        <f aca="false">IF(E32="","Falta decidir",IF(E32="Sim","OK",IF(D32="Aplica-se sempre","Requisito que se aplica sempre",IF(F32="","Falta a justificativa",IF(G32="","Falta avaliar o efeito",IF(G32="Sim","Exclusão indevida","OK"))))))</f>
        <v>Falta decidir</v>
      </c>
    </row>
    <row r="33" customFormat="false" ht="24" hidden="false" customHeight="true" outlineLevel="0" collapsed="false">
      <c r="B33" s="16" t="s">
        <v>143</v>
      </c>
      <c r="C33" s="17" t="s">
        <v>144</v>
      </c>
      <c r="D33" s="18" t="s">
        <v>14</v>
      </c>
      <c r="E33" s="19"/>
      <c r="F33" s="5"/>
      <c r="G33" s="19"/>
      <c r="H33" s="9" t="str">
        <f aca="false">IF(E33="","Falta decidir",IF(E33="Sim","OK",IF(D33="Aplica-se sempre","Requisito que se aplica sempre",IF(F33="","Falta a justificativa",IF(G33="","Falta avaliar o efeito",IF(G33="Sim","Exclusão indevida","OK"))))))</f>
        <v>Falta decidir</v>
      </c>
    </row>
    <row r="34" customFormat="false" ht="24" hidden="false" customHeight="true" outlineLevel="0" collapsed="false">
      <c r="B34" s="16" t="s">
        <v>145</v>
      </c>
      <c r="C34" s="17" t="s">
        <v>146</v>
      </c>
      <c r="D34" s="18" t="s">
        <v>14</v>
      </c>
      <c r="E34" s="19"/>
      <c r="F34" s="5"/>
      <c r="G34" s="19"/>
      <c r="H34" s="9" t="str">
        <f aca="false">IF(E34="","Falta decidir",IF(E34="Sim","OK",IF(D34="Aplica-se sempre","Requisito que se aplica sempre",IF(F34="","Falta a justificativa",IF(G34="","Falta avaliar o efeito",IF(G34="Sim","Exclusão indevida","OK"))))))</f>
        <v>Falta decidir</v>
      </c>
    </row>
    <row r="35" customFormat="false" ht="24" hidden="false" customHeight="true" outlineLevel="0" collapsed="false">
      <c r="B35" s="16" t="s">
        <v>147</v>
      </c>
      <c r="C35" s="17" t="s">
        <v>148</v>
      </c>
      <c r="D35" s="18" t="s">
        <v>14</v>
      </c>
      <c r="E35" s="19"/>
      <c r="F35" s="5"/>
      <c r="G35" s="19"/>
      <c r="H35" s="9" t="str">
        <f aca="false">IF(E35="","Falta decidir",IF(E35="Sim","OK",IF(D35="Aplica-se sempre","Requisito que se aplica sempre",IF(F35="","Falta a justificativa",IF(G35="","Falta avaliar o efeito",IF(G35="Sim","Exclusão indevida","OK"))))))</f>
        <v>Falta decidir</v>
      </c>
    </row>
    <row r="36" customFormat="false" ht="24" hidden="false" customHeight="true" outlineLevel="0" collapsed="false">
      <c r="B36" s="16" t="s">
        <v>149</v>
      </c>
      <c r="C36" s="17" t="s">
        <v>150</v>
      </c>
      <c r="D36" s="18" t="s">
        <v>14</v>
      </c>
      <c r="E36" s="19"/>
      <c r="F36" s="5"/>
      <c r="G36" s="19"/>
      <c r="H36" s="9" t="str">
        <f aca="false">IF(E36="","Falta decidir",IF(E36="Sim","OK",IF(D36="Aplica-se sempre","Requisito que se aplica sempre",IF(F36="","Falta a justificativa",IF(G36="","Falta avaliar o efeito",IF(G36="Sim","Exclusão indevida","OK"))))))</f>
        <v>Falta decidir</v>
      </c>
    </row>
    <row r="37" customFormat="false" ht="24" hidden="false" customHeight="true" outlineLevel="0" collapsed="false">
      <c r="B37" s="16" t="s">
        <v>151</v>
      </c>
      <c r="C37" s="17" t="s">
        <v>152</v>
      </c>
      <c r="D37" s="18" t="s">
        <v>14</v>
      </c>
      <c r="E37" s="19"/>
      <c r="F37" s="5"/>
      <c r="G37" s="19"/>
      <c r="H37" s="9" t="str">
        <f aca="false">IF(E37="","Falta decidir",IF(E37="Sim","OK",IF(D37="Aplica-se sempre","Requisito que se aplica sempre",IF(F37="","Falta a justificativa",IF(G37="","Falta avaliar o efeito",IF(G37="Sim","Exclusão indevida","OK"))))))</f>
        <v>Falta decidir</v>
      </c>
    </row>
    <row r="38" customFormat="false" ht="24" hidden="false" customHeight="true" outlineLevel="0" collapsed="false">
      <c r="B38" s="16" t="s">
        <v>153</v>
      </c>
      <c r="C38" s="17" t="s">
        <v>154</v>
      </c>
      <c r="D38" s="18" t="s">
        <v>12</v>
      </c>
      <c r="E38" s="19"/>
      <c r="F38" s="5"/>
      <c r="G38" s="19"/>
      <c r="H38" s="9" t="str">
        <f aca="false">IF(E38="","Falta decidir",IF(E38="Sim","OK",IF(D38="Aplica-se sempre","Requisito que se aplica sempre",IF(F38="","Falta a justificativa",IF(G38="","Falta avaliar o efeito",IF(G38="Sim","Exclusão indevida","OK"))))))</f>
        <v>Falta decidir</v>
      </c>
    </row>
    <row r="39" customFormat="false" ht="24" hidden="false" customHeight="true" outlineLevel="0" collapsed="false">
      <c r="B39" s="16" t="s">
        <v>155</v>
      </c>
      <c r="C39" s="17" t="s">
        <v>156</v>
      </c>
      <c r="D39" s="18" t="s">
        <v>14</v>
      </c>
      <c r="E39" s="19"/>
      <c r="F39" s="5"/>
      <c r="G39" s="19"/>
      <c r="H39" s="9" t="str">
        <f aca="false">IF(E39="","Falta decidir",IF(E39="Sim","OK",IF(D39="Aplica-se sempre","Requisito que se aplica sempre",IF(F39="","Falta a justificativa",IF(G39="","Falta avaliar o efeito",IF(G39="Sim","Exclusão indevida","OK"))))))</f>
        <v>Falta decidir</v>
      </c>
    </row>
    <row r="40" customFormat="false" ht="24" hidden="false" customHeight="true" outlineLevel="0" collapsed="false">
      <c r="B40" s="16" t="s">
        <v>157</v>
      </c>
      <c r="C40" s="17" t="s">
        <v>158</v>
      </c>
      <c r="D40" s="18" t="s">
        <v>12</v>
      </c>
      <c r="E40" s="19"/>
      <c r="F40" s="5"/>
      <c r="G40" s="19"/>
      <c r="H40" s="9" t="str">
        <f aca="false">IF(E40="","Falta decidir",IF(E40="Sim","OK",IF(D40="Aplica-se sempre","Requisito que se aplica sempre",IF(F40="","Falta a justificativa",IF(G40="","Falta avaliar o efeito",IF(G40="Sim","Exclusão indevida","OK"))))))</f>
        <v>Falta decidir</v>
      </c>
    </row>
    <row r="41" customFormat="false" ht="24" hidden="false" customHeight="true" outlineLevel="0" collapsed="false">
      <c r="B41" s="16" t="s">
        <v>159</v>
      </c>
      <c r="C41" s="17" t="s">
        <v>160</v>
      </c>
      <c r="D41" s="18" t="s">
        <v>14</v>
      </c>
      <c r="E41" s="19"/>
      <c r="F41" s="5"/>
      <c r="G41" s="19"/>
      <c r="H41" s="9" t="str">
        <f aca="false">IF(E41="","Falta decidir",IF(E41="Sim","OK",IF(D41="Aplica-se sempre","Requisito que se aplica sempre",IF(F41="","Falta a justificativa",IF(G41="","Falta avaliar o efeito",IF(G41="Sim","Exclusão indevida","OK"))))))</f>
        <v>Falta decidir</v>
      </c>
    </row>
    <row r="42" customFormat="false" ht="24" hidden="false" customHeight="true" outlineLevel="0" collapsed="false">
      <c r="B42" s="16" t="s">
        <v>161</v>
      </c>
      <c r="C42" s="17" t="s">
        <v>162</v>
      </c>
      <c r="D42" s="18" t="s">
        <v>14</v>
      </c>
      <c r="E42" s="19"/>
      <c r="F42" s="5"/>
      <c r="G42" s="19"/>
      <c r="H42" s="9" t="str">
        <f aca="false">IF(E42="","Falta decidir",IF(E42="Sim","OK",IF(D42="Aplica-se sempre","Requisito que se aplica sempre",IF(F42="","Falta a justificativa",IF(G42="","Falta avaliar o efeito",IF(G42="Sim","Exclusão indevida","OK"))))))</f>
        <v>Falta decidir</v>
      </c>
    </row>
    <row r="43" customFormat="false" ht="24" hidden="false" customHeight="true" outlineLevel="0" collapsed="false">
      <c r="B43" s="16" t="s">
        <v>163</v>
      </c>
      <c r="C43" s="17" t="s">
        <v>164</v>
      </c>
      <c r="D43" s="18" t="s">
        <v>14</v>
      </c>
      <c r="E43" s="19"/>
      <c r="F43" s="5"/>
      <c r="G43" s="19"/>
      <c r="H43" s="9" t="str">
        <f aca="false">IF(E43="","Falta decidir",IF(E43="Sim","OK",IF(D43="Aplica-se sempre","Requisito que se aplica sempre",IF(F43="","Falta a justificativa",IF(G43="","Falta avaliar o efeito",IF(G43="Sim","Exclusão indevida","OK"))))))</f>
        <v>Falta decidir</v>
      </c>
    </row>
    <row r="44" customFormat="false" ht="24" hidden="false" customHeight="true" outlineLevel="0" collapsed="false">
      <c r="B44" s="16" t="s">
        <v>165</v>
      </c>
      <c r="C44" s="17" t="s">
        <v>166</v>
      </c>
      <c r="D44" s="18" t="s">
        <v>14</v>
      </c>
      <c r="E44" s="19"/>
      <c r="F44" s="5"/>
      <c r="G44" s="19"/>
      <c r="H44" s="9" t="str">
        <f aca="false">IF(E44="","Falta decidir",IF(E44="Sim","OK",IF(D44="Aplica-se sempre","Requisito que se aplica sempre",IF(F44="","Falta a justificativa",IF(G44="","Falta avaliar o efeito",IF(G44="Sim","Exclusão indevida","OK"))))))</f>
        <v>Falta decidir</v>
      </c>
    </row>
    <row r="45" customFormat="false" ht="24" hidden="false" customHeight="true" outlineLevel="0" collapsed="false">
      <c r="B45" s="16" t="s">
        <v>167</v>
      </c>
      <c r="C45" s="17" t="s">
        <v>168</v>
      </c>
      <c r="D45" s="18" t="s">
        <v>14</v>
      </c>
      <c r="E45" s="19"/>
      <c r="F45" s="5"/>
      <c r="G45" s="19"/>
      <c r="H45" s="9" t="str">
        <f aca="false">IF(E45="","Falta decidir",IF(E45="Sim","OK",IF(D45="Aplica-se sempre","Requisito que se aplica sempre",IF(F45="","Falta a justificativa",IF(G45="","Falta avaliar o efeito",IF(G45="Sim","Exclusão indevida","OK"))))))</f>
        <v>Falta decidir</v>
      </c>
    </row>
    <row r="46" customFormat="false" ht="24" hidden="false" customHeight="true" outlineLevel="0" collapsed="false">
      <c r="B46" s="16" t="s">
        <v>169</v>
      </c>
      <c r="C46" s="17" t="s">
        <v>170</v>
      </c>
      <c r="D46" s="18" t="s">
        <v>14</v>
      </c>
      <c r="E46" s="19"/>
      <c r="F46" s="5"/>
      <c r="G46" s="19"/>
      <c r="H46" s="9" t="str">
        <f aca="false">IF(E46="","Falta decidir",IF(E46="Sim","OK",IF(D46="Aplica-se sempre","Requisito que se aplica sempre",IF(F46="","Falta a justificativa",IF(G46="","Falta avaliar o efeito",IF(G46="Sim","Exclusão indevida","OK"))))))</f>
        <v>Falta decidir</v>
      </c>
    </row>
    <row r="47" customFormat="false" ht="24" hidden="false" customHeight="true" outlineLevel="0" collapsed="false">
      <c r="B47" s="16" t="s">
        <v>171</v>
      </c>
      <c r="C47" s="17" t="s">
        <v>172</v>
      </c>
      <c r="D47" s="18" t="s">
        <v>14</v>
      </c>
      <c r="E47" s="19"/>
      <c r="F47" s="5"/>
      <c r="G47" s="19"/>
      <c r="H47" s="9" t="str">
        <f aca="false">IF(E47="","Falta decidir",IF(E47="Sim","OK",IF(D47="Aplica-se sempre","Requisito que se aplica sempre",IF(F47="","Falta a justificativa",IF(G47="","Falta avaliar o efeito",IF(G47="Sim","Exclusão indevida","OK"))))))</f>
        <v>Falta decidir</v>
      </c>
    </row>
    <row r="48" customFormat="false" ht="24" hidden="false" customHeight="true" outlineLevel="0" collapsed="false">
      <c r="B48" s="16" t="s">
        <v>173</v>
      </c>
      <c r="C48" s="17" t="s">
        <v>174</v>
      </c>
      <c r="D48" s="18" t="s">
        <v>14</v>
      </c>
      <c r="E48" s="19"/>
      <c r="F48" s="5"/>
      <c r="G48" s="19"/>
      <c r="H48" s="9" t="str">
        <f aca="false">IF(E48="","Falta decidir",IF(E48="Sim","OK",IF(D48="Aplica-se sempre","Requisito que se aplica sempre",IF(F48="","Falta a justificativa",IF(G48="","Falta avaliar o efeito",IF(G48="Sim","Exclusão indevida","OK"))))))</f>
        <v>Falta decidir</v>
      </c>
    </row>
    <row r="49" customFormat="false" ht="24" hidden="false" customHeight="true" outlineLevel="0" collapsed="false">
      <c r="B49" s="16" t="s">
        <v>175</v>
      </c>
      <c r="C49" s="17" t="s">
        <v>176</v>
      </c>
      <c r="D49" s="18" t="s">
        <v>14</v>
      </c>
      <c r="E49" s="19"/>
      <c r="F49" s="5"/>
      <c r="G49" s="19"/>
      <c r="H49" s="9" t="str">
        <f aca="false">IF(E49="","Falta decidir",IF(E49="Sim","OK",IF(D49="Aplica-se sempre","Requisito que se aplica sempre",IF(F49="","Falta a justificativa",IF(G49="","Falta avaliar o efeito",IF(G49="Sim","Exclusão indevida","OK"))))))</f>
        <v>Falta decidir</v>
      </c>
    </row>
    <row r="50" customFormat="false" ht="24" hidden="false" customHeight="true" outlineLevel="0" collapsed="false">
      <c r="B50" s="16" t="s">
        <v>177</v>
      </c>
      <c r="C50" s="17" t="s">
        <v>178</v>
      </c>
      <c r="D50" s="18" t="s">
        <v>14</v>
      </c>
      <c r="E50" s="19"/>
      <c r="F50" s="5"/>
      <c r="G50" s="19"/>
      <c r="H50" s="9" t="str">
        <f aca="false">IF(E50="","Falta decidir",IF(E50="Sim","OK",IF(D50="Aplica-se sempre","Requisito que se aplica sempre",IF(F50="","Falta a justificativa",IF(G50="","Falta avaliar o efeito",IF(G50="Sim","Exclusão indevida","OK"))))))</f>
        <v>Falta decidir</v>
      </c>
    </row>
    <row r="51" customFormat="false" ht="24" hidden="false" customHeight="true" outlineLevel="0" collapsed="false">
      <c r="B51" s="16" t="s">
        <v>179</v>
      </c>
      <c r="C51" s="17" t="s">
        <v>180</v>
      </c>
      <c r="D51" s="18" t="s">
        <v>14</v>
      </c>
      <c r="E51" s="19"/>
      <c r="F51" s="5"/>
      <c r="G51" s="19"/>
      <c r="H51" s="9" t="str">
        <f aca="false">IF(E51="","Falta decidir",IF(E51="Sim","OK",IF(D51="Aplica-se sempre","Requisito que se aplica sempre",IF(F51="","Falta a justificativa",IF(G51="","Falta avaliar o efeito",IF(G51="Sim","Exclusão indevida","OK"))))))</f>
        <v>Falta decidir</v>
      </c>
    </row>
    <row r="53" customFormat="false" ht="21.75" hidden="false" customHeight="true" outlineLevel="0" collapsed="false">
      <c r="B53" s="11" t="s">
        <v>70</v>
      </c>
      <c r="C53" s="11"/>
      <c r="D53" s="11"/>
      <c r="E53" s="11"/>
      <c r="F53" s="11"/>
      <c r="G53" s="11"/>
      <c r="H53" s="11"/>
    </row>
    <row r="54" customFormat="false" ht="21.75" hidden="false" customHeight="true" outlineLevel="0" collapsed="false">
      <c r="B54" s="12" t="s">
        <v>181</v>
      </c>
      <c r="C54" s="12"/>
      <c r="D54" s="13" t="str">
        <f aca="false">COUNTA(E7:E51)&amp;" de 45"</f>
        <v>0 de 45</v>
      </c>
      <c r="E54" s="13"/>
      <c r="F54" s="13"/>
      <c r="G54" s="13"/>
      <c r="H54" s="13"/>
    </row>
    <row r="55" customFormat="false" ht="21.75" hidden="false" customHeight="true" outlineLevel="0" collapsed="false">
      <c r="B55" s="12" t="s">
        <v>182</v>
      </c>
      <c r="C55" s="12"/>
      <c r="D55" s="13" t="str">
        <f aca="false">COUNTIF(E7:E51,"Sim")&amp;" aplicáveis, "&amp;COUNTIF(E7:E51,"Não")&amp;" não aplicáveis"</f>
        <v>0 aplicáveis, 0 não aplicáveis</v>
      </c>
      <c r="E55" s="13"/>
      <c r="F55" s="13"/>
      <c r="G55" s="13"/>
      <c r="H55" s="13"/>
    </row>
    <row r="56" customFormat="false" ht="21.75" hidden="false" customHeight="true" outlineLevel="0" collapsed="false">
      <c r="B56" s="12" t="s">
        <v>73</v>
      </c>
      <c r="C56" s="12"/>
      <c r="D56" s="14" t="str">
        <f aca="false">IF(COUNTA(E7:E51)=0,"Decida a aplicabilidade de cada requisito",IF(COUNTIF(H7:H51,"Exclusão indevida")+COUNTIF(H7:H51,"Requisito que se aplica sempre")&gt;0,"Há requisito declarado não aplicável que se aplica",IF(SUMPRODUCT((H7:H51&lt;&gt;"OK")*1)&gt;0,"Há requisito a decidir ou a completar","OK")))</f>
        <v>Decida a aplicabilidade de cada requisito</v>
      </c>
      <c r="E56" s="14"/>
      <c r="F56" s="14"/>
      <c r="G56" s="14"/>
      <c r="H56" s="14"/>
    </row>
  </sheetData>
  <mergeCells count="9">
    <mergeCell ref="B1:H1"/>
    <mergeCell ref="B2:H2"/>
    <mergeCell ref="B53:H53"/>
    <mergeCell ref="B54:C54"/>
    <mergeCell ref="D54:H54"/>
    <mergeCell ref="B55:C55"/>
    <mergeCell ref="D55:H55"/>
    <mergeCell ref="B56:C56"/>
    <mergeCell ref="D56:H56"/>
  </mergeCells>
  <conditionalFormatting sqref="E7:E51">
    <cfRule type="expression" priority="2" aboveAverage="0" equalAverage="0" bottom="0" percent="0" rank="0" text="" dxfId="0">
      <formula>E7="Sim"</formula>
    </cfRule>
    <cfRule type="expression" priority="3" aboveAverage="0" equalAverage="0" bottom="0" percent="0" rank="0" text="" dxfId="2">
      <formula>E7="Não"</formula>
    </cfRule>
  </conditionalFormatting>
  <conditionalFormatting sqref="H7:H51">
    <cfRule type="expression" priority="4" aboveAverage="0" equalAverage="0" bottom="0" percent="0" rank="0" text="" dxfId="0">
      <formula>H7="OK"</formula>
    </cfRule>
    <cfRule type="expression" priority="5" aboveAverage="0" equalAverage="0" bottom="0" percent="0" rank="0" text="" dxfId="3">
      <formula>H7="Exclusão indevida"</formula>
    </cfRule>
    <cfRule type="expression" priority="6" aboveAverage="0" equalAverage="0" bottom="0" percent="0" rank="0" text="" dxfId="3">
      <formula>H7="Requisito que se aplica sempre"</formula>
    </cfRule>
    <cfRule type="expression" priority="7" aboveAverage="0" equalAverage="0" bottom="0" percent="0" rank="0" text="" dxfId="1">
      <formula>LEN(H7)&gt;0</formula>
    </cfRule>
  </conditionalFormatting>
  <conditionalFormatting sqref="D56:H56">
    <cfRule type="expression" priority="8" aboveAverage="0" equalAverage="0" bottom="0" percent="0" rank="0" text="" dxfId="0">
      <formula>OR(D56="OK")</formula>
    </cfRule>
    <cfRule type="expression" priority="9" aboveAverage="0" equalAverage="0" bottom="0" percent="0" rank="0" text="" dxfId="1">
      <formula>AND(LEN(D56)&gt;0,NOT(OR(D56="OK")))</formula>
    </cfRule>
  </conditionalFormatting>
  <dataValidations count="2">
    <dataValidation allowBlank="true" error="Escolha uma das opções da lista." errorStyle="stop" errorTitle="Valor inválido" operator="between" prompt="O requisito se aplica ao sistema?" promptTitle="Opções" showDropDown="false" showErrorMessage="true" showInputMessage="true" sqref="E7:E51" type="list">
      <formula1>"Sim,Não"</formula1>
      <formula2>0</formula2>
    </dataValidation>
    <dataValidation allowBlank="true" error="Escolha uma das opções da lista." errorStyle="stop" errorTitle="Valor inválido" operator="between" prompt="Deixar de aplicá-lo afeta a conformidade do produto ou a satisfação do cliente?" promptTitle="Opções" showDropDown="false" showErrorMessage="true" showInputMessage="true" sqref="G7:G51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36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28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183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184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33" hidden="false" customHeight="true" outlineLevel="0" collapsed="false">
      <c r="B4" s="8" t="s">
        <v>185</v>
      </c>
      <c r="C4" s="8" t="s">
        <v>186</v>
      </c>
      <c r="D4" s="8" t="s">
        <v>187</v>
      </c>
      <c r="E4" s="8" t="s">
        <v>188</v>
      </c>
      <c r="F4" s="8" t="s">
        <v>189</v>
      </c>
      <c r="G4" s="8" t="s">
        <v>190</v>
      </c>
      <c r="H4" s="8" t="s">
        <v>191</v>
      </c>
      <c r="I4" s="8" t="s">
        <v>192</v>
      </c>
      <c r="J4" s="8" t="s">
        <v>193</v>
      </c>
      <c r="K4" s="8" t="s">
        <v>60</v>
      </c>
    </row>
    <row r="5" customFormat="false" ht="30" hidden="false" customHeight="true" outlineLevel="0" collapsed="false">
      <c r="B5" s="10"/>
      <c r="C5" s="10" t="s">
        <v>194</v>
      </c>
      <c r="D5" s="10" t="s">
        <v>195</v>
      </c>
      <c r="E5" s="10" t="s">
        <v>196</v>
      </c>
      <c r="F5" s="10" t="s">
        <v>197</v>
      </c>
      <c r="G5" s="10" t="s">
        <v>84</v>
      </c>
      <c r="H5" s="10" t="s">
        <v>198</v>
      </c>
      <c r="I5" s="10" t="s">
        <v>199</v>
      </c>
      <c r="J5" s="10" t="s">
        <v>200</v>
      </c>
      <c r="K5" s="10" t="s">
        <v>86</v>
      </c>
    </row>
    <row r="6" customFormat="false" ht="36" hidden="false" customHeight="true" outlineLevel="0" collapsed="false">
      <c r="B6" s="16" t="n">
        <v>1</v>
      </c>
      <c r="C6" s="17" t="s">
        <v>201</v>
      </c>
      <c r="D6" s="5"/>
      <c r="E6" s="5"/>
      <c r="F6" s="5"/>
      <c r="G6" s="19"/>
      <c r="H6" s="5"/>
      <c r="I6" s="5"/>
      <c r="J6" s="20"/>
      <c r="K6" s="9" t="str">
        <f aca="false">IF(D6="","Falta a evidência",IF(G6="","Falta a situação",IF(AND(OR(G6="Parcial",G6="Não demonstrado"),H6=""),"Falta a ação",IF(AND(H6&lt;&gt;"",OR(I6="",J6="")),"Falta o responsável ou o prazo",IF(AND(G6="Demonstrado",F6=""),"Falta o registro","OK")))))</f>
        <v>Falta a evidência</v>
      </c>
    </row>
    <row r="7" customFormat="false" ht="36" hidden="false" customHeight="true" outlineLevel="0" collapsed="false">
      <c r="B7" s="16" t="n">
        <v>2</v>
      </c>
      <c r="C7" s="17" t="s">
        <v>202</v>
      </c>
      <c r="D7" s="5"/>
      <c r="E7" s="5"/>
      <c r="F7" s="5"/>
      <c r="G7" s="19"/>
      <c r="H7" s="5"/>
      <c r="I7" s="5"/>
      <c r="J7" s="20"/>
      <c r="K7" s="9" t="str">
        <f aca="false">IF(D7="","Falta a evidência",IF(G7="","Falta a situação",IF(AND(OR(G7="Parcial",G7="Não demonstrado"),H7=""),"Falta a ação",IF(AND(H7&lt;&gt;"",OR(I7="",J7="")),"Falta o responsável ou o prazo",IF(AND(G7="Demonstrado",F7=""),"Falta o registro","OK")))))</f>
        <v>Falta a evidência</v>
      </c>
    </row>
    <row r="8" customFormat="false" ht="36" hidden="false" customHeight="true" outlineLevel="0" collapsed="false">
      <c r="B8" s="16" t="n">
        <v>3</v>
      </c>
      <c r="C8" s="17" t="s">
        <v>203</v>
      </c>
      <c r="D8" s="5"/>
      <c r="E8" s="5"/>
      <c r="F8" s="5"/>
      <c r="G8" s="19"/>
      <c r="H8" s="5"/>
      <c r="I8" s="5"/>
      <c r="J8" s="20"/>
      <c r="K8" s="9" t="str">
        <f aca="false">IF(D8="","Falta a evidência",IF(G8="","Falta a situação",IF(AND(OR(G8="Parcial",G8="Não demonstrado"),H8=""),"Falta a ação",IF(AND(H8&lt;&gt;"",OR(I8="",J8="")),"Falta o responsável ou o prazo",IF(AND(G8="Demonstrado",F8=""),"Falta o registro","OK")))))</f>
        <v>Falta a evidência</v>
      </c>
    </row>
    <row r="9" customFormat="false" ht="36" hidden="false" customHeight="true" outlineLevel="0" collapsed="false">
      <c r="B9" s="16" t="n">
        <v>4</v>
      </c>
      <c r="C9" s="17" t="s">
        <v>204</v>
      </c>
      <c r="D9" s="5"/>
      <c r="E9" s="5"/>
      <c r="F9" s="5"/>
      <c r="G9" s="19"/>
      <c r="H9" s="5"/>
      <c r="I9" s="5"/>
      <c r="J9" s="20"/>
      <c r="K9" s="9" t="str">
        <f aca="false">IF(D9="","Falta a evidência",IF(G9="","Falta a situação",IF(AND(OR(G9="Parcial",G9="Não demonstrado"),H9=""),"Falta a ação",IF(AND(H9&lt;&gt;"",OR(I9="",J9="")),"Falta o responsável ou o prazo",IF(AND(G9="Demonstrado",F9=""),"Falta o registro","OK")))))</f>
        <v>Falta a evidência</v>
      </c>
    </row>
    <row r="10" customFormat="false" ht="36" hidden="false" customHeight="true" outlineLevel="0" collapsed="false">
      <c r="B10" s="16" t="n">
        <v>5</v>
      </c>
      <c r="C10" s="17" t="s">
        <v>205</v>
      </c>
      <c r="D10" s="5"/>
      <c r="E10" s="5"/>
      <c r="F10" s="5"/>
      <c r="G10" s="19"/>
      <c r="H10" s="5"/>
      <c r="I10" s="5"/>
      <c r="J10" s="20"/>
      <c r="K10" s="9" t="str">
        <f aca="false">IF(D10="","Falta a evidência",IF(G10="","Falta a situação",IF(AND(OR(G10="Parcial",G10="Não demonstrado"),H10=""),"Falta a ação",IF(AND(H10&lt;&gt;"",OR(I10="",J10="")),"Falta o responsável ou o prazo",IF(AND(G10="Demonstrado",F10=""),"Falta o registro","OK")))))</f>
        <v>Falta a evidência</v>
      </c>
    </row>
    <row r="11" customFormat="false" ht="36" hidden="false" customHeight="true" outlineLevel="0" collapsed="false">
      <c r="B11" s="16" t="n">
        <v>6</v>
      </c>
      <c r="C11" s="17" t="s">
        <v>206</v>
      </c>
      <c r="D11" s="5"/>
      <c r="E11" s="5"/>
      <c r="F11" s="5"/>
      <c r="G11" s="19"/>
      <c r="H11" s="5"/>
      <c r="I11" s="5"/>
      <c r="J11" s="20"/>
      <c r="K11" s="9" t="str">
        <f aca="false">IF(D11="","Falta a evidência",IF(G11="","Falta a situação",IF(AND(OR(G11="Parcial",G11="Não demonstrado"),H11=""),"Falta a ação",IF(AND(H11&lt;&gt;"",OR(I11="",J11="")),"Falta o responsável ou o prazo",IF(AND(G11="Demonstrado",F11=""),"Falta o registro","OK")))))</f>
        <v>Falta a evidência</v>
      </c>
    </row>
    <row r="12" customFormat="false" ht="36" hidden="false" customHeight="true" outlineLevel="0" collapsed="false">
      <c r="B12" s="16" t="n">
        <v>7</v>
      </c>
      <c r="C12" s="17" t="s">
        <v>207</v>
      </c>
      <c r="D12" s="5"/>
      <c r="E12" s="5"/>
      <c r="F12" s="5"/>
      <c r="G12" s="19"/>
      <c r="H12" s="5"/>
      <c r="I12" s="5"/>
      <c r="J12" s="20"/>
      <c r="K12" s="9" t="str">
        <f aca="false">IF(D12="","Falta a evidência",IF(G12="","Falta a situação",IF(AND(OR(G12="Parcial",G12="Não demonstrado"),H12=""),"Falta a ação",IF(AND(H12&lt;&gt;"",OR(I12="",J12="")),"Falta o responsável ou o prazo",IF(AND(G12="Demonstrado",F12=""),"Falta o registro","OK")))))</f>
        <v>Falta a evidência</v>
      </c>
    </row>
    <row r="13" customFormat="false" ht="36" hidden="false" customHeight="true" outlineLevel="0" collapsed="false">
      <c r="B13" s="16" t="n">
        <v>8</v>
      </c>
      <c r="C13" s="17" t="s">
        <v>208</v>
      </c>
      <c r="D13" s="5"/>
      <c r="E13" s="5"/>
      <c r="F13" s="5"/>
      <c r="G13" s="19"/>
      <c r="H13" s="5"/>
      <c r="I13" s="5"/>
      <c r="J13" s="20"/>
      <c r="K13" s="9" t="str">
        <f aca="false">IF(D13="","Falta a evidência",IF(G13="","Falta a situação",IF(AND(OR(G13="Parcial",G13="Não demonstrado"),H13=""),"Falta a ação",IF(AND(H13&lt;&gt;"",OR(I13="",J13="")),"Falta o responsável ou o prazo",IF(AND(G13="Demonstrado",F13=""),"Falta o registro","OK")))))</f>
        <v>Falta a evidência</v>
      </c>
    </row>
    <row r="14" customFormat="false" ht="36" hidden="false" customHeight="true" outlineLevel="0" collapsed="false">
      <c r="B14" s="16" t="n">
        <v>9</v>
      </c>
      <c r="C14" s="17" t="s">
        <v>209</v>
      </c>
      <c r="D14" s="5"/>
      <c r="E14" s="5"/>
      <c r="F14" s="5"/>
      <c r="G14" s="19"/>
      <c r="H14" s="5"/>
      <c r="I14" s="5"/>
      <c r="J14" s="20"/>
      <c r="K14" s="9" t="str">
        <f aca="false">IF(D14="","Falta a evidência",IF(G14="","Falta a situação",IF(AND(OR(G14="Parcial",G14="Não demonstrado"),H14=""),"Falta a ação",IF(AND(H14&lt;&gt;"",OR(I14="",J14="")),"Falta o responsável ou o prazo",IF(AND(G14="Demonstrado",F14=""),"Falta o registro","OK")))))</f>
        <v>Falta a evidência</v>
      </c>
    </row>
    <row r="15" customFormat="false" ht="36" hidden="false" customHeight="true" outlineLevel="0" collapsed="false">
      <c r="B15" s="16" t="n">
        <v>10</v>
      </c>
      <c r="C15" s="17" t="s">
        <v>210</v>
      </c>
      <c r="D15" s="5"/>
      <c r="E15" s="5"/>
      <c r="F15" s="5"/>
      <c r="G15" s="19"/>
      <c r="H15" s="5"/>
      <c r="I15" s="5"/>
      <c r="J15" s="20"/>
      <c r="K15" s="9" t="str">
        <f aca="false">IF(D15="","Falta a evidência",IF(G15="","Falta a situação",IF(AND(OR(G15="Parcial",G15="Não demonstrado"),H15=""),"Falta a ação",IF(AND(H15&lt;&gt;"",OR(I15="",J15="")),"Falta o responsável ou o prazo",IF(AND(G15="Demonstrado",F15=""),"Falta o registro","OK")))))</f>
        <v>Falta a evidência</v>
      </c>
    </row>
    <row r="17" customFormat="false" ht="21.75" hidden="false" customHeight="true" outlineLevel="0" collapsed="false">
      <c r="B17" s="11" t="s">
        <v>70</v>
      </c>
      <c r="C17" s="11"/>
      <c r="D17" s="11"/>
      <c r="E17" s="11"/>
      <c r="F17" s="11"/>
      <c r="G17" s="11"/>
      <c r="H17" s="11"/>
      <c r="I17" s="11"/>
      <c r="J17" s="11"/>
      <c r="K17" s="11"/>
    </row>
    <row r="18" customFormat="false" ht="21.75" hidden="false" customHeight="true" outlineLevel="0" collapsed="false">
      <c r="B18" s="12" t="s">
        <v>211</v>
      </c>
      <c r="C18" s="12"/>
      <c r="D18" s="13" t="str">
        <f aca="false">COUNTIF(G6:G15,"Demonstrado")&amp;" demonstrados, "&amp;COUNTIF(G6:G15,"Parcial")&amp;" parciais, "&amp;COUNTIF(G6:G15,"Não demonstrado")&amp;" não demonstrados"</f>
        <v>0 demonstrados, 0 parciais, 0 não demonstrados</v>
      </c>
      <c r="E18" s="13"/>
      <c r="F18" s="13"/>
      <c r="G18" s="13"/>
      <c r="H18" s="13"/>
      <c r="I18" s="13"/>
      <c r="J18" s="13"/>
      <c r="K18" s="13"/>
    </row>
    <row r="19" customFormat="false" ht="21.75" hidden="false" customHeight="true" outlineLevel="0" collapsed="false">
      <c r="B19" s="12" t="s">
        <v>212</v>
      </c>
      <c r="C19" s="12"/>
      <c r="D19" s="13" t="n">
        <f aca="false">COUNTA(H6:H15)</f>
        <v>0</v>
      </c>
      <c r="E19" s="13"/>
      <c r="F19" s="13"/>
      <c r="G19" s="13"/>
      <c r="H19" s="13"/>
      <c r="I19" s="13"/>
      <c r="J19" s="13"/>
      <c r="K19" s="13"/>
    </row>
    <row r="20" customFormat="false" ht="21.75" hidden="false" customHeight="true" outlineLevel="0" collapsed="false">
      <c r="B20" s="12" t="s">
        <v>73</v>
      </c>
      <c r="C20" s="12"/>
      <c r="D20" s="14" t="str">
        <f aca="false">IF(COUNTA(D6:D15)=0,"Escreva o que a direção faz em cada compromisso",IF(COUNTIF(K6:K15,"OK")&lt;10,"Há compromisso a completar: veja a coluna Conferência",IF(COUNTIF(G6:G15,"Não demonstrado")&gt;0,"Há compromisso não demonstrado: leve à análise crítica","OK")))</f>
        <v>Escreva o que a direção faz em cada compromisso</v>
      </c>
      <c r="E20" s="14"/>
      <c r="F20" s="14"/>
      <c r="G20" s="14"/>
      <c r="H20" s="14"/>
      <c r="I20" s="14"/>
      <c r="J20" s="14"/>
      <c r="K20" s="14"/>
    </row>
  </sheetData>
  <mergeCells count="9">
    <mergeCell ref="B1:K1"/>
    <mergeCell ref="B2:K2"/>
    <mergeCell ref="B17:K17"/>
    <mergeCell ref="B18:C18"/>
    <mergeCell ref="D18:K18"/>
    <mergeCell ref="B19:C19"/>
    <mergeCell ref="D19:K19"/>
    <mergeCell ref="B20:C20"/>
    <mergeCell ref="D20:K20"/>
  </mergeCells>
  <conditionalFormatting sqref="G6:G15">
    <cfRule type="expression" priority="2" aboveAverage="0" equalAverage="0" bottom="0" percent="0" rank="0" text="" dxfId="0">
      <formula>G6="Demonstrado"</formula>
    </cfRule>
    <cfRule type="expression" priority="3" aboveAverage="0" equalAverage="0" bottom="0" percent="0" rank="0" text="" dxfId="2">
      <formula>G6="Parcial"</formula>
    </cfRule>
    <cfRule type="expression" priority="4" aboveAverage="0" equalAverage="0" bottom="0" percent="0" rank="0" text="" dxfId="4">
      <formula>G6="Não demonstrado"</formula>
    </cfRule>
  </conditionalFormatting>
  <conditionalFormatting sqref="K6:K15">
    <cfRule type="expression" priority="5" aboveAverage="0" equalAverage="0" bottom="0" percent="0" rank="0" text="" dxfId="0">
      <formula>OR(K6="OK")</formula>
    </cfRule>
    <cfRule type="expression" priority="6" aboveAverage="0" equalAverage="0" bottom="0" percent="0" rank="0" text="" dxfId="1">
      <formula>AND(LEN(K6)&gt;0,NOT(OR(K6="OK")))</formula>
    </cfRule>
  </conditionalFormatting>
  <conditionalFormatting sqref="D20:K20">
    <cfRule type="expression" priority="7" aboveAverage="0" equalAverage="0" bottom="0" percent="0" rank="0" text="" dxfId="0">
      <formula>OR(D20="OK")</formula>
    </cfRule>
    <cfRule type="expression" priority="8" aboveAverage="0" equalAverage="0" bottom="0" percent="0" rank="0" text="" dxfId="1">
      <formula>AND(LEN(D20)&gt;0,NOT(OR(D20="OK")))</formula>
    </cfRule>
  </conditionalFormatting>
  <dataValidations count="2">
    <dataValidation allowBlank="true" error="Escolha uma das opções da lista." errorStyle="stop" errorTitle="Valor inválido" operator="between" prompt="Demonstrado, Parcial ou Não demonstrado" promptTitle="Opções" showDropDown="false" showErrorMessage="true" showInputMessage="true" sqref="G6:G15" type="list">
      <formula1>"Demonstrado,Parcial,Não demonstrado"</formula1>
      <formula2>0</formula2>
    </dataValidation>
    <dataValidation allowBlank="true" error="Digite uma data no formato dia/mês/ano." errorStyle="stop" errorTitle="Data inválida" operator="greaterThanOrEqual" showDropDown="false" showErrorMessage="true" showInputMessage="false" sqref="J6:J15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3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213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214</v>
      </c>
      <c r="C2" s="2"/>
      <c r="D2" s="2"/>
      <c r="E2" s="2"/>
      <c r="F2" s="2"/>
    </row>
    <row r="3" customFormat="false" ht="15" hidden="false" customHeight="false" outlineLevel="0" collapsed="false">
      <c r="B3" s="4" t="s">
        <v>59</v>
      </c>
      <c r="C3" s="6" t="str">
        <f aca="false">IF(Escopo!C4="","",Escopo!C4)</f>
        <v/>
      </c>
      <c r="D3" s="6"/>
      <c r="E3" s="6"/>
      <c r="F3" s="6"/>
    </row>
    <row r="5" customFormat="false" ht="21.75" hidden="false" customHeight="true" outlineLevel="0" collapsed="false">
      <c r="B5" s="8" t="s">
        <v>215</v>
      </c>
      <c r="C5" s="8" t="s">
        <v>216</v>
      </c>
      <c r="D5" s="8" t="s">
        <v>217</v>
      </c>
      <c r="E5" s="8"/>
      <c r="F5" s="8"/>
    </row>
    <row r="6" customFormat="false" ht="21.75" hidden="false" customHeight="true" outlineLevel="0" collapsed="false">
      <c r="B6" s="4" t="s">
        <v>218</v>
      </c>
      <c r="C6" s="21" t="str">
        <f aca="false">COUNTIF(Escopo!D5:D12,"OK")&amp;" de 5"</f>
        <v>0 de 5</v>
      </c>
      <c r="D6" s="22" t="s">
        <v>219</v>
      </c>
      <c r="E6" s="22"/>
      <c r="F6" s="22"/>
    </row>
    <row r="7" customFormat="false" ht="21.75" hidden="false" customHeight="true" outlineLevel="0" collapsed="false">
      <c r="B7" s="4" t="s">
        <v>220</v>
      </c>
      <c r="C7" s="21" t="str">
        <f aca="false">IF(Escopo!C12="","Não","Sim")</f>
        <v>Não</v>
      </c>
      <c r="D7" s="22" t="s">
        <v>221</v>
      </c>
      <c r="E7" s="22"/>
      <c r="F7" s="22"/>
    </row>
    <row r="8" customFormat="false" ht="21.75" hidden="false" customHeight="true" outlineLevel="0" collapsed="false">
      <c r="B8" s="4" t="s">
        <v>181</v>
      </c>
      <c r="C8" s="21" t="str">
        <f aca="false">COUNTA(Aplicabilidade!E7:E51)&amp;" de 45"</f>
        <v>0 de 45</v>
      </c>
      <c r="D8" s="22" t="s">
        <v>222</v>
      </c>
      <c r="E8" s="22"/>
      <c r="F8" s="22"/>
    </row>
    <row r="9" customFormat="false" ht="21.75" hidden="false" customHeight="true" outlineLevel="0" collapsed="false">
      <c r="B9" s="4" t="s">
        <v>72</v>
      </c>
      <c r="C9" s="21" t="n">
        <f aca="false">COUNTIF(Aplicabilidade!E7:E51,"Não")</f>
        <v>0</v>
      </c>
      <c r="D9" s="22" t="s">
        <v>223</v>
      </c>
      <c r="E9" s="22"/>
      <c r="F9" s="22"/>
    </row>
    <row r="10" customFormat="false" ht="21.75" hidden="false" customHeight="true" outlineLevel="0" collapsed="false">
      <c r="B10" s="4" t="s">
        <v>224</v>
      </c>
      <c r="C10" s="21" t="n">
        <f aca="false">COUNTIF(Aplicabilidade!H7:H51,"Exclusão indevida")+COUNTIF(Aplicabilidade!H7:H51,"Requisito que se aplica sempre")</f>
        <v>0</v>
      </c>
      <c r="D10" s="22" t="s">
        <v>225</v>
      </c>
      <c r="E10" s="22"/>
      <c r="F10" s="22"/>
    </row>
    <row r="11" customFormat="false" ht="21.75" hidden="false" customHeight="true" outlineLevel="0" collapsed="false">
      <c r="B11" s="4" t="s">
        <v>226</v>
      </c>
      <c r="C11" s="21" t="n">
        <f aca="false">SUMPRODUCT((Aplicabilidade!H7:H51&lt;&gt;"OK")*1)-COUNTIF(Aplicabilidade!H7:H51,"Exclusão indevida")-COUNTIF(Aplicabilidade!H7:H51,"Requisito que se aplica sempre")</f>
        <v>45</v>
      </c>
      <c r="D11" s="22" t="s">
        <v>227</v>
      </c>
      <c r="E11" s="22"/>
      <c r="F11" s="22"/>
    </row>
    <row r="12" customFormat="false" ht="21.75" hidden="false" customHeight="true" outlineLevel="0" collapsed="false">
      <c r="B12" s="4" t="s">
        <v>228</v>
      </c>
      <c r="C12" s="21" t="n">
        <f aca="false">COUNTIF(Liderança!G6:G15,"Demonstrado")</f>
        <v>0</v>
      </c>
      <c r="D12" s="22" t="s">
        <v>229</v>
      </c>
      <c r="E12" s="22"/>
      <c r="F12" s="22"/>
    </row>
    <row r="13" customFormat="false" ht="21.75" hidden="false" customHeight="true" outlineLevel="0" collapsed="false">
      <c r="B13" s="4" t="s">
        <v>230</v>
      </c>
      <c r="C13" s="21" t="n">
        <f aca="false">COUNTIF(Liderança!G6:G15,"Parcial")</f>
        <v>0</v>
      </c>
      <c r="D13" s="22" t="s">
        <v>231</v>
      </c>
      <c r="E13" s="22"/>
      <c r="F13" s="22"/>
    </row>
    <row r="14" customFormat="false" ht="21.75" hidden="false" customHeight="true" outlineLevel="0" collapsed="false">
      <c r="B14" s="4" t="s">
        <v>232</v>
      </c>
      <c r="C14" s="21" t="n">
        <f aca="false">COUNTIF(Liderança!G6:G15,"Não demonstrado")</f>
        <v>0</v>
      </c>
      <c r="D14" s="22" t="s">
        <v>233</v>
      </c>
      <c r="E14" s="22"/>
      <c r="F14" s="22"/>
    </row>
    <row r="15" customFormat="false" ht="21.75" hidden="false" customHeight="true" outlineLevel="0" collapsed="false">
      <c r="B15" s="4" t="s">
        <v>234</v>
      </c>
      <c r="C15" s="21" t="n">
        <f aca="false">SUMPRODUCT((Liderança!K6:K15&lt;&gt;"OK")*1)</f>
        <v>10</v>
      </c>
      <c r="D15" s="22" t="s">
        <v>235</v>
      </c>
      <c r="E15" s="22"/>
      <c r="F15" s="22"/>
    </row>
    <row r="17" customFormat="false" ht="21.75" hidden="false" customHeight="true" outlineLevel="0" collapsed="false">
      <c r="B17" s="11" t="s">
        <v>236</v>
      </c>
      <c r="C17" s="11"/>
      <c r="D17" s="11"/>
      <c r="E17" s="11"/>
      <c r="F17" s="11"/>
    </row>
    <row r="18" customFormat="false" ht="15" hidden="false" customHeight="false" outlineLevel="0" collapsed="false">
      <c r="B18" s="8" t="s">
        <v>186</v>
      </c>
      <c r="C18" s="8" t="s">
        <v>190</v>
      </c>
      <c r="D18" s="8" t="s">
        <v>237</v>
      </c>
      <c r="E18" s="8" t="s">
        <v>192</v>
      </c>
      <c r="F18" s="8" t="s">
        <v>60</v>
      </c>
    </row>
    <row r="19" customFormat="false" ht="21.75" hidden="false" customHeight="true" outlineLevel="0" collapsed="false">
      <c r="B19" s="4" t="s">
        <v>238</v>
      </c>
      <c r="C19" s="9" t="str">
        <f aca="false">IF(Liderança!G6="","",Liderança!G6)</f>
        <v/>
      </c>
      <c r="D19" s="23" t="str">
        <f aca="false">IF(Liderança!J6="","",Liderança!J6)</f>
        <v/>
      </c>
      <c r="E19" s="9" t="str">
        <f aca="false">IF(Liderança!I6="","",Liderança!I6)</f>
        <v/>
      </c>
      <c r="F19" s="9" t="str">
        <f aca="false">Liderança!K6</f>
        <v>Falta a evidência</v>
      </c>
    </row>
    <row r="20" customFormat="false" ht="21.75" hidden="false" customHeight="true" outlineLevel="0" collapsed="false">
      <c r="B20" s="4" t="s">
        <v>239</v>
      </c>
      <c r="C20" s="9" t="str">
        <f aca="false">IF(Liderança!G7="","",Liderança!G7)</f>
        <v/>
      </c>
      <c r="D20" s="23" t="str">
        <f aca="false">IF(Liderança!J7="","",Liderança!J7)</f>
        <v/>
      </c>
      <c r="E20" s="9" t="str">
        <f aca="false">IF(Liderança!I7="","",Liderança!I7)</f>
        <v/>
      </c>
      <c r="F20" s="9" t="str">
        <f aca="false">Liderança!K7</f>
        <v>Falta a evidência</v>
      </c>
    </row>
    <row r="21" customFormat="false" ht="21.75" hidden="false" customHeight="true" outlineLevel="0" collapsed="false">
      <c r="B21" s="4" t="s">
        <v>240</v>
      </c>
      <c r="C21" s="9" t="str">
        <f aca="false">IF(Liderança!G8="","",Liderança!G8)</f>
        <v/>
      </c>
      <c r="D21" s="23" t="str">
        <f aca="false">IF(Liderança!J8="","",Liderança!J8)</f>
        <v/>
      </c>
      <c r="E21" s="9" t="str">
        <f aca="false">IF(Liderança!I8="","",Liderança!I8)</f>
        <v/>
      </c>
      <c r="F21" s="9" t="str">
        <f aca="false">Liderança!K8</f>
        <v>Falta a evidência</v>
      </c>
    </row>
    <row r="22" customFormat="false" ht="21.75" hidden="false" customHeight="true" outlineLevel="0" collapsed="false">
      <c r="B22" s="4" t="s">
        <v>241</v>
      </c>
      <c r="C22" s="9" t="str">
        <f aca="false">IF(Liderança!G9="","",Liderança!G9)</f>
        <v/>
      </c>
      <c r="D22" s="23" t="str">
        <f aca="false">IF(Liderança!J9="","",Liderança!J9)</f>
        <v/>
      </c>
      <c r="E22" s="9" t="str">
        <f aca="false">IF(Liderança!I9="","",Liderança!I9)</f>
        <v/>
      </c>
      <c r="F22" s="9" t="str">
        <f aca="false">Liderança!K9</f>
        <v>Falta a evidência</v>
      </c>
    </row>
    <row r="23" customFormat="false" ht="21.75" hidden="false" customHeight="true" outlineLevel="0" collapsed="false">
      <c r="B23" s="4" t="s">
        <v>242</v>
      </c>
      <c r="C23" s="9" t="str">
        <f aca="false">IF(Liderança!G10="","",Liderança!G10)</f>
        <v/>
      </c>
      <c r="D23" s="23" t="str">
        <f aca="false">IF(Liderança!J10="","",Liderança!J10)</f>
        <v/>
      </c>
      <c r="E23" s="9" t="str">
        <f aca="false">IF(Liderança!I10="","",Liderança!I10)</f>
        <v/>
      </c>
      <c r="F23" s="9" t="str">
        <f aca="false">Liderança!K10</f>
        <v>Falta a evidência</v>
      </c>
    </row>
    <row r="24" customFormat="false" ht="21.75" hidden="false" customHeight="true" outlineLevel="0" collapsed="false">
      <c r="B24" s="4" t="s">
        <v>243</v>
      </c>
      <c r="C24" s="9" t="str">
        <f aca="false">IF(Liderança!G11="","",Liderança!G11)</f>
        <v/>
      </c>
      <c r="D24" s="23" t="str">
        <f aca="false">IF(Liderança!J11="","",Liderança!J11)</f>
        <v/>
      </c>
      <c r="E24" s="9" t="str">
        <f aca="false">IF(Liderança!I11="","",Liderança!I11)</f>
        <v/>
      </c>
      <c r="F24" s="9" t="str">
        <f aca="false">Liderança!K11</f>
        <v>Falta a evidência</v>
      </c>
    </row>
    <row r="25" customFormat="false" ht="21.75" hidden="false" customHeight="true" outlineLevel="0" collapsed="false">
      <c r="B25" s="4" t="s">
        <v>244</v>
      </c>
      <c r="C25" s="9" t="str">
        <f aca="false">IF(Liderança!G12="","",Liderança!G12)</f>
        <v/>
      </c>
      <c r="D25" s="23" t="str">
        <f aca="false">IF(Liderança!J12="","",Liderança!J12)</f>
        <v/>
      </c>
      <c r="E25" s="9" t="str">
        <f aca="false">IF(Liderança!I12="","",Liderança!I12)</f>
        <v/>
      </c>
      <c r="F25" s="9" t="str">
        <f aca="false">Liderança!K12</f>
        <v>Falta a evidência</v>
      </c>
    </row>
    <row r="26" customFormat="false" ht="21.75" hidden="false" customHeight="true" outlineLevel="0" collapsed="false">
      <c r="B26" s="4" t="s">
        <v>245</v>
      </c>
      <c r="C26" s="9" t="str">
        <f aca="false">IF(Liderança!G13="","",Liderança!G13)</f>
        <v/>
      </c>
      <c r="D26" s="23" t="str">
        <f aca="false">IF(Liderança!J13="","",Liderança!J13)</f>
        <v/>
      </c>
      <c r="E26" s="9" t="str">
        <f aca="false">IF(Liderança!I13="","",Liderança!I13)</f>
        <v/>
      </c>
      <c r="F26" s="9" t="str">
        <f aca="false">Liderança!K13</f>
        <v>Falta a evidência</v>
      </c>
    </row>
    <row r="27" customFormat="false" ht="21.75" hidden="false" customHeight="true" outlineLevel="0" collapsed="false">
      <c r="B27" s="4" t="s">
        <v>246</v>
      </c>
      <c r="C27" s="9" t="str">
        <f aca="false">IF(Liderança!G14="","",Liderança!G14)</f>
        <v/>
      </c>
      <c r="D27" s="23" t="str">
        <f aca="false">IF(Liderança!J14="","",Liderança!J14)</f>
        <v/>
      </c>
      <c r="E27" s="9" t="str">
        <f aca="false">IF(Liderança!I14="","",Liderança!I14)</f>
        <v/>
      </c>
      <c r="F27" s="9" t="str">
        <f aca="false">Liderança!K14</f>
        <v>Falta a evidência</v>
      </c>
    </row>
    <row r="28" customFormat="false" ht="21.75" hidden="false" customHeight="true" outlineLevel="0" collapsed="false">
      <c r="B28" s="4" t="s">
        <v>247</v>
      </c>
      <c r="C28" s="9" t="str">
        <f aca="false">IF(Liderança!G15="","",Liderança!G15)</f>
        <v/>
      </c>
      <c r="D28" s="23" t="str">
        <f aca="false">IF(Liderança!J15="","",Liderança!J15)</f>
        <v/>
      </c>
      <c r="E28" s="9" t="str">
        <f aca="false">IF(Liderança!I15="","",Liderança!I15)</f>
        <v/>
      </c>
      <c r="F28" s="9" t="str">
        <f aca="false">Liderança!K15</f>
        <v>Falta a evidência</v>
      </c>
    </row>
    <row r="30" customFormat="false" ht="21.75" hidden="false" customHeight="true" outlineLevel="0" collapsed="false">
      <c r="B30" s="11" t="s">
        <v>70</v>
      </c>
      <c r="C30" s="11"/>
      <c r="D30" s="11"/>
      <c r="E30" s="11"/>
      <c r="F30" s="11"/>
    </row>
    <row r="31" customFormat="false" ht="21.75" hidden="false" customHeight="true" outlineLevel="0" collapsed="false">
      <c r="B31" s="4" t="s">
        <v>73</v>
      </c>
      <c r="C31" s="14" t="str">
        <f aca="false">IF(Escopo!C4="","Escreva o escopo na aba Escopo",IF(C10&gt;0,"Há requisito declarado não aplicável que se aplica",IF(COUNTIF(Escopo!D5:D12,"OK")&lt;5,"Há campo obrigatório do escopo em branco",IF(C11&gt;0,"Há requisito a decidir na aba Aplicabilidade",IF(C14&gt;0,"Há compromisso da direção não demonstrado",IF(C15&gt;0,"Há compromisso a completar","OK"))))))</f>
        <v>Escreva o escopo na aba Escopo</v>
      </c>
      <c r="D31" s="14"/>
      <c r="E31" s="14"/>
      <c r="F31" s="14"/>
    </row>
    <row r="33" customFormat="false" ht="15" hidden="false" customHeight="false" outlineLevel="0" collapsed="false">
      <c r="B33" s="17" t="s">
        <v>228</v>
      </c>
      <c r="C33" s="24" t="n">
        <f aca="false">COUNTIF(Liderança!G6:G15,B33)</f>
        <v>0</v>
      </c>
    </row>
    <row r="34" customFormat="false" ht="15" hidden="false" customHeight="false" outlineLevel="0" collapsed="false">
      <c r="B34" s="17" t="s">
        <v>230</v>
      </c>
      <c r="C34" s="24" t="n">
        <f aca="false">COUNTIF(Liderança!G6:G15,B34)</f>
        <v>0</v>
      </c>
    </row>
    <row r="35" customFormat="false" ht="15" hidden="false" customHeight="false" outlineLevel="0" collapsed="false">
      <c r="B35" s="17" t="s">
        <v>232</v>
      </c>
      <c r="C35" s="24" t="n">
        <f aca="false">COUNTIF(Liderança!G6:G15,B35)</f>
        <v>0</v>
      </c>
    </row>
  </sheetData>
  <mergeCells count="17">
    <mergeCell ref="B1:F1"/>
    <mergeCell ref="B2:F2"/>
    <mergeCell ref="C3:F3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B17:F17"/>
    <mergeCell ref="B30:F30"/>
    <mergeCell ref="C31:F31"/>
  </mergeCells>
  <conditionalFormatting sqref="C7">
    <cfRule type="expression" priority="2" aboveAverage="0" equalAverage="0" bottom="0" percent="0" rank="0" text="" dxfId="0">
      <formula>C7="Sim"</formula>
    </cfRule>
    <cfRule type="expression" priority="3" aboveAverage="0" equalAverage="0" bottom="0" percent="0" rank="0" text="" dxfId="3">
      <formula>C7="Não"</formula>
    </cfRule>
  </conditionalFormatting>
  <conditionalFormatting sqref="C19:C28">
    <cfRule type="expression" priority="4" aboveAverage="0" equalAverage="0" bottom="0" percent="0" rank="0" text="" dxfId="0">
      <formula>C19="Demonstrado"</formula>
    </cfRule>
    <cfRule type="expression" priority="5" aboveAverage="0" equalAverage="0" bottom="0" percent="0" rank="0" text="" dxfId="2">
      <formula>C19="Parcial"</formula>
    </cfRule>
    <cfRule type="expression" priority="6" aboveAverage="0" equalAverage="0" bottom="0" percent="0" rank="0" text="" dxfId="4">
      <formula>C19="Não demonstrado"</formula>
    </cfRule>
  </conditionalFormatting>
  <conditionalFormatting sqref="F19:F28">
    <cfRule type="expression" priority="7" aboveAverage="0" equalAverage="0" bottom="0" percent="0" rank="0" text="" dxfId="0">
      <formula>OR(F19="OK")</formula>
    </cfRule>
    <cfRule type="expression" priority="8" aboveAverage="0" equalAverage="0" bottom="0" percent="0" rank="0" text="" dxfId="1">
      <formula>AND(LEN(F19)&gt;0,NOT(OR(F19="OK")))</formula>
    </cfRule>
  </conditionalFormatting>
  <conditionalFormatting sqref="C31:F31">
    <cfRule type="expression" priority="9" aboveAverage="0" equalAverage="0" bottom="0" percent="0" rank="0" text="" dxfId="0">
      <formula>OR(C31="OK")</formula>
    </cfRule>
    <cfRule type="expression" priority="10" aboveAverage="0" equalAverage="0" bottom="0" percent="0" rank="0" text="" dxfId="1">
      <formula>AND(LEN(C31)&gt;0,NOT(OR(C31="OK")))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248</v>
      </c>
      <c r="C1" s="1"/>
      <c r="D1" s="1"/>
      <c r="E1" s="1"/>
    </row>
    <row r="2" customFormat="false" ht="19.5" hidden="false" customHeight="true" outlineLevel="0" collapsed="false">
      <c r="B2" s="2" t="s">
        <v>249</v>
      </c>
      <c r="C2" s="2"/>
      <c r="D2" s="2"/>
      <c r="E2" s="2"/>
    </row>
    <row r="4" customFormat="false" ht="21.75" hidden="false" customHeight="true" outlineLevel="0" collapsed="false">
      <c r="B4" s="8" t="s">
        <v>185</v>
      </c>
      <c r="C4" s="8" t="s">
        <v>250</v>
      </c>
      <c r="D4" s="8" t="s">
        <v>251</v>
      </c>
      <c r="E4" s="8" t="s">
        <v>252</v>
      </c>
    </row>
    <row r="5" customFormat="false" ht="30" hidden="false" customHeight="true" outlineLevel="0" collapsed="false">
      <c r="B5" s="16" t="n">
        <v>1</v>
      </c>
      <c r="C5" s="6" t="s">
        <v>253</v>
      </c>
      <c r="D5" s="19"/>
      <c r="E5" s="5"/>
    </row>
    <row r="6" customFormat="false" ht="30" hidden="false" customHeight="true" outlineLevel="0" collapsed="false">
      <c r="B6" s="16" t="n">
        <v>2</v>
      </c>
      <c r="C6" s="6" t="s">
        <v>254</v>
      </c>
      <c r="D6" s="19"/>
      <c r="E6" s="5"/>
    </row>
    <row r="7" customFormat="false" ht="30" hidden="false" customHeight="true" outlineLevel="0" collapsed="false">
      <c r="B7" s="16" t="n">
        <v>3</v>
      </c>
      <c r="C7" s="6" t="s">
        <v>255</v>
      </c>
      <c r="D7" s="19"/>
      <c r="E7" s="5"/>
    </row>
    <row r="8" customFormat="false" ht="30" hidden="false" customHeight="true" outlineLevel="0" collapsed="false">
      <c r="B8" s="16" t="n">
        <v>4</v>
      </c>
      <c r="C8" s="6" t="s">
        <v>256</v>
      </c>
      <c r="D8" s="19"/>
      <c r="E8" s="5"/>
    </row>
    <row r="9" customFormat="false" ht="30" hidden="false" customHeight="true" outlineLevel="0" collapsed="false">
      <c r="B9" s="16" t="n">
        <v>5</v>
      </c>
      <c r="C9" s="6" t="s">
        <v>257</v>
      </c>
      <c r="D9" s="19"/>
      <c r="E9" s="5"/>
    </row>
    <row r="10" customFormat="false" ht="30" hidden="false" customHeight="true" outlineLevel="0" collapsed="false">
      <c r="B10" s="16" t="n">
        <v>6</v>
      </c>
      <c r="C10" s="6" t="s">
        <v>258</v>
      </c>
      <c r="D10" s="19"/>
      <c r="E10" s="5"/>
    </row>
    <row r="11" customFormat="false" ht="30" hidden="false" customHeight="true" outlineLevel="0" collapsed="false">
      <c r="B11" s="16" t="n">
        <v>7</v>
      </c>
      <c r="C11" s="6" t="s">
        <v>259</v>
      </c>
      <c r="D11" s="19"/>
      <c r="E11" s="5"/>
    </row>
    <row r="12" customFormat="false" ht="30" hidden="false" customHeight="true" outlineLevel="0" collapsed="false">
      <c r="B12" s="16" t="n">
        <v>8</v>
      </c>
      <c r="C12" s="6" t="s">
        <v>260</v>
      </c>
      <c r="D12" s="19"/>
      <c r="E12" s="5"/>
    </row>
    <row r="13" customFormat="false" ht="30" hidden="false" customHeight="true" outlineLevel="0" collapsed="false">
      <c r="B13" s="16" t="n">
        <v>9</v>
      </c>
      <c r="C13" s="6" t="s">
        <v>261</v>
      </c>
      <c r="D13" s="19"/>
      <c r="E13" s="5"/>
    </row>
    <row r="14" customFormat="false" ht="30" hidden="false" customHeight="true" outlineLevel="0" collapsed="false">
      <c r="B14" s="16" t="n">
        <v>10</v>
      </c>
      <c r="C14" s="6" t="s">
        <v>262</v>
      </c>
      <c r="D14" s="19"/>
      <c r="E14" s="5"/>
    </row>
    <row r="15" customFormat="false" ht="30" hidden="false" customHeight="true" outlineLevel="0" collapsed="false">
      <c r="B15" s="16" t="n">
        <v>11</v>
      </c>
      <c r="C15" s="6" t="s">
        <v>263</v>
      </c>
      <c r="D15" s="19"/>
      <c r="E15" s="5"/>
    </row>
    <row r="16" customFormat="false" ht="30" hidden="false" customHeight="true" outlineLevel="0" collapsed="false">
      <c r="B16" s="16" t="n">
        <v>12</v>
      </c>
      <c r="C16" s="6" t="s">
        <v>264</v>
      </c>
      <c r="D16" s="19"/>
      <c r="E16" s="5"/>
    </row>
    <row r="18" customFormat="false" ht="21.75" hidden="false" customHeight="true" outlineLevel="0" collapsed="false">
      <c r="B18" s="11" t="s">
        <v>70</v>
      </c>
      <c r="C18" s="11"/>
      <c r="D18" s="11"/>
      <c r="E18" s="11"/>
    </row>
    <row r="19" customFormat="false" ht="19.5" hidden="false" customHeight="true" outlineLevel="0" collapsed="false">
      <c r="B19" s="12" t="s">
        <v>265</v>
      </c>
      <c r="C19" s="12"/>
      <c r="D19" s="21" t="n">
        <f aca="false">COUNTIF(D5:D16,"Sim")</f>
        <v>0</v>
      </c>
    </row>
    <row r="20" customFormat="false" ht="19.5" hidden="false" customHeight="true" outlineLevel="0" collapsed="false">
      <c r="B20" s="12" t="s">
        <v>266</v>
      </c>
      <c r="C20" s="12"/>
      <c r="D20" s="21" t="n">
        <f aca="false">COUNTIF(D5:D16,"Parcial")</f>
        <v>0</v>
      </c>
    </row>
    <row r="21" customFormat="false" ht="19.5" hidden="false" customHeight="true" outlineLevel="0" collapsed="false">
      <c r="B21" s="12" t="s">
        <v>267</v>
      </c>
      <c r="C21" s="12"/>
      <c r="D21" s="21" t="n">
        <f aca="false">COUNTIF(D5:D16,"Não")</f>
        <v>0</v>
      </c>
    </row>
    <row r="22" customFormat="false" ht="19.5" hidden="false" customHeight="true" outlineLevel="0" collapsed="false">
      <c r="B22" s="12" t="s">
        <v>268</v>
      </c>
      <c r="C22" s="12"/>
      <c r="D22" s="21" t="n">
        <f aca="false">COUNTBLANK(D5:D16)</f>
        <v>12</v>
      </c>
    </row>
    <row r="23" customFormat="false" ht="19.5" hidden="false" customHeight="true" outlineLevel="0" collapsed="false">
      <c r="B23" s="12" t="s">
        <v>269</v>
      </c>
      <c r="C23" s="12"/>
      <c r="D23" s="25" t="n">
        <f aca="false">D19/ROWS(D5:D16)</f>
        <v>0</v>
      </c>
    </row>
    <row r="24" customFormat="false" ht="19.5" hidden="false" customHeight="true" outlineLevel="0" collapsed="false">
      <c r="B24" s="12" t="s">
        <v>190</v>
      </c>
      <c r="C24" s="12"/>
      <c r="D24" s="21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3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28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270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271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B4" s="13" t="s">
        <v>59</v>
      </c>
      <c r="C4" s="13"/>
      <c r="D4" s="26" t="s">
        <v>272</v>
      </c>
      <c r="E4" s="26"/>
      <c r="F4" s="26"/>
      <c r="G4" s="26"/>
      <c r="H4" s="26"/>
      <c r="I4" s="26"/>
      <c r="J4" s="26"/>
      <c r="K4" s="26"/>
    </row>
    <row r="5" customFormat="false" ht="19.5" hidden="false" customHeight="true" outlineLevel="0" collapsed="false">
      <c r="B5" s="13" t="s">
        <v>273</v>
      </c>
      <c r="C5" s="13"/>
      <c r="D5" s="26" t="s">
        <v>274</v>
      </c>
      <c r="E5" s="26"/>
      <c r="F5" s="26"/>
      <c r="G5" s="26"/>
      <c r="H5" s="26"/>
      <c r="I5" s="26"/>
      <c r="J5" s="26"/>
      <c r="K5" s="26"/>
    </row>
    <row r="6" customFormat="false" ht="19.5" hidden="false" customHeight="true" outlineLevel="0" collapsed="false">
      <c r="B6" s="13" t="s">
        <v>275</v>
      </c>
      <c r="C6" s="13"/>
      <c r="D6" s="26" t="s">
        <v>276</v>
      </c>
      <c r="E6" s="26"/>
      <c r="F6" s="26"/>
      <c r="G6" s="26"/>
      <c r="H6" s="26"/>
      <c r="I6" s="26"/>
      <c r="J6" s="26"/>
      <c r="K6" s="26"/>
    </row>
    <row r="7" customFormat="false" ht="19.5" hidden="false" customHeight="true" outlineLevel="0" collapsed="false">
      <c r="B7" s="13" t="s">
        <v>277</v>
      </c>
      <c r="C7" s="13"/>
      <c r="D7" s="26" t="s">
        <v>278</v>
      </c>
      <c r="E7" s="26"/>
      <c r="F7" s="26"/>
      <c r="G7" s="26"/>
      <c r="H7" s="26"/>
      <c r="I7" s="26"/>
      <c r="J7" s="26"/>
      <c r="K7" s="26"/>
    </row>
    <row r="9" customFormat="false" ht="21.75" hidden="false" customHeight="true" outlineLevel="0" collapsed="false">
      <c r="B9" s="27" t="s">
        <v>36</v>
      </c>
      <c r="C9" s="27"/>
      <c r="D9" s="27"/>
      <c r="E9" s="27"/>
      <c r="F9" s="27"/>
      <c r="G9" s="27"/>
      <c r="H9" s="27"/>
      <c r="I9" s="27"/>
      <c r="J9" s="27"/>
      <c r="K9" s="27"/>
    </row>
    <row r="10" customFormat="false" ht="30" hidden="false" customHeight="true" outlineLevel="0" collapsed="false">
      <c r="B10" s="28" t="s">
        <v>279</v>
      </c>
      <c r="C10" s="28"/>
      <c r="D10" s="28" t="s">
        <v>280</v>
      </c>
      <c r="E10" s="28"/>
      <c r="F10" s="28"/>
      <c r="G10" s="28"/>
      <c r="H10" s="28"/>
      <c r="I10" s="28"/>
      <c r="J10" s="28" t="s">
        <v>60</v>
      </c>
      <c r="K10" s="28"/>
    </row>
    <row r="11" customFormat="false" ht="21.75" hidden="false" customHeight="true" outlineLevel="0" collapsed="false">
      <c r="B11" s="13" t="s">
        <v>61</v>
      </c>
      <c r="C11" s="13"/>
      <c r="D11" s="7" t="s">
        <v>281</v>
      </c>
      <c r="E11" s="7"/>
      <c r="F11" s="7"/>
      <c r="G11" s="7"/>
      <c r="H11" s="7"/>
      <c r="I11" s="7"/>
      <c r="J11" s="9" t="str">
        <f aca="false">IF(D11="","Falta: unidades e locais","OK")</f>
        <v>OK</v>
      </c>
      <c r="K11" s="9"/>
    </row>
    <row r="12" customFormat="false" ht="21.75" hidden="false" customHeight="true" outlineLevel="0" collapsed="false">
      <c r="B12" s="13" t="s">
        <v>62</v>
      </c>
      <c r="C12" s="13"/>
      <c r="D12" s="7" t="s">
        <v>282</v>
      </c>
      <c r="E12" s="7"/>
      <c r="F12" s="7"/>
      <c r="G12" s="7"/>
      <c r="H12" s="7"/>
      <c r="I12" s="7"/>
      <c r="J12" s="9" t="str">
        <f aca="false">IF(D12="","Falta: produtos e serviços","OK")</f>
        <v>OK</v>
      </c>
      <c r="K12" s="9"/>
    </row>
    <row r="13" customFormat="false" ht="30.75" hidden="false" customHeight="true" outlineLevel="0" collapsed="false">
      <c r="B13" s="13" t="s">
        <v>63</v>
      </c>
      <c r="C13" s="13"/>
      <c r="D13" s="7" t="s">
        <v>283</v>
      </c>
      <c r="E13" s="7"/>
      <c r="F13" s="7"/>
      <c r="G13" s="7"/>
      <c r="H13" s="7"/>
      <c r="I13" s="7"/>
      <c r="J13" s="9" t="str">
        <f aca="false">IF(D13="","Falta: processos","OK")</f>
        <v>OK</v>
      </c>
      <c r="K13" s="9"/>
    </row>
    <row r="14" customFormat="false" ht="21.75" hidden="false" customHeight="true" outlineLevel="0" collapsed="false">
      <c r="B14" s="13" t="s">
        <v>64</v>
      </c>
      <c r="C14" s="13"/>
      <c r="D14" s="7" t="s">
        <v>284</v>
      </c>
      <c r="E14" s="7"/>
      <c r="F14" s="7"/>
      <c r="G14" s="7"/>
      <c r="H14" s="7"/>
      <c r="I14" s="7"/>
      <c r="J14" s="10" t="s">
        <v>65</v>
      </c>
      <c r="K14" s="10"/>
    </row>
    <row r="15" customFormat="false" ht="21.75" hidden="false" customHeight="true" outlineLevel="0" collapsed="false">
      <c r="B15" s="13" t="s">
        <v>66</v>
      </c>
      <c r="C15" s="13"/>
      <c r="D15" s="7" t="s">
        <v>285</v>
      </c>
      <c r="E15" s="7"/>
      <c r="F15" s="7"/>
      <c r="G15" s="7"/>
      <c r="H15" s="7"/>
      <c r="I15" s="7"/>
      <c r="J15" s="10" t="s">
        <v>65</v>
      </c>
      <c r="K15" s="10"/>
    </row>
    <row r="16" customFormat="false" ht="30.75" hidden="false" customHeight="true" outlineLevel="0" collapsed="false">
      <c r="B16" s="13" t="s">
        <v>67</v>
      </c>
      <c r="C16" s="13"/>
      <c r="D16" s="7" t="s">
        <v>286</v>
      </c>
      <c r="E16" s="7"/>
      <c r="F16" s="7"/>
      <c r="G16" s="7"/>
      <c r="H16" s="7"/>
      <c r="I16" s="7"/>
      <c r="J16" s="9" t="str">
        <f aca="false">IF(D16="","Falta: declaração de escopo","OK")</f>
        <v>OK</v>
      </c>
      <c r="K16" s="9"/>
    </row>
    <row r="17" customFormat="false" ht="21.75" hidden="false" customHeight="true" outlineLevel="0" collapsed="false">
      <c r="B17" s="13" t="s">
        <v>68</v>
      </c>
      <c r="C17" s="13"/>
      <c r="D17" s="7" t="s">
        <v>287</v>
      </c>
      <c r="E17" s="7"/>
      <c r="F17" s="7"/>
      <c r="G17" s="7"/>
      <c r="H17" s="7"/>
      <c r="I17" s="7"/>
      <c r="J17" s="10" t="s">
        <v>65</v>
      </c>
      <c r="K17" s="10"/>
    </row>
    <row r="18" customFormat="false" ht="21.75" hidden="false" customHeight="true" outlineLevel="0" collapsed="false">
      <c r="B18" s="13" t="s">
        <v>69</v>
      </c>
      <c r="C18" s="13"/>
      <c r="D18" s="7"/>
      <c r="E18" s="7"/>
      <c r="F18" s="7"/>
      <c r="G18" s="7"/>
      <c r="H18" s="7"/>
      <c r="I18" s="7"/>
      <c r="J18" s="9" t="str">
        <f aca="false">IF(D18="","Falta: aprovado por","OK")</f>
        <v>Falta: aprovado por</v>
      </c>
      <c r="K18" s="9"/>
    </row>
    <row r="20" customFormat="false" ht="21.75" hidden="false" customHeight="true" outlineLevel="0" collapsed="false">
      <c r="B20" s="29" t="s">
        <v>288</v>
      </c>
      <c r="C20" s="29"/>
      <c r="D20" s="29"/>
      <c r="E20" s="29"/>
      <c r="F20" s="29"/>
      <c r="G20" s="29"/>
      <c r="H20" s="29"/>
      <c r="I20" s="29"/>
      <c r="J20" s="29"/>
      <c r="K20" s="29"/>
    </row>
    <row r="21" customFormat="false" ht="30" hidden="false" customHeight="true" outlineLevel="0" collapsed="false">
      <c r="B21" s="21" t="s">
        <v>289</v>
      </c>
      <c r="C21" s="21" t="s">
        <v>77</v>
      </c>
      <c r="D21" s="21" t="s">
        <v>290</v>
      </c>
      <c r="E21" s="21" t="s">
        <v>78</v>
      </c>
      <c r="F21" s="21" t="s">
        <v>79</v>
      </c>
      <c r="G21" s="21" t="s">
        <v>81</v>
      </c>
      <c r="H21" s="28" t="s">
        <v>291</v>
      </c>
      <c r="I21" s="28"/>
      <c r="J21" s="28" t="s">
        <v>60</v>
      </c>
      <c r="K21" s="28"/>
    </row>
    <row r="22" customFormat="false" ht="42.75" hidden="false" customHeight="true" outlineLevel="0" collapsed="false">
      <c r="B22" s="16" t="s">
        <v>142</v>
      </c>
      <c r="C22" s="30" t="s">
        <v>88</v>
      </c>
      <c r="D22" s="7" t="s">
        <v>292</v>
      </c>
      <c r="E22" s="31" t="s">
        <v>12</v>
      </c>
      <c r="F22" s="32" t="s">
        <v>89</v>
      </c>
      <c r="G22" s="32" t="s">
        <v>293</v>
      </c>
      <c r="H22" s="33" t="s">
        <v>294</v>
      </c>
      <c r="I22" s="33"/>
      <c r="J22" s="9" t="str">
        <f aca="false">IF(F22="","Falta decidir",IF(F22="Sim","OK",IF(E22="Aplica-se sempre","Requisito que se aplica sempre",IF(D22="","Falta a justificativa",IF(G22="","Falta avaliar o efeito",IF(G22="Sim","Exclusão indevida","OK"))))))</f>
        <v>Exclusão indevida</v>
      </c>
      <c r="K22" s="9"/>
    </row>
    <row r="23" customFormat="false" ht="42.75" hidden="false" customHeight="true" outlineLevel="0" collapsed="false">
      <c r="B23" s="16" t="s">
        <v>153</v>
      </c>
      <c r="C23" s="30" t="s">
        <v>154</v>
      </c>
      <c r="D23" s="7" t="s">
        <v>295</v>
      </c>
      <c r="E23" s="31" t="s">
        <v>12</v>
      </c>
      <c r="F23" s="32" t="s">
        <v>89</v>
      </c>
      <c r="G23" s="32" t="s">
        <v>293</v>
      </c>
      <c r="H23" s="33" t="s">
        <v>296</v>
      </c>
      <c r="I23" s="33"/>
      <c r="J23" s="9" t="str">
        <f aca="false">IF(F23="","Falta decidir",IF(F23="Sim","OK",IF(E23="Aplica-se sempre","Requisito que se aplica sempre",IF(D23="","Falta a justificativa",IF(G23="","Falta avaliar o efeito",IF(G23="Sim","Exclusão indevida","OK"))))))</f>
        <v>Exclusão indevida</v>
      </c>
      <c r="K23" s="9"/>
    </row>
    <row r="25" customFormat="false" ht="21.75" hidden="false" customHeight="true" outlineLevel="0" collapsed="false">
      <c r="B25" s="34" t="s">
        <v>40</v>
      </c>
      <c r="C25" s="34"/>
      <c r="D25" s="34"/>
      <c r="E25" s="34"/>
      <c r="F25" s="34"/>
      <c r="G25" s="34"/>
      <c r="H25" s="34"/>
      <c r="I25" s="34"/>
      <c r="J25" s="34"/>
      <c r="K25" s="34"/>
    </row>
    <row r="26" customFormat="false" ht="30" hidden="false" customHeight="true" outlineLevel="0" collapsed="false">
      <c r="B26" s="21" t="s">
        <v>185</v>
      </c>
      <c r="C26" s="21" t="s">
        <v>186</v>
      </c>
      <c r="D26" s="21" t="s">
        <v>187</v>
      </c>
      <c r="E26" s="21" t="s">
        <v>188</v>
      </c>
      <c r="F26" s="21" t="s">
        <v>189</v>
      </c>
      <c r="G26" s="21" t="s">
        <v>190</v>
      </c>
      <c r="H26" s="21" t="s">
        <v>191</v>
      </c>
      <c r="I26" s="21" t="s">
        <v>192</v>
      </c>
      <c r="J26" s="21" t="s">
        <v>193</v>
      </c>
      <c r="K26" s="21" t="s">
        <v>60</v>
      </c>
    </row>
    <row r="27" customFormat="false" ht="30.75" hidden="false" customHeight="true" outlineLevel="0" collapsed="false">
      <c r="B27" s="16" t="n">
        <v>1</v>
      </c>
      <c r="C27" s="30" t="s">
        <v>297</v>
      </c>
      <c r="D27" s="7" t="s">
        <v>298</v>
      </c>
      <c r="E27" s="32" t="s">
        <v>299</v>
      </c>
      <c r="F27" s="7" t="s">
        <v>300</v>
      </c>
      <c r="G27" s="32" t="s">
        <v>228</v>
      </c>
      <c r="H27" s="7"/>
      <c r="I27" s="7"/>
      <c r="J27" s="35"/>
      <c r="K27" s="9" t="str">
        <f aca="false">IF(D27="","Falta a evidência",IF(G27="","Falta a situação",IF(AND(OR(G27="Parcial",G27="Não demonstrado"),H27=""),"Falta a ação",IF(AND(H27&lt;&gt;"",OR(I27="",J27="")),"Falta o responsável ou o prazo",IF(AND(G27="Demonstrado",F27=""),"Falta o registro","OK")))))</f>
        <v>OK</v>
      </c>
    </row>
    <row r="28" customFormat="false" ht="30.75" hidden="false" customHeight="true" outlineLevel="0" collapsed="false">
      <c r="B28" s="16" t="n">
        <v>2</v>
      </c>
      <c r="C28" s="30" t="s">
        <v>301</v>
      </c>
      <c r="D28" s="7" t="s">
        <v>302</v>
      </c>
      <c r="E28" s="32" t="s">
        <v>299</v>
      </c>
      <c r="F28" s="7" t="s">
        <v>303</v>
      </c>
      <c r="G28" s="32" t="s">
        <v>228</v>
      </c>
      <c r="H28" s="7"/>
      <c r="I28" s="7"/>
      <c r="J28" s="35"/>
      <c r="K28" s="9" t="str">
        <f aca="false">IF(D28="","Falta a evidência",IF(G28="","Falta a situação",IF(AND(OR(G28="Parcial",G28="Não demonstrado"),H28=""),"Falta a ação",IF(AND(H28&lt;&gt;"",OR(I28="",J28="")),"Falta o responsável ou o prazo",IF(AND(G28="Demonstrado",F28=""),"Falta o registro","OK")))))</f>
        <v>OK</v>
      </c>
    </row>
    <row r="29" customFormat="false" ht="30.75" hidden="false" customHeight="true" outlineLevel="0" collapsed="false">
      <c r="B29" s="16" t="n">
        <v>3</v>
      </c>
      <c r="C29" s="30" t="s">
        <v>304</v>
      </c>
      <c r="D29" s="7" t="s">
        <v>305</v>
      </c>
      <c r="E29" s="32" t="s">
        <v>306</v>
      </c>
      <c r="F29" s="7" t="s">
        <v>307</v>
      </c>
      <c r="G29" s="32" t="s">
        <v>228</v>
      </c>
      <c r="H29" s="7"/>
      <c r="I29" s="7"/>
      <c r="J29" s="35"/>
      <c r="K29" s="9" t="str">
        <f aca="false">IF(D29="","Falta a evidência",IF(G29="","Falta a situação",IF(AND(OR(G29="Parcial",G29="Não demonstrado"),H29=""),"Falta a ação",IF(AND(H29&lt;&gt;"",OR(I29="",J29="")),"Falta o responsável ou o prazo",IF(AND(G29="Demonstrado",F29=""),"Falta o registro","OK")))))</f>
        <v>OK</v>
      </c>
    </row>
    <row r="30" customFormat="false" ht="42.75" hidden="false" customHeight="true" outlineLevel="0" collapsed="false">
      <c r="B30" s="16" t="n">
        <v>4</v>
      </c>
      <c r="C30" s="30" t="s">
        <v>308</v>
      </c>
      <c r="D30" s="7" t="s">
        <v>309</v>
      </c>
      <c r="E30" s="32" t="s">
        <v>299</v>
      </c>
      <c r="F30" s="7" t="s">
        <v>310</v>
      </c>
      <c r="G30" s="32" t="s">
        <v>230</v>
      </c>
      <c r="H30" s="7" t="s">
        <v>311</v>
      </c>
      <c r="I30" s="7" t="s">
        <v>312</v>
      </c>
      <c r="J30" s="35" t="n">
        <v>46507</v>
      </c>
      <c r="K30" s="9" t="str">
        <f aca="false">IF(D30="","Falta a evidência",IF(G30="","Falta a situação",IF(AND(OR(G30="Parcial",G30="Não demonstrado"),H30=""),"Falta a ação",IF(AND(H30&lt;&gt;"",OR(I30="",J30="")),"Falta o responsável ou o prazo",IF(AND(G30="Demonstrado",F30=""),"Falta o registro","OK")))))</f>
        <v>OK</v>
      </c>
    </row>
    <row r="31" customFormat="false" ht="30.75" hidden="false" customHeight="true" outlineLevel="0" collapsed="false">
      <c r="B31" s="16" t="n">
        <v>5</v>
      </c>
      <c r="C31" s="30" t="s">
        <v>313</v>
      </c>
      <c r="D31" s="7" t="s">
        <v>314</v>
      </c>
      <c r="E31" s="32" t="s">
        <v>315</v>
      </c>
      <c r="F31" s="7" t="s">
        <v>300</v>
      </c>
      <c r="G31" s="32" t="s">
        <v>228</v>
      </c>
      <c r="H31" s="7"/>
      <c r="I31" s="7"/>
      <c r="J31" s="35"/>
      <c r="K31" s="9" t="str">
        <f aca="false">IF(D31="","Falta a evidência",IF(G31="","Falta a situação",IF(AND(OR(G31="Parcial",G31="Não demonstrado"),H31=""),"Falta a ação",IF(AND(H31&lt;&gt;"",OR(I31="",J31="")),"Falta o responsável ou o prazo",IF(AND(G31="Demonstrado",F31=""),"Falta o registro","OK")))))</f>
        <v>OK</v>
      </c>
    </row>
    <row r="32" customFormat="false" ht="42.75" hidden="false" customHeight="true" outlineLevel="0" collapsed="false">
      <c r="B32" s="16" t="n">
        <v>6</v>
      </c>
      <c r="C32" s="30" t="s">
        <v>129</v>
      </c>
      <c r="D32" s="7" t="s">
        <v>316</v>
      </c>
      <c r="E32" s="32" t="s">
        <v>306</v>
      </c>
      <c r="F32" s="7"/>
      <c r="G32" s="32" t="s">
        <v>230</v>
      </c>
      <c r="H32" s="7" t="s">
        <v>317</v>
      </c>
      <c r="I32" s="7" t="s">
        <v>318</v>
      </c>
      <c r="J32" s="35" t="n">
        <v>46477</v>
      </c>
      <c r="K32" s="9" t="str">
        <f aca="false">IF(D32="","Falta a evidência",IF(G32="","Falta a situação",IF(AND(OR(G32="Parcial",G32="Não demonstrado"),H32=""),"Falta a ação",IF(AND(H32&lt;&gt;"",OR(I32="",J32="")),"Falta o responsável ou o prazo",IF(AND(G32="Demonstrado",F32=""),"Falta o registro","OK")))))</f>
        <v>OK</v>
      </c>
    </row>
    <row r="33" customFormat="false" ht="30.75" hidden="false" customHeight="true" outlineLevel="0" collapsed="false">
      <c r="B33" s="16" t="n">
        <v>7</v>
      </c>
      <c r="C33" s="30" t="s">
        <v>319</v>
      </c>
      <c r="D33" s="7" t="s">
        <v>320</v>
      </c>
      <c r="E33" s="32" t="s">
        <v>321</v>
      </c>
      <c r="F33" s="7" t="s">
        <v>322</v>
      </c>
      <c r="G33" s="32" t="s">
        <v>228</v>
      </c>
      <c r="H33" s="7"/>
      <c r="I33" s="7"/>
      <c r="J33" s="35"/>
      <c r="K33" s="9" t="str">
        <f aca="false">IF(D33="","Falta a evidência",IF(G33="","Falta a situação",IF(AND(OR(G33="Parcial",G33="Não demonstrado"),H33=""),"Falta a ação",IF(AND(H33&lt;&gt;"",OR(I33="",J33="")),"Falta o responsável ou o prazo",IF(AND(G33="Demonstrado",F33=""),"Falta o registro","OK")))))</f>
        <v>OK</v>
      </c>
    </row>
    <row r="34" customFormat="false" ht="30.75" hidden="false" customHeight="true" outlineLevel="0" collapsed="false">
      <c r="B34" s="16" t="n">
        <v>8</v>
      </c>
      <c r="C34" s="30" t="s">
        <v>323</v>
      </c>
      <c r="D34" s="7" t="s">
        <v>324</v>
      </c>
      <c r="E34" s="32" t="s">
        <v>321</v>
      </c>
      <c r="F34" s="7"/>
      <c r="G34" s="32" t="s">
        <v>228</v>
      </c>
      <c r="H34" s="7"/>
      <c r="I34" s="7"/>
      <c r="J34" s="35"/>
      <c r="K34" s="9" t="str">
        <f aca="false">IF(D34="","Falta a evidência",IF(G34="","Falta a situação",IF(AND(OR(G34="Parcial",G34="Não demonstrado"),H34=""),"Falta a ação",IF(AND(H34&lt;&gt;"",OR(I34="",J34="")),"Falta o responsável ou o prazo",IF(AND(G34="Demonstrado",F34=""),"Falta o registro","OK")))))</f>
        <v>Falta o registro</v>
      </c>
    </row>
    <row r="35" customFormat="false" ht="30.75" hidden="false" customHeight="true" outlineLevel="0" collapsed="false">
      <c r="B35" s="16" t="n">
        <v>9</v>
      </c>
      <c r="C35" s="30" t="s">
        <v>325</v>
      </c>
      <c r="D35" s="7" t="s">
        <v>326</v>
      </c>
      <c r="E35" s="32" t="s">
        <v>327</v>
      </c>
      <c r="F35" s="7" t="s">
        <v>328</v>
      </c>
      <c r="G35" s="32" t="s">
        <v>228</v>
      </c>
      <c r="H35" s="7"/>
      <c r="I35" s="7"/>
      <c r="J35" s="35"/>
      <c r="K35" s="9" t="str">
        <f aca="false">IF(D35="","Falta a evidência",IF(G35="","Falta a situação",IF(AND(OR(G35="Parcial",G35="Não demonstrado"),H35=""),"Falta a ação",IF(AND(H35&lt;&gt;"",OR(I35="",J35="")),"Falta o responsável ou o prazo",IF(AND(G35="Demonstrado",F35=""),"Falta o registro","OK")))))</f>
        <v>OK</v>
      </c>
    </row>
    <row r="36" customFormat="false" ht="30.75" hidden="false" customHeight="true" outlineLevel="0" collapsed="false">
      <c r="B36" s="16" t="n">
        <v>10</v>
      </c>
      <c r="C36" s="30" t="s">
        <v>329</v>
      </c>
      <c r="D36" s="7" t="s">
        <v>330</v>
      </c>
      <c r="E36" s="32"/>
      <c r="F36" s="7"/>
      <c r="G36" s="32" t="s">
        <v>232</v>
      </c>
      <c r="H36" s="7"/>
      <c r="I36" s="7"/>
      <c r="J36" s="35"/>
      <c r="K36" s="9" t="str">
        <f aca="false">IF(D36="","Falta a evidência",IF(G36="","Falta a situação",IF(AND(OR(G36="Parcial",G36="Não demonstrado"),H36=""),"Falta a ação",IF(AND(H36&lt;&gt;"",OR(I36="",J36="")),"Falta o responsável ou o prazo",IF(AND(G36="Demonstrado",F36=""),"Falta o registro","OK")))))</f>
        <v>Falta a ação</v>
      </c>
    </row>
    <row r="38" customFormat="false" ht="21.75" hidden="false" customHeight="true" outlineLevel="0" collapsed="false">
      <c r="B38" s="11" t="s">
        <v>70</v>
      </c>
      <c r="C38" s="11"/>
      <c r="D38" s="11"/>
      <c r="E38" s="11"/>
      <c r="F38" s="11"/>
      <c r="G38" s="11"/>
      <c r="H38" s="11"/>
      <c r="I38" s="11"/>
      <c r="J38" s="11"/>
      <c r="K38" s="11"/>
    </row>
    <row r="39" customFormat="false" ht="21.75" hidden="false" customHeight="true" outlineLevel="0" collapsed="false">
      <c r="B39" s="12" t="s">
        <v>218</v>
      </c>
      <c r="C39" s="12"/>
      <c r="D39" s="12"/>
      <c r="E39" s="13" t="str">
        <f aca="false">COUNTIF(J11:J18,"OK")&amp;" de 5"</f>
        <v>4 de 5</v>
      </c>
      <c r="F39" s="13"/>
      <c r="G39" s="13"/>
      <c r="H39" s="13"/>
      <c r="I39" s="13"/>
      <c r="J39" s="13"/>
      <c r="K39" s="13"/>
    </row>
    <row r="40" customFormat="false" ht="21.75" hidden="false" customHeight="true" outlineLevel="0" collapsed="false">
      <c r="B40" s="12" t="s">
        <v>331</v>
      </c>
      <c r="C40" s="12"/>
      <c r="D40" s="12"/>
      <c r="E40" s="13" t="str">
        <f aca="false">COUNTIF(G27:G36,"Demonstrado")&amp;" demonstrados, "&amp;COUNTIF(G27:G36,"Parcial")&amp;" parciais, "&amp;COUNTIF(G27:G36,"Não demonstrado")&amp;" não demonstrados"</f>
        <v>7 demonstrados, 2 parciais, 1 não demonstrados</v>
      </c>
      <c r="F40" s="13"/>
      <c r="G40" s="13"/>
      <c r="H40" s="13"/>
      <c r="I40" s="13"/>
      <c r="J40" s="13"/>
      <c r="K40" s="13"/>
    </row>
    <row r="41" customFormat="false" ht="21.75" hidden="false" customHeight="true" outlineLevel="0" collapsed="false">
      <c r="B41" s="12" t="s">
        <v>234</v>
      </c>
      <c r="C41" s="12"/>
      <c r="D41" s="12"/>
      <c r="E41" s="13" t="n">
        <f aca="false">SUMPRODUCT((K27:K36&lt;&gt;"OK")*1)</f>
        <v>2</v>
      </c>
      <c r="F41" s="13"/>
      <c r="G41" s="13"/>
      <c r="H41" s="13"/>
      <c r="I41" s="13"/>
      <c r="J41" s="13"/>
      <c r="K41" s="13"/>
    </row>
  </sheetData>
  <mergeCells count="53">
    <mergeCell ref="B1:K1"/>
    <mergeCell ref="B2:K2"/>
    <mergeCell ref="B4:C4"/>
    <mergeCell ref="D4:K4"/>
    <mergeCell ref="B5:C5"/>
    <mergeCell ref="D5:K5"/>
    <mergeCell ref="B6:C6"/>
    <mergeCell ref="D6:K6"/>
    <mergeCell ref="B7:C7"/>
    <mergeCell ref="D7:K7"/>
    <mergeCell ref="B9:K9"/>
    <mergeCell ref="B10:C10"/>
    <mergeCell ref="D10:I10"/>
    <mergeCell ref="J10:K10"/>
    <mergeCell ref="B11:C11"/>
    <mergeCell ref="D11:I11"/>
    <mergeCell ref="J11:K11"/>
    <mergeCell ref="B12:C12"/>
    <mergeCell ref="D12:I12"/>
    <mergeCell ref="J12:K12"/>
    <mergeCell ref="B13:C13"/>
    <mergeCell ref="D13:I13"/>
    <mergeCell ref="J13:K13"/>
    <mergeCell ref="B14:C14"/>
    <mergeCell ref="D14:I14"/>
    <mergeCell ref="J14:K14"/>
    <mergeCell ref="B15:C15"/>
    <mergeCell ref="D15:I15"/>
    <mergeCell ref="J15:K15"/>
    <mergeCell ref="B16:C16"/>
    <mergeCell ref="D16:I16"/>
    <mergeCell ref="J16:K16"/>
    <mergeCell ref="B17:C17"/>
    <mergeCell ref="D17:I17"/>
    <mergeCell ref="J17:K17"/>
    <mergeCell ref="B18:C18"/>
    <mergeCell ref="D18:I18"/>
    <mergeCell ref="J18:K18"/>
    <mergeCell ref="B20:K20"/>
    <mergeCell ref="H21:I21"/>
    <mergeCell ref="J21:K21"/>
    <mergeCell ref="H22:I22"/>
    <mergeCell ref="J22:K22"/>
    <mergeCell ref="H23:I23"/>
    <mergeCell ref="J23:K23"/>
    <mergeCell ref="B25:K25"/>
    <mergeCell ref="B38:K38"/>
    <mergeCell ref="B39:D39"/>
    <mergeCell ref="E39:K39"/>
    <mergeCell ref="B40:D40"/>
    <mergeCell ref="E40:K40"/>
    <mergeCell ref="B41:D41"/>
    <mergeCell ref="E41:K41"/>
  </mergeCells>
  <conditionalFormatting sqref="J11:K18">
    <cfRule type="expression" priority="2" aboveAverage="0" equalAverage="0" bottom="0" percent="0" rank="0" text="" dxfId="0">
      <formula>OR($J11="OK",$J11="Opcional")</formula>
    </cfRule>
    <cfRule type="expression" priority="3" aboveAverage="0" equalAverage="0" bottom="0" percent="0" rank="0" text="" dxfId="1">
      <formula>AND(LEN($J11)&gt;0,NOT(OR($J11="OK",$J11="Opcional")))</formula>
    </cfRule>
  </conditionalFormatting>
  <conditionalFormatting sqref="J22:K22">
    <cfRule type="expression" priority="4" aboveAverage="0" equalAverage="0" bottom="0" percent="0" rank="0" text="" dxfId="0">
      <formula>$J22="OK"</formula>
    </cfRule>
    <cfRule type="expression" priority="5" aboveAverage="0" equalAverage="0" bottom="0" percent="0" rank="0" text="" dxfId="3">
      <formula>$J22="Exclusão indevida"</formula>
    </cfRule>
    <cfRule type="expression" priority="6" aboveAverage="0" equalAverage="0" bottom="0" percent="0" rank="0" text="" dxfId="3">
      <formula>$J22="Requisito que se aplica sempre"</formula>
    </cfRule>
    <cfRule type="expression" priority="7" aboveAverage="0" equalAverage="0" bottom="0" percent="0" rank="0" text="" dxfId="1">
      <formula>LEN($J22)&gt;0</formula>
    </cfRule>
  </conditionalFormatting>
  <conditionalFormatting sqref="J23:K23">
    <cfRule type="expression" priority="8" aboveAverage="0" equalAverage="0" bottom="0" percent="0" rank="0" text="" dxfId="0">
      <formula>$J23="OK"</formula>
    </cfRule>
    <cfRule type="expression" priority="9" aboveAverage="0" equalAverage="0" bottom="0" percent="0" rank="0" text="" dxfId="3">
      <formula>$J23="Exclusão indevida"</formula>
    </cfRule>
    <cfRule type="expression" priority="10" aboveAverage="0" equalAverage="0" bottom="0" percent="0" rank="0" text="" dxfId="3">
      <formula>$J23="Requisito que se aplica sempre"</formula>
    </cfRule>
    <cfRule type="expression" priority="11" aboveAverage="0" equalAverage="0" bottom="0" percent="0" rank="0" text="" dxfId="1">
      <formula>LEN($J23)&gt;0</formula>
    </cfRule>
  </conditionalFormatting>
  <conditionalFormatting sqref="G27:G36">
    <cfRule type="expression" priority="12" aboveAverage="0" equalAverage="0" bottom="0" percent="0" rank="0" text="" dxfId="0">
      <formula>G27="Demonstrado"</formula>
    </cfRule>
    <cfRule type="expression" priority="13" aboveAverage="0" equalAverage="0" bottom="0" percent="0" rank="0" text="" dxfId="2">
      <formula>G27="Parcial"</formula>
    </cfRule>
    <cfRule type="expression" priority="14" aboveAverage="0" equalAverage="0" bottom="0" percent="0" rank="0" text="" dxfId="4">
      <formula>G27="Não demonstrado"</formula>
    </cfRule>
  </conditionalFormatting>
  <conditionalFormatting sqref="K27:K36">
    <cfRule type="expression" priority="15" aboveAverage="0" equalAverage="0" bottom="0" percent="0" rank="0" text="" dxfId="0">
      <formula>OR(K27="OK")</formula>
    </cfRule>
    <cfRule type="expression" priority="16" aboveAverage="0" equalAverage="0" bottom="0" percent="0" rank="0" text="" dxfId="1">
      <formula>AND(LEN(K27)&gt;0,NOT(OR(K27="OK")))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4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28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270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271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B4" s="13" t="s">
        <v>59</v>
      </c>
      <c r="C4" s="13"/>
      <c r="D4" s="26" t="s">
        <v>332</v>
      </c>
      <c r="E4" s="26"/>
      <c r="F4" s="26"/>
      <c r="G4" s="26"/>
      <c r="H4" s="26"/>
      <c r="I4" s="26"/>
      <c r="J4" s="26"/>
      <c r="K4" s="26"/>
    </row>
    <row r="5" customFormat="false" ht="19.5" hidden="false" customHeight="true" outlineLevel="0" collapsed="false">
      <c r="B5" s="13" t="s">
        <v>273</v>
      </c>
      <c r="C5" s="13"/>
      <c r="D5" s="26" t="s">
        <v>333</v>
      </c>
      <c r="E5" s="26"/>
      <c r="F5" s="26"/>
      <c r="G5" s="26"/>
      <c r="H5" s="26"/>
      <c r="I5" s="26"/>
      <c r="J5" s="26"/>
      <c r="K5" s="26"/>
    </row>
    <row r="6" customFormat="false" ht="19.5" hidden="false" customHeight="true" outlineLevel="0" collapsed="false">
      <c r="B6" s="13" t="s">
        <v>275</v>
      </c>
      <c r="C6" s="13"/>
      <c r="D6" s="26" t="s">
        <v>334</v>
      </c>
      <c r="E6" s="26"/>
      <c r="F6" s="26"/>
      <c r="G6" s="26"/>
      <c r="H6" s="26"/>
      <c r="I6" s="26"/>
      <c r="J6" s="26"/>
      <c r="K6" s="26"/>
    </row>
    <row r="7" customFormat="false" ht="19.5" hidden="false" customHeight="true" outlineLevel="0" collapsed="false">
      <c r="B7" s="13" t="s">
        <v>277</v>
      </c>
      <c r="C7" s="13"/>
      <c r="D7" s="26" t="s">
        <v>335</v>
      </c>
      <c r="E7" s="26"/>
      <c r="F7" s="26"/>
      <c r="G7" s="26"/>
      <c r="H7" s="26"/>
      <c r="I7" s="26"/>
      <c r="J7" s="26"/>
      <c r="K7" s="26"/>
    </row>
    <row r="9" customFormat="false" ht="21.75" hidden="false" customHeight="true" outlineLevel="0" collapsed="false">
      <c r="B9" s="27" t="s">
        <v>36</v>
      </c>
      <c r="C9" s="27"/>
      <c r="D9" s="27"/>
      <c r="E9" s="27"/>
      <c r="F9" s="27"/>
      <c r="G9" s="27"/>
      <c r="H9" s="27"/>
      <c r="I9" s="27"/>
      <c r="J9" s="27"/>
      <c r="K9" s="27"/>
    </row>
    <row r="10" customFormat="false" ht="30" hidden="false" customHeight="true" outlineLevel="0" collapsed="false">
      <c r="B10" s="28" t="s">
        <v>279</v>
      </c>
      <c r="C10" s="28"/>
      <c r="D10" s="28" t="s">
        <v>280</v>
      </c>
      <c r="E10" s="28"/>
      <c r="F10" s="28"/>
      <c r="G10" s="28"/>
      <c r="H10" s="28"/>
      <c r="I10" s="28"/>
      <c r="J10" s="28" t="s">
        <v>60</v>
      </c>
      <c r="K10" s="28"/>
    </row>
    <row r="11" customFormat="false" ht="21.75" hidden="false" customHeight="true" outlineLevel="0" collapsed="false">
      <c r="B11" s="13" t="s">
        <v>61</v>
      </c>
      <c r="C11" s="13"/>
      <c r="D11" s="7" t="s">
        <v>336</v>
      </c>
      <c r="E11" s="7"/>
      <c r="F11" s="7"/>
      <c r="G11" s="7"/>
      <c r="H11" s="7"/>
      <c r="I11" s="7"/>
      <c r="J11" s="9" t="str">
        <f aca="false">IF(D11="","Falta: unidades e locais","OK")</f>
        <v>OK</v>
      </c>
      <c r="K11" s="9"/>
    </row>
    <row r="12" customFormat="false" ht="21.75" hidden="false" customHeight="true" outlineLevel="0" collapsed="false">
      <c r="B12" s="13" t="s">
        <v>62</v>
      </c>
      <c r="C12" s="13"/>
      <c r="D12" s="7" t="s">
        <v>337</v>
      </c>
      <c r="E12" s="7"/>
      <c r="F12" s="7"/>
      <c r="G12" s="7"/>
      <c r="H12" s="7"/>
      <c r="I12" s="7"/>
      <c r="J12" s="9" t="str">
        <f aca="false">IF(D12="","Falta: produtos e serviços","OK")</f>
        <v>OK</v>
      </c>
      <c r="K12" s="9"/>
    </row>
    <row r="13" customFormat="false" ht="30.75" hidden="false" customHeight="true" outlineLevel="0" collapsed="false">
      <c r="B13" s="13" t="s">
        <v>63</v>
      </c>
      <c r="C13" s="13"/>
      <c r="D13" s="7" t="s">
        <v>338</v>
      </c>
      <c r="E13" s="7"/>
      <c r="F13" s="7"/>
      <c r="G13" s="7"/>
      <c r="H13" s="7"/>
      <c r="I13" s="7"/>
      <c r="J13" s="9" t="str">
        <f aca="false">IF(D13="","Falta: processos","OK")</f>
        <v>OK</v>
      </c>
      <c r="K13" s="9"/>
    </row>
    <row r="14" customFormat="false" ht="21.75" hidden="false" customHeight="true" outlineLevel="0" collapsed="false">
      <c r="B14" s="13" t="s">
        <v>64</v>
      </c>
      <c r="C14" s="13"/>
      <c r="D14" s="7" t="s">
        <v>339</v>
      </c>
      <c r="E14" s="7"/>
      <c r="F14" s="7"/>
      <c r="G14" s="7"/>
      <c r="H14" s="7"/>
      <c r="I14" s="7"/>
      <c r="J14" s="10" t="s">
        <v>65</v>
      </c>
      <c r="K14" s="10"/>
    </row>
    <row r="15" customFormat="false" ht="21.75" hidden="false" customHeight="true" outlineLevel="0" collapsed="false">
      <c r="B15" s="13" t="s">
        <v>66</v>
      </c>
      <c r="C15" s="13"/>
      <c r="D15" s="7" t="s">
        <v>340</v>
      </c>
      <c r="E15" s="7"/>
      <c r="F15" s="7"/>
      <c r="G15" s="7"/>
      <c r="H15" s="7"/>
      <c r="I15" s="7"/>
      <c r="J15" s="10" t="s">
        <v>65</v>
      </c>
      <c r="K15" s="10"/>
    </row>
    <row r="16" customFormat="false" ht="21.75" hidden="false" customHeight="true" outlineLevel="0" collapsed="false">
      <c r="B16" s="13" t="s">
        <v>67</v>
      </c>
      <c r="C16" s="13"/>
      <c r="D16" s="7" t="s">
        <v>341</v>
      </c>
      <c r="E16" s="7"/>
      <c r="F16" s="7"/>
      <c r="G16" s="7"/>
      <c r="H16" s="7"/>
      <c r="I16" s="7"/>
      <c r="J16" s="9" t="str">
        <f aca="false">IF(D16="","Falta: declaração de escopo","OK")</f>
        <v>OK</v>
      </c>
      <c r="K16" s="9"/>
    </row>
    <row r="17" customFormat="false" ht="21.75" hidden="false" customHeight="true" outlineLevel="0" collapsed="false">
      <c r="B17" s="13" t="s">
        <v>68</v>
      </c>
      <c r="C17" s="13"/>
      <c r="D17" s="7" t="s">
        <v>342</v>
      </c>
      <c r="E17" s="7"/>
      <c r="F17" s="7"/>
      <c r="G17" s="7"/>
      <c r="H17" s="7"/>
      <c r="I17" s="7"/>
      <c r="J17" s="10" t="s">
        <v>65</v>
      </c>
      <c r="K17" s="10"/>
    </row>
    <row r="18" customFormat="false" ht="21.75" hidden="false" customHeight="true" outlineLevel="0" collapsed="false">
      <c r="B18" s="13" t="s">
        <v>69</v>
      </c>
      <c r="C18" s="13"/>
      <c r="D18" s="7" t="s">
        <v>343</v>
      </c>
      <c r="E18" s="7"/>
      <c r="F18" s="7"/>
      <c r="G18" s="7"/>
      <c r="H18" s="7"/>
      <c r="I18" s="7"/>
      <c r="J18" s="9" t="str">
        <f aca="false">IF(D18="","Falta: aprovado por","OK")</f>
        <v>OK</v>
      </c>
      <c r="K18" s="9"/>
    </row>
    <row r="20" customFormat="false" ht="21.75" hidden="false" customHeight="true" outlineLevel="0" collapsed="false">
      <c r="B20" s="29" t="s">
        <v>344</v>
      </c>
      <c r="C20" s="29"/>
      <c r="D20" s="29"/>
      <c r="E20" s="29"/>
      <c r="F20" s="29"/>
      <c r="G20" s="29"/>
      <c r="H20" s="29"/>
      <c r="I20" s="29"/>
      <c r="J20" s="29"/>
      <c r="K20" s="29"/>
    </row>
    <row r="21" customFormat="false" ht="30" hidden="false" customHeight="true" outlineLevel="0" collapsed="false">
      <c r="B21" s="21" t="s">
        <v>289</v>
      </c>
      <c r="C21" s="21" t="s">
        <v>77</v>
      </c>
      <c r="D21" s="21" t="s">
        <v>290</v>
      </c>
      <c r="E21" s="21" t="s">
        <v>78</v>
      </c>
      <c r="F21" s="21" t="s">
        <v>79</v>
      </c>
      <c r="G21" s="21" t="s">
        <v>81</v>
      </c>
      <c r="H21" s="28" t="s">
        <v>291</v>
      </c>
      <c r="I21" s="28"/>
      <c r="J21" s="28" t="s">
        <v>60</v>
      </c>
      <c r="K21" s="28"/>
    </row>
    <row r="22" customFormat="false" ht="42.75" hidden="false" customHeight="true" outlineLevel="0" collapsed="false">
      <c r="B22" s="16" t="s">
        <v>153</v>
      </c>
      <c r="C22" s="30" t="s">
        <v>154</v>
      </c>
      <c r="D22" s="7" t="s">
        <v>345</v>
      </c>
      <c r="E22" s="31" t="s">
        <v>12</v>
      </c>
      <c r="F22" s="32" t="s">
        <v>89</v>
      </c>
      <c r="G22" s="32" t="s">
        <v>89</v>
      </c>
      <c r="H22" s="33" t="s">
        <v>296</v>
      </c>
      <c r="I22" s="33"/>
      <c r="J22" s="9" t="str">
        <f aca="false">IF(F22="","Falta decidir",IF(F22="Sim","OK",IF(E22="Aplica-se sempre","Requisito que se aplica sempre",IF(D22="","Falta a justificativa",IF(G22="","Falta avaliar o efeito",IF(G22="Sim","Exclusão indevida","OK"))))))</f>
        <v>OK</v>
      </c>
      <c r="K22" s="9"/>
    </row>
    <row r="24" customFormat="false" ht="21.75" hidden="false" customHeight="true" outlineLevel="0" collapsed="false">
      <c r="B24" s="34" t="s">
        <v>40</v>
      </c>
      <c r="C24" s="34"/>
      <c r="D24" s="34"/>
      <c r="E24" s="34"/>
      <c r="F24" s="34"/>
      <c r="G24" s="34"/>
      <c r="H24" s="34"/>
      <c r="I24" s="34"/>
      <c r="J24" s="34"/>
      <c r="K24" s="34"/>
    </row>
    <row r="25" customFormat="false" ht="30" hidden="false" customHeight="true" outlineLevel="0" collapsed="false">
      <c r="B25" s="21" t="s">
        <v>185</v>
      </c>
      <c r="C25" s="21" t="s">
        <v>186</v>
      </c>
      <c r="D25" s="21" t="s">
        <v>187</v>
      </c>
      <c r="E25" s="21" t="s">
        <v>188</v>
      </c>
      <c r="F25" s="21" t="s">
        <v>189</v>
      </c>
      <c r="G25" s="21" t="s">
        <v>190</v>
      </c>
      <c r="H25" s="21" t="s">
        <v>191</v>
      </c>
      <c r="I25" s="21" t="s">
        <v>192</v>
      </c>
      <c r="J25" s="21" t="s">
        <v>193</v>
      </c>
      <c r="K25" s="21" t="s">
        <v>60</v>
      </c>
    </row>
    <row r="26" customFormat="false" ht="30.75" hidden="false" customHeight="true" outlineLevel="0" collapsed="false">
      <c r="B26" s="16" t="n">
        <v>1</v>
      </c>
      <c r="C26" s="30" t="s">
        <v>297</v>
      </c>
      <c r="D26" s="7" t="s">
        <v>346</v>
      </c>
      <c r="E26" s="32" t="s">
        <v>327</v>
      </c>
      <c r="F26" s="7" t="s">
        <v>347</v>
      </c>
      <c r="G26" s="32" t="s">
        <v>228</v>
      </c>
      <c r="H26" s="7"/>
      <c r="I26" s="7"/>
      <c r="J26" s="35"/>
      <c r="K26" s="9" t="str">
        <f aca="false">IF(D26="","Falta a evidência",IF(G26="","Falta a situação",IF(AND(OR(G26="Parcial",G26="Não demonstrado"),H26=""),"Falta a ação",IF(AND(H26&lt;&gt;"",OR(I26="",J26="")),"Falta o responsável ou o prazo",IF(AND(G26="Demonstrado",F26=""),"Falta o registro","OK")))))</f>
        <v>OK</v>
      </c>
    </row>
    <row r="27" customFormat="false" ht="30.75" hidden="false" customHeight="true" outlineLevel="0" collapsed="false">
      <c r="B27" s="16" t="n">
        <v>2</v>
      </c>
      <c r="C27" s="30" t="s">
        <v>301</v>
      </c>
      <c r="D27" s="7" t="s">
        <v>348</v>
      </c>
      <c r="E27" s="32" t="s">
        <v>299</v>
      </c>
      <c r="F27" s="7" t="s">
        <v>303</v>
      </c>
      <c r="G27" s="32" t="s">
        <v>228</v>
      </c>
      <c r="H27" s="7"/>
      <c r="I27" s="7"/>
      <c r="J27" s="35"/>
      <c r="K27" s="9" t="str">
        <f aca="false">IF(D27="","Falta a evidência",IF(G27="","Falta a situação",IF(AND(OR(G27="Parcial",G27="Não demonstrado"),H27=""),"Falta a ação",IF(AND(H27&lt;&gt;"",OR(I27="",J27="")),"Falta o responsável ou o prazo",IF(AND(G27="Demonstrado",F27=""),"Falta o registro","OK")))))</f>
        <v>OK</v>
      </c>
    </row>
    <row r="28" customFormat="false" ht="42.75" hidden="false" customHeight="true" outlineLevel="0" collapsed="false">
      <c r="B28" s="16" t="n">
        <v>3</v>
      </c>
      <c r="C28" s="30" t="s">
        <v>304</v>
      </c>
      <c r="D28" s="7" t="s">
        <v>349</v>
      </c>
      <c r="E28" s="32" t="s">
        <v>321</v>
      </c>
      <c r="F28" s="7" t="s">
        <v>350</v>
      </c>
      <c r="G28" s="32" t="s">
        <v>228</v>
      </c>
      <c r="H28" s="7"/>
      <c r="I28" s="7"/>
      <c r="J28" s="35"/>
      <c r="K28" s="9" t="str">
        <f aca="false">IF(D28="","Falta a evidência",IF(G28="","Falta a situação",IF(AND(OR(G28="Parcial",G28="Não demonstrado"),H28=""),"Falta a ação",IF(AND(H28&lt;&gt;"",OR(I28="",J28="")),"Falta o responsável ou o prazo",IF(AND(G28="Demonstrado",F28=""),"Falta o registro","OK")))))</f>
        <v>OK</v>
      </c>
    </row>
    <row r="29" customFormat="false" ht="30.75" hidden="false" customHeight="true" outlineLevel="0" collapsed="false">
      <c r="B29" s="16" t="n">
        <v>4</v>
      </c>
      <c r="C29" s="30" t="s">
        <v>308</v>
      </c>
      <c r="D29" s="7" t="s">
        <v>351</v>
      </c>
      <c r="E29" s="32" t="s">
        <v>327</v>
      </c>
      <c r="F29" s="7" t="s">
        <v>352</v>
      </c>
      <c r="G29" s="32" t="s">
        <v>228</v>
      </c>
      <c r="H29" s="7"/>
      <c r="I29" s="7"/>
      <c r="J29" s="35"/>
      <c r="K29" s="9" t="str">
        <f aca="false">IF(D29="","Falta a evidência",IF(G29="","Falta a situação",IF(AND(OR(G29="Parcial",G29="Não demonstrado"),H29=""),"Falta a ação",IF(AND(H29&lt;&gt;"",OR(I29="",J29="")),"Falta o responsável ou o prazo",IF(AND(G29="Demonstrado",F29=""),"Falta o registro","OK")))))</f>
        <v>OK</v>
      </c>
    </row>
    <row r="30" customFormat="false" ht="30.75" hidden="false" customHeight="true" outlineLevel="0" collapsed="false">
      <c r="B30" s="16" t="n">
        <v>5</v>
      </c>
      <c r="C30" s="30" t="s">
        <v>313</v>
      </c>
      <c r="D30" s="7" t="s">
        <v>353</v>
      </c>
      <c r="E30" s="32" t="s">
        <v>315</v>
      </c>
      <c r="F30" s="7" t="s">
        <v>347</v>
      </c>
      <c r="G30" s="32" t="s">
        <v>230</v>
      </c>
      <c r="H30" s="7" t="s">
        <v>354</v>
      </c>
      <c r="I30" s="7" t="s">
        <v>343</v>
      </c>
      <c r="J30" s="35" t="n">
        <v>46660</v>
      </c>
      <c r="K30" s="9" t="str">
        <f aca="false">IF(D30="","Falta a evidência",IF(G30="","Falta a situação",IF(AND(OR(G30="Parcial",G30="Não demonstrado"),H30=""),"Falta a ação",IF(AND(H30&lt;&gt;"",OR(I30="",J30="")),"Falta o responsável ou o prazo",IF(AND(G30="Demonstrado",F30=""),"Falta o registro","OK")))))</f>
        <v>OK</v>
      </c>
    </row>
    <row r="31" customFormat="false" ht="42.75" hidden="false" customHeight="true" outlineLevel="0" collapsed="false">
      <c r="B31" s="16" t="n">
        <v>6</v>
      </c>
      <c r="C31" s="30" t="s">
        <v>129</v>
      </c>
      <c r="D31" s="7" t="s">
        <v>355</v>
      </c>
      <c r="E31" s="32" t="s">
        <v>356</v>
      </c>
      <c r="F31" s="7" t="s">
        <v>357</v>
      </c>
      <c r="G31" s="32" t="s">
        <v>228</v>
      </c>
      <c r="H31" s="7"/>
      <c r="I31" s="7"/>
      <c r="J31" s="35"/>
      <c r="K31" s="9" t="str">
        <f aca="false">IF(D31="","Falta a evidência",IF(G31="","Falta a situação",IF(AND(OR(G31="Parcial",G31="Não demonstrado"),H31=""),"Falta a ação",IF(AND(H31&lt;&gt;"",OR(I31="",J31="")),"Falta o responsável ou o prazo",IF(AND(G31="Demonstrado",F31=""),"Falta o registro","OK")))))</f>
        <v>OK</v>
      </c>
    </row>
    <row r="32" customFormat="false" ht="30.75" hidden="false" customHeight="true" outlineLevel="0" collapsed="false">
      <c r="B32" s="16" t="n">
        <v>7</v>
      </c>
      <c r="C32" s="30" t="s">
        <v>319</v>
      </c>
      <c r="D32" s="7" t="s">
        <v>358</v>
      </c>
      <c r="E32" s="32" t="s">
        <v>356</v>
      </c>
      <c r="F32" s="7" t="s">
        <v>322</v>
      </c>
      <c r="G32" s="32" t="s">
        <v>228</v>
      </c>
      <c r="H32" s="7"/>
      <c r="I32" s="7"/>
      <c r="J32" s="35"/>
      <c r="K32" s="9" t="str">
        <f aca="false">IF(D32="","Falta a evidência",IF(G32="","Falta a situação",IF(AND(OR(G32="Parcial",G32="Não demonstrado"),H32=""),"Falta a ação",IF(AND(H32&lt;&gt;"",OR(I32="",J32="")),"Falta o responsável ou o prazo",IF(AND(G32="Demonstrado",F32=""),"Falta o registro","OK")))))</f>
        <v>OK</v>
      </c>
    </row>
    <row r="33" customFormat="false" ht="42.75" hidden="false" customHeight="true" outlineLevel="0" collapsed="false">
      <c r="B33" s="16" t="n">
        <v>8</v>
      </c>
      <c r="C33" s="30" t="s">
        <v>323</v>
      </c>
      <c r="D33" s="7" t="s">
        <v>359</v>
      </c>
      <c r="E33" s="32" t="s">
        <v>321</v>
      </c>
      <c r="F33" s="7" t="s">
        <v>360</v>
      </c>
      <c r="G33" s="32" t="s">
        <v>230</v>
      </c>
      <c r="H33" s="7" t="s">
        <v>361</v>
      </c>
      <c r="I33" s="7" t="s">
        <v>362</v>
      </c>
      <c r="J33" s="35" t="n">
        <v>46599</v>
      </c>
      <c r="K33" s="9" t="str">
        <f aca="false">IF(D33="","Falta a evidência",IF(G33="","Falta a situação",IF(AND(OR(G33="Parcial",G33="Não demonstrado"),H33=""),"Falta a ação",IF(AND(H33&lt;&gt;"",OR(I33="",J33="")),"Falta o responsável ou o prazo",IF(AND(G33="Demonstrado",F33=""),"Falta o registro","OK")))))</f>
        <v>OK</v>
      </c>
    </row>
    <row r="34" customFormat="false" ht="30.75" hidden="false" customHeight="true" outlineLevel="0" collapsed="false">
      <c r="B34" s="16" t="n">
        <v>9</v>
      </c>
      <c r="C34" s="30" t="s">
        <v>325</v>
      </c>
      <c r="D34" s="7" t="s">
        <v>363</v>
      </c>
      <c r="E34" s="32" t="s">
        <v>321</v>
      </c>
      <c r="F34" s="7" t="s">
        <v>364</v>
      </c>
      <c r="G34" s="32" t="s">
        <v>228</v>
      </c>
      <c r="H34" s="7"/>
      <c r="I34" s="7"/>
      <c r="J34" s="35"/>
      <c r="K34" s="9" t="str">
        <f aca="false">IF(D34="","Falta a evidência",IF(G34="","Falta a situação",IF(AND(OR(G34="Parcial",G34="Não demonstrado"),H34=""),"Falta a ação",IF(AND(H34&lt;&gt;"",OR(I34="",J34="")),"Falta o responsável ou o prazo",IF(AND(G34="Demonstrado",F34=""),"Falta o registro","OK")))))</f>
        <v>OK</v>
      </c>
    </row>
    <row r="35" customFormat="false" ht="30.75" hidden="false" customHeight="true" outlineLevel="0" collapsed="false">
      <c r="B35" s="16" t="n">
        <v>10</v>
      </c>
      <c r="C35" s="30" t="s">
        <v>329</v>
      </c>
      <c r="D35" s="7" t="s">
        <v>365</v>
      </c>
      <c r="E35" s="32" t="s">
        <v>327</v>
      </c>
      <c r="F35" s="7"/>
      <c r="G35" s="32" t="s">
        <v>228</v>
      </c>
      <c r="H35" s="7"/>
      <c r="I35" s="7"/>
      <c r="J35" s="35"/>
      <c r="K35" s="9" t="str">
        <f aca="false">IF(D35="","Falta a evidência",IF(G35="","Falta a situação",IF(AND(OR(G35="Parcial",G35="Não demonstrado"),H35=""),"Falta a ação",IF(AND(H35&lt;&gt;"",OR(I35="",J35="")),"Falta o responsável ou o prazo",IF(AND(G35="Demonstrado",F35=""),"Falta o registro","OK")))))</f>
        <v>Falta o registro</v>
      </c>
    </row>
    <row r="37" customFormat="false" ht="21.75" hidden="false" customHeight="true" outlineLevel="0" collapsed="false">
      <c r="B37" s="11" t="s">
        <v>70</v>
      </c>
      <c r="C37" s="11"/>
      <c r="D37" s="11"/>
      <c r="E37" s="11"/>
      <c r="F37" s="11"/>
      <c r="G37" s="11"/>
      <c r="H37" s="11"/>
      <c r="I37" s="11"/>
      <c r="J37" s="11"/>
      <c r="K37" s="11"/>
    </row>
    <row r="38" customFormat="false" ht="21.75" hidden="false" customHeight="true" outlineLevel="0" collapsed="false">
      <c r="B38" s="12" t="s">
        <v>218</v>
      </c>
      <c r="C38" s="12"/>
      <c r="D38" s="12"/>
      <c r="E38" s="13" t="str">
        <f aca="false">COUNTIF(J11:J18,"OK")&amp;" de 5"</f>
        <v>5 de 5</v>
      </c>
      <c r="F38" s="13"/>
      <c r="G38" s="13"/>
      <c r="H38" s="13"/>
      <c r="I38" s="13"/>
      <c r="J38" s="13"/>
      <c r="K38" s="13"/>
    </row>
    <row r="39" customFormat="false" ht="21.75" hidden="false" customHeight="true" outlineLevel="0" collapsed="false">
      <c r="B39" s="12" t="s">
        <v>331</v>
      </c>
      <c r="C39" s="12"/>
      <c r="D39" s="12"/>
      <c r="E39" s="13" t="str">
        <f aca="false">COUNTIF(G26:G35,"Demonstrado")&amp;" demonstrados, "&amp;COUNTIF(G26:G35,"Parcial")&amp;" parciais, "&amp;COUNTIF(G26:G35,"Não demonstrado")&amp;" não demonstrados"</f>
        <v>8 demonstrados, 2 parciais, 0 não demonstrados</v>
      </c>
      <c r="F39" s="13"/>
      <c r="G39" s="13"/>
      <c r="H39" s="13"/>
      <c r="I39" s="13"/>
      <c r="J39" s="13"/>
      <c r="K39" s="13"/>
    </row>
    <row r="40" customFormat="false" ht="21.75" hidden="false" customHeight="true" outlineLevel="0" collapsed="false">
      <c r="B40" s="12" t="s">
        <v>234</v>
      </c>
      <c r="C40" s="12"/>
      <c r="D40" s="12"/>
      <c r="E40" s="13" t="n">
        <f aca="false">SUMPRODUCT((K26:K35&lt;&gt;"OK")*1)</f>
        <v>1</v>
      </c>
      <c r="F40" s="13"/>
      <c r="G40" s="13"/>
      <c r="H40" s="13"/>
      <c r="I40" s="13"/>
      <c r="J40" s="13"/>
      <c r="K40" s="13"/>
    </row>
  </sheetData>
  <mergeCells count="51">
    <mergeCell ref="B1:K1"/>
    <mergeCell ref="B2:K2"/>
    <mergeCell ref="B4:C4"/>
    <mergeCell ref="D4:K4"/>
    <mergeCell ref="B5:C5"/>
    <mergeCell ref="D5:K5"/>
    <mergeCell ref="B6:C6"/>
    <mergeCell ref="D6:K6"/>
    <mergeCell ref="B7:C7"/>
    <mergeCell ref="D7:K7"/>
    <mergeCell ref="B9:K9"/>
    <mergeCell ref="B10:C10"/>
    <mergeCell ref="D10:I10"/>
    <mergeCell ref="J10:K10"/>
    <mergeCell ref="B11:C11"/>
    <mergeCell ref="D11:I11"/>
    <mergeCell ref="J11:K11"/>
    <mergeCell ref="B12:C12"/>
    <mergeCell ref="D12:I12"/>
    <mergeCell ref="J12:K12"/>
    <mergeCell ref="B13:C13"/>
    <mergeCell ref="D13:I13"/>
    <mergeCell ref="J13:K13"/>
    <mergeCell ref="B14:C14"/>
    <mergeCell ref="D14:I14"/>
    <mergeCell ref="J14:K14"/>
    <mergeCell ref="B15:C15"/>
    <mergeCell ref="D15:I15"/>
    <mergeCell ref="J15:K15"/>
    <mergeCell ref="B16:C16"/>
    <mergeCell ref="D16:I16"/>
    <mergeCell ref="J16:K16"/>
    <mergeCell ref="B17:C17"/>
    <mergeCell ref="D17:I17"/>
    <mergeCell ref="J17:K17"/>
    <mergeCell ref="B18:C18"/>
    <mergeCell ref="D18:I18"/>
    <mergeCell ref="J18:K18"/>
    <mergeCell ref="B20:K20"/>
    <mergeCell ref="H21:I21"/>
    <mergeCell ref="J21:K21"/>
    <mergeCell ref="H22:I22"/>
    <mergeCell ref="J22:K22"/>
    <mergeCell ref="B24:K24"/>
    <mergeCell ref="B37:K37"/>
    <mergeCell ref="B38:D38"/>
    <mergeCell ref="E38:K38"/>
    <mergeCell ref="B39:D39"/>
    <mergeCell ref="E39:K39"/>
    <mergeCell ref="B40:D40"/>
    <mergeCell ref="E40:K40"/>
  </mergeCells>
  <conditionalFormatting sqref="J11:K18">
    <cfRule type="expression" priority="2" aboveAverage="0" equalAverage="0" bottom="0" percent="0" rank="0" text="" dxfId="0">
      <formula>OR($J11="OK",$J11="Opcional")</formula>
    </cfRule>
    <cfRule type="expression" priority="3" aboveAverage="0" equalAverage="0" bottom="0" percent="0" rank="0" text="" dxfId="1">
      <formula>AND(LEN($J11)&gt;0,NOT(OR($J11="OK",$J11="Opcional")))</formula>
    </cfRule>
  </conditionalFormatting>
  <conditionalFormatting sqref="J22:K22">
    <cfRule type="expression" priority="4" aboveAverage="0" equalAverage="0" bottom="0" percent="0" rank="0" text="" dxfId="0">
      <formula>$J22="OK"</formula>
    </cfRule>
    <cfRule type="expression" priority="5" aboveAverage="0" equalAverage="0" bottom="0" percent="0" rank="0" text="" dxfId="3">
      <formula>$J22="Exclusão indevida"</formula>
    </cfRule>
    <cfRule type="expression" priority="6" aboveAverage="0" equalAverage="0" bottom="0" percent="0" rank="0" text="" dxfId="3">
      <formula>$J22="Requisito que se aplica sempre"</formula>
    </cfRule>
    <cfRule type="expression" priority="7" aboveAverage="0" equalAverage="0" bottom="0" percent="0" rank="0" text="" dxfId="1">
      <formula>LEN($J22)&gt;0</formula>
    </cfRule>
  </conditionalFormatting>
  <conditionalFormatting sqref="G26:G35">
    <cfRule type="expression" priority="8" aboveAverage="0" equalAverage="0" bottom="0" percent="0" rank="0" text="" dxfId="0">
      <formula>G26="Demonstrado"</formula>
    </cfRule>
    <cfRule type="expression" priority="9" aboveAverage="0" equalAverage="0" bottom="0" percent="0" rank="0" text="" dxfId="2">
      <formula>G26="Parcial"</formula>
    </cfRule>
    <cfRule type="expression" priority="10" aboveAverage="0" equalAverage="0" bottom="0" percent="0" rank="0" text="" dxfId="4">
      <formula>G26="Não demonstrado"</formula>
    </cfRule>
  </conditionalFormatting>
  <conditionalFormatting sqref="K26:K35">
    <cfRule type="expression" priority="11" aboveAverage="0" equalAverage="0" bottom="0" percent="0" rank="0" text="" dxfId="0">
      <formula>OR(K26="OK")</formula>
    </cfRule>
    <cfRule type="expression" priority="12" aboveAverage="0" equalAverage="0" bottom="0" percent="0" rank="0" text="" dxfId="1">
      <formula>AND(LEN(K26)&gt;0,NOT(OR(K26="OK")))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3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2026-10-01T16:35:34Z</dcterms:created>
  <dc:creator>Modelo Escopo</dc:creator>
  <dc:description/>
  <dc:language>pt-BR</dc:language>
  <cp:lastModifiedBy/>
  <dcterms:modified xsi:type="dcterms:W3CDTF">2026-10-01T16:35:35Z</dcterms:modified>
  <cp:revision>0</cp:revision>
  <dc:subject/>
  <dc:title>Escopo e liderança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