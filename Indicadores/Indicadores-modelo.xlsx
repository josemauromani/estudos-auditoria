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Fichas" sheetId="2" state="visible" r:id="rId4"/>
    <sheet name="Medições" sheetId="3" state="visible" r:id="rId5"/>
    <sheet name="Painel" sheetId="4" state="visible" r:id="rId6"/>
    <sheet name="Análise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4" name="_xlnm.Print_Area" vbProcedure="false">Análise!$B$1:$L$29</definedName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Pizzaria'!$B$1:$R$58</definedName>
    <definedName function="false" hidden="false" localSheetId="7" name="_xlnm.Print_Area" vbProcedure="false">'Exemplo 2 - Compras'!$B$1:$R$63</definedName>
    <definedName function="false" hidden="false" localSheetId="1" name="_xlnm.Print_Area" vbProcedure="false">Fichas!$B$1:$N$26</definedName>
    <definedName function="false" hidden="false" localSheetId="0" name="_xlnm.Print_Area" vbProcedure="false">Instruções!$B$1:$C$41</definedName>
    <definedName function="false" hidden="false" localSheetId="2" name="_xlnm.Print_Area" vbProcedure="false">Medições!$B$1:$Q$38</definedName>
    <definedName function="false" hidden="false" localSheetId="3" name="_xlnm.Print_Area" vbProcedure="false">Painel!$B$1:$O$52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7" authorId="0">
      <text>
        <r>
          <rPr>
            <sz val="10"/>
            <rFont val="Arial"/>
            <family val="2"/>
          </rPr>
          <t xml:space="preserve">Escreva o que entra na conta, e em que ordem.
Ex.: "Pedidos entregues em até 40 minutos ÷ pedidos entregues × 100".</t>
        </r>
      </text>
    </comment>
    <comment ref="I7" authorId="0">
      <text>
        <r>
          <rPr>
            <sz val="10"/>
            <rFont val="Arial"/>
            <family val="2"/>
          </rPr>
          <t xml:space="preserve">O valor que o indicador deve atingir. Digite só o número. A unidade fica na coluna Unidade.</t>
        </r>
      </text>
    </comment>
    <comment ref="J7" authorId="0">
      <text>
        <r>
          <rPr>
            <sz val="10"/>
            <rFont val="Arial"/>
            <family val="2"/>
          </rPr>
          <t xml:space="preserve">O valor que separa o desvio pequeno do grande. Quando maior é melhor, fica abaixo da meta. Quando menor é melhor, fica acima.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6" authorId="0">
      <text>
        <r>
          <rPr>
            <sz val="10"/>
            <rFont val="Arial"/>
            <family val="2"/>
          </rPr>
          <t xml:space="preserve">Nome do período, como texto.
Ex.: "Jan/26", "Semana 12", "1º trimestre".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J6" authorId="0">
      <text>
        <r>
          <rPr>
            <sz val="10"/>
            <rFont val="Arial"/>
            <family val="2"/>
          </rPr>
          <t xml:space="preserve">Períodos seguidos, contados a partir do último, em que o resultado não atendeu à meta. Com 3 ou mais, a ação sugerida é abrir análise de causa.</t>
        </r>
      </text>
    </comment>
    <comment ref="M6" authorId="0">
      <text>
        <r>
          <rPr>
            <sz val="10"/>
            <rFont val="Arial"/>
            <family val="2"/>
          </rPr>
          <t xml:space="preserve">Compara a média dos três últimos períodos com a média dos três anteriores. Diferença de até 5% é considerada estável.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4" authorId="0">
      <text>
        <r>
          <rPr>
            <sz val="10"/>
            <rFont val="Arial"/>
            <family val="2"/>
          </rPr>
          <t xml:space="preserve">A causa registrada aqui é uma hipótese. Quando o indicador pede análise de causa, a confirmação é feita na reunião de análise, com as pessoas do processo.</t>
        </r>
      </text>
    </comment>
  </commentList>
</comments>
</file>

<file path=xl/sharedStrings.xml><?xml version="1.0" encoding="utf-8"?>
<sst xmlns="http://schemas.openxmlformats.org/spreadsheetml/2006/main" count="473" uniqueCount="256">
  <si>
    <t xml:space="preserve">Indicadores — Como usar esta planilha</t>
  </si>
  <si>
    <t xml:space="preserve">Modelo para definir os indicadores, registrar os resultados, ler a situação e registrar as decisões.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</si>
  <si>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</si>
  <si>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</si>
  <si>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</si>
  <si>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</si>
  <si>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situações,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</si>
  <si>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</si>
  <si>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</si>
  <si>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</si>
  <si>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sentido, frequência e status aceitam apenas as opções da lista. Metas e resultados aceitam apenas números.</t>
  </si>
  <si>
    <t xml:space="preserve">Comentários</t>
  </si>
  <si>
    <t xml:space="preserve">Células com triângulo vermelho no canto trazem uma dica de preenchimento. Passe o mouse sobre elas.</t>
  </si>
  <si>
    <t xml:space="preserve">As três situações</t>
  </si>
  <si>
    <t xml:space="preserve">Na meta</t>
  </si>
  <si>
    <t xml:space="preserve">O último resultado atende à meta.</t>
  </si>
  <si>
    <t xml:space="preserve">Atenção</t>
  </si>
  <si>
    <t xml:space="preserve">O último resultado não atende à meta, mas está dentro do limite de atenção.</t>
  </si>
  <si>
    <t xml:space="preserve">Fora da meta</t>
  </si>
  <si>
    <t xml:space="preserve">O último resultado passou do limite de atenção.</t>
  </si>
  <si>
    <t xml:space="preserve">Ordem recomendada de preenchimento</t>
  </si>
  <si>
    <t xml:space="preserve">Passo 1</t>
  </si>
  <si>
    <t xml:space="preserve">Aba Fichas: escreva cada indicador, com o objetivo, a fórmula, a unidade, o sentido, a meta e o limite de atenção.</t>
  </si>
  <si>
    <t xml:space="preserve">Passo 2</t>
  </si>
  <si>
    <t xml:space="preserve">Aba Medições: escreva o nome dos períodos na linha amarela do cabeçalho.</t>
  </si>
  <si>
    <t xml:space="preserve">Passo 3</t>
  </si>
  <si>
    <t xml:space="preserve">Aba Medições: registre o resultado de cada período, da esquerda para a direita, sem pular colunas.</t>
  </si>
  <si>
    <t xml:space="preserve">Passo 4</t>
  </si>
  <si>
    <t xml:space="preserve">Aba Painel: leia a situação, a tendência e a ação sugerida de cada indicador.</t>
  </si>
  <si>
    <t xml:space="preserve">Passo 5</t>
  </si>
  <si>
    <t xml:space="preserve">Aba Painel: informe o número do indicador que deve aparecer no gráfico.</t>
  </si>
  <si>
    <t xml:space="preserve">Passo 6</t>
  </si>
  <si>
    <t xml:space="preserve">Aba Análise: registre a decisão de cada indicador fora da meta, com responsável e prazo.</t>
  </si>
  <si>
    <t xml:space="preserve">Passo 7</t>
  </si>
  <si>
    <t xml:space="preserve">Aba Checklist: valide o conjunto de indicadores, pelo menos uma vez por ano.</t>
  </si>
  <si>
    <t xml:space="preserve">Abas da planilha</t>
  </si>
  <si>
    <t xml:space="preserve">Fichas</t>
  </si>
  <si>
    <t xml:space="preserve">Definição de até 12 indicadores, com conferência dos campos.</t>
  </si>
  <si>
    <t xml:space="preserve">Medições</t>
  </si>
  <si>
    <t xml:space="preserve">Resultados de cada indicador, em até 12 períodos, e contagem dos períodos seguidos fora da meta.</t>
  </si>
  <si>
    <t xml:space="preserve">Painel</t>
  </si>
  <si>
    <t xml:space="preserve">Leitura de cada indicador, resumo e gráfico do indicador escolhido.</t>
  </si>
  <si>
    <t xml:space="preserve">Análise</t>
  </si>
  <si>
    <t xml:space="preserve">Registro das decisões tomadas nas reuniões de indicadores.</t>
  </si>
  <si>
    <t xml:space="preserve">Checklist</t>
  </si>
  <si>
    <t xml:space="preserve">Doze verificações de qualidade dos indicadores, com percentual de conclusão.</t>
  </si>
  <si>
    <t xml:space="preserve">Exemplo 1 - Pizzaria</t>
  </si>
  <si>
    <t xml:space="preserve">Painel de quatro indicadores de uma organização pequena.</t>
  </si>
  <si>
    <t xml:space="preserve">Exemplo 2 - Compras</t>
  </si>
  <si>
    <t xml:space="preserve">Painel de quatro indicadores de um processo, com o registro da reunião de análise.</t>
  </si>
  <si>
    <t xml:space="preserve">Regras e premissas do modelo</t>
  </si>
  <si>
    <t xml:space="preserve">Situação</t>
  </si>
  <si>
    <t xml:space="preserve">É lida no último resultado registrado. A meta e o limite de atenção vêm da aba Fichas.</t>
  </si>
  <si>
    <t xml:space="preserve">Limite de atenção</t>
  </si>
  <si>
    <t xml:space="preserve">Separa o desvio pequeno do grande. Quando maior é melhor, o limite fica abaixo da meta. Quando menor é melhor, fica acima.</t>
  </si>
  <si>
    <t xml:space="preserve">Três períodos seguidos</t>
  </si>
  <si>
    <t xml:space="preserve">Quando os três últimos resultados não atendem à meta, a ação sugerida é abrir análise de causa, qualquer que seja a situação. A regra é uma convenção deste modelo.</t>
  </si>
  <si>
    <t xml:space="preserve">Tendência</t>
  </si>
  <si>
    <t xml:space="preserve">Compara a média dos três últimos períodos com a média dos três anteriores. Diferença de até 5% é considerada estável. Pede pelo menos seis medições.</t>
  </si>
  <si>
    <t xml:space="preserve">Um ano por arquivo</t>
  </si>
  <si>
    <t xml:space="preserve">O modelo guarda 12 períodos. Para o período seguinte, salve uma cópia do arquivo e limpe a aba Medições.</t>
  </si>
  <si>
    <t xml:space="preserve">Exemplos</t>
  </si>
  <si>
    <t xml:space="preserve">Os dados das abas de exemplo são ilustrativos, criados para este material.</t>
  </si>
  <si>
    <t xml:space="preserve">Fichas dos indicadores</t>
  </si>
  <si>
    <t xml:space="preserve">Um indicador por linha. Duas pessoas, com a ficha na mão, precisam chegar ao mesmo número.</t>
  </si>
  <si>
    <t xml:space="preserve">Organização ou processo</t>
  </si>
  <si>
    <t xml:space="preserve">Responsável pelo painel</t>
  </si>
  <si>
    <t xml:space="preserve">Período</t>
  </si>
  <si>
    <t xml:space="preserve">Atualizado em</t>
  </si>
  <si>
    <t xml:space="preserve">#</t>
  </si>
  <si>
    <t xml:space="preserve">Indicador</t>
  </si>
  <si>
    <t xml:space="preserve">Objetivo</t>
  </si>
  <si>
    <t xml:space="preserve">Processo</t>
  </si>
  <si>
    <t xml:space="preserve">Fórmula</t>
  </si>
  <si>
    <t xml:space="preserve">Unidade</t>
  </si>
  <si>
    <t xml:space="preserve">Sentido</t>
  </si>
  <si>
    <t xml:space="preserve">Meta</t>
  </si>
  <si>
    <t xml:space="preserve">Fonte dos dados</t>
  </si>
  <si>
    <t xml:space="preserve">Frequência</t>
  </si>
  <si>
    <t xml:space="preserve">Responsável</t>
  </si>
  <si>
    <t xml:space="preserve">Conferência</t>
  </si>
  <si>
    <t xml:space="preserve">Nome curto</t>
  </si>
  <si>
    <t xml:space="preserve">O que se quer alcançar</t>
  </si>
  <si>
    <t xml:space="preserve">Onde é medido</t>
  </si>
  <si>
    <t xml:space="preserve">O que se divide, e por quanto</t>
  </si>
  <si>
    <t xml:space="preserve">%, dias, itens</t>
  </si>
  <si>
    <t xml:space="preserve">Escolha na lista</t>
  </si>
  <si>
    <t xml:space="preserve">Número</t>
  </si>
  <si>
    <t xml:space="preserve">De onde vem o dado</t>
  </si>
  <si>
    <t xml:space="preserve">Cargo ou nome</t>
  </si>
  <si>
    <t xml:space="preserve">Campos da linha</t>
  </si>
  <si>
    <t xml:space="preserve">Ex.</t>
  </si>
  <si>
    <t xml:space="preserve">Prazo de atendimento das requisições</t>
  </si>
  <si>
    <t xml:space="preserve">Fornecer os materiais no prazo</t>
  </si>
  <si>
    <t xml:space="preserve">Adquirir materiais e serviços</t>
  </si>
  <si>
    <t xml:space="preserve">Soma dos dias úteis entre a requisição e o pedido ÷ número de requisições</t>
  </si>
  <si>
    <t xml:space="preserve">dias úteis</t>
  </si>
  <si>
    <t xml:space="preserve">Menor é melhor</t>
  </si>
  <si>
    <t xml:space="preserve">Datas da requisição e do pedido, no sistema</t>
  </si>
  <si>
    <t xml:space="preserve">Mensal</t>
  </si>
  <si>
    <t xml:space="preserve">Comprador sênior</t>
  </si>
  <si>
    <t xml:space="preserve">Completa</t>
  </si>
  <si>
    <t xml:space="preserve">Resumo automático</t>
  </si>
  <si>
    <t xml:space="preserve">Indicadores cadastrados</t>
  </si>
  <si>
    <t xml:space="preserve">Fichas completas</t>
  </si>
  <si>
    <t xml:space="preserve">Aviso</t>
  </si>
  <si>
    <t xml:space="preserve">Registre os resultados da esquerda para a direita, sem pular colunas. Escreva o nome de cada período na linha amarela.</t>
  </si>
  <si>
    <t xml:space="preserve">Períodos</t>
  </si>
  <si>
    <t xml:space="preserve">Vem da aba Fichas</t>
  </si>
  <si>
    <t xml:space="preserve">Contagem</t>
  </si>
  <si>
    <t xml:space="preserve">Períodos seguidos fora da meta</t>
  </si>
  <si>
    <t xml:space="preserve">Contagem calculada a partir dos resultados e da meta de cada indicador. Volta a zero quando o resultado atende à meta.</t>
  </si>
  <si>
    <t xml:space="preserve">Indicadores com medição</t>
  </si>
  <si>
    <t xml:space="preserve">Períodos com nome</t>
  </si>
  <si>
    <t xml:space="preserve">Painel de indicadores</t>
  </si>
  <si>
    <t xml:space="preserve">Leitura do último resultado de cada indicador. Calculado a partir das abas Fichas e Medições.</t>
  </si>
  <si>
    <t xml:space="preserve">Último resultado</t>
  </si>
  <si>
    <t xml:space="preserve">Média</t>
  </si>
  <si>
    <t xml:space="preserve">Seguidos fora da meta</t>
  </si>
  <si>
    <t xml:space="preserve">Média dos 3 anteriores</t>
  </si>
  <si>
    <t xml:space="preserve">Média dos 3 últimos</t>
  </si>
  <si>
    <t xml:space="preserve">Ação sugerida</t>
  </si>
  <si>
    <t xml:space="preserve">Indicadores com resultado</t>
  </si>
  <si>
    <t xml:space="preserve">Com análise de causa sugerida</t>
  </si>
  <si>
    <t xml:space="preserve">Gráfico de um indicador</t>
  </si>
  <si>
    <t xml:space="preserve">Indicador do gráfico, de 1 a 12</t>
  </si>
  <si>
    <t xml:space="preserve">Resultado</t>
  </si>
  <si>
    <t xml:space="preserve">Registro das reuniões de análise</t>
  </si>
  <si>
    <t xml:space="preserve">Uma linha por decisão. Todo indicador fora da meta tem decisão registrada, com responsável e prazo.</t>
  </si>
  <si>
    <t xml:space="preserve">Data da reunião</t>
  </si>
  <si>
    <t xml:space="preserve">Nome do indicador</t>
  </si>
  <si>
    <t xml:space="preserve">O que os dados mostram</t>
  </si>
  <si>
    <t xml:space="preserve">Causa provável</t>
  </si>
  <si>
    <t xml:space="preserve">Decisão</t>
  </si>
  <si>
    <t xml:space="preserve">Prazo</t>
  </si>
  <si>
    <t xml:space="preserve">Status</t>
  </si>
  <si>
    <t xml:space="preserve">Data</t>
  </si>
  <si>
    <t xml:space="preserve">Número, de 1 a 12</t>
  </si>
  <si>
    <t xml:space="preserve">Calculado</t>
  </si>
  <si>
    <t xml:space="preserve">O fato, com números</t>
  </si>
  <si>
    <t xml:space="preserve">Hipótese, a confirmar</t>
  </si>
  <si>
    <t xml:space="preserve">Verbo no infinitivo</t>
  </si>
  <si>
    <t xml:space="preserve">Da decisão</t>
  </si>
  <si>
    <t xml:space="preserve">Calculada</t>
  </si>
  <si>
    <t xml:space="preserve">Cinco meses seguidos acima da meta, com pico de 6,2 dias em agosto.</t>
  </si>
  <si>
    <t xml:space="preserve">Requisições incompletas voltam ao requisitante e entram de novo na fila.</t>
  </si>
  <si>
    <t xml:space="preserve">Tratar junto com o RNC 2026-31.</t>
  </si>
  <si>
    <t xml:space="preserve">Gerente de Suprimentos</t>
  </si>
  <si>
    <t xml:space="preserve">Em andamento</t>
  </si>
  <si>
    <t xml:space="preserve">No prazo</t>
  </si>
  <si>
    <t xml:space="preserve">Decisões registradas</t>
  </si>
  <si>
    <t xml:space="preserve">Concluídas</t>
  </si>
  <si>
    <t xml:space="preserve">Atrasadas</t>
  </si>
  <si>
    <t xml:space="preserve">Indicadores que pedem análise de causa</t>
  </si>
  <si>
    <t xml:space="preserve">Desses, sem registro nesta aba</t>
  </si>
  <si>
    <t xml:space="preserve">Checklist de validação dos indicadores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</si>
  <si>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</si>
  <si>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</si>
  <si>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</si>
  <si>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Cada indicador está ligado a um objetivo ou a um processo.</t>
  </si>
  <si>
    <t xml:space="preserve">A fórmula está escrita, com o que se divide, por quanto e em que unidade.</t>
  </si>
  <si>
    <t xml:space="preserve">A fonte dos dados e o responsável pela coleta estão definidos.</t>
  </si>
  <si>
    <t xml:space="preserve">A frequência de medição acompanha a velocidade do processo.</t>
  </si>
  <si>
    <t xml:space="preserve">A meta tem valor, sentido e prazo.</t>
  </si>
  <si>
    <t xml:space="preserve">A meta foi definida a partir do histórico ou de um requisito.</t>
  </si>
  <si>
    <t xml:space="preserve">O limite de atenção está definido.</t>
  </si>
  <si>
    <t xml:space="preserve">O conjunto de indicadores cabe em uma página.</t>
  </si>
  <si>
    <t xml:space="preserve">Os resultados são apresentados em gráfico, com a meta.</t>
  </si>
  <si>
    <t xml:space="preserve">Os resultados são analisados em reunião, com data marcada.</t>
  </si>
  <si>
    <t xml:space="preserve">Cada indicador fora da meta tem decisão registrada, com responsável e prazo.</t>
  </si>
  <si>
    <t xml:space="preserve">Os indicadores e as metas são revistos pelo menos uma vez por ano.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</si>
  <si>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</si>
  <si>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</si>
  <si>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</si>
  <si>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</si>
  <si>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</si>
  <si>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as abas Fichas, Medições, Painel e Análise para os seus indicadores.</t>
  </si>
  <si>
    <t xml:space="preserve">Organização</t>
  </si>
  <si>
    <t xml:space="preserve">Pizzaria (loja com salão e delivery)</t>
  </si>
  <si>
    <t xml:space="preserve">Outubro de 2025 a setembro de 2026</t>
  </si>
  <si>
    <t xml:space="preserve">Gerente da loja</t>
  </si>
  <si>
    <t xml:space="preserve">Reunião de análise</t>
  </si>
  <si>
    <t xml:space="preserve">Toda segunda-feira, com fechamento mensal</t>
  </si>
  <si>
    <t xml:space="preserve">Situação em</t>
  </si>
  <si>
    <t xml:space="preserve">Nº</t>
  </si>
  <si>
    <t xml:space="preserve">Limite</t>
  </si>
  <si>
    <t xml:space="preserve">P1</t>
  </si>
  <si>
    <t xml:space="preserve">Entregas em até 40 minutos</t>
  </si>
  <si>
    <t xml:space="preserve">Entregar o pedido no prazo prometido</t>
  </si>
  <si>
    <t xml:space="preserve">Pedidos entregues em até 40 minutos ÷ pedidos entregues × 100</t>
  </si>
  <si>
    <t xml:space="preserve">%</t>
  </si>
  <si>
    <t xml:space="preserve">Maior é melhor</t>
  </si>
  <si>
    <t xml:space="preserve">Líder da expedição</t>
  </si>
  <si>
    <t xml:space="preserve">P2</t>
  </si>
  <si>
    <t xml:space="preserve">Reclamações por 100 pedidos</t>
  </si>
  <si>
    <t xml:space="preserve">Reduzir as reclamações dos clientes</t>
  </si>
  <si>
    <t xml:space="preserve">Reclamações registradas ÷ pedidos entregues × 100</t>
  </si>
  <si>
    <t xml:space="preserve">por 100 pedidos</t>
  </si>
  <si>
    <t xml:space="preserve">Atendente líder</t>
  </si>
  <si>
    <t xml:space="preserve">P3</t>
  </si>
  <si>
    <t xml:space="preserve">Pedidos refeitos por erro</t>
  </si>
  <si>
    <t xml:space="preserve">Entregar o pedido certo na primeira vez</t>
  </si>
  <si>
    <t xml:space="preserve">Pedidos refeitos ÷ pedidos produzidos × 100</t>
  </si>
  <si>
    <t xml:space="preserve">Pizzaiolo líder</t>
  </si>
  <si>
    <t xml:space="preserve">P4</t>
  </si>
  <si>
    <t xml:space="preserve">Desperdício de insumos</t>
  </si>
  <si>
    <t xml:space="preserve">Reduzir o custo sem mexer na receita</t>
  </si>
  <si>
    <t xml:space="preserve">Custo dos insumos descartados ÷ custo dos insumos comprados × 100</t>
  </si>
  <si>
    <t xml:space="preserve">Out/25</t>
  </si>
  <si>
    <t xml:space="preserve">Nov/25</t>
  </si>
  <si>
    <t xml:space="preserve">Dez/25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</si>
  <si>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</si>
  <si>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</si>
  <si>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</si>
  <si>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</si>
  <si>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</si>
  <si>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</si>
  <si>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</si>
  <si>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</si>
  <si>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Set/26</t>
  </si>
  <si>
    <t xml:space="preserve">Seguidos fora</t>
  </si>
  <si>
    <t xml:space="preserve">Último</t>
  </si>
  <si>
    <t xml:space="preserve">A escala padrão e o agrupamento por zona, definidos no ciclo PDCA, continuam.</t>
  </si>
  <si>
    <t xml:space="preserve">A queda acompanha a melhora das entregas no prazo.</t>
  </si>
  <si>
    <t xml:space="preserve">A alta começou em julho, junto com a troca do sistema de pedidos.</t>
  </si>
  <si>
    <t xml:space="preserve">A meta será revista na análise anual.</t>
  </si>
  <si>
    <t xml:space="preserve">Gráfico do indicador P3 · Pedidos refeitos por erro, em %</t>
  </si>
  <si>
    <t xml:space="preserve">Dados do gráfico</t>
  </si>
  <si>
    <t xml:space="preserve">Indústria de embalagens plásticas · Suprimentos</t>
  </si>
  <si>
    <t xml:space="preserve">Primeira quinta-feira de cada mês</t>
  </si>
  <si>
    <t xml:space="preserve">C1</t>
  </si>
  <si>
    <t xml:space="preserve">C2</t>
  </si>
  <si>
    <t xml:space="preserve">Requisições com falha de especificação</t>
  </si>
  <si>
    <t xml:space="preserve">Comprar o item certo na primeira vez</t>
  </si>
  <si>
    <t xml:space="preserve">Requisições com especificação ausente ou insuficiente ÷ requisições recebidas × 100</t>
  </si>
  <si>
    <t xml:space="preserve">C3</t>
  </si>
  <si>
    <t xml:space="preserve">Fornecedores críticos com avaliação em dia</t>
  </si>
  <si>
    <t xml:space="preserve">Conhecer o desempenho de quem fornece</t>
  </si>
  <si>
    <t xml:space="preserve">Fornecedores críticos avaliados no semestre ÷ fornecedores críticos × 100</t>
  </si>
  <si>
    <t xml:space="preserve">C4</t>
  </si>
  <si>
    <t xml:space="preserve">Itens devolvidos ao fornecedor</t>
  </si>
  <si>
    <t xml:space="preserve">Número de itens devolvidos por divergência, no mês</t>
  </si>
  <si>
    <t xml:space="preserve">itens</t>
  </si>
  <si>
    <t xml:space="preserve">Líder do Recebimento</t>
  </si>
  <si>
    <t xml:space="preserve">A alta acompanha as requisições devolvidas por falta de especificação.</t>
  </si>
  <si>
    <t xml:space="preserve">O tratamento está no RNC 2026-31, aberto depois da auditoria 2026-07.</t>
  </si>
  <si>
    <t xml:space="preserve">O tratamento está na constatação nº 2 da auditoria 2026-07: avaliar os 5 fornecedores pendentes.</t>
  </si>
  <si>
    <t xml:space="preserve">A análise será feita em conjunto com a do indicador C2.</t>
  </si>
  <si>
    <t xml:space="preserve">Gráfico do indicador C1 · Prazo de atendimento das requisições, em dias úteis</t>
  </si>
  <si>
    <t xml:space="preserve">Registro da reunião de análise</t>
  </si>
  <si>
    <t xml:space="preserve">Queda contínua desde janeiro. 5 dos 12 fornecedores críticos sem avaliação.</t>
  </si>
  <si>
    <t xml:space="preserve">A avaliação do segundo semestre de 2025 não foi repetida em 2026.</t>
  </si>
  <si>
    <t xml:space="preserve">Avaliar os 5 fornecedores e marcar as datas no calendário da área.</t>
  </si>
  <si>
    <t xml:space="preserve">Pelo menos uma devolução em 9 dos 12 meses.</t>
  </si>
  <si>
    <t xml:space="preserve">Item comprado diferente do necessário, por falta de especificação.</t>
  </si>
  <si>
    <t xml:space="preserve">Acompanhar depois das ações do RNC 2026-31.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</si>
</sst>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"/>
    <numFmt numFmtId="168" formatCode="0.0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8"/>
      <color rgb="FF16242E"/>
      <name val="Arial"/>
      <family val="0"/>
      <charset val="1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8EBCB"/>
      </patternFill>
    </fill>
    <fill>
      <patternFill patternType="solid">
        <fgColor rgb="FF2A6FB0"/>
        <bgColor rgb="FF2B5C8A"/>
      </patternFill>
    </fill>
    <fill>
      <patternFill patternType="solid">
        <fgColor rgb="FFDCE8F3"/>
        <bgColor rgb="FFD8EFDD"/>
      </patternFill>
    </fill>
    <fill>
      <patternFill patternType="solid">
        <fgColor rgb="FFD19A2E"/>
        <bgColor rgb="FFFF8080"/>
      </patternFill>
    </fill>
    <fill>
      <patternFill patternType="solid">
        <fgColor rgb="FFF8EBCB"/>
        <bgColor rgb="FFFBEBC8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2A6FB0"/>
      </patternFill>
    </fill>
    <fill>
      <patternFill patternType="solid">
        <fgColor rgb="FFA96A12"/>
        <bgColor rgb="FFB0413E"/>
      </patternFill>
    </fill>
    <fill>
      <patternFill patternType="solid">
        <fgColor rgb="FF1E7B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D9DEE2"/>
        </patternFill>
      </fill>
    </dxf>
    <dxf>
      <fill>
        <patternFill>
          <bgColor rgb="FFF5DEDC"/>
        </patternFill>
      </fill>
    </dxf>
    <dxf>
      <fill>
        <patternFill>
          <bgColor rgb="FFDCE8F3"/>
        </patternFill>
      </fill>
    </dxf>
    <dxf>
      <fill>
        <patternFill>
          <bgColor rgb="FFF8EBCB"/>
        </patternFill>
      </fill>
    </dxf>
    <dxf>
      <font>
        <name val="Arial"/>
        <charset val="1"/>
        <family val="0"/>
        <color rgb="FFEEF1F3"/>
        <sz val="9"/>
      </font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BCB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2A6FB0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D9DEE2"/>
      <rgbColor rgb="FFF6D9D7"/>
      <rgbColor rgb="FF3366FF"/>
      <rgbColor rgb="FF33CCCC"/>
      <rgbColor rgb="FF99CC00"/>
      <rgbColor rgb="FFFFCC00"/>
      <rgbColor rgb="FFD19A2E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"Resultado"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Painel!$D$30:$O$30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</c:multiLvlStrCache>
            </c:multiLvlStrRef>
          </c:cat>
          <c:val>
            <c:numRef>
              <c:f>Painel!$D$31:$O$31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Painel!$D$30:$O$30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</c:multiLvlStrCache>
            </c:multiLvlStrRef>
          </c:cat>
          <c:val>
            <c:numRef>
              <c:f>Painel!$D$32:$O$32</c:f>
              <c:numCache>
                <c:formatCode>General</c:formatCode>
                <c:ptCount val="12"/>
              </c:numCache>
            </c:numRef>
          </c:val>
          <c:smooth val="0"/>
        </c:ser>
        <c:ser>
          <c:idx val="2"/>
          <c:order val="2"/>
          <c:tx>
            <c:strRef>
              <c:f>"Limite de atenção"</c:f>
              <c:strCache>
                <c:ptCount val="1"/>
                <c:pt idx="0">
                  <c:v>Limite de atenção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Painel!$D$30:$O$30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</c:multiLvlStrCache>
            </c:multiLvlStrRef>
          </c:cat>
          <c:val>
            <c:numRef>
              <c:f>Painel!$D$33:$O$33</c:f>
              <c:numCache>
                <c:formatCode>General</c:formatCode>
                <c:ptCount val="12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730419"/>
        <c:axId val="53601548"/>
      </c:lineChart>
      <c:catAx>
        <c:axId val="127304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01548"/>
        <c:crosses val="autoZero"/>
        <c:auto val="1"/>
        <c:lblAlgn val="ctr"/>
        <c:lblOffset val="100"/>
        <c:noMultiLvlLbl val="0"/>
      </c:catAx>
      <c:valAx>
        <c:axId val="53601548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304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"Resultado"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'Exemplo 1 - Pizzaria'!$D$18:$O$18</c:f>
              <c:multiLvlStrCache>
                <c:ptCount val="1"/>
                <c:lvl>
                  <c:pt idx="0">
                    <c:v>Set/26</c:v>
                  </c:pt>
                </c:lvl>
                <c:lvl>
                  <c:pt idx="0">
                    <c:v>Ago/26</c:v>
                  </c:pt>
                </c:lvl>
                <c:lvl>
                  <c:pt idx="0">
                    <c:v>Jul/26</c:v>
                  </c:pt>
                </c:lvl>
                <c:lvl>
                  <c:pt idx="0">
                    <c:v>Jun/26</c:v>
                  </c:pt>
                </c:lvl>
                <c:lvl>
                  <c:pt idx="0">
                    <c:v>Mai/26</c:v>
                  </c:pt>
                </c:lvl>
                <c:lvl>
                  <c:pt idx="0">
                    <c:v>Abr/26</c:v>
                  </c:pt>
                </c:lvl>
                <c:lvl>
                  <c:pt idx="0">
                    <c:v>Mar/26</c:v>
                  </c:pt>
                </c:lvl>
                <c:lvl>
                  <c:pt idx="0">
                    <c:v>Fev/26</c:v>
                  </c:pt>
                </c:lvl>
                <c:lvl>
                  <c:pt idx="0">
                    <c:v>Jan/26</c:v>
                  </c:pt>
                </c:lvl>
                <c:lvl>
                  <c:pt idx="0">
                    <c:v>Dez/25</c:v>
                  </c:pt>
                </c:lvl>
                <c:lvl>
                  <c:pt idx="0">
                    <c:v>Nov/25</c:v>
                  </c:pt>
                </c:lvl>
                <c:lvl>
                  <c:pt idx="0">
                    <c:v>Out/25</c:v>
                  </c:pt>
                </c:lvl>
              </c:multiLvlStrCache>
            </c:multiLvlStrRef>
          </c:cat>
          <c:val>
            <c:numRef>
              <c:f>'Exemplo 1 - Pizzaria'!$D$21:$O$21</c:f>
              <c:numCache>
                <c:formatCode>General</c:formatCode>
                <c:ptCount val="12"/>
                <c:pt idx="0">
                  <c:v>2.1</c:v>
                </c:pt>
                <c:pt idx="1">
                  <c:v>1.9</c:v>
                </c:pt>
                <c:pt idx="2">
                  <c:v>2.4</c:v>
                </c:pt>
                <c:pt idx="3">
                  <c:v>1.8</c:v>
                </c:pt>
                <c:pt idx="4">
                  <c:v>1.7</c:v>
                </c:pt>
                <c:pt idx="5">
                  <c:v>1.6</c:v>
                </c:pt>
                <c:pt idx="6">
                  <c:v>1.4</c:v>
                </c:pt>
                <c:pt idx="7">
                  <c:v>1.5</c:v>
                </c:pt>
                <c:pt idx="8">
                  <c:v>1.3</c:v>
                </c:pt>
                <c:pt idx="9">
                  <c:v>1.6</c:v>
                </c:pt>
                <c:pt idx="10">
                  <c:v>1.8</c:v>
                </c:pt>
                <c:pt idx="11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'Exemplo 1 - Pizzaria'!$D$18:$O$18</c:f>
              <c:multiLvlStrCache>
                <c:ptCount val="1"/>
                <c:lvl>
                  <c:pt idx="0">
                    <c:v>Set/26</c:v>
                  </c:pt>
                </c:lvl>
                <c:lvl>
                  <c:pt idx="0">
                    <c:v>Ago/26</c:v>
                  </c:pt>
                </c:lvl>
                <c:lvl>
                  <c:pt idx="0">
                    <c:v>Jul/26</c:v>
                  </c:pt>
                </c:lvl>
                <c:lvl>
                  <c:pt idx="0">
                    <c:v>Jun/26</c:v>
                  </c:pt>
                </c:lvl>
                <c:lvl>
                  <c:pt idx="0">
                    <c:v>Mai/26</c:v>
                  </c:pt>
                </c:lvl>
                <c:lvl>
                  <c:pt idx="0">
                    <c:v>Abr/26</c:v>
                  </c:pt>
                </c:lvl>
                <c:lvl>
                  <c:pt idx="0">
                    <c:v>Mar/26</c:v>
                  </c:pt>
                </c:lvl>
                <c:lvl>
                  <c:pt idx="0">
                    <c:v>Fev/26</c:v>
                  </c:pt>
                </c:lvl>
                <c:lvl>
                  <c:pt idx="0">
                    <c:v>Jan/26</c:v>
                  </c:pt>
                </c:lvl>
                <c:lvl>
                  <c:pt idx="0">
                    <c:v>Dez/25</c:v>
                  </c:pt>
                </c:lvl>
                <c:lvl>
                  <c:pt idx="0">
                    <c:v>Nov/25</c:v>
                  </c:pt>
                </c:lvl>
                <c:lvl>
                  <c:pt idx="0">
                    <c:v>Out/25</c:v>
                  </c:pt>
                </c:lvl>
              </c:multiLvlStrCache>
            </c:multiLvlStrRef>
          </c:cat>
          <c:val>
            <c:numRef>
              <c:f>'Exemplo 1 - Pizzaria'!$D$56:$O$56</c:f>
              <c:numCache>
                <c:formatCode>General</c:formatCode>
                <c:ptCount val="12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"Limite de atenção"</c:f>
              <c:strCache>
                <c:ptCount val="1"/>
                <c:pt idx="0">
                  <c:v>Limite de atenção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'Exemplo 1 - Pizzaria'!$D$18:$O$18</c:f>
              <c:multiLvlStrCache>
                <c:ptCount val="1"/>
                <c:lvl>
                  <c:pt idx="0">
                    <c:v>Set/26</c:v>
                  </c:pt>
                </c:lvl>
                <c:lvl>
                  <c:pt idx="0">
                    <c:v>Ago/26</c:v>
                  </c:pt>
                </c:lvl>
                <c:lvl>
                  <c:pt idx="0">
                    <c:v>Jul/26</c:v>
                  </c:pt>
                </c:lvl>
                <c:lvl>
                  <c:pt idx="0">
                    <c:v>Jun/26</c:v>
                  </c:pt>
                </c:lvl>
                <c:lvl>
                  <c:pt idx="0">
                    <c:v>Mai/26</c:v>
                  </c:pt>
                </c:lvl>
                <c:lvl>
                  <c:pt idx="0">
                    <c:v>Abr/26</c:v>
                  </c:pt>
                </c:lvl>
                <c:lvl>
                  <c:pt idx="0">
                    <c:v>Mar/26</c:v>
                  </c:pt>
                </c:lvl>
                <c:lvl>
                  <c:pt idx="0">
                    <c:v>Fev/26</c:v>
                  </c:pt>
                </c:lvl>
                <c:lvl>
                  <c:pt idx="0">
                    <c:v>Jan/26</c:v>
                  </c:pt>
                </c:lvl>
                <c:lvl>
                  <c:pt idx="0">
                    <c:v>Dez/25</c:v>
                  </c:pt>
                </c:lvl>
                <c:lvl>
                  <c:pt idx="0">
                    <c:v>Nov/25</c:v>
                  </c:pt>
                </c:lvl>
                <c:lvl>
                  <c:pt idx="0">
                    <c:v>Out/25</c:v>
                  </c:pt>
                </c:lvl>
              </c:multiLvlStrCache>
            </c:multiLvlStrRef>
          </c:cat>
          <c:val>
            <c:numRef>
              <c:f>'Exemplo 1 - Pizzaria'!$D$57:$O$57</c:f>
              <c:numCache>
                <c:formatCode>General</c:formatCode>
                <c:ptCount val="12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94809"/>
        <c:axId val="72529989"/>
      </c:lineChart>
      <c:catAx>
        <c:axId val="84948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29989"/>
        <c:crosses val="autoZero"/>
        <c:auto val="1"/>
        <c:lblAlgn val="ctr"/>
        <c:lblOffset val="100"/>
        <c:noMultiLvlLbl val="0"/>
      </c:catAx>
      <c:valAx>
        <c:axId val="72529989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48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"Resultado"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2b5c8a"/>
            </a:solidFill>
            <a:ln w="25560">
              <a:solidFill>
                <a:srgbClr val="2b5c8a"/>
              </a:solidFill>
              <a:round/>
            </a:ln>
          </c:spPr>
          <c:marker>
            <c:symbol val="circle"/>
            <c:size val="7"/>
            <c:spPr>
              <a:solidFill>
                <a:srgbClr val="2b5c8a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'Exemplo 2 - Compras'!$D$18:$O$18</c:f>
              <c:multiLvlStrCache>
                <c:ptCount val="1"/>
                <c:lvl>
                  <c:pt idx="0">
                    <c:v>Set/26</c:v>
                  </c:pt>
                </c:lvl>
                <c:lvl>
                  <c:pt idx="0">
                    <c:v>Ago/26</c:v>
                  </c:pt>
                </c:lvl>
                <c:lvl>
                  <c:pt idx="0">
                    <c:v>Jul/26</c:v>
                  </c:pt>
                </c:lvl>
                <c:lvl>
                  <c:pt idx="0">
                    <c:v>Jun/26</c:v>
                  </c:pt>
                </c:lvl>
                <c:lvl>
                  <c:pt idx="0">
                    <c:v>Mai/26</c:v>
                  </c:pt>
                </c:lvl>
                <c:lvl>
                  <c:pt idx="0">
                    <c:v>Abr/26</c:v>
                  </c:pt>
                </c:lvl>
                <c:lvl>
                  <c:pt idx="0">
                    <c:v>Mar/26</c:v>
                  </c:pt>
                </c:lvl>
                <c:lvl>
                  <c:pt idx="0">
                    <c:v>Fev/26</c:v>
                  </c:pt>
                </c:lvl>
                <c:lvl>
                  <c:pt idx="0">
                    <c:v>Jan/26</c:v>
                  </c:pt>
                </c:lvl>
                <c:lvl>
                  <c:pt idx="0">
                    <c:v>Dez/25</c:v>
                  </c:pt>
                </c:lvl>
                <c:lvl>
                  <c:pt idx="0">
                    <c:v>Nov/25</c:v>
                  </c:pt>
                </c:lvl>
                <c:lvl>
                  <c:pt idx="0">
                    <c:v>Out/25</c:v>
                  </c:pt>
                </c:lvl>
              </c:multiLvlStrCache>
            </c:multiLvlStrRef>
          </c:cat>
          <c:val>
            <c:numRef>
              <c:f>'Exemplo 2 - Compras'!$D$19:$O$19</c:f>
              <c:numCache>
                <c:formatCode>General</c:formatCode>
                <c:ptCount val="12"/>
                <c:pt idx="0">
                  <c:v>4.6</c:v>
                </c:pt>
                <c:pt idx="1">
                  <c:v>4.8</c:v>
                </c:pt>
                <c:pt idx="2">
                  <c:v>5.3</c:v>
                </c:pt>
                <c:pt idx="3">
                  <c:v>4.7</c:v>
                </c:pt>
                <c:pt idx="4">
                  <c:v>4.5</c:v>
                </c:pt>
                <c:pt idx="5">
                  <c:v>4.8</c:v>
                </c:pt>
                <c:pt idx="6">
                  <c:v>4.9</c:v>
                </c:pt>
                <c:pt idx="7">
                  <c:v>5.2</c:v>
                </c:pt>
                <c:pt idx="8">
                  <c:v>5.6</c:v>
                </c:pt>
                <c:pt idx="9">
                  <c:v>5.9</c:v>
                </c:pt>
                <c:pt idx="10">
                  <c:v>6.2</c:v>
                </c:pt>
                <c:pt idx="11">
                  <c:v>5.8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'Exemplo 2 - Compras'!$D$18:$O$18</c:f>
              <c:multiLvlStrCache>
                <c:ptCount val="1"/>
                <c:lvl>
                  <c:pt idx="0">
                    <c:v>Set/26</c:v>
                  </c:pt>
                </c:lvl>
                <c:lvl>
                  <c:pt idx="0">
                    <c:v>Ago/26</c:v>
                  </c:pt>
                </c:lvl>
                <c:lvl>
                  <c:pt idx="0">
                    <c:v>Jul/26</c:v>
                  </c:pt>
                </c:lvl>
                <c:lvl>
                  <c:pt idx="0">
                    <c:v>Jun/26</c:v>
                  </c:pt>
                </c:lvl>
                <c:lvl>
                  <c:pt idx="0">
                    <c:v>Mai/26</c:v>
                  </c:pt>
                </c:lvl>
                <c:lvl>
                  <c:pt idx="0">
                    <c:v>Abr/26</c:v>
                  </c:pt>
                </c:lvl>
                <c:lvl>
                  <c:pt idx="0">
                    <c:v>Mar/26</c:v>
                  </c:pt>
                </c:lvl>
                <c:lvl>
                  <c:pt idx="0">
                    <c:v>Fev/26</c:v>
                  </c:pt>
                </c:lvl>
                <c:lvl>
                  <c:pt idx="0">
                    <c:v>Jan/26</c:v>
                  </c:pt>
                </c:lvl>
                <c:lvl>
                  <c:pt idx="0">
                    <c:v>Dez/25</c:v>
                  </c:pt>
                </c:lvl>
                <c:lvl>
                  <c:pt idx="0">
                    <c:v>Nov/25</c:v>
                  </c:pt>
                </c:lvl>
                <c:lvl>
                  <c:pt idx="0">
                    <c:v>Out/25</c:v>
                  </c:pt>
                </c:lvl>
              </c:multiLvlStrCache>
            </c:multiLvlStrRef>
          </c:cat>
          <c:val>
            <c:numRef>
              <c:f>'Exemplo 2 - Compras'!$D$56:$O$56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"Limite de atenção"</c:f>
              <c:strCache>
                <c:ptCount val="1"/>
                <c:pt idx="0">
                  <c:v>Limite de atenção</c:v>
                </c:pt>
              </c:strCache>
            </c:strRef>
          </c:tx>
          <c:spPr>
            <a:solidFill>
              <a:srgbClr val="5b6b76"/>
            </a:solidFill>
            <a:ln w="15840">
              <a:solidFill>
                <a:srgbClr val="5b6b76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'Exemplo 2 - Compras'!$D$18:$O$18</c:f>
              <c:multiLvlStrCache>
                <c:ptCount val="1"/>
                <c:lvl>
                  <c:pt idx="0">
                    <c:v>Set/26</c:v>
                  </c:pt>
                </c:lvl>
                <c:lvl>
                  <c:pt idx="0">
                    <c:v>Ago/26</c:v>
                  </c:pt>
                </c:lvl>
                <c:lvl>
                  <c:pt idx="0">
                    <c:v>Jul/26</c:v>
                  </c:pt>
                </c:lvl>
                <c:lvl>
                  <c:pt idx="0">
                    <c:v>Jun/26</c:v>
                  </c:pt>
                </c:lvl>
                <c:lvl>
                  <c:pt idx="0">
                    <c:v>Mai/26</c:v>
                  </c:pt>
                </c:lvl>
                <c:lvl>
                  <c:pt idx="0">
                    <c:v>Abr/26</c:v>
                  </c:pt>
                </c:lvl>
                <c:lvl>
                  <c:pt idx="0">
                    <c:v>Mar/26</c:v>
                  </c:pt>
                </c:lvl>
                <c:lvl>
                  <c:pt idx="0">
                    <c:v>Fev/26</c:v>
                  </c:pt>
                </c:lvl>
                <c:lvl>
                  <c:pt idx="0">
                    <c:v>Jan/26</c:v>
                  </c:pt>
                </c:lvl>
                <c:lvl>
                  <c:pt idx="0">
                    <c:v>Dez/25</c:v>
                  </c:pt>
                </c:lvl>
                <c:lvl>
                  <c:pt idx="0">
                    <c:v>Nov/25</c:v>
                  </c:pt>
                </c:lvl>
                <c:lvl>
                  <c:pt idx="0">
                    <c:v>Out/25</c:v>
                  </c:pt>
                </c:lvl>
              </c:multiLvlStrCache>
            </c:multiLvlStrRef>
          </c:cat>
          <c:val>
            <c:numRef>
              <c:f>'Exemplo 2 - Compras'!$D$57:$O$57</c:f>
              <c:numCache>
                <c:formatCode>General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3665"/>
        <c:axId val="68502039"/>
      </c:lineChart>
      <c:catAx>
        <c:axId val="973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02039"/>
        <c:crosses val="autoZero"/>
        <c:auto val="1"/>
        <c:lblAlgn val="ctr"/>
        <c:lblOffset val="100"/>
        <c:noMultiLvlLbl val="0"/>
      </c:catAx>
      <c:valAx>
        <c:axId val="68502039"/>
        <c:scaling>
          <c:orientation val="minMax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6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11</xdr:col>
      <xdr:colOff>768240</xdr:colOff>
      <xdr:row>50</xdr:row>
      <xdr:rowOff>11880</xdr:rowOff>
    </xdr:to>
    <xdr:graphicFrame>
      <xdr:nvGraphicFramePr>
        <xdr:cNvPr id="0" name="Chart 1"/>
        <xdr:cNvGraphicFramePr/>
      </xdr:nvGraphicFramePr>
      <xdr:xfrm>
        <a:off x="141120" y="9991800"/>
        <a:ext cx="97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37</xdr:row>
      <xdr:rowOff>0</xdr:rowOff>
    </xdr:from>
    <xdr:to>
      <xdr:col>17</xdr:col>
      <xdr:colOff>356760</xdr:colOff>
      <xdr:row>49</xdr:row>
      <xdr:rowOff>34560</xdr:rowOff>
    </xdr:to>
    <xdr:graphicFrame>
      <xdr:nvGraphicFramePr>
        <xdr:cNvPr id="1" name="Chart 1"/>
        <xdr:cNvGraphicFramePr/>
      </xdr:nvGraphicFramePr>
      <xdr:xfrm>
        <a:off x="6310080" y="11125080"/>
        <a:ext cx="701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37</xdr:row>
      <xdr:rowOff>0</xdr:rowOff>
    </xdr:from>
    <xdr:to>
      <xdr:col>17</xdr:col>
      <xdr:colOff>356760</xdr:colOff>
      <xdr:row>49</xdr:row>
      <xdr:rowOff>34920</xdr:rowOff>
    </xdr:to>
    <xdr:graphicFrame>
      <xdr:nvGraphicFramePr>
        <xdr:cNvPr id="2" name="Chart 1"/>
        <xdr:cNvGraphicFramePr/>
      </xdr:nvGraphicFramePr>
      <xdr:xfrm>
        <a:off x="6310080" y="11363400"/>
        <a:ext cx="701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6" customFormat="false" ht="21.75" hidden="false" customHeight="true" outlineLevel="0" collapsed="false">
      <c r="B16" s="3" t="s">
        <v>20</v>
      </c>
      <c r="C16" s="3"/>
    </row>
    <row r="17" customFormat="false" ht="31.5" hidden="false" customHeight="true" outlineLevel="0" collapsed="false">
      <c r="B17" s="4" t="s">
        <v>21</v>
      </c>
      <c r="C17" s="7" t="s">
        <v>22</v>
      </c>
    </row>
    <row r="18" customFormat="false" ht="19.5" hidden="false" customHeight="true" outlineLevel="0" collapsed="false">
      <c r="B18" s="4" t="s">
        <v>23</v>
      </c>
      <c r="C18" s="7" t="s">
        <v>24</v>
      </c>
    </row>
    <row r="19" customFormat="false" ht="19.5" hidden="false" customHeight="true" outlineLevel="0" collapsed="false">
      <c r="B19" s="4" t="s">
        <v>25</v>
      </c>
      <c r="C19" s="7" t="s">
        <v>26</v>
      </c>
    </row>
    <row r="20" customFormat="false" ht="19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5" customFormat="false" ht="21.75" hidden="false" customHeight="true" outlineLevel="0" collapsed="false">
      <c r="B25" s="3" t="s">
        <v>35</v>
      </c>
      <c r="C25" s="3"/>
    </row>
    <row r="26" customFormat="false" ht="19.5" hidden="false" customHeight="true" outlineLevel="0" collapsed="false">
      <c r="B26" s="4" t="s">
        <v>36</v>
      </c>
      <c r="C26" s="7" t="s">
        <v>37</v>
      </c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4" customFormat="false" ht="21.75" hidden="false" customHeight="true" outlineLevel="0" collapsed="false">
      <c r="B34" s="3" t="s">
        <v>50</v>
      </c>
      <c r="C34" s="3"/>
    </row>
    <row r="35" customFormat="false" ht="19.5" hidden="false" customHeight="true" outlineLevel="0" collapsed="false">
      <c r="B35" s="4" t="s">
        <v>51</v>
      </c>
      <c r="C35" s="7" t="s">
        <v>52</v>
      </c>
    </row>
    <row r="36" customFormat="false" ht="31.5" hidden="false" customHeight="true" outlineLevel="0" collapsed="false">
      <c r="B36" s="4" t="s">
        <v>53</v>
      </c>
      <c r="C36" s="7" t="s">
        <v>54</v>
      </c>
    </row>
    <row r="37" customFormat="false" ht="31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19.5" hidden="false" customHeight="true" outlineLevel="0" collapsed="false">
      <c r="B40" s="4" t="s">
        <v>61</v>
      </c>
      <c r="C40" s="7" t="s">
        <v>62</v>
      </c>
    </row>
  </sheetData>
  <mergeCells count="7">
    <mergeCell ref="B1:C1"/>
    <mergeCell ref="B2:C2"/>
    <mergeCell ref="B4:C4"/>
    <mergeCell ref="B11:C11"/>
    <mergeCell ref="B16:C16"/>
    <mergeCell ref="B25:C25"/>
    <mergeCell ref="B34:C3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N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30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30"/>
    <col collapsed="false" customWidth="true" hidden="false" outlineLevel="0" max="12" min="12" style="0" width="13"/>
    <col collapsed="false" customWidth="true" hidden="false" outlineLevel="0" max="13" min="13" style="0" width="20"/>
    <col collapsed="false" customWidth="true" hidden="false" outlineLevel="0" max="14" min="14" style="0" width="28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4" hidden="false" customHeight="true" outlineLevel="0" collapsed="false">
      <c r="B4" s="4" t="s">
        <v>65</v>
      </c>
      <c r="C4" s="4"/>
      <c r="D4" s="5"/>
      <c r="E4" s="5"/>
      <c r="F4" s="5"/>
      <c r="G4" s="4" t="s">
        <v>66</v>
      </c>
      <c r="H4" s="4"/>
      <c r="I4" s="4"/>
      <c r="J4" s="4"/>
      <c r="K4" s="5"/>
      <c r="L4" s="5"/>
      <c r="M4" s="5"/>
      <c r="N4" s="5"/>
    </row>
    <row r="5" customFormat="false" ht="24" hidden="false" customHeight="true" outlineLevel="0" collapsed="false">
      <c r="B5" s="4" t="s">
        <v>67</v>
      </c>
      <c r="C5" s="4"/>
      <c r="D5" s="5"/>
      <c r="E5" s="5"/>
      <c r="F5" s="5"/>
      <c r="G5" s="4" t="s">
        <v>68</v>
      </c>
      <c r="H5" s="4"/>
      <c r="I5" s="4"/>
      <c r="J5" s="4"/>
      <c r="K5" s="14"/>
      <c r="L5" s="14"/>
      <c r="M5" s="14"/>
      <c r="N5" s="14"/>
    </row>
    <row r="7" customFormat="false" ht="30" hidden="false" customHeight="true" outlineLevel="0" collapsed="false">
      <c r="B7" s="15" t="s">
        <v>69</v>
      </c>
      <c r="C7" s="15" t="s">
        <v>70</v>
      </c>
      <c r="D7" s="15" t="s">
        <v>71</v>
      </c>
      <c r="E7" s="15" t="s">
        <v>72</v>
      </c>
      <c r="F7" s="15" t="s">
        <v>73</v>
      </c>
      <c r="G7" s="15" t="s">
        <v>74</v>
      </c>
      <c r="H7" s="15" t="s">
        <v>75</v>
      </c>
      <c r="I7" s="15" t="s">
        <v>76</v>
      </c>
      <c r="J7" s="15" t="s">
        <v>53</v>
      </c>
      <c r="K7" s="15" t="s">
        <v>77</v>
      </c>
      <c r="L7" s="15" t="s">
        <v>78</v>
      </c>
      <c r="M7" s="15" t="s">
        <v>79</v>
      </c>
      <c r="N7" s="15" t="s">
        <v>80</v>
      </c>
    </row>
    <row r="8" customFormat="false" ht="30" hidden="false" customHeight="true" outlineLevel="0" collapsed="false">
      <c r="B8" s="16"/>
      <c r="C8" s="16" t="s">
        <v>81</v>
      </c>
      <c r="D8" s="16" t="s">
        <v>82</v>
      </c>
      <c r="E8" s="16" t="s">
        <v>83</v>
      </c>
      <c r="F8" s="16" t="s">
        <v>84</v>
      </c>
      <c r="G8" s="16" t="s">
        <v>85</v>
      </c>
      <c r="H8" s="16" t="s">
        <v>86</v>
      </c>
      <c r="I8" s="16" t="s">
        <v>87</v>
      </c>
      <c r="J8" s="16" t="s">
        <v>87</v>
      </c>
      <c r="K8" s="16" t="s">
        <v>88</v>
      </c>
      <c r="L8" s="16" t="s">
        <v>86</v>
      </c>
      <c r="M8" s="16" t="s">
        <v>89</v>
      </c>
      <c r="N8" s="16" t="s">
        <v>90</v>
      </c>
    </row>
    <row r="9" customFormat="false" ht="36" hidden="false" customHeight="true" outlineLevel="0" collapsed="false">
      <c r="B9" s="16" t="s">
        <v>91</v>
      </c>
      <c r="C9" s="17" t="s">
        <v>92</v>
      </c>
      <c r="D9" s="17" t="s">
        <v>93</v>
      </c>
      <c r="E9" s="17" t="s">
        <v>94</v>
      </c>
      <c r="F9" s="17" t="s">
        <v>95</v>
      </c>
      <c r="G9" s="16" t="s">
        <v>96</v>
      </c>
      <c r="H9" s="16" t="s">
        <v>97</v>
      </c>
      <c r="I9" s="16" t="n">
        <v>5</v>
      </c>
      <c r="J9" s="16" t="n">
        <v>6</v>
      </c>
      <c r="K9" s="17" t="s">
        <v>98</v>
      </c>
      <c r="L9" s="16" t="s">
        <v>99</v>
      </c>
      <c r="M9" s="17" t="s">
        <v>100</v>
      </c>
      <c r="N9" s="16" t="s">
        <v>101</v>
      </c>
    </row>
    <row r="10" customFormat="false" ht="39" hidden="false" customHeight="true" outlineLevel="0" collapsed="false">
      <c r="B10" s="18" t="n">
        <v>1</v>
      </c>
      <c r="C10" s="5"/>
      <c r="D10" s="5"/>
      <c r="E10" s="5"/>
      <c r="F10" s="5"/>
      <c r="G10" s="19"/>
      <c r="H10" s="19"/>
      <c r="I10" s="19"/>
      <c r="J10" s="19"/>
      <c r="K10" s="5"/>
      <c r="L10" s="19"/>
      <c r="M10" s="5"/>
      <c r="N10" s="20" t="str">
        <f aca="false">IF(C10="","",IF(D10="","Falta o objetivo",IF(F10="","Falta a fórmula",IF(OR(G10="",H10=""),"Falta a unidade ou o sentido",IF(I10="","Falta a meta",IF(J10="","Falta o limite de atenção",IF(OR(AND(H10="Maior é melhor",J10&gt;=I10),AND(H10="Menor é melhor",J10&lt;=I10)),"Limite incoerente com a meta",IF(OR(K10="",L10="",M10=""),"Falta fonte, frequência ou responsável","Completa"))))))))</f>
        <v/>
      </c>
    </row>
    <row r="11" customFormat="false" ht="39" hidden="false" customHeight="true" outlineLevel="0" collapsed="false">
      <c r="B11" s="18" t="n">
        <v>2</v>
      </c>
      <c r="C11" s="5"/>
      <c r="D11" s="5"/>
      <c r="E11" s="5"/>
      <c r="F11" s="5"/>
      <c r="G11" s="19"/>
      <c r="H11" s="19"/>
      <c r="I11" s="19"/>
      <c r="J11" s="19"/>
      <c r="K11" s="5"/>
      <c r="L11" s="19"/>
      <c r="M11" s="5"/>
      <c r="N11" s="20" t="str">
        <f aca="false">IF(C11="","",IF(D11="","Falta o objetivo",IF(F11="","Falta a fórmula",IF(OR(G11="",H11=""),"Falta a unidade ou o sentido",IF(I11="","Falta a meta",IF(J11="","Falta o limite de atenção",IF(OR(AND(H11="Maior é melhor",J11&gt;=I11),AND(H11="Menor é melhor",J11&lt;=I11)),"Limite incoerente com a meta",IF(OR(K11="",L11="",M11=""),"Falta fonte, frequência ou responsável","Completa"))))))))</f>
        <v/>
      </c>
    </row>
    <row r="12" customFormat="false" ht="39" hidden="false" customHeight="true" outlineLevel="0" collapsed="false">
      <c r="B12" s="18" t="n">
        <v>3</v>
      </c>
      <c r="C12" s="5"/>
      <c r="D12" s="5"/>
      <c r="E12" s="5"/>
      <c r="F12" s="5"/>
      <c r="G12" s="19"/>
      <c r="H12" s="19"/>
      <c r="I12" s="19"/>
      <c r="J12" s="19"/>
      <c r="K12" s="5"/>
      <c r="L12" s="19"/>
      <c r="M12" s="5"/>
      <c r="N12" s="20" t="str">
        <f aca="false">IF(C12="","",IF(D12="","Falta o objetivo",IF(F12="","Falta a fórmula",IF(OR(G12="",H12=""),"Falta a unidade ou o sentido",IF(I12="","Falta a meta",IF(J12="","Falta o limite de atenção",IF(OR(AND(H12="Maior é melhor",J12&gt;=I12),AND(H12="Menor é melhor",J12&lt;=I12)),"Limite incoerente com a meta",IF(OR(K12="",L12="",M12=""),"Falta fonte, frequência ou responsável","Completa"))))))))</f>
        <v/>
      </c>
    </row>
    <row r="13" customFormat="false" ht="39" hidden="false" customHeight="true" outlineLevel="0" collapsed="false">
      <c r="B13" s="18" t="n">
        <v>4</v>
      </c>
      <c r="C13" s="5"/>
      <c r="D13" s="5"/>
      <c r="E13" s="5"/>
      <c r="F13" s="5"/>
      <c r="G13" s="19"/>
      <c r="H13" s="19"/>
      <c r="I13" s="19"/>
      <c r="J13" s="19"/>
      <c r="K13" s="5"/>
      <c r="L13" s="19"/>
      <c r="M13" s="5"/>
      <c r="N13" s="20" t="str">
        <f aca="false">IF(C13="","",IF(D13="","Falta o objetivo",IF(F13="","Falta a fórmula",IF(OR(G13="",H13=""),"Falta a unidade ou o sentido",IF(I13="","Falta a meta",IF(J13="","Falta o limite de atenção",IF(OR(AND(H13="Maior é melhor",J13&gt;=I13),AND(H13="Menor é melhor",J13&lt;=I13)),"Limite incoerente com a meta",IF(OR(K13="",L13="",M13=""),"Falta fonte, frequência ou responsável","Completa"))))))))</f>
        <v/>
      </c>
    </row>
    <row r="14" customFormat="false" ht="39" hidden="false" customHeight="true" outlineLevel="0" collapsed="false">
      <c r="B14" s="18" t="n">
        <v>5</v>
      </c>
      <c r="C14" s="5"/>
      <c r="D14" s="5"/>
      <c r="E14" s="5"/>
      <c r="F14" s="5"/>
      <c r="G14" s="19"/>
      <c r="H14" s="19"/>
      <c r="I14" s="19"/>
      <c r="J14" s="19"/>
      <c r="K14" s="5"/>
      <c r="L14" s="19"/>
      <c r="M14" s="5"/>
      <c r="N14" s="20" t="str">
        <f aca="false">IF(C14="","",IF(D14="","Falta o objetivo",IF(F14="","Falta a fórmula",IF(OR(G14="",H14=""),"Falta a unidade ou o sentido",IF(I14="","Falta a meta",IF(J14="","Falta o limite de atenção",IF(OR(AND(H14="Maior é melhor",J14&gt;=I14),AND(H14="Menor é melhor",J14&lt;=I14)),"Limite incoerente com a meta",IF(OR(K14="",L14="",M14=""),"Falta fonte, frequência ou responsável","Completa"))))))))</f>
        <v/>
      </c>
    </row>
    <row r="15" customFormat="false" ht="39" hidden="false" customHeight="true" outlineLevel="0" collapsed="false">
      <c r="B15" s="18" t="n">
        <v>6</v>
      </c>
      <c r="C15" s="5"/>
      <c r="D15" s="5"/>
      <c r="E15" s="5"/>
      <c r="F15" s="5"/>
      <c r="G15" s="19"/>
      <c r="H15" s="19"/>
      <c r="I15" s="19"/>
      <c r="J15" s="19"/>
      <c r="K15" s="5"/>
      <c r="L15" s="19"/>
      <c r="M15" s="5"/>
      <c r="N15" s="20" t="str">
        <f aca="false">IF(C15="","",IF(D15="","Falta o objetivo",IF(F15="","Falta a fórmula",IF(OR(G15="",H15=""),"Falta a unidade ou o sentido",IF(I15="","Falta a meta",IF(J15="","Falta o limite de atenção",IF(OR(AND(H15="Maior é melhor",J15&gt;=I15),AND(H15="Menor é melhor",J15&lt;=I15)),"Limite incoerente com a meta",IF(OR(K15="",L15="",M15=""),"Falta fonte, frequência ou responsável","Completa"))))))))</f>
        <v/>
      </c>
    </row>
    <row r="16" customFormat="false" ht="39" hidden="false" customHeight="true" outlineLevel="0" collapsed="false">
      <c r="B16" s="18" t="n">
        <v>7</v>
      </c>
      <c r="C16" s="5"/>
      <c r="D16" s="5"/>
      <c r="E16" s="5"/>
      <c r="F16" s="5"/>
      <c r="G16" s="19"/>
      <c r="H16" s="19"/>
      <c r="I16" s="19"/>
      <c r="J16" s="19"/>
      <c r="K16" s="5"/>
      <c r="L16" s="19"/>
      <c r="M16" s="5"/>
      <c r="N16" s="20" t="str">
        <f aca="false">IF(C16="","",IF(D16="","Falta o objetivo",IF(F16="","Falta a fórmula",IF(OR(G16="",H16=""),"Falta a unidade ou o sentido",IF(I16="","Falta a meta",IF(J16="","Falta o limite de atenção",IF(OR(AND(H16="Maior é melhor",J16&gt;=I16),AND(H16="Menor é melhor",J16&lt;=I16)),"Limite incoerente com a meta",IF(OR(K16="",L16="",M16=""),"Falta fonte, frequência ou responsável","Completa"))))))))</f>
        <v/>
      </c>
    </row>
    <row r="17" customFormat="false" ht="39" hidden="false" customHeight="true" outlineLevel="0" collapsed="false">
      <c r="B17" s="18" t="n">
        <v>8</v>
      </c>
      <c r="C17" s="5"/>
      <c r="D17" s="5"/>
      <c r="E17" s="5"/>
      <c r="F17" s="5"/>
      <c r="G17" s="19"/>
      <c r="H17" s="19"/>
      <c r="I17" s="19"/>
      <c r="J17" s="19"/>
      <c r="K17" s="5"/>
      <c r="L17" s="19"/>
      <c r="M17" s="5"/>
      <c r="N17" s="20" t="str">
        <f aca="false">IF(C17="","",IF(D17="","Falta o objetivo",IF(F17="","Falta a fórmula",IF(OR(G17="",H17=""),"Falta a unidade ou o sentido",IF(I17="","Falta a meta",IF(J17="","Falta o limite de atenção",IF(OR(AND(H17="Maior é melhor",J17&gt;=I17),AND(H17="Menor é melhor",J17&lt;=I17)),"Limite incoerente com a meta",IF(OR(K17="",L17="",M17=""),"Falta fonte, frequência ou responsável","Completa"))))))))</f>
        <v/>
      </c>
    </row>
    <row r="18" customFormat="false" ht="39" hidden="false" customHeight="true" outlineLevel="0" collapsed="false">
      <c r="B18" s="18" t="n">
        <v>9</v>
      </c>
      <c r="C18" s="5"/>
      <c r="D18" s="5"/>
      <c r="E18" s="5"/>
      <c r="F18" s="5"/>
      <c r="G18" s="19"/>
      <c r="H18" s="19"/>
      <c r="I18" s="19"/>
      <c r="J18" s="19"/>
      <c r="K18" s="5"/>
      <c r="L18" s="19"/>
      <c r="M18" s="5"/>
      <c r="N18" s="20" t="str">
        <f aca="false">IF(C18="","",IF(D18="","Falta o objetivo",IF(F18="","Falta a fórmula",IF(OR(G18="",H18=""),"Falta a unidade ou o sentido",IF(I18="","Falta a meta",IF(J18="","Falta o limite de atenção",IF(OR(AND(H18="Maior é melhor",J18&gt;=I18),AND(H18="Menor é melhor",J18&lt;=I18)),"Limite incoerente com a meta",IF(OR(K18="",L18="",M18=""),"Falta fonte, frequência ou responsável","Completa"))))))))</f>
        <v/>
      </c>
    </row>
    <row r="19" customFormat="false" ht="39" hidden="false" customHeight="true" outlineLevel="0" collapsed="false">
      <c r="B19" s="18" t="n">
        <v>10</v>
      </c>
      <c r="C19" s="5"/>
      <c r="D19" s="5"/>
      <c r="E19" s="5"/>
      <c r="F19" s="5"/>
      <c r="G19" s="19"/>
      <c r="H19" s="19"/>
      <c r="I19" s="19"/>
      <c r="J19" s="19"/>
      <c r="K19" s="5"/>
      <c r="L19" s="19"/>
      <c r="M19" s="5"/>
      <c r="N19" s="20" t="str">
        <f aca="false">IF(C19="","",IF(D19="","Falta o objetivo",IF(F19="","Falta a fórmula",IF(OR(G19="",H19=""),"Falta a unidade ou o sentido",IF(I19="","Falta a meta",IF(J19="","Falta o limite de atenção",IF(OR(AND(H19="Maior é melhor",J19&gt;=I19),AND(H19="Menor é melhor",J19&lt;=I19)),"Limite incoerente com a meta",IF(OR(K19="",L19="",M19=""),"Falta fonte, frequência ou responsável","Completa"))))))))</f>
        <v/>
      </c>
    </row>
    <row r="20" customFormat="false" ht="39" hidden="false" customHeight="true" outlineLevel="0" collapsed="false">
      <c r="B20" s="18" t="n">
        <v>11</v>
      </c>
      <c r="C20" s="5"/>
      <c r="D20" s="5"/>
      <c r="E20" s="5"/>
      <c r="F20" s="5"/>
      <c r="G20" s="19"/>
      <c r="H20" s="19"/>
      <c r="I20" s="19"/>
      <c r="J20" s="19"/>
      <c r="K20" s="5"/>
      <c r="L20" s="19"/>
      <c r="M20" s="5"/>
      <c r="N20" s="20" t="str">
        <f aca="false">IF(C20="","",IF(D20="","Falta o objetivo",IF(F20="","Falta a fórmula",IF(OR(G20="",H20=""),"Falta a unidade ou o sentido",IF(I20="","Falta a meta",IF(J20="","Falta o limite de atenção",IF(OR(AND(H20="Maior é melhor",J20&gt;=I20),AND(H20="Menor é melhor",J20&lt;=I20)),"Limite incoerente com a meta",IF(OR(K20="",L20="",M20=""),"Falta fonte, frequência ou responsável","Completa"))))))))</f>
        <v/>
      </c>
    </row>
    <row r="21" customFormat="false" ht="39" hidden="false" customHeight="true" outlineLevel="0" collapsed="false">
      <c r="B21" s="18" t="n">
        <v>12</v>
      </c>
      <c r="C21" s="5"/>
      <c r="D21" s="5"/>
      <c r="E21" s="5"/>
      <c r="F21" s="5"/>
      <c r="G21" s="19"/>
      <c r="H21" s="19"/>
      <c r="I21" s="19"/>
      <c r="J21" s="19"/>
      <c r="K21" s="5"/>
      <c r="L21" s="19"/>
      <c r="M21" s="5"/>
      <c r="N21" s="20" t="str">
        <f aca="false">IF(C21="","",IF(D21="","Falta o objetivo",IF(F21="","Falta a fórmula",IF(OR(G21="",H21=""),"Falta a unidade ou o sentido",IF(I21="","Falta a meta",IF(J21="","Falta o limite de atenção",IF(OR(AND(H21="Maior é melhor",J21&gt;=I21),AND(H21="Menor é melhor",J21&lt;=I21)),"Limite incoerente com a meta",IF(OR(K21="",L21="",M21=""),"Falta fonte, frequência ou responsável","Completa"))))))))</f>
        <v/>
      </c>
    </row>
    <row r="23" customFormat="false" ht="21.75" hidden="false" customHeight="true" outlineLevel="0" collapsed="false">
      <c r="B23" s="21" t="s">
        <v>102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customFormat="false" ht="21.75" hidden="false" customHeight="true" outlineLevel="0" collapsed="false">
      <c r="B24" s="22" t="s">
        <v>103</v>
      </c>
      <c r="C24" s="22"/>
      <c r="D24" s="22"/>
      <c r="E24" s="23" t="n">
        <f aca="false">COUNTA(C10:C21)</f>
        <v>0</v>
      </c>
      <c r="F24" s="23"/>
    </row>
    <row r="25" customFormat="false" ht="21.75" hidden="false" customHeight="true" outlineLevel="0" collapsed="false">
      <c r="B25" s="22" t="s">
        <v>104</v>
      </c>
      <c r="C25" s="22"/>
      <c r="D25" s="22"/>
      <c r="E25" s="23" t="n">
        <f aca="false">COUNTIF(N10:N21,"Completa")</f>
        <v>0</v>
      </c>
      <c r="F25" s="23"/>
    </row>
    <row r="26" customFormat="false" ht="21.75" hidden="false" customHeight="true" outlineLevel="0" collapsed="false">
      <c r="B26" s="22" t="s">
        <v>105</v>
      </c>
      <c r="C26" s="22"/>
      <c r="D26" s="22"/>
      <c r="E26" s="20" t="str">
        <f aca="false">IF(E24=0,"Cadastre os indicadores",IF(E25&lt;E24,"Há ficha incompleta: veja a coluna Conferência",IF(E24&gt;8,"São muitos indicadores: confira se todos levam a decisões","OK")))</f>
        <v>Cadastre os indicadores</v>
      </c>
      <c r="F26" s="20"/>
    </row>
  </sheetData>
  <mergeCells count="17">
    <mergeCell ref="B1:N1"/>
    <mergeCell ref="B2:N2"/>
    <mergeCell ref="B4:C4"/>
    <mergeCell ref="D4:F4"/>
    <mergeCell ref="G4:J4"/>
    <mergeCell ref="K4:N4"/>
    <mergeCell ref="B5:C5"/>
    <mergeCell ref="D5:F5"/>
    <mergeCell ref="G5:J5"/>
    <mergeCell ref="K5:N5"/>
    <mergeCell ref="B23:N23"/>
    <mergeCell ref="B24:D24"/>
    <mergeCell ref="E24:F24"/>
    <mergeCell ref="B25:D25"/>
    <mergeCell ref="E25:F25"/>
    <mergeCell ref="B26:D26"/>
    <mergeCell ref="E26:F26"/>
  </mergeCells>
  <conditionalFormatting sqref="N10:N21">
    <cfRule type="expression" priority="2" aboveAverage="0" equalAverage="0" bottom="0" percent="0" rank="0" text="" dxfId="0">
      <formula>OR(N10="Completa")</formula>
    </cfRule>
    <cfRule type="expression" priority="3" aboveAverage="0" equalAverage="0" bottom="0" percent="0" rank="0" text="" dxfId="1">
      <formula>AND(LEN(N10)&gt;0,NOT(OR(N10="Completa")))</formula>
    </cfRule>
  </conditionalFormatting>
  <conditionalFormatting sqref="E26:F26">
    <cfRule type="expression" priority="4" aboveAverage="0" equalAverage="0" bottom="0" percent="0" rank="0" text="" dxfId="0">
      <formula>OR(E26="OK")</formula>
    </cfRule>
    <cfRule type="expression" priority="5" aboveAverage="0" equalAverage="0" bottom="0" percent="0" rank="0" text="" dxfId="1">
      <formula>AND(LEN(E26)&gt;0,NOT(OR(E26="OK")))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K5" type="date">
      <formula1>36526</formula1>
      <formula2>0</formula2>
    </dataValidation>
    <dataValidation allowBlank="true" error="Escolha uma das opções da lista." errorStyle="stop" errorTitle="Valor inválido" operator="between" prompt="Maior é melhor: entregas no prazo. Menor é melhor: reclamações, atrasos." promptTitle="Opções" showDropDown="false" showErrorMessage="true" showInputMessage="true" sqref="H10:H21" type="list">
      <formula1>"Maior é melhor,Menor é melhor"</formula1>
      <formula2>0</formula2>
    </dataValidation>
    <dataValidation allowBlank="true" error="Escolha uma das opções da lista." errorStyle="stop" errorTitle="Valor inválido" operator="between" prompt="Com que frequência o resultado é calculado" promptTitle="Opções" showDropDown="false" showErrorMessage="true" showInputMessage="true" sqref="L10:L21" type="list">
      <formula1>"Diária,Semanal,Mensal,Trimestral,Semestral,Anual"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10:J21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Q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16" min="5" style="0" width="10"/>
    <col collapsed="false" customWidth="true" hidden="false" outlineLevel="0" max="17" min="17" style="0" width="11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38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5" customFormat="false" ht="21.75" hidden="false" customHeight="true" outlineLevel="0" collapsed="false">
      <c r="B5" s="15" t="s">
        <v>69</v>
      </c>
      <c r="C5" s="15" t="s">
        <v>70</v>
      </c>
      <c r="D5" s="15" t="s">
        <v>74</v>
      </c>
      <c r="E5" s="15" t="s">
        <v>107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 t="s">
        <v>38</v>
      </c>
    </row>
    <row r="6" customFormat="false" ht="24" hidden="false" customHeight="true" outlineLevel="0" collapsed="false">
      <c r="B6" s="16"/>
      <c r="C6" s="16" t="s">
        <v>108</v>
      </c>
      <c r="D6" s="16" t="s">
        <v>108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6" t="s">
        <v>109</v>
      </c>
    </row>
    <row r="7" customFormat="false" ht="27" hidden="false" customHeight="true" outlineLevel="0" collapsed="false">
      <c r="B7" s="18" t="n">
        <v>1</v>
      </c>
      <c r="C7" s="6" t="str">
        <f aca="false">IF(Fichas!C10="","",Fichas!C10)</f>
        <v/>
      </c>
      <c r="D7" s="20" t="str">
        <f aca="false">IF(Fichas!G10="","",Fichas!G10)</f>
        <v/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4" t="n">
        <f aca="false">COUNT(E7:P7)</f>
        <v>0</v>
      </c>
    </row>
    <row r="8" customFormat="false" ht="27" hidden="false" customHeight="true" outlineLevel="0" collapsed="false">
      <c r="B8" s="18" t="n">
        <v>2</v>
      </c>
      <c r="C8" s="6" t="str">
        <f aca="false">IF(Fichas!C11="","",Fichas!C11)</f>
        <v/>
      </c>
      <c r="D8" s="20" t="str">
        <f aca="false">IF(Fichas!G11="","",Fichas!G11)</f>
        <v/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4" t="n">
        <f aca="false">COUNT(E8:P8)</f>
        <v>0</v>
      </c>
    </row>
    <row r="9" customFormat="false" ht="27" hidden="false" customHeight="true" outlineLevel="0" collapsed="false">
      <c r="B9" s="18" t="n">
        <v>3</v>
      </c>
      <c r="C9" s="6" t="str">
        <f aca="false">IF(Fichas!C12="","",Fichas!C12)</f>
        <v/>
      </c>
      <c r="D9" s="20" t="str">
        <f aca="false">IF(Fichas!G12="","",Fichas!G12)</f>
        <v/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24" t="n">
        <f aca="false">COUNT(E9:P9)</f>
        <v>0</v>
      </c>
    </row>
    <row r="10" customFormat="false" ht="27" hidden="false" customHeight="true" outlineLevel="0" collapsed="false">
      <c r="B10" s="18" t="n">
        <v>4</v>
      </c>
      <c r="C10" s="6" t="str">
        <f aca="false">IF(Fichas!C13="","",Fichas!C13)</f>
        <v/>
      </c>
      <c r="D10" s="20" t="str">
        <f aca="false">IF(Fichas!G13="","",Fichas!G13)</f>
        <v/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4" t="n">
        <f aca="false">COUNT(E10:P10)</f>
        <v>0</v>
      </c>
    </row>
    <row r="11" customFormat="false" ht="27" hidden="false" customHeight="true" outlineLevel="0" collapsed="false">
      <c r="B11" s="18" t="n">
        <v>5</v>
      </c>
      <c r="C11" s="6" t="str">
        <f aca="false">IF(Fichas!C14="","",Fichas!C14)</f>
        <v/>
      </c>
      <c r="D11" s="20" t="str">
        <f aca="false">IF(Fichas!G14="","",Fichas!G14)</f>
        <v/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4" t="n">
        <f aca="false">COUNT(E11:P11)</f>
        <v>0</v>
      </c>
    </row>
    <row r="12" customFormat="false" ht="27" hidden="false" customHeight="true" outlineLevel="0" collapsed="false">
      <c r="B12" s="18" t="n">
        <v>6</v>
      </c>
      <c r="C12" s="6" t="str">
        <f aca="false">IF(Fichas!C15="","",Fichas!C15)</f>
        <v/>
      </c>
      <c r="D12" s="20" t="str">
        <f aca="false">IF(Fichas!G15="","",Fichas!G15)</f>
        <v/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4" t="n">
        <f aca="false">COUNT(E12:P12)</f>
        <v>0</v>
      </c>
    </row>
    <row r="13" customFormat="false" ht="27" hidden="false" customHeight="true" outlineLevel="0" collapsed="false">
      <c r="B13" s="18" t="n">
        <v>7</v>
      </c>
      <c r="C13" s="6" t="str">
        <f aca="false">IF(Fichas!C16="","",Fichas!C16)</f>
        <v/>
      </c>
      <c r="D13" s="20" t="str">
        <f aca="false">IF(Fichas!G16="","",Fichas!G16)</f>
        <v/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4" t="n">
        <f aca="false">COUNT(E13:P13)</f>
        <v>0</v>
      </c>
    </row>
    <row r="14" customFormat="false" ht="27" hidden="false" customHeight="true" outlineLevel="0" collapsed="false">
      <c r="B14" s="18" t="n">
        <v>8</v>
      </c>
      <c r="C14" s="6" t="str">
        <f aca="false">IF(Fichas!C17="","",Fichas!C17)</f>
        <v/>
      </c>
      <c r="D14" s="20" t="str">
        <f aca="false">IF(Fichas!G17="","",Fichas!G17)</f>
        <v/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4" t="n">
        <f aca="false">COUNT(E14:P14)</f>
        <v>0</v>
      </c>
    </row>
    <row r="15" customFormat="false" ht="27" hidden="false" customHeight="true" outlineLevel="0" collapsed="false">
      <c r="B15" s="18" t="n">
        <v>9</v>
      </c>
      <c r="C15" s="6" t="str">
        <f aca="false">IF(Fichas!C18="","",Fichas!C18)</f>
        <v/>
      </c>
      <c r="D15" s="20" t="str">
        <f aca="false">IF(Fichas!G18="","",Fichas!G18)</f>
        <v/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4" t="n">
        <f aca="false">COUNT(E15:P15)</f>
        <v>0</v>
      </c>
    </row>
    <row r="16" customFormat="false" ht="27" hidden="false" customHeight="true" outlineLevel="0" collapsed="false">
      <c r="B16" s="18" t="n">
        <v>10</v>
      </c>
      <c r="C16" s="6" t="str">
        <f aca="false">IF(Fichas!C19="","",Fichas!C19)</f>
        <v/>
      </c>
      <c r="D16" s="20" t="str">
        <f aca="false">IF(Fichas!G19="","",Fichas!G19)</f>
        <v/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4" t="n">
        <f aca="false">COUNT(E16:P16)</f>
        <v>0</v>
      </c>
    </row>
    <row r="17" customFormat="false" ht="27" hidden="false" customHeight="true" outlineLevel="0" collapsed="false">
      <c r="B17" s="18" t="n">
        <v>11</v>
      </c>
      <c r="C17" s="6" t="str">
        <f aca="false">IF(Fichas!C20="","",Fichas!C20)</f>
        <v/>
      </c>
      <c r="D17" s="20" t="str">
        <f aca="false">IF(Fichas!G20="","",Fichas!G20)</f>
        <v/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4" t="n">
        <f aca="false">COUNT(E17:P17)</f>
        <v>0</v>
      </c>
    </row>
    <row r="18" customFormat="false" ht="27" hidden="false" customHeight="true" outlineLevel="0" collapsed="false">
      <c r="B18" s="18" t="n">
        <v>12</v>
      </c>
      <c r="C18" s="6" t="str">
        <f aca="false">IF(Fichas!C21="","",Fichas!C21)</f>
        <v/>
      </c>
      <c r="D18" s="20" t="str">
        <f aca="false">IF(Fichas!G21="","",Fichas!G21)</f>
        <v/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4" t="n">
        <f aca="false">COUNT(E18:P18)</f>
        <v>0</v>
      </c>
    </row>
    <row r="20" customFormat="false" ht="21.75" hidden="false" customHeight="true" outlineLevel="0" collapsed="false">
      <c r="B20" s="21" t="s">
        <v>110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customFormat="false" ht="15" hidden="false" customHeight="true" outlineLevel="0" collapsed="false">
      <c r="B21" s="25" t="s">
        <v>111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customFormat="false" ht="19.5" hidden="false" customHeight="true" outlineLevel="0" collapsed="false">
      <c r="B22" s="18" t="n">
        <v>1</v>
      </c>
      <c r="C22" s="6" t="str">
        <f aca="false">IF(Fichas!C10="","",Fichas!C10)</f>
        <v/>
      </c>
      <c r="D22" s="6"/>
      <c r="E22" s="26" t="str">
        <f aca="false">IF(OR(E7="",Fichas!$I10="",Fichas!$H10=""),"",IF(IF(Fichas!$H10="Maior é melhor",E7&gt;=Fichas!$I10,E7&lt;=Fichas!$I10),0,1))</f>
        <v/>
      </c>
      <c r="F22" s="26" t="str">
        <f aca="false">IF(OR(F7="",Fichas!$I10="",Fichas!$H10=""),"",IF(IF(Fichas!$H10="Maior é melhor",F7&gt;=Fichas!$I10,F7&lt;=Fichas!$I10),0,N(E22)+1))</f>
        <v/>
      </c>
      <c r="G22" s="26" t="str">
        <f aca="false">IF(OR(G7="",Fichas!$I10="",Fichas!$H10=""),"",IF(IF(Fichas!$H10="Maior é melhor",G7&gt;=Fichas!$I10,G7&lt;=Fichas!$I10),0,N(F22)+1))</f>
        <v/>
      </c>
      <c r="H22" s="26" t="str">
        <f aca="false">IF(OR(H7="",Fichas!$I10="",Fichas!$H10=""),"",IF(IF(Fichas!$H10="Maior é melhor",H7&gt;=Fichas!$I10,H7&lt;=Fichas!$I10),0,N(G22)+1))</f>
        <v/>
      </c>
      <c r="I22" s="26" t="str">
        <f aca="false">IF(OR(I7="",Fichas!$I10="",Fichas!$H10=""),"",IF(IF(Fichas!$H10="Maior é melhor",I7&gt;=Fichas!$I10,I7&lt;=Fichas!$I10),0,N(H22)+1))</f>
        <v/>
      </c>
      <c r="J22" s="26" t="str">
        <f aca="false">IF(OR(J7="",Fichas!$I10="",Fichas!$H10=""),"",IF(IF(Fichas!$H10="Maior é melhor",J7&gt;=Fichas!$I10,J7&lt;=Fichas!$I10),0,N(I22)+1))</f>
        <v/>
      </c>
      <c r="K22" s="26" t="str">
        <f aca="false">IF(OR(K7="",Fichas!$I10="",Fichas!$H10=""),"",IF(IF(Fichas!$H10="Maior é melhor",K7&gt;=Fichas!$I10,K7&lt;=Fichas!$I10),0,N(J22)+1))</f>
        <v/>
      </c>
      <c r="L22" s="26" t="str">
        <f aca="false">IF(OR(L7="",Fichas!$I10="",Fichas!$H10=""),"",IF(IF(Fichas!$H10="Maior é melhor",L7&gt;=Fichas!$I10,L7&lt;=Fichas!$I10),0,N(K22)+1))</f>
        <v/>
      </c>
      <c r="M22" s="26" t="str">
        <f aca="false">IF(OR(M7="",Fichas!$I10="",Fichas!$H10=""),"",IF(IF(Fichas!$H10="Maior é melhor",M7&gt;=Fichas!$I10,M7&lt;=Fichas!$I10),0,N(L22)+1))</f>
        <v/>
      </c>
      <c r="N22" s="26" t="str">
        <f aca="false">IF(OR(N7="",Fichas!$I10="",Fichas!$H10=""),"",IF(IF(Fichas!$H10="Maior é melhor",N7&gt;=Fichas!$I10,N7&lt;=Fichas!$I10),0,N(M22)+1))</f>
        <v/>
      </c>
      <c r="O22" s="26" t="str">
        <f aca="false">IF(OR(O7="",Fichas!$I10="",Fichas!$H10=""),"",IF(IF(Fichas!$H10="Maior é melhor",O7&gt;=Fichas!$I10,O7&lt;=Fichas!$I10),0,N(N22)+1))</f>
        <v/>
      </c>
      <c r="P22" s="26" t="str">
        <f aca="false">IF(OR(P7="",Fichas!$I10="",Fichas!$H10=""),"",IF(IF(Fichas!$H10="Maior é melhor",P7&gt;=Fichas!$I10,P7&lt;=Fichas!$I10),0,N(O22)+1))</f>
        <v/>
      </c>
      <c r="Q22" s="27" t="str">
        <f aca="false">IF(Q7=0,"",N(INDEX(E22:P22,Q7)))</f>
        <v/>
      </c>
    </row>
    <row r="23" customFormat="false" ht="19.5" hidden="false" customHeight="true" outlineLevel="0" collapsed="false">
      <c r="B23" s="18" t="n">
        <v>2</v>
      </c>
      <c r="C23" s="6" t="str">
        <f aca="false">IF(Fichas!C11="","",Fichas!C11)</f>
        <v/>
      </c>
      <c r="D23" s="6"/>
      <c r="E23" s="26" t="str">
        <f aca="false">IF(OR(E8="",Fichas!$I11="",Fichas!$H11=""),"",IF(IF(Fichas!$H11="Maior é melhor",E8&gt;=Fichas!$I11,E8&lt;=Fichas!$I11),0,1))</f>
        <v/>
      </c>
      <c r="F23" s="26" t="str">
        <f aca="false">IF(OR(F8="",Fichas!$I11="",Fichas!$H11=""),"",IF(IF(Fichas!$H11="Maior é melhor",F8&gt;=Fichas!$I11,F8&lt;=Fichas!$I11),0,N(E23)+1))</f>
        <v/>
      </c>
      <c r="G23" s="26" t="str">
        <f aca="false">IF(OR(G8="",Fichas!$I11="",Fichas!$H11=""),"",IF(IF(Fichas!$H11="Maior é melhor",G8&gt;=Fichas!$I11,G8&lt;=Fichas!$I11),0,N(F23)+1))</f>
        <v/>
      </c>
      <c r="H23" s="26" t="str">
        <f aca="false">IF(OR(H8="",Fichas!$I11="",Fichas!$H11=""),"",IF(IF(Fichas!$H11="Maior é melhor",H8&gt;=Fichas!$I11,H8&lt;=Fichas!$I11),0,N(G23)+1))</f>
        <v/>
      </c>
      <c r="I23" s="26" t="str">
        <f aca="false">IF(OR(I8="",Fichas!$I11="",Fichas!$H11=""),"",IF(IF(Fichas!$H11="Maior é melhor",I8&gt;=Fichas!$I11,I8&lt;=Fichas!$I11),0,N(H23)+1))</f>
        <v/>
      </c>
      <c r="J23" s="26" t="str">
        <f aca="false">IF(OR(J8="",Fichas!$I11="",Fichas!$H11=""),"",IF(IF(Fichas!$H11="Maior é melhor",J8&gt;=Fichas!$I11,J8&lt;=Fichas!$I11),0,N(I23)+1))</f>
        <v/>
      </c>
      <c r="K23" s="26" t="str">
        <f aca="false">IF(OR(K8="",Fichas!$I11="",Fichas!$H11=""),"",IF(IF(Fichas!$H11="Maior é melhor",K8&gt;=Fichas!$I11,K8&lt;=Fichas!$I11),0,N(J23)+1))</f>
        <v/>
      </c>
      <c r="L23" s="26" t="str">
        <f aca="false">IF(OR(L8="",Fichas!$I11="",Fichas!$H11=""),"",IF(IF(Fichas!$H11="Maior é melhor",L8&gt;=Fichas!$I11,L8&lt;=Fichas!$I11),0,N(K23)+1))</f>
        <v/>
      </c>
      <c r="M23" s="26" t="str">
        <f aca="false">IF(OR(M8="",Fichas!$I11="",Fichas!$H11=""),"",IF(IF(Fichas!$H11="Maior é melhor",M8&gt;=Fichas!$I11,M8&lt;=Fichas!$I11),0,N(L23)+1))</f>
        <v/>
      </c>
      <c r="N23" s="26" t="str">
        <f aca="false">IF(OR(N8="",Fichas!$I11="",Fichas!$H11=""),"",IF(IF(Fichas!$H11="Maior é melhor",N8&gt;=Fichas!$I11,N8&lt;=Fichas!$I11),0,N(M23)+1))</f>
        <v/>
      </c>
      <c r="O23" s="26" t="str">
        <f aca="false">IF(OR(O8="",Fichas!$I11="",Fichas!$H11=""),"",IF(IF(Fichas!$H11="Maior é melhor",O8&gt;=Fichas!$I11,O8&lt;=Fichas!$I11),0,N(N23)+1))</f>
        <v/>
      </c>
      <c r="P23" s="26" t="str">
        <f aca="false">IF(OR(P8="",Fichas!$I11="",Fichas!$H11=""),"",IF(IF(Fichas!$H11="Maior é melhor",P8&gt;=Fichas!$I11,P8&lt;=Fichas!$I11),0,N(O23)+1))</f>
        <v/>
      </c>
      <c r="Q23" s="27" t="str">
        <f aca="false">IF(Q8=0,"",N(INDEX(E23:P23,Q8)))</f>
        <v/>
      </c>
    </row>
    <row r="24" customFormat="false" ht="19.5" hidden="false" customHeight="true" outlineLevel="0" collapsed="false">
      <c r="B24" s="18" t="n">
        <v>3</v>
      </c>
      <c r="C24" s="6" t="str">
        <f aca="false">IF(Fichas!C12="","",Fichas!C12)</f>
        <v/>
      </c>
      <c r="D24" s="6"/>
      <c r="E24" s="26" t="str">
        <f aca="false">IF(OR(E9="",Fichas!$I12="",Fichas!$H12=""),"",IF(IF(Fichas!$H12="Maior é melhor",E9&gt;=Fichas!$I12,E9&lt;=Fichas!$I12),0,1))</f>
        <v/>
      </c>
      <c r="F24" s="26" t="str">
        <f aca="false">IF(OR(F9="",Fichas!$I12="",Fichas!$H12=""),"",IF(IF(Fichas!$H12="Maior é melhor",F9&gt;=Fichas!$I12,F9&lt;=Fichas!$I12),0,N(E24)+1))</f>
        <v/>
      </c>
      <c r="G24" s="26" t="str">
        <f aca="false">IF(OR(G9="",Fichas!$I12="",Fichas!$H12=""),"",IF(IF(Fichas!$H12="Maior é melhor",G9&gt;=Fichas!$I12,G9&lt;=Fichas!$I12),0,N(F24)+1))</f>
        <v/>
      </c>
      <c r="H24" s="26" t="str">
        <f aca="false">IF(OR(H9="",Fichas!$I12="",Fichas!$H12=""),"",IF(IF(Fichas!$H12="Maior é melhor",H9&gt;=Fichas!$I12,H9&lt;=Fichas!$I12),0,N(G24)+1))</f>
        <v/>
      </c>
      <c r="I24" s="26" t="str">
        <f aca="false">IF(OR(I9="",Fichas!$I12="",Fichas!$H12=""),"",IF(IF(Fichas!$H12="Maior é melhor",I9&gt;=Fichas!$I12,I9&lt;=Fichas!$I12),0,N(H24)+1))</f>
        <v/>
      </c>
      <c r="J24" s="26" t="str">
        <f aca="false">IF(OR(J9="",Fichas!$I12="",Fichas!$H12=""),"",IF(IF(Fichas!$H12="Maior é melhor",J9&gt;=Fichas!$I12,J9&lt;=Fichas!$I12),0,N(I24)+1))</f>
        <v/>
      </c>
      <c r="K24" s="26" t="str">
        <f aca="false">IF(OR(K9="",Fichas!$I12="",Fichas!$H12=""),"",IF(IF(Fichas!$H12="Maior é melhor",K9&gt;=Fichas!$I12,K9&lt;=Fichas!$I12),0,N(J24)+1))</f>
        <v/>
      </c>
      <c r="L24" s="26" t="str">
        <f aca="false">IF(OR(L9="",Fichas!$I12="",Fichas!$H12=""),"",IF(IF(Fichas!$H12="Maior é melhor",L9&gt;=Fichas!$I12,L9&lt;=Fichas!$I12),0,N(K24)+1))</f>
        <v/>
      </c>
      <c r="M24" s="26" t="str">
        <f aca="false">IF(OR(M9="",Fichas!$I12="",Fichas!$H12=""),"",IF(IF(Fichas!$H12="Maior é melhor",M9&gt;=Fichas!$I12,M9&lt;=Fichas!$I12),0,N(L24)+1))</f>
        <v/>
      </c>
      <c r="N24" s="26" t="str">
        <f aca="false">IF(OR(N9="",Fichas!$I12="",Fichas!$H12=""),"",IF(IF(Fichas!$H12="Maior é melhor",N9&gt;=Fichas!$I12,N9&lt;=Fichas!$I12),0,N(M24)+1))</f>
        <v/>
      </c>
      <c r="O24" s="26" t="str">
        <f aca="false">IF(OR(O9="",Fichas!$I12="",Fichas!$H12=""),"",IF(IF(Fichas!$H12="Maior é melhor",O9&gt;=Fichas!$I12,O9&lt;=Fichas!$I12),0,N(N24)+1))</f>
        <v/>
      </c>
      <c r="P24" s="26" t="str">
        <f aca="false">IF(OR(P9="",Fichas!$I12="",Fichas!$H12=""),"",IF(IF(Fichas!$H12="Maior é melhor",P9&gt;=Fichas!$I12,P9&lt;=Fichas!$I12),0,N(O24)+1))</f>
        <v/>
      </c>
      <c r="Q24" s="27" t="str">
        <f aca="false">IF(Q9=0,"",N(INDEX(E24:P24,Q9)))</f>
        <v/>
      </c>
    </row>
    <row r="25" customFormat="false" ht="19.5" hidden="false" customHeight="true" outlineLevel="0" collapsed="false">
      <c r="B25" s="18" t="n">
        <v>4</v>
      </c>
      <c r="C25" s="6" t="str">
        <f aca="false">IF(Fichas!C13="","",Fichas!C13)</f>
        <v/>
      </c>
      <c r="D25" s="6"/>
      <c r="E25" s="26" t="str">
        <f aca="false">IF(OR(E10="",Fichas!$I13="",Fichas!$H13=""),"",IF(IF(Fichas!$H13="Maior é melhor",E10&gt;=Fichas!$I13,E10&lt;=Fichas!$I13),0,1))</f>
        <v/>
      </c>
      <c r="F25" s="26" t="str">
        <f aca="false">IF(OR(F10="",Fichas!$I13="",Fichas!$H13=""),"",IF(IF(Fichas!$H13="Maior é melhor",F10&gt;=Fichas!$I13,F10&lt;=Fichas!$I13),0,N(E25)+1))</f>
        <v/>
      </c>
      <c r="G25" s="26" t="str">
        <f aca="false">IF(OR(G10="",Fichas!$I13="",Fichas!$H13=""),"",IF(IF(Fichas!$H13="Maior é melhor",G10&gt;=Fichas!$I13,G10&lt;=Fichas!$I13),0,N(F25)+1))</f>
        <v/>
      </c>
      <c r="H25" s="26" t="str">
        <f aca="false">IF(OR(H10="",Fichas!$I13="",Fichas!$H13=""),"",IF(IF(Fichas!$H13="Maior é melhor",H10&gt;=Fichas!$I13,H10&lt;=Fichas!$I13),0,N(G25)+1))</f>
        <v/>
      </c>
      <c r="I25" s="26" t="str">
        <f aca="false">IF(OR(I10="",Fichas!$I13="",Fichas!$H13=""),"",IF(IF(Fichas!$H13="Maior é melhor",I10&gt;=Fichas!$I13,I10&lt;=Fichas!$I13),0,N(H25)+1))</f>
        <v/>
      </c>
      <c r="J25" s="26" t="str">
        <f aca="false">IF(OR(J10="",Fichas!$I13="",Fichas!$H13=""),"",IF(IF(Fichas!$H13="Maior é melhor",J10&gt;=Fichas!$I13,J10&lt;=Fichas!$I13),0,N(I25)+1))</f>
        <v/>
      </c>
      <c r="K25" s="26" t="str">
        <f aca="false">IF(OR(K10="",Fichas!$I13="",Fichas!$H13=""),"",IF(IF(Fichas!$H13="Maior é melhor",K10&gt;=Fichas!$I13,K10&lt;=Fichas!$I13),0,N(J25)+1))</f>
        <v/>
      </c>
      <c r="L25" s="26" t="str">
        <f aca="false">IF(OR(L10="",Fichas!$I13="",Fichas!$H13=""),"",IF(IF(Fichas!$H13="Maior é melhor",L10&gt;=Fichas!$I13,L10&lt;=Fichas!$I13),0,N(K25)+1))</f>
        <v/>
      </c>
      <c r="M25" s="26" t="str">
        <f aca="false">IF(OR(M10="",Fichas!$I13="",Fichas!$H13=""),"",IF(IF(Fichas!$H13="Maior é melhor",M10&gt;=Fichas!$I13,M10&lt;=Fichas!$I13),0,N(L25)+1))</f>
        <v/>
      </c>
      <c r="N25" s="26" t="str">
        <f aca="false">IF(OR(N10="",Fichas!$I13="",Fichas!$H13=""),"",IF(IF(Fichas!$H13="Maior é melhor",N10&gt;=Fichas!$I13,N10&lt;=Fichas!$I13),0,N(M25)+1))</f>
        <v/>
      </c>
      <c r="O25" s="26" t="str">
        <f aca="false">IF(OR(O10="",Fichas!$I13="",Fichas!$H13=""),"",IF(IF(Fichas!$H13="Maior é melhor",O10&gt;=Fichas!$I13,O10&lt;=Fichas!$I13),0,N(N25)+1))</f>
        <v/>
      </c>
      <c r="P25" s="26" t="str">
        <f aca="false">IF(OR(P10="",Fichas!$I13="",Fichas!$H13=""),"",IF(IF(Fichas!$H13="Maior é melhor",P10&gt;=Fichas!$I13,P10&lt;=Fichas!$I13),0,N(O25)+1))</f>
        <v/>
      </c>
      <c r="Q25" s="27" t="str">
        <f aca="false">IF(Q10=0,"",N(INDEX(E25:P25,Q10)))</f>
        <v/>
      </c>
    </row>
    <row r="26" customFormat="false" ht="19.5" hidden="false" customHeight="true" outlineLevel="0" collapsed="false">
      <c r="B26" s="18" t="n">
        <v>5</v>
      </c>
      <c r="C26" s="6" t="str">
        <f aca="false">IF(Fichas!C14="","",Fichas!C14)</f>
        <v/>
      </c>
      <c r="D26" s="6"/>
      <c r="E26" s="26" t="str">
        <f aca="false">IF(OR(E11="",Fichas!$I14="",Fichas!$H14=""),"",IF(IF(Fichas!$H14="Maior é melhor",E11&gt;=Fichas!$I14,E11&lt;=Fichas!$I14),0,1))</f>
        <v/>
      </c>
      <c r="F26" s="26" t="str">
        <f aca="false">IF(OR(F11="",Fichas!$I14="",Fichas!$H14=""),"",IF(IF(Fichas!$H14="Maior é melhor",F11&gt;=Fichas!$I14,F11&lt;=Fichas!$I14),0,N(E26)+1))</f>
        <v/>
      </c>
      <c r="G26" s="26" t="str">
        <f aca="false">IF(OR(G11="",Fichas!$I14="",Fichas!$H14=""),"",IF(IF(Fichas!$H14="Maior é melhor",G11&gt;=Fichas!$I14,G11&lt;=Fichas!$I14),0,N(F26)+1))</f>
        <v/>
      </c>
      <c r="H26" s="26" t="str">
        <f aca="false">IF(OR(H11="",Fichas!$I14="",Fichas!$H14=""),"",IF(IF(Fichas!$H14="Maior é melhor",H11&gt;=Fichas!$I14,H11&lt;=Fichas!$I14),0,N(G26)+1))</f>
        <v/>
      </c>
      <c r="I26" s="26" t="str">
        <f aca="false">IF(OR(I11="",Fichas!$I14="",Fichas!$H14=""),"",IF(IF(Fichas!$H14="Maior é melhor",I11&gt;=Fichas!$I14,I11&lt;=Fichas!$I14),0,N(H26)+1))</f>
        <v/>
      </c>
      <c r="J26" s="26" t="str">
        <f aca="false">IF(OR(J11="",Fichas!$I14="",Fichas!$H14=""),"",IF(IF(Fichas!$H14="Maior é melhor",J11&gt;=Fichas!$I14,J11&lt;=Fichas!$I14),0,N(I26)+1))</f>
        <v/>
      </c>
      <c r="K26" s="26" t="str">
        <f aca="false">IF(OR(K11="",Fichas!$I14="",Fichas!$H14=""),"",IF(IF(Fichas!$H14="Maior é melhor",K11&gt;=Fichas!$I14,K11&lt;=Fichas!$I14),0,N(J26)+1))</f>
        <v/>
      </c>
      <c r="L26" s="26" t="str">
        <f aca="false">IF(OR(L11="",Fichas!$I14="",Fichas!$H14=""),"",IF(IF(Fichas!$H14="Maior é melhor",L11&gt;=Fichas!$I14,L11&lt;=Fichas!$I14),0,N(K26)+1))</f>
        <v/>
      </c>
      <c r="M26" s="26" t="str">
        <f aca="false">IF(OR(M11="",Fichas!$I14="",Fichas!$H14=""),"",IF(IF(Fichas!$H14="Maior é melhor",M11&gt;=Fichas!$I14,M11&lt;=Fichas!$I14),0,N(L26)+1))</f>
        <v/>
      </c>
      <c r="N26" s="26" t="str">
        <f aca="false">IF(OR(N11="",Fichas!$I14="",Fichas!$H14=""),"",IF(IF(Fichas!$H14="Maior é melhor",N11&gt;=Fichas!$I14,N11&lt;=Fichas!$I14),0,N(M26)+1))</f>
        <v/>
      </c>
      <c r="O26" s="26" t="str">
        <f aca="false">IF(OR(O11="",Fichas!$I14="",Fichas!$H14=""),"",IF(IF(Fichas!$H14="Maior é melhor",O11&gt;=Fichas!$I14,O11&lt;=Fichas!$I14),0,N(N26)+1))</f>
        <v/>
      </c>
      <c r="P26" s="26" t="str">
        <f aca="false">IF(OR(P11="",Fichas!$I14="",Fichas!$H14=""),"",IF(IF(Fichas!$H14="Maior é melhor",P11&gt;=Fichas!$I14,P11&lt;=Fichas!$I14),0,N(O26)+1))</f>
        <v/>
      </c>
      <c r="Q26" s="27" t="str">
        <f aca="false">IF(Q11=0,"",N(INDEX(E26:P26,Q11)))</f>
        <v/>
      </c>
    </row>
    <row r="27" customFormat="false" ht="19.5" hidden="false" customHeight="true" outlineLevel="0" collapsed="false">
      <c r="B27" s="18" t="n">
        <v>6</v>
      </c>
      <c r="C27" s="6" t="str">
        <f aca="false">IF(Fichas!C15="","",Fichas!C15)</f>
        <v/>
      </c>
      <c r="D27" s="6"/>
      <c r="E27" s="26" t="str">
        <f aca="false">IF(OR(E12="",Fichas!$I15="",Fichas!$H15=""),"",IF(IF(Fichas!$H15="Maior é melhor",E12&gt;=Fichas!$I15,E12&lt;=Fichas!$I15),0,1))</f>
        <v/>
      </c>
      <c r="F27" s="26" t="str">
        <f aca="false">IF(OR(F12="",Fichas!$I15="",Fichas!$H15=""),"",IF(IF(Fichas!$H15="Maior é melhor",F12&gt;=Fichas!$I15,F12&lt;=Fichas!$I15),0,N(E27)+1))</f>
        <v/>
      </c>
      <c r="G27" s="26" t="str">
        <f aca="false">IF(OR(G12="",Fichas!$I15="",Fichas!$H15=""),"",IF(IF(Fichas!$H15="Maior é melhor",G12&gt;=Fichas!$I15,G12&lt;=Fichas!$I15),0,N(F27)+1))</f>
        <v/>
      </c>
      <c r="H27" s="26" t="str">
        <f aca="false">IF(OR(H12="",Fichas!$I15="",Fichas!$H15=""),"",IF(IF(Fichas!$H15="Maior é melhor",H12&gt;=Fichas!$I15,H12&lt;=Fichas!$I15),0,N(G27)+1))</f>
        <v/>
      </c>
      <c r="I27" s="26" t="str">
        <f aca="false">IF(OR(I12="",Fichas!$I15="",Fichas!$H15=""),"",IF(IF(Fichas!$H15="Maior é melhor",I12&gt;=Fichas!$I15,I12&lt;=Fichas!$I15),0,N(H27)+1))</f>
        <v/>
      </c>
      <c r="J27" s="26" t="str">
        <f aca="false">IF(OR(J12="",Fichas!$I15="",Fichas!$H15=""),"",IF(IF(Fichas!$H15="Maior é melhor",J12&gt;=Fichas!$I15,J12&lt;=Fichas!$I15),0,N(I27)+1))</f>
        <v/>
      </c>
      <c r="K27" s="26" t="str">
        <f aca="false">IF(OR(K12="",Fichas!$I15="",Fichas!$H15=""),"",IF(IF(Fichas!$H15="Maior é melhor",K12&gt;=Fichas!$I15,K12&lt;=Fichas!$I15),0,N(J27)+1))</f>
        <v/>
      </c>
      <c r="L27" s="26" t="str">
        <f aca="false">IF(OR(L12="",Fichas!$I15="",Fichas!$H15=""),"",IF(IF(Fichas!$H15="Maior é melhor",L12&gt;=Fichas!$I15,L12&lt;=Fichas!$I15),0,N(K27)+1))</f>
        <v/>
      </c>
      <c r="M27" s="26" t="str">
        <f aca="false">IF(OR(M12="",Fichas!$I15="",Fichas!$H15=""),"",IF(IF(Fichas!$H15="Maior é melhor",M12&gt;=Fichas!$I15,M12&lt;=Fichas!$I15),0,N(L27)+1))</f>
        <v/>
      </c>
      <c r="N27" s="26" t="str">
        <f aca="false">IF(OR(N12="",Fichas!$I15="",Fichas!$H15=""),"",IF(IF(Fichas!$H15="Maior é melhor",N12&gt;=Fichas!$I15,N12&lt;=Fichas!$I15),0,N(M27)+1))</f>
        <v/>
      </c>
      <c r="O27" s="26" t="str">
        <f aca="false">IF(OR(O12="",Fichas!$I15="",Fichas!$H15=""),"",IF(IF(Fichas!$H15="Maior é melhor",O12&gt;=Fichas!$I15,O12&lt;=Fichas!$I15),0,N(N27)+1))</f>
        <v/>
      </c>
      <c r="P27" s="26" t="str">
        <f aca="false">IF(OR(P12="",Fichas!$I15="",Fichas!$H15=""),"",IF(IF(Fichas!$H15="Maior é melhor",P12&gt;=Fichas!$I15,P12&lt;=Fichas!$I15),0,N(O27)+1))</f>
        <v/>
      </c>
      <c r="Q27" s="27" t="str">
        <f aca="false">IF(Q12=0,"",N(INDEX(E27:P27,Q12)))</f>
        <v/>
      </c>
    </row>
    <row r="28" customFormat="false" ht="19.5" hidden="false" customHeight="true" outlineLevel="0" collapsed="false">
      <c r="B28" s="18" t="n">
        <v>7</v>
      </c>
      <c r="C28" s="6" t="str">
        <f aca="false">IF(Fichas!C16="","",Fichas!C16)</f>
        <v/>
      </c>
      <c r="D28" s="6"/>
      <c r="E28" s="26" t="str">
        <f aca="false">IF(OR(E13="",Fichas!$I16="",Fichas!$H16=""),"",IF(IF(Fichas!$H16="Maior é melhor",E13&gt;=Fichas!$I16,E13&lt;=Fichas!$I16),0,1))</f>
        <v/>
      </c>
      <c r="F28" s="26" t="str">
        <f aca="false">IF(OR(F13="",Fichas!$I16="",Fichas!$H16=""),"",IF(IF(Fichas!$H16="Maior é melhor",F13&gt;=Fichas!$I16,F13&lt;=Fichas!$I16),0,N(E28)+1))</f>
        <v/>
      </c>
      <c r="G28" s="26" t="str">
        <f aca="false">IF(OR(G13="",Fichas!$I16="",Fichas!$H16=""),"",IF(IF(Fichas!$H16="Maior é melhor",G13&gt;=Fichas!$I16,G13&lt;=Fichas!$I16),0,N(F28)+1))</f>
        <v/>
      </c>
      <c r="H28" s="26" t="str">
        <f aca="false">IF(OR(H13="",Fichas!$I16="",Fichas!$H16=""),"",IF(IF(Fichas!$H16="Maior é melhor",H13&gt;=Fichas!$I16,H13&lt;=Fichas!$I16),0,N(G28)+1))</f>
        <v/>
      </c>
      <c r="I28" s="26" t="str">
        <f aca="false">IF(OR(I13="",Fichas!$I16="",Fichas!$H16=""),"",IF(IF(Fichas!$H16="Maior é melhor",I13&gt;=Fichas!$I16,I13&lt;=Fichas!$I16),0,N(H28)+1))</f>
        <v/>
      </c>
      <c r="J28" s="26" t="str">
        <f aca="false">IF(OR(J13="",Fichas!$I16="",Fichas!$H16=""),"",IF(IF(Fichas!$H16="Maior é melhor",J13&gt;=Fichas!$I16,J13&lt;=Fichas!$I16),0,N(I28)+1))</f>
        <v/>
      </c>
      <c r="K28" s="26" t="str">
        <f aca="false">IF(OR(K13="",Fichas!$I16="",Fichas!$H16=""),"",IF(IF(Fichas!$H16="Maior é melhor",K13&gt;=Fichas!$I16,K13&lt;=Fichas!$I16),0,N(J28)+1))</f>
        <v/>
      </c>
      <c r="L28" s="26" t="str">
        <f aca="false">IF(OR(L13="",Fichas!$I16="",Fichas!$H16=""),"",IF(IF(Fichas!$H16="Maior é melhor",L13&gt;=Fichas!$I16,L13&lt;=Fichas!$I16),0,N(K28)+1))</f>
        <v/>
      </c>
      <c r="M28" s="26" t="str">
        <f aca="false">IF(OR(M13="",Fichas!$I16="",Fichas!$H16=""),"",IF(IF(Fichas!$H16="Maior é melhor",M13&gt;=Fichas!$I16,M13&lt;=Fichas!$I16),0,N(L28)+1))</f>
        <v/>
      </c>
      <c r="N28" s="26" t="str">
        <f aca="false">IF(OR(N13="",Fichas!$I16="",Fichas!$H16=""),"",IF(IF(Fichas!$H16="Maior é melhor",N13&gt;=Fichas!$I16,N13&lt;=Fichas!$I16),0,N(M28)+1))</f>
        <v/>
      </c>
      <c r="O28" s="26" t="str">
        <f aca="false">IF(OR(O13="",Fichas!$I16="",Fichas!$H16=""),"",IF(IF(Fichas!$H16="Maior é melhor",O13&gt;=Fichas!$I16,O13&lt;=Fichas!$I16),0,N(N28)+1))</f>
        <v/>
      </c>
      <c r="P28" s="26" t="str">
        <f aca="false">IF(OR(P13="",Fichas!$I16="",Fichas!$H16=""),"",IF(IF(Fichas!$H16="Maior é melhor",P13&gt;=Fichas!$I16,P13&lt;=Fichas!$I16),0,N(O28)+1))</f>
        <v/>
      </c>
      <c r="Q28" s="27" t="str">
        <f aca="false">IF(Q13=0,"",N(INDEX(E28:P28,Q13)))</f>
        <v/>
      </c>
    </row>
    <row r="29" customFormat="false" ht="19.5" hidden="false" customHeight="true" outlineLevel="0" collapsed="false">
      <c r="B29" s="18" t="n">
        <v>8</v>
      </c>
      <c r="C29" s="6" t="str">
        <f aca="false">IF(Fichas!C17="","",Fichas!C17)</f>
        <v/>
      </c>
      <c r="D29" s="6"/>
      <c r="E29" s="26" t="str">
        <f aca="false">IF(OR(E14="",Fichas!$I17="",Fichas!$H17=""),"",IF(IF(Fichas!$H17="Maior é melhor",E14&gt;=Fichas!$I17,E14&lt;=Fichas!$I17),0,1))</f>
        <v/>
      </c>
      <c r="F29" s="26" t="str">
        <f aca="false">IF(OR(F14="",Fichas!$I17="",Fichas!$H17=""),"",IF(IF(Fichas!$H17="Maior é melhor",F14&gt;=Fichas!$I17,F14&lt;=Fichas!$I17),0,N(E29)+1))</f>
        <v/>
      </c>
      <c r="G29" s="26" t="str">
        <f aca="false">IF(OR(G14="",Fichas!$I17="",Fichas!$H17=""),"",IF(IF(Fichas!$H17="Maior é melhor",G14&gt;=Fichas!$I17,G14&lt;=Fichas!$I17),0,N(F29)+1))</f>
        <v/>
      </c>
      <c r="H29" s="26" t="str">
        <f aca="false">IF(OR(H14="",Fichas!$I17="",Fichas!$H17=""),"",IF(IF(Fichas!$H17="Maior é melhor",H14&gt;=Fichas!$I17,H14&lt;=Fichas!$I17),0,N(G29)+1))</f>
        <v/>
      </c>
      <c r="I29" s="26" t="str">
        <f aca="false">IF(OR(I14="",Fichas!$I17="",Fichas!$H17=""),"",IF(IF(Fichas!$H17="Maior é melhor",I14&gt;=Fichas!$I17,I14&lt;=Fichas!$I17),0,N(H29)+1))</f>
        <v/>
      </c>
      <c r="J29" s="26" t="str">
        <f aca="false">IF(OR(J14="",Fichas!$I17="",Fichas!$H17=""),"",IF(IF(Fichas!$H17="Maior é melhor",J14&gt;=Fichas!$I17,J14&lt;=Fichas!$I17),0,N(I29)+1))</f>
        <v/>
      </c>
      <c r="K29" s="26" t="str">
        <f aca="false">IF(OR(K14="",Fichas!$I17="",Fichas!$H17=""),"",IF(IF(Fichas!$H17="Maior é melhor",K14&gt;=Fichas!$I17,K14&lt;=Fichas!$I17),0,N(J29)+1))</f>
        <v/>
      </c>
      <c r="L29" s="26" t="str">
        <f aca="false">IF(OR(L14="",Fichas!$I17="",Fichas!$H17=""),"",IF(IF(Fichas!$H17="Maior é melhor",L14&gt;=Fichas!$I17,L14&lt;=Fichas!$I17),0,N(K29)+1))</f>
        <v/>
      </c>
      <c r="M29" s="26" t="str">
        <f aca="false">IF(OR(M14="",Fichas!$I17="",Fichas!$H17=""),"",IF(IF(Fichas!$H17="Maior é melhor",M14&gt;=Fichas!$I17,M14&lt;=Fichas!$I17),0,N(L29)+1))</f>
        <v/>
      </c>
      <c r="N29" s="26" t="str">
        <f aca="false">IF(OR(N14="",Fichas!$I17="",Fichas!$H17=""),"",IF(IF(Fichas!$H17="Maior é melhor",N14&gt;=Fichas!$I17,N14&lt;=Fichas!$I17),0,N(M29)+1))</f>
        <v/>
      </c>
      <c r="O29" s="26" t="str">
        <f aca="false">IF(OR(O14="",Fichas!$I17="",Fichas!$H17=""),"",IF(IF(Fichas!$H17="Maior é melhor",O14&gt;=Fichas!$I17,O14&lt;=Fichas!$I17),0,N(N29)+1))</f>
        <v/>
      </c>
      <c r="P29" s="26" t="str">
        <f aca="false">IF(OR(P14="",Fichas!$I17="",Fichas!$H17=""),"",IF(IF(Fichas!$H17="Maior é melhor",P14&gt;=Fichas!$I17,P14&lt;=Fichas!$I17),0,N(O29)+1))</f>
        <v/>
      </c>
      <c r="Q29" s="27" t="str">
        <f aca="false">IF(Q14=0,"",N(INDEX(E29:P29,Q14)))</f>
        <v/>
      </c>
    </row>
    <row r="30" customFormat="false" ht="19.5" hidden="false" customHeight="true" outlineLevel="0" collapsed="false">
      <c r="B30" s="18" t="n">
        <v>9</v>
      </c>
      <c r="C30" s="6" t="str">
        <f aca="false">IF(Fichas!C18="","",Fichas!C18)</f>
        <v/>
      </c>
      <c r="D30" s="6"/>
      <c r="E30" s="26" t="str">
        <f aca="false">IF(OR(E15="",Fichas!$I18="",Fichas!$H18=""),"",IF(IF(Fichas!$H18="Maior é melhor",E15&gt;=Fichas!$I18,E15&lt;=Fichas!$I18),0,1))</f>
        <v/>
      </c>
      <c r="F30" s="26" t="str">
        <f aca="false">IF(OR(F15="",Fichas!$I18="",Fichas!$H18=""),"",IF(IF(Fichas!$H18="Maior é melhor",F15&gt;=Fichas!$I18,F15&lt;=Fichas!$I18),0,N(E30)+1))</f>
        <v/>
      </c>
      <c r="G30" s="26" t="str">
        <f aca="false">IF(OR(G15="",Fichas!$I18="",Fichas!$H18=""),"",IF(IF(Fichas!$H18="Maior é melhor",G15&gt;=Fichas!$I18,G15&lt;=Fichas!$I18),0,N(F30)+1))</f>
        <v/>
      </c>
      <c r="H30" s="26" t="str">
        <f aca="false">IF(OR(H15="",Fichas!$I18="",Fichas!$H18=""),"",IF(IF(Fichas!$H18="Maior é melhor",H15&gt;=Fichas!$I18,H15&lt;=Fichas!$I18),0,N(G30)+1))</f>
        <v/>
      </c>
      <c r="I30" s="26" t="str">
        <f aca="false">IF(OR(I15="",Fichas!$I18="",Fichas!$H18=""),"",IF(IF(Fichas!$H18="Maior é melhor",I15&gt;=Fichas!$I18,I15&lt;=Fichas!$I18),0,N(H30)+1))</f>
        <v/>
      </c>
      <c r="J30" s="26" t="str">
        <f aca="false">IF(OR(J15="",Fichas!$I18="",Fichas!$H18=""),"",IF(IF(Fichas!$H18="Maior é melhor",J15&gt;=Fichas!$I18,J15&lt;=Fichas!$I18),0,N(I30)+1))</f>
        <v/>
      </c>
      <c r="K30" s="26" t="str">
        <f aca="false">IF(OR(K15="",Fichas!$I18="",Fichas!$H18=""),"",IF(IF(Fichas!$H18="Maior é melhor",K15&gt;=Fichas!$I18,K15&lt;=Fichas!$I18),0,N(J30)+1))</f>
        <v/>
      </c>
      <c r="L30" s="26" t="str">
        <f aca="false">IF(OR(L15="",Fichas!$I18="",Fichas!$H18=""),"",IF(IF(Fichas!$H18="Maior é melhor",L15&gt;=Fichas!$I18,L15&lt;=Fichas!$I18),0,N(K30)+1))</f>
        <v/>
      </c>
      <c r="M30" s="26" t="str">
        <f aca="false">IF(OR(M15="",Fichas!$I18="",Fichas!$H18=""),"",IF(IF(Fichas!$H18="Maior é melhor",M15&gt;=Fichas!$I18,M15&lt;=Fichas!$I18),0,N(L30)+1))</f>
        <v/>
      </c>
      <c r="N30" s="26" t="str">
        <f aca="false">IF(OR(N15="",Fichas!$I18="",Fichas!$H18=""),"",IF(IF(Fichas!$H18="Maior é melhor",N15&gt;=Fichas!$I18,N15&lt;=Fichas!$I18),0,N(M30)+1))</f>
        <v/>
      </c>
      <c r="O30" s="26" t="str">
        <f aca="false">IF(OR(O15="",Fichas!$I18="",Fichas!$H18=""),"",IF(IF(Fichas!$H18="Maior é melhor",O15&gt;=Fichas!$I18,O15&lt;=Fichas!$I18),0,N(N30)+1))</f>
        <v/>
      </c>
      <c r="P30" s="26" t="str">
        <f aca="false">IF(OR(P15="",Fichas!$I18="",Fichas!$H18=""),"",IF(IF(Fichas!$H18="Maior é melhor",P15&gt;=Fichas!$I18,P15&lt;=Fichas!$I18),0,N(O30)+1))</f>
        <v/>
      </c>
      <c r="Q30" s="27" t="str">
        <f aca="false">IF(Q15=0,"",N(INDEX(E30:P30,Q15)))</f>
        <v/>
      </c>
    </row>
    <row r="31" customFormat="false" ht="19.5" hidden="false" customHeight="true" outlineLevel="0" collapsed="false">
      <c r="B31" s="18" t="n">
        <v>10</v>
      </c>
      <c r="C31" s="6" t="str">
        <f aca="false">IF(Fichas!C19="","",Fichas!C19)</f>
        <v/>
      </c>
      <c r="D31" s="6"/>
      <c r="E31" s="26" t="str">
        <f aca="false">IF(OR(E16="",Fichas!$I19="",Fichas!$H19=""),"",IF(IF(Fichas!$H19="Maior é melhor",E16&gt;=Fichas!$I19,E16&lt;=Fichas!$I19),0,1))</f>
        <v/>
      </c>
      <c r="F31" s="26" t="str">
        <f aca="false">IF(OR(F16="",Fichas!$I19="",Fichas!$H19=""),"",IF(IF(Fichas!$H19="Maior é melhor",F16&gt;=Fichas!$I19,F16&lt;=Fichas!$I19),0,N(E31)+1))</f>
        <v/>
      </c>
      <c r="G31" s="26" t="str">
        <f aca="false">IF(OR(G16="",Fichas!$I19="",Fichas!$H19=""),"",IF(IF(Fichas!$H19="Maior é melhor",G16&gt;=Fichas!$I19,G16&lt;=Fichas!$I19),0,N(F31)+1))</f>
        <v/>
      </c>
      <c r="H31" s="26" t="str">
        <f aca="false">IF(OR(H16="",Fichas!$I19="",Fichas!$H19=""),"",IF(IF(Fichas!$H19="Maior é melhor",H16&gt;=Fichas!$I19,H16&lt;=Fichas!$I19),0,N(G31)+1))</f>
        <v/>
      </c>
      <c r="I31" s="26" t="str">
        <f aca="false">IF(OR(I16="",Fichas!$I19="",Fichas!$H19=""),"",IF(IF(Fichas!$H19="Maior é melhor",I16&gt;=Fichas!$I19,I16&lt;=Fichas!$I19),0,N(H31)+1))</f>
        <v/>
      </c>
      <c r="J31" s="26" t="str">
        <f aca="false">IF(OR(J16="",Fichas!$I19="",Fichas!$H19=""),"",IF(IF(Fichas!$H19="Maior é melhor",J16&gt;=Fichas!$I19,J16&lt;=Fichas!$I19),0,N(I31)+1))</f>
        <v/>
      </c>
      <c r="K31" s="26" t="str">
        <f aca="false">IF(OR(K16="",Fichas!$I19="",Fichas!$H19=""),"",IF(IF(Fichas!$H19="Maior é melhor",K16&gt;=Fichas!$I19,K16&lt;=Fichas!$I19),0,N(J31)+1))</f>
        <v/>
      </c>
      <c r="L31" s="26" t="str">
        <f aca="false">IF(OR(L16="",Fichas!$I19="",Fichas!$H19=""),"",IF(IF(Fichas!$H19="Maior é melhor",L16&gt;=Fichas!$I19,L16&lt;=Fichas!$I19),0,N(K31)+1))</f>
        <v/>
      </c>
      <c r="M31" s="26" t="str">
        <f aca="false">IF(OR(M16="",Fichas!$I19="",Fichas!$H19=""),"",IF(IF(Fichas!$H19="Maior é melhor",M16&gt;=Fichas!$I19,M16&lt;=Fichas!$I19),0,N(L31)+1))</f>
        <v/>
      </c>
      <c r="N31" s="26" t="str">
        <f aca="false">IF(OR(N16="",Fichas!$I19="",Fichas!$H19=""),"",IF(IF(Fichas!$H19="Maior é melhor",N16&gt;=Fichas!$I19,N16&lt;=Fichas!$I19),0,N(M31)+1))</f>
        <v/>
      </c>
      <c r="O31" s="26" t="str">
        <f aca="false">IF(OR(O16="",Fichas!$I19="",Fichas!$H19=""),"",IF(IF(Fichas!$H19="Maior é melhor",O16&gt;=Fichas!$I19,O16&lt;=Fichas!$I19),0,N(N31)+1))</f>
        <v/>
      </c>
      <c r="P31" s="26" t="str">
        <f aca="false">IF(OR(P16="",Fichas!$I19="",Fichas!$H19=""),"",IF(IF(Fichas!$H19="Maior é melhor",P16&gt;=Fichas!$I19,P16&lt;=Fichas!$I19),0,N(O31)+1))</f>
        <v/>
      </c>
      <c r="Q31" s="27" t="str">
        <f aca="false">IF(Q16=0,"",N(INDEX(E31:P31,Q16)))</f>
        <v/>
      </c>
    </row>
    <row r="32" customFormat="false" ht="19.5" hidden="false" customHeight="true" outlineLevel="0" collapsed="false">
      <c r="B32" s="18" t="n">
        <v>11</v>
      </c>
      <c r="C32" s="6" t="str">
        <f aca="false">IF(Fichas!C20="","",Fichas!C20)</f>
        <v/>
      </c>
      <c r="D32" s="6"/>
      <c r="E32" s="26" t="str">
        <f aca="false">IF(OR(E17="",Fichas!$I20="",Fichas!$H20=""),"",IF(IF(Fichas!$H20="Maior é melhor",E17&gt;=Fichas!$I20,E17&lt;=Fichas!$I20),0,1))</f>
        <v/>
      </c>
      <c r="F32" s="26" t="str">
        <f aca="false">IF(OR(F17="",Fichas!$I20="",Fichas!$H20=""),"",IF(IF(Fichas!$H20="Maior é melhor",F17&gt;=Fichas!$I20,F17&lt;=Fichas!$I20),0,N(E32)+1))</f>
        <v/>
      </c>
      <c r="G32" s="26" t="str">
        <f aca="false">IF(OR(G17="",Fichas!$I20="",Fichas!$H20=""),"",IF(IF(Fichas!$H20="Maior é melhor",G17&gt;=Fichas!$I20,G17&lt;=Fichas!$I20),0,N(F32)+1))</f>
        <v/>
      </c>
      <c r="H32" s="26" t="str">
        <f aca="false">IF(OR(H17="",Fichas!$I20="",Fichas!$H20=""),"",IF(IF(Fichas!$H20="Maior é melhor",H17&gt;=Fichas!$I20,H17&lt;=Fichas!$I20),0,N(G32)+1))</f>
        <v/>
      </c>
      <c r="I32" s="26" t="str">
        <f aca="false">IF(OR(I17="",Fichas!$I20="",Fichas!$H20=""),"",IF(IF(Fichas!$H20="Maior é melhor",I17&gt;=Fichas!$I20,I17&lt;=Fichas!$I20),0,N(H32)+1))</f>
        <v/>
      </c>
      <c r="J32" s="26" t="str">
        <f aca="false">IF(OR(J17="",Fichas!$I20="",Fichas!$H20=""),"",IF(IF(Fichas!$H20="Maior é melhor",J17&gt;=Fichas!$I20,J17&lt;=Fichas!$I20),0,N(I32)+1))</f>
        <v/>
      </c>
      <c r="K32" s="26" t="str">
        <f aca="false">IF(OR(K17="",Fichas!$I20="",Fichas!$H20=""),"",IF(IF(Fichas!$H20="Maior é melhor",K17&gt;=Fichas!$I20,K17&lt;=Fichas!$I20),0,N(J32)+1))</f>
        <v/>
      </c>
      <c r="L32" s="26" t="str">
        <f aca="false">IF(OR(L17="",Fichas!$I20="",Fichas!$H20=""),"",IF(IF(Fichas!$H20="Maior é melhor",L17&gt;=Fichas!$I20,L17&lt;=Fichas!$I20),0,N(K32)+1))</f>
        <v/>
      </c>
      <c r="M32" s="26" t="str">
        <f aca="false">IF(OR(M17="",Fichas!$I20="",Fichas!$H20=""),"",IF(IF(Fichas!$H20="Maior é melhor",M17&gt;=Fichas!$I20,M17&lt;=Fichas!$I20),0,N(L32)+1))</f>
        <v/>
      </c>
      <c r="N32" s="26" t="str">
        <f aca="false">IF(OR(N17="",Fichas!$I20="",Fichas!$H20=""),"",IF(IF(Fichas!$H20="Maior é melhor",N17&gt;=Fichas!$I20,N17&lt;=Fichas!$I20),0,N(M32)+1))</f>
        <v/>
      </c>
      <c r="O32" s="26" t="str">
        <f aca="false">IF(OR(O17="",Fichas!$I20="",Fichas!$H20=""),"",IF(IF(Fichas!$H20="Maior é melhor",O17&gt;=Fichas!$I20,O17&lt;=Fichas!$I20),0,N(N32)+1))</f>
        <v/>
      </c>
      <c r="P32" s="26" t="str">
        <f aca="false">IF(OR(P17="",Fichas!$I20="",Fichas!$H20=""),"",IF(IF(Fichas!$H20="Maior é melhor",P17&gt;=Fichas!$I20,P17&lt;=Fichas!$I20),0,N(O32)+1))</f>
        <v/>
      </c>
      <c r="Q32" s="27" t="str">
        <f aca="false">IF(Q17=0,"",N(INDEX(E32:P32,Q17)))</f>
        <v/>
      </c>
    </row>
    <row r="33" customFormat="false" ht="19.5" hidden="false" customHeight="true" outlineLevel="0" collapsed="false">
      <c r="B33" s="18" t="n">
        <v>12</v>
      </c>
      <c r="C33" s="6" t="str">
        <f aca="false">IF(Fichas!C21="","",Fichas!C21)</f>
        <v/>
      </c>
      <c r="D33" s="6"/>
      <c r="E33" s="26" t="str">
        <f aca="false">IF(OR(E18="",Fichas!$I21="",Fichas!$H21=""),"",IF(IF(Fichas!$H21="Maior é melhor",E18&gt;=Fichas!$I21,E18&lt;=Fichas!$I21),0,1))</f>
        <v/>
      </c>
      <c r="F33" s="26" t="str">
        <f aca="false">IF(OR(F18="",Fichas!$I21="",Fichas!$H21=""),"",IF(IF(Fichas!$H21="Maior é melhor",F18&gt;=Fichas!$I21,F18&lt;=Fichas!$I21),0,N(E33)+1))</f>
        <v/>
      </c>
      <c r="G33" s="26" t="str">
        <f aca="false">IF(OR(G18="",Fichas!$I21="",Fichas!$H21=""),"",IF(IF(Fichas!$H21="Maior é melhor",G18&gt;=Fichas!$I21,G18&lt;=Fichas!$I21),0,N(F33)+1))</f>
        <v/>
      </c>
      <c r="H33" s="26" t="str">
        <f aca="false">IF(OR(H18="",Fichas!$I21="",Fichas!$H21=""),"",IF(IF(Fichas!$H21="Maior é melhor",H18&gt;=Fichas!$I21,H18&lt;=Fichas!$I21),0,N(G33)+1))</f>
        <v/>
      </c>
      <c r="I33" s="26" t="str">
        <f aca="false">IF(OR(I18="",Fichas!$I21="",Fichas!$H21=""),"",IF(IF(Fichas!$H21="Maior é melhor",I18&gt;=Fichas!$I21,I18&lt;=Fichas!$I21),0,N(H33)+1))</f>
        <v/>
      </c>
      <c r="J33" s="26" t="str">
        <f aca="false">IF(OR(J18="",Fichas!$I21="",Fichas!$H21=""),"",IF(IF(Fichas!$H21="Maior é melhor",J18&gt;=Fichas!$I21,J18&lt;=Fichas!$I21),0,N(I33)+1))</f>
        <v/>
      </c>
      <c r="K33" s="26" t="str">
        <f aca="false">IF(OR(K18="",Fichas!$I21="",Fichas!$H21=""),"",IF(IF(Fichas!$H21="Maior é melhor",K18&gt;=Fichas!$I21,K18&lt;=Fichas!$I21),0,N(J33)+1))</f>
        <v/>
      </c>
      <c r="L33" s="26" t="str">
        <f aca="false">IF(OR(L18="",Fichas!$I21="",Fichas!$H21=""),"",IF(IF(Fichas!$H21="Maior é melhor",L18&gt;=Fichas!$I21,L18&lt;=Fichas!$I21),0,N(K33)+1))</f>
        <v/>
      </c>
      <c r="M33" s="26" t="str">
        <f aca="false">IF(OR(M18="",Fichas!$I21="",Fichas!$H21=""),"",IF(IF(Fichas!$H21="Maior é melhor",M18&gt;=Fichas!$I21,M18&lt;=Fichas!$I21),0,N(L33)+1))</f>
        <v/>
      </c>
      <c r="N33" s="26" t="str">
        <f aca="false">IF(OR(N18="",Fichas!$I21="",Fichas!$H21=""),"",IF(IF(Fichas!$H21="Maior é melhor",N18&gt;=Fichas!$I21,N18&lt;=Fichas!$I21),0,N(M33)+1))</f>
        <v/>
      </c>
      <c r="O33" s="26" t="str">
        <f aca="false">IF(OR(O18="",Fichas!$I21="",Fichas!$H21=""),"",IF(IF(Fichas!$H21="Maior é melhor",O18&gt;=Fichas!$I21,O18&lt;=Fichas!$I21),0,N(N33)+1))</f>
        <v/>
      </c>
      <c r="P33" s="26" t="str">
        <f aca="false">IF(OR(P18="",Fichas!$I21="",Fichas!$H21=""),"",IF(IF(Fichas!$H21="Maior é melhor",P18&gt;=Fichas!$I21,P18&lt;=Fichas!$I21),0,N(O33)+1))</f>
        <v/>
      </c>
      <c r="Q33" s="27" t="str">
        <f aca="false">IF(Q18=0,"",N(INDEX(E33:P33,Q18)))</f>
        <v/>
      </c>
    </row>
    <row r="35" customFormat="false" ht="21.75" hidden="false" customHeight="true" outlineLevel="0" collapsed="false">
      <c r="B35" s="21" t="s">
        <v>102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customFormat="false" ht="21.75" hidden="false" customHeight="true" outlineLevel="0" collapsed="false">
      <c r="B36" s="22" t="s">
        <v>112</v>
      </c>
      <c r="C36" s="22"/>
      <c r="D36" s="23" t="n">
        <f aca="false">COUNTIF(Q7:Q18,"&gt;0")</f>
        <v>0</v>
      </c>
      <c r="E36" s="23"/>
      <c r="F36" s="23"/>
      <c r="G36" s="23"/>
      <c r="H36" s="23"/>
      <c r="I36" s="23"/>
    </row>
    <row r="37" customFormat="false" ht="21.75" hidden="false" customHeight="true" outlineLevel="0" collapsed="false">
      <c r="B37" s="22" t="s">
        <v>113</v>
      </c>
      <c r="C37" s="22"/>
      <c r="D37" s="23" t="n">
        <f aca="false">COUNTA(E6:P6)</f>
        <v>0</v>
      </c>
      <c r="E37" s="23"/>
      <c r="F37" s="23"/>
      <c r="G37" s="23"/>
      <c r="H37" s="23"/>
      <c r="I37" s="23"/>
    </row>
    <row r="38" customFormat="false" ht="21.75" hidden="false" customHeight="true" outlineLevel="0" collapsed="false">
      <c r="B38" s="22" t="s">
        <v>105</v>
      </c>
      <c r="C38" s="22"/>
      <c r="D38" s="20" t="str">
        <f aca="false">IF(D36=0,"Registre os resultados",IF(IF(Q7=0,0,COUNTBLANK(INDEX(E7:P7,1):INDEX(E7:P7,Q7)))+IF(Q8=0,0,COUNTBLANK(INDEX(E8:P8,1):INDEX(E8:P8,Q8)))+IF(Q9=0,0,COUNTBLANK(INDEX(E9:P9,1):INDEX(E9:P9,Q9)))+IF(Q10=0,0,COUNTBLANK(INDEX(E10:P10,1):INDEX(E10:P10,Q10)))+IF(Q11=0,0,COUNTBLANK(INDEX(E11:P11,1):INDEX(E11:P11,Q11)))+IF(Q12=0,0,COUNTBLANK(INDEX(E12:P12,1):INDEX(E12:P12,Q12)))+IF(Q13=0,0,COUNTBLANK(INDEX(E13:P13,1):INDEX(E13:P13,Q13)))+IF(Q14=0,0,COUNTBLANK(INDEX(E14:P14,1):INDEX(E14:P14,Q14)))+IF(Q15=0,0,COUNTBLANK(INDEX(E15:P15,1):INDEX(E15:P15,Q15)))+IF(Q16=0,0,COUNTBLANK(INDEX(E16:P16,1):INDEX(E16:P16,Q16)))+IF(Q17=0,0,COUNTBLANK(INDEX(E17:P17,1):INDEX(E17:P17,Q17)))+IF(Q18=0,0,COUNTBLANK(INDEX(E18:P18,1):INDEX(E18:P18,Q18)))&gt;0,"Há coluna pulada: registre os resultados em sequência",IF(D37&lt;MAX(Q7:Q18),"Há período sem nome",IF(SUMPRODUCT((Q7:Q18&gt;0)*(Fichas!I10:I21=""))&gt;0,"Há indicador medido sem meta","OK"))))</f>
        <v>Registre os resultados</v>
      </c>
      <c r="E38" s="20"/>
      <c r="F38" s="20"/>
      <c r="G38" s="20"/>
      <c r="H38" s="20"/>
      <c r="I38" s="20"/>
    </row>
  </sheetData>
  <mergeCells count="12">
    <mergeCell ref="B1:Q1"/>
    <mergeCell ref="B2:Q2"/>
    <mergeCell ref="E5:P5"/>
    <mergeCell ref="B20:Q20"/>
    <mergeCell ref="B21:Q21"/>
    <mergeCell ref="B35:Q35"/>
    <mergeCell ref="B36:C36"/>
    <mergeCell ref="D36:I36"/>
    <mergeCell ref="B37:C37"/>
    <mergeCell ref="D37:I37"/>
    <mergeCell ref="B38:C38"/>
    <mergeCell ref="D38:I38"/>
  </mergeCells>
  <conditionalFormatting sqref="E7:P18">
    <cfRule type="expression" priority="2" aboveAverage="0" equalAverage="0" bottom="0" percent="0" rank="0" text="" dxfId="2">
      <formula>AND(E7&lt;&gt;"",Fichas!$I10&lt;&gt;"",Fichas!$H10&lt;&gt;"",NOT(IF(Fichas!$H10="Maior é melhor",E7&gt;=Fichas!$I10,E7&lt;=Fichas!$I10)))</formula>
    </cfRule>
  </conditionalFormatting>
  <conditionalFormatting sqref="Q22:Q33">
    <cfRule type="expression" priority="3" aboveAverage="0" equalAverage="0" bottom="0" percent="0" rank="0" text="" dxfId="3">
      <formula>N(Q22)&gt;=3</formula>
    </cfRule>
  </conditionalFormatting>
  <conditionalFormatting sqref="D38:I38">
    <cfRule type="expression" priority="4" aboveAverage="0" equalAverage="0" bottom="0" percent="0" rank="0" text="" dxfId="0">
      <formula>OR(D38="OK")</formula>
    </cfRule>
    <cfRule type="expression" priority="5" aboveAverage="0" equalAverage="0" bottom="0" percent="0" rank="0" text="" dxfId="1">
      <formula>AND(LEN(D38)&gt;0,NOT(OR(D38="OK")))</formula>
    </cfRule>
  </conditionalFormatting>
  <dataValidations count="1">
    <dataValidation allowBlank="true" error="Digite apenas o número, sem texto nem unidade." errorStyle="stop" errorTitle="Valor inválido" operator="between" showDropDown="false" showErrorMessage="true" showInputMessage="false" sqref="E7:P18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0" min="9" style="0" width="10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false" outlineLevel="0" max="15" min="15" style="0" width="12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114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65</v>
      </c>
      <c r="C4" s="4"/>
      <c r="D4" s="28" t="str">
        <f aca="false">IF(Fichas!D4="","",Fichas!D4)</f>
        <v/>
      </c>
      <c r="E4" s="28"/>
      <c r="F4" s="28"/>
      <c r="G4" s="28"/>
      <c r="H4" s="28"/>
      <c r="I4" s="4" t="s">
        <v>68</v>
      </c>
      <c r="J4" s="4"/>
      <c r="K4" s="4"/>
      <c r="L4" s="29" t="str">
        <f aca="false">IF(Fichas!K5="","",Fichas!K5)</f>
        <v/>
      </c>
      <c r="M4" s="29"/>
      <c r="N4" s="29"/>
      <c r="O4" s="29"/>
    </row>
    <row r="6" customFormat="false" ht="39" hidden="false" customHeight="true" outlineLevel="0" collapsed="false">
      <c r="B6" s="15" t="s">
        <v>69</v>
      </c>
      <c r="C6" s="15" t="s">
        <v>70</v>
      </c>
      <c r="D6" s="15" t="s">
        <v>76</v>
      </c>
      <c r="E6" s="15" t="s">
        <v>53</v>
      </c>
      <c r="F6" s="15" t="s">
        <v>38</v>
      </c>
      <c r="G6" s="15" t="s">
        <v>116</v>
      </c>
      <c r="H6" s="15" t="s">
        <v>51</v>
      </c>
      <c r="I6" s="15" t="s">
        <v>117</v>
      </c>
      <c r="J6" s="15" t="s">
        <v>118</v>
      </c>
      <c r="K6" s="15" t="s">
        <v>119</v>
      </c>
      <c r="L6" s="15" t="s">
        <v>120</v>
      </c>
      <c r="M6" s="15" t="s">
        <v>57</v>
      </c>
      <c r="N6" s="15" t="s">
        <v>121</v>
      </c>
      <c r="O6" s="15" t="s">
        <v>75</v>
      </c>
    </row>
    <row r="7" customFormat="false" ht="27" hidden="false" customHeight="true" outlineLevel="0" collapsed="false">
      <c r="B7" s="18" t="n">
        <v>1</v>
      </c>
      <c r="C7" s="6" t="str">
        <f aca="false">IF(Fichas!C10="","",Fichas!C10)</f>
        <v/>
      </c>
      <c r="D7" s="24" t="str">
        <f aca="false">IF(Fichas!I10="","",Fichas!I10)</f>
        <v/>
      </c>
      <c r="E7" s="24" t="str">
        <f aca="false">IF(Fichas!J10="","",Fichas!J10)</f>
        <v/>
      </c>
      <c r="F7" s="24" t="str">
        <f aca="false">IF(C7="","",COUNT(Medições!$E$7:$P$7))</f>
        <v/>
      </c>
      <c r="G7" s="23" t="str">
        <f aca="false">IF(N(F7)=0,"",INDEX(Medições!$E$7:$P$7,F7))</f>
        <v/>
      </c>
      <c r="H7" s="24" t="str">
        <f aca="false">IF(OR(G7="",D7="",E7="",O7=""),"",IF(O7="Maior é melhor",IF(G7&gt;=D7,"Na meta",IF(G7&gt;=E7,"Atenção","Fora da meta")),IF(G7&lt;=D7,"Na meta",IF(G7&lt;=E7,"Atenção","Fora da meta"))))</f>
        <v/>
      </c>
      <c r="I7" s="30" t="str">
        <f aca="false">IF(N(F7)=0,"",AVERAGE(Medições!$E$7:$P$7))</f>
        <v/>
      </c>
      <c r="J7" s="27" t="str">
        <f aca="false">IF(N(F7)=0,"",N(Medições!Q22))</f>
        <v/>
      </c>
      <c r="K7" s="30" t="str">
        <f aca="false">IF(N(F7)&lt;6,"",AVERAGE(INDEX(Medições!$E$7:$P$7,F7-5):INDEX(Medições!$E$7:$P$7,F7-3)))</f>
        <v/>
      </c>
      <c r="L7" s="30" t="str">
        <f aca="false">IF(N(F7)&lt;6,"",AVERAGE(INDEX(Medições!$E$7:$P$7,F7-2):INDEX(Medições!$E$7:$P$7,F7)))</f>
        <v/>
      </c>
      <c r="M7" s="24" t="str">
        <f aca="false">IF(N(F7)=0,"",IF(OR(F7="",F7&lt;6),"Sem dados",IF(ABS(L7-K7)&lt;=0.05*ABS(K7),"Estável",IF((L7&gt;K7)=(O7="Maior é melhor"),"Melhorando","Piorando"))))</f>
        <v/>
      </c>
      <c r="N7" s="20" t="str">
        <f aca="false">IF(H7="","",IF(N(J7)&gt;=3,"Abrir análise de causa",IF(H7="Fora da meta","Analisar na reunião",IF(H7="Atenção","Acompanhar","Manter"))))</f>
        <v/>
      </c>
      <c r="O7" s="31" t="str">
        <f aca="false">IF(Fichas!H10="","",Fichas!H10)</f>
        <v/>
      </c>
    </row>
    <row r="8" customFormat="false" ht="27" hidden="false" customHeight="true" outlineLevel="0" collapsed="false">
      <c r="B8" s="18" t="n">
        <v>2</v>
      </c>
      <c r="C8" s="6" t="str">
        <f aca="false">IF(Fichas!C11="","",Fichas!C11)</f>
        <v/>
      </c>
      <c r="D8" s="24" t="str">
        <f aca="false">IF(Fichas!I11="","",Fichas!I11)</f>
        <v/>
      </c>
      <c r="E8" s="24" t="str">
        <f aca="false">IF(Fichas!J11="","",Fichas!J11)</f>
        <v/>
      </c>
      <c r="F8" s="24" t="str">
        <f aca="false">IF(C8="","",COUNT(Medições!$E$8:$P$8))</f>
        <v/>
      </c>
      <c r="G8" s="23" t="str">
        <f aca="false">IF(N(F8)=0,"",INDEX(Medições!$E$8:$P$8,F8))</f>
        <v/>
      </c>
      <c r="H8" s="24" t="str">
        <f aca="false">IF(OR(G8="",D8="",E8="",O8=""),"",IF(O8="Maior é melhor",IF(G8&gt;=D8,"Na meta",IF(G8&gt;=E8,"Atenção","Fora da meta")),IF(G8&lt;=D8,"Na meta",IF(G8&lt;=E8,"Atenção","Fora da meta"))))</f>
        <v/>
      </c>
      <c r="I8" s="30" t="str">
        <f aca="false">IF(N(F8)=0,"",AVERAGE(Medições!$E$8:$P$8))</f>
        <v/>
      </c>
      <c r="J8" s="27" t="str">
        <f aca="false">IF(N(F8)=0,"",N(Medições!Q23))</f>
        <v/>
      </c>
      <c r="K8" s="30" t="str">
        <f aca="false">IF(N(F8)&lt;6,"",AVERAGE(INDEX(Medições!$E$8:$P$8,F8-5):INDEX(Medições!$E$8:$P$8,F8-3)))</f>
        <v/>
      </c>
      <c r="L8" s="30" t="str">
        <f aca="false">IF(N(F8)&lt;6,"",AVERAGE(INDEX(Medições!$E$8:$P$8,F8-2):INDEX(Medições!$E$8:$P$8,F8)))</f>
        <v/>
      </c>
      <c r="M8" s="24" t="str">
        <f aca="false">IF(N(F8)=0,"",IF(OR(F8="",F8&lt;6),"Sem dados",IF(ABS(L8-K8)&lt;=0.05*ABS(K8),"Estável",IF((L8&gt;K8)=(O8="Maior é melhor"),"Melhorando","Piorando"))))</f>
        <v/>
      </c>
      <c r="N8" s="20" t="str">
        <f aca="false">IF(H8="","",IF(N(J8)&gt;=3,"Abrir análise de causa",IF(H8="Fora da meta","Analisar na reunião",IF(H8="Atenção","Acompanhar","Manter"))))</f>
        <v/>
      </c>
      <c r="O8" s="31" t="str">
        <f aca="false">IF(Fichas!H11="","",Fichas!H11)</f>
        <v/>
      </c>
    </row>
    <row r="9" customFormat="false" ht="27" hidden="false" customHeight="true" outlineLevel="0" collapsed="false">
      <c r="B9" s="18" t="n">
        <v>3</v>
      </c>
      <c r="C9" s="6" t="str">
        <f aca="false">IF(Fichas!C12="","",Fichas!C12)</f>
        <v/>
      </c>
      <c r="D9" s="24" t="str">
        <f aca="false">IF(Fichas!I12="","",Fichas!I12)</f>
        <v/>
      </c>
      <c r="E9" s="24" t="str">
        <f aca="false">IF(Fichas!J12="","",Fichas!J12)</f>
        <v/>
      </c>
      <c r="F9" s="24" t="str">
        <f aca="false">IF(C9="","",COUNT(Medições!$E$9:$P$9))</f>
        <v/>
      </c>
      <c r="G9" s="23" t="str">
        <f aca="false">IF(N(F9)=0,"",INDEX(Medições!$E$9:$P$9,F9))</f>
        <v/>
      </c>
      <c r="H9" s="24" t="str">
        <f aca="false">IF(OR(G9="",D9="",E9="",O9=""),"",IF(O9="Maior é melhor",IF(G9&gt;=D9,"Na meta",IF(G9&gt;=E9,"Atenção","Fora da meta")),IF(G9&lt;=D9,"Na meta",IF(G9&lt;=E9,"Atenção","Fora da meta"))))</f>
        <v/>
      </c>
      <c r="I9" s="30" t="str">
        <f aca="false">IF(N(F9)=0,"",AVERAGE(Medições!$E$9:$P$9))</f>
        <v/>
      </c>
      <c r="J9" s="27" t="str">
        <f aca="false">IF(N(F9)=0,"",N(Medições!Q24))</f>
        <v/>
      </c>
      <c r="K9" s="30" t="str">
        <f aca="false">IF(N(F9)&lt;6,"",AVERAGE(INDEX(Medições!$E$9:$P$9,F9-5):INDEX(Medições!$E$9:$P$9,F9-3)))</f>
        <v/>
      </c>
      <c r="L9" s="30" t="str">
        <f aca="false">IF(N(F9)&lt;6,"",AVERAGE(INDEX(Medições!$E$9:$P$9,F9-2):INDEX(Medições!$E$9:$P$9,F9)))</f>
        <v/>
      </c>
      <c r="M9" s="24" t="str">
        <f aca="false">IF(N(F9)=0,"",IF(OR(F9="",F9&lt;6),"Sem dados",IF(ABS(L9-K9)&lt;=0.05*ABS(K9),"Estável",IF((L9&gt;K9)=(O9="Maior é melhor"),"Melhorando","Piorando"))))</f>
        <v/>
      </c>
      <c r="N9" s="20" t="str">
        <f aca="false">IF(H9="","",IF(N(J9)&gt;=3,"Abrir análise de causa",IF(H9="Fora da meta","Analisar na reunião",IF(H9="Atenção","Acompanhar","Manter"))))</f>
        <v/>
      </c>
      <c r="O9" s="31" t="str">
        <f aca="false">IF(Fichas!H12="","",Fichas!H12)</f>
        <v/>
      </c>
    </row>
    <row r="10" customFormat="false" ht="27" hidden="false" customHeight="true" outlineLevel="0" collapsed="false">
      <c r="B10" s="18" t="n">
        <v>4</v>
      </c>
      <c r="C10" s="6" t="str">
        <f aca="false">IF(Fichas!C13="","",Fichas!C13)</f>
        <v/>
      </c>
      <c r="D10" s="24" t="str">
        <f aca="false">IF(Fichas!I13="","",Fichas!I13)</f>
        <v/>
      </c>
      <c r="E10" s="24" t="str">
        <f aca="false">IF(Fichas!J13="","",Fichas!J13)</f>
        <v/>
      </c>
      <c r="F10" s="24" t="str">
        <f aca="false">IF(C10="","",COUNT(Medições!$E$10:$P$10))</f>
        <v/>
      </c>
      <c r="G10" s="23" t="str">
        <f aca="false">IF(N(F10)=0,"",INDEX(Medições!$E$10:$P$10,F10))</f>
        <v/>
      </c>
      <c r="H10" s="24" t="str">
        <f aca="false">IF(OR(G10="",D10="",E10="",O10=""),"",IF(O10="Maior é melhor",IF(G10&gt;=D10,"Na meta",IF(G10&gt;=E10,"Atenção","Fora da meta")),IF(G10&lt;=D10,"Na meta",IF(G10&lt;=E10,"Atenção","Fora da meta"))))</f>
        <v/>
      </c>
      <c r="I10" s="30" t="str">
        <f aca="false">IF(N(F10)=0,"",AVERAGE(Medições!$E$10:$P$10))</f>
        <v/>
      </c>
      <c r="J10" s="27" t="str">
        <f aca="false">IF(N(F10)=0,"",N(Medições!Q25))</f>
        <v/>
      </c>
      <c r="K10" s="30" t="str">
        <f aca="false">IF(N(F10)&lt;6,"",AVERAGE(INDEX(Medições!$E$10:$P$10,F10-5):INDEX(Medições!$E$10:$P$10,F10-3)))</f>
        <v/>
      </c>
      <c r="L10" s="30" t="str">
        <f aca="false">IF(N(F10)&lt;6,"",AVERAGE(INDEX(Medições!$E$10:$P$10,F10-2):INDEX(Medições!$E$10:$P$10,F10)))</f>
        <v/>
      </c>
      <c r="M10" s="24" t="str">
        <f aca="false">IF(N(F10)=0,"",IF(OR(F10="",F10&lt;6),"Sem dados",IF(ABS(L10-K10)&lt;=0.05*ABS(K10),"Estável",IF((L10&gt;K10)=(O10="Maior é melhor"),"Melhorando","Piorando"))))</f>
        <v/>
      </c>
      <c r="N10" s="20" t="str">
        <f aca="false">IF(H10="","",IF(N(J10)&gt;=3,"Abrir análise de causa",IF(H10="Fora da meta","Analisar na reunião",IF(H10="Atenção","Acompanhar","Manter"))))</f>
        <v/>
      </c>
      <c r="O10" s="31" t="str">
        <f aca="false">IF(Fichas!H13="","",Fichas!H13)</f>
        <v/>
      </c>
    </row>
    <row r="11" customFormat="false" ht="27" hidden="false" customHeight="true" outlineLevel="0" collapsed="false">
      <c r="B11" s="18" t="n">
        <v>5</v>
      </c>
      <c r="C11" s="6" t="str">
        <f aca="false">IF(Fichas!C14="","",Fichas!C14)</f>
        <v/>
      </c>
      <c r="D11" s="24" t="str">
        <f aca="false">IF(Fichas!I14="","",Fichas!I14)</f>
        <v/>
      </c>
      <c r="E11" s="24" t="str">
        <f aca="false">IF(Fichas!J14="","",Fichas!J14)</f>
        <v/>
      </c>
      <c r="F11" s="24" t="str">
        <f aca="false">IF(C11="","",COUNT(Medições!$E$11:$P$11))</f>
        <v/>
      </c>
      <c r="G11" s="23" t="str">
        <f aca="false">IF(N(F11)=0,"",INDEX(Medições!$E$11:$P$11,F11))</f>
        <v/>
      </c>
      <c r="H11" s="24" t="str">
        <f aca="false">IF(OR(G11="",D11="",E11="",O11=""),"",IF(O11="Maior é melhor",IF(G11&gt;=D11,"Na meta",IF(G11&gt;=E11,"Atenção","Fora da meta")),IF(G11&lt;=D11,"Na meta",IF(G11&lt;=E11,"Atenção","Fora da meta"))))</f>
        <v/>
      </c>
      <c r="I11" s="30" t="str">
        <f aca="false">IF(N(F11)=0,"",AVERAGE(Medições!$E$11:$P$11))</f>
        <v/>
      </c>
      <c r="J11" s="27" t="str">
        <f aca="false">IF(N(F11)=0,"",N(Medições!Q26))</f>
        <v/>
      </c>
      <c r="K11" s="30" t="str">
        <f aca="false">IF(N(F11)&lt;6,"",AVERAGE(INDEX(Medições!$E$11:$P$11,F11-5):INDEX(Medições!$E$11:$P$11,F11-3)))</f>
        <v/>
      </c>
      <c r="L11" s="30" t="str">
        <f aca="false">IF(N(F11)&lt;6,"",AVERAGE(INDEX(Medições!$E$11:$P$11,F11-2):INDEX(Medições!$E$11:$P$11,F11)))</f>
        <v/>
      </c>
      <c r="M11" s="24" t="str">
        <f aca="false">IF(N(F11)=0,"",IF(OR(F11="",F11&lt;6),"Sem dados",IF(ABS(L11-K11)&lt;=0.05*ABS(K11),"Estável",IF((L11&gt;K11)=(O11="Maior é melhor"),"Melhorando","Piorando"))))</f>
        <v/>
      </c>
      <c r="N11" s="20" t="str">
        <f aca="false">IF(H11="","",IF(N(J11)&gt;=3,"Abrir análise de causa",IF(H11="Fora da meta","Analisar na reunião",IF(H11="Atenção","Acompanhar","Manter"))))</f>
        <v/>
      </c>
      <c r="O11" s="31" t="str">
        <f aca="false">IF(Fichas!H14="","",Fichas!H14)</f>
        <v/>
      </c>
    </row>
    <row r="12" customFormat="false" ht="27" hidden="false" customHeight="true" outlineLevel="0" collapsed="false">
      <c r="B12" s="18" t="n">
        <v>6</v>
      </c>
      <c r="C12" s="6" t="str">
        <f aca="false">IF(Fichas!C15="","",Fichas!C15)</f>
        <v/>
      </c>
      <c r="D12" s="24" t="str">
        <f aca="false">IF(Fichas!I15="","",Fichas!I15)</f>
        <v/>
      </c>
      <c r="E12" s="24" t="str">
        <f aca="false">IF(Fichas!J15="","",Fichas!J15)</f>
        <v/>
      </c>
      <c r="F12" s="24" t="str">
        <f aca="false">IF(C12="","",COUNT(Medições!$E$12:$P$12))</f>
        <v/>
      </c>
      <c r="G12" s="23" t="str">
        <f aca="false">IF(N(F12)=0,"",INDEX(Medições!$E$12:$P$12,F12))</f>
        <v/>
      </c>
      <c r="H12" s="24" t="str">
        <f aca="false">IF(OR(G12="",D12="",E12="",O12=""),"",IF(O12="Maior é melhor",IF(G12&gt;=D12,"Na meta",IF(G12&gt;=E12,"Atenção","Fora da meta")),IF(G12&lt;=D12,"Na meta",IF(G12&lt;=E12,"Atenção","Fora da meta"))))</f>
        <v/>
      </c>
      <c r="I12" s="30" t="str">
        <f aca="false">IF(N(F12)=0,"",AVERAGE(Medições!$E$12:$P$12))</f>
        <v/>
      </c>
      <c r="J12" s="27" t="str">
        <f aca="false">IF(N(F12)=0,"",N(Medições!Q27))</f>
        <v/>
      </c>
      <c r="K12" s="30" t="str">
        <f aca="false">IF(N(F12)&lt;6,"",AVERAGE(INDEX(Medições!$E$12:$P$12,F12-5):INDEX(Medições!$E$12:$P$12,F12-3)))</f>
        <v/>
      </c>
      <c r="L12" s="30" t="str">
        <f aca="false">IF(N(F12)&lt;6,"",AVERAGE(INDEX(Medições!$E$12:$P$12,F12-2):INDEX(Medições!$E$12:$P$12,F12)))</f>
        <v/>
      </c>
      <c r="M12" s="24" t="str">
        <f aca="false">IF(N(F12)=0,"",IF(OR(F12="",F12&lt;6),"Sem dados",IF(ABS(L12-K12)&lt;=0.05*ABS(K12),"Estável",IF((L12&gt;K12)=(O12="Maior é melhor"),"Melhorando","Piorando"))))</f>
        <v/>
      </c>
      <c r="N12" s="20" t="str">
        <f aca="false">IF(H12="","",IF(N(J12)&gt;=3,"Abrir análise de causa",IF(H12="Fora da meta","Analisar na reunião",IF(H12="Atenção","Acompanhar","Manter"))))</f>
        <v/>
      </c>
      <c r="O12" s="31" t="str">
        <f aca="false">IF(Fichas!H15="","",Fichas!H15)</f>
        <v/>
      </c>
    </row>
    <row r="13" customFormat="false" ht="27" hidden="false" customHeight="true" outlineLevel="0" collapsed="false">
      <c r="B13" s="18" t="n">
        <v>7</v>
      </c>
      <c r="C13" s="6" t="str">
        <f aca="false">IF(Fichas!C16="","",Fichas!C16)</f>
        <v/>
      </c>
      <c r="D13" s="24" t="str">
        <f aca="false">IF(Fichas!I16="","",Fichas!I16)</f>
        <v/>
      </c>
      <c r="E13" s="24" t="str">
        <f aca="false">IF(Fichas!J16="","",Fichas!J16)</f>
        <v/>
      </c>
      <c r="F13" s="24" t="str">
        <f aca="false">IF(C13="","",COUNT(Medições!$E$13:$P$13))</f>
        <v/>
      </c>
      <c r="G13" s="23" t="str">
        <f aca="false">IF(N(F13)=0,"",INDEX(Medições!$E$13:$P$13,F13))</f>
        <v/>
      </c>
      <c r="H13" s="24" t="str">
        <f aca="false">IF(OR(G13="",D13="",E13="",O13=""),"",IF(O13="Maior é melhor",IF(G13&gt;=D13,"Na meta",IF(G13&gt;=E13,"Atenção","Fora da meta")),IF(G13&lt;=D13,"Na meta",IF(G13&lt;=E13,"Atenção","Fora da meta"))))</f>
        <v/>
      </c>
      <c r="I13" s="30" t="str">
        <f aca="false">IF(N(F13)=0,"",AVERAGE(Medições!$E$13:$P$13))</f>
        <v/>
      </c>
      <c r="J13" s="27" t="str">
        <f aca="false">IF(N(F13)=0,"",N(Medições!Q28))</f>
        <v/>
      </c>
      <c r="K13" s="30" t="str">
        <f aca="false">IF(N(F13)&lt;6,"",AVERAGE(INDEX(Medições!$E$13:$P$13,F13-5):INDEX(Medições!$E$13:$P$13,F13-3)))</f>
        <v/>
      </c>
      <c r="L13" s="30" t="str">
        <f aca="false">IF(N(F13)&lt;6,"",AVERAGE(INDEX(Medições!$E$13:$P$13,F13-2):INDEX(Medições!$E$13:$P$13,F13)))</f>
        <v/>
      </c>
      <c r="M13" s="24" t="str">
        <f aca="false">IF(N(F13)=0,"",IF(OR(F13="",F13&lt;6),"Sem dados",IF(ABS(L13-K13)&lt;=0.05*ABS(K13),"Estável",IF((L13&gt;K13)=(O13="Maior é melhor"),"Melhorando","Piorando"))))</f>
        <v/>
      </c>
      <c r="N13" s="20" t="str">
        <f aca="false">IF(H13="","",IF(N(J13)&gt;=3,"Abrir análise de causa",IF(H13="Fora da meta","Analisar na reunião",IF(H13="Atenção","Acompanhar","Manter"))))</f>
        <v/>
      </c>
      <c r="O13" s="31" t="str">
        <f aca="false">IF(Fichas!H16="","",Fichas!H16)</f>
        <v/>
      </c>
    </row>
    <row r="14" customFormat="false" ht="27" hidden="false" customHeight="true" outlineLevel="0" collapsed="false">
      <c r="B14" s="18" t="n">
        <v>8</v>
      </c>
      <c r="C14" s="6" t="str">
        <f aca="false">IF(Fichas!C17="","",Fichas!C17)</f>
        <v/>
      </c>
      <c r="D14" s="24" t="str">
        <f aca="false">IF(Fichas!I17="","",Fichas!I17)</f>
        <v/>
      </c>
      <c r="E14" s="24" t="str">
        <f aca="false">IF(Fichas!J17="","",Fichas!J17)</f>
        <v/>
      </c>
      <c r="F14" s="24" t="str">
        <f aca="false">IF(C14="","",COUNT(Medições!$E$14:$P$14))</f>
        <v/>
      </c>
      <c r="G14" s="23" t="str">
        <f aca="false">IF(N(F14)=0,"",INDEX(Medições!$E$14:$P$14,F14))</f>
        <v/>
      </c>
      <c r="H14" s="24" t="str">
        <f aca="false">IF(OR(G14="",D14="",E14="",O14=""),"",IF(O14="Maior é melhor",IF(G14&gt;=D14,"Na meta",IF(G14&gt;=E14,"Atenção","Fora da meta")),IF(G14&lt;=D14,"Na meta",IF(G14&lt;=E14,"Atenção","Fora da meta"))))</f>
        <v/>
      </c>
      <c r="I14" s="30" t="str">
        <f aca="false">IF(N(F14)=0,"",AVERAGE(Medições!$E$14:$P$14))</f>
        <v/>
      </c>
      <c r="J14" s="27" t="str">
        <f aca="false">IF(N(F14)=0,"",N(Medições!Q29))</f>
        <v/>
      </c>
      <c r="K14" s="30" t="str">
        <f aca="false">IF(N(F14)&lt;6,"",AVERAGE(INDEX(Medições!$E$14:$P$14,F14-5):INDEX(Medições!$E$14:$P$14,F14-3)))</f>
        <v/>
      </c>
      <c r="L14" s="30" t="str">
        <f aca="false">IF(N(F14)&lt;6,"",AVERAGE(INDEX(Medições!$E$14:$P$14,F14-2):INDEX(Medições!$E$14:$P$14,F14)))</f>
        <v/>
      </c>
      <c r="M14" s="24" t="str">
        <f aca="false">IF(N(F14)=0,"",IF(OR(F14="",F14&lt;6),"Sem dados",IF(ABS(L14-K14)&lt;=0.05*ABS(K14),"Estável",IF((L14&gt;K14)=(O14="Maior é melhor"),"Melhorando","Piorando"))))</f>
        <v/>
      </c>
      <c r="N14" s="20" t="str">
        <f aca="false">IF(H14="","",IF(N(J14)&gt;=3,"Abrir análise de causa",IF(H14="Fora da meta","Analisar na reunião",IF(H14="Atenção","Acompanhar","Manter"))))</f>
        <v/>
      </c>
      <c r="O14" s="31" t="str">
        <f aca="false">IF(Fichas!H17="","",Fichas!H17)</f>
        <v/>
      </c>
    </row>
    <row r="15" customFormat="false" ht="27" hidden="false" customHeight="true" outlineLevel="0" collapsed="false">
      <c r="B15" s="18" t="n">
        <v>9</v>
      </c>
      <c r="C15" s="6" t="str">
        <f aca="false">IF(Fichas!C18="","",Fichas!C18)</f>
        <v/>
      </c>
      <c r="D15" s="24" t="str">
        <f aca="false">IF(Fichas!I18="","",Fichas!I18)</f>
        <v/>
      </c>
      <c r="E15" s="24" t="str">
        <f aca="false">IF(Fichas!J18="","",Fichas!J18)</f>
        <v/>
      </c>
      <c r="F15" s="24" t="str">
        <f aca="false">IF(C15="","",COUNT(Medições!$E$15:$P$15))</f>
        <v/>
      </c>
      <c r="G15" s="23" t="str">
        <f aca="false">IF(N(F15)=0,"",INDEX(Medições!$E$15:$P$15,F15))</f>
        <v/>
      </c>
      <c r="H15" s="24" t="str">
        <f aca="false">IF(OR(G15="",D15="",E15="",O15=""),"",IF(O15="Maior é melhor",IF(G15&gt;=D15,"Na meta",IF(G15&gt;=E15,"Atenção","Fora da meta")),IF(G15&lt;=D15,"Na meta",IF(G15&lt;=E15,"Atenção","Fora da meta"))))</f>
        <v/>
      </c>
      <c r="I15" s="30" t="str">
        <f aca="false">IF(N(F15)=0,"",AVERAGE(Medições!$E$15:$P$15))</f>
        <v/>
      </c>
      <c r="J15" s="27" t="str">
        <f aca="false">IF(N(F15)=0,"",N(Medições!Q30))</f>
        <v/>
      </c>
      <c r="K15" s="30" t="str">
        <f aca="false">IF(N(F15)&lt;6,"",AVERAGE(INDEX(Medições!$E$15:$P$15,F15-5):INDEX(Medições!$E$15:$P$15,F15-3)))</f>
        <v/>
      </c>
      <c r="L15" s="30" t="str">
        <f aca="false">IF(N(F15)&lt;6,"",AVERAGE(INDEX(Medições!$E$15:$P$15,F15-2):INDEX(Medições!$E$15:$P$15,F15)))</f>
        <v/>
      </c>
      <c r="M15" s="24" t="str">
        <f aca="false">IF(N(F15)=0,"",IF(OR(F15="",F15&lt;6),"Sem dados",IF(ABS(L15-K15)&lt;=0.05*ABS(K15),"Estável",IF((L15&gt;K15)=(O15="Maior é melhor"),"Melhorando","Piorando"))))</f>
        <v/>
      </c>
      <c r="N15" s="20" t="str">
        <f aca="false">IF(H15="","",IF(N(J15)&gt;=3,"Abrir análise de causa",IF(H15="Fora da meta","Analisar na reunião",IF(H15="Atenção","Acompanhar","Manter"))))</f>
        <v/>
      </c>
      <c r="O15" s="31" t="str">
        <f aca="false">IF(Fichas!H18="","",Fichas!H18)</f>
        <v/>
      </c>
    </row>
    <row r="16" customFormat="false" ht="27" hidden="false" customHeight="true" outlineLevel="0" collapsed="false">
      <c r="B16" s="18" t="n">
        <v>10</v>
      </c>
      <c r="C16" s="6" t="str">
        <f aca="false">IF(Fichas!C19="","",Fichas!C19)</f>
        <v/>
      </c>
      <c r="D16" s="24" t="str">
        <f aca="false">IF(Fichas!I19="","",Fichas!I19)</f>
        <v/>
      </c>
      <c r="E16" s="24" t="str">
        <f aca="false">IF(Fichas!J19="","",Fichas!J19)</f>
        <v/>
      </c>
      <c r="F16" s="24" t="str">
        <f aca="false">IF(C16="","",COUNT(Medições!$E$16:$P$16))</f>
        <v/>
      </c>
      <c r="G16" s="23" t="str">
        <f aca="false">IF(N(F16)=0,"",INDEX(Medições!$E$16:$P$16,F16))</f>
        <v/>
      </c>
      <c r="H16" s="24" t="str">
        <f aca="false">IF(OR(G16="",D16="",E16="",O16=""),"",IF(O16="Maior é melhor",IF(G16&gt;=D16,"Na meta",IF(G16&gt;=E16,"Atenção","Fora da meta")),IF(G16&lt;=D16,"Na meta",IF(G16&lt;=E16,"Atenção","Fora da meta"))))</f>
        <v/>
      </c>
      <c r="I16" s="30" t="str">
        <f aca="false">IF(N(F16)=0,"",AVERAGE(Medições!$E$16:$P$16))</f>
        <v/>
      </c>
      <c r="J16" s="27" t="str">
        <f aca="false">IF(N(F16)=0,"",N(Medições!Q31))</f>
        <v/>
      </c>
      <c r="K16" s="30" t="str">
        <f aca="false">IF(N(F16)&lt;6,"",AVERAGE(INDEX(Medições!$E$16:$P$16,F16-5):INDEX(Medições!$E$16:$P$16,F16-3)))</f>
        <v/>
      </c>
      <c r="L16" s="30" t="str">
        <f aca="false">IF(N(F16)&lt;6,"",AVERAGE(INDEX(Medições!$E$16:$P$16,F16-2):INDEX(Medições!$E$16:$P$16,F16)))</f>
        <v/>
      </c>
      <c r="M16" s="24" t="str">
        <f aca="false">IF(N(F16)=0,"",IF(OR(F16="",F16&lt;6),"Sem dados",IF(ABS(L16-K16)&lt;=0.05*ABS(K16),"Estável",IF((L16&gt;K16)=(O16="Maior é melhor"),"Melhorando","Piorando"))))</f>
        <v/>
      </c>
      <c r="N16" s="20" t="str">
        <f aca="false">IF(H16="","",IF(N(J16)&gt;=3,"Abrir análise de causa",IF(H16="Fora da meta","Analisar na reunião",IF(H16="Atenção","Acompanhar","Manter"))))</f>
        <v/>
      </c>
      <c r="O16" s="31" t="str">
        <f aca="false">IF(Fichas!H19="","",Fichas!H19)</f>
        <v/>
      </c>
    </row>
    <row r="17" customFormat="false" ht="27" hidden="false" customHeight="true" outlineLevel="0" collapsed="false">
      <c r="B17" s="18" t="n">
        <v>11</v>
      </c>
      <c r="C17" s="6" t="str">
        <f aca="false">IF(Fichas!C20="","",Fichas!C20)</f>
        <v/>
      </c>
      <c r="D17" s="24" t="str">
        <f aca="false">IF(Fichas!I20="","",Fichas!I20)</f>
        <v/>
      </c>
      <c r="E17" s="24" t="str">
        <f aca="false">IF(Fichas!J20="","",Fichas!J20)</f>
        <v/>
      </c>
      <c r="F17" s="24" t="str">
        <f aca="false">IF(C17="","",COUNT(Medições!$E$17:$P$17))</f>
        <v/>
      </c>
      <c r="G17" s="23" t="str">
        <f aca="false">IF(N(F17)=0,"",INDEX(Medições!$E$17:$P$17,F17))</f>
        <v/>
      </c>
      <c r="H17" s="24" t="str">
        <f aca="false">IF(OR(G17="",D17="",E17="",O17=""),"",IF(O17="Maior é melhor",IF(G17&gt;=D17,"Na meta",IF(G17&gt;=E17,"Atenção","Fora da meta")),IF(G17&lt;=D17,"Na meta",IF(G17&lt;=E17,"Atenção","Fora da meta"))))</f>
        <v/>
      </c>
      <c r="I17" s="30" t="str">
        <f aca="false">IF(N(F17)=0,"",AVERAGE(Medições!$E$17:$P$17))</f>
        <v/>
      </c>
      <c r="J17" s="27" t="str">
        <f aca="false">IF(N(F17)=0,"",N(Medições!Q32))</f>
        <v/>
      </c>
      <c r="K17" s="30" t="str">
        <f aca="false">IF(N(F17)&lt;6,"",AVERAGE(INDEX(Medições!$E$17:$P$17,F17-5):INDEX(Medições!$E$17:$P$17,F17-3)))</f>
        <v/>
      </c>
      <c r="L17" s="30" t="str">
        <f aca="false">IF(N(F17)&lt;6,"",AVERAGE(INDEX(Medições!$E$17:$P$17,F17-2):INDEX(Medições!$E$17:$P$17,F17)))</f>
        <v/>
      </c>
      <c r="M17" s="24" t="str">
        <f aca="false">IF(N(F17)=0,"",IF(OR(F17="",F17&lt;6),"Sem dados",IF(ABS(L17-K17)&lt;=0.05*ABS(K17),"Estável",IF((L17&gt;K17)=(O17="Maior é melhor"),"Melhorando","Piorando"))))</f>
        <v/>
      </c>
      <c r="N17" s="20" t="str">
        <f aca="false">IF(H17="","",IF(N(J17)&gt;=3,"Abrir análise de causa",IF(H17="Fora da meta","Analisar na reunião",IF(H17="Atenção","Acompanhar","Manter"))))</f>
        <v/>
      </c>
      <c r="O17" s="31" t="str">
        <f aca="false">IF(Fichas!H20="","",Fichas!H20)</f>
        <v/>
      </c>
    </row>
    <row r="18" customFormat="false" ht="27" hidden="false" customHeight="true" outlineLevel="0" collapsed="false">
      <c r="B18" s="18" t="n">
        <v>12</v>
      </c>
      <c r="C18" s="6" t="str">
        <f aca="false">IF(Fichas!C21="","",Fichas!C21)</f>
        <v/>
      </c>
      <c r="D18" s="24" t="str">
        <f aca="false">IF(Fichas!I21="","",Fichas!I21)</f>
        <v/>
      </c>
      <c r="E18" s="24" t="str">
        <f aca="false">IF(Fichas!J21="","",Fichas!J21)</f>
        <v/>
      </c>
      <c r="F18" s="24" t="str">
        <f aca="false">IF(C18="","",COUNT(Medições!$E$18:$P$18))</f>
        <v/>
      </c>
      <c r="G18" s="23" t="str">
        <f aca="false">IF(N(F18)=0,"",INDEX(Medições!$E$18:$P$18,F18))</f>
        <v/>
      </c>
      <c r="H18" s="24" t="str">
        <f aca="false">IF(OR(G18="",D18="",E18="",O18=""),"",IF(O18="Maior é melhor",IF(G18&gt;=D18,"Na meta",IF(G18&gt;=E18,"Atenção","Fora da meta")),IF(G18&lt;=D18,"Na meta",IF(G18&lt;=E18,"Atenção","Fora da meta"))))</f>
        <v/>
      </c>
      <c r="I18" s="30" t="str">
        <f aca="false">IF(N(F18)=0,"",AVERAGE(Medições!$E$18:$P$18))</f>
        <v/>
      </c>
      <c r="J18" s="27" t="str">
        <f aca="false">IF(N(F18)=0,"",N(Medições!Q33))</f>
        <v/>
      </c>
      <c r="K18" s="30" t="str">
        <f aca="false">IF(N(F18)&lt;6,"",AVERAGE(INDEX(Medições!$E$18:$P$18,F18-5):INDEX(Medições!$E$18:$P$18,F18-3)))</f>
        <v/>
      </c>
      <c r="L18" s="30" t="str">
        <f aca="false">IF(N(F18)&lt;6,"",AVERAGE(INDEX(Medições!$E$18:$P$18,F18-2):INDEX(Medições!$E$18:$P$18,F18)))</f>
        <v/>
      </c>
      <c r="M18" s="24" t="str">
        <f aca="false">IF(N(F18)=0,"",IF(OR(F18="",F18&lt;6),"Sem dados",IF(ABS(L18-K18)&lt;=0.05*ABS(K18),"Estável",IF((L18&gt;K18)=(O18="Maior é melhor"),"Melhorando","Piorando"))))</f>
        <v/>
      </c>
      <c r="N18" s="20" t="str">
        <f aca="false">IF(H18="","",IF(N(J18)&gt;=3,"Abrir análise de causa",IF(H18="Fora da meta","Analisar na reunião",IF(H18="Atenção","Acompanhar","Manter"))))</f>
        <v/>
      </c>
      <c r="O18" s="31" t="str">
        <f aca="false">IF(Fichas!H21="","",Fichas!H21)</f>
        <v/>
      </c>
    </row>
    <row r="20" customFormat="false" ht="21.75" hidden="false" customHeight="true" outlineLevel="0" collapsed="false">
      <c r="B20" s="21" t="s">
        <v>102</v>
      </c>
      <c r="C20" s="21"/>
      <c r="D20" s="21"/>
      <c r="E20" s="21"/>
      <c r="F20" s="21"/>
      <c r="G20" s="21"/>
      <c r="H20" s="21"/>
    </row>
    <row r="21" customFormat="false" ht="21.75" hidden="false" customHeight="true" outlineLevel="0" collapsed="false">
      <c r="B21" s="22" t="s">
        <v>122</v>
      </c>
      <c r="C21" s="22"/>
      <c r="D21" s="23" t="n">
        <f aca="false">COUNTIF(F7:F18,"&gt;0")</f>
        <v>0</v>
      </c>
      <c r="E21" s="23"/>
      <c r="F21" s="23"/>
      <c r="G21" s="23"/>
      <c r="H21" s="23"/>
    </row>
    <row r="22" customFormat="false" ht="21.75" hidden="false" customHeight="true" outlineLevel="0" collapsed="false">
      <c r="B22" s="22" t="s">
        <v>14</v>
      </c>
      <c r="C22" s="22"/>
      <c r="D22" s="23" t="n">
        <f aca="false">COUNTIF(H7:H18,"Na meta")</f>
        <v>0</v>
      </c>
      <c r="E22" s="23"/>
      <c r="F22" s="23"/>
      <c r="G22" s="23"/>
      <c r="H22" s="23"/>
    </row>
    <row r="23" customFormat="false" ht="21.75" hidden="false" customHeight="true" outlineLevel="0" collapsed="false">
      <c r="B23" s="22" t="s">
        <v>16</v>
      </c>
      <c r="C23" s="22"/>
      <c r="D23" s="23" t="n">
        <f aca="false">COUNTIF(H7:H18,"Atenção")</f>
        <v>0</v>
      </c>
      <c r="E23" s="23"/>
      <c r="F23" s="23"/>
      <c r="G23" s="23"/>
      <c r="H23" s="23"/>
    </row>
    <row r="24" customFormat="false" ht="21.75" hidden="false" customHeight="true" outlineLevel="0" collapsed="false">
      <c r="B24" s="22" t="s">
        <v>18</v>
      </c>
      <c r="C24" s="22"/>
      <c r="D24" s="23" t="n">
        <f aca="false">COUNTIF(H7:H18,"Fora da meta")</f>
        <v>0</v>
      </c>
      <c r="E24" s="23"/>
      <c r="F24" s="23"/>
      <c r="G24" s="23"/>
      <c r="H24" s="23"/>
    </row>
    <row r="25" customFormat="false" ht="21.75" hidden="false" customHeight="true" outlineLevel="0" collapsed="false">
      <c r="B25" s="22" t="s">
        <v>123</v>
      </c>
      <c r="C25" s="22"/>
      <c r="D25" s="23" t="n">
        <f aca="false">COUNTIF(N7:N18,"Abrir análise de causa")</f>
        <v>0</v>
      </c>
      <c r="E25" s="23"/>
      <c r="F25" s="23"/>
      <c r="G25" s="23"/>
      <c r="H25" s="23"/>
    </row>
    <row r="26" customFormat="false" ht="21.75" hidden="false" customHeight="true" outlineLevel="0" collapsed="false">
      <c r="B26" s="22" t="s">
        <v>105</v>
      </c>
      <c r="C26" s="22"/>
      <c r="D26" s="20" t="str">
        <f aca="false">IF(D21=0,"Registre os resultados na aba Medições",IF(Medições!D38&lt;&gt;"OK",Medições!D38,IF(D25&gt;0,"Há indicador que pede análise de causa",IF(D24&gt;0,"Há indicador fora da meta","OK"))))</f>
        <v>Registre os resultados na aba Medições</v>
      </c>
      <c r="E26" s="20"/>
      <c r="F26" s="20"/>
      <c r="G26" s="20"/>
      <c r="H26" s="20"/>
    </row>
    <row r="28" customFormat="false" ht="21.75" hidden="false" customHeight="true" outlineLevel="0" collapsed="false">
      <c r="B28" s="21" t="s">
        <v>124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customFormat="false" ht="24" hidden="false" customHeight="true" outlineLevel="0" collapsed="false">
      <c r="B29" s="4" t="s">
        <v>125</v>
      </c>
      <c r="C29" s="4"/>
      <c r="D29" s="19" t="n">
        <v>1</v>
      </c>
      <c r="E29" s="32" t="str">
        <f aca="false">IF(D29="","Informe o número do indicador",IF(INDEX(C7:C18,D29)="","Indicador sem cadastro",INDEX(C7:C18,D29)))</f>
        <v>Indicador sem cadastro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customFormat="false" ht="19.5" hidden="false" customHeight="true" outlineLevel="0" collapsed="false">
      <c r="B30" s="4" t="s">
        <v>67</v>
      </c>
      <c r="C30" s="4"/>
      <c r="D30" s="20" t="str">
        <f aca="false">IF(Medições!E6="","",Medições!E6&amp;"")</f>
        <v/>
      </c>
      <c r="E30" s="20" t="str">
        <f aca="false">IF(Medições!F6="","",Medições!F6&amp;"")</f>
        <v/>
      </c>
      <c r="F30" s="20" t="str">
        <f aca="false">IF(Medições!G6="","",Medições!G6&amp;"")</f>
        <v/>
      </c>
      <c r="G30" s="20" t="str">
        <f aca="false">IF(Medições!H6="","",Medições!H6&amp;"")</f>
        <v/>
      </c>
      <c r="H30" s="20" t="str">
        <f aca="false">IF(Medições!I6="","",Medições!I6&amp;"")</f>
        <v/>
      </c>
      <c r="I30" s="20" t="str">
        <f aca="false">IF(Medições!J6="","",Medições!J6&amp;"")</f>
        <v/>
      </c>
      <c r="J30" s="20" t="str">
        <f aca="false">IF(Medições!K6="","",Medições!K6&amp;"")</f>
        <v/>
      </c>
      <c r="K30" s="20" t="str">
        <f aca="false">IF(Medições!L6="","",Medições!L6&amp;"")</f>
        <v/>
      </c>
      <c r="L30" s="20" t="str">
        <f aca="false">IF(Medições!M6="","",Medições!M6&amp;"")</f>
        <v/>
      </c>
      <c r="M30" s="20" t="str">
        <f aca="false">IF(Medições!N6="","",Medições!N6&amp;"")</f>
        <v/>
      </c>
      <c r="N30" s="20" t="str">
        <f aca="false">IF(Medições!O6="","",Medições!O6&amp;"")</f>
        <v/>
      </c>
      <c r="O30" s="20" t="str">
        <f aca="false">IF(Medições!P6="","",Medições!P6&amp;"")</f>
        <v/>
      </c>
    </row>
    <row r="31" customFormat="false" ht="19.5" hidden="false" customHeight="true" outlineLevel="0" collapsed="false">
      <c r="B31" s="4" t="s">
        <v>126</v>
      </c>
      <c r="C31" s="4"/>
      <c r="D31" s="20" t="e">
        <f aca="false">IF(N($D$29)=0,NA(),IF(INDEX(Medições!E7:E18,N($D$29))="",NA(),INDEX(Medições!E7:E18,N($D$29))))</f>
        <v>#N/A</v>
      </c>
      <c r="E31" s="20" t="e">
        <f aca="false">IF(N($D$29)=0,NA(),IF(INDEX(Medições!F7:F18,N($D$29))="",NA(),INDEX(Medições!F7:F18,N($D$29))))</f>
        <v>#N/A</v>
      </c>
      <c r="F31" s="20" t="e">
        <f aca="false">IF(N($D$29)=0,NA(),IF(INDEX(Medições!G7:G18,N($D$29))="",NA(),INDEX(Medições!G7:G18,N($D$29))))</f>
        <v>#N/A</v>
      </c>
      <c r="G31" s="20" t="e">
        <f aca="false">IF(N($D$29)=0,NA(),IF(INDEX(Medições!H7:H18,N($D$29))="",NA(),INDEX(Medições!H7:H18,N($D$29))))</f>
        <v>#N/A</v>
      </c>
      <c r="H31" s="20" t="e">
        <f aca="false">IF(N($D$29)=0,NA(),IF(INDEX(Medições!I7:I18,N($D$29))="",NA(),INDEX(Medições!I7:I18,N($D$29))))</f>
        <v>#N/A</v>
      </c>
      <c r="I31" s="20" t="e">
        <f aca="false">IF(N($D$29)=0,NA(),IF(INDEX(Medições!J7:J18,N($D$29))="",NA(),INDEX(Medições!J7:J18,N($D$29))))</f>
        <v>#N/A</v>
      </c>
      <c r="J31" s="20" t="e">
        <f aca="false">IF(N($D$29)=0,NA(),IF(INDEX(Medições!K7:K18,N($D$29))="",NA(),INDEX(Medições!K7:K18,N($D$29))))</f>
        <v>#N/A</v>
      </c>
      <c r="K31" s="20" t="e">
        <f aca="false">IF(N($D$29)=0,NA(),IF(INDEX(Medições!L7:L18,N($D$29))="",NA(),INDEX(Medições!L7:L18,N($D$29))))</f>
        <v>#N/A</v>
      </c>
      <c r="L31" s="20" t="e">
        <f aca="false">IF(N($D$29)=0,NA(),IF(INDEX(Medições!M7:M18,N($D$29))="",NA(),INDEX(Medições!M7:M18,N($D$29))))</f>
        <v>#N/A</v>
      </c>
      <c r="M31" s="20" t="e">
        <f aca="false">IF(N($D$29)=0,NA(),IF(INDEX(Medições!N7:N18,N($D$29))="",NA(),INDEX(Medições!N7:N18,N($D$29))))</f>
        <v>#N/A</v>
      </c>
      <c r="N31" s="20" t="e">
        <f aca="false">IF(N($D$29)=0,NA(),IF(INDEX(Medições!O7:O18,N($D$29))="",NA(),INDEX(Medições!O7:O18,N($D$29))))</f>
        <v>#N/A</v>
      </c>
      <c r="O31" s="20" t="e">
        <f aca="false">IF(N($D$29)=0,NA(),IF(INDEX(Medições!P7:P18,N($D$29))="",NA(),INDEX(Medições!P7:P18,N($D$29))))</f>
        <v>#N/A</v>
      </c>
    </row>
    <row r="32" customFormat="false" ht="19.5" hidden="false" customHeight="true" outlineLevel="0" collapsed="false">
      <c r="B32" s="4" t="s">
        <v>76</v>
      </c>
      <c r="C32" s="4"/>
      <c r="D32" s="20" t="e">
        <f aca="false">IF(N($D$29)=0,NA(),IF(OR(INDEX(D$7:D$18,N($D$29))="",ISNA(D31)),NA(),INDEX(D$7:D$18,N($D$29))))</f>
        <v>#N/A</v>
      </c>
      <c r="E32" s="20" t="e">
        <f aca="false">IF(N($D$29)=0,NA(),IF(OR(INDEX(D$7:D$18,N($D$29))="",ISNA(E31)),NA(),INDEX(D$7:D$18,N($D$29))))</f>
        <v>#N/A</v>
      </c>
      <c r="F32" s="20" t="e">
        <f aca="false">IF(N($D$29)=0,NA(),IF(OR(INDEX(D$7:D$18,N($D$29))="",ISNA(F31)),NA(),INDEX(D$7:D$18,N($D$29))))</f>
        <v>#N/A</v>
      </c>
      <c r="G32" s="20" t="e">
        <f aca="false">IF(N($D$29)=0,NA(),IF(OR(INDEX(D$7:D$18,N($D$29))="",ISNA(G31)),NA(),INDEX(D$7:D$18,N($D$29))))</f>
        <v>#N/A</v>
      </c>
      <c r="H32" s="20" t="e">
        <f aca="false">IF(N($D$29)=0,NA(),IF(OR(INDEX(D$7:D$18,N($D$29))="",ISNA(H31)),NA(),INDEX(D$7:D$18,N($D$29))))</f>
        <v>#N/A</v>
      </c>
      <c r="I32" s="20" t="e">
        <f aca="false">IF(N($D$29)=0,NA(),IF(OR(INDEX(D$7:D$18,N($D$29))="",ISNA(I31)),NA(),INDEX(D$7:D$18,N($D$29))))</f>
        <v>#N/A</v>
      </c>
      <c r="J32" s="20" t="e">
        <f aca="false">IF(N($D$29)=0,NA(),IF(OR(INDEX(D$7:D$18,N($D$29))="",ISNA(J31)),NA(),INDEX(D$7:D$18,N($D$29))))</f>
        <v>#N/A</v>
      </c>
      <c r="K32" s="20" t="e">
        <f aca="false">IF(N($D$29)=0,NA(),IF(OR(INDEX(D$7:D$18,N($D$29))="",ISNA(K31)),NA(),INDEX(D$7:D$18,N($D$29))))</f>
        <v>#N/A</v>
      </c>
      <c r="L32" s="20" t="e">
        <f aca="false">IF(N($D$29)=0,NA(),IF(OR(INDEX(D$7:D$18,N($D$29))="",ISNA(L31)),NA(),INDEX(D$7:D$18,N($D$29))))</f>
        <v>#N/A</v>
      </c>
      <c r="M32" s="20" t="e">
        <f aca="false">IF(N($D$29)=0,NA(),IF(OR(INDEX(D$7:D$18,N($D$29))="",ISNA(M31)),NA(),INDEX(D$7:D$18,N($D$29))))</f>
        <v>#N/A</v>
      </c>
      <c r="N32" s="20" t="e">
        <f aca="false">IF(N($D$29)=0,NA(),IF(OR(INDEX(D$7:D$18,N($D$29))="",ISNA(N31)),NA(),INDEX(D$7:D$18,N($D$29))))</f>
        <v>#N/A</v>
      </c>
      <c r="O32" s="20" t="e">
        <f aca="false">IF(N($D$29)=0,NA(),IF(OR(INDEX(D$7:D$18,N($D$29))="",ISNA(O31)),NA(),INDEX(D$7:D$18,N($D$29))))</f>
        <v>#N/A</v>
      </c>
    </row>
    <row r="33" customFormat="false" ht="19.5" hidden="false" customHeight="true" outlineLevel="0" collapsed="false">
      <c r="B33" s="4" t="s">
        <v>53</v>
      </c>
      <c r="C33" s="4"/>
      <c r="D33" s="20" t="e">
        <f aca="false">IF(N($D$29)=0,NA(),IF(OR(INDEX(E$7:E$18,N($D$29))="",ISNA(D31)),NA(),INDEX(E$7:E$18,N($D$29))))</f>
        <v>#N/A</v>
      </c>
      <c r="E33" s="20" t="e">
        <f aca="false">IF(N($D$29)=0,NA(),IF(OR(INDEX(E$7:E$18,N($D$29))="",ISNA(E31)),NA(),INDEX(E$7:E$18,N($D$29))))</f>
        <v>#N/A</v>
      </c>
      <c r="F33" s="20" t="e">
        <f aca="false">IF(N($D$29)=0,NA(),IF(OR(INDEX(E$7:E$18,N($D$29))="",ISNA(F31)),NA(),INDEX(E$7:E$18,N($D$29))))</f>
        <v>#N/A</v>
      </c>
      <c r="G33" s="20" t="e">
        <f aca="false">IF(N($D$29)=0,NA(),IF(OR(INDEX(E$7:E$18,N($D$29))="",ISNA(G31)),NA(),INDEX(E$7:E$18,N($D$29))))</f>
        <v>#N/A</v>
      </c>
      <c r="H33" s="20" t="e">
        <f aca="false">IF(N($D$29)=0,NA(),IF(OR(INDEX(E$7:E$18,N($D$29))="",ISNA(H31)),NA(),INDEX(E$7:E$18,N($D$29))))</f>
        <v>#N/A</v>
      </c>
      <c r="I33" s="20" t="e">
        <f aca="false">IF(N($D$29)=0,NA(),IF(OR(INDEX(E$7:E$18,N($D$29))="",ISNA(I31)),NA(),INDEX(E$7:E$18,N($D$29))))</f>
        <v>#N/A</v>
      </c>
      <c r="J33" s="20" t="e">
        <f aca="false">IF(N($D$29)=0,NA(),IF(OR(INDEX(E$7:E$18,N($D$29))="",ISNA(J31)),NA(),INDEX(E$7:E$18,N($D$29))))</f>
        <v>#N/A</v>
      </c>
      <c r="K33" s="20" t="e">
        <f aca="false">IF(N($D$29)=0,NA(),IF(OR(INDEX(E$7:E$18,N($D$29))="",ISNA(K31)),NA(),INDEX(E$7:E$18,N($D$29))))</f>
        <v>#N/A</v>
      </c>
      <c r="L33" s="20" t="e">
        <f aca="false">IF(N($D$29)=0,NA(),IF(OR(INDEX(E$7:E$18,N($D$29))="",ISNA(L31)),NA(),INDEX(E$7:E$18,N($D$29))))</f>
        <v>#N/A</v>
      </c>
      <c r="M33" s="20" t="e">
        <f aca="false">IF(N($D$29)=0,NA(),IF(OR(INDEX(E$7:E$18,N($D$29))="",ISNA(M31)),NA(),INDEX(E$7:E$18,N($D$29))))</f>
        <v>#N/A</v>
      </c>
      <c r="N33" s="20" t="e">
        <f aca="false">IF(N($D$29)=0,NA(),IF(OR(INDEX(E$7:E$18,N($D$29))="",ISNA(N31)),NA(),INDEX(E$7:E$18,N($D$29))))</f>
        <v>#N/A</v>
      </c>
      <c r="O33" s="20" t="e">
        <f aca="false">IF(N($D$29)=0,NA(),IF(OR(INDEX(E$7:E$18,N($D$29))="",ISNA(O31)),NA(),INDEX(E$7:E$18,N($D$29))))</f>
        <v>#N/A</v>
      </c>
    </row>
  </sheetData>
  <mergeCells count="26">
    <mergeCell ref="B1:O1"/>
    <mergeCell ref="B2:O2"/>
    <mergeCell ref="B4:C4"/>
    <mergeCell ref="D4:H4"/>
    <mergeCell ref="I4:K4"/>
    <mergeCell ref="L4:O4"/>
    <mergeCell ref="B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8:O28"/>
    <mergeCell ref="B29:C29"/>
    <mergeCell ref="E29:O29"/>
    <mergeCell ref="B30:C30"/>
    <mergeCell ref="B31:C31"/>
    <mergeCell ref="B32:C32"/>
    <mergeCell ref="B33:C33"/>
  </mergeCells>
  <conditionalFormatting sqref="H7:H18">
    <cfRule type="cellIs" priority="2" operator="equal" aboveAverage="0" equalAverage="0" bottom="0" percent="0" rank="0" text="" dxfId="4">
      <formula>"Na meta"</formula>
    </cfRule>
    <cfRule type="cellIs" priority="3" operator="equal" aboveAverage="0" equalAverage="0" bottom="0" percent="0" rank="0" text="" dxfId="5">
      <formula>"Atenção"</formula>
    </cfRule>
    <cfRule type="cellIs" priority="4" operator="equal" aboveAverage="0" equalAverage="0" bottom="0" percent="0" rank="0" text="" dxfId="3">
      <formula>"Fora da meta"</formula>
    </cfRule>
  </conditionalFormatting>
  <conditionalFormatting sqref="M7:M18">
    <cfRule type="cellIs" priority="5" operator="equal" aboveAverage="0" equalAverage="0" bottom="0" percent="0" rank="0" text="" dxfId="4">
      <formula>"Melhorando"</formula>
    </cfRule>
    <cfRule type="cellIs" priority="6" operator="equal" aboveAverage="0" equalAverage="0" bottom="0" percent="0" rank="0" text="" dxfId="3">
      <formula>"Piorando"</formula>
    </cfRule>
  </conditionalFormatting>
  <conditionalFormatting sqref="N7:N18">
    <cfRule type="cellIs" priority="7" operator="equal" aboveAverage="0" equalAverage="0" bottom="0" percent="0" rank="0" text="" dxfId="4">
      <formula>"Manter"</formula>
    </cfRule>
    <cfRule type="cellIs" priority="8" operator="equal" aboveAverage="0" equalAverage="0" bottom="0" percent="0" rank="0" text="" dxfId="5">
      <formula>"Acompanhar"</formula>
    </cfRule>
    <cfRule type="cellIs" priority="9" operator="equal" aboveAverage="0" equalAverage="0" bottom="0" percent="0" rank="0" text="" dxfId="3">
      <formula>"Analisar na reunião"</formula>
    </cfRule>
    <cfRule type="cellIs" priority="10" operator="equal" aboveAverage="0" equalAverage="0" bottom="0" percent="0" rank="0" text="" dxfId="3">
      <formula>"Abrir análise de causa"</formula>
    </cfRule>
  </conditionalFormatting>
  <conditionalFormatting sqref="J7:J18">
    <cfRule type="expression" priority="11" aboveAverage="0" equalAverage="0" bottom="0" percent="0" rank="0" text="" dxfId="3">
      <formula>N(J7)&gt;=3</formula>
    </cfRule>
  </conditionalFormatting>
  <conditionalFormatting sqref="D26:H26">
    <cfRule type="expression" priority="12" aboveAverage="0" equalAverage="0" bottom="0" percent="0" rank="0" text="" dxfId="0">
      <formula>OR(D26="OK")</formula>
    </cfRule>
    <cfRule type="expression" priority="13" aboveAverage="0" equalAverage="0" bottom="0" percent="0" rank="0" text="" dxfId="1">
      <formula>AND(LEN(D26)&gt;0,NOT(OR(D26="OK")))</formula>
    </cfRule>
  </conditionalFormatting>
  <conditionalFormatting sqref="D31:O33">
    <cfRule type="expression" priority="14" aboveAverage="0" equalAverage="0" bottom="0" percent="0" rank="0" text="" dxfId="6">
      <formula>ISNA(D31)</formula>
    </cfRule>
  </conditionalFormatting>
  <dataValidations count="1">
    <dataValidation allowBlank="true" error="Digite um número inteiro de 1 a 12." errorStyle="stop" errorTitle="Número inválido" operator="between" showDropDown="false" showErrorMessage="true" showInputMessage="false" sqref="D29" type="whole">
      <formula1>1</formula1>
      <formula2>12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127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128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B4" s="15" t="s">
        <v>69</v>
      </c>
      <c r="C4" s="15" t="s">
        <v>129</v>
      </c>
      <c r="D4" s="15" t="s">
        <v>70</v>
      </c>
      <c r="E4" s="15" t="s">
        <v>130</v>
      </c>
      <c r="F4" s="15" t="s">
        <v>131</v>
      </c>
      <c r="G4" s="15" t="s">
        <v>132</v>
      </c>
      <c r="H4" s="15" t="s">
        <v>133</v>
      </c>
      <c r="I4" s="15" t="s">
        <v>79</v>
      </c>
      <c r="J4" s="15" t="s">
        <v>134</v>
      </c>
      <c r="K4" s="15" t="s">
        <v>135</v>
      </c>
      <c r="L4" s="15" t="s">
        <v>51</v>
      </c>
    </row>
    <row r="5" customFormat="false" ht="30" hidden="false" customHeight="true" outlineLevel="0" collapsed="false">
      <c r="B5" s="16"/>
      <c r="C5" s="16" t="s">
        <v>136</v>
      </c>
      <c r="D5" s="16" t="s">
        <v>137</v>
      </c>
      <c r="E5" s="16" t="s">
        <v>138</v>
      </c>
      <c r="F5" s="16" t="s">
        <v>139</v>
      </c>
      <c r="G5" s="16" t="s">
        <v>140</v>
      </c>
      <c r="H5" s="16" t="s">
        <v>141</v>
      </c>
      <c r="I5" s="16" t="s">
        <v>89</v>
      </c>
      <c r="J5" s="16" t="s">
        <v>136</v>
      </c>
      <c r="K5" s="16" t="s">
        <v>142</v>
      </c>
      <c r="L5" s="16" t="s">
        <v>143</v>
      </c>
    </row>
    <row r="6" customFormat="false" ht="36" hidden="false" customHeight="true" outlineLevel="0" collapsed="false">
      <c r="B6" s="16" t="s">
        <v>91</v>
      </c>
      <c r="C6" s="33" t="n">
        <v>46303</v>
      </c>
      <c r="D6" s="16" t="n">
        <v>1</v>
      </c>
      <c r="E6" s="17" t="s">
        <v>92</v>
      </c>
      <c r="F6" s="17" t="s">
        <v>144</v>
      </c>
      <c r="G6" s="17" t="s">
        <v>145</v>
      </c>
      <c r="H6" s="17" t="s">
        <v>146</v>
      </c>
      <c r="I6" s="17" t="s">
        <v>147</v>
      </c>
      <c r="J6" s="33" t="n">
        <v>46318</v>
      </c>
      <c r="K6" s="16" t="s">
        <v>148</v>
      </c>
      <c r="L6" s="16" t="s">
        <v>149</v>
      </c>
    </row>
    <row r="7" customFormat="false" ht="39" hidden="false" customHeight="true" outlineLevel="0" collapsed="false">
      <c r="B7" s="18" t="n">
        <v>1</v>
      </c>
      <c r="C7" s="34"/>
      <c r="D7" s="19"/>
      <c r="E7" s="35" t="str">
        <f aca="false">IF(D7="","",IF(INDEX(Painel!$C$7:$C$18,D7)="","Indicador sem cadastro",INDEX(Painel!$C$7:$C$18,D7)))</f>
        <v/>
      </c>
      <c r="F7" s="5"/>
      <c r="G7" s="5"/>
      <c r="H7" s="5"/>
      <c r="I7" s="5"/>
      <c r="J7" s="34"/>
      <c r="K7" s="19"/>
      <c r="L7" s="20" t="str">
        <f aca="true">IF(H7="","",IF(K7="Concluída","Concluída",IF(J7="","Sem prazo",IF(J7&lt;TODAY(),"Atrasada","No prazo"))))</f>
        <v/>
      </c>
    </row>
    <row r="8" customFormat="false" ht="39" hidden="false" customHeight="true" outlineLevel="0" collapsed="false">
      <c r="B8" s="18" t="n">
        <v>2</v>
      </c>
      <c r="C8" s="34"/>
      <c r="D8" s="19"/>
      <c r="E8" s="35" t="str">
        <f aca="false">IF(D8="","",IF(INDEX(Painel!$C$7:$C$18,D8)="","Indicador sem cadastro",INDEX(Painel!$C$7:$C$18,D8)))</f>
        <v/>
      </c>
      <c r="F8" s="5"/>
      <c r="G8" s="5"/>
      <c r="H8" s="5"/>
      <c r="I8" s="5"/>
      <c r="J8" s="34"/>
      <c r="K8" s="19"/>
      <c r="L8" s="20" t="str">
        <f aca="true">IF(H8="","",IF(K8="Concluída","Concluída",IF(J8="","Sem prazo",IF(J8&lt;TODAY(),"Atrasada","No prazo"))))</f>
        <v/>
      </c>
    </row>
    <row r="9" customFormat="false" ht="39" hidden="false" customHeight="true" outlineLevel="0" collapsed="false">
      <c r="B9" s="18" t="n">
        <v>3</v>
      </c>
      <c r="C9" s="34"/>
      <c r="D9" s="19"/>
      <c r="E9" s="35" t="str">
        <f aca="false">IF(D9="","",IF(INDEX(Painel!$C$7:$C$18,D9)="","Indicador sem cadastro",INDEX(Painel!$C$7:$C$18,D9)))</f>
        <v/>
      </c>
      <c r="F9" s="5"/>
      <c r="G9" s="5"/>
      <c r="H9" s="5"/>
      <c r="I9" s="5"/>
      <c r="J9" s="34"/>
      <c r="K9" s="19"/>
      <c r="L9" s="20" t="str">
        <f aca="true">IF(H9="","",IF(K9="Concluída","Concluída",IF(J9="","Sem prazo",IF(J9&lt;TODAY(),"Atrasada","No prazo"))))</f>
        <v/>
      </c>
    </row>
    <row r="10" customFormat="false" ht="39" hidden="false" customHeight="true" outlineLevel="0" collapsed="false">
      <c r="B10" s="18" t="n">
        <v>4</v>
      </c>
      <c r="C10" s="34"/>
      <c r="D10" s="19"/>
      <c r="E10" s="35" t="str">
        <f aca="false">IF(D10="","",IF(INDEX(Painel!$C$7:$C$18,D10)="","Indicador sem cadastro",INDEX(Painel!$C$7:$C$18,D10)))</f>
        <v/>
      </c>
      <c r="F10" s="5"/>
      <c r="G10" s="5"/>
      <c r="H10" s="5"/>
      <c r="I10" s="5"/>
      <c r="J10" s="34"/>
      <c r="K10" s="19"/>
      <c r="L10" s="20" t="str">
        <f aca="true">IF(H10="","",IF(K10="Concluída","Concluída",IF(J10="","Sem prazo",IF(J10&lt;TODAY(),"Atrasada","No prazo"))))</f>
        <v/>
      </c>
    </row>
    <row r="11" customFormat="false" ht="39" hidden="false" customHeight="true" outlineLevel="0" collapsed="false">
      <c r="B11" s="18" t="n">
        <v>5</v>
      </c>
      <c r="C11" s="34"/>
      <c r="D11" s="19"/>
      <c r="E11" s="35" t="str">
        <f aca="false">IF(D11="","",IF(INDEX(Painel!$C$7:$C$18,D11)="","Indicador sem cadastro",INDEX(Painel!$C$7:$C$18,D11)))</f>
        <v/>
      </c>
      <c r="F11" s="5"/>
      <c r="G11" s="5"/>
      <c r="H11" s="5"/>
      <c r="I11" s="5"/>
      <c r="J11" s="34"/>
      <c r="K11" s="19"/>
      <c r="L11" s="20" t="str">
        <f aca="true">IF(H11="","",IF(K11="Concluída","Concluída",IF(J11="","Sem prazo",IF(J11&lt;TODAY(),"Atrasada","No prazo"))))</f>
        <v/>
      </c>
    </row>
    <row r="12" customFormat="false" ht="39" hidden="false" customHeight="true" outlineLevel="0" collapsed="false">
      <c r="B12" s="18" t="n">
        <v>6</v>
      </c>
      <c r="C12" s="34"/>
      <c r="D12" s="19"/>
      <c r="E12" s="35" t="str">
        <f aca="false">IF(D12="","",IF(INDEX(Painel!$C$7:$C$18,D12)="","Indicador sem cadastro",INDEX(Painel!$C$7:$C$18,D12)))</f>
        <v/>
      </c>
      <c r="F12" s="5"/>
      <c r="G12" s="5"/>
      <c r="H12" s="5"/>
      <c r="I12" s="5"/>
      <c r="J12" s="34"/>
      <c r="K12" s="19"/>
      <c r="L12" s="20" t="str">
        <f aca="true">IF(H12="","",IF(K12="Concluída","Concluída",IF(J12="","Sem prazo",IF(J12&lt;TODAY(),"Atrasada","No prazo"))))</f>
        <v/>
      </c>
    </row>
    <row r="13" customFormat="false" ht="39" hidden="false" customHeight="true" outlineLevel="0" collapsed="false">
      <c r="B13" s="18" t="n">
        <v>7</v>
      </c>
      <c r="C13" s="34"/>
      <c r="D13" s="19"/>
      <c r="E13" s="35" t="str">
        <f aca="false">IF(D13="","",IF(INDEX(Painel!$C$7:$C$18,D13)="","Indicador sem cadastro",INDEX(Painel!$C$7:$C$18,D13)))</f>
        <v/>
      </c>
      <c r="F13" s="5"/>
      <c r="G13" s="5"/>
      <c r="H13" s="5"/>
      <c r="I13" s="5"/>
      <c r="J13" s="34"/>
      <c r="K13" s="19"/>
      <c r="L13" s="20" t="str">
        <f aca="true">IF(H13="","",IF(K13="Concluída","Concluída",IF(J13="","Sem prazo",IF(J13&lt;TODAY(),"Atrasada","No prazo"))))</f>
        <v/>
      </c>
    </row>
    <row r="14" customFormat="false" ht="39" hidden="false" customHeight="true" outlineLevel="0" collapsed="false">
      <c r="B14" s="18" t="n">
        <v>8</v>
      </c>
      <c r="C14" s="34"/>
      <c r="D14" s="19"/>
      <c r="E14" s="35" t="str">
        <f aca="false">IF(D14="","",IF(INDEX(Painel!$C$7:$C$18,D14)="","Indicador sem cadastro",INDEX(Painel!$C$7:$C$18,D14)))</f>
        <v/>
      </c>
      <c r="F14" s="5"/>
      <c r="G14" s="5"/>
      <c r="H14" s="5"/>
      <c r="I14" s="5"/>
      <c r="J14" s="34"/>
      <c r="K14" s="19"/>
      <c r="L14" s="20" t="str">
        <f aca="true">IF(H14="","",IF(K14="Concluída","Concluída",IF(J14="","Sem prazo",IF(J14&lt;TODAY(),"Atrasada","No prazo"))))</f>
        <v/>
      </c>
    </row>
    <row r="15" customFormat="false" ht="39" hidden="false" customHeight="true" outlineLevel="0" collapsed="false">
      <c r="B15" s="18" t="n">
        <v>9</v>
      </c>
      <c r="C15" s="34"/>
      <c r="D15" s="19"/>
      <c r="E15" s="35" t="str">
        <f aca="false">IF(D15="","",IF(INDEX(Painel!$C$7:$C$18,D15)="","Indicador sem cadastro",INDEX(Painel!$C$7:$C$18,D15)))</f>
        <v/>
      </c>
      <c r="F15" s="5"/>
      <c r="G15" s="5"/>
      <c r="H15" s="5"/>
      <c r="I15" s="5"/>
      <c r="J15" s="34"/>
      <c r="K15" s="19"/>
      <c r="L15" s="20" t="str">
        <f aca="true">IF(H15="","",IF(K15="Concluída","Concluída",IF(J15="","Sem prazo",IF(J15&lt;TODAY(),"Atrasada","No prazo"))))</f>
        <v/>
      </c>
    </row>
    <row r="16" customFormat="false" ht="39" hidden="false" customHeight="true" outlineLevel="0" collapsed="false">
      <c r="B16" s="18" t="n">
        <v>10</v>
      </c>
      <c r="C16" s="34"/>
      <c r="D16" s="19"/>
      <c r="E16" s="35" t="str">
        <f aca="false">IF(D16="","",IF(INDEX(Painel!$C$7:$C$18,D16)="","Indicador sem cadastro",INDEX(Painel!$C$7:$C$18,D16)))</f>
        <v/>
      </c>
      <c r="F16" s="5"/>
      <c r="G16" s="5"/>
      <c r="H16" s="5"/>
      <c r="I16" s="5"/>
      <c r="J16" s="34"/>
      <c r="K16" s="19"/>
      <c r="L16" s="20" t="str">
        <f aca="true">IF(H16="","",IF(K16="Concluída","Concluída",IF(J16="","Sem prazo",IF(J16&lt;TODAY(),"Atrasada","No prazo"))))</f>
        <v/>
      </c>
    </row>
    <row r="17" customFormat="false" ht="39" hidden="false" customHeight="true" outlineLevel="0" collapsed="false">
      <c r="B17" s="18" t="n">
        <v>11</v>
      </c>
      <c r="C17" s="34"/>
      <c r="D17" s="19"/>
      <c r="E17" s="35" t="str">
        <f aca="false">IF(D17="","",IF(INDEX(Painel!$C$7:$C$18,D17)="","Indicador sem cadastro",INDEX(Painel!$C$7:$C$18,D17)))</f>
        <v/>
      </c>
      <c r="F17" s="5"/>
      <c r="G17" s="5"/>
      <c r="H17" s="5"/>
      <c r="I17" s="5"/>
      <c r="J17" s="34"/>
      <c r="K17" s="19"/>
      <c r="L17" s="20" t="str">
        <f aca="true">IF(H17="","",IF(K17="Concluída","Concluída",IF(J17="","Sem prazo",IF(J17&lt;TODAY(),"Atrasada","No prazo"))))</f>
        <v/>
      </c>
    </row>
    <row r="18" customFormat="false" ht="39" hidden="false" customHeight="true" outlineLevel="0" collapsed="false">
      <c r="B18" s="18" t="n">
        <v>12</v>
      </c>
      <c r="C18" s="34"/>
      <c r="D18" s="19"/>
      <c r="E18" s="35" t="str">
        <f aca="false">IF(D18="","",IF(INDEX(Painel!$C$7:$C$18,D18)="","Indicador sem cadastro",INDEX(Painel!$C$7:$C$18,D18)))</f>
        <v/>
      </c>
      <c r="F18" s="5"/>
      <c r="G18" s="5"/>
      <c r="H18" s="5"/>
      <c r="I18" s="5"/>
      <c r="J18" s="34"/>
      <c r="K18" s="19"/>
      <c r="L18" s="20" t="str">
        <f aca="true">IF(H18="","",IF(K18="Concluída","Concluída",IF(J18="","Sem prazo",IF(J18&lt;TODAY(),"Atrasada","No prazo"))))</f>
        <v/>
      </c>
    </row>
    <row r="19" customFormat="false" ht="39" hidden="false" customHeight="true" outlineLevel="0" collapsed="false">
      <c r="B19" s="18" t="n">
        <v>13</v>
      </c>
      <c r="C19" s="34"/>
      <c r="D19" s="19"/>
      <c r="E19" s="35" t="str">
        <f aca="false">IF(D19="","",IF(INDEX(Painel!$C$7:$C$18,D19)="","Indicador sem cadastro",INDEX(Painel!$C$7:$C$18,D19)))</f>
        <v/>
      </c>
      <c r="F19" s="5"/>
      <c r="G19" s="5"/>
      <c r="H19" s="5"/>
      <c r="I19" s="5"/>
      <c r="J19" s="34"/>
      <c r="K19" s="19"/>
      <c r="L19" s="20" t="str">
        <f aca="true">IF(H19="","",IF(K19="Concluída","Concluída",IF(J19="","Sem prazo",IF(J19&lt;TODAY(),"Atrasada","No prazo"))))</f>
        <v/>
      </c>
    </row>
    <row r="20" customFormat="false" ht="39" hidden="false" customHeight="true" outlineLevel="0" collapsed="false">
      <c r="B20" s="18" t="n">
        <v>14</v>
      </c>
      <c r="C20" s="34"/>
      <c r="D20" s="19"/>
      <c r="E20" s="35" t="str">
        <f aca="false">IF(D20="","",IF(INDEX(Painel!$C$7:$C$18,D20)="","Indicador sem cadastro",INDEX(Painel!$C$7:$C$18,D20)))</f>
        <v/>
      </c>
      <c r="F20" s="5"/>
      <c r="G20" s="5"/>
      <c r="H20" s="5"/>
      <c r="I20" s="5"/>
      <c r="J20" s="34"/>
      <c r="K20" s="19"/>
      <c r="L20" s="20" t="str">
        <f aca="true">IF(H20="","",IF(K20="Concluída","Concluída",IF(J20="","Sem prazo",IF(J20&lt;TODAY(),"Atrasada","No prazo"))))</f>
        <v/>
      </c>
    </row>
    <row r="21" customFormat="false" ht="39" hidden="false" customHeight="true" outlineLevel="0" collapsed="false">
      <c r="B21" s="18" t="n">
        <v>15</v>
      </c>
      <c r="C21" s="34"/>
      <c r="D21" s="19"/>
      <c r="E21" s="35" t="str">
        <f aca="false">IF(D21="","",IF(INDEX(Painel!$C$7:$C$18,D21)="","Indicador sem cadastro",INDEX(Painel!$C$7:$C$18,D21)))</f>
        <v/>
      </c>
      <c r="F21" s="5"/>
      <c r="G21" s="5"/>
      <c r="H21" s="5"/>
      <c r="I21" s="5"/>
      <c r="J21" s="34"/>
      <c r="K21" s="19"/>
      <c r="L21" s="20" t="str">
        <f aca="true">IF(H21="","",IF(K21="Concluída","Concluída",IF(J21="","Sem prazo",IF(J21&lt;TODAY(),"Atrasada","No prazo"))))</f>
        <v/>
      </c>
    </row>
    <row r="23" customFormat="false" ht="21.75" hidden="false" customHeight="true" outlineLevel="0" collapsed="false">
      <c r="B23" s="21" t="s">
        <v>102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customFormat="false" ht="21.75" hidden="false" customHeight="true" outlineLevel="0" collapsed="false">
      <c r="B24" s="22" t="s">
        <v>150</v>
      </c>
      <c r="C24" s="22"/>
      <c r="D24" s="22"/>
      <c r="E24" s="22"/>
      <c r="F24" s="23" t="n">
        <f aca="false">COUNTA(H7:H21)</f>
        <v>0</v>
      </c>
    </row>
    <row r="25" customFormat="false" ht="21.75" hidden="false" customHeight="true" outlineLevel="0" collapsed="false">
      <c r="B25" s="22" t="s">
        <v>151</v>
      </c>
      <c r="C25" s="22"/>
      <c r="D25" s="22"/>
      <c r="E25" s="22"/>
      <c r="F25" s="23" t="n">
        <f aca="false">COUNTIF(L7:L21,"Concluída")</f>
        <v>0</v>
      </c>
    </row>
    <row r="26" customFormat="false" ht="21.75" hidden="false" customHeight="true" outlineLevel="0" collapsed="false">
      <c r="B26" s="22" t="s">
        <v>152</v>
      </c>
      <c r="C26" s="22"/>
      <c r="D26" s="22"/>
      <c r="E26" s="22"/>
      <c r="F26" s="23" t="n">
        <f aca="false">COUNTIF(L7:L21,"Atrasada")</f>
        <v>0</v>
      </c>
    </row>
    <row r="27" customFormat="false" ht="21.75" hidden="false" customHeight="true" outlineLevel="0" collapsed="false">
      <c r="B27" s="22" t="s">
        <v>153</v>
      </c>
      <c r="C27" s="22"/>
      <c r="D27" s="22"/>
      <c r="E27" s="22"/>
      <c r="F27" s="23" t="n">
        <f aca="false">COUNTIF(Painel!$N$7:$N$18,"Abrir análise de causa")</f>
        <v>0</v>
      </c>
    </row>
    <row r="28" customFormat="false" ht="21.75" hidden="false" customHeight="true" outlineLevel="0" collapsed="false">
      <c r="B28" s="22" t="s">
        <v>154</v>
      </c>
      <c r="C28" s="22"/>
      <c r="D28" s="22"/>
      <c r="E28" s="22"/>
      <c r="F28" s="23" t="n">
        <f aca="false">SUMPRODUCT((Painel!$N$7:$N$18="Abrir análise de causa")*(COUNTIF($D$7:$D$21,Painel!$B$7:$B$18)=0))</f>
        <v>0</v>
      </c>
    </row>
    <row r="29" customFormat="false" ht="30" hidden="false" customHeight="true" outlineLevel="0" collapsed="false">
      <c r="B29" s="22" t="s">
        <v>105</v>
      </c>
      <c r="C29" s="22"/>
      <c r="D29" s="22"/>
      <c r="E29" s="22"/>
      <c r="F29" s="20" t="str">
        <f aca="false">IF(F28&gt;0,"Há indicador que pede análise de causa sem decisão registrada",IF(SUMPRODUCT((H7:H21&lt;&gt;"")*(((D7:D21="")+(I7:I21="")+(J7:J21=""))&gt;0))&gt;0,"Há decisão sem indicador, responsável ou prazo",IF(F26&gt;0,"Há decisão atrasada",IF(F24=0,"Sem decisões registradas","OK"))))</f>
        <v>Sem decisões registradas</v>
      </c>
    </row>
  </sheetData>
  <mergeCells count="9">
    <mergeCell ref="B1:L1"/>
    <mergeCell ref="B2:L2"/>
    <mergeCell ref="B23:L23"/>
    <mergeCell ref="B24:E24"/>
    <mergeCell ref="B25:E25"/>
    <mergeCell ref="B26:E26"/>
    <mergeCell ref="B27:E27"/>
    <mergeCell ref="B28:E28"/>
    <mergeCell ref="B29:E29"/>
  </mergeCells>
  <conditionalFormatting sqref="K7:K21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7">
      <formula>"Não iniciada"</formula>
    </cfRule>
  </conditionalFormatting>
  <conditionalFormatting sqref="L7:L21">
    <cfRule type="cellIs" priority="5" operator="equal" aboveAverage="0" equalAverage="0" bottom="0" percent="0" rank="0" text="" dxfId="0">
      <formula>"Concluída"</formula>
    </cfRule>
    <cfRule type="cellIs" priority="6" operator="equal" aboveAverage="0" equalAverage="0" bottom="0" percent="0" rank="0" text="" dxfId="0">
      <formula>"No prazo"</formula>
    </cfRule>
    <cfRule type="cellIs" priority="7" operator="equal" aboveAverage="0" equalAverage="0" bottom="0" percent="0" rank="0" text="" dxfId="1">
      <formula>"Sem prazo"</formula>
    </cfRule>
    <cfRule type="cellIs" priority="8" operator="equal" aboveAverage="0" equalAverage="0" bottom="0" percent="0" rank="0" text="" dxfId="7">
      <formula>"Atrasada"</formula>
    </cfRule>
  </conditionalFormatting>
  <conditionalFormatting sqref="F29">
    <cfRule type="expression" priority="9" aboveAverage="0" equalAverage="0" bottom="0" percent="0" rank="0" text="" dxfId="0">
      <formula>OR(F29="OK",F29="Sem decisões registradas")</formula>
    </cfRule>
    <cfRule type="expression" priority="10" aboveAverage="0" equalAverage="0" bottom="0" percent="0" rank="0" text="" dxfId="1">
      <formula>AND(LEN(F29)&gt;0,NOT(OR(F29="OK",F29="Sem decisões registradas")))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C7:C21 J7:J21" type="date">
      <formula1>36526</formula1>
      <formula2>0</formula2>
    </dataValidation>
    <dataValidation allowBlank="true" error="Digite um número inteiro de 1 a 12." errorStyle="stop" errorTitle="Número inválido" operator="between" prompt="Número do indicador, como na aba Fichas." promptTitle="Indicador" showDropDown="false" showErrorMessage="true" showInputMessage="true" sqref="D7:D21" type="whole">
      <formula1>1</formula1>
      <formula2>12</formula2>
    </dataValidation>
    <dataValidation allowBlank="true" error="Escolha uma das opções da lista." errorStyle="stop" errorTitle="Valor inválido" operator="between" prompt="Não iniciada, Em andamento ou Concluída" promptTitle="Opções" showDropDown="false" showErrorMessage="true" showInputMessage="true" sqref="K7:K21" type="list">
      <formula1>"Não iniciada,Em andamento,Concluída"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155</v>
      </c>
      <c r="C1" s="1"/>
      <c r="D1" s="1"/>
      <c r="E1" s="1"/>
    </row>
    <row r="2" customFormat="false" ht="19.5" hidden="false" customHeight="true" outlineLevel="0" collapsed="false">
      <c r="B2" s="2" t="s">
        <v>156</v>
      </c>
      <c r="C2" s="2"/>
      <c r="D2" s="2"/>
      <c r="E2" s="2"/>
    </row>
    <row r="4" customFormat="false" ht="21.75" hidden="false" customHeight="true" outlineLevel="0" collapsed="false">
      <c r="B4" s="15" t="s">
        <v>69</v>
      </c>
      <c r="C4" s="15" t="s">
        <v>157</v>
      </c>
      <c r="D4" s="15" t="s">
        <v>135</v>
      </c>
      <c r="E4" s="15" t="s">
        <v>158</v>
      </c>
    </row>
    <row r="5" customFormat="false" ht="30" hidden="false" customHeight="true" outlineLevel="0" collapsed="false">
      <c r="B5" s="18" t="n">
        <v>1</v>
      </c>
      <c r="C5" s="6" t="s">
        <v>159</v>
      </c>
      <c r="D5" s="19"/>
      <c r="E5" s="5"/>
    </row>
    <row r="6" customFormat="false" ht="30" hidden="false" customHeight="true" outlineLevel="0" collapsed="false">
      <c r="B6" s="18" t="n">
        <v>2</v>
      </c>
      <c r="C6" s="6" t="s">
        <v>160</v>
      </c>
      <c r="D6" s="19"/>
      <c r="E6" s="5"/>
    </row>
    <row r="7" customFormat="false" ht="30" hidden="false" customHeight="true" outlineLevel="0" collapsed="false">
      <c r="B7" s="18" t="n">
        <v>3</v>
      </c>
      <c r="C7" s="6" t="s">
        <v>161</v>
      </c>
      <c r="D7" s="19"/>
      <c r="E7" s="5"/>
    </row>
    <row r="8" customFormat="false" ht="30" hidden="false" customHeight="true" outlineLevel="0" collapsed="false">
      <c r="B8" s="18" t="n">
        <v>4</v>
      </c>
      <c r="C8" s="6" t="s">
        <v>162</v>
      </c>
      <c r="D8" s="19"/>
      <c r="E8" s="5"/>
    </row>
    <row r="9" customFormat="false" ht="30" hidden="false" customHeight="true" outlineLevel="0" collapsed="false">
      <c r="B9" s="18" t="n">
        <v>5</v>
      </c>
      <c r="C9" s="6" t="s">
        <v>163</v>
      </c>
      <c r="D9" s="19"/>
      <c r="E9" s="5"/>
    </row>
    <row r="10" customFormat="false" ht="30" hidden="false" customHeight="true" outlineLevel="0" collapsed="false">
      <c r="B10" s="18" t="n">
        <v>6</v>
      </c>
      <c r="C10" s="6" t="s">
        <v>164</v>
      </c>
      <c r="D10" s="19"/>
      <c r="E10" s="5"/>
    </row>
    <row r="11" customFormat="false" ht="30" hidden="false" customHeight="true" outlineLevel="0" collapsed="false">
      <c r="B11" s="18" t="n">
        <v>7</v>
      </c>
      <c r="C11" s="6" t="s">
        <v>165</v>
      </c>
      <c r="D11" s="19"/>
      <c r="E11" s="5"/>
    </row>
    <row r="12" customFormat="false" ht="30" hidden="false" customHeight="true" outlineLevel="0" collapsed="false">
      <c r="B12" s="18" t="n">
        <v>8</v>
      </c>
      <c r="C12" s="6" t="s">
        <v>166</v>
      </c>
      <c r="D12" s="19"/>
      <c r="E12" s="5"/>
    </row>
    <row r="13" customFormat="false" ht="30" hidden="false" customHeight="true" outlineLevel="0" collapsed="false">
      <c r="B13" s="18" t="n">
        <v>9</v>
      </c>
      <c r="C13" s="6" t="s">
        <v>167</v>
      </c>
      <c r="D13" s="19"/>
      <c r="E13" s="5"/>
    </row>
    <row r="14" customFormat="false" ht="30" hidden="false" customHeight="true" outlineLevel="0" collapsed="false">
      <c r="B14" s="18" t="n">
        <v>10</v>
      </c>
      <c r="C14" s="6" t="s">
        <v>168</v>
      </c>
      <c r="D14" s="19"/>
      <c r="E14" s="5"/>
    </row>
    <row r="15" customFormat="false" ht="30" hidden="false" customHeight="true" outlineLevel="0" collapsed="false">
      <c r="B15" s="18" t="n">
        <v>11</v>
      </c>
      <c r="C15" s="6" t="s">
        <v>169</v>
      </c>
      <c r="D15" s="19"/>
      <c r="E15" s="5"/>
    </row>
    <row r="16" customFormat="false" ht="30" hidden="false" customHeight="true" outlineLevel="0" collapsed="false">
      <c r="B16" s="18" t="n">
        <v>12</v>
      </c>
      <c r="C16" s="6" t="s">
        <v>170</v>
      </c>
      <c r="D16" s="19"/>
      <c r="E16" s="5"/>
    </row>
    <row r="18" customFormat="false" ht="21.75" hidden="false" customHeight="true" outlineLevel="0" collapsed="false">
      <c r="B18" s="21" t="s">
        <v>102</v>
      </c>
      <c r="C18" s="21"/>
      <c r="D18" s="21"/>
      <c r="E18" s="21"/>
    </row>
    <row r="19" customFormat="false" ht="19.5" hidden="false" customHeight="true" outlineLevel="0" collapsed="false">
      <c r="B19" s="22" t="s">
        <v>171</v>
      </c>
      <c r="C19" s="22"/>
      <c r="D19" s="23" t="n">
        <f aca="false">COUNTIF(D5:D16,"Sim")</f>
        <v>0</v>
      </c>
    </row>
    <row r="20" customFormat="false" ht="19.5" hidden="false" customHeight="true" outlineLevel="0" collapsed="false">
      <c r="B20" s="22" t="s">
        <v>172</v>
      </c>
      <c r="C20" s="22"/>
      <c r="D20" s="23" t="n">
        <f aca="false">COUNTIF(D5:D16,"Parcial")</f>
        <v>0</v>
      </c>
    </row>
    <row r="21" customFormat="false" ht="19.5" hidden="false" customHeight="true" outlineLevel="0" collapsed="false">
      <c r="B21" s="22" t="s">
        <v>173</v>
      </c>
      <c r="C21" s="22"/>
      <c r="D21" s="23" t="n">
        <f aca="false">COUNTIF(D5:D16,"Não")</f>
        <v>0</v>
      </c>
    </row>
    <row r="22" customFormat="false" ht="19.5" hidden="false" customHeight="true" outlineLevel="0" collapsed="false">
      <c r="B22" s="22" t="s">
        <v>174</v>
      </c>
      <c r="C22" s="22"/>
      <c r="D22" s="23" t="n">
        <f aca="false">COUNTBLANK(D5:D16)</f>
        <v>12</v>
      </c>
    </row>
    <row r="23" customFormat="false" ht="19.5" hidden="false" customHeight="true" outlineLevel="0" collapsed="false">
      <c r="B23" s="22" t="s">
        <v>175</v>
      </c>
      <c r="C23" s="22"/>
      <c r="D23" s="36" t="n">
        <f aca="false">D19/ROWS(D5:D16)</f>
        <v>0</v>
      </c>
    </row>
    <row r="24" customFormat="false" ht="19.5" hidden="false" customHeight="true" outlineLevel="0" collapsed="false">
      <c r="B24" s="22" t="s">
        <v>51</v>
      </c>
      <c r="C24" s="22"/>
      <c r="D24" s="23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7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R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15" min="4" style="0" width="9.51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114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176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177</v>
      </c>
      <c r="C4" s="4"/>
      <c r="D4" s="37" t="s">
        <v>178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customFormat="false" ht="21.75" hidden="false" customHeight="true" outlineLevel="0" collapsed="false">
      <c r="B5" s="4" t="s">
        <v>67</v>
      </c>
      <c r="C5" s="4"/>
      <c r="D5" s="37" t="s">
        <v>179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customFormat="false" ht="21.75" hidden="false" customHeight="true" outlineLevel="0" collapsed="false">
      <c r="B6" s="4" t="s">
        <v>79</v>
      </c>
      <c r="C6" s="4"/>
      <c r="D6" s="37" t="s">
        <v>180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customFormat="false" ht="21.75" hidden="false" customHeight="true" outlineLevel="0" collapsed="false">
      <c r="B7" s="4" t="s">
        <v>181</v>
      </c>
      <c r="C7" s="4"/>
      <c r="D7" s="37" t="s">
        <v>182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</row>
    <row r="8" customFormat="false" ht="21.75" hidden="false" customHeight="true" outlineLevel="0" collapsed="false">
      <c r="B8" s="4" t="s">
        <v>183</v>
      </c>
      <c r="C8" s="4"/>
      <c r="D8" s="38" t="n">
        <v>46301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</row>
    <row r="10" customFormat="false" ht="21.75" hidden="false" customHeight="true" outlineLevel="0" collapsed="false">
      <c r="B10" s="39" t="s">
        <v>63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</row>
    <row r="11" customFormat="false" ht="24" hidden="false" customHeight="true" outlineLevel="0" collapsed="false">
      <c r="B11" s="23" t="s">
        <v>184</v>
      </c>
      <c r="C11" s="23" t="s">
        <v>70</v>
      </c>
      <c r="D11" s="40" t="s">
        <v>71</v>
      </c>
      <c r="E11" s="40"/>
      <c r="F11" s="40"/>
      <c r="G11" s="40"/>
      <c r="H11" s="23" t="s">
        <v>73</v>
      </c>
      <c r="I11" s="23"/>
      <c r="J11" s="23"/>
      <c r="K11" s="23"/>
      <c r="L11" s="23"/>
      <c r="M11" s="23" t="s">
        <v>74</v>
      </c>
      <c r="N11" s="23"/>
      <c r="O11" s="23" t="s">
        <v>76</v>
      </c>
      <c r="P11" s="23" t="s">
        <v>185</v>
      </c>
      <c r="Q11" s="23" t="s">
        <v>75</v>
      </c>
      <c r="R11" s="23" t="s">
        <v>79</v>
      </c>
    </row>
    <row r="12" customFormat="false" ht="34.5" hidden="false" customHeight="true" outlineLevel="0" collapsed="false">
      <c r="B12" s="23" t="s">
        <v>186</v>
      </c>
      <c r="C12" s="41" t="s">
        <v>187</v>
      </c>
      <c r="D12" s="7" t="s">
        <v>188</v>
      </c>
      <c r="E12" s="7"/>
      <c r="F12" s="7"/>
      <c r="G12" s="7"/>
      <c r="H12" s="7" t="s">
        <v>189</v>
      </c>
      <c r="I12" s="7"/>
      <c r="J12" s="7"/>
      <c r="K12" s="7"/>
      <c r="L12" s="7"/>
      <c r="M12" s="42" t="s">
        <v>190</v>
      </c>
      <c r="N12" s="42"/>
      <c r="O12" s="42" t="n">
        <v>95</v>
      </c>
      <c r="P12" s="42" t="n">
        <v>90</v>
      </c>
      <c r="Q12" s="43" t="s">
        <v>191</v>
      </c>
      <c r="R12" s="7" t="s">
        <v>192</v>
      </c>
    </row>
    <row r="13" customFormat="false" ht="30" hidden="false" customHeight="true" outlineLevel="0" collapsed="false">
      <c r="B13" s="23" t="s">
        <v>193</v>
      </c>
      <c r="C13" s="41" t="s">
        <v>194</v>
      </c>
      <c r="D13" s="7" t="s">
        <v>195</v>
      </c>
      <c r="E13" s="7"/>
      <c r="F13" s="7"/>
      <c r="G13" s="7"/>
      <c r="H13" s="7" t="s">
        <v>196</v>
      </c>
      <c r="I13" s="7"/>
      <c r="J13" s="7"/>
      <c r="K13" s="7"/>
      <c r="L13" s="7"/>
      <c r="M13" s="42" t="s">
        <v>197</v>
      </c>
      <c r="N13" s="42"/>
      <c r="O13" s="42" t="n">
        <v>2</v>
      </c>
      <c r="P13" s="42" t="n">
        <v>3</v>
      </c>
      <c r="Q13" s="43" t="s">
        <v>97</v>
      </c>
      <c r="R13" s="7" t="s">
        <v>198</v>
      </c>
    </row>
    <row r="14" customFormat="false" ht="30" hidden="false" customHeight="true" outlineLevel="0" collapsed="false">
      <c r="B14" s="23" t="s">
        <v>199</v>
      </c>
      <c r="C14" s="41" t="s">
        <v>200</v>
      </c>
      <c r="D14" s="7" t="s">
        <v>201</v>
      </c>
      <c r="E14" s="7"/>
      <c r="F14" s="7"/>
      <c r="G14" s="7"/>
      <c r="H14" s="7" t="s">
        <v>202</v>
      </c>
      <c r="I14" s="7"/>
      <c r="J14" s="7"/>
      <c r="K14" s="7"/>
      <c r="L14" s="7"/>
      <c r="M14" s="42" t="s">
        <v>190</v>
      </c>
      <c r="N14" s="42"/>
      <c r="O14" s="42" t="n">
        <v>1.5</v>
      </c>
      <c r="P14" s="42" t="n">
        <v>2.5</v>
      </c>
      <c r="Q14" s="43" t="s">
        <v>97</v>
      </c>
      <c r="R14" s="7" t="s">
        <v>203</v>
      </c>
    </row>
    <row r="15" customFormat="false" ht="34.5" hidden="false" customHeight="true" outlineLevel="0" collapsed="false">
      <c r="B15" s="23" t="s">
        <v>204</v>
      </c>
      <c r="C15" s="41" t="s">
        <v>205</v>
      </c>
      <c r="D15" s="7" t="s">
        <v>206</v>
      </c>
      <c r="E15" s="7"/>
      <c r="F15" s="7"/>
      <c r="G15" s="7"/>
      <c r="H15" s="7" t="s">
        <v>207</v>
      </c>
      <c r="I15" s="7"/>
      <c r="J15" s="7"/>
      <c r="K15" s="7"/>
      <c r="L15" s="7"/>
      <c r="M15" s="42" t="s">
        <v>190</v>
      </c>
      <c r="N15" s="42"/>
      <c r="O15" s="42" t="n">
        <v>4</v>
      </c>
      <c r="P15" s="42" t="n">
        <v>5</v>
      </c>
      <c r="Q15" s="43" t="s">
        <v>97</v>
      </c>
      <c r="R15" s="7" t="s">
        <v>180</v>
      </c>
    </row>
    <row r="17" customFormat="false" ht="21.75" hidden="false" customHeight="true" outlineLevel="0" collapsed="false">
      <c r="B17" s="44" t="s">
        <v>38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</row>
    <row r="18" customFormat="false" ht="24" hidden="false" customHeight="true" outlineLevel="0" collapsed="false">
      <c r="B18" s="23" t="s">
        <v>184</v>
      </c>
      <c r="C18" s="23" t="s">
        <v>70</v>
      </c>
      <c r="D18" s="23" t="s">
        <v>208</v>
      </c>
      <c r="E18" s="23" t="s">
        <v>209</v>
      </c>
      <c r="F18" s="23" t="s">
        <v>210</v>
      </c>
      <c r="G18" s="23" t="s">
        <v>211</v>
      </c>
      <c r="H18" s="23" t="s">
        <v>212</v>
      </c>
      <c r="I18" s="23" t="s">
        <v>213</v>
      </c>
      <c r="J18" s="23" t="s">
        <v>214</v>
      </c>
      <c r="K18" s="23" t="s">
        <v>215</v>
      </c>
      <c r="L18" s="23" t="s">
        <v>216</v>
      </c>
      <c r="M18" s="23" t="s">
        <v>217</v>
      </c>
      <c r="N18" s="23" t="s">
        <v>218</v>
      </c>
      <c r="O18" s="23" t="s">
        <v>219</v>
      </c>
      <c r="P18" s="23" t="s">
        <v>117</v>
      </c>
      <c r="Q18" s="23" t="s">
        <v>220</v>
      </c>
      <c r="R18" s="23"/>
    </row>
    <row r="19" customFormat="false" ht="24" hidden="false" customHeight="true" outlineLevel="0" collapsed="false">
      <c r="B19" s="23" t="s">
        <v>186</v>
      </c>
      <c r="C19" s="7" t="s">
        <v>187</v>
      </c>
      <c r="D19" s="42" t="n">
        <v>81</v>
      </c>
      <c r="E19" s="42" t="n">
        <v>83</v>
      </c>
      <c r="F19" s="42" t="n">
        <v>80</v>
      </c>
      <c r="G19" s="42" t="n">
        <v>82</v>
      </c>
      <c r="H19" s="42" t="n">
        <v>82</v>
      </c>
      <c r="I19" s="42" t="n">
        <v>83</v>
      </c>
      <c r="J19" s="42" t="n">
        <v>82</v>
      </c>
      <c r="K19" s="42" t="n">
        <v>84</v>
      </c>
      <c r="L19" s="42" t="n">
        <v>88</v>
      </c>
      <c r="M19" s="42" t="n">
        <v>94</v>
      </c>
      <c r="N19" s="42" t="n">
        <v>96</v>
      </c>
      <c r="O19" s="42" t="n">
        <v>95</v>
      </c>
      <c r="P19" s="30" t="n">
        <f aca="false">AVERAGE(D19:O19)</f>
        <v>85.8333333333333</v>
      </c>
      <c r="Q19" s="27" t="n">
        <f aca="false">O25</f>
        <v>0</v>
      </c>
      <c r="R19" s="6"/>
    </row>
    <row r="20" customFormat="false" ht="24" hidden="false" customHeight="true" outlineLevel="0" collapsed="false">
      <c r="B20" s="23" t="s">
        <v>193</v>
      </c>
      <c r="C20" s="7" t="s">
        <v>194</v>
      </c>
      <c r="D20" s="42" t="n">
        <v>3.4</v>
      </c>
      <c r="E20" s="42" t="n">
        <v>3.1</v>
      </c>
      <c r="F20" s="42" t="n">
        <v>3.8</v>
      </c>
      <c r="G20" s="42" t="n">
        <v>3.2</v>
      </c>
      <c r="H20" s="42" t="n">
        <v>3</v>
      </c>
      <c r="I20" s="42" t="n">
        <v>3.1</v>
      </c>
      <c r="J20" s="42" t="n">
        <v>2.9</v>
      </c>
      <c r="K20" s="42" t="n">
        <v>2.6</v>
      </c>
      <c r="L20" s="42" t="n">
        <v>2.2</v>
      </c>
      <c r="M20" s="42" t="n">
        <v>1.8</v>
      </c>
      <c r="N20" s="42" t="n">
        <v>1.6</v>
      </c>
      <c r="O20" s="42" t="n">
        <v>1.9</v>
      </c>
      <c r="P20" s="30" t="n">
        <f aca="false">AVERAGE(D20:O20)</f>
        <v>2.71666666666667</v>
      </c>
      <c r="Q20" s="27" t="n">
        <f aca="false">O26</f>
        <v>0</v>
      </c>
      <c r="R20" s="6"/>
    </row>
    <row r="21" customFormat="false" ht="24" hidden="false" customHeight="true" outlineLevel="0" collapsed="false">
      <c r="B21" s="23" t="s">
        <v>199</v>
      </c>
      <c r="C21" s="7" t="s">
        <v>200</v>
      </c>
      <c r="D21" s="42" t="n">
        <v>2.1</v>
      </c>
      <c r="E21" s="42" t="n">
        <v>1.9</v>
      </c>
      <c r="F21" s="42" t="n">
        <v>2.4</v>
      </c>
      <c r="G21" s="42" t="n">
        <v>1.8</v>
      </c>
      <c r="H21" s="42" t="n">
        <v>1.7</v>
      </c>
      <c r="I21" s="42" t="n">
        <v>1.6</v>
      </c>
      <c r="J21" s="42" t="n">
        <v>1.4</v>
      </c>
      <c r="K21" s="42" t="n">
        <v>1.5</v>
      </c>
      <c r="L21" s="42" t="n">
        <v>1.3</v>
      </c>
      <c r="M21" s="42" t="n">
        <v>1.6</v>
      </c>
      <c r="N21" s="42" t="n">
        <v>1.8</v>
      </c>
      <c r="O21" s="42" t="n">
        <v>2</v>
      </c>
      <c r="P21" s="30" t="n">
        <f aca="false">AVERAGE(D21:O21)</f>
        <v>1.75833333333333</v>
      </c>
      <c r="Q21" s="27" t="n">
        <f aca="false">O27</f>
        <v>3</v>
      </c>
      <c r="R21" s="6"/>
    </row>
    <row r="22" customFormat="false" ht="24" hidden="false" customHeight="true" outlineLevel="0" collapsed="false">
      <c r="B22" s="23" t="s">
        <v>204</v>
      </c>
      <c r="C22" s="7" t="s">
        <v>205</v>
      </c>
      <c r="D22" s="42" t="n">
        <v>4.8</v>
      </c>
      <c r="E22" s="42" t="n">
        <v>4.6</v>
      </c>
      <c r="F22" s="42" t="n">
        <v>5.2</v>
      </c>
      <c r="G22" s="42" t="n">
        <v>4.5</v>
      </c>
      <c r="H22" s="42" t="n">
        <v>4.3</v>
      </c>
      <c r="I22" s="42" t="n">
        <v>4.4</v>
      </c>
      <c r="J22" s="42" t="n">
        <v>4.1</v>
      </c>
      <c r="K22" s="42" t="n">
        <v>4.2</v>
      </c>
      <c r="L22" s="42" t="n">
        <v>3.9</v>
      </c>
      <c r="M22" s="42" t="n">
        <v>4</v>
      </c>
      <c r="N22" s="42" t="n">
        <v>3.8</v>
      </c>
      <c r="O22" s="42" t="n">
        <v>3.9</v>
      </c>
      <c r="P22" s="30" t="n">
        <f aca="false">AVERAGE(D22:O22)</f>
        <v>4.30833333333333</v>
      </c>
      <c r="Q22" s="27" t="n">
        <f aca="false">O28</f>
        <v>0</v>
      </c>
      <c r="R22" s="6"/>
    </row>
    <row r="24" customFormat="false" ht="21.75" hidden="false" customHeight="true" outlineLevel="0" collapsed="false">
      <c r="B24" s="44" t="s">
        <v>110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</row>
    <row r="25" customFormat="false" ht="19.5" hidden="false" customHeight="true" outlineLevel="0" collapsed="false">
      <c r="B25" s="23" t="s">
        <v>186</v>
      </c>
      <c r="C25" s="6" t="s">
        <v>187</v>
      </c>
      <c r="D25" s="26" t="n">
        <f aca="false">IF(IF($Q12="Maior é melhor",D19&gt;=$O12,D19&lt;=$O12),0,1)</f>
        <v>1</v>
      </c>
      <c r="E25" s="26" t="n">
        <f aca="false">IF(IF($Q12="Maior é melhor",E19&gt;=$O12,E19&lt;=$O12),0,N(D25)+1)</f>
        <v>2</v>
      </c>
      <c r="F25" s="26" t="n">
        <f aca="false">IF(IF($Q12="Maior é melhor",F19&gt;=$O12,F19&lt;=$O12),0,N(E25)+1)</f>
        <v>3</v>
      </c>
      <c r="G25" s="26" t="n">
        <f aca="false">IF(IF($Q12="Maior é melhor",G19&gt;=$O12,G19&lt;=$O12),0,N(F25)+1)</f>
        <v>4</v>
      </c>
      <c r="H25" s="26" t="n">
        <f aca="false">IF(IF($Q12="Maior é melhor",H19&gt;=$O12,H19&lt;=$O12),0,N(G25)+1)</f>
        <v>5</v>
      </c>
      <c r="I25" s="26" t="n">
        <f aca="false">IF(IF($Q12="Maior é melhor",I19&gt;=$O12,I19&lt;=$O12),0,N(H25)+1)</f>
        <v>6</v>
      </c>
      <c r="J25" s="26" t="n">
        <f aca="false">IF(IF($Q12="Maior é melhor",J19&gt;=$O12,J19&lt;=$O12),0,N(I25)+1)</f>
        <v>7</v>
      </c>
      <c r="K25" s="26" t="n">
        <f aca="false">IF(IF($Q12="Maior é melhor",K19&gt;=$O12,K19&lt;=$O12),0,N(J25)+1)</f>
        <v>8</v>
      </c>
      <c r="L25" s="26" t="n">
        <f aca="false">IF(IF($Q12="Maior é melhor",L19&gt;=$O12,L19&lt;=$O12),0,N(K25)+1)</f>
        <v>9</v>
      </c>
      <c r="M25" s="26" t="n">
        <f aca="false">IF(IF($Q12="Maior é melhor",M19&gt;=$O12,M19&lt;=$O12),0,N(L25)+1)</f>
        <v>10</v>
      </c>
      <c r="N25" s="26" t="n">
        <f aca="false">IF(IF($Q12="Maior é melhor",N19&gt;=$O12,N19&lt;=$O12),0,N(M25)+1)</f>
        <v>0</v>
      </c>
      <c r="O25" s="26" t="n">
        <f aca="false">IF(IF($Q12="Maior é melhor",O19&gt;=$O12,O19&lt;=$O12),0,N(N25)+1)</f>
        <v>0</v>
      </c>
      <c r="P25" s="6"/>
      <c r="Q25" s="6"/>
      <c r="R25" s="6"/>
    </row>
    <row r="26" customFormat="false" ht="19.5" hidden="false" customHeight="true" outlineLevel="0" collapsed="false">
      <c r="B26" s="23" t="s">
        <v>193</v>
      </c>
      <c r="C26" s="6" t="s">
        <v>194</v>
      </c>
      <c r="D26" s="26" t="n">
        <f aca="false">IF(IF($Q13="Maior é melhor",D20&gt;=$O13,D20&lt;=$O13),0,1)</f>
        <v>1</v>
      </c>
      <c r="E26" s="26" t="n">
        <f aca="false">IF(IF($Q13="Maior é melhor",E20&gt;=$O13,E20&lt;=$O13),0,N(D26)+1)</f>
        <v>2</v>
      </c>
      <c r="F26" s="26" t="n">
        <f aca="false">IF(IF($Q13="Maior é melhor",F20&gt;=$O13,F20&lt;=$O13),0,N(E26)+1)</f>
        <v>3</v>
      </c>
      <c r="G26" s="26" t="n">
        <f aca="false">IF(IF($Q13="Maior é melhor",G20&gt;=$O13,G20&lt;=$O13),0,N(F26)+1)</f>
        <v>4</v>
      </c>
      <c r="H26" s="26" t="n">
        <f aca="false">IF(IF($Q13="Maior é melhor",H20&gt;=$O13,H20&lt;=$O13),0,N(G26)+1)</f>
        <v>5</v>
      </c>
      <c r="I26" s="26" t="n">
        <f aca="false">IF(IF($Q13="Maior é melhor",I20&gt;=$O13,I20&lt;=$O13),0,N(H26)+1)</f>
        <v>6</v>
      </c>
      <c r="J26" s="26" t="n">
        <f aca="false">IF(IF($Q13="Maior é melhor",J20&gt;=$O13,J20&lt;=$O13),0,N(I26)+1)</f>
        <v>7</v>
      </c>
      <c r="K26" s="26" t="n">
        <f aca="false">IF(IF($Q13="Maior é melhor",K20&gt;=$O13,K20&lt;=$O13),0,N(J26)+1)</f>
        <v>8</v>
      </c>
      <c r="L26" s="26" t="n">
        <f aca="false">IF(IF($Q13="Maior é melhor",L20&gt;=$O13,L20&lt;=$O13),0,N(K26)+1)</f>
        <v>9</v>
      </c>
      <c r="M26" s="26" t="n">
        <f aca="false">IF(IF($Q13="Maior é melhor",M20&gt;=$O13,M20&lt;=$O13),0,N(L26)+1)</f>
        <v>0</v>
      </c>
      <c r="N26" s="26" t="n">
        <f aca="false">IF(IF($Q13="Maior é melhor",N20&gt;=$O13,N20&lt;=$O13),0,N(M26)+1)</f>
        <v>0</v>
      </c>
      <c r="O26" s="26" t="n">
        <f aca="false">IF(IF($Q13="Maior é melhor",O20&gt;=$O13,O20&lt;=$O13),0,N(N26)+1)</f>
        <v>0</v>
      </c>
      <c r="P26" s="6"/>
      <c r="Q26" s="6"/>
      <c r="R26" s="6"/>
    </row>
    <row r="27" customFormat="false" ht="19.5" hidden="false" customHeight="true" outlineLevel="0" collapsed="false">
      <c r="B27" s="23" t="s">
        <v>199</v>
      </c>
      <c r="C27" s="6" t="s">
        <v>200</v>
      </c>
      <c r="D27" s="26" t="n">
        <f aca="false">IF(IF($Q14="Maior é melhor",D21&gt;=$O14,D21&lt;=$O14),0,1)</f>
        <v>1</v>
      </c>
      <c r="E27" s="26" t="n">
        <f aca="false">IF(IF($Q14="Maior é melhor",E21&gt;=$O14,E21&lt;=$O14),0,N(D27)+1)</f>
        <v>2</v>
      </c>
      <c r="F27" s="26" t="n">
        <f aca="false">IF(IF($Q14="Maior é melhor",F21&gt;=$O14,F21&lt;=$O14),0,N(E27)+1)</f>
        <v>3</v>
      </c>
      <c r="G27" s="26" t="n">
        <f aca="false">IF(IF($Q14="Maior é melhor",G21&gt;=$O14,G21&lt;=$O14),0,N(F27)+1)</f>
        <v>4</v>
      </c>
      <c r="H27" s="26" t="n">
        <f aca="false">IF(IF($Q14="Maior é melhor",H21&gt;=$O14,H21&lt;=$O14),0,N(G27)+1)</f>
        <v>5</v>
      </c>
      <c r="I27" s="26" t="n">
        <f aca="false">IF(IF($Q14="Maior é melhor",I21&gt;=$O14,I21&lt;=$O14),0,N(H27)+1)</f>
        <v>6</v>
      </c>
      <c r="J27" s="26" t="n">
        <f aca="false">IF(IF($Q14="Maior é melhor",J21&gt;=$O14,J21&lt;=$O14),0,N(I27)+1)</f>
        <v>0</v>
      </c>
      <c r="K27" s="26" t="n">
        <f aca="false">IF(IF($Q14="Maior é melhor",K21&gt;=$O14,K21&lt;=$O14),0,N(J27)+1)</f>
        <v>0</v>
      </c>
      <c r="L27" s="26" t="n">
        <f aca="false">IF(IF($Q14="Maior é melhor",L21&gt;=$O14,L21&lt;=$O14),0,N(K27)+1)</f>
        <v>0</v>
      </c>
      <c r="M27" s="26" t="n">
        <f aca="false">IF(IF($Q14="Maior é melhor",M21&gt;=$O14,M21&lt;=$O14),0,N(L27)+1)</f>
        <v>1</v>
      </c>
      <c r="N27" s="26" t="n">
        <f aca="false">IF(IF($Q14="Maior é melhor",N21&gt;=$O14,N21&lt;=$O14),0,N(M27)+1)</f>
        <v>2</v>
      </c>
      <c r="O27" s="26" t="n">
        <f aca="false">IF(IF($Q14="Maior é melhor",O21&gt;=$O14,O21&lt;=$O14),0,N(N27)+1)</f>
        <v>3</v>
      </c>
      <c r="P27" s="6"/>
      <c r="Q27" s="6"/>
      <c r="R27" s="6"/>
    </row>
    <row r="28" customFormat="false" ht="19.5" hidden="false" customHeight="true" outlineLevel="0" collapsed="false">
      <c r="B28" s="23" t="s">
        <v>204</v>
      </c>
      <c r="C28" s="6" t="s">
        <v>205</v>
      </c>
      <c r="D28" s="26" t="n">
        <f aca="false">IF(IF($Q15="Maior é melhor",D22&gt;=$O15,D22&lt;=$O15),0,1)</f>
        <v>1</v>
      </c>
      <c r="E28" s="26" t="n">
        <f aca="false">IF(IF($Q15="Maior é melhor",E22&gt;=$O15,E22&lt;=$O15),0,N(D28)+1)</f>
        <v>2</v>
      </c>
      <c r="F28" s="26" t="n">
        <f aca="false">IF(IF($Q15="Maior é melhor",F22&gt;=$O15,F22&lt;=$O15),0,N(E28)+1)</f>
        <v>3</v>
      </c>
      <c r="G28" s="26" t="n">
        <f aca="false">IF(IF($Q15="Maior é melhor",G22&gt;=$O15,G22&lt;=$O15),0,N(F28)+1)</f>
        <v>4</v>
      </c>
      <c r="H28" s="26" t="n">
        <f aca="false">IF(IF($Q15="Maior é melhor",H22&gt;=$O15,H22&lt;=$O15),0,N(G28)+1)</f>
        <v>5</v>
      </c>
      <c r="I28" s="26" t="n">
        <f aca="false">IF(IF($Q15="Maior é melhor",I22&gt;=$O15,I22&lt;=$O15),0,N(H28)+1)</f>
        <v>6</v>
      </c>
      <c r="J28" s="26" t="n">
        <f aca="false">IF(IF($Q15="Maior é melhor",J22&gt;=$O15,J22&lt;=$O15),0,N(I28)+1)</f>
        <v>7</v>
      </c>
      <c r="K28" s="26" t="n">
        <f aca="false">IF(IF($Q15="Maior é melhor",K22&gt;=$O15,K22&lt;=$O15),0,N(J28)+1)</f>
        <v>8</v>
      </c>
      <c r="L28" s="26" t="n">
        <f aca="false">IF(IF($Q15="Maior é melhor",L22&gt;=$O15,L22&lt;=$O15),0,N(K28)+1)</f>
        <v>0</v>
      </c>
      <c r="M28" s="26" t="n">
        <f aca="false">IF(IF($Q15="Maior é melhor",M22&gt;=$O15,M22&lt;=$O15),0,N(L28)+1)</f>
        <v>0</v>
      </c>
      <c r="N28" s="26" t="n">
        <f aca="false">IF(IF($Q15="Maior é melhor",N22&gt;=$O15,N22&lt;=$O15),0,N(M28)+1)</f>
        <v>0</v>
      </c>
      <c r="O28" s="26" t="n">
        <f aca="false">IF(IF($Q15="Maior é melhor",O22&gt;=$O15,O22&lt;=$O15),0,N(N28)+1)</f>
        <v>0</v>
      </c>
      <c r="P28" s="6"/>
      <c r="Q28" s="6"/>
      <c r="R28" s="6"/>
    </row>
    <row r="30" customFormat="false" ht="21.75" hidden="false" customHeight="true" outlineLevel="0" collapsed="false">
      <c r="B30" s="45" t="s">
        <v>40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customFormat="false" ht="30" hidden="false" customHeight="true" outlineLevel="0" collapsed="false">
      <c r="B31" s="23" t="s">
        <v>184</v>
      </c>
      <c r="C31" s="23" t="s">
        <v>70</v>
      </c>
      <c r="D31" s="23" t="s">
        <v>221</v>
      </c>
      <c r="E31" s="23"/>
      <c r="F31" s="23" t="s">
        <v>51</v>
      </c>
      <c r="G31" s="23"/>
      <c r="H31" s="23" t="s">
        <v>119</v>
      </c>
      <c r="I31" s="23"/>
      <c r="J31" s="23" t="s">
        <v>120</v>
      </c>
      <c r="K31" s="23"/>
      <c r="L31" s="23" t="s">
        <v>57</v>
      </c>
      <c r="M31" s="23"/>
      <c r="N31" s="40" t="s">
        <v>121</v>
      </c>
      <c r="O31" s="40"/>
      <c r="P31" s="40"/>
      <c r="Q31" s="23" t="s">
        <v>133</v>
      </c>
      <c r="R31" s="23"/>
    </row>
    <row r="32" customFormat="false" ht="34.5" hidden="false" customHeight="true" outlineLevel="0" collapsed="false">
      <c r="B32" s="23" t="s">
        <v>186</v>
      </c>
      <c r="C32" s="6" t="s">
        <v>187</v>
      </c>
      <c r="D32" s="23" t="n">
        <f aca="false">O19</f>
        <v>95</v>
      </c>
      <c r="E32" s="23"/>
      <c r="F32" s="24" t="str">
        <f aca="false">IF(OR(D32="",$O12="",$P12="",$Q12=""),"",IF($Q12="Maior é melhor",IF(D32&gt;=$O12,"Na meta",IF(D32&gt;=$P12,"Atenção","Fora da meta")),IF(D32&lt;=$O12,"Na meta",IF(D32&lt;=$P12,"Atenção","Fora da meta"))))</f>
        <v>Na meta</v>
      </c>
      <c r="G32" s="24"/>
      <c r="H32" s="30" t="n">
        <f aca="false">AVERAGE(J19:L19)</f>
        <v>84.6666666666667</v>
      </c>
      <c r="I32" s="30"/>
      <c r="J32" s="30" t="n">
        <f aca="false">AVERAGE(M19:O19)</f>
        <v>95</v>
      </c>
      <c r="K32" s="30"/>
      <c r="L32" s="24" t="str">
        <f aca="false">IF(OR(12="",12&lt;6),"Sem dados",IF(ABS(J32-H32)&lt;=0.05*ABS(H32),"Estável",IF((J32&gt;H32)=($Q12="Maior é melhor"),"Melhorando","Piorando")))</f>
        <v>Melhorando</v>
      </c>
      <c r="M32" s="24"/>
      <c r="N32" s="24" t="str">
        <f aca="false">IF(F32="","",IF(N(Q19)&gt;=3,"Abrir análise de causa",IF(F32="Fora da meta","Analisar na reunião",IF(F32="Atenção","Acompanhar","Manter"))))</f>
        <v>Manter</v>
      </c>
      <c r="O32" s="24"/>
      <c r="P32" s="24"/>
      <c r="Q32" s="7" t="s">
        <v>222</v>
      </c>
      <c r="R32" s="7"/>
    </row>
    <row r="33" customFormat="false" ht="34.5" hidden="false" customHeight="true" outlineLevel="0" collapsed="false">
      <c r="B33" s="23" t="s">
        <v>193</v>
      </c>
      <c r="C33" s="6" t="s">
        <v>194</v>
      </c>
      <c r="D33" s="23" t="n">
        <f aca="false">O20</f>
        <v>1.9</v>
      </c>
      <c r="E33" s="23"/>
      <c r="F33" s="24" t="str">
        <f aca="false">IF(OR(D33="",$O13="",$P13="",$Q13=""),"",IF($Q13="Maior é melhor",IF(D33&gt;=$O13,"Na meta",IF(D33&gt;=$P13,"Atenção","Fora da meta")),IF(D33&lt;=$O13,"Na meta",IF(D33&lt;=$P13,"Atenção","Fora da meta"))))</f>
        <v>Na meta</v>
      </c>
      <c r="G33" s="24"/>
      <c r="H33" s="30" t="n">
        <f aca="false">AVERAGE(J20:L20)</f>
        <v>2.56666666666667</v>
      </c>
      <c r="I33" s="30"/>
      <c r="J33" s="30" t="n">
        <f aca="false">AVERAGE(M20:O20)</f>
        <v>1.76666666666667</v>
      </c>
      <c r="K33" s="30"/>
      <c r="L33" s="24" t="str">
        <f aca="false">IF(OR(12="",12&lt;6),"Sem dados",IF(ABS(J33-H33)&lt;=0.05*ABS(H33),"Estável",IF((J33&gt;H33)=($Q13="Maior é melhor"),"Melhorando","Piorando")))</f>
        <v>Melhorando</v>
      </c>
      <c r="M33" s="24"/>
      <c r="N33" s="24" t="str">
        <f aca="false">IF(F33="","",IF(N(Q20)&gt;=3,"Abrir análise de causa",IF(F33="Fora da meta","Analisar na reunião",IF(F33="Atenção","Acompanhar","Manter"))))</f>
        <v>Manter</v>
      </c>
      <c r="O33" s="24"/>
      <c r="P33" s="24"/>
      <c r="Q33" s="7" t="s">
        <v>223</v>
      </c>
      <c r="R33" s="7"/>
    </row>
    <row r="34" customFormat="false" ht="34.5" hidden="false" customHeight="true" outlineLevel="0" collapsed="false">
      <c r="B34" s="23" t="s">
        <v>199</v>
      </c>
      <c r="C34" s="6" t="s">
        <v>200</v>
      </c>
      <c r="D34" s="23" t="n">
        <f aca="false">O21</f>
        <v>2</v>
      </c>
      <c r="E34" s="23"/>
      <c r="F34" s="24" t="str">
        <f aca="false">IF(OR(D34="",$O14="",$P14="",$Q14=""),"",IF($Q14="Maior é melhor",IF(D34&gt;=$O14,"Na meta",IF(D34&gt;=$P14,"Atenção","Fora da meta")),IF(D34&lt;=$O14,"Na meta",IF(D34&lt;=$P14,"Atenção","Fora da meta"))))</f>
        <v>Atenção</v>
      </c>
      <c r="G34" s="24"/>
      <c r="H34" s="30" t="n">
        <f aca="false">AVERAGE(J21:L21)</f>
        <v>1.4</v>
      </c>
      <c r="I34" s="30"/>
      <c r="J34" s="30" t="n">
        <f aca="false">AVERAGE(M21:O21)</f>
        <v>1.8</v>
      </c>
      <c r="K34" s="30"/>
      <c r="L34" s="24" t="str">
        <f aca="false">IF(OR(12="",12&lt;6),"Sem dados",IF(ABS(J34-H34)&lt;=0.05*ABS(H34),"Estável",IF((J34&gt;H34)=($Q14="Maior é melhor"),"Melhorando","Piorando")))</f>
        <v>Piorando</v>
      </c>
      <c r="M34" s="24"/>
      <c r="N34" s="24" t="str">
        <f aca="false">IF(F34="","",IF(N(Q21)&gt;=3,"Abrir análise de causa",IF(F34="Fora da meta","Analisar na reunião",IF(F34="Atenção","Acompanhar","Manter"))))</f>
        <v>Abrir análise de causa</v>
      </c>
      <c r="O34" s="24"/>
      <c r="P34" s="24"/>
      <c r="Q34" s="7" t="s">
        <v>224</v>
      </c>
      <c r="R34" s="7"/>
    </row>
    <row r="35" customFormat="false" ht="33" hidden="false" customHeight="true" outlineLevel="0" collapsed="false">
      <c r="B35" s="23" t="s">
        <v>204</v>
      </c>
      <c r="C35" s="6" t="s">
        <v>205</v>
      </c>
      <c r="D35" s="23" t="n">
        <f aca="false">O22</f>
        <v>3.9</v>
      </c>
      <c r="E35" s="23"/>
      <c r="F35" s="24" t="str">
        <f aca="false">IF(OR(D35="",$O15="",$P15="",$Q15=""),"",IF($Q15="Maior é melhor",IF(D35&gt;=$O15,"Na meta",IF(D35&gt;=$P15,"Atenção","Fora da meta")),IF(D35&lt;=$O15,"Na meta",IF(D35&lt;=$P15,"Atenção","Fora da meta"))))</f>
        <v>Na meta</v>
      </c>
      <c r="G35" s="24"/>
      <c r="H35" s="30" t="n">
        <f aca="false">AVERAGE(J22:L22)</f>
        <v>4.06666666666667</v>
      </c>
      <c r="I35" s="30"/>
      <c r="J35" s="30" t="n">
        <f aca="false">AVERAGE(M22:O22)</f>
        <v>3.9</v>
      </c>
      <c r="K35" s="30"/>
      <c r="L35" s="24" t="str">
        <f aca="false">IF(OR(12="",12&lt;6),"Sem dados",IF(ABS(J35-H35)&lt;=0.05*ABS(H35),"Estável",IF((J35&gt;H35)=($Q15="Maior é melhor"),"Melhorando","Piorando")))</f>
        <v>Estável</v>
      </c>
      <c r="M35" s="24"/>
      <c r="N35" s="24" t="str">
        <f aca="false">IF(F35="","",IF(N(Q22)&gt;=3,"Abrir análise de causa",IF(F35="Fora da meta","Analisar na reunião",IF(F35="Atenção","Acompanhar","Manter"))))</f>
        <v>Manter</v>
      </c>
      <c r="O35" s="24"/>
      <c r="P35" s="24"/>
      <c r="Q35" s="7" t="s">
        <v>225</v>
      </c>
      <c r="R35" s="7"/>
    </row>
    <row r="37" customFormat="false" ht="21.75" hidden="false" customHeight="true" outlineLevel="0" collapsed="false">
      <c r="B37" s="21" t="s">
        <v>102</v>
      </c>
      <c r="C37" s="21"/>
      <c r="D37" s="21"/>
      <c r="E37" s="21"/>
      <c r="F37" s="21"/>
      <c r="G37" s="21"/>
      <c r="I37" s="21" t="s">
        <v>226</v>
      </c>
      <c r="J37" s="21"/>
      <c r="K37" s="21"/>
      <c r="L37" s="21"/>
      <c r="M37" s="21"/>
      <c r="N37" s="21"/>
      <c r="O37" s="21"/>
      <c r="P37" s="21"/>
      <c r="Q37" s="21"/>
      <c r="R37" s="21"/>
    </row>
    <row r="38" customFormat="false" ht="21.75" hidden="false" customHeight="true" outlineLevel="0" collapsed="false">
      <c r="B38" s="22" t="s">
        <v>14</v>
      </c>
      <c r="C38" s="22"/>
      <c r="D38" s="40" t="n">
        <f aca="false">COUNTIF(F32:F35,"Na meta")</f>
        <v>3</v>
      </c>
      <c r="E38" s="40"/>
      <c r="F38" s="40"/>
      <c r="G38" s="40"/>
    </row>
    <row r="39" customFormat="false" ht="21.75" hidden="false" customHeight="true" outlineLevel="0" collapsed="false">
      <c r="B39" s="22" t="s">
        <v>16</v>
      </c>
      <c r="C39" s="22"/>
      <c r="D39" s="40" t="n">
        <f aca="false">COUNTIF(F32:F35,"Atenção")</f>
        <v>1</v>
      </c>
      <c r="E39" s="40"/>
      <c r="F39" s="40"/>
      <c r="G39" s="40"/>
    </row>
    <row r="40" customFormat="false" ht="21.75" hidden="false" customHeight="true" outlineLevel="0" collapsed="false">
      <c r="B40" s="22" t="s">
        <v>18</v>
      </c>
      <c r="C40" s="22"/>
      <c r="D40" s="40" t="n">
        <f aca="false">COUNTIF(F32:F35,"Fora da meta")</f>
        <v>0</v>
      </c>
      <c r="E40" s="40"/>
      <c r="F40" s="40"/>
      <c r="G40" s="40"/>
    </row>
    <row r="41" customFormat="false" ht="21.75" hidden="false" customHeight="true" outlineLevel="0" collapsed="false">
      <c r="B41" s="22" t="s">
        <v>123</v>
      </c>
      <c r="C41" s="22"/>
      <c r="D41" s="40" t="n">
        <f aca="false">COUNTIF(N32:N35,"Abrir análise de causa")</f>
        <v>1</v>
      </c>
      <c r="E41" s="40"/>
      <c r="F41" s="40"/>
      <c r="G41" s="40"/>
    </row>
    <row r="55" customFormat="false" ht="15" hidden="false" customHeight="true" outlineLevel="0" collapsed="false">
      <c r="B55" s="25" t="s">
        <v>227</v>
      </c>
      <c r="C55" s="25"/>
    </row>
    <row r="56" customFormat="false" ht="18" hidden="false" customHeight="true" outlineLevel="0" collapsed="false">
      <c r="B56" s="4" t="s">
        <v>76</v>
      </c>
      <c r="C56" s="4"/>
      <c r="D56" s="20" t="n">
        <f aca="false">$O$14</f>
        <v>1.5</v>
      </c>
      <c r="E56" s="20" t="n">
        <f aca="false">$O$14</f>
        <v>1.5</v>
      </c>
      <c r="F56" s="20" t="n">
        <f aca="false">$O$14</f>
        <v>1.5</v>
      </c>
      <c r="G56" s="20" t="n">
        <f aca="false">$O$14</f>
        <v>1.5</v>
      </c>
      <c r="H56" s="20" t="n">
        <f aca="false">$O$14</f>
        <v>1.5</v>
      </c>
      <c r="I56" s="20" t="n">
        <f aca="false">$O$14</f>
        <v>1.5</v>
      </c>
      <c r="J56" s="20" t="n">
        <f aca="false">$O$14</f>
        <v>1.5</v>
      </c>
      <c r="K56" s="20" t="n">
        <f aca="false">$O$14</f>
        <v>1.5</v>
      </c>
      <c r="L56" s="20" t="n">
        <f aca="false">$O$14</f>
        <v>1.5</v>
      </c>
      <c r="M56" s="20" t="n">
        <f aca="false">$O$14</f>
        <v>1.5</v>
      </c>
      <c r="N56" s="20" t="n">
        <f aca="false">$O$14</f>
        <v>1.5</v>
      </c>
      <c r="O56" s="20" t="n">
        <f aca="false">$O$14</f>
        <v>1.5</v>
      </c>
    </row>
    <row r="57" customFormat="false" ht="18" hidden="false" customHeight="true" outlineLevel="0" collapsed="false">
      <c r="B57" s="4" t="s">
        <v>53</v>
      </c>
      <c r="C57" s="4"/>
      <c r="D57" s="20" t="n">
        <f aca="false">$P$14</f>
        <v>2.5</v>
      </c>
      <c r="E57" s="20" t="n">
        <f aca="false">$P$14</f>
        <v>2.5</v>
      </c>
      <c r="F57" s="20" t="n">
        <f aca="false">$P$14</f>
        <v>2.5</v>
      </c>
      <c r="G57" s="20" t="n">
        <f aca="false">$P$14</f>
        <v>2.5</v>
      </c>
      <c r="H57" s="20" t="n">
        <f aca="false">$P$14</f>
        <v>2.5</v>
      </c>
      <c r="I57" s="20" t="n">
        <f aca="false">$P$14</f>
        <v>2.5</v>
      </c>
      <c r="J57" s="20" t="n">
        <f aca="false">$P$14</f>
        <v>2.5</v>
      </c>
      <c r="K57" s="20" t="n">
        <f aca="false">$P$14</f>
        <v>2.5</v>
      </c>
      <c r="L57" s="20" t="n">
        <f aca="false">$P$14</f>
        <v>2.5</v>
      </c>
      <c r="M57" s="20" t="n">
        <f aca="false">$P$14</f>
        <v>2.5</v>
      </c>
      <c r="N57" s="20" t="n">
        <f aca="false">$P$14</f>
        <v>2.5</v>
      </c>
      <c r="O57" s="20" t="n">
        <f aca="false">$P$14</f>
        <v>2.5</v>
      </c>
    </row>
  </sheetData>
  <mergeCells count="79">
    <mergeCell ref="B1:R1"/>
    <mergeCell ref="B2:R2"/>
    <mergeCell ref="B4:C4"/>
    <mergeCell ref="D4:R4"/>
    <mergeCell ref="B5:C5"/>
    <mergeCell ref="D5:R5"/>
    <mergeCell ref="B6:C6"/>
    <mergeCell ref="D6:R6"/>
    <mergeCell ref="B7:C7"/>
    <mergeCell ref="D7:R7"/>
    <mergeCell ref="B8:C8"/>
    <mergeCell ref="D8:R8"/>
    <mergeCell ref="B10:R10"/>
    <mergeCell ref="D11:G11"/>
    <mergeCell ref="H11:L11"/>
    <mergeCell ref="M11:N11"/>
    <mergeCell ref="D12:G12"/>
    <mergeCell ref="H12:L12"/>
    <mergeCell ref="M12:N12"/>
    <mergeCell ref="D13:G13"/>
    <mergeCell ref="H13:L13"/>
    <mergeCell ref="M13:N13"/>
    <mergeCell ref="D14:G14"/>
    <mergeCell ref="H14:L14"/>
    <mergeCell ref="M14:N14"/>
    <mergeCell ref="D15:G15"/>
    <mergeCell ref="H15:L15"/>
    <mergeCell ref="M15:N15"/>
    <mergeCell ref="B17:R17"/>
    <mergeCell ref="B24:R24"/>
    <mergeCell ref="B30:R30"/>
    <mergeCell ref="D31:E31"/>
    <mergeCell ref="F31:G31"/>
    <mergeCell ref="H31:I31"/>
    <mergeCell ref="J31:K31"/>
    <mergeCell ref="L31:M31"/>
    <mergeCell ref="N31:P31"/>
    <mergeCell ref="Q31:R31"/>
    <mergeCell ref="D32:E32"/>
    <mergeCell ref="F32:G32"/>
    <mergeCell ref="H32:I32"/>
    <mergeCell ref="J32:K32"/>
    <mergeCell ref="L32:M32"/>
    <mergeCell ref="N32:P32"/>
    <mergeCell ref="Q32:R32"/>
    <mergeCell ref="D33:E33"/>
    <mergeCell ref="F33:G33"/>
    <mergeCell ref="H33:I33"/>
    <mergeCell ref="J33:K33"/>
    <mergeCell ref="L33:M33"/>
    <mergeCell ref="N33:P33"/>
    <mergeCell ref="Q33:R33"/>
    <mergeCell ref="D34:E34"/>
    <mergeCell ref="F34:G34"/>
    <mergeCell ref="H34:I34"/>
    <mergeCell ref="J34:K34"/>
    <mergeCell ref="L34:M34"/>
    <mergeCell ref="N34:P34"/>
    <mergeCell ref="Q34:R34"/>
    <mergeCell ref="D35:E35"/>
    <mergeCell ref="F35:G35"/>
    <mergeCell ref="H35:I35"/>
    <mergeCell ref="J35:K35"/>
    <mergeCell ref="L35:M35"/>
    <mergeCell ref="N35:P35"/>
    <mergeCell ref="Q35:R35"/>
    <mergeCell ref="B37:G37"/>
    <mergeCell ref="I37:R37"/>
    <mergeCell ref="B38:C38"/>
    <mergeCell ref="D38:G38"/>
    <mergeCell ref="B39:C39"/>
    <mergeCell ref="D39:G39"/>
    <mergeCell ref="B40:C40"/>
    <mergeCell ref="D40:G40"/>
    <mergeCell ref="B41:C41"/>
    <mergeCell ref="D41:G41"/>
    <mergeCell ref="B55:C55"/>
    <mergeCell ref="B56:C56"/>
    <mergeCell ref="B57:C57"/>
  </mergeCells>
  <conditionalFormatting sqref="D19:O22">
    <cfRule type="expression" priority="2" aboveAverage="0" equalAverage="0" bottom="0" percent="0" rank="0" text="" dxfId="2">
      <formula>NOT(IF($Q12="Maior é melhor",D19&gt;=$O12,D19&lt;=$O12))</formula>
    </cfRule>
  </conditionalFormatting>
  <conditionalFormatting sqref="Q19:Q22">
    <cfRule type="expression" priority="3" aboveAverage="0" equalAverage="0" bottom="0" percent="0" rank="0" text="" dxfId="3">
      <formula>Q19&gt;=3</formula>
    </cfRule>
  </conditionalFormatting>
  <conditionalFormatting sqref="F32:G35">
    <cfRule type="cellIs" priority="4" operator="equal" aboveAverage="0" equalAverage="0" bottom="0" percent="0" rank="0" text="" dxfId="4">
      <formula>"Na meta"</formula>
    </cfRule>
    <cfRule type="cellIs" priority="5" operator="equal" aboveAverage="0" equalAverage="0" bottom="0" percent="0" rank="0" text="" dxfId="5">
      <formula>"Atenção"</formula>
    </cfRule>
    <cfRule type="cellIs" priority="6" operator="equal" aboveAverage="0" equalAverage="0" bottom="0" percent="0" rank="0" text="" dxfId="3">
      <formula>"Fora da meta"</formula>
    </cfRule>
  </conditionalFormatting>
  <conditionalFormatting sqref="L32:M35">
    <cfRule type="cellIs" priority="7" operator="equal" aboveAverage="0" equalAverage="0" bottom="0" percent="0" rank="0" text="" dxfId="4">
      <formula>"Melhorando"</formula>
    </cfRule>
    <cfRule type="cellIs" priority="8" operator="equal" aboveAverage="0" equalAverage="0" bottom="0" percent="0" rank="0" text="" dxfId="3">
      <formula>"Piorando"</formula>
    </cfRule>
  </conditionalFormatting>
  <conditionalFormatting sqref="N32:P35">
    <cfRule type="cellIs" priority="9" operator="equal" aboveAverage="0" equalAverage="0" bottom="0" percent="0" rank="0" text="" dxfId="4">
      <formula>"Manter"</formula>
    </cfRule>
    <cfRule type="cellIs" priority="10" operator="equal" aboveAverage="0" equalAverage="0" bottom="0" percent="0" rank="0" text="" dxfId="5">
      <formula>"Acompanhar"</formula>
    </cfRule>
    <cfRule type="cellIs" priority="11" operator="equal" aboveAverage="0" equalAverage="0" bottom="0" percent="0" rank="0" text="" dxfId="3">
      <formula>"Analisar na reunião"</formula>
    </cfRule>
    <cfRule type="cellIs" priority="12" operator="equal" aboveAverage="0" equalAverage="0" bottom="0" percent="0" rank="0" text="" dxfId="3">
      <formula>"Abrir análise de causa"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9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R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15" min="4" style="0" width="9.51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114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176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177</v>
      </c>
      <c r="C4" s="4"/>
      <c r="D4" s="37" t="s">
        <v>228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customFormat="false" ht="21.75" hidden="false" customHeight="true" outlineLevel="0" collapsed="false">
      <c r="B5" s="4" t="s">
        <v>67</v>
      </c>
      <c r="C5" s="4"/>
      <c r="D5" s="37" t="s">
        <v>179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customFormat="false" ht="21.75" hidden="false" customHeight="true" outlineLevel="0" collapsed="false">
      <c r="B6" s="4" t="s">
        <v>79</v>
      </c>
      <c r="C6" s="4"/>
      <c r="D6" s="37" t="s">
        <v>147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</row>
    <row r="7" customFormat="false" ht="21.75" hidden="false" customHeight="true" outlineLevel="0" collapsed="false">
      <c r="B7" s="4" t="s">
        <v>181</v>
      </c>
      <c r="C7" s="4"/>
      <c r="D7" s="37" t="s">
        <v>229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</row>
    <row r="8" customFormat="false" ht="21.75" hidden="false" customHeight="true" outlineLevel="0" collapsed="false">
      <c r="B8" s="4" t="s">
        <v>183</v>
      </c>
      <c r="C8" s="4"/>
      <c r="D8" s="38" t="n">
        <v>46303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</row>
    <row r="10" customFormat="false" ht="21.75" hidden="false" customHeight="true" outlineLevel="0" collapsed="false">
      <c r="B10" s="39" t="s">
        <v>63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</row>
    <row r="11" customFormat="false" ht="24" hidden="false" customHeight="true" outlineLevel="0" collapsed="false">
      <c r="B11" s="23" t="s">
        <v>184</v>
      </c>
      <c r="C11" s="23" t="s">
        <v>70</v>
      </c>
      <c r="D11" s="40" t="s">
        <v>71</v>
      </c>
      <c r="E11" s="40"/>
      <c r="F11" s="40"/>
      <c r="G11" s="40"/>
      <c r="H11" s="23" t="s">
        <v>73</v>
      </c>
      <c r="I11" s="23"/>
      <c r="J11" s="23"/>
      <c r="K11" s="23"/>
      <c r="L11" s="23"/>
      <c r="M11" s="23" t="s">
        <v>74</v>
      </c>
      <c r="N11" s="23"/>
      <c r="O11" s="23" t="s">
        <v>76</v>
      </c>
      <c r="P11" s="23" t="s">
        <v>185</v>
      </c>
      <c r="Q11" s="23" t="s">
        <v>75</v>
      </c>
      <c r="R11" s="23" t="s">
        <v>79</v>
      </c>
    </row>
    <row r="12" customFormat="false" ht="34.5" hidden="false" customHeight="true" outlineLevel="0" collapsed="false">
      <c r="B12" s="23" t="s">
        <v>230</v>
      </c>
      <c r="C12" s="41" t="s">
        <v>92</v>
      </c>
      <c r="D12" s="7" t="s">
        <v>93</v>
      </c>
      <c r="E12" s="7"/>
      <c r="F12" s="7"/>
      <c r="G12" s="7"/>
      <c r="H12" s="7" t="s">
        <v>95</v>
      </c>
      <c r="I12" s="7"/>
      <c r="J12" s="7"/>
      <c r="K12" s="7"/>
      <c r="L12" s="7"/>
      <c r="M12" s="42" t="s">
        <v>96</v>
      </c>
      <c r="N12" s="42"/>
      <c r="O12" s="42" t="n">
        <v>5</v>
      </c>
      <c r="P12" s="42" t="n">
        <v>6</v>
      </c>
      <c r="Q12" s="43" t="s">
        <v>97</v>
      </c>
      <c r="R12" s="7" t="s">
        <v>100</v>
      </c>
    </row>
    <row r="13" customFormat="false" ht="34.5" hidden="false" customHeight="true" outlineLevel="0" collapsed="false">
      <c r="B13" s="23" t="s">
        <v>231</v>
      </c>
      <c r="C13" s="41" t="s">
        <v>232</v>
      </c>
      <c r="D13" s="7" t="s">
        <v>233</v>
      </c>
      <c r="E13" s="7"/>
      <c r="F13" s="7"/>
      <c r="G13" s="7"/>
      <c r="H13" s="7" t="s">
        <v>234</v>
      </c>
      <c r="I13" s="7"/>
      <c r="J13" s="7"/>
      <c r="K13" s="7"/>
      <c r="L13" s="7"/>
      <c r="M13" s="42" t="s">
        <v>190</v>
      </c>
      <c r="N13" s="42"/>
      <c r="O13" s="42" t="n">
        <v>5</v>
      </c>
      <c r="P13" s="42" t="n">
        <v>10</v>
      </c>
      <c r="Q13" s="43" t="s">
        <v>97</v>
      </c>
      <c r="R13" s="7" t="s">
        <v>147</v>
      </c>
    </row>
    <row r="14" customFormat="false" ht="34.5" hidden="false" customHeight="true" outlineLevel="0" collapsed="false">
      <c r="B14" s="23" t="s">
        <v>235</v>
      </c>
      <c r="C14" s="41" t="s">
        <v>236</v>
      </c>
      <c r="D14" s="7" t="s">
        <v>237</v>
      </c>
      <c r="E14" s="7"/>
      <c r="F14" s="7"/>
      <c r="G14" s="7"/>
      <c r="H14" s="7" t="s">
        <v>238</v>
      </c>
      <c r="I14" s="7"/>
      <c r="J14" s="7"/>
      <c r="K14" s="7"/>
      <c r="L14" s="7"/>
      <c r="M14" s="42" t="s">
        <v>190</v>
      </c>
      <c r="N14" s="42"/>
      <c r="O14" s="42" t="n">
        <v>100</v>
      </c>
      <c r="P14" s="42" t="n">
        <v>90</v>
      </c>
      <c r="Q14" s="43" t="s">
        <v>191</v>
      </c>
      <c r="R14" s="7" t="s">
        <v>100</v>
      </c>
    </row>
    <row r="15" customFormat="false" ht="30" hidden="false" customHeight="true" outlineLevel="0" collapsed="false">
      <c r="B15" s="23" t="s">
        <v>239</v>
      </c>
      <c r="C15" s="41" t="s">
        <v>240</v>
      </c>
      <c r="D15" s="7" t="s">
        <v>233</v>
      </c>
      <c r="E15" s="7"/>
      <c r="F15" s="7"/>
      <c r="G15" s="7"/>
      <c r="H15" s="7" t="s">
        <v>241</v>
      </c>
      <c r="I15" s="7"/>
      <c r="J15" s="7"/>
      <c r="K15" s="7"/>
      <c r="L15" s="7"/>
      <c r="M15" s="42" t="s">
        <v>242</v>
      </c>
      <c r="N15" s="42"/>
      <c r="O15" s="42" t="n">
        <v>0</v>
      </c>
      <c r="P15" s="42" t="n">
        <v>1</v>
      </c>
      <c r="Q15" s="43" t="s">
        <v>97</v>
      </c>
      <c r="R15" s="7" t="s">
        <v>243</v>
      </c>
    </row>
    <row r="17" customFormat="false" ht="21.75" hidden="false" customHeight="true" outlineLevel="0" collapsed="false">
      <c r="B17" s="44" t="s">
        <v>38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</row>
    <row r="18" customFormat="false" ht="24" hidden="false" customHeight="true" outlineLevel="0" collapsed="false">
      <c r="B18" s="23" t="s">
        <v>184</v>
      </c>
      <c r="C18" s="23" t="s">
        <v>70</v>
      </c>
      <c r="D18" s="23" t="s">
        <v>208</v>
      </c>
      <c r="E18" s="23" t="s">
        <v>209</v>
      </c>
      <c r="F18" s="23" t="s">
        <v>210</v>
      </c>
      <c r="G18" s="23" t="s">
        <v>211</v>
      </c>
      <c r="H18" s="23" t="s">
        <v>212</v>
      </c>
      <c r="I18" s="23" t="s">
        <v>213</v>
      </c>
      <c r="J18" s="23" t="s">
        <v>214</v>
      </c>
      <c r="K18" s="23" t="s">
        <v>215</v>
      </c>
      <c r="L18" s="23" t="s">
        <v>216</v>
      </c>
      <c r="M18" s="23" t="s">
        <v>217</v>
      </c>
      <c r="N18" s="23" t="s">
        <v>218</v>
      </c>
      <c r="O18" s="23" t="s">
        <v>219</v>
      </c>
      <c r="P18" s="23" t="s">
        <v>117</v>
      </c>
      <c r="Q18" s="23" t="s">
        <v>220</v>
      </c>
      <c r="R18" s="23"/>
    </row>
    <row r="19" customFormat="false" ht="24" hidden="false" customHeight="true" outlineLevel="0" collapsed="false">
      <c r="B19" s="23" t="s">
        <v>230</v>
      </c>
      <c r="C19" s="7" t="s">
        <v>92</v>
      </c>
      <c r="D19" s="42" t="n">
        <v>4.6</v>
      </c>
      <c r="E19" s="42" t="n">
        <v>4.8</v>
      </c>
      <c r="F19" s="42" t="n">
        <v>5.3</v>
      </c>
      <c r="G19" s="42" t="n">
        <v>4.7</v>
      </c>
      <c r="H19" s="42" t="n">
        <v>4.5</v>
      </c>
      <c r="I19" s="42" t="n">
        <v>4.8</v>
      </c>
      <c r="J19" s="42" t="n">
        <v>4.9</v>
      </c>
      <c r="K19" s="42" t="n">
        <v>5.2</v>
      </c>
      <c r="L19" s="42" t="n">
        <v>5.6</v>
      </c>
      <c r="M19" s="42" t="n">
        <v>5.9</v>
      </c>
      <c r="N19" s="42" t="n">
        <v>6.2</v>
      </c>
      <c r="O19" s="42" t="n">
        <v>5.8</v>
      </c>
      <c r="P19" s="30" t="n">
        <f aca="false">AVERAGE(D19:O19)</f>
        <v>5.19166666666667</v>
      </c>
      <c r="Q19" s="27" t="n">
        <f aca="false">O25</f>
        <v>5</v>
      </c>
      <c r="R19" s="6"/>
    </row>
    <row r="20" customFormat="false" ht="24" hidden="false" customHeight="true" outlineLevel="0" collapsed="false">
      <c r="B20" s="23" t="s">
        <v>231</v>
      </c>
      <c r="C20" s="7" t="s">
        <v>232</v>
      </c>
      <c r="D20" s="42" t="n">
        <v>28</v>
      </c>
      <c r="E20" s="42" t="n">
        <v>30</v>
      </c>
      <c r="F20" s="42" t="n">
        <v>32</v>
      </c>
      <c r="G20" s="42" t="n">
        <v>29</v>
      </c>
      <c r="H20" s="42" t="n">
        <v>31</v>
      </c>
      <c r="I20" s="42" t="n">
        <v>30</v>
      </c>
      <c r="J20" s="42" t="n">
        <v>29</v>
      </c>
      <c r="K20" s="42" t="n">
        <v>31</v>
      </c>
      <c r="L20" s="42" t="n">
        <v>33</v>
      </c>
      <c r="M20" s="42" t="n">
        <v>30</v>
      </c>
      <c r="N20" s="42" t="n">
        <v>31</v>
      </c>
      <c r="O20" s="42" t="n">
        <v>29</v>
      </c>
      <c r="P20" s="30" t="n">
        <f aca="false">AVERAGE(D20:O20)</f>
        <v>30.25</v>
      </c>
      <c r="Q20" s="27" t="n">
        <f aca="false">O26</f>
        <v>12</v>
      </c>
      <c r="R20" s="6"/>
    </row>
    <row r="21" customFormat="false" ht="24" hidden="false" customHeight="true" outlineLevel="0" collapsed="false">
      <c r="B21" s="23" t="s">
        <v>235</v>
      </c>
      <c r="C21" s="7" t="s">
        <v>236</v>
      </c>
      <c r="D21" s="42" t="n">
        <v>100</v>
      </c>
      <c r="E21" s="42" t="n">
        <v>100</v>
      </c>
      <c r="F21" s="42" t="n">
        <v>100</v>
      </c>
      <c r="G21" s="42" t="n">
        <v>92</v>
      </c>
      <c r="H21" s="42" t="n">
        <v>92</v>
      </c>
      <c r="I21" s="42" t="n">
        <v>83</v>
      </c>
      <c r="J21" s="42" t="n">
        <v>83</v>
      </c>
      <c r="K21" s="42" t="n">
        <v>75</v>
      </c>
      <c r="L21" s="42" t="n">
        <v>67</v>
      </c>
      <c r="M21" s="42" t="n">
        <v>67</v>
      </c>
      <c r="N21" s="42" t="n">
        <v>58</v>
      </c>
      <c r="O21" s="42" t="n">
        <v>58</v>
      </c>
      <c r="P21" s="30" t="n">
        <f aca="false">AVERAGE(D21:O21)</f>
        <v>81.25</v>
      </c>
      <c r="Q21" s="27" t="n">
        <f aca="false">O27</f>
        <v>9</v>
      </c>
      <c r="R21" s="6"/>
    </row>
    <row r="22" customFormat="false" ht="24" hidden="false" customHeight="true" outlineLevel="0" collapsed="false">
      <c r="B22" s="23" t="s">
        <v>239</v>
      </c>
      <c r="C22" s="7" t="s">
        <v>240</v>
      </c>
      <c r="D22" s="42" t="n">
        <v>1</v>
      </c>
      <c r="E22" s="42" t="n">
        <v>0</v>
      </c>
      <c r="F22" s="42" t="n">
        <v>1</v>
      </c>
      <c r="G22" s="42" t="n">
        <v>1</v>
      </c>
      <c r="H22" s="42" t="n">
        <v>0</v>
      </c>
      <c r="I22" s="42" t="n">
        <v>1</v>
      </c>
      <c r="J22" s="42" t="n">
        <v>1</v>
      </c>
      <c r="K22" s="42" t="n">
        <v>1</v>
      </c>
      <c r="L22" s="42" t="n">
        <v>0</v>
      </c>
      <c r="M22" s="42" t="n">
        <v>2</v>
      </c>
      <c r="N22" s="42" t="n">
        <v>1</v>
      </c>
      <c r="O22" s="42" t="n">
        <v>1</v>
      </c>
      <c r="P22" s="30" t="n">
        <f aca="false">AVERAGE(D22:O22)</f>
        <v>0.833333333333333</v>
      </c>
      <c r="Q22" s="27" t="n">
        <f aca="false">O28</f>
        <v>3</v>
      </c>
      <c r="R22" s="6"/>
    </row>
    <row r="24" customFormat="false" ht="21.75" hidden="false" customHeight="true" outlineLevel="0" collapsed="false">
      <c r="B24" s="44" t="s">
        <v>110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</row>
    <row r="25" customFormat="false" ht="19.5" hidden="false" customHeight="true" outlineLevel="0" collapsed="false">
      <c r="B25" s="23" t="s">
        <v>230</v>
      </c>
      <c r="C25" s="6" t="s">
        <v>92</v>
      </c>
      <c r="D25" s="26" t="n">
        <f aca="false">IF(IF($Q12="Maior é melhor",D19&gt;=$O12,D19&lt;=$O12),0,1)</f>
        <v>0</v>
      </c>
      <c r="E25" s="26" t="n">
        <f aca="false">IF(IF($Q12="Maior é melhor",E19&gt;=$O12,E19&lt;=$O12),0,N(D25)+1)</f>
        <v>0</v>
      </c>
      <c r="F25" s="26" t="n">
        <f aca="false">IF(IF($Q12="Maior é melhor",F19&gt;=$O12,F19&lt;=$O12),0,N(E25)+1)</f>
        <v>1</v>
      </c>
      <c r="G25" s="26" t="n">
        <f aca="false">IF(IF($Q12="Maior é melhor",G19&gt;=$O12,G19&lt;=$O12),0,N(F25)+1)</f>
        <v>0</v>
      </c>
      <c r="H25" s="26" t="n">
        <f aca="false">IF(IF($Q12="Maior é melhor",H19&gt;=$O12,H19&lt;=$O12),0,N(G25)+1)</f>
        <v>0</v>
      </c>
      <c r="I25" s="26" t="n">
        <f aca="false">IF(IF($Q12="Maior é melhor",I19&gt;=$O12,I19&lt;=$O12),0,N(H25)+1)</f>
        <v>0</v>
      </c>
      <c r="J25" s="26" t="n">
        <f aca="false">IF(IF($Q12="Maior é melhor",J19&gt;=$O12,J19&lt;=$O12),0,N(I25)+1)</f>
        <v>0</v>
      </c>
      <c r="K25" s="26" t="n">
        <f aca="false">IF(IF($Q12="Maior é melhor",K19&gt;=$O12,K19&lt;=$O12),0,N(J25)+1)</f>
        <v>1</v>
      </c>
      <c r="L25" s="26" t="n">
        <f aca="false">IF(IF($Q12="Maior é melhor",L19&gt;=$O12,L19&lt;=$O12),0,N(K25)+1)</f>
        <v>2</v>
      </c>
      <c r="M25" s="26" t="n">
        <f aca="false">IF(IF($Q12="Maior é melhor",M19&gt;=$O12,M19&lt;=$O12),0,N(L25)+1)</f>
        <v>3</v>
      </c>
      <c r="N25" s="26" t="n">
        <f aca="false">IF(IF($Q12="Maior é melhor",N19&gt;=$O12,N19&lt;=$O12),0,N(M25)+1)</f>
        <v>4</v>
      </c>
      <c r="O25" s="26" t="n">
        <f aca="false">IF(IF($Q12="Maior é melhor",O19&gt;=$O12,O19&lt;=$O12),0,N(N25)+1)</f>
        <v>5</v>
      </c>
      <c r="P25" s="6"/>
      <c r="Q25" s="6"/>
      <c r="R25" s="6"/>
    </row>
    <row r="26" customFormat="false" ht="19.5" hidden="false" customHeight="true" outlineLevel="0" collapsed="false">
      <c r="B26" s="23" t="s">
        <v>231</v>
      </c>
      <c r="C26" s="6" t="s">
        <v>232</v>
      </c>
      <c r="D26" s="26" t="n">
        <f aca="false">IF(IF($Q13="Maior é melhor",D20&gt;=$O13,D20&lt;=$O13),0,1)</f>
        <v>1</v>
      </c>
      <c r="E26" s="26" t="n">
        <f aca="false">IF(IF($Q13="Maior é melhor",E20&gt;=$O13,E20&lt;=$O13),0,N(D26)+1)</f>
        <v>2</v>
      </c>
      <c r="F26" s="26" t="n">
        <f aca="false">IF(IF($Q13="Maior é melhor",F20&gt;=$O13,F20&lt;=$O13),0,N(E26)+1)</f>
        <v>3</v>
      </c>
      <c r="G26" s="26" t="n">
        <f aca="false">IF(IF($Q13="Maior é melhor",G20&gt;=$O13,G20&lt;=$O13),0,N(F26)+1)</f>
        <v>4</v>
      </c>
      <c r="H26" s="26" t="n">
        <f aca="false">IF(IF($Q13="Maior é melhor",H20&gt;=$O13,H20&lt;=$O13),0,N(G26)+1)</f>
        <v>5</v>
      </c>
      <c r="I26" s="26" t="n">
        <f aca="false">IF(IF($Q13="Maior é melhor",I20&gt;=$O13,I20&lt;=$O13),0,N(H26)+1)</f>
        <v>6</v>
      </c>
      <c r="J26" s="26" t="n">
        <f aca="false">IF(IF($Q13="Maior é melhor",J20&gt;=$O13,J20&lt;=$O13),0,N(I26)+1)</f>
        <v>7</v>
      </c>
      <c r="K26" s="26" t="n">
        <f aca="false">IF(IF($Q13="Maior é melhor",K20&gt;=$O13,K20&lt;=$O13),0,N(J26)+1)</f>
        <v>8</v>
      </c>
      <c r="L26" s="26" t="n">
        <f aca="false">IF(IF($Q13="Maior é melhor",L20&gt;=$O13,L20&lt;=$O13),0,N(K26)+1)</f>
        <v>9</v>
      </c>
      <c r="M26" s="26" t="n">
        <f aca="false">IF(IF($Q13="Maior é melhor",M20&gt;=$O13,M20&lt;=$O13),0,N(L26)+1)</f>
        <v>10</v>
      </c>
      <c r="N26" s="26" t="n">
        <f aca="false">IF(IF($Q13="Maior é melhor",N20&gt;=$O13,N20&lt;=$O13),0,N(M26)+1)</f>
        <v>11</v>
      </c>
      <c r="O26" s="26" t="n">
        <f aca="false">IF(IF($Q13="Maior é melhor",O20&gt;=$O13,O20&lt;=$O13),0,N(N26)+1)</f>
        <v>12</v>
      </c>
      <c r="P26" s="6"/>
      <c r="Q26" s="6"/>
      <c r="R26" s="6"/>
    </row>
    <row r="27" customFormat="false" ht="19.5" hidden="false" customHeight="true" outlineLevel="0" collapsed="false">
      <c r="B27" s="23" t="s">
        <v>235</v>
      </c>
      <c r="C27" s="6" t="s">
        <v>236</v>
      </c>
      <c r="D27" s="26" t="n">
        <f aca="false">IF(IF($Q14="Maior é melhor",D21&gt;=$O14,D21&lt;=$O14),0,1)</f>
        <v>0</v>
      </c>
      <c r="E27" s="26" t="n">
        <f aca="false">IF(IF($Q14="Maior é melhor",E21&gt;=$O14,E21&lt;=$O14),0,N(D27)+1)</f>
        <v>0</v>
      </c>
      <c r="F27" s="26" t="n">
        <f aca="false">IF(IF($Q14="Maior é melhor",F21&gt;=$O14,F21&lt;=$O14),0,N(E27)+1)</f>
        <v>0</v>
      </c>
      <c r="G27" s="26" t="n">
        <f aca="false">IF(IF($Q14="Maior é melhor",G21&gt;=$O14,G21&lt;=$O14),0,N(F27)+1)</f>
        <v>1</v>
      </c>
      <c r="H27" s="26" t="n">
        <f aca="false">IF(IF($Q14="Maior é melhor",H21&gt;=$O14,H21&lt;=$O14),0,N(G27)+1)</f>
        <v>2</v>
      </c>
      <c r="I27" s="26" t="n">
        <f aca="false">IF(IF($Q14="Maior é melhor",I21&gt;=$O14,I21&lt;=$O14),0,N(H27)+1)</f>
        <v>3</v>
      </c>
      <c r="J27" s="26" t="n">
        <f aca="false">IF(IF($Q14="Maior é melhor",J21&gt;=$O14,J21&lt;=$O14),0,N(I27)+1)</f>
        <v>4</v>
      </c>
      <c r="K27" s="26" t="n">
        <f aca="false">IF(IF($Q14="Maior é melhor",K21&gt;=$O14,K21&lt;=$O14),0,N(J27)+1)</f>
        <v>5</v>
      </c>
      <c r="L27" s="26" t="n">
        <f aca="false">IF(IF($Q14="Maior é melhor",L21&gt;=$O14,L21&lt;=$O14),0,N(K27)+1)</f>
        <v>6</v>
      </c>
      <c r="M27" s="26" t="n">
        <f aca="false">IF(IF($Q14="Maior é melhor",M21&gt;=$O14,M21&lt;=$O14),0,N(L27)+1)</f>
        <v>7</v>
      </c>
      <c r="N27" s="26" t="n">
        <f aca="false">IF(IF($Q14="Maior é melhor",N21&gt;=$O14,N21&lt;=$O14),0,N(M27)+1)</f>
        <v>8</v>
      </c>
      <c r="O27" s="26" t="n">
        <f aca="false">IF(IF($Q14="Maior é melhor",O21&gt;=$O14,O21&lt;=$O14),0,N(N27)+1)</f>
        <v>9</v>
      </c>
      <c r="P27" s="6"/>
      <c r="Q27" s="6"/>
      <c r="R27" s="6"/>
    </row>
    <row r="28" customFormat="false" ht="19.5" hidden="false" customHeight="true" outlineLevel="0" collapsed="false">
      <c r="B28" s="23" t="s">
        <v>239</v>
      </c>
      <c r="C28" s="6" t="s">
        <v>240</v>
      </c>
      <c r="D28" s="26" t="n">
        <f aca="false">IF(IF($Q15="Maior é melhor",D22&gt;=$O15,D22&lt;=$O15),0,1)</f>
        <v>1</v>
      </c>
      <c r="E28" s="26" t="n">
        <f aca="false">IF(IF($Q15="Maior é melhor",E22&gt;=$O15,E22&lt;=$O15),0,N(D28)+1)</f>
        <v>0</v>
      </c>
      <c r="F28" s="26" t="n">
        <f aca="false">IF(IF($Q15="Maior é melhor",F22&gt;=$O15,F22&lt;=$O15),0,N(E28)+1)</f>
        <v>1</v>
      </c>
      <c r="G28" s="26" t="n">
        <f aca="false">IF(IF($Q15="Maior é melhor",G22&gt;=$O15,G22&lt;=$O15),0,N(F28)+1)</f>
        <v>2</v>
      </c>
      <c r="H28" s="26" t="n">
        <f aca="false">IF(IF($Q15="Maior é melhor",H22&gt;=$O15,H22&lt;=$O15),0,N(G28)+1)</f>
        <v>0</v>
      </c>
      <c r="I28" s="26" t="n">
        <f aca="false">IF(IF($Q15="Maior é melhor",I22&gt;=$O15,I22&lt;=$O15),0,N(H28)+1)</f>
        <v>1</v>
      </c>
      <c r="J28" s="26" t="n">
        <f aca="false">IF(IF($Q15="Maior é melhor",J22&gt;=$O15,J22&lt;=$O15),0,N(I28)+1)</f>
        <v>2</v>
      </c>
      <c r="K28" s="26" t="n">
        <f aca="false">IF(IF($Q15="Maior é melhor",K22&gt;=$O15,K22&lt;=$O15),0,N(J28)+1)</f>
        <v>3</v>
      </c>
      <c r="L28" s="26" t="n">
        <f aca="false">IF(IF($Q15="Maior é melhor",L22&gt;=$O15,L22&lt;=$O15),0,N(K28)+1)</f>
        <v>0</v>
      </c>
      <c r="M28" s="26" t="n">
        <f aca="false">IF(IF($Q15="Maior é melhor",M22&gt;=$O15,M22&lt;=$O15),0,N(L28)+1)</f>
        <v>1</v>
      </c>
      <c r="N28" s="26" t="n">
        <f aca="false">IF(IF($Q15="Maior é melhor",N22&gt;=$O15,N22&lt;=$O15),0,N(M28)+1)</f>
        <v>2</v>
      </c>
      <c r="O28" s="26" t="n">
        <f aca="false">IF(IF($Q15="Maior é melhor",O22&gt;=$O15,O22&lt;=$O15),0,N(N28)+1)</f>
        <v>3</v>
      </c>
      <c r="P28" s="6"/>
      <c r="Q28" s="6"/>
      <c r="R28" s="6"/>
    </row>
    <row r="30" customFormat="false" ht="21.75" hidden="false" customHeight="true" outlineLevel="0" collapsed="false">
      <c r="B30" s="45" t="s">
        <v>40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customFormat="false" ht="30" hidden="false" customHeight="true" outlineLevel="0" collapsed="false">
      <c r="B31" s="23" t="s">
        <v>184</v>
      </c>
      <c r="C31" s="23" t="s">
        <v>70</v>
      </c>
      <c r="D31" s="23" t="s">
        <v>221</v>
      </c>
      <c r="E31" s="23"/>
      <c r="F31" s="23" t="s">
        <v>51</v>
      </c>
      <c r="G31" s="23"/>
      <c r="H31" s="23" t="s">
        <v>119</v>
      </c>
      <c r="I31" s="23"/>
      <c r="J31" s="23" t="s">
        <v>120</v>
      </c>
      <c r="K31" s="23"/>
      <c r="L31" s="23" t="s">
        <v>57</v>
      </c>
      <c r="M31" s="23"/>
      <c r="N31" s="40" t="s">
        <v>121</v>
      </c>
      <c r="O31" s="40"/>
      <c r="P31" s="40"/>
      <c r="Q31" s="23" t="s">
        <v>133</v>
      </c>
      <c r="R31" s="23"/>
    </row>
    <row r="32" customFormat="false" ht="34.5" hidden="false" customHeight="true" outlineLevel="0" collapsed="false">
      <c r="B32" s="23" t="s">
        <v>230</v>
      </c>
      <c r="C32" s="6" t="s">
        <v>92</v>
      </c>
      <c r="D32" s="23" t="n">
        <f aca="false">O19</f>
        <v>5.8</v>
      </c>
      <c r="E32" s="23"/>
      <c r="F32" s="24" t="str">
        <f aca="false">IF(OR(D32="",$O12="",$P12="",$Q12=""),"",IF($Q12="Maior é melhor",IF(D32&gt;=$O12,"Na meta",IF(D32&gt;=$P12,"Atenção","Fora da meta")),IF(D32&lt;=$O12,"Na meta",IF(D32&lt;=$P12,"Atenção","Fora da meta"))))</f>
        <v>Atenção</v>
      </c>
      <c r="G32" s="24"/>
      <c r="H32" s="30" t="n">
        <f aca="false">AVERAGE(J19:L19)</f>
        <v>5.23333333333333</v>
      </c>
      <c r="I32" s="30"/>
      <c r="J32" s="30" t="n">
        <f aca="false">AVERAGE(M19:O19)</f>
        <v>5.96666666666667</v>
      </c>
      <c r="K32" s="30"/>
      <c r="L32" s="24" t="str">
        <f aca="false">IF(OR(12="",12&lt;6),"Sem dados",IF(ABS(J32-H32)&lt;=0.05*ABS(H32),"Estável",IF((J32&gt;H32)=($Q12="Maior é melhor"),"Melhorando","Piorando")))</f>
        <v>Piorando</v>
      </c>
      <c r="M32" s="24"/>
      <c r="N32" s="24" t="str">
        <f aca="false">IF(F32="","",IF(N(Q19)&gt;=3,"Abrir análise de causa",IF(F32="Fora da meta","Analisar na reunião",IF(F32="Atenção","Acompanhar","Manter"))))</f>
        <v>Abrir análise de causa</v>
      </c>
      <c r="O32" s="24"/>
      <c r="P32" s="24"/>
      <c r="Q32" s="7" t="s">
        <v>244</v>
      </c>
      <c r="R32" s="7"/>
    </row>
    <row r="33" customFormat="false" ht="34.5" hidden="false" customHeight="true" outlineLevel="0" collapsed="false">
      <c r="B33" s="23" t="s">
        <v>231</v>
      </c>
      <c r="C33" s="6" t="s">
        <v>232</v>
      </c>
      <c r="D33" s="23" t="n">
        <f aca="false">O20</f>
        <v>29</v>
      </c>
      <c r="E33" s="23"/>
      <c r="F33" s="24" t="str">
        <f aca="false">IF(OR(D33="",$O13="",$P13="",$Q13=""),"",IF($Q13="Maior é melhor",IF(D33&gt;=$O13,"Na meta",IF(D33&gt;=$P13,"Atenção","Fora da meta")),IF(D33&lt;=$O13,"Na meta",IF(D33&lt;=$P13,"Atenção","Fora da meta"))))</f>
        <v>Fora da meta</v>
      </c>
      <c r="G33" s="24"/>
      <c r="H33" s="30" t="n">
        <f aca="false">AVERAGE(J20:L20)</f>
        <v>31</v>
      </c>
      <c r="I33" s="30"/>
      <c r="J33" s="30" t="n">
        <f aca="false">AVERAGE(M20:O20)</f>
        <v>30</v>
      </c>
      <c r="K33" s="30"/>
      <c r="L33" s="24" t="str">
        <f aca="false">IF(OR(12="",12&lt;6),"Sem dados",IF(ABS(J33-H33)&lt;=0.05*ABS(H33),"Estável",IF((J33&gt;H33)=($Q13="Maior é melhor"),"Melhorando","Piorando")))</f>
        <v>Estável</v>
      </c>
      <c r="M33" s="24"/>
      <c r="N33" s="24" t="str">
        <f aca="false">IF(F33="","",IF(N(Q20)&gt;=3,"Abrir análise de causa",IF(F33="Fora da meta","Analisar na reunião",IF(F33="Atenção","Acompanhar","Manter"))))</f>
        <v>Abrir análise de causa</v>
      </c>
      <c r="O33" s="24"/>
      <c r="P33" s="24"/>
      <c r="Q33" s="7" t="s">
        <v>245</v>
      </c>
      <c r="R33" s="7"/>
    </row>
    <row r="34" customFormat="false" ht="47.25" hidden="false" customHeight="true" outlineLevel="0" collapsed="false">
      <c r="B34" s="23" t="s">
        <v>235</v>
      </c>
      <c r="C34" s="6" t="s">
        <v>236</v>
      </c>
      <c r="D34" s="23" t="n">
        <f aca="false">O21</f>
        <v>58</v>
      </c>
      <c r="E34" s="23"/>
      <c r="F34" s="24" t="str">
        <f aca="false">IF(OR(D34="",$O14="",$P14="",$Q14=""),"",IF($Q14="Maior é melhor",IF(D34&gt;=$O14,"Na meta",IF(D34&gt;=$P14,"Atenção","Fora da meta")),IF(D34&lt;=$O14,"Na meta",IF(D34&lt;=$P14,"Atenção","Fora da meta"))))</f>
        <v>Fora da meta</v>
      </c>
      <c r="G34" s="24"/>
      <c r="H34" s="30" t="n">
        <f aca="false">AVERAGE(J21:L21)</f>
        <v>75</v>
      </c>
      <c r="I34" s="30"/>
      <c r="J34" s="30" t="n">
        <f aca="false">AVERAGE(M21:O21)</f>
        <v>61</v>
      </c>
      <c r="K34" s="30"/>
      <c r="L34" s="24" t="str">
        <f aca="false">IF(OR(12="",12&lt;6),"Sem dados",IF(ABS(J34-H34)&lt;=0.05*ABS(H34),"Estável",IF((J34&gt;H34)=($Q14="Maior é melhor"),"Melhorando","Piorando")))</f>
        <v>Piorando</v>
      </c>
      <c r="M34" s="24"/>
      <c r="N34" s="24" t="str">
        <f aca="false">IF(F34="","",IF(N(Q21)&gt;=3,"Abrir análise de causa",IF(F34="Fora da meta","Analisar na reunião",IF(F34="Atenção","Acompanhar","Manter"))))</f>
        <v>Abrir análise de causa</v>
      </c>
      <c r="O34" s="24"/>
      <c r="P34" s="24"/>
      <c r="Q34" s="7" t="s">
        <v>246</v>
      </c>
      <c r="R34" s="7"/>
    </row>
    <row r="35" customFormat="false" ht="34.5" hidden="false" customHeight="true" outlineLevel="0" collapsed="false">
      <c r="B35" s="23" t="s">
        <v>239</v>
      </c>
      <c r="C35" s="6" t="s">
        <v>240</v>
      </c>
      <c r="D35" s="23" t="n">
        <f aca="false">O22</f>
        <v>1</v>
      </c>
      <c r="E35" s="23"/>
      <c r="F35" s="24" t="str">
        <f aca="false">IF(OR(D35="",$O15="",$P15="",$Q15=""),"",IF($Q15="Maior é melhor",IF(D35&gt;=$O15,"Na meta",IF(D35&gt;=$P15,"Atenção","Fora da meta")),IF(D35&lt;=$O15,"Na meta",IF(D35&lt;=$P15,"Atenção","Fora da meta"))))</f>
        <v>Atenção</v>
      </c>
      <c r="G35" s="24"/>
      <c r="H35" s="30" t="n">
        <f aca="false">AVERAGE(J22:L22)</f>
        <v>0.666666666666667</v>
      </c>
      <c r="I35" s="30"/>
      <c r="J35" s="30" t="n">
        <f aca="false">AVERAGE(M22:O22)</f>
        <v>1.33333333333333</v>
      </c>
      <c r="K35" s="30"/>
      <c r="L35" s="24" t="str">
        <f aca="false">IF(OR(12="",12&lt;6),"Sem dados",IF(ABS(J35-H35)&lt;=0.05*ABS(H35),"Estável",IF((J35&gt;H35)=($Q15="Maior é melhor"),"Melhorando","Piorando")))</f>
        <v>Piorando</v>
      </c>
      <c r="M35" s="24"/>
      <c r="N35" s="24" t="str">
        <f aca="false">IF(F35="","",IF(N(Q22)&gt;=3,"Abrir análise de causa",IF(F35="Fora da meta","Analisar na reunião",IF(F35="Atenção","Acompanhar","Manter"))))</f>
        <v>Abrir análise de causa</v>
      </c>
      <c r="O35" s="24"/>
      <c r="P35" s="24"/>
      <c r="Q35" s="7" t="s">
        <v>247</v>
      </c>
      <c r="R35" s="7"/>
    </row>
    <row r="37" customFormat="false" ht="21.75" hidden="false" customHeight="true" outlineLevel="0" collapsed="false">
      <c r="B37" s="21" t="s">
        <v>102</v>
      </c>
      <c r="C37" s="21"/>
      <c r="D37" s="21"/>
      <c r="E37" s="21"/>
      <c r="F37" s="21"/>
      <c r="G37" s="21"/>
      <c r="I37" s="21" t="s">
        <v>248</v>
      </c>
      <c r="J37" s="21"/>
      <c r="K37" s="21"/>
      <c r="L37" s="21"/>
      <c r="M37" s="21"/>
      <c r="N37" s="21"/>
      <c r="O37" s="21"/>
      <c r="P37" s="21"/>
      <c r="Q37" s="21"/>
      <c r="R37" s="21"/>
    </row>
    <row r="38" customFormat="false" ht="21.75" hidden="false" customHeight="true" outlineLevel="0" collapsed="false">
      <c r="B38" s="22" t="s">
        <v>14</v>
      </c>
      <c r="C38" s="22"/>
      <c r="D38" s="40" t="n">
        <f aca="false">COUNTIF(F32:F35,"Na meta")</f>
        <v>0</v>
      </c>
      <c r="E38" s="40"/>
      <c r="F38" s="40"/>
      <c r="G38" s="40"/>
    </row>
    <row r="39" customFormat="false" ht="21.75" hidden="false" customHeight="true" outlineLevel="0" collapsed="false">
      <c r="B39" s="22" t="s">
        <v>16</v>
      </c>
      <c r="C39" s="22"/>
      <c r="D39" s="40" t="n">
        <f aca="false">COUNTIF(F32:F35,"Atenção")</f>
        <v>2</v>
      </c>
      <c r="E39" s="40"/>
      <c r="F39" s="40"/>
      <c r="G39" s="40"/>
    </row>
    <row r="40" customFormat="false" ht="21.75" hidden="false" customHeight="true" outlineLevel="0" collapsed="false">
      <c r="B40" s="22" t="s">
        <v>18</v>
      </c>
      <c r="C40" s="22"/>
      <c r="D40" s="40" t="n">
        <f aca="false">COUNTIF(F32:F35,"Fora da meta")</f>
        <v>2</v>
      </c>
      <c r="E40" s="40"/>
      <c r="F40" s="40"/>
      <c r="G40" s="40"/>
    </row>
    <row r="41" customFormat="false" ht="21.75" hidden="false" customHeight="true" outlineLevel="0" collapsed="false">
      <c r="B41" s="22" t="s">
        <v>123</v>
      </c>
      <c r="C41" s="22"/>
      <c r="D41" s="40" t="n">
        <f aca="false">COUNTIF(N32:N35,"Abrir análise de causa")</f>
        <v>4</v>
      </c>
      <c r="E41" s="40"/>
      <c r="F41" s="40"/>
      <c r="G41" s="40"/>
    </row>
    <row r="55" customFormat="false" ht="15" hidden="false" customHeight="true" outlineLevel="0" collapsed="false">
      <c r="B55" s="25" t="s">
        <v>227</v>
      </c>
      <c r="C55" s="25"/>
    </row>
    <row r="56" customFormat="false" ht="18" hidden="false" customHeight="true" outlineLevel="0" collapsed="false">
      <c r="B56" s="4" t="s">
        <v>76</v>
      </c>
      <c r="C56" s="4"/>
      <c r="D56" s="20" t="n">
        <f aca="false">$O$12</f>
        <v>5</v>
      </c>
      <c r="E56" s="20" t="n">
        <f aca="false">$O$12</f>
        <v>5</v>
      </c>
      <c r="F56" s="20" t="n">
        <f aca="false">$O$12</f>
        <v>5</v>
      </c>
      <c r="G56" s="20" t="n">
        <f aca="false">$O$12</f>
        <v>5</v>
      </c>
      <c r="H56" s="20" t="n">
        <f aca="false">$O$12</f>
        <v>5</v>
      </c>
      <c r="I56" s="20" t="n">
        <f aca="false">$O$12</f>
        <v>5</v>
      </c>
      <c r="J56" s="20" t="n">
        <f aca="false">$O$12</f>
        <v>5</v>
      </c>
      <c r="K56" s="20" t="n">
        <f aca="false">$O$12</f>
        <v>5</v>
      </c>
      <c r="L56" s="20" t="n">
        <f aca="false">$O$12</f>
        <v>5</v>
      </c>
      <c r="M56" s="20" t="n">
        <f aca="false">$O$12</f>
        <v>5</v>
      </c>
      <c r="N56" s="20" t="n">
        <f aca="false">$O$12</f>
        <v>5</v>
      </c>
      <c r="O56" s="20" t="n">
        <f aca="false">$O$12</f>
        <v>5</v>
      </c>
    </row>
    <row r="57" customFormat="false" ht="18" hidden="false" customHeight="true" outlineLevel="0" collapsed="false">
      <c r="B57" s="4" t="s">
        <v>53</v>
      </c>
      <c r="C57" s="4"/>
      <c r="D57" s="20" t="n">
        <f aca="false">$P$12</f>
        <v>6</v>
      </c>
      <c r="E57" s="20" t="n">
        <f aca="false">$P$12</f>
        <v>6</v>
      </c>
      <c r="F57" s="20" t="n">
        <f aca="false">$P$12</f>
        <v>6</v>
      </c>
      <c r="G57" s="20" t="n">
        <f aca="false">$P$12</f>
        <v>6</v>
      </c>
      <c r="H57" s="20" t="n">
        <f aca="false">$P$12</f>
        <v>6</v>
      </c>
      <c r="I57" s="20" t="n">
        <f aca="false">$P$12</f>
        <v>6</v>
      </c>
      <c r="J57" s="20" t="n">
        <f aca="false">$P$12</f>
        <v>6</v>
      </c>
      <c r="K57" s="20" t="n">
        <f aca="false">$P$12</f>
        <v>6</v>
      </c>
      <c r="L57" s="20" t="n">
        <f aca="false">$P$12</f>
        <v>6</v>
      </c>
      <c r="M57" s="20" t="n">
        <f aca="false">$P$12</f>
        <v>6</v>
      </c>
      <c r="N57" s="20" t="n">
        <f aca="false">$P$12</f>
        <v>6</v>
      </c>
      <c r="O57" s="20" t="n">
        <f aca="false">$P$12</f>
        <v>6</v>
      </c>
    </row>
    <row r="59" customFormat="false" ht="21.75" hidden="false" customHeight="true" outlineLevel="0" collapsed="false">
      <c r="B59" s="46" t="s">
        <v>249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</row>
    <row r="60" customFormat="false" ht="24" hidden="false" customHeight="true" outlineLevel="0" collapsed="false">
      <c r="B60" s="23" t="s">
        <v>184</v>
      </c>
      <c r="C60" s="23" t="s">
        <v>70</v>
      </c>
      <c r="D60" s="23" t="s">
        <v>131</v>
      </c>
      <c r="E60" s="23"/>
      <c r="F60" s="23"/>
      <c r="G60" s="23"/>
      <c r="H60" s="23"/>
      <c r="I60" s="40" t="s">
        <v>132</v>
      </c>
      <c r="J60" s="40"/>
      <c r="K60" s="40"/>
      <c r="L60" s="40"/>
      <c r="M60" s="40" t="s">
        <v>133</v>
      </c>
      <c r="N60" s="40"/>
      <c r="O60" s="40"/>
      <c r="P60" s="40"/>
      <c r="Q60" s="23" t="s">
        <v>79</v>
      </c>
      <c r="R60" s="23" t="s">
        <v>134</v>
      </c>
    </row>
    <row r="61" customFormat="false" ht="36" hidden="false" customHeight="true" outlineLevel="0" collapsed="false">
      <c r="B61" s="23" t="s">
        <v>230</v>
      </c>
      <c r="C61" s="7" t="s">
        <v>92</v>
      </c>
      <c r="D61" s="7" t="s">
        <v>144</v>
      </c>
      <c r="E61" s="7"/>
      <c r="F61" s="7"/>
      <c r="G61" s="7"/>
      <c r="H61" s="7"/>
      <c r="I61" s="7" t="s">
        <v>145</v>
      </c>
      <c r="J61" s="7"/>
      <c r="K61" s="7"/>
      <c r="L61" s="7"/>
      <c r="M61" s="7" t="s">
        <v>146</v>
      </c>
      <c r="N61" s="7"/>
      <c r="O61" s="7"/>
      <c r="P61" s="7"/>
      <c r="Q61" s="7" t="s">
        <v>147</v>
      </c>
      <c r="R61" s="47" t="n">
        <v>46318</v>
      </c>
    </row>
    <row r="62" customFormat="false" ht="36" hidden="false" customHeight="true" outlineLevel="0" collapsed="false">
      <c r="B62" s="23" t="s">
        <v>235</v>
      </c>
      <c r="C62" s="7" t="s">
        <v>236</v>
      </c>
      <c r="D62" s="7" t="s">
        <v>250</v>
      </c>
      <c r="E62" s="7"/>
      <c r="F62" s="7"/>
      <c r="G62" s="7"/>
      <c r="H62" s="7"/>
      <c r="I62" s="7" t="s">
        <v>251</v>
      </c>
      <c r="J62" s="7"/>
      <c r="K62" s="7"/>
      <c r="L62" s="7"/>
      <c r="M62" s="7" t="s">
        <v>252</v>
      </c>
      <c r="N62" s="7"/>
      <c r="O62" s="7"/>
      <c r="P62" s="7"/>
      <c r="Q62" s="7" t="s">
        <v>100</v>
      </c>
      <c r="R62" s="47" t="n">
        <v>46325</v>
      </c>
    </row>
    <row r="63" customFormat="false" ht="36" hidden="false" customHeight="true" outlineLevel="0" collapsed="false">
      <c r="B63" s="23" t="s">
        <v>239</v>
      </c>
      <c r="C63" s="7" t="s">
        <v>240</v>
      </c>
      <c r="D63" s="7" t="s">
        <v>253</v>
      </c>
      <c r="E63" s="7"/>
      <c r="F63" s="7"/>
      <c r="G63" s="7"/>
      <c r="H63" s="7"/>
      <c r="I63" s="7" t="s">
        <v>254</v>
      </c>
      <c r="J63" s="7"/>
      <c r="K63" s="7"/>
      <c r="L63" s="7"/>
      <c r="M63" s="7" t="s">
        <v>255</v>
      </c>
      <c r="N63" s="7"/>
      <c r="O63" s="7"/>
      <c r="P63" s="7"/>
      <c r="Q63" s="7" t="s">
        <v>243</v>
      </c>
      <c r="R63" s="47" t="n">
        <v>46359</v>
      </c>
    </row>
  </sheetData>
  <mergeCells count="92">
    <mergeCell ref="B1:R1"/>
    <mergeCell ref="B2:R2"/>
    <mergeCell ref="B4:C4"/>
    <mergeCell ref="D4:R4"/>
    <mergeCell ref="B5:C5"/>
    <mergeCell ref="D5:R5"/>
    <mergeCell ref="B6:C6"/>
    <mergeCell ref="D6:R6"/>
    <mergeCell ref="B7:C7"/>
    <mergeCell ref="D7:R7"/>
    <mergeCell ref="B8:C8"/>
    <mergeCell ref="D8:R8"/>
    <mergeCell ref="B10:R10"/>
    <mergeCell ref="D11:G11"/>
    <mergeCell ref="H11:L11"/>
    <mergeCell ref="M11:N11"/>
    <mergeCell ref="D12:G12"/>
    <mergeCell ref="H12:L12"/>
    <mergeCell ref="M12:N12"/>
    <mergeCell ref="D13:G13"/>
    <mergeCell ref="H13:L13"/>
    <mergeCell ref="M13:N13"/>
    <mergeCell ref="D14:G14"/>
    <mergeCell ref="H14:L14"/>
    <mergeCell ref="M14:N14"/>
    <mergeCell ref="D15:G15"/>
    <mergeCell ref="H15:L15"/>
    <mergeCell ref="M15:N15"/>
    <mergeCell ref="B17:R17"/>
    <mergeCell ref="B24:R24"/>
    <mergeCell ref="B30:R30"/>
    <mergeCell ref="D31:E31"/>
    <mergeCell ref="F31:G31"/>
    <mergeCell ref="H31:I31"/>
    <mergeCell ref="J31:K31"/>
    <mergeCell ref="L31:M31"/>
    <mergeCell ref="N31:P31"/>
    <mergeCell ref="Q31:R31"/>
    <mergeCell ref="D32:E32"/>
    <mergeCell ref="F32:G32"/>
    <mergeCell ref="H32:I32"/>
    <mergeCell ref="J32:K32"/>
    <mergeCell ref="L32:M32"/>
    <mergeCell ref="N32:P32"/>
    <mergeCell ref="Q32:R32"/>
    <mergeCell ref="D33:E33"/>
    <mergeCell ref="F33:G33"/>
    <mergeCell ref="H33:I33"/>
    <mergeCell ref="J33:K33"/>
    <mergeCell ref="L33:M33"/>
    <mergeCell ref="N33:P33"/>
    <mergeCell ref="Q33:R33"/>
    <mergeCell ref="D34:E34"/>
    <mergeCell ref="F34:G34"/>
    <mergeCell ref="H34:I34"/>
    <mergeCell ref="J34:K34"/>
    <mergeCell ref="L34:M34"/>
    <mergeCell ref="N34:P34"/>
    <mergeCell ref="Q34:R34"/>
    <mergeCell ref="D35:E35"/>
    <mergeCell ref="F35:G35"/>
    <mergeCell ref="H35:I35"/>
    <mergeCell ref="J35:K35"/>
    <mergeCell ref="L35:M35"/>
    <mergeCell ref="N35:P35"/>
    <mergeCell ref="Q35:R35"/>
    <mergeCell ref="B37:G37"/>
    <mergeCell ref="I37:R37"/>
    <mergeCell ref="B38:C38"/>
    <mergeCell ref="D38:G38"/>
    <mergeCell ref="B39:C39"/>
    <mergeCell ref="D39:G39"/>
    <mergeCell ref="B40:C40"/>
    <mergeCell ref="D40:G40"/>
    <mergeCell ref="B41:C41"/>
    <mergeCell ref="D41:G41"/>
    <mergeCell ref="B55:C55"/>
    <mergeCell ref="B56:C56"/>
    <mergeCell ref="B57:C57"/>
    <mergeCell ref="B59:R59"/>
    <mergeCell ref="D60:H60"/>
    <mergeCell ref="I60:L60"/>
    <mergeCell ref="M60:P60"/>
    <mergeCell ref="D61:H61"/>
    <mergeCell ref="I61:L61"/>
    <mergeCell ref="M61:P61"/>
    <mergeCell ref="D62:H62"/>
    <mergeCell ref="I62:L62"/>
    <mergeCell ref="M62:P62"/>
    <mergeCell ref="D63:H63"/>
    <mergeCell ref="I63:L63"/>
    <mergeCell ref="M63:P63"/>
  </mergeCells>
  <conditionalFormatting sqref="D19:O22">
    <cfRule type="expression" priority="2" aboveAverage="0" equalAverage="0" bottom="0" percent="0" rank="0" text="" dxfId="2">
      <formula>NOT(IF($Q12="Maior é melhor",D19&gt;=$O12,D19&lt;=$O12))</formula>
    </cfRule>
  </conditionalFormatting>
  <conditionalFormatting sqref="Q19:Q22">
    <cfRule type="expression" priority="3" aboveAverage="0" equalAverage="0" bottom="0" percent="0" rank="0" text="" dxfId="3">
      <formula>Q19&gt;=3</formula>
    </cfRule>
  </conditionalFormatting>
  <conditionalFormatting sqref="F32:G35">
    <cfRule type="cellIs" priority="4" operator="equal" aboveAverage="0" equalAverage="0" bottom="0" percent="0" rank="0" text="" dxfId="4">
      <formula>"Na meta"</formula>
    </cfRule>
    <cfRule type="cellIs" priority="5" operator="equal" aboveAverage="0" equalAverage="0" bottom="0" percent="0" rank="0" text="" dxfId="5">
      <formula>"Atenção"</formula>
    </cfRule>
    <cfRule type="cellIs" priority="6" operator="equal" aboveAverage="0" equalAverage="0" bottom="0" percent="0" rank="0" text="" dxfId="3">
      <formula>"Fora da meta"</formula>
    </cfRule>
  </conditionalFormatting>
  <conditionalFormatting sqref="L32:M35">
    <cfRule type="cellIs" priority="7" operator="equal" aboveAverage="0" equalAverage="0" bottom="0" percent="0" rank="0" text="" dxfId="4">
      <formula>"Melhorando"</formula>
    </cfRule>
    <cfRule type="cellIs" priority="8" operator="equal" aboveAverage="0" equalAverage="0" bottom="0" percent="0" rank="0" text="" dxfId="3">
      <formula>"Piorando"</formula>
    </cfRule>
  </conditionalFormatting>
  <conditionalFormatting sqref="N32:P35">
    <cfRule type="cellIs" priority="9" operator="equal" aboveAverage="0" equalAverage="0" bottom="0" percent="0" rank="0" text="" dxfId="4">
      <formula>"Manter"</formula>
    </cfRule>
    <cfRule type="cellIs" priority="10" operator="equal" aboveAverage="0" equalAverage="0" bottom="0" percent="0" rank="0" text="" dxfId="5">
      <formula>"Acompanhar"</formula>
    </cfRule>
    <cfRule type="cellIs" priority="11" operator="equal" aboveAverage="0" equalAverage="0" bottom="0" percent="0" rank="0" text="" dxfId="3">
      <formula>"Analisar na reunião"</formula>
    </cfRule>
    <cfRule type="cellIs" priority="12" operator="equal" aboveAverage="0" equalAverage="0" bottom="0" percent="0" rank="0" text="" dxfId="3">
      <formula>"Abrir análise de causa"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9" man="true" max="16383" min="0"/>
    <brk id="5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2026-09-29T20:33:57Z</dcterms:created>
  <dc:creator>Modelo Indicadores</dc:creator>
  <dc:description/>
  <dc:language>pt-BR</dc:language>
  <cp:lastModifiedBy/>
  <dcterms:modified xsi:type="dcterms:W3CDTF">2026-09-29T20:33:57Z</dcterms:modified>
  <cp:revision>0</cp:revision>
  <dc:subject/>
  <dc:title>Indicadores — Modelo de fichas, medições, painel e análise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