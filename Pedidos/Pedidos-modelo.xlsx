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1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Oferta" sheetId="2" state="visible" r:id="rId4"/>
    <sheet name="Pedidos" sheetId="3" state="visible" r:id="rId5"/>
    <sheet name="Mudanças" sheetId="4" state="visible" r:id="rId6"/>
    <sheet name="Painel" sheetId="5" state="visible" r:id="rId7"/>
    <sheet name="Checklist" sheetId="6" state="visible" r:id="rId8"/>
    <sheet name="Exemplo 1 - Pizzaria" sheetId="7" state="visible" r:id="rId9"/>
    <sheet name="Exemplo 2 - Indústria" sheetId="8" state="visible" r:id="rId10"/>
  </sheets>
  <definedNames>
    <definedName function="false" hidden="false" localSheetId="5" name="_xlnm.Print_Area" vbProcedure="false">Checklist!$B$1:$E$24</definedName>
    <definedName function="false" hidden="false" localSheetId="6" name="_xlnm.Print_Area" vbProcedure="false">'Exemplo 1 - Pizzaria'!$B$1:$T$38</definedName>
    <definedName function="false" hidden="false" localSheetId="7" name="_xlnm.Print_Area" vbProcedure="false">'Exemplo 2 - Indústria'!$B$1:$T$39</definedName>
    <definedName function="false" hidden="false" localSheetId="0" name="_xlnm.Print_Area" vbProcedure="false">Instruções!$B$1:$C$50</definedName>
    <definedName function="false" hidden="false" localSheetId="3" name="_xlnm.Print_Area" vbProcedure="false">Mudanças!$B$1:$J$41</definedName>
    <definedName function="false" hidden="false" localSheetId="1" name="_xlnm.Print_Area" vbProcedure="false">Oferta!$B$1:$I$21</definedName>
    <definedName function="false" hidden="false" localSheetId="4" name="_xlnm.Print_Area" vbProcedure="false">Painel!$B$1:$H$49</definedName>
    <definedName function="false" hidden="false" localSheetId="2" name="_xlnm.Print_Area" vbProcedure="false">Pedidos!$B$1:$X$72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F4" authorId="0">
      <text>
        <r>
          <rPr>
            <sz val="10"/>
            <rFont val="Arial"/>
            <family val="2"/>
          </rPr>
          <t xml:space="preserve">O que a organização não faz, ou não garante, dito ao cliente antes do pedido: “a cozinha é compartilhada”, “tolerância menor que ±2 µm”.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H4" authorId="0">
      <text>
        <r>
          <rPr>
            <sz val="10"/>
            <rFont val="Arial"/>
            <family val="2"/>
          </rPr>
          <t xml:space="preserve">O que o cliente não disse e o uso exige, os requisitos legais e as diferenças em relação à proposta. É aqui que a análise mostra o que encontrou.</t>
        </r>
      </text>
    </comment>
    <comment ref="J4" authorId="0">
      <text>
        <r>
          <rPr>
            <sz val="10"/>
            <rFont val="Arial"/>
            <family val="2"/>
          </rPr>
          <t xml:space="preserve">O produto e a especificação estão definidos, e a organização consegue cumpri-la?</t>
        </r>
      </text>
    </comment>
    <comment ref="K4" authorId="0">
      <text>
        <r>
          <rPr>
            <sz val="10"/>
            <rFont val="Arial"/>
            <family val="2"/>
          </rPr>
          <t xml:space="preserve">A quantidade e o prazo cabem na capacidade, considerando o que já foi aceito?</t>
        </r>
      </text>
    </comment>
    <comment ref="L4" authorId="0">
      <text>
        <r>
          <rPr>
            <sz val="10"/>
            <rFont val="Arial"/>
            <family val="2"/>
          </rPr>
          <t xml:space="preserve">O local, a forma de entrega e o que vem depois dela estão combinados?</t>
        </r>
      </text>
    </comment>
    <comment ref="M4" authorId="0">
      <text>
        <r>
          <rPr>
            <sz val="10"/>
            <rFont val="Arial"/>
            <family val="2"/>
          </rPr>
          <t xml:space="preserve">Os requisitos que o cliente não declarou, mas que o uso exige, foram considerados?</t>
        </r>
      </text>
    </comment>
    <comment ref="N4" authorId="0">
      <text>
        <r>
          <rPr>
            <sz val="10"/>
            <rFont val="Arial"/>
            <family val="2"/>
          </rPr>
          <t xml:space="preserve">Os requisitos legais e regulamentares do produto e do uso foram identificados?</t>
        </r>
      </text>
    </comment>
    <comment ref="O4" authorId="0">
      <text>
        <r>
          <rPr>
            <sz val="10"/>
            <rFont val="Arial"/>
            <family val="2"/>
          </rPr>
          <t xml:space="preserve">As diferenças em relação à proposta, ao pedido anterior ou ao catálogo foram resolvidas?</t>
        </r>
      </text>
    </comment>
    <comment ref="P4" authorId="0">
      <text>
        <r>
          <rPr>
            <sz val="10"/>
            <rFont val="Arial"/>
            <family val="2"/>
          </rPr>
          <t xml:space="preserve">O preço, o pagamento e as demais condições estão confirmados?</t>
        </r>
      </text>
    </comment>
    <comment ref="W4" authorId="0">
      <text>
        <r>
          <rPr>
            <sz val="10"/>
            <rFont val="Arial"/>
            <family val="2"/>
          </rPr>
          <t xml:space="preserve">A data em que o aceite foi comunicado ao cliente. Deve ser igual ou posterior à data da análise.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I4" authorId="0">
      <text>
        <r>
          <rPr>
            <sz val="10"/>
            <rFont val="Arial"/>
            <family val="2"/>
          </rPr>
          <t xml:space="preserve">Quem precisa saber da mudança para agir: produção, expedição, compras, qualidade.</t>
        </r>
      </text>
    </comment>
  </commentList>
</comments>
</file>

<file path=xl/sharedStrings.xml><?xml version="1.0" encoding="utf-8"?>
<sst xmlns="http://schemas.openxmlformats.org/spreadsheetml/2006/main" count="647" uniqueCount="341">
  <si>
    <t xml:space="preserve">Requisitos do cliente e análise de pedidos — Como usar esta planilha</t>
  </si>
  <si>
    <t xml:space="preserve">Modelo para definir a oferta, analisar cada pedido antes de aceitar e controlar as mudanças nos pedidos aceitos.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</si>
  <si>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</si>
  <si>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</si>
  <si>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</si>
  <si>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</si>
  <si>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leituras, conferências, avisos). Não altere.</t>
  </si>
  <si>
    <t xml:space="preserve">Cinza em itálico</t>
  </si>
  <si>
    <t xml:space="preserve">Linha de exemplo (marcada com “Ex.”). Mostra o formato esperado e não entra nas contagens.</t>
  </si>
  <si>
    <t xml:space="preserve">Listas suspensas</t>
  </si>
  <si>
    <t xml:space="preserve">Respostas às perguntas, decisão, capacidade confirmada, documentos atualizados e checklist aceitam apenas as opções da lista.</t>
  </si>
  <si>
    <t xml:space="preserve">Comentários</t>
  </si>
  <si>
    <t xml:space="preserve">Células com triângulo vermelho no canto trazem uma dica de preenchimento. Passe o mouse sobre elas.</t>
  </si>
  <si>
    <t xml:space="preserve">As sete perguntas da análise</t>
  </si>
  <si>
    <t xml:space="preserve">1 · Especificação</t>
  </si>
  <si>
    <t xml:space="preserve">O produto e a especificação estão definidos, e a organização consegue cumpri-la?</t>
  </si>
  <si>
    <t xml:space="preserve">2 · Capacidade e prazo</t>
  </si>
  <si>
    <t xml:space="preserve">A quantidade e o prazo cabem na capacidade, considerando o que já foi aceito?</t>
  </si>
  <si>
    <t xml:space="preserve">3 · Entrega e pós-entrega</t>
  </si>
  <si>
    <t xml:space="preserve">O local, a forma de entrega e o que vem depois dela estão combinados?</t>
  </si>
  <si>
    <t xml:space="preserve">4 · Uso pretendido</t>
  </si>
  <si>
    <t xml:space="preserve">Os requisitos que o cliente não declarou, mas que o uso exige, foram considerados?</t>
  </si>
  <si>
    <t xml:space="preserve">5 · Requisitos legais</t>
  </si>
  <si>
    <t xml:space="preserve">Os requisitos legais e regulamentares do produto e do uso foram identificados?</t>
  </si>
  <si>
    <t xml:space="preserve">6 · Diferenças</t>
  </si>
  <si>
    <t xml:space="preserve">As diferenças em relação à proposta, ao pedido anterior ou ao catálogo foram resolvidas?</t>
  </si>
  <si>
    <t xml:space="preserve">7 · Preço e condições</t>
  </si>
  <si>
    <t xml:space="preserve">O preço, o pagamento e as demais condições estão confirmados?</t>
  </si>
  <si>
    <t xml:space="preserve">As regras de cálculo</t>
  </si>
  <si>
    <t xml:space="preserve">Pode aceitar</t>
  </si>
  <si>
    <t xml:space="preserve">As 7 perguntas foram respondidas, todas com “Sim” ou “Não se aplica”.</t>
  </si>
  <si>
    <t xml:space="preserve">Resolver antes de aceitar</t>
  </si>
  <si>
    <t xml:space="preserve">Alguma resposta é “Não”. O pedido pode ser aceito com alteração negociada, recusado ou ficar em análise.</t>
  </si>
  <si>
    <t xml:space="preserve">Análise incompleta</t>
  </si>
  <si>
    <t xml:space="preserve">Alguma pergunta ficou sem resposta.</t>
  </si>
  <si>
    <t xml:space="preserve">Aceito com pendência</t>
  </si>
  <si>
    <t xml:space="preserve">A decisão é “Aceito”, e alguma resposta é “Não”. É o aviso mais grave da planilha.</t>
  </si>
  <si>
    <t xml:space="preserve">Analisado depois de aceitar</t>
  </si>
  <si>
    <t xml:space="preserve">A data da análise é posterior à data da confirmação ao cliente.</t>
  </si>
  <si>
    <t xml:space="preserve">Mudança a rever</t>
  </si>
  <si>
    <t xml:space="preserve">Mudança sem análise, sem os documentos atualizados ou sem quem foi informado.</t>
  </si>
  <si>
    <t xml:space="preserve">Ordem recomendada de preenchimento</t>
  </si>
  <si>
    <t xml:space="preserve">Passo 1</t>
  </si>
  <si>
    <t xml:space="preserve">Aba Oferta: escreva cada produto ou serviço oferecido, a especificação, os requisitos legais, o que não se garante, onde o cliente é informado e se a capacidade foi confirmada.</t>
  </si>
  <si>
    <t xml:space="preserve">Passo 2</t>
  </si>
  <si>
    <t xml:space="preserve">Aba Pedidos: registre cada pedido, com o que o cliente pede e os requisitos não declarados e legais identificados.</t>
  </si>
  <si>
    <t xml:space="preserve">Passo 3</t>
  </si>
  <si>
    <t xml:space="preserve">Aba Pedidos: responda às 7 perguntas, registre a decisão, o que foi negociado ou o motivo, quem analisou e as datas da análise e da confirmação.</t>
  </si>
  <si>
    <t xml:space="preserve">Passo 4</t>
  </si>
  <si>
    <t xml:space="preserve">Aba Mudanças: registre cada alteração nos pedidos aceitos, com a análise, os documentos e quem foi informado.</t>
  </si>
  <si>
    <t xml:space="preserve">Passo 5</t>
  </si>
  <si>
    <t xml:space="preserve">Aba Painel: leia os pedidos a rever, as respostas “não” por pergunta e as mudanças a rever.</t>
  </si>
  <si>
    <t xml:space="preserve">Passo 6</t>
  </si>
  <si>
    <t xml:space="preserve">Aba Checklist: valide a rotina.</t>
  </si>
  <si>
    <t xml:space="preserve">Abas da planilha</t>
  </si>
  <si>
    <t xml:space="preserve">Oferta</t>
  </si>
  <si>
    <t xml:space="preserve">Até 12 itens oferecidos. Calcula a conferência de cada item.</t>
  </si>
  <si>
    <t xml:space="preserve">Pedidos</t>
  </si>
  <si>
    <t xml:space="preserve">Até 60 pedidos. Calcula a leitura da análise, as pendências e a conferência da decisão.</t>
  </si>
  <si>
    <t xml:space="preserve">Mudanças</t>
  </si>
  <si>
    <t xml:space="preserve">Até 30 mudanças nos pedidos aceitos. Calcula a conferência de cada uma.</t>
  </si>
  <si>
    <t xml:space="preserve">Painel</t>
  </si>
  <si>
    <t xml:space="preserve">Os indicadores, as respostas por pergunta, o gráfico e o aviso.</t>
  </si>
  <si>
    <t xml:space="preserve">Checklist</t>
  </si>
  <si>
    <t xml:space="preserve">Doze verificações da rotina, com percentual de conclusão.</t>
  </si>
  <si>
    <t xml:space="preserve">Exemplo 1 - Pizzaria</t>
  </si>
  <si>
    <t xml:space="preserve">As encomendas e os pedidos especiais de 22 a 28/03/2027.</t>
  </si>
  <si>
    <t xml:space="preserve">Exemplo 2 - Indústria</t>
  </si>
  <si>
    <t xml:space="preserve">Os pedidos e as propostas de 01 a 15/06/2027.</t>
  </si>
  <si>
    <t xml:space="preserve">Regras e premissas do modelo</t>
  </si>
  <si>
    <t xml:space="preserve">Análise simplificada</t>
  </si>
  <si>
    <t xml:space="preserve">Para o pedido igual ao anterior, ou pelo catálogo, as perguntas podem ser respondidas na tela de confirmação. Use “Não se aplica” quando a pergunta não couber.</t>
  </si>
  <si>
    <t xml:space="preserve">Datas</t>
  </si>
  <si>
    <t xml:space="preserve">A data da análise deve ser igual ou anterior à da confirmação. Pedido recusado ou em análise não tem data de confirmação.</t>
  </si>
  <si>
    <t xml:space="preserve">O número do pedido na aba Mudanças deve ser igual ao da aba Pedidos.</t>
  </si>
  <si>
    <t xml:space="preserve">Exemplos</t>
  </si>
  <si>
    <t xml:space="preserve">Os dados das abas de exemplo são ilustrativos, criados para este material.</t>
  </si>
  <si>
    <t xml:space="preserve">A oferta</t>
  </si>
  <si>
    <t xml:space="preserve">O que a organização se dispõe a fornecer. É a base da análise: o pedido que cabe na oferta é mais simples de analisar.</t>
  </si>
  <si>
    <t xml:space="preserve">#</t>
  </si>
  <si>
    <t xml:space="preserve">Item</t>
  </si>
  <si>
    <t xml:space="preserve">O que se oferece</t>
  </si>
  <si>
    <t xml:space="preserve">Requisitos legais</t>
  </si>
  <si>
    <t xml:space="preserve">O que não se garante</t>
  </si>
  <si>
    <t xml:space="preserve">Onde o cliente é informado</t>
  </si>
  <si>
    <t xml:space="preserve">Capacidade confirmada?</t>
  </si>
  <si>
    <t xml:space="preserve">Conferência</t>
  </si>
  <si>
    <t xml:space="preserve">Produto ou serviço</t>
  </si>
  <si>
    <t xml:space="preserve">Especificação, prazos, limites</t>
  </si>
  <si>
    <t xml:space="preserve">Leis e regulamentos</t>
  </si>
  <si>
    <t xml:space="preserve">Escrito, para o cliente saber</t>
  </si>
  <si>
    <t xml:space="preserve">Catálogo, site, proposta</t>
  </si>
  <si>
    <t xml:space="preserve">Lista</t>
  </si>
  <si>
    <t xml:space="preserve">Calculada</t>
  </si>
  <si>
    <t xml:space="preserve">Resumo automático</t>
  </si>
  <si>
    <t xml:space="preserve">Itens na oferta</t>
  </si>
  <si>
    <t xml:space="preserve">Aviso</t>
  </si>
  <si>
    <t xml:space="preserve">Análise crítica dos pedidos</t>
  </si>
  <si>
    <t xml:space="preserve">Uma linha por pedido. Responda às sete perguntas antes de confirmar ao cliente.</t>
  </si>
  <si>
    <t xml:space="preserve">Nº do pedido</t>
  </si>
  <si>
    <t xml:space="preserve">Data</t>
  </si>
  <si>
    <t xml:space="preserve">Cliente</t>
  </si>
  <si>
    <t xml:space="preserve">Canal</t>
  </si>
  <si>
    <t xml:space="preserve">O que pede</t>
  </si>
  <si>
    <t xml:space="preserve">Requisitos não declarados e legais identificados</t>
  </si>
  <si>
    <t xml:space="preserve">Prazo pedido</t>
  </si>
  <si>
    <t xml:space="preserve">Leitura</t>
  </si>
  <si>
    <t xml:space="preserve">Pendências</t>
  </si>
  <si>
    <t xml:space="preserve">Decisão</t>
  </si>
  <si>
    <t xml:space="preserve">O que foi negociado, ou o motivo</t>
  </si>
  <si>
    <t xml:space="preserve">Quem analisou</t>
  </si>
  <si>
    <t xml:space="preserve">Data da análise</t>
  </si>
  <si>
    <t xml:space="preserve">Data da confirmação</t>
  </si>
  <si>
    <t xml:space="preserve">Código</t>
  </si>
  <si>
    <t xml:space="preserve">Recebido em</t>
  </si>
  <si>
    <t xml:space="preserve">Telefone, e-mail</t>
  </si>
  <si>
    <t xml:space="preserve">Os requisitos declarados</t>
  </si>
  <si>
    <t xml:space="preserve">O uso, a lei, as diferenças</t>
  </si>
  <si>
    <t xml:space="preserve">Calculadas</t>
  </si>
  <si>
    <t xml:space="preserve">Com o aceite do cliente</t>
  </si>
  <si>
    <t xml:space="preserve">Uma função</t>
  </si>
  <si>
    <t xml:space="preserve">Ex.</t>
  </si>
  <si>
    <t xml:space="preserve">E-32</t>
  </si>
  <si>
    <t xml:space="preserve">Comissão de formatura</t>
  </si>
  <si>
    <t xml:space="preserve">Telefone</t>
  </si>
  <si>
    <t xml:space="preserve">50 pizzas para sábado 27/03 às 21h.</t>
  </si>
  <si>
    <t xml:space="preserve">Cerveja pedida para turma com menores.</t>
  </si>
  <si>
    <t xml:space="preserve">Sim</t>
  </si>
  <si>
    <t xml:space="preserve">Não</t>
  </si>
  <si>
    <t xml:space="preserve">Aceito com alteração</t>
  </si>
  <si>
    <t xml:space="preserve">Entrega às 18h30, sem bebida alcoólica.</t>
  </si>
  <si>
    <t xml:space="preserve">Gerente da loja</t>
  </si>
  <si>
    <t xml:space="preserve">OK</t>
  </si>
  <si>
    <t xml:space="preserve">Pedidos registrados</t>
  </si>
  <si>
    <t xml:space="preserve">Por decisão</t>
  </si>
  <si>
    <t xml:space="preserve">Pedidos a rever</t>
  </si>
  <si>
    <t xml:space="preserve">Mudanças nos pedidos aceitos</t>
  </si>
  <si>
    <t xml:space="preserve">Uma linha por alteração depois do aceite, venha do cliente ou da organização.</t>
  </si>
  <si>
    <t xml:space="preserve">Pedido</t>
  </si>
  <si>
    <t xml:space="preserve">O que mudou</t>
  </si>
  <si>
    <t xml:space="preserve">Quem pediu</t>
  </si>
  <si>
    <t xml:space="preserve">Análise da mudança</t>
  </si>
  <si>
    <t xml:space="preserve">Documentos atualizados?</t>
  </si>
  <si>
    <t xml:space="preserve">Quem foi informado</t>
  </si>
  <si>
    <t xml:space="preserve">Nº da aba Pedidos</t>
  </si>
  <si>
    <t xml:space="preserve">De quê, para quê</t>
  </si>
  <si>
    <t xml:space="preserve">Capacidade, prazo, especificação</t>
  </si>
  <si>
    <t xml:space="preserve">Quem produz, entrega, compra</t>
  </si>
  <si>
    <t xml:space="preserve">E-31</t>
  </si>
  <si>
    <t xml:space="preserve">De 30 para 35 pizzas.</t>
  </si>
  <si>
    <t xml:space="preserve">Cliente, por telefone</t>
  </si>
  <si>
    <t xml:space="preserve">Capacidade conferida: a sexta às 19h comporta.</t>
  </si>
  <si>
    <t xml:space="preserve">Pizzaiolo líder</t>
  </si>
  <si>
    <t xml:space="preserve">Mudanças registradas</t>
  </si>
  <si>
    <t xml:space="preserve">Mudanças a rever</t>
  </si>
  <si>
    <t xml:space="preserve">Painel dos pedidos</t>
  </si>
  <si>
    <t xml:space="preserve">Nada a preencher: tudo vem das outras abas.</t>
  </si>
  <si>
    <t xml:space="preserve">Indicador</t>
  </si>
  <si>
    <t xml:space="preserve">Resultado</t>
  </si>
  <si>
    <t xml:space="preserve">Como se lê</t>
  </si>
  <si>
    <t xml:space="preserve">Da aba Oferta.</t>
  </si>
  <si>
    <t xml:space="preserve">Itens da oferta a rever</t>
  </si>
  <si>
    <t xml:space="preserve">Sem especificação, sem onde informar, sem a capacidade confirmada.</t>
  </si>
  <si>
    <t xml:space="preserve">Da aba Pedidos.</t>
  </si>
  <si>
    <t xml:space="preserve">Aceito</t>
  </si>
  <si>
    <t xml:space="preserve">Todas as respostas “sim” ou “não se aplica”.</t>
  </si>
  <si>
    <t xml:space="preserve">Um “não” resolvido com o cliente.</t>
  </si>
  <si>
    <t xml:space="preserve">Recusado</t>
  </si>
  <si>
    <t xml:space="preserve">Um “não” sem solução aceitável.</t>
  </si>
  <si>
    <t xml:space="preserve">Em análise</t>
  </si>
  <si>
    <t xml:space="preserve">Falta informação para decidir.</t>
  </si>
  <si>
    <t xml:space="preserve">Pedidos em que a análise encontrou problema</t>
  </si>
  <si>
    <t xml:space="preserve">Ao menos uma resposta “não”.</t>
  </si>
  <si>
    <t xml:space="preserve">Veja a coluna Conferência da aba Pedidos.</t>
  </si>
  <si>
    <t xml:space="preserve">Aceitos com pendência na análise</t>
  </si>
  <si>
    <t xml:space="preserve">O mais grave: o problema vai para a produção.</t>
  </si>
  <si>
    <t xml:space="preserve">Analisados depois de aceitar</t>
  </si>
  <si>
    <t xml:space="preserve">O compromisso veio antes da análise.</t>
  </si>
  <si>
    <t xml:space="preserve">Da aba Mudanças.</t>
  </si>
  <si>
    <t xml:space="preserve">Sem análise, sem documentos ou sem quem foi informado.</t>
  </si>
  <si>
    <t xml:space="preserve">Respostas por pergunta</t>
  </si>
  <si>
    <t xml:space="preserve">Pergunta</t>
  </si>
  <si>
    <t xml:space="preserve">Não se aplica</t>
  </si>
  <si>
    <t xml:space="preserve">Parte com “não”</t>
  </si>
  <si>
    <t xml:space="preserve">Sem resposta</t>
  </si>
  <si>
    <t xml:space="preserve">Checklist dos requisitos do cliente</t>
  </si>
  <si>
    <t xml:space="preserve">Escolha o status de cada item na lista suspensa (coluna em amarelo-claro).</t>
  </si>
  <si>
    <t xml:space="preserve">Item de verificação</t>
  </si>
  <si>
    <t xml:space="preserve">Status</t>
  </si>
  <si>
    <t xml:space="preserve">Observações</t>
  </si>
  <si>
    <t xml:space="preserve">Os canais de comunicação com o cliente estão definidos: informações, pedidos, mudanças e reclamações.</t>
  </si>
  <si>
    <t xml:space="preserve">O que a organização oferece está definido, com a especificação de cada produto ou serviço.</t>
  </si>
  <si>
    <t xml:space="preserve">Os requisitos legais aplicáveis ao que é oferecido estão identificados.</t>
  </si>
  <si>
    <t xml:space="preserve">A organização confirmou que consegue cumprir o que oferece, inclusive a capacidade.</t>
  </si>
  <si>
    <t xml:space="preserve">O que a organização não garante está informado ao cliente.</t>
  </si>
  <si>
    <t xml:space="preserve">Todo pedido é analisado antes de a organização se comprometer a fornecer.</t>
  </si>
  <si>
    <t xml:space="preserve">A análise considera os requisitos que o cliente não declarou, mas que o uso exige.</t>
  </si>
  <si>
    <t xml:space="preserve">As diferenças entre o pedido e a proposta são resolvidas antes da confirmação.</t>
  </si>
  <si>
    <t xml:space="preserve">O pedido verbal é confirmado com o cliente antes de ser aceito.</t>
  </si>
  <si>
    <t xml:space="preserve">O resultado da análise fica registrado, com quem analisou e quando.</t>
  </si>
  <si>
    <t xml:space="preserve">Quando o pedido muda, é analisado de novo, os documentos são atualizados e as pessoas são informadas.</t>
  </si>
  <si>
    <t xml:space="preserve">O pedido aceito com alteração ou recusado tem o motivo registrado e comunicado ao cliente.</t>
  </si>
  <si>
    <t xml:space="preserve">Itens atendidos (Sim)</t>
  </si>
  <si>
    <t xml:space="preserve">Itens parciais</t>
  </si>
  <si>
    <t xml:space="preserve">Itens não atendidos</t>
  </si>
  <si>
    <t xml:space="preserve">Itens sem resposta</t>
  </si>
  <si>
    <t xml:space="preserve">Percentual atendido</t>
  </si>
  <si>
    <t xml:space="preserve">Situação</t>
  </si>
  <si>
    <t xml:space="preserve">Requisitos do cliente e análise de pedidos</t>
  </si>
  <si>
    <t xml:space="preserve">Exemplo preenchido, para consulta. Use as abas Oferta, Pedidos e Mudanças para a sua organização.</t>
  </si>
  <si>
    <t xml:space="preserve">Organização</t>
  </si>
  <si>
    <t xml:space="preserve">Pizzaria (loja com salão e delivery)</t>
  </si>
  <si>
    <t xml:space="preserve">Processo</t>
  </si>
  <si>
    <t xml:space="preserve">Registrar o pedido (P1)</t>
  </si>
  <si>
    <t xml:space="preserve">Quem analisa</t>
  </si>
  <si>
    <t xml:space="preserve">Pedido comum: atendente, na tela de confirmação. Encomenda de 20 pizzas ou mais: gerente da loja, antes de confirmar.</t>
  </si>
  <si>
    <t xml:space="preserve">Registros</t>
  </si>
  <si>
    <t xml:space="preserve">Encomendas e pedidos especiais de 22 a 28/03/2027, lidos em 29/03/2027.</t>
  </si>
  <si>
    <t xml:space="preserve">Origem</t>
  </si>
  <si>
    <t xml:space="preserve">Requisito 8.2.3 atendido em parte no diagnóstico de 2026: pedidos por telefone sem o complemento do endereço (RNC 2026-05).</t>
  </si>
  <si>
    <t xml:space="preserve">Pizza no delivery</t>
  </si>
  <si>
    <t xml:space="preserve">Sabores e tamanhos do cardápio, com os ingredientes. Entrega em até 40 minutos na área de entrega.</t>
  </si>
  <si>
    <t xml:space="preserve">Alergênicos informados no cardápio.</t>
  </si>
  <si>
    <t xml:space="preserve">Ausência de glúten e de traços de leite: a cozinha é compartilhada. Entrega fora da área.</t>
  </si>
  <si>
    <t xml:space="preserve">Cardápio, site e aplicativo.</t>
  </si>
  <si>
    <t xml:space="preserve">Retirada no balcão</t>
  </si>
  <si>
    <t xml:space="preserve">Os mesmos sabores e tamanhos, prontos em até 25 minutos.</t>
  </si>
  <si>
    <t xml:space="preserve">Reserva de horário exato.</t>
  </si>
  <si>
    <t xml:space="preserve">Cardápio e telefone.</t>
  </si>
  <si>
    <t xml:space="preserve">Encomenda para eventos</t>
  </si>
  <si>
    <t xml:space="preserve">A partir de 20 pizzas, com 48 horas de antecedência, de terça a domingo, das 18h às 23h.</t>
  </si>
  <si>
    <t xml:space="preserve">Alergênicos informados na confirmação. Bebida alcoólica só para maiores de 18 anos.</t>
  </si>
  <si>
    <t xml:space="preserve">Montagem no local do evento.</t>
  </si>
  <si>
    <t xml:space="preserve">Site e telefone.</t>
  </si>
  <si>
    <t xml:space="preserve">Nº</t>
  </si>
  <si>
    <t xml:space="preserve">Prazo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</si>
  <si>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</si>
  <si>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</si>
  <si>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</si>
  <si>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</si>
  <si>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</si>
  <si>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</si>
  <si>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</si>
  <si>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Análise</t>
  </si>
  <si>
    <t xml:space="preserve">Confirmação</t>
  </si>
  <si>
    <t xml:space="preserve">Escritório de contabilidade · Telefone</t>
  </si>
  <si>
    <t xml:space="preserve">30 pizzas grandes, sexta 26/03 às 19h, no 8º andar de um prédio comercial. Entrega com elevador de serviço, combinada com a portaria.</t>
  </si>
  <si>
    <t xml:space="preserve">T-1184</t>
  </si>
  <si>
    <t xml:space="preserve">Cliente por telefone · Telefone</t>
  </si>
  <si>
    <t xml:space="preserve">Uma pizza grande meia calabresa, meia muçarela.</t>
  </si>
  <si>
    <t xml:space="preserve">Complemento do endereço pedido e lido de volta antes de confirmar.</t>
  </si>
  <si>
    <t xml:space="preserve">Atendente do turno</t>
  </si>
  <si>
    <t xml:space="preserve">A-772</t>
  </si>
  <si>
    <t xml:space="preserve">Cliente pelo aplicativo · Aplicativo</t>
  </si>
  <si>
    <t xml:space="preserve">Pizza de muçarela “sem glúten”, para uma criança celíaca. Isenção total de glúten, inclusive de contaminação na cozinha.</t>
  </si>
  <si>
    <t xml:space="preserve">A cozinha não garante a ausência de glúten. Cliente informado pelo telefone, com o motivo.</t>
  </si>
  <si>
    <t xml:space="preserve">Comissão de formatura · Telefone</t>
  </si>
  <si>
    <t xml:space="preserve">50 pizzas grandes, sábado 27/03 às 21h, no salão de festas. Bebidas para a festa: o cliente pediu cerveja; a turma tem alunos menores de idade.</t>
  </si>
  <si>
    <t xml:space="preserve">Entrega às 18h30, em duas levas, antes do pico do sábado. Sem bebida alcoólica no pedido.</t>
  </si>
  <si>
    <t xml:space="preserve">E-33</t>
  </si>
  <si>
    <t xml:space="preserve">Escola do bairro · Telefone</t>
  </si>
  <si>
    <t xml:space="preserve">20 pizzas para segunda 29/03, às 11h.</t>
  </si>
  <si>
    <t xml:space="preserve">A loja não atende encomendas para eventos às segundas, e o horário de encomenda começa às 18h. O cliente não aceitou outro dia.</t>
  </si>
  <si>
    <t xml:space="preserve">T-1201</t>
  </si>
  <si>
    <t xml:space="preserve">Duas pizzas grandes, para entrega em um bairro vizinho.</t>
  </si>
  <si>
    <t xml:space="preserve">O endereço fica fora da área de entrega. O cliente aceitou retirar no balcão.</t>
  </si>
  <si>
    <t xml:space="preserve">E-34</t>
  </si>
  <si>
    <t xml:space="preserve">Empresa de eventos · Telefone</t>
  </si>
  <si>
    <t xml:space="preserve">40 pizzas grandes, sábado 27/03 às 20h.</t>
  </si>
  <si>
    <t xml:space="preserve">E-35</t>
  </si>
  <si>
    <t xml:space="preserve">Família do bairro · Telefone</t>
  </si>
  <si>
    <t xml:space="preserve">25 pizzas grandes, domingo 28/03 às 20h, para um aniversário.</t>
  </si>
  <si>
    <t xml:space="preserve">Perguntas: 1 especificação · 2 capacidade e prazo · 3 entrega e pós-entrega · 4 uso pretendido · 5 requisitos legais · 6 diferenças · 7 preço e condições.</t>
  </si>
  <si>
    <t xml:space="preserve">De 30 para 35 pizzas, com 5 sabores trocados.</t>
  </si>
  <si>
    <t xml:space="preserve">Capacidade conferida pelo gerente: a sexta às 19h comporta.</t>
  </si>
  <si>
    <t xml:space="preserve">Pizzaiolo líder e líder da expedição</t>
  </si>
  <si>
    <t xml:space="preserve">Mais 10 pizzas doces na segunda leva.</t>
  </si>
  <si>
    <t xml:space="preserve">Cliente, pelo aplicativo de mensagens</t>
  </si>
  <si>
    <t xml:space="preserve">Pedidos por decisão</t>
  </si>
  <si>
    <t xml:space="preserve">Respostas “não” por pergunta</t>
  </si>
  <si>
    <t xml:space="preserve">Mudanças: registradas, a rever</t>
  </si>
  <si>
    <t xml:space="preserve">Indústria de embalagens plásticas</t>
  </si>
  <si>
    <t xml:space="preserve">Vender e programar</t>
  </si>
  <si>
    <t xml:space="preserve">Gerente comercial, com a Programação para capacidade e prazo, a Engenharia para itens novos e a Qualidade para requisitos legais.</t>
  </si>
  <si>
    <t xml:space="preserve">Pedidos e propostas de 01 a 15/06/2027, lidos em 16/06/2027.</t>
  </si>
  <si>
    <t xml:space="preserve">Reclamações do cliente A por espessura e a certificação ISO 9001 prevista para dezembro (objetivo O4).</t>
  </si>
  <si>
    <t xml:space="preserve">Filme liso</t>
  </si>
  <si>
    <t xml:space="preserve">Espessura de 30 a 80 µm, com tolerância de ±2 µm; largura de 300 a 1.200 mm; bobinas de até 800 mm de diâmetro.</t>
  </si>
  <si>
    <t xml:space="preserve">Declaração de conformidade para contato com alimentos, a cada lote.</t>
  </si>
  <si>
    <t xml:space="preserve">Tolerância de espessura menor que ±2 µm.</t>
  </si>
  <si>
    <t xml:space="preserve">Catálogo técnico e proposta.</t>
  </si>
  <si>
    <t xml:space="preserve">Filme impresso</t>
  </si>
  <si>
    <t xml:space="preserve">Até seis cores, com a arte aprovada pelo cliente e os cilindros do cliente.</t>
  </si>
  <si>
    <t xml:space="preserve">Tintas próprias para embalagem de alimentos.</t>
  </si>
  <si>
    <t xml:space="preserve">Cores fora da tabela de tintas homologadas.</t>
  </si>
  <si>
    <t xml:space="preserve">Filme com resina reciclada</t>
  </si>
  <si>
    <t xml:space="preserve">Até 30% de resina reciclada, só na camada externa, por acordo de desenvolvimento.</t>
  </si>
  <si>
    <t xml:space="preserve">Resina reciclada não é usada na camada em contato com o alimento.</t>
  </si>
  <si>
    <t xml:space="preserve">Fornecimento regular antes da aprovação do lote piloto.</t>
  </si>
  <si>
    <t xml:space="preserve">Proposta de desenvolvimento.</t>
  </si>
  <si>
    <t xml:space="preserve">PV-2231</t>
  </si>
  <si>
    <t xml:space="preserve">Cliente A · E-mail</t>
  </si>
  <si>
    <t xml:space="preserve">12 t de filme liso de 40 µm, 600 mm, em 20 dias. Igual ao pedido de maio.</t>
  </si>
  <si>
    <t xml:space="preserve">Gerente comercial</t>
  </si>
  <si>
    <t xml:space="preserve">PV-2232</t>
  </si>
  <si>
    <t xml:space="preserve">Cliente B · E-mail</t>
  </si>
  <si>
    <t xml:space="preserve">30 t de filme liso de 50 µm em 10 dias.</t>
  </si>
  <si>
    <t xml:space="preserve">15 t em 10 dias e 15 t em 25 dias, com o aceite do cliente por e-mail.</t>
  </si>
  <si>
    <t xml:space="preserve">PR-118</t>
  </si>
  <si>
    <t xml:space="preserve">Cliente C, alimentos congelados · Visita</t>
  </si>
  <si>
    <t xml:space="preserve">Filme liso de 50 µm para embalar vegetais congelados. Resistência ao impacto a -18 °C, que o filme padrão não tem. Declaração de conformidade para contato com alimentos.</t>
  </si>
  <si>
    <t xml:space="preserve">Lote de teste de 500 kg com a resina para baixa temperatura, ensaiado pelo cliente antes do pedido firme.</t>
  </si>
  <si>
    <t xml:space="preserve">Gerente de engenharia</t>
  </si>
  <si>
    <t xml:space="preserve">PV-2236</t>
  </si>
  <si>
    <t xml:space="preserve">Item novo: filme de 35 µm com tolerância de ±1 µm.</t>
  </si>
  <si>
    <t xml:space="preserve">Tolerância de ±2 µm, a capacidade do processo, aceita pelo cliente por e-mail.</t>
  </si>
  <si>
    <t xml:space="preserve">PR-119</t>
  </si>
  <si>
    <t xml:space="preserve">Cliente D · E-mail</t>
  </si>
  <si>
    <t xml:space="preserve">Filme com 50% de resina reciclada, para contato direto com queijos.</t>
  </si>
  <si>
    <t xml:space="preserve">A resina reciclada não pode estar em contato com o alimento. Oferecido o filme com 30% na camada externa, em desenvolvimento.</t>
  </si>
  <si>
    <t xml:space="preserve">Coordenador da Qualidade</t>
  </si>
  <si>
    <t xml:space="preserve">PV-2238</t>
  </si>
  <si>
    <t xml:space="preserve">10 t de filme liso de 50 µm, com 620 mm de largura.</t>
  </si>
  <si>
    <t xml:space="preserve">PR-120</t>
  </si>
  <si>
    <t xml:space="preserve">Cliente E · Visita</t>
  </si>
  <si>
    <t xml:space="preserve">Filme impresso em quatro cores para embalagem de biscoitos.</t>
  </si>
  <si>
    <t xml:space="preserve">Aguardando a arte aprovada pelo cliente.</t>
  </si>
  <si>
    <t xml:space="preserve">PV-2241</t>
  </si>
  <si>
    <t xml:space="preserve">Cliente A · Telefone</t>
  </si>
  <si>
    <t xml:space="preserve">8 t de filme liso de 40 µm, urgente, em 5 dias.</t>
  </si>
  <si>
    <t xml:space="preserve">Programação da produção</t>
  </si>
  <si>
    <t xml:space="preserve">Entrega no novo centro de distribuição do cliente.</t>
  </si>
  <si>
    <t xml:space="preserve">Frete recalculado e aceito pelo cliente.</t>
  </si>
  <si>
    <t xml:space="preserve">Comprador do cliente B</t>
  </si>
  <si>
    <t xml:space="preserve">Expedição</t>
  </si>
  <si>
    <t xml:space="preserve">De 12 para 16 t.</t>
  </si>
  <si>
    <t xml:space="preserve">Programação conferiu a extrusora 3. Compras confirmou a resina.</t>
  </si>
  <si>
    <t xml:space="preserve">Comprador do cliente A</t>
  </si>
  <si>
    <t xml:space="preserve">Produção e Compras</t>
  </si>
  <si>
    <t xml:space="preserve">Largura corrigida de 600 para 620 mm na ordem de produção.</t>
  </si>
  <si>
    <t xml:space="preserve">Conferida com o pedido do cliente.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</si>
</sst>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dd/mm/yyyy"/>
    <numFmt numFmtId="167" formatCode="0%"/>
    <numFmt numFmtId="168" formatCode="dd/mm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  <font>
      <b val="true"/>
      <sz val="9"/>
      <color rgb="FF16242E"/>
      <name val="Arial"/>
      <family val="0"/>
      <charset val="1"/>
    </font>
    <font>
      <sz val="9"/>
      <color rgb="FF5B6B76"/>
      <name val="Arial"/>
      <family val="0"/>
      <charset val="1"/>
    </font>
    <font>
      <sz val="10"/>
      <color rgb="FF000000"/>
      <name val="Calibri"/>
      <family val="2"/>
    </font>
    <font>
      <sz val="8"/>
      <color rgb="FF16242E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FFF9DB"/>
      </patternFill>
    </fill>
    <fill>
      <patternFill patternType="solid">
        <fgColor rgb="FFFFF9DB"/>
        <bgColor rgb="FFF8EBCB"/>
      </patternFill>
    </fill>
    <fill>
      <patternFill patternType="solid">
        <fgColor rgb="FFFFFFFF"/>
        <bgColor rgb="FFFFF9DB"/>
      </patternFill>
    </fill>
    <fill>
      <patternFill patternType="solid">
        <fgColor rgb="FF2B5C8A"/>
        <bgColor rgb="FF1E7B73"/>
      </patternFill>
    </fill>
    <fill>
      <patternFill patternType="solid">
        <fgColor rgb="FF1E7B73"/>
        <bgColor rgb="FF008080"/>
      </patternFill>
    </fill>
    <fill>
      <patternFill patternType="solid">
        <fgColor rgb="FFA96A12"/>
        <bgColor rgb="FFB0413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2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D8EFDD"/>
        </patternFill>
      </fill>
    </dxf>
    <dxf>
      <fill>
        <patternFill>
          <bgColor rgb="FFFBEBC8"/>
        </patternFill>
      </fill>
    </dxf>
    <dxf>
      <fill>
        <patternFill>
          <bgColor rgb="FFF5DEDC"/>
        </patternFill>
      </fill>
    </dxf>
    <dxf>
      <fill>
        <patternFill>
          <bgColor rgb="FFEEF1F3"/>
        </patternFill>
      </fill>
    </dxf>
    <dxf>
      <fill>
        <patternFill>
          <bgColor rgb="FFF8EBCB"/>
        </patternFill>
      </fill>
    </dxf>
    <dxf>
      <fill>
        <patternFill>
          <bgColor rgb="FFF6D9D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D9D9D9"/>
      <rgbColor rgb="FF808080"/>
      <rgbColor rgb="FF9999FF"/>
      <rgbColor rgb="FFB0413E"/>
      <rgbColor rgb="FFFFF9DB"/>
      <rgbColor rgb="FFEEF1F3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3DBE0"/>
      <rgbColor rgb="FFD8EFDD"/>
      <rgbColor rgb="FFFBEBC8"/>
      <rgbColor rgb="FFF8EBCB"/>
      <rgbColor rgb="FFF5DEDC"/>
      <rgbColor rgb="FFCC99FF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7A4A9A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"Respostas “não”"</c:f>
              <c:strCache>
                <c:ptCount val="1"/>
                <c:pt idx="0">
                  <c:v>Respostas “não”</c:v>
                </c:pt>
              </c:strCache>
            </c:strRef>
          </c:tx>
          <c:spPr>
            <a:solidFill>
              <a:srgbClr val="b0413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Painel!$B$21:$B$27</c:f>
              <c:strCache>
                <c:ptCount val="7"/>
                <c:pt idx="0">
                  <c:v>1 · Especificação</c:v>
                </c:pt>
                <c:pt idx="1">
                  <c:v>2 · Capacidade e prazo</c:v>
                </c:pt>
                <c:pt idx="2">
                  <c:v>3 · Entrega e pós-entrega</c:v>
                </c:pt>
                <c:pt idx="3">
                  <c:v>4 · Uso pretendido</c:v>
                </c:pt>
                <c:pt idx="4">
                  <c:v>5 · Requisitos legais</c:v>
                </c:pt>
                <c:pt idx="5">
                  <c:v>6 · Diferenças</c:v>
                </c:pt>
                <c:pt idx="6">
                  <c:v>7 · Preço e condições</c:v>
                </c:pt>
              </c:strCache>
            </c:strRef>
          </c:cat>
          <c:val>
            <c:numRef>
              <c:f>Painel!$D$21:$D$27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gapWidth val="60"/>
        <c:overlap val="0"/>
        <c:axId val="16120322"/>
        <c:axId val="88208181"/>
      </c:barChart>
      <c:catAx>
        <c:axId val="1612032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208181"/>
        <c:crosses val="autoZero"/>
        <c:auto val="1"/>
        <c:lblAlgn val="ctr"/>
        <c:lblOffset val="100"/>
        <c:noMultiLvlLbl val="0"/>
      </c:catAx>
      <c:valAx>
        <c:axId val="8820818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120322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31</xdr:row>
      <xdr:rowOff>0</xdr:rowOff>
    </xdr:from>
    <xdr:to>
      <xdr:col>7</xdr:col>
      <xdr:colOff>292320</xdr:colOff>
      <xdr:row>46</xdr:row>
      <xdr:rowOff>21960</xdr:rowOff>
    </xdr:to>
    <xdr:graphicFrame>
      <xdr:nvGraphicFramePr>
        <xdr:cNvPr id="0" name="Chart 1"/>
        <xdr:cNvGraphicFramePr/>
      </xdr:nvGraphicFramePr>
      <xdr:xfrm>
        <a:off x="141120" y="842004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90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31.5" hidden="false" customHeight="true" outlineLevel="0" collapsed="false">
      <c r="B8" s="4" t="s">
        <v>9</v>
      </c>
      <c r="C8" s="7" t="s">
        <v>10</v>
      </c>
    </row>
    <row r="9" customFormat="false" ht="31.5" hidden="false" customHeight="true" outlineLevel="0" collapsed="false">
      <c r="B9" s="4" t="s">
        <v>11</v>
      </c>
      <c r="C9" s="7" t="s">
        <v>12</v>
      </c>
    </row>
    <row r="11" customFormat="false" ht="21.75" hidden="false" customHeight="true" outlineLevel="0" collapsed="false">
      <c r="B11" s="3" t="s">
        <v>13</v>
      </c>
      <c r="C11" s="3"/>
    </row>
    <row r="12" customFormat="false" ht="19.5" hidden="false" customHeight="true" outlineLevel="0" collapsed="false">
      <c r="B12" s="4" t="s">
        <v>14</v>
      </c>
      <c r="C12" s="7" t="s">
        <v>15</v>
      </c>
    </row>
    <row r="13" customFormat="false" ht="19.5" hidden="false" customHeight="true" outlineLevel="0" collapsed="false">
      <c r="B13" s="4" t="s">
        <v>16</v>
      </c>
      <c r="C13" s="7" t="s">
        <v>17</v>
      </c>
    </row>
    <row r="14" customFormat="false" ht="19.5" hidden="false" customHeight="true" outlineLevel="0" collapsed="false">
      <c r="B14" s="4" t="s">
        <v>18</v>
      </c>
      <c r="C14" s="7" t="s">
        <v>19</v>
      </c>
    </row>
    <row r="15" customFormat="false" ht="19.5" hidden="false" customHeight="true" outlineLevel="0" collapsed="false">
      <c r="B15" s="4" t="s">
        <v>20</v>
      </c>
      <c r="C15" s="7" t="s">
        <v>21</v>
      </c>
    </row>
    <row r="16" customFormat="false" ht="19.5" hidden="false" customHeight="true" outlineLevel="0" collapsed="false">
      <c r="B16" s="4" t="s">
        <v>22</v>
      </c>
      <c r="C16" s="7" t="s">
        <v>23</v>
      </c>
    </row>
    <row r="17" customFormat="false" ht="19.5" hidden="false" customHeight="true" outlineLevel="0" collapsed="false">
      <c r="B17" s="4" t="s">
        <v>24</v>
      </c>
      <c r="C17" s="7" t="s">
        <v>25</v>
      </c>
    </row>
    <row r="18" customFormat="false" ht="19.5" hidden="false" customHeight="true" outlineLevel="0" collapsed="false">
      <c r="B18" s="4" t="s">
        <v>26</v>
      </c>
      <c r="C18" s="7" t="s">
        <v>27</v>
      </c>
    </row>
    <row r="20" customFormat="false" ht="21.75" hidden="false" customHeight="true" outlineLevel="0" collapsed="false">
      <c r="B20" s="3" t="s">
        <v>28</v>
      </c>
      <c r="C20" s="3"/>
    </row>
    <row r="21" customFormat="false" ht="19.5" hidden="false" customHeight="true" outlineLevel="0" collapsed="false">
      <c r="B21" s="4" t="s">
        <v>29</v>
      </c>
      <c r="C21" s="7" t="s">
        <v>30</v>
      </c>
    </row>
    <row r="22" customFormat="false" ht="31.5" hidden="false" customHeight="true" outlineLevel="0" collapsed="false">
      <c r="B22" s="4" t="s">
        <v>31</v>
      </c>
      <c r="C22" s="7" t="s">
        <v>32</v>
      </c>
    </row>
    <row r="23" customFormat="false" ht="19.5" hidden="false" customHeight="true" outlineLevel="0" collapsed="false">
      <c r="B23" s="4" t="s">
        <v>33</v>
      </c>
      <c r="C23" s="7" t="s">
        <v>34</v>
      </c>
    </row>
    <row r="24" customFormat="false" ht="19.5" hidden="false" customHeight="true" outlineLevel="0" collapsed="false">
      <c r="B24" s="4" t="s">
        <v>35</v>
      </c>
      <c r="C24" s="7" t="s">
        <v>36</v>
      </c>
    </row>
    <row r="25" customFormat="false" ht="19.5" hidden="false" customHeight="true" outlineLevel="0" collapsed="false">
      <c r="B25" s="4" t="s">
        <v>37</v>
      </c>
      <c r="C25" s="7" t="s">
        <v>38</v>
      </c>
    </row>
    <row r="26" customFormat="false" ht="19.5" hidden="false" customHeight="true" outlineLevel="0" collapsed="false">
      <c r="B26" s="4" t="s">
        <v>39</v>
      </c>
      <c r="C26" s="7" t="s">
        <v>40</v>
      </c>
    </row>
    <row r="28" customFormat="false" ht="21.75" hidden="false" customHeight="true" outlineLevel="0" collapsed="false">
      <c r="B28" s="3" t="s">
        <v>41</v>
      </c>
      <c r="C28" s="3"/>
    </row>
    <row r="29" customFormat="false" ht="31.5" hidden="false" customHeight="true" outlineLevel="0" collapsed="false">
      <c r="B29" s="4" t="s">
        <v>42</v>
      </c>
      <c r="C29" s="7" t="s">
        <v>43</v>
      </c>
    </row>
    <row r="30" customFormat="false" ht="31.5" hidden="false" customHeight="true" outlineLevel="0" collapsed="false">
      <c r="B30" s="4" t="s">
        <v>44</v>
      </c>
      <c r="C30" s="7" t="s">
        <v>45</v>
      </c>
    </row>
    <row r="31" customFormat="false" ht="31.5" hidden="false" customHeight="true" outlineLevel="0" collapsed="false">
      <c r="B31" s="4" t="s">
        <v>46</v>
      </c>
      <c r="C31" s="7" t="s">
        <v>47</v>
      </c>
    </row>
    <row r="32" customFormat="false" ht="31.5" hidden="false" customHeight="true" outlineLevel="0" collapsed="false">
      <c r="B32" s="4" t="s">
        <v>48</v>
      </c>
      <c r="C32" s="7" t="s">
        <v>49</v>
      </c>
    </row>
    <row r="33" customFormat="false" ht="19.5" hidden="false" customHeight="true" outlineLevel="0" collapsed="false">
      <c r="B33" s="4" t="s">
        <v>50</v>
      </c>
      <c r="C33" s="7" t="s">
        <v>51</v>
      </c>
    </row>
    <row r="34" customFormat="false" ht="19.5" hidden="false" customHeight="true" outlineLevel="0" collapsed="false">
      <c r="B34" s="4" t="s">
        <v>52</v>
      </c>
      <c r="C34" s="7" t="s">
        <v>53</v>
      </c>
    </row>
    <row r="36" customFormat="false" ht="21.75" hidden="false" customHeight="true" outlineLevel="0" collapsed="false">
      <c r="B36" s="3" t="s">
        <v>54</v>
      </c>
      <c r="C36" s="3"/>
    </row>
    <row r="37" customFormat="false" ht="19.5" hidden="false" customHeight="true" outlineLevel="0" collapsed="false">
      <c r="B37" s="4" t="s">
        <v>55</v>
      </c>
      <c r="C37" s="7" t="s">
        <v>56</v>
      </c>
    </row>
    <row r="38" customFormat="false" ht="19.5" hidden="false" customHeight="true" outlineLevel="0" collapsed="false">
      <c r="B38" s="4" t="s">
        <v>57</v>
      </c>
      <c r="C38" s="7" t="s">
        <v>58</v>
      </c>
    </row>
    <row r="39" customFormat="false" ht="19.5" hidden="false" customHeight="true" outlineLevel="0" collapsed="false">
      <c r="B39" s="4" t="s">
        <v>59</v>
      </c>
      <c r="C39" s="7" t="s">
        <v>60</v>
      </c>
    </row>
    <row r="40" customFormat="false" ht="19.5" hidden="false" customHeight="true" outlineLevel="0" collapsed="false">
      <c r="B40" s="4" t="s">
        <v>61</v>
      </c>
      <c r="C40" s="7" t="s">
        <v>62</v>
      </c>
    </row>
    <row r="41" customFormat="false" ht="19.5" hidden="false" customHeight="true" outlineLevel="0" collapsed="false">
      <c r="B41" s="4" t="s">
        <v>63</v>
      </c>
      <c r="C41" s="7" t="s">
        <v>64</v>
      </c>
    </row>
    <row r="42" customFormat="false" ht="19.5" hidden="false" customHeight="true" outlineLevel="0" collapsed="false">
      <c r="B42" s="4" t="s">
        <v>65</v>
      </c>
      <c r="C42" s="7" t="s">
        <v>66</v>
      </c>
    </row>
    <row r="43" customFormat="false" ht="19.5" hidden="false" customHeight="true" outlineLevel="0" collapsed="false">
      <c r="B43" s="4" t="s">
        <v>67</v>
      </c>
      <c r="C43" s="7" t="s">
        <v>68</v>
      </c>
    </row>
    <row r="45" customFormat="false" ht="21.75" hidden="false" customHeight="true" outlineLevel="0" collapsed="false">
      <c r="B45" s="3" t="s">
        <v>69</v>
      </c>
      <c r="C45" s="3"/>
    </row>
    <row r="46" customFormat="false" ht="31.5" hidden="false" customHeight="true" outlineLevel="0" collapsed="false">
      <c r="B46" s="4" t="s">
        <v>70</v>
      </c>
      <c r="C46" s="7" t="s">
        <v>71</v>
      </c>
    </row>
    <row r="47" customFormat="false" ht="31.5" hidden="false" customHeight="true" outlineLevel="0" collapsed="false">
      <c r="B47" s="4" t="s">
        <v>72</v>
      </c>
      <c r="C47" s="7" t="s">
        <v>73</v>
      </c>
    </row>
    <row r="48" customFormat="false" ht="19.5" hidden="false" customHeight="true" outlineLevel="0" collapsed="false">
      <c r="B48" s="4" t="s">
        <v>59</v>
      </c>
      <c r="C48" s="7" t="s">
        <v>74</v>
      </c>
    </row>
    <row r="49" customFormat="false" ht="19.5" hidden="false" customHeight="true" outlineLevel="0" collapsed="false">
      <c r="B49" s="4" t="s">
        <v>75</v>
      </c>
      <c r="C49" s="7" t="s">
        <v>76</v>
      </c>
    </row>
  </sheetData>
  <mergeCells count="8">
    <mergeCell ref="B1:C1"/>
    <mergeCell ref="B2:C2"/>
    <mergeCell ref="B4:C4"/>
    <mergeCell ref="B11:C11"/>
    <mergeCell ref="B20:C20"/>
    <mergeCell ref="B28:C28"/>
    <mergeCell ref="B36:C36"/>
    <mergeCell ref="B45:C45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I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40"/>
    <col collapsed="false" customWidth="true" hidden="false" outlineLevel="0" max="6" min="5" style="0" width="30"/>
    <col collapsed="false" customWidth="true" hidden="false" outlineLevel="0" max="7" min="7" style="0" width="24"/>
    <col collapsed="false" customWidth="true" hidden="false" outlineLevel="0" max="8" min="8" style="0" width="14"/>
    <col collapsed="false" customWidth="true" hidden="false" outlineLevel="0" max="9" min="9" style="0" width="28"/>
    <col collapsed="false" customWidth="true" hidden="false" outlineLevel="0" max="10" min="10" style="0" width="2"/>
  </cols>
  <sheetData>
    <row r="1" customFormat="false" ht="31.5" hidden="false" customHeight="true" outlineLevel="0" collapsed="false">
      <c r="B1" s="1" t="s">
        <v>77</v>
      </c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B2" s="2" t="s">
        <v>78</v>
      </c>
      <c r="C2" s="2"/>
      <c r="D2" s="2"/>
      <c r="E2" s="2"/>
      <c r="F2" s="2"/>
      <c r="G2" s="2"/>
      <c r="H2" s="2"/>
      <c r="I2" s="2"/>
    </row>
    <row r="4" customFormat="false" ht="33" hidden="false" customHeight="true" outlineLevel="0" collapsed="false">
      <c r="B4" s="8" t="s">
        <v>79</v>
      </c>
      <c r="C4" s="8" t="s">
        <v>80</v>
      </c>
      <c r="D4" s="8" t="s">
        <v>81</v>
      </c>
      <c r="E4" s="8" t="s">
        <v>82</v>
      </c>
      <c r="F4" s="8" t="s">
        <v>83</v>
      </c>
      <c r="G4" s="8" t="s">
        <v>84</v>
      </c>
      <c r="H4" s="8" t="s">
        <v>85</v>
      </c>
      <c r="I4" s="8" t="s">
        <v>86</v>
      </c>
    </row>
    <row r="5" customFormat="false" ht="30" hidden="false" customHeight="true" outlineLevel="0" collapsed="false">
      <c r="B5" s="9"/>
      <c r="C5" s="9" t="s">
        <v>87</v>
      </c>
      <c r="D5" s="9" t="s">
        <v>88</v>
      </c>
      <c r="E5" s="9" t="s">
        <v>89</v>
      </c>
      <c r="F5" s="9" t="s">
        <v>90</v>
      </c>
      <c r="G5" s="9" t="s">
        <v>91</v>
      </c>
      <c r="H5" s="9" t="s">
        <v>92</v>
      </c>
      <c r="I5" s="9" t="s">
        <v>93</v>
      </c>
    </row>
    <row r="6" customFormat="false" ht="33" hidden="false" customHeight="true" outlineLevel="0" collapsed="false">
      <c r="B6" s="10" t="n">
        <v>1</v>
      </c>
      <c r="C6" s="5"/>
      <c r="D6" s="5"/>
      <c r="E6" s="5"/>
      <c r="F6" s="5"/>
      <c r="G6" s="5"/>
      <c r="H6" s="11"/>
      <c r="I6" s="12" t="str">
        <f aca="false">IF(C6="",IF(COUNTA(D6:H6)&gt;0,"Falta o item",""),IF(D6="","Falta a especificação",IF(G6="","Falta onde o cliente é informado",IF(H6&lt;&gt;"Sim","Capacidade não confirmada","OK"))))</f>
        <v/>
      </c>
    </row>
    <row r="7" customFormat="false" ht="33" hidden="false" customHeight="true" outlineLevel="0" collapsed="false">
      <c r="B7" s="10" t="n">
        <v>2</v>
      </c>
      <c r="C7" s="5"/>
      <c r="D7" s="5"/>
      <c r="E7" s="5"/>
      <c r="F7" s="5"/>
      <c r="G7" s="5"/>
      <c r="H7" s="11"/>
      <c r="I7" s="12" t="str">
        <f aca="false">IF(C7="",IF(COUNTA(D7:H7)&gt;0,"Falta o item",""),IF(D7="","Falta a especificação",IF(G7="","Falta onde o cliente é informado",IF(H7&lt;&gt;"Sim","Capacidade não confirmada","OK"))))</f>
        <v/>
      </c>
    </row>
    <row r="8" customFormat="false" ht="33" hidden="false" customHeight="true" outlineLevel="0" collapsed="false">
      <c r="B8" s="10" t="n">
        <v>3</v>
      </c>
      <c r="C8" s="5"/>
      <c r="D8" s="5"/>
      <c r="E8" s="5"/>
      <c r="F8" s="5"/>
      <c r="G8" s="5"/>
      <c r="H8" s="11"/>
      <c r="I8" s="12" t="str">
        <f aca="false">IF(C8="",IF(COUNTA(D8:H8)&gt;0,"Falta o item",""),IF(D8="","Falta a especificação",IF(G8="","Falta onde o cliente é informado",IF(H8&lt;&gt;"Sim","Capacidade não confirmada","OK"))))</f>
        <v/>
      </c>
    </row>
    <row r="9" customFormat="false" ht="33" hidden="false" customHeight="true" outlineLevel="0" collapsed="false">
      <c r="B9" s="10" t="n">
        <v>4</v>
      </c>
      <c r="C9" s="5"/>
      <c r="D9" s="5"/>
      <c r="E9" s="5"/>
      <c r="F9" s="5"/>
      <c r="G9" s="5"/>
      <c r="H9" s="11"/>
      <c r="I9" s="12" t="str">
        <f aca="false">IF(C9="",IF(COUNTA(D9:H9)&gt;0,"Falta o item",""),IF(D9="","Falta a especificação",IF(G9="","Falta onde o cliente é informado",IF(H9&lt;&gt;"Sim","Capacidade não confirmada","OK"))))</f>
        <v/>
      </c>
    </row>
    <row r="10" customFormat="false" ht="33" hidden="false" customHeight="true" outlineLevel="0" collapsed="false">
      <c r="B10" s="10" t="n">
        <v>5</v>
      </c>
      <c r="C10" s="5"/>
      <c r="D10" s="5"/>
      <c r="E10" s="5"/>
      <c r="F10" s="5"/>
      <c r="G10" s="5"/>
      <c r="H10" s="11"/>
      <c r="I10" s="12" t="str">
        <f aca="false">IF(C10="",IF(COUNTA(D10:H10)&gt;0,"Falta o item",""),IF(D10="","Falta a especificação",IF(G10="","Falta onde o cliente é informado",IF(H10&lt;&gt;"Sim","Capacidade não confirmada","OK"))))</f>
        <v/>
      </c>
    </row>
    <row r="11" customFormat="false" ht="33" hidden="false" customHeight="true" outlineLevel="0" collapsed="false">
      <c r="B11" s="10" t="n">
        <v>6</v>
      </c>
      <c r="C11" s="5"/>
      <c r="D11" s="5"/>
      <c r="E11" s="5"/>
      <c r="F11" s="5"/>
      <c r="G11" s="5"/>
      <c r="H11" s="11"/>
      <c r="I11" s="12" t="str">
        <f aca="false">IF(C11="",IF(COUNTA(D11:H11)&gt;0,"Falta o item",""),IF(D11="","Falta a especificação",IF(G11="","Falta onde o cliente é informado",IF(H11&lt;&gt;"Sim","Capacidade não confirmada","OK"))))</f>
        <v/>
      </c>
    </row>
    <row r="12" customFormat="false" ht="33" hidden="false" customHeight="true" outlineLevel="0" collapsed="false">
      <c r="B12" s="10" t="n">
        <v>7</v>
      </c>
      <c r="C12" s="5"/>
      <c r="D12" s="5"/>
      <c r="E12" s="5"/>
      <c r="F12" s="5"/>
      <c r="G12" s="5"/>
      <c r="H12" s="11"/>
      <c r="I12" s="12" t="str">
        <f aca="false">IF(C12="",IF(COUNTA(D12:H12)&gt;0,"Falta o item",""),IF(D12="","Falta a especificação",IF(G12="","Falta onde o cliente é informado",IF(H12&lt;&gt;"Sim","Capacidade não confirmada","OK"))))</f>
        <v/>
      </c>
    </row>
    <row r="13" customFormat="false" ht="33" hidden="false" customHeight="true" outlineLevel="0" collapsed="false">
      <c r="B13" s="10" t="n">
        <v>8</v>
      </c>
      <c r="C13" s="5"/>
      <c r="D13" s="5"/>
      <c r="E13" s="5"/>
      <c r="F13" s="5"/>
      <c r="G13" s="5"/>
      <c r="H13" s="11"/>
      <c r="I13" s="12" t="str">
        <f aca="false">IF(C13="",IF(COUNTA(D13:H13)&gt;0,"Falta o item",""),IF(D13="","Falta a especificação",IF(G13="","Falta onde o cliente é informado",IF(H13&lt;&gt;"Sim","Capacidade não confirmada","OK"))))</f>
        <v/>
      </c>
    </row>
    <row r="14" customFormat="false" ht="33" hidden="false" customHeight="true" outlineLevel="0" collapsed="false">
      <c r="B14" s="10" t="n">
        <v>9</v>
      </c>
      <c r="C14" s="5"/>
      <c r="D14" s="5"/>
      <c r="E14" s="5"/>
      <c r="F14" s="5"/>
      <c r="G14" s="5"/>
      <c r="H14" s="11"/>
      <c r="I14" s="12" t="str">
        <f aca="false">IF(C14="",IF(COUNTA(D14:H14)&gt;0,"Falta o item",""),IF(D14="","Falta a especificação",IF(G14="","Falta onde o cliente é informado",IF(H14&lt;&gt;"Sim","Capacidade não confirmada","OK"))))</f>
        <v/>
      </c>
    </row>
    <row r="15" customFormat="false" ht="33" hidden="false" customHeight="true" outlineLevel="0" collapsed="false">
      <c r="B15" s="10" t="n">
        <v>10</v>
      </c>
      <c r="C15" s="5"/>
      <c r="D15" s="5"/>
      <c r="E15" s="5"/>
      <c r="F15" s="5"/>
      <c r="G15" s="5"/>
      <c r="H15" s="11"/>
      <c r="I15" s="12" t="str">
        <f aca="false">IF(C15="",IF(COUNTA(D15:H15)&gt;0,"Falta o item",""),IF(D15="","Falta a especificação",IF(G15="","Falta onde o cliente é informado",IF(H15&lt;&gt;"Sim","Capacidade não confirmada","OK"))))</f>
        <v/>
      </c>
    </row>
    <row r="16" customFormat="false" ht="33" hidden="false" customHeight="true" outlineLevel="0" collapsed="false">
      <c r="B16" s="10" t="n">
        <v>11</v>
      </c>
      <c r="C16" s="5"/>
      <c r="D16" s="5"/>
      <c r="E16" s="5"/>
      <c r="F16" s="5"/>
      <c r="G16" s="5"/>
      <c r="H16" s="11"/>
      <c r="I16" s="12" t="str">
        <f aca="false">IF(C16="",IF(COUNTA(D16:H16)&gt;0,"Falta o item",""),IF(D16="","Falta a especificação",IF(G16="","Falta onde o cliente é informado",IF(H16&lt;&gt;"Sim","Capacidade não confirmada","OK"))))</f>
        <v/>
      </c>
    </row>
    <row r="17" customFormat="false" ht="33" hidden="false" customHeight="true" outlineLevel="0" collapsed="false">
      <c r="B17" s="10" t="n">
        <v>12</v>
      </c>
      <c r="C17" s="5"/>
      <c r="D17" s="5"/>
      <c r="E17" s="5"/>
      <c r="F17" s="5"/>
      <c r="G17" s="5"/>
      <c r="H17" s="11"/>
      <c r="I17" s="12" t="str">
        <f aca="false">IF(C17="",IF(COUNTA(D17:H17)&gt;0,"Falta o item",""),IF(D17="","Falta a especificação",IF(G17="","Falta onde o cliente é informado",IF(H17&lt;&gt;"Sim","Capacidade não confirmada","OK"))))</f>
        <v/>
      </c>
    </row>
    <row r="19" customFormat="false" ht="21.75" hidden="false" customHeight="true" outlineLevel="0" collapsed="false">
      <c r="B19" s="13" t="s">
        <v>94</v>
      </c>
      <c r="C19" s="13"/>
      <c r="D19" s="13"/>
      <c r="E19" s="13"/>
      <c r="F19" s="13"/>
      <c r="G19" s="13"/>
      <c r="H19" s="13"/>
      <c r="I19" s="13"/>
    </row>
    <row r="20" customFormat="false" ht="21.75" hidden="false" customHeight="true" outlineLevel="0" collapsed="false">
      <c r="B20" s="14" t="s">
        <v>95</v>
      </c>
      <c r="C20" s="14"/>
      <c r="D20" s="15" t="n">
        <f aca="false">COUNTA(C6:C17)</f>
        <v>0</v>
      </c>
      <c r="E20" s="15"/>
      <c r="F20" s="15"/>
      <c r="G20" s="15"/>
      <c r="H20" s="15"/>
      <c r="I20" s="15"/>
    </row>
    <row r="21" customFormat="false" ht="21.75" hidden="false" customHeight="true" outlineLevel="0" collapsed="false">
      <c r="B21" s="14" t="s">
        <v>96</v>
      </c>
      <c r="C21" s="14"/>
      <c r="D21" s="16" t="str">
        <f aca="false">IF(D20=0,"Escreva a oferta",IF(COUNTIF(I6:I17,"OK")&lt;D20,"Há item a rever: veja a coluna Conferência","OK"))</f>
        <v>Escreva a oferta</v>
      </c>
      <c r="E21" s="16"/>
      <c r="F21" s="16"/>
      <c r="G21" s="16"/>
      <c r="H21" s="16"/>
      <c r="I21" s="16"/>
    </row>
  </sheetData>
  <mergeCells count="7">
    <mergeCell ref="B1:I1"/>
    <mergeCell ref="B2:I2"/>
    <mergeCell ref="B19:I19"/>
    <mergeCell ref="B20:C20"/>
    <mergeCell ref="D20:I20"/>
    <mergeCell ref="B21:C21"/>
    <mergeCell ref="D21:I21"/>
  </mergeCells>
  <conditionalFormatting sqref="I6:I17">
    <cfRule type="expression" priority="2" aboveAverage="0" equalAverage="0" bottom="0" percent="0" rank="0" text="" dxfId="0">
      <formula>OR(I6="OK")</formula>
    </cfRule>
    <cfRule type="expression" priority="3" aboveAverage="0" equalAverage="0" bottom="0" percent="0" rank="0" text="" dxfId="1">
      <formula>AND(LEN(I6)&gt;0,NOT(OR(I6="OK")))</formula>
    </cfRule>
  </conditionalFormatting>
  <conditionalFormatting sqref="D21:I21">
    <cfRule type="expression" priority="4" aboveAverage="0" equalAverage="0" bottom="0" percent="0" rank="0" text="" dxfId="0">
      <formula>OR(D21="OK")</formula>
    </cfRule>
    <cfRule type="expression" priority="5" aboveAverage="0" equalAverage="0" bottom="0" percent="0" rank="0" text="" dxfId="1">
      <formula>AND(LEN(D21)&gt;0,NOT(OR(D21="OK")))</formula>
    </cfRule>
  </conditionalFormatting>
  <dataValidations count="1">
    <dataValidation allowBlank="true" error="Escolha uma das opções da lista." errorStyle="stop" errorTitle="Valor inválido" operator="between" prompt="A organização confirmou que consegue cumprir o que oferece, inclusive a capacidade?" promptTitle="Opções" showDropDown="false" showErrorMessage="true" showInputMessage="true" sqref="H6:H17" type="list">
      <formula1>"Sim,Não"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X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4" min="3" style="0" width="11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32"/>
    <col collapsed="false" customWidth="true" hidden="false" outlineLevel="0" max="8" min="8" style="0" width="30"/>
    <col collapsed="false" customWidth="true" hidden="false" outlineLevel="0" max="9" min="9" style="0" width="11"/>
    <col collapsed="false" customWidth="true" hidden="false" outlineLevel="0" max="16" min="10" style="0" width="9"/>
    <col collapsed="false" customWidth="true" hidden="false" outlineLevel="0" max="17" min="17" style="0" width="20"/>
    <col collapsed="false" customWidth="true" hidden="false" outlineLevel="0" max="18" min="18" style="0" width="11"/>
    <col collapsed="false" customWidth="true" hidden="false" outlineLevel="0" max="19" min="19" style="0" width="18"/>
    <col collapsed="false" customWidth="true" hidden="false" outlineLevel="0" max="20" min="20" style="0" width="34"/>
    <col collapsed="false" customWidth="true" hidden="false" outlineLevel="0" max="21" min="21" style="0" width="20"/>
    <col collapsed="false" customWidth="true" hidden="false" outlineLevel="0" max="22" min="22" style="0" width="11"/>
    <col collapsed="false" customWidth="true" hidden="false" outlineLevel="0" max="23" min="23" style="0" width="12"/>
    <col collapsed="false" customWidth="true" hidden="false" outlineLevel="0" max="24" min="24" style="0" width="30"/>
    <col collapsed="false" customWidth="true" hidden="false" outlineLevel="0" max="25" min="25" style="0" width="2"/>
  </cols>
  <sheetData>
    <row r="1" customFormat="false" ht="31.5" hidden="false" customHeight="true" outlineLevel="0" collapsed="false">
      <c r="B1" s="1" t="s">
        <v>97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19.5" hidden="false" customHeight="true" outlineLevel="0" collapsed="false">
      <c r="B2" s="2" t="s">
        <v>98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4" customFormat="false" ht="45" hidden="false" customHeight="true" outlineLevel="0" collapsed="false">
      <c r="B4" s="8" t="s">
        <v>79</v>
      </c>
      <c r="C4" s="8" t="s">
        <v>99</v>
      </c>
      <c r="D4" s="8" t="s">
        <v>100</v>
      </c>
      <c r="E4" s="8" t="s">
        <v>101</v>
      </c>
      <c r="F4" s="8" t="s">
        <v>102</v>
      </c>
      <c r="G4" s="8" t="s">
        <v>103</v>
      </c>
      <c r="H4" s="8" t="s">
        <v>104</v>
      </c>
      <c r="I4" s="8" t="s">
        <v>105</v>
      </c>
      <c r="J4" s="8" t="s">
        <v>14</v>
      </c>
      <c r="K4" s="8" t="s">
        <v>16</v>
      </c>
      <c r="L4" s="8" t="s">
        <v>18</v>
      </c>
      <c r="M4" s="8" t="s">
        <v>20</v>
      </c>
      <c r="N4" s="8" t="s">
        <v>22</v>
      </c>
      <c r="O4" s="8" t="s">
        <v>24</v>
      </c>
      <c r="P4" s="8" t="s">
        <v>26</v>
      </c>
      <c r="Q4" s="8" t="s">
        <v>106</v>
      </c>
      <c r="R4" s="8" t="s">
        <v>107</v>
      </c>
      <c r="S4" s="8" t="s">
        <v>108</v>
      </c>
      <c r="T4" s="8" t="s">
        <v>109</v>
      </c>
      <c r="U4" s="8" t="s">
        <v>110</v>
      </c>
      <c r="V4" s="8" t="s">
        <v>111</v>
      </c>
      <c r="W4" s="8" t="s">
        <v>112</v>
      </c>
      <c r="X4" s="8" t="s">
        <v>86</v>
      </c>
    </row>
    <row r="5" customFormat="false" ht="30" hidden="false" customHeight="true" outlineLevel="0" collapsed="false">
      <c r="B5" s="9"/>
      <c r="C5" s="9" t="s">
        <v>113</v>
      </c>
      <c r="D5" s="9" t="s">
        <v>114</v>
      </c>
      <c r="E5" s="9"/>
      <c r="F5" s="9" t="s">
        <v>115</v>
      </c>
      <c r="G5" s="9" t="s">
        <v>116</v>
      </c>
      <c r="H5" s="9" t="s">
        <v>117</v>
      </c>
      <c r="I5" s="9" t="s">
        <v>100</v>
      </c>
      <c r="J5" s="9" t="s">
        <v>92</v>
      </c>
      <c r="K5" s="9" t="s">
        <v>92</v>
      </c>
      <c r="L5" s="9" t="s">
        <v>92</v>
      </c>
      <c r="M5" s="9" t="s">
        <v>92</v>
      </c>
      <c r="N5" s="9" t="s">
        <v>92</v>
      </c>
      <c r="O5" s="9" t="s">
        <v>92</v>
      </c>
      <c r="P5" s="9" t="s">
        <v>92</v>
      </c>
      <c r="Q5" s="9" t="s">
        <v>93</v>
      </c>
      <c r="R5" s="9" t="s">
        <v>118</v>
      </c>
      <c r="S5" s="9" t="s">
        <v>92</v>
      </c>
      <c r="T5" s="9" t="s">
        <v>119</v>
      </c>
      <c r="U5" s="9" t="s">
        <v>120</v>
      </c>
      <c r="V5" s="9" t="s">
        <v>100</v>
      </c>
      <c r="W5" s="9" t="s">
        <v>100</v>
      </c>
      <c r="X5" s="9" t="s">
        <v>93</v>
      </c>
    </row>
    <row r="6" customFormat="false" ht="30" hidden="false" customHeight="true" outlineLevel="0" collapsed="false">
      <c r="B6" s="9" t="s">
        <v>121</v>
      </c>
      <c r="C6" s="9" t="s">
        <v>122</v>
      </c>
      <c r="D6" s="17" t="n">
        <v>46471</v>
      </c>
      <c r="E6" s="18" t="s">
        <v>123</v>
      </c>
      <c r="F6" s="9" t="s">
        <v>124</v>
      </c>
      <c r="G6" s="18" t="s">
        <v>125</v>
      </c>
      <c r="H6" s="18" t="s">
        <v>126</v>
      </c>
      <c r="I6" s="17" t="n">
        <v>46473</v>
      </c>
      <c r="J6" s="9" t="s">
        <v>127</v>
      </c>
      <c r="K6" s="9" t="s">
        <v>128</v>
      </c>
      <c r="L6" s="9" t="s">
        <v>127</v>
      </c>
      <c r="M6" s="9" t="s">
        <v>127</v>
      </c>
      <c r="N6" s="9" t="s">
        <v>128</v>
      </c>
      <c r="O6" s="9" t="s">
        <v>127</v>
      </c>
      <c r="P6" s="9" t="s">
        <v>127</v>
      </c>
      <c r="Q6" s="9" t="s">
        <v>31</v>
      </c>
      <c r="R6" s="9" t="n">
        <v>2</v>
      </c>
      <c r="S6" s="9" t="s">
        <v>129</v>
      </c>
      <c r="T6" s="18" t="s">
        <v>130</v>
      </c>
      <c r="U6" s="18" t="s">
        <v>131</v>
      </c>
      <c r="V6" s="17" t="n">
        <v>46471</v>
      </c>
      <c r="W6" s="17" t="n">
        <v>46471</v>
      </c>
      <c r="X6" s="9" t="s">
        <v>132</v>
      </c>
    </row>
    <row r="7" customFormat="false" ht="30" hidden="false" customHeight="true" outlineLevel="0" collapsed="false">
      <c r="B7" s="10" t="n">
        <v>1</v>
      </c>
      <c r="C7" s="11"/>
      <c r="D7" s="19"/>
      <c r="E7" s="5"/>
      <c r="F7" s="11"/>
      <c r="G7" s="5"/>
      <c r="H7" s="5"/>
      <c r="I7" s="19"/>
      <c r="J7" s="11"/>
      <c r="K7" s="11"/>
      <c r="L7" s="11"/>
      <c r="M7" s="11"/>
      <c r="N7" s="11"/>
      <c r="O7" s="11"/>
      <c r="P7" s="11"/>
      <c r="Q7" s="20" t="str">
        <f aca="false">IF(AND(C7="",E7="",G7=""),"",IF(COUNTA(J7:P7)&lt;7,"Análise incompleta",IF(COUNTIF(J7:P7,"Não")&gt;0,"Resolver antes de aceitar","Pode aceitar")))</f>
        <v/>
      </c>
      <c r="R7" s="21" t="str">
        <f aca="false">IF(AND(C7="",E7="",G7=""),"",COUNTIF(J7:P7,"Não"))</f>
        <v/>
      </c>
      <c r="S7" s="11"/>
      <c r="T7" s="5"/>
      <c r="U7" s="5"/>
      <c r="V7" s="19"/>
      <c r="W7" s="19"/>
      <c r="X7" s="12" t="str">
        <f aca="false">IF(AND(C7="",E7="",G7=""),"",IF(S7="","Falta a decisão",IF(U7="","Falta quem analisou",IF(S7="Em análise","OK",IF(COUNTA(J7:P7)&lt;7,"Falta responder à análise",IF(V7="","Falta a data da análise",IF(AND(OR(S7="Aceito",S7="Aceito com alteração"),W7=""),"Falta a data da confirmação",IF(AND(OR(S7="Aceito",S7="Aceito com alteração"),V7&gt;W7),"Analisado depois de aceitar",IF(AND(S7="Aceito",COUNTIF(J7:P7,"Não")&gt;0),"Aceito com pendência na análise",IF(AND(S7="Aceito com alteração",T7=""),"Falta o que foi negociado",IF(AND(S7="Recusado",T7=""),"Falta o motivo da recusa","OK")))))))))))</f>
        <v/>
      </c>
    </row>
    <row r="8" customFormat="false" ht="30" hidden="false" customHeight="true" outlineLevel="0" collapsed="false">
      <c r="B8" s="10" t="n">
        <v>2</v>
      </c>
      <c r="C8" s="11"/>
      <c r="D8" s="19"/>
      <c r="E8" s="5"/>
      <c r="F8" s="11"/>
      <c r="G8" s="5"/>
      <c r="H8" s="5"/>
      <c r="I8" s="19"/>
      <c r="J8" s="11"/>
      <c r="K8" s="11"/>
      <c r="L8" s="11"/>
      <c r="M8" s="11"/>
      <c r="N8" s="11"/>
      <c r="O8" s="11"/>
      <c r="P8" s="11"/>
      <c r="Q8" s="20" t="str">
        <f aca="false">IF(AND(C8="",E8="",G8=""),"",IF(COUNTA(J8:P8)&lt;7,"Análise incompleta",IF(COUNTIF(J8:P8,"Não")&gt;0,"Resolver antes de aceitar","Pode aceitar")))</f>
        <v/>
      </c>
      <c r="R8" s="21" t="str">
        <f aca="false">IF(AND(C8="",E8="",G8=""),"",COUNTIF(J8:P8,"Não"))</f>
        <v/>
      </c>
      <c r="S8" s="11"/>
      <c r="T8" s="5"/>
      <c r="U8" s="5"/>
      <c r="V8" s="19"/>
      <c r="W8" s="19"/>
      <c r="X8" s="12" t="str">
        <f aca="false">IF(AND(C8="",E8="",G8=""),"",IF(S8="","Falta a decisão",IF(U8="","Falta quem analisou",IF(S8="Em análise","OK",IF(COUNTA(J8:P8)&lt;7,"Falta responder à análise",IF(V8="","Falta a data da análise",IF(AND(OR(S8="Aceito",S8="Aceito com alteração"),W8=""),"Falta a data da confirmação",IF(AND(OR(S8="Aceito",S8="Aceito com alteração"),V8&gt;W8),"Analisado depois de aceitar",IF(AND(S8="Aceito",COUNTIF(J8:P8,"Não")&gt;0),"Aceito com pendência na análise",IF(AND(S8="Aceito com alteração",T8=""),"Falta o que foi negociado",IF(AND(S8="Recusado",T8=""),"Falta o motivo da recusa","OK")))))))))))</f>
        <v/>
      </c>
    </row>
    <row r="9" customFormat="false" ht="30" hidden="false" customHeight="true" outlineLevel="0" collapsed="false">
      <c r="B9" s="10" t="n">
        <v>3</v>
      </c>
      <c r="C9" s="11"/>
      <c r="D9" s="19"/>
      <c r="E9" s="5"/>
      <c r="F9" s="11"/>
      <c r="G9" s="5"/>
      <c r="H9" s="5"/>
      <c r="I9" s="19"/>
      <c r="J9" s="11"/>
      <c r="K9" s="11"/>
      <c r="L9" s="11"/>
      <c r="M9" s="11"/>
      <c r="N9" s="11"/>
      <c r="O9" s="11"/>
      <c r="P9" s="11"/>
      <c r="Q9" s="20" t="str">
        <f aca="false">IF(AND(C9="",E9="",G9=""),"",IF(COUNTA(J9:P9)&lt;7,"Análise incompleta",IF(COUNTIF(J9:P9,"Não")&gt;0,"Resolver antes de aceitar","Pode aceitar")))</f>
        <v/>
      </c>
      <c r="R9" s="21" t="str">
        <f aca="false">IF(AND(C9="",E9="",G9=""),"",COUNTIF(J9:P9,"Não"))</f>
        <v/>
      </c>
      <c r="S9" s="11"/>
      <c r="T9" s="5"/>
      <c r="U9" s="5"/>
      <c r="V9" s="19"/>
      <c r="W9" s="19"/>
      <c r="X9" s="12" t="str">
        <f aca="false">IF(AND(C9="",E9="",G9=""),"",IF(S9="","Falta a decisão",IF(U9="","Falta quem analisou",IF(S9="Em análise","OK",IF(COUNTA(J9:P9)&lt;7,"Falta responder à análise",IF(V9="","Falta a data da análise",IF(AND(OR(S9="Aceito",S9="Aceito com alteração"),W9=""),"Falta a data da confirmação",IF(AND(OR(S9="Aceito",S9="Aceito com alteração"),V9&gt;W9),"Analisado depois de aceitar",IF(AND(S9="Aceito",COUNTIF(J9:P9,"Não")&gt;0),"Aceito com pendência na análise",IF(AND(S9="Aceito com alteração",T9=""),"Falta o que foi negociado",IF(AND(S9="Recusado",T9=""),"Falta o motivo da recusa","OK")))))))))))</f>
        <v/>
      </c>
    </row>
    <row r="10" customFormat="false" ht="30" hidden="false" customHeight="true" outlineLevel="0" collapsed="false">
      <c r="B10" s="10" t="n">
        <v>4</v>
      </c>
      <c r="C10" s="11"/>
      <c r="D10" s="19"/>
      <c r="E10" s="5"/>
      <c r="F10" s="11"/>
      <c r="G10" s="5"/>
      <c r="H10" s="5"/>
      <c r="I10" s="19"/>
      <c r="J10" s="11"/>
      <c r="K10" s="11"/>
      <c r="L10" s="11"/>
      <c r="M10" s="11"/>
      <c r="N10" s="11"/>
      <c r="O10" s="11"/>
      <c r="P10" s="11"/>
      <c r="Q10" s="20" t="str">
        <f aca="false">IF(AND(C10="",E10="",G10=""),"",IF(COUNTA(J10:P10)&lt;7,"Análise incompleta",IF(COUNTIF(J10:P10,"Não")&gt;0,"Resolver antes de aceitar","Pode aceitar")))</f>
        <v/>
      </c>
      <c r="R10" s="21" t="str">
        <f aca="false">IF(AND(C10="",E10="",G10=""),"",COUNTIF(J10:P10,"Não"))</f>
        <v/>
      </c>
      <c r="S10" s="11"/>
      <c r="T10" s="5"/>
      <c r="U10" s="5"/>
      <c r="V10" s="19"/>
      <c r="W10" s="19"/>
      <c r="X10" s="12" t="str">
        <f aca="false">IF(AND(C10="",E10="",G10=""),"",IF(S10="","Falta a decisão",IF(U10="","Falta quem analisou",IF(S10="Em análise","OK",IF(COUNTA(J10:P10)&lt;7,"Falta responder à análise",IF(V10="","Falta a data da análise",IF(AND(OR(S10="Aceito",S10="Aceito com alteração"),W10=""),"Falta a data da confirmação",IF(AND(OR(S10="Aceito",S10="Aceito com alteração"),V10&gt;W10),"Analisado depois de aceitar",IF(AND(S10="Aceito",COUNTIF(J10:P10,"Não")&gt;0),"Aceito com pendência na análise",IF(AND(S10="Aceito com alteração",T10=""),"Falta o que foi negociado",IF(AND(S10="Recusado",T10=""),"Falta o motivo da recusa","OK")))))))))))</f>
        <v/>
      </c>
    </row>
    <row r="11" customFormat="false" ht="30" hidden="false" customHeight="true" outlineLevel="0" collapsed="false">
      <c r="B11" s="10" t="n">
        <v>5</v>
      </c>
      <c r="C11" s="11"/>
      <c r="D11" s="19"/>
      <c r="E11" s="5"/>
      <c r="F11" s="11"/>
      <c r="G11" s="5"/>
      <c r="H11" s="5"/>
      <c r="I11" s="19"/>
      <c r="J11" s="11"/>
      <c r="K11" s="11"/>
      <c r="L11" s="11"/>
      <c r="M11" s="11"/>
      <c r="N11" s="11"/>
      <c r="O11" s="11"/>
      <c r="P11" s="11"/>
      <c r="Q11" s="20" t="str">
        <f aca="false">IF(AND(C11="",E11="",G11=""),"",IF(COUNTA(J11:P11)&lt;7,"Análise incompleta",IF(COUNTIF(J11:P11,"Não")&gt;0,"Resolver antes de aceitar","Pode aceitar")))</f>
        <v/>
      </c>
      <c r="R11" s="21" t="str">
        <f aca="false">IF(AND(C11="",E11="",G11=""),"",COUNTIF(J11:P11,"Não"))</f>
        <v/>
      </c>
      <c r="S11" s="11"/>
      <c r="T11" s="5"/>
      <c r="U11" s="5"/>
      <c r="V11" s="19"/>
      <c r="W11" s="19"/>
      <c r="X11" s="12" t="str">
        <f aca="false">IF(AND(C11="",E11="",G11=""),"",IF(S11="","Falta a decisão",IF(U11="","Falta quem analisou",IF(S11="Em análise","OK",IF(COUNTA(J11:P11)&lt;7,"Falta responder à análise",IF(V11="","Falta a data da análise",IF(AND(OR(S11="Aceito",S11="Aceito com alteração"),W11=""),"Falta a data da confirmação",IF(AND(OR(S11="Aceito",S11="Aceito com alteração"),V11&gt;W11),"Analisado depois de aceitar",IF(AND(S11="Aceito",COUNTIF(J11:P11,"Não")&gt;0),"Aceito com pendência na análise",IF(AND(S11="Aceito com alteração",T11=""),"Falta o que foi negociado",IF(AND(S11="Recusado",T11=""),"Falta o motivo da recusa","OK")))))))))))</f>
        <v/>
      </c>
    </row>
    <row r="12" customFormat="false" ht="30" hidden="false" customHeight="true" outlineLevel="0" collapsed="false">
      <c r="B12" s="10" t="n">
        <v>6</v>
      </c>
      <c r="C12" s="11"/>
      <c r="D12" s="19"/>
      <c r="E12" s="5"/>
      <c r="F12" s="11"/>
      <c r="G12" s="5"/>
      <c r="H12" s="5"/>
      <c r="I12" s="19"/>
      <c r="J12" s="11"/>
      <c r="K12" s="11"/>
      <c r="L12" s="11"/>
      <c r="M12" s="11"/>
      <c r="N12" s="11"/>
      <c r="O12" s="11"/>
      <c r="P12" s="11"/>
      <c r="Q12" s="20" t="str">
        <f aca="false">IF(AND(C12="",E12="",G12=""),"",IF(COUNTA(J12:P12)&lt;7,"Análise incompleta",IF(COUNTIF(J12:P12,"Não")&gt;0,"Resolver antes de aceitar","Pode aceitar")))</f>
        <v/>
      </c>
      <c r="R12" s="21" t="str">
        <f aca="false">IF(AND(C12="",E12="",G12=""),"",COUNTIF(J12:P12,"Não"))</f>
        <v/>
      </c>
      <c r="S12" s="11"/>
      <c r="T12" s="5"/>
      <c r="U12" s="5"/>
      <c r="V12" s="19"/>
      <c r="W12" s="19"/>
      <c r="X12" s="12" t="str">
        <f aca="false">IF(AND(C12="",E12="",G12=""),"",IF(S12="","Falta a decisão",IF(U12="","Falta quem analisou",IF(S12="Em análise","OK",IF(COUNTA(J12:P12)&lt;7,"Falta responder à análise",IF(V12="","Falta a data da análise",IF(AND(OR(S12="Aceito",S12="Aceito com alteração"),W12=""),"Falta a data da confirmação",IF(AND(OR(S12="Aceito",S12="Aceito com alteração"),V12&gt;W12),"Analisado depois de aceitar",IF(AND(S12="Aceito",COUNTIF(J12:P12,"Não")&gt;0),"Aceito com pendência na análise",IF(AND(S12="Aceito com alteração",T12=""),"Falta o que foi negociado",IF(AND(S12="Recusado",T12=""),"Falta o motivo da recusa","OK")))))))))))</f>
        <v/>
      </c>
    </row>
    <row r="13" customFormat="false" ht="30" hidden="false" customHeight="true" outlineLevel="0" collapsed="false">
      <c r="B13" s="10" t="n">
        <v>7</v>
      </c>
      <c r="C13" s="11"/>
      <c r="D13" s="19"/>
      <c r="E13" s="5"/>
      <c r="F13" s="11"/>
      <c r="G13" s="5"/>
      <c r="H13" s="5"/>
      <c r="I13" s="19"/>
      <c r="J13" s="11"/>
      <c r="K13" s="11"/>
      <c r="L13" s="11"/>
      <c r="M13" s="11"/>
      <c r="N13" s="11"/>
      <c r="O13" s="11"/>
      <c r="P13" s="11"/>
      <c r="Q13" s="20" t="str">
        <f aca="false">IF(AND(C13="",E13="",G13=""),"",IF(COUNTA(J13:P13)&lt;7,"Análise incompleta",IF(COUNTIF(J13:P13,"Não")&gt;0,"Resolver antes de aceitar","Pode aceitar")))</f>
        <v/>
      </c>
      <c r="R13" s="21" t="str">
        <f aca="false">IF(AND(C13="",E13="",G13=""),"",COUNTIF(J13:P13,"Não"))</f>
        <v/>
      </c>
      <c r="S13" s="11"/>
      <c r="T13" s="5"/>
      <c r="U13" s="5"/>
      <c r="V13" s="19"/>
      <c r="W13" s="19"/>
      <c r="X13" s="12" t="str">
        <f aca="false">IF(AND(C13="",E13="",G13=""),"",IF(S13="","Falta a decisão",IF(U13="","Falta quem analisou",IF(S13="Em análise","OK",IF(COUNTA(J13:P13)&lt;7,"Falta responder à análise",IF(V13="","Falta a data da análise",IF(AND(OR(S13="Aceito",S13="Aceito com alteração"),W13=""),"Falta a data da confirmação",IF(AND(OR(S13="Aceito",S13="Aceito com alteração"),V13&gt;W13),"Analisado depois de aceitar",IF(AND(S13="Aceito",COUNTIF(J13:P13,"Não")&gt;0),"Aceito com pendência na análise",IF(AND(S13="Aceito com alteração",T13=""),"Falta o que foi negociado",IF(AND(S13="Recusado",T13=""),"Falta o motivo da recusa","OK")))))))))))</f>
        <v/>
      </c>
    </row>
    <row r="14" customFormat="false" ht="30" hidden="false" customHeight="true" outlineLevel="0" collapsed="false">
      <c r="B14" s="10" t="n">
        <v>8</v>
      </c>
      <c r="C14" s="11"/>
      <c r="D14" s="19"/>
      <c r="E14" s="5"/>
      <c r="F14" s="11"/>
      <c r="G14" s="5"/>
      <c r="H14" s="5"/>
      <c r="I14" s="19"/>
      <c r="J14" s="11"/>
      <c r="K14" s="11"/>
      <c r="L14" s="11"/>
      <c r="M14" s="11"/>
      <c r="N14" s="11"/>
      <c r="O14" s="11"/>
      <c r="P14" s="11"/>
      <c r="Q14" s="20" t="str">
        <f aca="false">IF(AND(C14="",E14="",G14=""),"",IF(COUNTA(J14:P14)&lt;7,"Análise incompleta",IF(COUNTIF(J14:P14,"Não")&gt;0,"Resolver antes de aceitar","Pode aceitar")))</f>
        <v/>
      </c>
      <c r="R14" s="21" t="str">
        <f aca="false">IF(AND(C14="",E14="",G14=""),"",COUNTIF(J14:P14,"Não"))</f>
        <v/>
      </c>
      <c r="S14" s="11"/>
      <c r="T14" s="5"/>
      <c r="U14" s="5"/>
      <c r="V14" s="19"/>
      <c r="W14" s="19"/>
      <c r="X14" s="12" t="str">
        <f aca="false">IF(AND(C14="",E14="",G14=""),"",IF(S14="","Falta a decisão",IF(U14="","Falta quem analisou",IF(S14="Em análise","OK",IF(COUNTA(J14:P14)&lt;7,"Falta responder à análise",IF(V14="","Falta a data da análise",IF(AND(OR(S14="Aceito",S14="Aceito com alteração"),W14=""),"Falta a data da confirmação",IF(AND(OR(S14="Aceito",S14="Aceito com alteração"),V14&gt;W14),"Analisado depois de aceitar",IF(AND(S14="Aceito",COUNTIF(J14:P14,"Não")&gt;0),"Aceito com pendência na análise",IF(AND(S14="Aceito com alteração",T14=""),"Falta o que foi negociado",IF(AND(S14="Recusado",T14=""),"Falta o motivo da recusa","OK")))))))))))</f>
        <v/>
      </c>
    </row>
    <row r="15" customFormat="false" ht="30" hidden="false" customHeight="true" outlineLevel="0" collapsed="false">
      <c r="B15" s="10" t="n">
        <v>9</v>
      </c>
      <c r="C15" s="11"/>
      <c r="D15" s="19"/>
      <c r="E15" s="5"/>
      <c r="F15" s="11"/>
      <c r="G15" s="5"/>
      <c r="H15" s="5"/>
      <c r="I15" s="19"/>
      <c r="J15" s="11"/>
      <c r="K15" s="11"/>
      <c r="L15" s="11"/>
      <c r="M15" s="11"/>
      <c r="N15" s="11"/>
      <c r="O15" s="11"/>
      <c r="P15" s="11"/>
      <c r="Q15" s="20" t="str">
        <f aca="false">IF(AND(C15="",E15="",G15=""),"",IF(COUNTA(J15:P15)&lt;7,"Análise incompleta",IF(COUNTIF(J15:P15,"Não")&gt;0,"Resolver antes de aceitar","Pode aceitar")))</f>
        <v/>
      </c>
      <c r="R15" s="21" t="str">
        <f aca="false">IF(AND(C15="",E15="",G15=""),"",COUNTIF(J15:P15,"Não"))</f>
        <v/>
      </c>
      <c r="S15" s="11"/>
      <c r="T15" s="5"/>
      <c r="U15" s="5"/>
      <c r="V15" s="19"/>
      <c r="W15" s="19"/>
      <c r="X15" s="12" t="str">
        <f aca="false">IF(AND(C15="",E15="",G15=""),"",IF(S15="","Falta a decisão",IF(U15="","Falta quem analisou",IF(S15="Em análise","OK",IF(COUNTA(J15:P15)&lt;7,"Falta responder à análise",IF(V15="","Falta a data da análise",IF(AND(OR(S15="Aceito",S15="Aceito com alteração"),W15=""),"Falta a data da confirmação",IF(AND(OR(S15="Aceito",S15="Aceito com alteração"),V15&gt;W15),"Analisado depois de aceitar",IF(AND(S15="Aceito",COUNTIF(J15:P15,"Não")&gt;0),"Aceito com pendência na análise",IF(AND(S15="Aceito com alteração",T15=""),"Falta o que foi negociado",IF(AND(S15="Recusado",T15=""),"Falta o motivo da recusa","OK")))))))))))</f>
        <v/>
      </c>
    </row>
    <row r="16" customFormat="false" ht="30" hidden="false" customHeight="true" outlineLevel="0" collapsed="false">
      <c r="B16" s="10" t="n">
        <v>10</v>
      </c>
      <c r="C16" s="11"/>
      <c r="D16" s="19"/>
      <c r="E16" s="5"/>
      <c r="F16" s="11"/>
      <c r="G16" s="5"/>
      <c r="H16" s="5"/>
      <c r="I16" s="19"/>
      <c r="J16" s="11"/>
      <c r="K16" s="11"/>
      <c r="L16" s="11"/>
      <c r="M16" s="11"/>
      <c r="N16" s="11"/>
      <c r="O16" s="11"/>
      <c r="P16" s="11"/>
      <c r="Q16" s="20" t="str">
        <f aca="false">IF(AND(C16="",E16="",G16=""),"",IF(COUNTA(J16:P16)&lt;7,"Análise incompleta",IF(COUNTIF(J16:P16,"Não")&gt;0,"Resolver antes de aceitar","Pode aceitar")))</f>
        <v/>
      </c>
      <c r="R16" s="21" t="str">
        <f aca="false">IF(AND(C16="",E16="",G16=""),"",COUNTIF(J16:P16,"Não"))</f>
        <v/>
      </c>
      <c r="S16" s="11"/>
      <c r="T16" s="5"/>
      <c r="U16" s="5"/>
      <c r="V16" s="19"/>
      <c r="W16" s="19"/>
      <c r="X16" s="12" t="str">
        <f aca="false">IF(AND(C16="",E16="",G16=""),"",IF(S16="","Falta a decisão",IF(U16="","Falta quem analisou",IF(S16="Em análise","OK",IF(COUNTA(J16:P16)&lt;7,"Falta responder à análise",IF(V16="","Falta a data da análise",IF(AND(OR(S16="Aceito",S16="Aceito com alteração"),W16=""),"Falta a data da confirmação",IF(AND(OR(S16="Aceito",S16="Aceito com alteração"),V16&gt;W16),"Analisado depois de aceitar",IF(AND(S16="Aceito",COUNTIF(J16:P16,"Não")&gt;0),"Aceito com pendência na análise",IF(AND(S16="Aceito com alteração",T16=""),"Falta o que foi negociado",IF(AND(S16="Recusado",T16=""),"Falta o motivo da recusa","OK")))))))))))</f>
        <v/>
      </c>
    </row>
    <row r="17" customFormat="false" ht="30" hidden="false" customHeight="true" outlineLevel="0" collapsed="false">
      <c r="B17" s="10" t="n">
        <v>11</v>
      </c>
      <c r="C17" s="11"/>
      <c r="D17" s="19"/>
      <c r="E17" s="5"/>
      <c r="F17" s="11"/>
      <c r="G17" s="5"/>
      <c r="H17" s="5"/>
      <c r="I17" s="19"/>
      <c r="J17" s="11"/>
      <c r="K17" s="11"/>
      <c r="L17" s="11"/>
      <c r="M17" s="11"/>
      <c r="N17" s="11"/>
      <c r="O17" s="11"/>
      <c r="P17" s="11"/>
      <c r="Q17" s="20" t="str">
        <f aca="false">IF(AND(C17="",E17="",G17=""),"",IF(COUNTA(J17:P17)&lt;7,"Análise incompleta",IF(COUNTIF(J17:P17,"Não")&gt;0,"Resolver antes de aceitar","Pode aceitar")))</f>
        <v/>
      </c>
      <c r="R17" s="21" t="str">
        <f aca="false">IF(AND(C17="",E17="",G17=""),"",COUNTIF(J17:P17,"Não"))</f>
        <v/>
      </c>
      <c r="S17" s="11"/>
      <c r="T17" s="5"/>
      <c r="U17" s="5"/>
      <c r="V17" s="19"/>
      <c r="W17" s="19"/>
      <c r="X17" s="12" t="str">
        <f aca="false">IF(AND(C17="",E17="",G17=""),"",IF(S17="","Falta a decisão",IF(U17="","Falta quem analisou",IF(S17="Em análise","OK",IF(COUNTA(J17:P17)&lt;7,"Falta responder à análise",IF(V17="","Falta a data da análise",IF(AND(OR(S17="Aceito",S17="Aceito com alteração"),W17=""),"Falta a data da confirmação",IF(AND(OR(S17="Aceito",S17="Aceito com alteração"),V17&gt;W17),"Analisado depois de aceitar",IF(AND(S17="Aceito",COUNTIF(J17:P17,"Não")&gt;0),"Aceito com pendência na análise",IF(AND(S17="Aceito com alteração",T17=""),"Falta o que foi negociado",IF(AND(S17="Recusado",T17=""),"Falta o motivo da recusa","OK")))))))))))</f>
        <v/>
      </c>
    </row>
    <row r="18" customFormat="false" ht="30" hidden="false" customHeight="true" outlineLevel="0" collapsed="false">
      <c r="B18" s="10" t="n">
        <v>12</v>
      </c>
      <c r="C18" s="11"/>
      <c r="D18" s="19"/>
      <c r="E18" s="5"/>
      <c r="F18" s="11"/>
      <c r="G18" s="5"/>
      <c r="H18" s="5"/>
      <c r="I18" s="19"/>
      <c r="J18" s="11"/>
      <c r="K18" s="11"/>
      <c r="L18" s="11"/>
      <c r="M18" s="11"/>
      <c r="N18" s="11"/>
      <c r="O18" s="11"/>
      <c r="P18" s="11"/>
      <c r="Q18" s="20" t="str">
        <f aca="false">IF(AND(C18="",E18="",G18=""),"",IF(COUNTA(J18:P18)&lt;7,"Análise incompleta",IF(COUNTIF(J18:P18,"Não")&gt;0,"Resolver antes de aceitar","Pode aceitar")))</f>
        <v/>
      </c>
      <c r="R18" s="21" t="str">
        <f aca="false">IF(AND(C18="",E18="",G18=""),"",COUNTIF(J18:P18,"Não"))</f>
        <v/>
      </c>
      <c r="S18" s="11"/>
      <c r="T18" s="5"/>
      <c r="U18" s="5"/>
      <c r="V18" s="19"/>
      <c r="W18" s="19"/>
      <c r="X18" s="12" t="str">
        <f aca="false">IF(AND(C18="",E18="",G18=""),"",IF(S18="","Falta a decisão",IF(U18="","Falta quem analisou",IF(S18="Em análise","OK",IF(COUNTA(J18:P18)&lt;7,"Falta responder à análise",IF(V18="","Falta a data da análise",IF(AND(OR(S18="Aceito",S18="Aceito com alteração"),W18=""),"Falta a data da confirmação",IF(AND(OR(S18="Aceito",S18="Aceito com alteração"),V18&gt;W18),"Analisado depois de aceitar",IF(AND(S18="Aceito",COUNTIF(J18:P18,"Não")&gt;0),"Aceito com pendência na análise",IF(AND(S18="Aceito com alteração",T18=""),"Falta o que foi negociado",IF(AND(S18="Recusado",T18=""),"Falta o motivo da recusa","OK")))))))))))</f>
        <v/>
      </c>
    </row>
    <row r="19" customFormat="false" ht="30" hidden="false" customHeight="true" outlineLevel="0" collapsed="false">
      <c r="B19" s="10" t="n">
        <v>13</v>
      </c>
      <c r="C19" s="11"/>
      <c r="D19" s="19"/>
      <c r="E19" s="5"/>
      <c r="F19" s="11"/>
      <c r="G19" s="5"/>
      <c r="H19" s="5"/>
      <c r="I19" s="19"/>
      <c r="J19" s="11"/>
      <c r="K19" s="11"/>
      <c r="L19" s="11"/>
      <c r="M19" s="11"/>
      <c r="N19" s="11"/>
      <c r="O19" s="11"/>
      <c r="P19" s="11"/>
      <c r="Q19" s="20" t="str">
        <f aca="false">IF(AND(C19="",E19="",G19=""),"",IF(COUNTA(J19:P19)&lt;7,"Análise incompleta",IF(COUNTIF(J19:P19,"Não")&gt;0,"Resolver antes de aceitar","Pode aceitar")))</f>
        <v/>
      </c>
      <c r="R19" s="21" t="str">
        <f aca="false">IF(AND(C19="",E19="",G19=""),"",COUNTIF(J19:P19,"Não"))</f>
        <v/>
      </c>
      <c r="S19" s="11"/>
      <c r="T19" s="5"/>
      <c r="U19" s="5"/>
      <c r="V19" s="19"/>
      <c r="W19" s="19"/>
      <c r="X19" s="12" t="str">
        <f aca="false">IF(AND(C19="",E19="",G19=""),"",IF(S19="","Falta a decisão",IF(U19="","Falta quem analisou",IF(S19="Em análise","OK",IF(COUNTA(J19:P19)&lt;7,"Falta responder à análise",IF(V19="","Falta a data da análise",IF(AND(OR(S19="Aceito",S19="Aceito com alteração"),W19=""),"Falta a data da confirmação",IF(AND(OR(S19="Aceito",S19="Aceito com alteração"),V19&gt;W19),"Analisado depois de aceitar",IF(AND(S19="Aceito",COUNTIF(J19:P19,"Não")&gt;0),"Aceito com pendência na análise",IF(AND(S19="Aceito com alteração",T19=""),"Falta o que foi negociado",IF(AND(S19="Recusado",T19=""),"Falta o motivo da recusa","OK")))))))))))</f>
        <v/>
      </c>
    </row>
    <row r="20" customFormat="false" ht="30" hidden="false" customHeight="true" outlineLevel="0" collapsed="false">
      <c r="B20" s="10" t="n">
        <v>14</v>
      </c>
      <c r="C20" s="11"/>
      <c r="D20" s="19"/>
      <c r="E20" s="5"/>
      <c r="F20" s="11"/>
      <c r="G20" s="5"/>
      <c r="H20" s="5"/>
      <c r="I20" s="19"/>
      <c r="J20" s="11"/>
      <c r="K20" s="11"/>
      <c r="L20" s="11"/>
      <c r="M20" s="11"/>
      <c r="N20" s="11"/>
      <c r="O20" s="11"/>
      <c r="P20" s="11"/>
      <c r="Q20" s="20" t="str">
        <f aca="false">IF(AND(C20="",E20="",G20=""),"",IF(COUNTA(J20:P20)&lt;7,"Análise incompleta",IF(COUNTIF(J20:P20,"Não")&gt;0,"Resolver antes de aceitar","Pode aceitar")))</f>
        <v/>
      </c>
      <c r="R20" s="21" t="str">
        <f aca="false">IF(AND(C20="",E20="",G20=""),"",COUNTIF(J20:P20,"Não"))</f>
        <v/>
      </c>
      <c r="S20" s="11"/>
      <c r="T20" s="5"/>
      <c r="U20" s="5"/>
      <c r="V20" s="19"/>
      <c r="W20" s="19"/>
      <c r="X20" s="12" t="str">
        <f aca="false">IF(AND(C20="",E20="",G20=""),"",IF(S20="","Falta a decisão",IF(U20="","Falta quem analisou",IF(S20="Em análise","OK",IF(COUNTA(J20:P20)&lt;7,"Falta responder à análise",IF(V20="","Falta a data da análise",IF(AND(OR(S20="Aceito",S20="Aceito com alteração"),W20=""),"Falta a data da confirmação",IF(AND(OR(S20="Aceito",S20="Aceito com alteração"),V20&gt;W20),"Analisado depois de aceitar",IF(AND(S20="Aceito",COUNTIF(J20:P20,"Não")&gt;0),"Aceito com pendência na análise",IF(AND(S20="Aceito com alteração",T20=""),"Falta o que foi negociado",IF(AND(S20="Recusado",T20=""),"Falta o motivo da recusa","OK")))))))))))</f>
        <v/>
      </c>
    </row>
    <row r="21" customFormat="false" ht="30" hidden="false" customHeight="true" outlineLevel="0" collapsed="false">
      <c r="B21" s="10" t="n">
        <v>15</v>
      </c>
      <c r="C21" s="11"/>
      <c r="D21" s="19"/>
      <c r="E21" s="5"/>
      <c r="F21" s="11"/>
      <c r="G21" s="5"/>
      <c r="H21" s="5"/>
      <c r="I21" s="19"/>
      <c r="J21" s="11"/>
      <c r="K21" s="11"/>
      <c r="L21" s="11"/>
      <c r="M21" s="11"/>
      <c r="N21" s="11"/>
      <c r="O21" s="11"/>
      <c r="P21" s="11"/>
      <c r="Q21" s="20" t="str">
        <f aca="false">IF(AND(C21="",E21="",G21=""),"",IF(COUNTA(J21:P21)&lt;7,"Análise incompleta",IF(COUNTIF(J21:P21,"Não")&gt;0,"Resolver antes de aceitar","Pode aceitar")))</f>
        <v/>
      </c>
      <c r="R21" s="21" t="str">
        <f aca="false">IF(AND(C21="",E21="",G21=""),"",COUNTIF(J21:P21,"Não"))</f>
        <v/>
      </c>
      <c r="S21" s="11"/>
      <c r="T21" s="5"/>
      <c r="U21" s="5"/>
      <c r="V21" s="19"/>
      <c r="W21" s="19"/>
      <c r="X21" s="12" t="str">
        <f aca="false">IF(AND(C21="",E21="",G21=""),"",IF(S21="","Falta a decisão",IF(U21="","Falta quem analisou",IF(S21="Em análise","OK",IF(COUNTA(J21:P21)&lt;7,"Falta responder à análise",IF(V21="","Falta a data da análise",IF(AND(OR(S21="Aceito",S21="Aceito com alteração"),W21=""),"Falta a data da confirmação",IF(AND(OR(S21="Aceito",S21="Aceito com alteração"),V21&gt;W21),"Analisado depois de aceitar",IF(AND(S21="Aceito",COUNTIF(J21:P21,"Não")&gt;0),"Aceito com pendência na análise",IF(AND(S21="Aceito com alteração",T21=""),"Falta o que foi negociado",IF(AND(S21="Recusado",T21=""),"Falta o motivo da recusa","OK")))))))))))</f>
        <v/>
      </c>
    </row>
    <row r="22" customFormat="false" ht="30" hidden="false" customHeight="true" outlineLevel="0" collapsed="false">
      <c r="B22" s="10" t="n">
        <v>16</v>
      </c>
      <c r="C22" s="11"/>
      <c r="D22" s="19"/>
      <c r="E22" s="5"/>
      <c r="F22" s="11"/>
      <c r="G22" s="5"/>
      <c r="H22" s="5"/>
      <c r="I22" s="19"/>
      <c r="J22" s="11"/>
      <c r="K22" s="11"/>
      <c r="L22" s="11"/>
      <c r="M22" s="11"/>
      <c r="N22" s="11"/>
      <c r="O22" s="11"/>
      <c r="P22" s="11"/>
      <c r="Q22" s="20" t="str">
        <f aca="false">IF(AND(C22="",E22="",G22=""),"",IF(COUNTA(J22:P22)&lt;7,"Análise incompleta",IF(COUNTIF(J22:P22,"Não")&gt;0,"Resolver antes de aceitar","Pode aceitar")))</f>
        <v/>
      </c>
      <c r="R22" s="21" t="str">
        <f aca="false">IF(AND(C22="",E22="",G22=""),"",COUNTIF(J22:P22,"Não"))</f>
        <v/>
      </c>
      <c r="S22" s="11"/>
      <c r="T22" s="5"/>
      <c r="U22" s="5"/>
      <c r="V22" s="19"/>
      <c r="W22" s="19"/>
      <c r="X22" s="12" t="str">
        <f aca="false">IF(AND(C22="",E22="",G22=""),"",IF(S22="","Falta a decisão",IF(U22="","Falta quem analisou",IF(S22="Em análise","OK",IF(COUNTA(J22:P22)&lt;7,"Falta responder à análise",IF(V22="","Falta a data da análise",IF(AND(OR(S22="Aceito",S22="Aceito com alteração"),W22=""),"Falta a data da confirmação",IF(AND(OR(S22="Aceito",S22="Aceito com alteração"),V22&gt;W22),"Analisado depois de aceitar",IF(AND(S22="Aceito",COUNTIF(J22:P22,"Não")&gt;0),"Aceito com pendência na análise",IF(AND(S22="Aceito com alteração",T22=""),"Falta o que foi negociado",IF(AND(S22="Recusado",T22=""),"Falta o motivo da recusa","OK")))))))))))</f>
        <v/>
      </c>
    </row>
    <row r="23" customFormat="false" ht="30" hidden="false" customHeight="true" outlineLevel="0" collapsed="false">
      <c r="B23" s="10" t="n">
        <v>17</v>
      </c>
      <c r="C23" s="11"/>
      <c r="D23" s="19"/>
      <c r="E23" s="5"/>
      <c r="F23" s="11"/>
      <c r="G23" s="5"/>
      <c r="H23" s="5"/>
      <c r="I23" s="19"/>
      <c r="J23" s="11"/>
      <c r="K23" s="11"/>
      <c r="L23" s="11"/>
      <c r="M23" s="11"/>
      <c r="N23" s="11"/>
      <c r="O23" s="11"/>
      <c r="P23" s="11"/>
      <c r="Q23" s="20" t="str">
        <f aca="false">IF(AND(C23="",E23="",G23=""),"",IF(COUNTA(J23:P23)&lt;7,"Análise incompleta",IF(COUNTIF(J23:P23,"Não")&gt;0,"Resolver antes de aceitar","Pode aceitar")))</f>
        <v/>
      </c>
      <c r="R23" s="21" t="str">
        <f aca="false">IF(AND(C23="",E23="",G23=""),"",COUNTIF(J23:P23,"Não"))</f>
        <v/>
      </c>
      <c r="S23" s="11"/>
      <c r="T23" s="5"/>
      <c r="U23" s="5"/>
      <c r="V23" s="19"/>
      <c r="W23" s="19"/>
      <c r="X23" s="12" t="str">
        <f aca="false">IF(AND(C23="",E23="",G23=""),"",IF(S23="","Falta a decisão",IF(U23="","Falta quem analisou",IF(S23="Em análise","OK",IF(COUNTA(J23:P23)&lt;7,"Falta responder à análise",IF(V23="","Falta a data da análise",IF(AND(OR(S23="Aceito",S23="Aceito com alteração"),W23=""),"Falta a data da confirmação",IF(AND(OR(S23="Aceito",S23="Aceito com alteração"),V23&gt;W23),"Analisado depois de aceitar",IF(AND(S23="Aceito",COUNTIF(J23:P23,"Não")&gt;0),"Aceito com pendência na análise",IF(AND(S23="Aceito com alteração",T23=""),"Falta o que foi negociado",IF(AND(S23="Recusado",T23=""),"Falta o motivo da recusa","OK")))))))))))</f>
        <v/>
      </c>
    </row>
    <row r="24" customFormat="false" ht="30" hidden="false" customHeight="true" outlineLevel="0" collapsed="false">
      <c r="B24" s="10" t="n">
        <v>18</v>
      </c>
      <c r="C24" s="11"/>
      <c r="D24" s="19"/>
      <c r="E24" s="5"/>
      <c r="F24" s="11"/>
      <c r="G24" s="5"/>
      <c r="H24" s="5"/>
      <c r="I24" s="19"/>
      <c r="J24" s="11"/>
      <c r="K24" s="11"/>
      <c r="L24" s="11"/>
      <c r="M24" s="11"/>
      <c r="N24" s="11"/>
      <c r="O24" s="11"/>
      <c r="P24" s="11"/>
      <c r="Q24" s="20" t="str">
        <f aca="false">IF(AND(C24="",E24="",G24=""),"",IF(COUNTA(J24:P24)&lt;7,"Análise incompleta",IF(COUNTIF(J24:P24,"Não")&gt;0,"Resolver antes de aceitar","Pode aceitar")))</f>
        <v/>
      </c>
      <c r="R24" s="21" t="str">
        <f aca="false">IF(AND(C24="",E24="",G24=""),"",COUNTIF(J24:P24,"Não"))</f>
        <v/>
      </c>
      <c r="S24" s="11"/>
      <c r="T24" s="5"/>
      <c r="U24" s="5"/>
      <c r="V24" s="19"/>
      <c r="W24" s="19"/>
      <c r="X24" s="12" t="str">
        <f aca="false">IF(AND(C24="",E24="",G24=""),"",IF(S24="","Falta a decisão",IF(U24="","Falta quem analisou",IF(S24="Em análise","OK",IF(COUNTA(J24:P24)&lt;7,"Falta responder à análise",IF(V24="","Falta a data da análise",IF(AND(OR(S24="Aceito",S24="Aceito com alteração"),W24=""),"Falta a data da confirmação",IF(AND(OR(S24="Aceito",S24="Aceito com alteração"),V24&gt;W24),"Analisado depois de aceitar",IF(AND(S24="Aceito",COUNTIF(J24:P24,"Não")&gt;0),"Aceito com pendência na análise",IF(AND(S24="Aceito com alteração",T24=""),"Falta o que foi negociado",IF(AND(S24="Recusado",T24=""),"Falta o motivo da recusa","OK")))))))))))</f>
        <v/>
      </c>
    </row>
    <row r="25" customFormat="false" ht="30" hidden="false" customHeight="true" outlineLevel="0" collapsed="false">
      <c r="B25" s="10" t="n">
        <v>19</v>
      </c>
      <c r="C25" s="11"/>
      <c r="D25" s="19"/>
      <c r="E25" s="5"/>
      <c r="F25" s="11"/>
      <c r="G25" s="5"/>
      <c r="H25" s="5"/>
      <c r="I25" s="19"/>
      <c r="J25" s="11"/>
      <c r="K25" s="11"/>
      <c r="L25" s="11"/>
      <c r="M25" s="11"/>
      <c r="N25" s="11"/>
      <c r="O25" s="11"/>
      <c r="P25" s="11"/>
      <c r="Q25" s="20" t="str">
        <f aca="false">IF(AND(C25="",E25="",G25=""),"",IF(COUNTA(J25:P25)&lt;7,"Análise incompleta",IF(COUNTIF(J25:P25,"Não")&gt;0,"Resolver antes de aceitar","Pode aceitar")))</f>
        <v/>
      </c>
      <c r="R25" s="21" t="str">
        <f aca="false">IF(AND(C25="",E25="",G25=""),"",COUNTIF(J25:P25,"Não"))</f>
        <v/>
      </c>
      <c r="S25" s="11"/>
      <c r="T25" s="5"/>
      <c r="U25" s="5"/>
      <c r="V25" s="19"/>
      <c r="W25" s="19"/>
      <c r="X25" s="12" t="str">
        <f aca="false">IF(AND(C25="",E25="",G25=""),"",IF(S25="","Falta a decisão",IF(U25="","Falta quem analisou",IF(S25="Em análise","OK",IF(COUNTA(J25:P25)&lt;7,"Falta responder à análise",IF(V25="","Falta a data da análise",IF(AND(OR(S25="Aceito",S25="Aceito com alteração"),W25=""),"Falta a data da confirmação",IF(AND(OR(S25="Aceito",S25="Aceito com alteração"),V25&gt;W25),"Analisado depois de aceitar",IF(AND(S25="Aceito",COUNTIF(J25:P25,"Não")&gt;0),"Aceito com pendência na análise",IF(AND(S25="Aceito com alteração",T25=""),"Falta o que foi negociado",IF(AND(S25="Recusado",T25=""),"Falta o motivo da recusa","OK")))))))))))</f>
        <v/>
      </c>
    </row>
    <row r="26" customFormat="false" ht="30" hidden="false" customHeight="true" outlineLevel="0" collapsed="false">
      <c r="B26" s="10" t="n">
        <v>20</v>
      </c>
      <c r="C26" s="11"/>
      <c r="D26" s="19"/>
      <c r="E26" s="5"/>
      <c r="F26" s="11"/>
      <c r="G26" s="5"/>
      <c r="H26" s="5"/>
      <c r="I26" s="19"/>
      <c r="J26" s="11"/>
      <c r="K26" s="11"/>
      <c r="L26" s="11"/>
      <c r="M26" s="11"/>
      <c r="N26" s="11"/>
      <c r="O26" s="11"/>
      <c r="P26" s="11"/>
      <c r="Q26" s="20" t="str">
        <f aca="false">IF(AND(C26="",E26="",G26=""),"",IF(COUNTA(J26:P26)&lt;7,"Análise incompleta",IF(COUNTIF(J26:P26,"Não")&gt;0,"Resolver antes de aceitar","Pode aceitar")))</f>
        <v/>
      </c>
      <c r="R26" s="21" t="str">
        <f aca="false">IF(AND(C26="",E26="",G26=""),"",COUNTIF(J26:P26,"Não"))</f>
        <v/>
      </c>
      <c r="S26" s="11"/>
      <c r="T26" s="5"/>
      <c r="U26" s="5"/>
      <c r="V26" s="19"/>
      <c r="W26" s="19"/>
      <c r="X26" s="12" t="str">
        <f aca="false">IF(AND(C26="",E26="",G26=""),"",IF(S26="","Falta a decisão",IF(U26="","Falta quem analisou",IF(S26="Em análise","OK",IF(COUNTA(J26:P26)&lt;7,"Falta responder à análise",IF(V26="","Falta a data da análise",IF(AND(OR(S26="Aceito",S26="Aceito com alteração"),W26=""),"Falta a data da confirmação",IF(AND(OR(S26="Aceito",S26="Aceito com alteração"),V26&gt;W26),"Analisado depois de aceitar",IF(AND(S26="Aceito",COUNTIF(J26:P26,"Não")&gt;0),"Aceito com pendência na análise",IF(AND(S26="Aceito com alteração",T26=""),"Falta o que foi negociado",IF(AND(S26="Recusado",T26=""),"Falta o motivo da recusa","OK")))))))))))</f>
        <v/>
      </c>
    </row>
    <row r="27" customFormat="false" ht="30" hidden="false" customHeight="true" outlineLevel="0" collapsed="false">
      <c r="B27" s="10" t="n">
        <v>21</v>
      </c>
      <c r="C27" s="11"/>
      <c r="D27" s="19"/>
      <c r="E27" s="5"/>
      <c r="F27" s="11"/>
      <c r="G27" s="5"/>
      <c r="H27" s="5"/>
      <c r="I27" s="19"/>
      <c r="J27" s="11"/>
      <c r="K27" s="11"/>
      <c r="L27" s="11"/>
      <c r="M27" s="11"/>
      <c r="N27" s="11"/>
      <c r="O27" s="11"/>
      <c r="P27" s="11"/>
      <c r="Q27" s="20" t="str">
        <f aca="false">IF(AND(C27="",E27="",G27=""),"",IF(COUNTA(J27:P27)&lt;7,"Análise incompleta",IF(COUNTIF(J27:P27,"Não")&gt;0,"Resolver antes de aceitar","Pode aceitar")))</f>
        <v/>
      </c>
      <c r="R27" s="21" t="str">
        <f aca="false">IF(AND(C27="",E27="",G27=""),"",COUNTIF(J27:P27,"Não"))</f>
        <v/>
      </c>
      <c r="S27" s="11"/>
      <c r="T27" s="5"/>
      <c r="U27" s="5"/>
      <c r="V27" s="19"/>
      <c r="W27" s="19"/>
      <c r="X27" s="12" t="str">
        <f aca="false">IF(AND(C27="",E27="",G27=""),"",IF(S27="","Falta a decisão",IF(U27="","Falta quem analisou",IF(S27="Em análise","OK",IF(COUNTA(J27:P27)&lt;7,"Falta responder à análise",IF(V27="","Falta a data da análise",IF(AND(OR(S27="Aceito",S27="Aceito com alteração"),W27=""),"Falta a data da confirmação",IF(AND(OR(S27="Aceito",S27="Aceito com alteração"),V27&gt;W27),"Analisado depois de aceitar",IF(AND(S27="Aceito",COUNTIF(J27:P27,"Não")&gt;0),"Aceito com pendência na análise",IF(AND(S27="Aceito com alteração",T27=""),"Falta o que foi negociado",IF(AND(S27="Recusado",T27=""),"Falta o motivo da recusa","OK")))))))))))</f>
        <v/>
      </c>
    </row>
    <row r="28" customFormat="false" ht="30" hidden="false" customHeight="true" outlineLevel="0" collapsed="false">
      <c r="B28" s="10" t="n">
        <v>22</v>
      </c>
      <c r="C28" s="11"/>
      <c r="D28" s="19"/>
      <c r="E28" s="5"/>
      <c r="F28" s="11"/>
      <c r="G28" s="5"/>
      <c r="H28" s="5"/>
      <c r="I28" s="19"/>
      <c r="J28" s="11"/>
      <c r="K28" s="11"/>
      <c r="L28" s="11"/>
      <c r="M28" s="11"/>
      <c r="N28" s="11"/>
      <c r="O28" s="11"/>
      <c r="P28" s="11"/>
      <c r="Q28" s="20" t="str">
        <f aca="false">IF(AND(C28="",E28="",G28=""),"",IF(COUNTA(J28:P28)&lt;7,"Análise incompleta",IF(COUNTIF(J28:P28,"Não")&gt;0,"Resolver antes de aceitar","Pode aceitar")))</f>
        <v/>
      </c>
      <c r="R28" s="21" t="str">
        <f aca="false">IF(AND(C28="",E28="",G28=""),"",COUNTIF(J28:P28,"Não"))</f>
        <v/>
      </c>
      <c r="S28" s="11"/>
      <c r="T28" s="5"/>
      <c r="U28" s="5"/>
      <c r="V28" s="19"/>
      <c r="W28" s="19"/>
      <c r="X28" s="12" t="str">
        <f aca="false">IF(AND(C28="",E28="",G28=""),"",IF(S28="","Falta a decisão",IF(U28="","Falta quem analisou",IF(S28="Em análise","OK",IF(COUNTA(J28:P28)&lt;7,"Falta responder à análise",IF(V28="","Falta a data da análise",IF(AND(OR(S28="Aceito",S28="Aceito com alteração"),W28=""),"Falta a data da confirmação",IF(AND(OR(S28="Aceito",S28="Aceito com alteração"),V28&gt;W28),"Analisado depois de aceitar",IF(AND(S28="Aceito",COUNTIF(J28:P28,"Não")&gt;0),"Aceito com pendência na análise",IF(AND(S28="Aceito com alteração",T28=""),"Falta o que foi negociado",IF(AND(S28="Recusado",T28=""),"Falta o motivo da recusa","OK")))))))))))</f>
        <v/>
      </c>
    </row>
    <row r="29" customFormat="false" ht="30" hidden="false" customHeight="true" outlineLevel="0" collapsed="false">
      <c r="B29" s="10" t="n">
        <v>23</v>
      </c>
      <c r="C29" s="11"/>
      <c r="D29" s="19"/>
      <c r="E29" s="5"/>
      <c r="F29" s="11"/>
      <c r="G29" s="5"/>
      <c r="H29" s="5"/>
      <c r="I29" s="19"/>
      <c r="J29" s="11"/>
      <c r="K29" s="11"/>
      <c r="L29" s="11"/>
      <c r="M29" s="11"/>
      <c r="N29" s="11"/>
      <c r="O29" s="11"/>
      <c r="P29" s="11"/>
      <c r="Q29" s="20" t="str">
        <f aca="false">IF(AND(C29="",E29="",G29=""),"",IF(COUNTA(J29:P29)&lt;7,"Análise incompleta",IF(COUNTIF(J29:P29,"Não")&gt;0,"Resolver antes de aceitar","Pode aceitar")))</f>
        <v/>
      </c>
      <c r="R29" s="21" t="str">
        <f aca="false">IF(AND(C29="",E29="",G29=""),"",COUNTIF(J29:P29,"Não"))</f>
        <v/>
      </c>
      <c r="S29" s="11"/>
      <c r="T29" s="5"/>
      <c r="U29" s="5"/>
      <c r="V29" s="19"/>
      <c r="W29" s="19"/>
      <c r="X29" s="12" t="str">
        <f aca="false">IF(AND(C29="",E29="",G29=""),"",IF(S29="","Falta a decisão",IF(U29="","Falta quem analisou",IF(S29="Em análise","OK",IF(COUNTA(J29:P29)&lt;7,"Falta responder à análise",IF(V29="","Falta a data da análise",IF(AND(OR(S29="Aceito",S29="Aceito com alteração"),W29=""),"Falta a data da confirmação",IF(AND(OR(S29="Aceito",S29="Aceito com alteração"),V29&gt;W29),"Analisado depois de aceitar",IF(AND(S29="Aceito",COUNTIF(J29:P29,"Não")&gt;0),"Aceito com pendência na análise",IF(AND(S29="Aceito com alteração",T29=""),"Falta o que foi negociado",IF(AND(S29="Recusado",T29=""),"Falta o motivo da recusa","OK")))))))))))</f>
        <v/>
      </c>
    </row>
    <row r="30" customFormat="false" ht="30" hidden="false" customHeight="true" outlineLevel="0" collapsed="false">
      <c r="B30" s="10" t="n">
        <v>24</v>
      </c>
      <c r="C30" s="11"/>
      <c r="D30" s="19"/>
      <c r="E30" s="5"/>
      <c r="F30" s="11"/>
      <c r="G30" s="5"/>
      <c r="H30" s="5"/>
      <c r="I30" s="19"/>
      <c r="J30" s="11"/>
      <c r="K30" s="11"/>
      <c r="L30" s="11"/>
      <c r="M30" s="11"/>
      <c r="N30" s="11"/>
      <c r="O30" s="11"/>
      <c r="P30" s="11"/>
      <c r="Q30" s="20" t="str">
        <f aca="false">IF(AND(C30="",E30="",G30=""),"",IF(COUNTA(J30:P30)&lt;7,"Análise incompleta",IF(COUNTIF(J30:P30,"Não")&gt;0,"Resolver antes de aceitar","Pode aceitar")))</f>
        <v/>
      </c>
      <c r="R30" s="21" t="str">
        <f aca="false">IF(AND(C30="",E30="",G30=""),"",COUNTIF(J30:P30,"Não"))</f>
        <v/>
      </c>
      <c r="S30" s="11"/>
      <c r="T30" s="5"/>
      <c r="U30" s="5"/>
      <c r="V30" s="19"/>
      <c r="W30" s="19"/>
      <c r="X30" s="12" t="str">
        <f aca="false">IF(AND(C30="",E30="",G30=""),"",IF(S30="","Falta a decisão",IF(U30="","Falta quem analisou",IF(S30="Em análise","OK",IF(COUNTA(J30:P30)&lt;7,"Falta responder à análise",IF(V30="","Falta a data da análise",IF(AND(OR(S30="Aceito",S30="Aceito com alteração"),W30=""),"Falta a data da confirmação",IF(AND(OR(S30="Aceito",S30="Aceito com alteração"),V30&gt;W30),"Analisado depois de aceitar",IF(AND(S30="Aceito",COUNTIF(J30:P30,"Não")&gt;0),"Aceito com pendência na análise",IF(AND(S30="Aceito com alteração",T30=""),"Falta o que foi negociado",IF(AND(S30="Recusado",T30=""),"Falta o motivo da recusa","OK")))))))))))</f>
        <v/>
      </c>
    </row>
    <row r="31" customFormat="false" ht="30" hidden="false" customHeight="true" outlineLevel="0" collapsed="false">
      <c r="B31" s="10" t="n">
        <v>25</v>
      </c>
      <c r="C31" s="11"/>
      <c r="D31" s="19"/>
      <c r="E31" s="5"/>
      <c r="F31" s="11"/>
      <c r="G31" s="5"/>
      <c r="H31" s="5"/>
      <c r="I31" s="19"/>
      <c r="J31" s="11"/>
      <c r="K31" s="11"/>
      <c r="L31" s="11"/>
      <c r="M31" s="11"/>
      <c r="N31" s="11"/>
      <c r="O31" s="11"/>
      <c r="P31" s="11"/>
      <c r="Q31" s="20" t="str">
        <f aca="false">IF(AND(C31="",E31="",G31=""),"",IF(COUNTA(J31:P31)&lt;7,"Análise incompleta",IF(COUNTIF(J31:P31,"Não")&gt;0,"Resolver antes de aceitar","Pode aceitar")))</f>
        <v/>
      </c>
      <c r="R31" s="21" t="str">
        <f aca="false">IF(AND(C31="",E31="",G31=""),"",COUNTIF(J31:P31,"Não"))</f>
        <v/>
      </c>
      <c r="S31" s="11"/>
      <c r="T31" s="5"/>
      <c r="U31" s="5"/>
      <c r="V31" s="19"/>
      <c r="W31" s="19"/>
      <c r="X31" s="12" t="str">
        <f aca="false">IF(AND(C31="",E31="",G31=""),"",IF(S31="","Falta a decisão",IF(U31="","Falta quem analisou",IF(S31="Em análise","OK",IF(COUNTA(J31:P31)&lt;7,"Falta responder à análise",IF(V31="","Falta a data da análise",IF(AND(OR(S31="Aceito",S31="Aceito com alteração"),W31=""),"Falta a data da confirmação",IF(AND(OR(S31="Aceito",S31="Aceito com alteração"),V31&gt;W31),"Analisado depois de aceitar",IF(AND(S31="Aceito",COUNTIF(J31:P31,"Não")&gt;0),"Aceito com pendência na análise",IF(AND(S31="Aceito com alteração",T31=""),"Falta o que foi negociado",IF(AND(S31="Recusado",T31=""),"Falta o motivo da recusa","OK")))))))))))</f>
        <v/>
      </c>
    </row>
    <row r="32" customFormat="false" ht="30" hidden="false" customHeight="true" outlineLevel="0" collapsed="false">
      <c r="B32" s="10" t="n">
        <v>26</v>
      </c>
      <c r="C32" s="11"/>
      <c r="D32" s="19"/>
      <c r="E32" s="5"/>
      <c r="F32" s="11"/>
      <c r="G32" s="5"/>
      <c r="H32" s="5"/>
      <c r="I32" s="19"/>
      <c r="J32" s="11"/>
      <c r="K32" s="11"/>
      <c r="L32" s="11"/>
      <c r="M32" s="11"/>
      <c r="N32" s="11"/>
      <c r="O32" s="11"/>
      <c r="P32" s="11"/>
      <c r="Q32" s="20" t="str">
        <f aca="false">IF(AND(C32="",E32="",G32=""),"",IF(COUNTA(J32:P32)&lt;7,"Análise incompleta",IF(COUNTIF(J32:P32,"Não")&gt;0,"Resolver antes de aceitar","Pode aceitar")))</f>
        <v/>
      </c>
      <c r="R32" s="21" t="str">
        <f aca="false">IF(AND(C32="",E32="",G32=""),"",COUNTIF(J32:P32,"Não"))</f>
        <v/>
      </c>
      <c r="S32" s="11"/>
      <c r="T32" s="5"/>
      <c r="U32" s="5"/>
      <c r="V32" s="19"/>
      <c r="W32" s="19"/>
      <c r="X32" s="12" t="str">
        <f aca="false">IF(AND(C32="",E32="",G32=""),"",IF(S32="","Falta a decisão",IF(U32="","Falta quem analisou",IF(S32="Em análise","OK",IF(COUNTA(J32:P32)&lt;7,"Falta responder à análise",IF(V32="","Falta a data da análise",IF(AND(OR(S32="Aceito",S32="Aceito com alteração"),W32=""),"Falta a data da confirmação",IF(AND(OR(S32="Aceito",S32="Aceito com alteração"),V32&gt;W32),"Analisado depois de aceitar",IF(AND(S32="Aceito",COUNTIF(J32:P32,"Não")&gt;0),"Aceito com pendência na análise",IF(AND(S32="Aceito com alteração",T32=""),"Falta o que foi negociado",IF(AND(S32="Recusado",T32=""),"Falta o motivo da recusa","OK")))))))))))</f>
        <v/>
      </c>
    </row>
    <row r="33" customFormat="false" ht="30" hidden="false" customHeight="true" outlineLevel="0" collapsed="false">
      <c r="B33" s="10" t="n">
        <v>27</v>
      </c>
      <c r="C33" s="11"/>
      <c r="D33" s="19"/>
      <c r="E33" s="5"/>
      <c r="F33" s="11"/>
      <c r="G33" s="5"/>
      <c r="H33" s="5"/>
      <c r="I33" s="19"/>
      <c r="J33" s="11"/>
      <c r="K33" s="11"/>
      <c r="L33" s="11"/>
      <c r="M33" s="11"/>
      <c r="N33" s="11"/>
      <c r="O33" s="11"/>
      <c r="P33" s="11"/>
      <c r="Q33" s="20" t="str">
        <f aca="false">IF(AND(C33="",E33="",G33=""),"",IF(COUNTA(J33:P33)&lt;7,"Análise incompleta",IF(COUNTIF(J33:P33,"Não")&gt;0,"Resolver antes de aceitar","Pode aceitar")))</f>
        <v/>
      </c>
      <c r="R33" s="21" t="str">
        <f aca="false">IF(AND(C33="",E33="",G33=""),"",COUNTIF(J33:P33,"Não"))</f>
        <v/>
      </c>
      <c r="S33" s="11"/>
      <c r="T33" s="5"/>
      <c r="U33" s="5"/>
      <c r="V33" s="19"/>
      <c r="W33" s="19"/>
      <c r="X33" s="12" t="str">
        <f aca="false">IF(AND(C33="",E33="",G33=""),"",IF(S33="","Falta a decisão",IF(U33="","Falta quem analisou",IF(S33="Em análise","OK",IF(COUNTA(J33:P33)&lt;7,"Falta responder à análise",IF(V33="","Falta a data da análise",IF(AND(OR(S33="Aceito",S33="Aceito com alteração"),W33=""),"Falta a data da confirmação",IF(AND(OR(S33="Aceito",S33="Aceito com alteração"),V33&gt;W33),"Analisado depois de aceitar",IF(AND(S33="Aceito",COUNTIF(J33:P33,"Não")&gt;0),"Aceito com pendência na análise",IF(AND(S33="Aceito com alteração",T33=""),"Falta o que foi negociado",IF(AND(S33="Recusado",T33=""),"Falta o motivo da recusa","OK")))))))))))</f>
        <v/>
      </c>
    </row>
    <row r="34" customFormat="false" ht="30" hidden="false" customHeight="true" outlineLevel="0" collapsed="false">
      <c r="B34" s="10" t="n">
        <v>28</v>
      </c>
      <c r="C34" s="11"/>
      <c r="D34" s="19"/>
      <c r="E34" s="5"/>
      <c r="F34" s="11"/>
      <c r="G34" s="5"/>
      <c r="H34" s="5"/>
      <c r="I34" s="19"/>
      <c r="J34" s="11"/>
      <c r="K34" s="11"/>
      <c r="L34" s="11"/>
      <c r="M34" s="11"/>
      <c r="N34" s="11"/>
      <c r="O34" s="11"/>
      <c r="P34" s="11"/>
      <c r="Q34" s="20" t="str">
        <f aca="false">IF(AND(C34="",E34="",G34=""),"",IF(COUNTA(J34:P34)&lt;7,"Análise incompleta",IF(COUNTIF(J34:P34,"Não")&gt;0,"Resolver antes de aceitar","Pode aceitar")))</f>
        <v/>
      </c>
      <c r="R34" s="21" t="str">
        <f aca="false">IF(AND(C34="",E34="",G34=""),"",COUNTIF(J34:P34,"Não"))</f>
        <v/>
      </c>
      <c r="S34" s="11"/>
      <c r="T34" s="5"/>
      <c r="U34" s="5"/>
      <c r="V34" s="19"/>
      <c r="W34" s="19"/>
      <c r="X34" s="12" t="str">
        <f aca="false">IF(AND(C34="",E34="",G34=""),"",IF(S34="","Falta a decisão",IF(U34="","Falta quem analisou",IF(S34="Em análise","OK",IF(COUNTA(J34:P34)&lt;7,"Falta responder à análise",IF(V34="","Falta a data da análise",IF(AND(OR(S34="Aceito",S34="Aceito com alteração"),W34=""),"Falta a data da confirmação",IF(AND(OR(S34="Aceito",S34="Aceito com alteração"),V34&gt;W34),"Analisado depois de aceitar",IF(AND(S34="Aceito",COUNTIF(J34:P34,"Não")&gt;0),"Aceito com pendência na análise",IF(AND(S34="Aceito com alteração",T34=""),"Falta o que foi negociado",IF(AND(S34="Recusado",T34=""),"Falta o motivo da recusa","OK")))))))))))</f>
        <v/>
      </c>
    </row>
    <row r="35" customFormat="false" ht="30" hidden="false" customHeight="true" outlineLevel="0" collapsed="false">
      <c r="B35" s="10" t="n">
        <v>29</v>
      </c>
      <c r="C35" s="11"/>
      <c r="D35" s="19"/>
      <c r="E35" s="5"/>
      <c r="F35" s="11"/>
      <c r="G35" s="5"/>
      <c r="H35" s="5"/>
      <c r="I35" s="19"/>
      <c r="J35" s="11"/>
      <c r="K35" s="11"/>
      <c r="L35" s="11"/>
      <c r="M35" s="11"/>
      <c r="N35" s="11"/>
      <c r="O35" s="11"/>
      <c r="P35" s="11"/>
      <c r="Q35" s="20" t="str">
        <f aca="false">IF(AND(C35="",E35="",G35=""),"",IF(COUNTA(J35:P35)&lt;7,"Análise incompleta",IF(COUNTIF(J35:P35,"Não")&gt;0,"Resolver antes de aceitar","Pode aceitar")))</f>
        <v/>
      </c>
      <c r="R35" s="21" t="str">
        <f aca="false">IF(AND(C35="",E35="",G35=""),"",COUNTIF(J35:P35,"Não"))</f>
        <v/>
      </c>
      <c r="S35" s="11"/>
      <c r="T35" s="5"/>
      <c r="U35" s="5"/>
      <c r="V35" s="19"/>
      <c r="W35" s="19"/>
      <c r="X35" s="12" t="str">
        <f aca="false">IF(AND(C35="",E35="",G35=""),"",IF(S35="","Falta a decisão",IF(U35="","Falta quem analisou",IF(S35="Em análise","OK",IF(COUNTA(J35:P35)&lt;7,"Falta responder à análise",IF(V35="","Falta a data da análise",IF(AND(OR(S35="Aceito",S35="Aceito com alteração"),W35=""),"Falta a data da confirmação",IF(AND(OR(S35="Aceito",S35="Aceito com alteração"),V35&gt;W35),"Analisado depois de aceitar",IF(AND(S35="Aceito",COUNTIF(J35:P35,"Não")&gt;0),"Aceito com pendência na análise",IF(AND(S35="Aceito com alteração",T35=""),"Falta o que foi negociado",IF(AND(S35="Recusado",T35=""),"Falta o motivo da recusa","OK")))))))))))</f>
        <v/>
      </c>
    </row>
    <row r="36" customFormat="false" ht="30" hidden="false" customHeight="true" outlineLevel="0" collapsed="false">
      <c r="B36" s="10" t="n">
        <v>30</v>
      </c>
      <c r="C36" s="11"/>
      <c r="D36" s="19"/>
      <c r="E36" s="5"/>
      <c r="F36" s="11"/>
      <c r="G36" s="5"/>
      <c r="H36" s="5"/>
      <c r="I36" s="19"/>
      <c r="J36" s="11"/>
      <c r="K36" s="11"/>
      <c r="L36" s="11"/>
      <c r="M36" s="11"/>
      <c r="N36" s="11"/>
      <c r="O36" s="11"/>
      <c r="P36" s="11"/>
      <c r="Q36" s="20" t="str">
        <f aca="false">IF(AND(C36="",E36="",G36=""),"",IF(COUNTA(J36:P36)&lt;7,"Análise incompleta",IF(COUNTIF(J36:P36,"Não")&gt;0,"Resolver antes de aceitar","Pode aceitar")))</f>
        <v/>
      </c>
      <c r="R36" s="21" t="str">
        <f aca="false">IF(AND(C36="",E36="",G36=""),"",COUNTIF(J36:P36,"Não"))</f>
        <v/>
      </c>
      <c r="S36" s="11"/>
      <c r="T36" s="5"/>
      <c r="U36" s="5"/>
      <c r="V36" s="19"/>
      <c r="W36" s="19"/>
      <c r="X36" s="12" t="str">
        <f aca="false">IF(AND(C36="",E36="",G36=""),"",IF(S36="","Falta a decisão",IF(U36="","Falta quem analisou",IF(S36="Em análise","OK",IF(COUNTA(J36:P36)&lt;7,"Falta responder à análise",IF(V36="","Falta a data da análise",IF(AND(OR(S36="Aceito",S36="Aceito com alteração"),W36=""),"Falta a data da confirmação",IF(AND(OR(S36="Aceito",S36="Aceito com alteração"),V36&gt;W36),"Analisado depois de aceitar",IF(AND(S36="Aceito",COUNTIF(J36:P36,"Não")&gt;0),"Aceito com pendência na análise",IF(AND(S36="Aceito com alteração",T36=""),"Falta o que foi negociado",IF(AND(S36="Recusado",T36=""),"Falta o motivo da recusa","OK")))))))))))</f>
        <v/>
      </c>
    </row>
    <row r="37" customFormat="false" ht="30" hidden="false" customHeight="true" outlineLevel="0" collapsed="false">
      <c r="B37" s="10" t="n">
        <v>31</v>
      </c>
      <c r="C37" s="11"/>
      <c r="D37" s="19"/>
      <c r="E37" s="5"/>
      <c r="F37" s="11"/>
      <c r="G37" s="5"/>
      <c r="H37" s="5"/>
      <c r="I37" s="19"/>
      <c r="J37" s="11"/>
      <c r="K37" s="11"/>
      <c r="L37" s="11"/>
      <c r="M37" s="11"/>
      <c r="N37" s="11"/>
      <c r="O37" s="11"/>
      <c r="P37" s="11"/>
      <c r="Q37" s="20" t="str">
        <f aca="false">IF(AND(C37="",E37="",G37=""),"",IF(COUNTA(J37:P37)&lt;7,"Análise incompleta",IF(COUNTIF(J37:P37,"Não")&gt;0,"Resolver antes de aceitar","Pode aceitar")))</f>
        <v/>
      </c>
      <c r="R37" s="21" t="str">
        <f aca="false">IF(AND(C37="",E37="",G37=""),"",COUNTIF(J37:P37,"Não"))</f>
        <v/>
      </c>
      <c r="S37" s="11"/>
      <c r="T37" s="5"/>
      <c r="U37" s="5"/>
      <c r="V37" s="19"/>
      <c r="W37" s="19"/>
      <c r="X37" s="12" t="str">
        <f aca="false">IF(AND(C37="",E37="",G37=""),"",IF(S37="","Falta a decisão",IF(U37="","Falta quem analisou",IF(S37="Em análise","OK",IF(COUNTA(J37:P37)&lt;7,"Falta responder à análise",IF(V37="","Falta a data da análise",IF(AND(OR(S37="Aceito",S37="Aceito com alteração"),W37=""),"Falta a data da confirmação",IF(AND(OR(S37="Aceito",S37="Aceito com alteração"),V37&gt;W37),"Analisado depois de aceitar",IF(AND(S37="Aceito",COUNTIF(J37:P37,"Não")&gt;0),"Aceito com pendência na análise",IF(AND(S37="Aceito com alteração",T37=""),"Falta o que foi negociado",IF(AND(S37="Recusado",T37=""),"Falta o motivo da recusa","OK")))))))))))</f>
        <v/>
      </c>
    </row>
    <row r="38" customFormat="false" ht="30" hidden="false" customHeight="true" outlineLevel="0" collapsed="false">
      <c r="B38" s="10" t="n">
        <v>32</v>
      </c>
      <c r="C38" s="11"/>
      <c r="D38" s="19"/>
      <c r="E38" s="5"/>
      <c r="F38" s="11"/>
      <c r="G38" s="5"/>
      <c r="H38" s="5"/>
      <c r="I38" s="19"/>
      <c r="J38" s="11"/>
      <c r="K38" s="11"/>
      <c r="L38" s="11"/>
      <c r="M38" s="11"/>
      <c r="N38" s="11"/>
      <c r="O38" s="11"/>
      <c r="P38" s="11"/>
      <c r="Q38" s="20" t="str">
        <f aca="false">IF(AND(C38="",E38="",G38=""),"",IF(COUNTA(J38:P38)&lt;7,"Análise incompleta",IF(COUNTIF(J38:P38,"Não")&gt;0,"Resolver antes de aceitar","Pode aceitar")))</f>
        <v/>
      </c>
      <c r="R38" s="21" t="str">
        <f aca="false">IF(AND(C38="",E38="",G38=""),"",COUNTIF(J38:P38,"Não"))</f>
        <v/>
      </c>
      <c r="S38" s="11"/>
      <c r="T38" s="5"/>
      <c r="U38" s="5"/>
      <c r="V38" s="19"/>
      <c r="W38" s="19"/>
      <c r="X38" s="12" t="str">
        <f aca="false">IF(AND(C38="",E38="",G38=""),"",IF(S38="","Falta a decisão",IF(U38="","Falta quem analisou",IF(S38="Em análise","OK",IF(COUNTA(J38:P38)&lt;7,"Falta responder à análise",IF(V38="","Falta a data da análise",IF(AND(OR(S38="Aceito",S38="Aceito com alteração"),W38=""),"Falta a data da confirmação",IF(AND(OR(S38="Aceito",S38="Aceito com alteração"),V38&gt;W38),"Analisado depois de aceitar",IF(AND(S38="Aceito",COUNTIF(J38:P38,"Não")&gt;0),"Aceito com pendência na análise",IF(AND(S38="Aceito com alteração",T38=""),"Falta o que foi negociado",IF(AND(S38="Recusado",T38=""),"Falta o motivo da recusa","OK")))))))))))</f>
        <v/>
      </c>
    </row>
    <row r="39" customFormat="false" ht="30" hidden="false" customHeight="true" outlineLevel="0" collapsed="false">
      <c r="B39" s="10" t="n">
        <v>33</v>
      </c>
      <c r="C39" s="11"/>
      <c r="D39" s="19"/>
      <c r="E39" s="5"/>
      <c r="F39" s="11"/>
      <c r="G39" s="5"/>
      <c r="H39" s="5"/>
      <c r="I39" s="19"/>
      <c r="J39" s="11"/>
      <c r="K39" s="11"/>
      <c r="L39" s="11"/>
      <c r="M39" s="11"/>
      <c r="N39" s="11"/>
      <c r="O39" s="11"/>
      <c r="P39" s="11"/>
      <c r="Q39" s="20" t="str">
        <f aca="false">IF(AND(C39="",E39="",G39=""),"",IF(COUNTA(J39:P39)&lt;7,"Análise incompleta",IF(COUNTIF(J39:P39,"Não")&gt;0,"Resolver antes de aceitar","Pode aceitar")))</f>
        <v/>
      </c>
      <c r="R39" s="21" t="str">
        <f aca="false">IF(AND(C39="",E39="",G39=""),"",COUNTIF(J39:P39,"Não"))</f>
        <v/>
      </c>
      <c r="S39" s="11"/>
      <c r="T39" s="5"/>
      <c r="U39" s="5"/>
      <c r="V39" s="19"/>
      <c r="W39" s="19"/>
      <c r="X39" s="12" t="str">
        <f aca="false">IF(AND(C39="",E39="",G39=""),"",IF(S39="","Falta a decisão",IF(U39="","Falta quem analisou",IF(S39="Em análise","OK",IF(COUNTA(J39:P39)&lt;7,"Falta responder à análise",IF(V39="","Falta a data da análise",IF(AND(OR(S39="Aceito",S39="Aceito com alteração"),W39=""),"Falta a data da confirmação",IF(AND(OR(S39="Aceito",S39="Aceito com alteração"),V39&gt;W39),"Analisado depois de aceitar",IF(AND(S39="Aceito",COUNTIF(J39:P39,"Não")&gt;0),"Aceito com pendência na análise",IF(AND(S39="Aceito com alteração",T39=""),"Falta o que foi negociado",IF(AND(S39="Recusado",T39=""),"Falta o motivo da recusa","OK")))))))))))</f>
        <v/>
      </c>
    </row>
    <row r="40" customFormat="false" ht="30" hidden="false" customHeight="true" outlineLevel="0" collapsed="false">
      <c r="B40" s="10" t="n">
        <v>34</v>
      </c>
      <c r="C40" s="11"/>
      <c r="D40" s="19"/>
      <c r="E40" s="5"/>
      <c r="F40" s="11"/>
      <c r="G40" s="5"/>
      <c r="H40" s="5"/>
      <c r="I40" s="19"/>
      <c r="J40" s="11"/>
      <c r="K40" s="11"/>
      <c r="L40" s="11"/>
      <c r="M40" s="11"/>
      <c r="N40" s="11"/>
      <c r="O40" s="11"/>
      <c r="P40" s="11"/>
      <c r="Q40" s="20" t="str">
        <f aca="false">IF(AND(C40="",E40="",G40=""),"",IF(COUNTA(J40:P40)&lt;7,"Análise incompleta",IF(COUNTIF(J40:P40,"Não")&gt;0,"Resolver antes de aceitar","Pode aceitar")))</f>
        <v/>
      </c>
      <c r="R40" s="21" t="str">
        <f aca="false">IF(AND(C40="",E40="",G40=""),"",COUNTIF(J40:P40,"Não"))</f>
        <v/>
      </c>
      <c r="S40" s="11"/>
      <c r="T40" s="5"/>
      <c r="U40" s="5"/>
      <c r="V40" s="19"/>
      <c r="W40" s="19"/>
      <c r="X40" s="12" t="str">
        <f aca="false">IF(AND(C40="",E40="",G40=""),"",IF(S40="","Falta a decisão",IF(U40="","Falta quem analisou",IF(S40="Em análise","OK",IF(COUNTA(J40:P40)&lt;7,"Falta responder à análise",IF(V40="","Falta a data da análise",IF(AND(OR(S40="Aceito",S40="Aceito com alteração"),W40=""),"Falta a data da confirmação",IF(AND(OR(S40="Aceito",S40="Aceito com alteração"),V40&gt;W40),"Analisado depois de aceitar",IF(AND(S40="Aceito",COUNTIF(J40:P40,"Não")&gt;0),"Aceito com pendência na análise",IF(AND(S40="Aceito com alteração",T40=""),"Falta o que foi negociado",IF(AND(S40="Recusado",T40=""),"Falta o motivo da recusa","OK")))))))))))</f>
        <v/>
      </c>
    </row>
    <row r="41" customFormat="false" ht="30" hidden="false" customHeight="true" outlineLevel="0" collapsed="false">
      <c r="B41" s="10" t="n">
        <v>35</v>
      </c>
      <c r="C41" s="11"/>
      <c r="D41" s="19"/>
      <c r="E41" s="5"/>
      <c r="F41" s="11"/>
      <c r="G41" s="5"/>
      <c r="H41" s="5"/>
      <c r="I41" s="19"/>
      <c r="J41" s="11"/>
      <c r="K41" s="11"/>
      <c r="L41" s="11"/>
      <c r="M41" s="11"/>
      <c r="N41" s="11"/>
      <c r="O41" s="11"/>
      <c r="P41" s="11"/>
      <c r="Q41" s="20" t="str">
        <f aca="false">IF(AND(C41="",E41="",G41=""),"",IF(COUNTA(J41:P41)&lt;7,"Análise incompleta",IF(COUNTIF(J41:P41,"Não")&gt;0,"Resolver antes de aceitar","Pode aceitar")))</f>
        <v/>
      </c>
      <c r="R41" s="21" t="str">
        <f aca="false">IF(AND(C41="",E41="",G41=""),"",COUNTIF(J41:P41,"Não"))</f>
        <v/>
      </c>
      <c r="S41" s="11"/>
      <c r="T41" s="5"/>
      <c r="U41" s="5"/>
      <c r="V41" s="19"/>
      <c r="W41" s="19"/>
      <c r="X41" s="12" t="str">
        <f aca="false">IF(AND(C41="",E41="",G41=""),"",IF(S41="","Falta a decisão",IF(U41="","Falta quem analisou",IF(S41="Em análise","OK",IF(COUNTA(J41:P41)&lt;7,"Falta responder à análise",IF(V41="","Falta a data da análise",IF(AND(OR(S41="Aceito",S41="Aceito com alteração"),W41=""),"Falta a data da confirmação",IF(AND(OR(S41="Aceito",S41="Aceito com alteração"),V41&gt;W41),"Analisado depois de aceitar",IF(AND(S41="Aceito",COUNTIF(J41:P41,"Não")&gt;0),"Aceito com pendência na análise",IF(AND(S41="Aceito com alteração",T41=""),"Falta o que foi negociado",IF(AND(S41="Recusado",T41=""),"Falta o motivo da recusa","OK")))))))))))</f>
        <v/>
      </c>
    </row>
    <row r="42" customFormat="false" ht="30" hidden="false" customHeight="true" outlineLevel="0" collapsed="false">
      <c r="B42" s="10" t="n">
        <v>36</v>
      </c>
      <c r="C42" s="11"/>
      <c r="D42" s="19"/>
      <c r="E42" s="5"/>
      <c r="F42" s="11"/>
      <c r="G42" s="5"/>
      <c r="H42" s="5"/>
      <c r="I42" s="19"/>
      <c r="J42" s="11"/>
      <c r="K42" s="11"/>
      <c r="L42" s="11"/>
      <c r="M42" s="11"/>
      <c r="N42" s="11"/>
      <c r="O42" s="11"/>
      <c r="P42" s="11"/>
      <c r="Q42" s="20" t="str">
        <f aca="false">IF(AND(C42="",E42="",G42=""),"",IF(COUNTA(J42:P42)&lt;7,"Análise incompleta",IF(COUNTIF(J42:P42,"Não")&gt;0,"Resolver antes de aceitar","Pode aceitar")))</f>
        <v/>
      </c>
      <c r="R42" s="21" t="str">
        <f aca="false">IF(AND(C42="",E42="",G42=""),"",COUNTIF(J42:P42,"Não"))</f>
        <v/>
      </c>
      <c r="S42" s="11"/>
      <c r="T42" s="5"/>
      <c r="U42" s="5"/>
      <c r="V42" s="19"/>
      <c r="W42" s="19"/>
      <c r="X42" s="12" t="str">
        <f aca="false">IF(AND(C42="",E42="",G42=""),"",IF(S42="","Falta a decisão",IF(U42="","Falta quem analisou",IF(S42="Em análise","OK",IF(COUNTA(J42:P42)&lt;7,"Falta responder à análise",IF(V42="","Falta a data da análise",IF(AND(OR(S42="Aceito",S42="Aceito com alteração"),W42=""),"Falta a data da confirmação",IF(AND(OR(S42="Aceito",S42="Aceito com alteração"),V42&gt;W42),"Analisado depois de aceitar",IF(AND(S42="Aceito",COUNTIF(J42:P42,"Não")&gt;0),"Aceito com pendência na análise",IF(AND(S42="Aceito com alteração",T42=""),"Falta o que foi negociado",IF(AND(S42="Recusado",T42=""),"Falta o motivo da recusa","OK")))))))))))</f>
        <v/>
      </c>
    </row>
    <row r="43" customFormat="false" ht="30" hidden="false" customHeight="true" outlineLevel="0" collapsed="false">
      <c r="B43" s="10" t="n">
        <v>37</v>
      </c>
      <c r="C43" s="11"/>
      <c r="D43" s="19"/>
      <c r="E43" s="5"/>
      <c r="F43" s="11"/>
      <c r="G43" s="5"/>
      <c r="H43" s="5"/>
      <c r="I43" s="19"/>
      <c r="J43" s="11"/>
      <c r="K43" s="11"/>
      <c r="L43" s="11"/>
      <c r="M43" s="11"/>
      <c r="N43" s="11"/>
      <c r="O43" s="11"/>
      <c r="P43" s="11"/>
      <c r="Q43" s="20" t="str">
        <f aca="false">IF(AND(C43="",E43="",G43=""),"",IF(COUNTA(J43:P43)&lt;7,"Análise incompleta",IF(COUNTIF(J43:P43,"Não")&gt;0,"Resolver antes de aceitar","Pode aceitar")))</f>
        <v/>
      </c>
      <c r="R43" s="21" t="str">
        <f aca="false">IF(AND(C43="",E43="",G43=""),"",COUNTIF(J43:P43,"Não"))</f>
        <v/>
      </c>
      <c r="S43" s="11"/>
      <c r="T43" s="5"/>
      <c r="U43" s="5"/>
      <c r="V43" s="19"/>
      <c r="W43" s="19"/>
      <c r="X43" s="12" t="str">
        <f aca="false">IF(AND(C43="",E43="",G43=""),"",IF(S43="","Falta a decisão",IF(U43="","Falta quem analisou",IF(S43="Em análise","OK",IF(COUNTA(J43:P43)&lt;7,"Falta responder à análise",IF(V43="","Falta a data da análise",IF(AND(OR(S43="Aceito",S43="Aceito com alteração"),W43=""),"Falta a data da confirmação",IF(AND(OR(S43="Aceito",S43="Aceito com alteração"),V43&gt;W43),"Analisado depois de aceitar",IF(AND(S43="Aceito",COUNTIF(J43:P43,"Não")&gt;0),"Aceito com pendência na análise",IF(AND(S43="Aceito com alteração",T43=""),"Falta o que foi negociado",IF(AND(S43="Recusado",T43=""),"Falta o motivo da recusa","OK")))))))))))</f>
        <v/>
      </c>
    </row>
    <row r="44" customFormat="false" ht="30" hidden="false" customHeight="true" outlineLevel="0" collapsed="false">
      <c r="B44" s="10" t="n">
        <v>38</v>
      </c>
      <c r="C44" s="11"/>
      <c r="D44" s="19"/>
      <c r="E44" s="5"/>
      <c r="F44" s="11"/>
      <c r="G44" s="5"/>
      <c r="H44" s="5"/>
      <c r="I44" s="19"/>
      <c r="J44" s="11"/>
      <c r="K44" s="11"/>
      <c r="L44" s="11"/>
      <c r="M44" s="11"/>
      <c r="N44" s="11"/>
      <c r="O44" s="11"/>
      <c r="P44" s="11"/>
      <c r="Q44" s="20" t="str">
        <f aca="false">IF(AND(C44="",E44="",G44=""),"",IF(COUNTA(J44:P44)&lt;7,"Análise incompleta",IF(COUNTIF(J44:P44,"Não")&gt;0,"Resolver antes de aceitar","Pode aceitar")))</f>
        <v/>
      </c>
      <c r="R44" s="21" t="str">
        <f aca="false">IF(AND(C44="",E44="",G44=""),"",COUNTIF(J44:P44,"Não"))</f>
        <v/>
      </c>
      <c r="S44" s="11"/>
      <c r="T44" s="5"/>
      <c r="U44" s="5"/>
      <c r="V44" s="19"/>
      <c r="W44" s="19"/>
      <c r="X44" s="12" t="str">
        <f aca="false">IF(AND(C44="",E44="",G44=""),"",IF(S44="","Falta a decisão",IF(U44="","Falta quem analisou",IF(S44="Em análise","OK",IF(COUNTA(J44:P44)&lt;7,"Falta responder à análise",IF(V44="","Falta a data da análise",IF(AND(OR(S44="Aceito",S44="Aceito com alteração"),W44=""),"Falta a data da confirmação",IF(AND(OR(S44="Aceito",S44="Aceito com alteração"),V44&gt;W44),"Analisado depois de aceitar",IF(AND(S44="Aceito",COUNTIF(J44:P44,"Não")&gt;0),"Aceito com pendência na análise",IF(AND(S44="Aceito com alteração",T44=""),"Falta o que foi negociado",IF(AND(S44="Recusado",T44=""),"Falta o motivo da recusa","OK")))))))))))</f>
        <v/>
      </c>
    </row>
    <row r="45" customFormat="false" ht="30" hidden="false" customHeight="true" outlineLevel="0" collapsed="false">
      <c r="B45" s="10" t="n">
        <v>39</v>
      </c>
      <c r="C45" s="11"/>
      <c r="D45" s="19"/>
      <c r="E45" s="5"/>
      <c r="F45" s="11"/>
      <c r="G45" s="5"/>
      <c r="H45" s="5"/>
      <c r="I45" s="19"/>
      <c r="J45" s="11"/>
      <c r="K45" s="11"/>
      <c r="L45" s="11"/>
      <c r="M45" s="11"/>
      <c r="N45" s="11"/>
      <c r="O45" s="11"/>
      <c r="P45" s="11"/>
      <c r="Q45" s="20" t="str">
        <f aca="false">IF(AND(C45="",E45="",G45=""),"",IF(COUNTA(J45:P45)&lt;7,"Análise incompleta",IF(COUNTIF(J45:P45,"Não")&gt;0,"Resolver antes de aceitar","Pode aceitar")))</f>
        <v/>
      </c>
      <c r="R45" s="21" t="str">
        <f aca="false">IF(AND(C45="",E45="",G45=""),"",COUNTIF(J45:P45,"Não"))</f>
        <v/>
      </c>
      <c r="S45" s="11"/>
      <c r="T45" s="5"/>
      <c r="U45" s="5"/>
      <c r="V45" s="19"/>
      <c r="W45" s="19"/>
      <c r="X45" s="12" t="str">
        <f aca="false">IF(AND(C45="",E45="",G45=""),"",IF(S45="","Falta a decisão",IF(U45="","Falta quem analisou",IF(S45="Em análise","OK",IF(COUNTA(J45:P45)&lt;7,"Falta responder à análise",IF(V45="","Falta a data da análise",IF(AND(OR(S45="Aceito",S45="Aceito com alteração"),W45=""),"Falta a data da confirmação",IF(AND(OR(S45="Aceito",S45="Aceito com alteração"),V45&gt;W45),"Analisado depois de aceitar",IF(AND(S45="Aceito",COUNTIF(J45:P45,"Não")&gt;0),"Aceito com pendência na análise",IF(AND(S45="Aceito com alteração",T45=""),"Falta o que foi negociado",IF(AND(S45="Recusado",T45=""),"Falta o motivo da recusa","OK")))))))))))</f>
        <v/>
      </c>
    </row>
    <row r="46" customFormat="false" ht="30" hidden="false" customHeight="true" outlineLevel="0" collapsed="false">
      <c r="B46" s="10" t="n">
        <v>40</v>
      </c>
      <c r="C46" s="11"/>
      <c r="D46" s="19"/>
      <c r="E46" s="5"/>
      <c r="F46" s="11"/>
      <c r="G46" s="5"/>
      <c r="H46" s="5"/>
      <c r="I46" s="19"/>
      <c r="J46" s="11"/>
      <c r="K46" s="11"/>
      <c r="L46" s="11"/>
      <c r="M46" s="11"/>
      <c r="N46" s="11"/>
      <c r="O46" s="11"/>
      <c r="P46" s="11"/>
      <c r="Q46" s="20" t="str">
        <f aca="false">IF(AND(C46="",E46="",G46=""),"",IF(COUNTA(J46:P46)&lt;7,"Análise incompleta",IF(COUNTIF(J46:P46,"Não")&gt;0,"Resolver antes de aceitar","Pode aceitar")))</f>
        <v/>
      </c>
      <c r="R46" s="21" t="str">
        <f aca="false">IF(AND(C46="",E46="",G46=""),"",COUNTIF(J46:P46,"Não"))</f>
        <v/>
      </c>
      <c r="S46" s="11"/>
      <c r="T46" s="5"/>
      <c r="U46" s="5"/>
      <c r="V46" s="19"/>
      <c r="W46" s="19"/>
      <c r="X46" s="12" t="str">
        <f aca="false">IF(AND(C46="",E46="",G46=""),"",IF(S46="","Falta a decisão",IF(U46="","Falta quem analisou",IF(S46="Em análise","OK",IF(COUNTA(J46:P46)&lt;7,"Falta responder à análise",IF(V46="","Falta a data da análise",IF(AND(OR(S46="Aceito",S46="Aceito com alteração"),W46=""),"Falta a data da confirmação",IF(AND(OR(S46="Aceito",S46="Aceito com alteração"),V46&gt;W46),"Analisado depois de aceitar",IF(AND(S46="Aceito",COUNTIF(J46:P46,"Não")&gt;0),"Aceito com pendência na análise",IF(AND(S46="Aceito com alteração",T46=""),"Falta o que foi negociado",IF(AND(S46="Recusado",T46=""),"Falta o motivo da recusa","OK")))))))))))</f>
        <v/>
      </c>
    </row>
    <row r="47" customFormat="false" ht="30" hidden="false" customHeight="true" outlineLevel="0" collapsed="false">
      <c r="B47" s="10" t="n">
        <v>41</v>
      </c>
      <c r="C47" s="11"/>
      <c r="D47" s="19"/>
      <c r="E47" s="5"/>
      <c r="F47" s="11"/>
      <c r="G47" s="5"/>
      <c r="H47" s="5"/>
      <c r="I47" s="19"/>
      <c r="J47" s="11"/>
      <c r="K47" s="11"/>
      <c r="L47" s="11"/>
      <c r="M47" s="11"/>
      <c r="N47" s="11"/>
      <c r="O47" s="11"/>
      <c r="P47" s="11"/>
      <c r="Q47" s="20" t="str">
        <f aca="false">IF(AND(C47="",E47="",G47=""),"",IF(COUNTA(J47:P47)&lt;7,"Análise incompleta",IF(COUNTIF(J47:P47,"Não")&gt;0,"Resolver antes de aceitar","Pode aceitar")))</f>
        <v/>
      </c>
      <c r="R47" s="21" t="str">
        <f aca="false">IF(AND(C47="",E47="",G47=""),"",COUNTIF(J47:P47,"Não"))</f>
        <v/>
      </c>
      <c r="S47" s="11"/>
      <c r="T47" s="5"/>
      <c r="U47" s="5"/>
      <c r="V47" s="19"/>
      <c r="W47" s="19"/>
      <c r="X47" s="12" t="str">
        <f aca="false">IF(AND(C47="",E47="",G47=""),"",IF(S47="","Falta a decisão",IF(U47="","Falta quem analisou",IF(S47="Em análise","OK",IF(COUNTA(J47:P47)&lt;7,"Falta responder à análise",IF(V47="","Falta a data da análise",IF(AND(OR(S47="Aceito",S47="Aceito com alteração"),W47=""),"Falta a data da confirmação",IF(AND(OR(S47="Aceito",S47="Aceito com alteração"),V47&gt;W47),"Analisado depois de aceitar",IF(AND(S47="Aceito",COUNTIF(J47:P47,"Não")&gt;0),"Aceito com pendência na análise",IF(AND(S47="Aceito com alteração",T47=""),"Falta o que foi negociado",IF(AND(S47="Recusado",T47=""),"Falta o motivo da recusa","OK")))))))))))</f>
        <v/>
      </c>
    </row>
    <row r="48" customFormat="false" ht="30" hidden="false" customHeight="true" outlineLevel="0" collapsed="false">
      <c r="B48" s="10" t="n">
        <v>42</v>
      </c>
      <c r="C48" s="11"/>
      <c r="D48" s="19"/>
      <c r="E48" s="5"/>
      <c r="F48" s="11"/>
      <c r="G48" s="5"/>
      <c r="H48" s="5"/>
      <c r="I48" s="19"/>
      <c r="J48" s="11"/>
      <c r="K48" s="11"/>
      <c r="L48" s="11"/>
      <c r="M48" s="11"/>
      <c r="N48" s="11"/>
      <c r="O48" s="11"/>
      <c r="P48" s="11"/>
      <c r="Q48" s="20" t="str">
        <f aca="false">IF(AND(C48="",E48="",G48=""),"",IF(COUNTA(J48:P48)&lt;7,"Análise incompleta",IF(COUNTIF(J48:P48,"Não")&gt;0,"Resolver antes de aceitar","Pode aceitar")))</f>
        <v/>
      </c>
      <c r="R48" s="21" t="str">
        <f aca="false">IF(AND(C48="",E48="",G48=""),"",COUNTIF(J48:P48,"Não"))</f>
        <v/>
      </c>
      <c r="S48" s="11"/>
      <c r="T48" s="5"/>
      <c r="U48" s="5"/>
      <c r="V48" s="19"/>
      <c r="W48" s="19"/>
      <c r="X48" s="12" t="str">
        <f aca="false">IF(AND(C48="",E48="",G48=""),"",IF(S48="","Falta a decisão",IF(U48="","Falta quem analisou",IF(S48="Em análise","OK",IF(COUNTA(J48:P48)&lt;7,"Falta responder à análise",IF(V48="","Falta a data da análise",IF(AND(OR(S48="Aceito",S48="Aceito com alteração"),W48=""),"Falta a data da confirmação",IF(AND(OR(S48="Aceito",S48="Aceito com alteração"),V48&gt;W48),"Analisado depois de aceitar",IF(AND(S48="Aceito",COUNTIF(J48:P48,"Não")&gt;0),"Aceito com pendência na análise",IF(AND(S48="Aceito com alteração",T48=""),"Falta o que foi negociado",IF(AND(S48="Recusado",T48=""),"Falta o motivo da recusa","OK")))))))))))</f>
        <v/>
      </c>
    </row>
    <row r="49" customFormat="false" ht="30" hidden="false" customHeight="true" outlineLevel="0" collapsed="false">
      <c r="B49" s="10" t="n">
        <v>43</v>
      </c>
      <c r="C49" s="11"/>
      <c r="D49" s="19"/>
      <c r="E49" s="5"/>
      <c r="F49" s="11"/>
      <c r="G49" s="5"/>
      <c r="H49" s="5"/>
      <c r="I49" s="19"/>
      <c r="J49" s="11"/>
      <c r="K49" s="11"/>
      <c r="L49" s="11"/>
      <c r="M49" s="11"/>
      <c r="N49" s="11"/>
      <c r="O49" s="11"/>
      <c r="P49" s="11"/>
      <c r="Q49" s="20" t="str">
        <f aca="false">IF(AND(C49="",E49="",G49=""),"",IF(COUNTA(J49:P49)&lt;7,"Análise incompleta",IF(COUNTIF(J49:P49,"Não")&gt;0,"Resolver antes de aceitar","Pode aceitar")))</f>
        <v/>
      </c>
      <c r="R49" s="21" t="str">
        <f aca="false">IF(AND(C49="",E49="",G49=""),"",COUNTIF(J49:P49,"Não"))</f>
        <v/>
      </c>
      <c r="S49" s="11"/>
      <c r="T49" s="5"/>
      <c r="U49" s="5"/>
      <c r="V49" s="19"/>
      <c r="W49" s="19"/>
      <c r="X49" s="12" t="str">
        <f aca="false">IF(AND(C49="",E49="",G49=""),"",IF(S49="","Falta a decisão",IF(U49="","Falta quem analisou",IF(S49="Em análise","OK",IF(COUNTA(J49:P49)&lt;7,"Falta responder à análise",IF(V49="","Falta a data da análise",IF(AND(OR(S49="Aceito",S49="Aceito com alteração"),W49=""),"Falta a data da confirmação",IF(AND(OR(S49="Aceito",S49="Aceito com alteração"),V49&gt;W49),"Analisado depois de aceitar",IF(AND(S49="Aceito",COUNTIF(J49:P49,"Não")&gt;0),"Aceito com pendência na análise",IF(AND(S49="Aceito com alteração",T49=""),"Falta o que foi negociado",IF(AND(S49="Recusado",T49=""),"Falta o motivo da recusa","OK")))))))))))</f>
        <v/>
      </c>
    </row>
    <row r="50" customFormat="false" ht="30" hidden="false" customHeight="true" outlineLevel="0" collapsed="false">
      <c r="B50" s="10" t="n">
        <v>44</v>
      </c>
      <c r="C50" s="11"/>
      <c r="D50" s="19"/>
      <c r="E50" s="5"/>
      <c r="F50" s="11"/>
      <c r="G50" s="5"/>
      <c r="H50" s="5"/>
      <c r="I50" s="19"/>
      <c r="J50" s="11"/>
      <c r="K50" s="11"/>
      <c r="L50" s="11"/>
      <c r="M50" s="11"/>
      <c r="N50" s="11"/>
      <c r="O50" s="11"/>
      <c r="P50" s="11"/>
      <c r="Q50" s="20" t="str">
        <f aca="false">IF(AND(C50="",E50="",G50=""),"",IF(COUNTA(J50:P50)&lt;7,"Análise incompleta",IF(COUNTIF(J50:P50,"Não")&gt;0,"Resolver antes de aceitar","Pode aceitar")))</f>
        <v/>
      </c>
      <c r="R50" s="21" t="str">
        <f aca="false">IF(AND(C50="",E50="",G50=""),"",COUNTIF(J50:P50,"Não"))</f>
        <v/>
      </c>
      <c r="S50" s="11"/>
      <c r="T50" s="5"/>
      <c r="U50" s="5"/>
      <c r="V50" s="19"/>
      <c r="W50" s="19"/>
      <c r="X50" s="12" t="str">
        <f aca="false">IF(AND(C50="",E50="",G50=""),"",IF(S50="","Falta a decisão",IF(U50="","Falta quem analisou",IF(S50="Em análise","OK",IF(COUNTA(J50:P50)&lt;7,"Falta responder à análise",IF(V50="","Falta a data da análise",IF(AND(OR(S50="Aceito",S50="Aceito com alteração"),W50=""),"Falta a data da confirmação",IF(AND(OR(S50="Aceito",S50="Aceito com alteração"),V50&gt;W50),"Analisado depois de aceitar",IF(AND(S50="Aceito",COUNTIF(J50:P50,"Não")&gt;0),"Aceito com pendência na análise",IF(AND(S50="Aceito com alteração",T50=""),"Falta o que foi negociado",IF(AND(S50="Recusado",T50=""),"Falta o motivo da recusa","OK")))))))))))</f>
        <v/>
      </c>
    </row>
    <row r="51" customFormat="false" ht="30" hidden="false" customHeight="true" outlineLevel="0" collapsed="false">
      <c r="B51" s="10" t="n">
        <v>45</v>
      </c>
      <c r="C51" s="11"/>
      <c r="D51" s="19"/>
      <c r="E51" s="5"/>
      <c r="F51" s="11"/>
      <c r="G51" s="5"/>
      <c r="H51" s="5"/>
      <c r="I51" s="19"/>
      <c r="J51" s="11"/>
      <c r="K51" s="11"/>
      <c r="L51" s="11"/>
      <c r="M51" s="11"/>
      <c r="N51" s="11"/>
      <c r="O51" s="11"/>
      <c r="P51" s="11"/>
      <c r="Q51" s="20" t="str">
        <f aca="false">IF(AND(C51="",E51="",G51=""),"",IF(COUNTA(J51:P51)&lt;7,"Análise incompleta",IF(COUNTIF(J51:P51,"Não")&gt;0,"Resolver antes de aceitar","Pode aceitar")))</f>
        <v/>
      </c>
      <c r="R51" s="21" t="str">
        <f aca="false">IF(AND(C51="",E51="",G51=""),"",COUNTIF(J51:P51,"Não"))</f>
        <v/>
      </c>
      <c r="S51" s="11"/>
      <c r="T51" s="5"/>
      <c r="U51" s="5"/>
      <c r="V51" s="19"/>
      <c r="W51" s="19"/>
      <c r="X51" s="12" t="str">
        <f aca="false">IF(AND(C51="",E51="",G51=""),"",IF(S51="","Falta a decisão",IF(U51="","Falta quem analisou",IF(S51="Em análise","OK",IF(COUNTA(J51:P51)&lt;7,"Falta responder à análise",IF(V51="","Falta a data da análise",IF(AND(OR(S51="Aceito",S51="Aceito com alteração"),W51=""),"Falta a data da confirmação",IF(AND(OR(S51="Aceito",S51="Aceito com alteração"),V51&gt;W51),"Analisado depois de aceitar",IF(AND(S51="Aceito",COUNTIF(J51:P51,"Não")&gt;0),"Aceito com pendência na análise",IF(AND(S51="Aceito com alteração",T51=""),"Falta o que foi negociado",IF(AND(S51="Recusado",T51=""),"Falta o motivo da recusa","OK")))))))))))</f>
        <v/>
      </c>
    </row>
    <row r="52" customFormat="false" ht="30" hidden="false" customHeight="true" outlineLevel="0" collapsed="false">
      <c r="B52" s="10" t="n">
        <v>46</v>
      </c>
      <c r="C52" s="11"/>
      <c r="D52" s="19"/>
      <c r="E52" s="5"/>
      <c r="F52" s="11"/>
      <c r="G52" s="5"/>
      <c r="H52" s="5"/>
      <c r="I52" s="19"/>
      <c r="J52" s="11"/>
      <c r="K52" s="11"/>
      <c r="L52" s="11"/>
      <c r="M52" s="11"/>
      <c r="N52" s="11"/>
      <c r="O52" s="11"/>
      <c r="P52" s="11"/>
      <c r="Q52" s="20" t="str">
        <f aca="false">IF(AND(C52="",E52="",G52=""),"",IF(COUNTA(J52:P52)&lt;7,"Análise incompleta",IF(COUNTIF(J52:P52,"Não")&gt;0,"Resolver antes de aceitar","Pode aceitar")))</f>
        <v/>
      </c>
      <c r="R52" s="21" t="str">
        <f aca="false">IF(AND(C52="",E52="",G52=""),"",COUNTIF(J52:P52,"Não"))</f>
        <v/>
      </c>
      <c r="S52" s="11"/>
      <c r="T52" s="5"/>
      <c r="U52" s="5"/>
      <c r="V52" s="19"/>
      <c r="W52" s="19"/>
      <c r="X52" s="12" t="str">
        <f aca="false">IF(AND(C52="",E52="",G52=""),"",IF(S52="","Falta a decisão",IF(U52="","Falta quem analisou",IF(S52="Em análise","OK",IF(COUNTA(J52:P52)&lt;7,"Falta responder à análise",IF(V52="","Falta a data da análise",IF(AND(OR(S52="Aceito",S52="Aceito com alteração"),W52=""),"Falta a data da confirmação",IF(AND(OR(S52="Aceito",S52="Aceito com alteração"),V52&gt;W52),"Analisado depois de aceitar",IF(AND(S52="Aceito",COUNTIF(J52:P52,"Não")&gt;0),"Aceito com pendência na análise",IF(AND(S52="Aceito com alteração",T52=""),"Falta o que foi negociado",IF(AND(S52="Recusado",T52=""),"Falta o motivo da recusa","OK")))))))))))</f>
        <v/>
      </c>
    </row>
    <row r="53" customFormat="false" ht="30" hidden="false" customHeight="true" outlineLevel="0" collapsed="false">
      <c r="B53" s="10" t="n">
        <v>47</v>
      </c>
      <c r="C53" s="11"/>
      <c r="D53" s="19"/>
      <c r="E53" s="5"/>
      <c r="F53" s="11"/>
      <c r="G53" s="5"/>
      <c r="H53" s="5"/>
      <c r="I53" s="19"/>
      <c r="J53" s="11"/>
      <c r="K53" s="11"/>
      <c r="L53" s="11"/>
      <c r="M53" s="11"/>
      <c r="N53" s="11"/>
      <c r="O53" s="11"/>
      <c r="P53" s="11"/>
      <c r="Q53" s="20" t="str">
        <f aca="false">IF(AND(C53="",E53="",G53=""),"",IF(COUNTA(J53:P53)&lt;7,"Análise incompleta",IF(COUNTIF(J53:P53,"Não")&gt;0,"Resolver antes de aceitar","Pode aceitar")))</f>
        <v/>
      </c>
      <c r="R53" s="21" t="str">
        <f aca="false">IF(AND(C53="",E53="",G53=""),"",COUNTIF(J53:P53,"Não"))</f>
        <v/>
      </c>
      <c r="S53" s="11"/>
      <c r="T53" s="5"/>
      <c r="U53" s="5"/>
      <c r="V53" s="19"/>
      <c r="W53" s="19"/>
      <c r="X53" s="12" t="str">
        <f aca="false">IF(AND(C53="",E53="",G53=""),"",IF(S53="","Falta a decisão",IF(U53="","Falta quem analisou",IF(S53="Em análise","OK",IF(COUNTA(J53:P53)&lt;7,"Falta responder à análise",IF(V53="","Falta a data da análise",IF(AND(OR(S53="Aceito",S53="Aceito com alteração"),W53=""),"Falta a data da confirmação",IF(AND(OR(S53="Aceito",S53="Aceito com alteração"),V53&gt;W53),"Analisado depois de aceitar",IF(AND(S53="Aceito",COUNTIF(J53:P53,"Não")&gt;0),"Aceito com pendência na análise",IF(AND(S53="Aceito com alteração",T53=""),"Falta o que foi negociado",IF(AND(S53="Recusado",T53=""),"Falta o motivo da recusa","OK")))))))))))</f>
        <v/>
      </c>
    </row>
    <row r="54" customFormat="false" ht="30" hidden="false" customHeight="true" outlineLevel="0" collapsed="false">
      <c r="B54" s="10" t="n">
        <v>48</v>
      </c>
      <c r="C54" s="11"/>
      <c r="D54" s="19"/>
      <c r="E54" s="5"/>
      <c r="F54" s="11"/>
      <c r="G54" s="5"/>
      <c r="H54" s="5"/>
      <c r="I54" s="19"/>
      <c r="J54" s="11"/>
      <c r="K54" s="11"/>
      <c r="L54" s="11"/>
      <c r="M54" s="11"/>
      <c r="N54" s="11"/>
      <c r="O54" s="11"/>
      <c r="P54" s="11"/>
      <c r="Q54" s="20" t="str">
        <f aca="false">IF(AND(C54="",E54="",G54=""),"",IF(COUNTA(J54:P54)&lt;7,"Análise incompleta",IF(COUNTIF(J54:P54,"Não")&gt;0,"Resolver antes de aceitar","Pode aceitar")))</f>
        <v/>
      </c>
      <c r="R54" s="21" t="str">
        <f aca="false">IF(AND(C54="",E54="",G54=""),"",COUNTIF(J54:P54,"Não"))</f>
        <v/>
      </c>
      <c r="S54" s="11"/>
      <c r="T54" s="5"/>
      <c r="U54" s="5"/>
      <c r="V54" s="19"/>
      <c r="W54" s="19"/>
      <c r="X54" s="12" t="str">
        <f aca="false">IF(AND(C54="",E54="",G54=""),"",IF(S54="","Falta a decisão",IF(U54="","Falta quem analisou",IF(S54="Em análise","OK",IF(COUNTA(J54:P54)&lt;7,"Falta responder à análise",IF(V54="","Falta a data da análise",IF(AND(OR(S54="Aceito",S54="Aceito com alteração"),W54=""),"Falta a data da confirmação",IF(AND(OR(S54="Aceito",S54="Aceito com alteração"),V54&gt;W54),"Analisado depois de aceitar",IF(AND(S54="Aceito",COUNTIF(J54:P54,"Não")&gt;0),"Aceito com pendência na análise",IF(AND(S54="Aceito com alteração",T54=""),"Falta o que foi negociado",IF(AND(S54="Recusado",T54=""),"Falta o motivo da recusa","OK")))))))))))</f>
        <v/>
      </c>
    </row>
    <row r="55" customFormat="false" ht="30" hidden="false" customHeight="true" outlineLevel="0" collapsed="false">
      <c r="B55" s="10" t="n">
        <v>49</v>
      </c>
      <c r="C55" s="11"/>
      <c r="D55" s="19"/>
      <c r="E55" s="5"/>
      <c r="F55" s="11"/>
      <c r="G55" s="5"/>
      <c r="H55" s="5"/>
      <c r="I55" s="19"/>
      <c r="J55" s="11"/>
      <c r="K55" s="11"/>
      <c r="L55" s="11"/>
      <c r="M55" s="11"/>
      <c r="N55" s="11"/>
      <c r="O55" s="11"/>
      <c r="P55" s="11"/>
      <c r="Q55" s="20" t="str">
        <f aca="false">IF(AND(C55="",E55="",G55=""),"",IF(COUNTA(J55:P55)&lt;7,"Análise incompleta",IF(COUNTIF(J55:P55,"Não")&gt;0,"Resolver antes de aceitar","Pode aceitar")))</f>
        <v/>
      </c>
      <c r="R55" s="21" t="str">
        <f aca="false">IF(AND(C55="",E55="",G55=""),"",COUNTIF(J55:P55,"Não"))</f>
        <v/>
      </c>
      <c r="S55" s="11"/>
      <c r="T55" s="5"/>
      <c r="U55" s="5"/>
      <c r="V55" s="19"/>
      <c r="W55" s="19"/>
      <c r="X55" s="12" t="str">
        <f aca="false">IF(AND(C55="",E55="",G55=""),"",IF(S55="","Falta a decisão",IF(U55="","Falta quem analisou",IF(S55="Em análise","OK",IF(COUNTA(J55:P55)&lt;7,"Falta responder à análise",IF(V55="","Falta a data da análise",IF(AND(OR(S55="Aceito",S55="Aceito com alteração"),W55=""),"Falta a data da confirmação",IF(AND(OR(S55="Aceito",S55="Aceito com alteração"),V55&gt;W55),"Analisado depois de aceitar",IF(AND(S55="Aceito",COUNTIF(J55:P55,"Não")&gt;0),"Aceito com pendência na análise",IF(AND(S55="Aceito com alteração",T55=""),"Falta o que foi negociado",IF(AND(S55="Recusado",T55=""),"Falta o motivo da recusa","OK")))))))))))</f>
        <v/>
      </c>
    </row>
    <row r="56" customFormat="false" ht="30" hidden="false" customHeight="true" outlineLevel="0" collapsed="false">
      <c r="B56" s="10" t="n">
        <v>50</v>
      </c>
      <c r="C56" s="11"/>
      <c r="D56" s="19"/>
      <c r="E56" s="5"/>
      <c r="F56" s="11"/>
      <c r="G56" s="5"/>
      <c r="H56" s="5"/>
      <c r="I56" s="19"/>
      <c r="J56" s="11"/>
      <c r="K56" s="11"/>
      <c r="L56" s="11"/>
      <c r="M56" s="11"/>
      <c r="N56" s="11"/>
      <c r="O56" s="11"/>
      <c r="P56" s="11"/>
      <c r="Q56" s="20" t="str">
        <f aca="false">IF(AND(C56="",E56="",G56=""),"",IF(COUNTA(J56:P56)&lt;7,"Análise incompleta",IF(COUNTIF(J56:P56,"Não")&gt;0,"Resolver antes de aceitar","Pode aceitar")))</f>
        <v/>
      </c>
      <c r="R56" s="21" t="str">
        <f aca="false">IF(AND(C56="",E56="",G56=""),"",COUNTIF(J56:P56,"Não"))</f>
        <v/>
      </c>
      <c r="S56" s="11"/>
      <c r="T56" s="5"/>
      <c r="U56" s="5"/>
      <c r="V56" s="19"/>
      <c r="W56" s="19"/>
      <c r="X56" s="12" t="str">
        <f aca="false">IF(AND(C56="",E56="",G56=""),"",IF(S56="","Falta a decisão",IF(U56="","Falta quem analisou",IF(S56="Em análise","OK",IF(COUNTA(J56:P56)&lt;7,"Falta responder à análise",IF(V56="","Falta a data da análise",IF(AND(OR(S56="Aceito",S56="Aceito com alteração"),W56=""),"Falta a data da confirmação",IF(AND(OR(S56="Aceito",S56="Aceito com alteração"),V56&gt;W56),"Analisado depois de aceitar",IF(AND(S56="Aceito",COUNTIF(J56:P56,"Não")&gt;0),"Aceito com pendência na análise",IF(AND(S56="Aceito com alteração",T56=""),"Falta o que foi negociado",IF(AND(S56="Recusado",T56=""),"Falta o motivo da recusa","OK")))))))))))</f>
        <v/>
      </c>
    </row>
    <row r="57" customFormat="false" ht="30" hidden="false" customHeight="true" outlineLevel="0" collapsed="false">
      <c r="B57" s="10" t="n">
        <v>51</v>
      </c>
      <c r="C57" s="11"/>
      <c r="D57" s="19"/>
      <c r="E57" s="5"/>
      <c r="F57" s="11"/>
      <c r="G57" s="5"/>
      <c r="H57" s="5"/>
      <c r="I57" s="19"/>
      <c r="J57" s="11"/>
      <c r="K57" s="11"/>
      <c r="L57" s="11"/>
      <c r="M57" s="11"/>
      <c r="N57" s="11"/>
      <c r="O57" s="11"/>
      <c r="P57" s="11"/>
      <c r="Q57" s="20" t="str">
        <f aca="false">IF(AND(C57="",E57="",G57=""),"",IF(COUNTA(J57:P57)&lt;7,"Análise incompleta",IF(COUNTIF(J57:P57,"Não")&gt;0,"Resolver antes de aceitar","Pode aceitar")))</f>
        <v/>
      </c>
      <c r="R57" s="21" t="str">
        <f aca="false">IF(AND(C57="",E57="",G57=""),"",COUNTIF(J57:P57,"Não"))</f>
        <v/>
      </c>
      <c r="S57" s="11"/>
      <c r="T57" s="5"/>
      <c r="U57" s="5"/>
      <c r="V57" s="19"/>
      <c r="W57" s="19"/>
      <c r="X57" s="12" t="str">
        <f aca="false">IF(AND(C57="",E57="",G57=""),"",IF(S57="","Falta a decisão",IF(U57="","Falta quem analisou",IF(S57="Em análise","OK",IF(COUNTA(J57:P57)&lt;7,"Falta responder à análise",IF(V57="","Falta a data da análise",IF(AND(OR(S57="Aceito",S57="Aceito com alteração"),W57=""),"Falta a data da confirmação",IF(AND(OR(S57="Aceito",S57="Aceito com alteração"),V57&gt;W57),"Analisado depois de aceitar",IF(AND(S57="Aceito",COUNTIF(J57:P57,"Não")&gt;0),"Aceito com pendência na análise",IF(AND(S57="Aceito com alteração",T57=""),"Falta o que foi negociado",IF(AND(S57="Recusado",T57=""),"Falta o motivo da recusa","OK")))))))))))</f>
        <v/>
      </c>
    </row>
    <row r="58" customFormat="false" ht="30" hidden="false" customHeight="true" outlineLevel="0" collapsed="false">
      <c r="B58" s="10" t="n">
        <v>52</v>
      </c>
      <c r="C58" s="11"/>
      <c r="D58" s="19"/>
      <c r="E58" s="5"/>
      <c r="F58" s="11"/>
      <c r="G58" s="5"/>
      <c r="H58" s="5"/>
      <c r="I58" s="19"/>
      <c r="J58" s="11"/>
      <c r="K58" s="11"/>
      <c r="L58" s="11"/>
      <c r="M58" s="11"/>
      <c r="N58" s="11"/>
      <c r="O58" s="11"/>
      <c r="P58" s="11"/>
      <c r="Q58" s="20" t="str">
        <f aca="false">IF(AND(C58="",E58="",G58=""),"",IF(COUNTA(J58:P58)&lt;7,"Análise incompleta",IF(COUNTIF(J58:P58,"Não")&gt;0,"Resolver antes de aceitar","Pode aceitar")))</f>
        <v/>
      </c>
      <c r="R58" s="21" t="str">
        <f aca="false">IF(AND(C58="",E58="",G58=""),"",COUNTIF(J58:P58,"Não"))</f>
        <v/>
      </c>
      <c r="S58" s="11"/>
      <c r="T58" s="5"/>
      <c r="U58" s="5"/>
      <c r="V58" s="19"/>
      <c r="W58" s="19"/>
      <c r="X58" s="12" t="str">
        <f aca="false">IF(AND(C58="",E58="",G58=""),"",IF(S58="","Falta a decisão",IF(U58="","Falta quem analisou",IF(S58="Em análise","OK",IF(COUNTA(J58:P58)&lt;7,"Falta responder à análise",IF(V58="","Falta a data da análise",IF(AND(OR(S58="Aceito",S58="Aceito com alteração"),W58=""),"Falta a data da confirmação",IF(AND(OR(S58="Aceito",S58="Aceito com alteração"),V58&gt;W58),"Analisado depois de aceitar",IF(AND(S58="Aceito",COUNTIF(J58:P58,"Não")&gt;0),"Aceito com pendência na análise",IF(AND(S58="Aceito com alteração",T58=""),"Falta o que foi negociado",IF(AND(S58="Recusado",T58=""),"Falta o motivo da recusa","OK")))))))))))</f>
        <v/>
      </c>
    </row>
    <row r="59" customFormat="false" ht="30" hidden="false" customHeight="true" outlineLevel="0" collapsed="false">
      <c r="B59" s="10" t="n">
        <v>53</v>
      </c>
      <c r="C59" s="11"/>
      <c r="D59" s="19"/>
      <c r="E59" s="5"/>
      <c r="F59" s="11"/>
      <c r="G59" s="5"/>
      <c r="H59" s="5"/>
      <c r="I59" s="19"/>
      <c r="J59" s="11"/>
      <c r="K59" s="11"/>
      <c r="L59" s="11"/>
      <c r="M59" s="11"/>
      <c r="N59" s="11"/>
      <c r="O59" s="11"/>
      <c r="P59" s="11"/>
      <c r="Q59" s="20" t="str">
        <f aca="false">IF(AND(C59="",E59="",G59=""),"",IF(COUNTA(J59:P59)&lt;7,"Análise incompleta",IF(COUNTIF(J59:P59,"Não")&gt;0,"Resolver antes de aceitar","Pode aceitar")))</f>
        <v/>
      </c>
      <c r="R59" s="21" t="str">
        <f aca="false">IF(AND(C59="",E59="",G59=""),"",COUNTIF(J59:P59,"Não"))</f>
        <v/>
      </c>
      <c r="S59" s="11"/>
      <c r="T59" s="5"/>
      <c r="U59" s="5"/>
      <c r="V59" s="19"/>
      <c r="W59" s="19"/>
      <c r="X59" s="12" t="str">
        <f aca="false">IF(AND(C59="",E59="",G59=""),"",IF(S59="","Falta a decisão",IF(U59="","Falta quem analisou",IF(S59="Em análise","OK",IF(COUNTA(J59:P59)&lt;7,"Falta responder à análise",IF(V59="","Falta a data da análise",IF(AND(OR(S59="Aceito",S59="Aceito com alteração"),W59=""),"Falta a data da confirmação",IF(AND(OR(S59="Aceito",S59="Aceito com alteração"),V59&gt;W59),"Analisado depois de aceitar",IF(AND(S59="Aceito",COUNTIF(J59:P59,"Não")&gt;0),"Aceito com pendência na análise",IF(AND(S59="Aceito com alteração",T59=""),"Falta o que foi negociado",IF(AND(S59="Recusado",T59=""),"Falta o motivo da recusa","OK")))))))))))</f>
        <v/>
      </c>
    </row>
    <row r="60" customFormat="false" ht="30" hidden="false" customHeight="true" outlineLevel="0" collapsed="false">
      <c r="B60" s="10" t="n">
        <v>54</v>
      </c>
      <c r="C60" s="11"/>
      <c r="D60" s="19"/>
      <c r="E60" s="5"/>
      <c r="F60" s="11"/>
      <c r="G60" s="5"/>
      <c r="H60" s="5"/>
      <c r="I60" s="19"/>
      <c r="J60" s="11"/>
      <c r="K60" s="11"/>
      <c r="L60" s="11"/>
      <c r="M60" s="11"/>
      <c r="N60" s="11"/>
      <c r="O60" s="11"/>
      <c r="P60" s="11"/>
      <c r="Q60" s="20" t="str">
        <f aca="false">IF(AND(C60="",E60="",G60=""),"",IF(COUNTA(J60:P60)&lt;7,"Análise incompleta",IF(COUNTIF(J60:P60,"Não")&gt;0,"Resolver antes de aceitar","Pode aceitar")))</f>
        <v/>
      </c>
      <c r="R60" s="21" t="str">
        <f aca="false">IF(AND(C60="",E60="",G60=""),"",COUNTIF(J60:P60,"Não"))</f>
        <v/>
      </c>
      <c r="S60" s="11"/>
      <c r="T60" s="5"/>
      <c r="U60" s="5"/>
      <c r="V60" s="19"/>
      <c r="W60" s="19"/>
      <c r="X60" s="12" t="str">
        <f aca="false">IF(AND(C60="",E60="",G60=""),"",IF(S60="","Falta a decisão",IF(U60="","Falta quem analisou",IF(S60="Em análise","OK",IF(COUNTA(J60:P60)&lt;7,"Falta responder à análise",IF(V60="","Falta a data da análise",IF(AND(OR(S60="Aceito",S60="Aceito com alteração"),W60=""),"Falta a data da confirmação",IF(AND(OR(S60="Aceito",S60="Aceito com alteração"),V60&gt;W60),"Analisado depois de aceitar",IF(AND(S60="Aceito",COUNTIF(J60:P60,"Não")&gt;0),"Aceito com pendência na análise",IF(AND(S60="Aceito com alteração",T60=""),"Falta o que foi negociado",IF(AND(S60="Recusado",T60=""),"Falta o motivo da recusa","OK")))))))))))</f>
        <v/>
      </c>
    </row>
    <row r="61" customFormat="false" ht="30" hidden="false" customHeight="true" outlineLevel="0" collapsed="false">
      <c r="B61" s="10" t="n">
        <v>55</v>
      </c>
      <c r="C61" s="11"/>
      <c r="D61" s="19"/>
      <c r="E61" s="5"/>
      <c r="F61" s="11"/>
      <c r="G61" s="5"/>
      <c r="H61" s="5"/>
      <c r="I61" s="19"/>
      <c r="J61" s="11"/>
      <c r="K61" s="11"/>
      <c r="L61" s="11"/>
      <c r="M61" s="11"/>
      <c r="N61" s="11"/>
      <c r="O61" s="11"/>
      <c r="P61" s="11"/>
      <c r="Q61" s="20" t="str">
        <f aca="false">IF(AND(C61="",E61="",G61=""),"",IF(COUNTA(J61:P61)&lt;7,"Análise incompleta",IF(COUNTIF(J61:P61,"Não")&gt;0,"Resolver antes de aceitar","Pode aceitar")))</f>
        <v/>
      </c>
      <c r="R61" s="21" t="str">
        <f aca="false">IF(AND(C61="",E61="",G61=""),"",COUNTIF(J61:P61,"Não"))</f>
        <v/>
      </c>
      <c r="S61" s="11"/>
      <c r="T61" s="5"/>
      <c r="U61" s="5"/>
      <c r="V61" s="19"/>
      <c r="W61" s="19"/>
      <c r="X61" s="12" t="str">
        <f aca="false">IF(AND(C61="",E61="",G61=""),"",IF(S61="","Falta a decisão",IF(U61="","Falta quem analisou",IF(S61="Em análise","OK",IF(COUNTA(J61:P61)&lt;7,"Falta responder à análise",IF(V61="","Falta a data da análise",IF(AND(OR(S61="Aceito",S61="Aceito com alteração"),W61=""),"Falta a data da confirmação",IF(AND(OR(S61="Aceito",S61="Aceito com alteração"),V61&gt;W61),"Analisado depois de aceitar",IF(AND(S61="Aceito",COUNTIF(J61:P61,"Não")&gt;0),"Aceito com pendência na análise",IF(AND(S61="Aceito com alteração",T61=""),"Falta o que foi negociado",IF(AND(S61="Recusado",T61=""),"Falta o motivo da recusa","OK")))))))))))</f>
        <v/>
      </c>
    </row>
    <row r="62" customFormat="false" ht="30" hidden="false" customHeight="true" outlineLevel="0" collapsed="false">
      <c r="B62" s="10" t="n">
        <v>56</v>
      </c>
      <c r="C62" s="11"/>
      <c r="D62" s="19"/>
      <c r="E62" s="5"/>
      <c r="F62" s="11"/>
      <c r="G62" s="5"/>
      <c r="H62" s="5"/>
      <c r="I62" s="19"/>
      <c r="J62" s="11"/>
      <c r="K62" s="11"/>
      <c r="L62" s="11"/>
      <c r="M62" s="11"/>
      <c r="N62" s="11"/>
      <c r="O62" s="11"/>
      <c r="P62" s="11"/>
      <c r="Q62" s="20" t="str">
        <f aca="false">IF(AND(C62="",E62="",G62=""),"",IF(COUNTA(J62:P62)&lt;7,"Análise incompleta",IF(COUNTIF(J62:P62,"Não")&gt;0,"Resolver antes de aceitar","Pode aceitar")))</f>
        <v/>
      </c>
      <c r="R62" s="21" t="str">
        <f aca="false">IF(AND(C62="",E62="",G62=""),"",COUNTIF(J62:P62,"Não"))</f>
        <v/>
      </c>
      <c r="S62" s="11"/>
      <c r="T62" s="5"/>
      <c r="U62" s="5"/>
      <c r="V62" s="19"/>
      <c r="W62" s="19"/>
      <c r="X62" s="12" t="str">
        <f aca="false">IF(AND(C62="",E62="",G62=""),"",IF(S62="","Falta a decisão",IF(U62="","Falta quem analisou",IF(S62="Em análise","OK",IF(COUNTA(J62:P62)&lt;7,"Falta responder à análise",IF(V62="","Falta a data da análise",IF(AND(OR(S62="Aceito",S62="Aceito com alteração"),W62=""),"Falta a data da confirmação",IF(AND(OR(S62="Aceito",S62="Aceito com alteração"),V62&gt;W62),"Analisado depois de aceitar",IF(AND(S62="Aceito",COUNTIF(J62:P62,"Não")&gt;0),"Aceito com pendência na análise",IF(AND(S62="Aceito com alteração",T62=""),"Falta o que foi negociado",IF(AND(S62="Recusado",T62=""),"Falta o motivo da recusa","OK")))))))))))</f>
        <v/>
      </c>
    </row>
    <row r="63" customFormat="false" ht="30" hidden="false" customHeight="true" outlineLevel="0" collapsed="false">
      <c r="B63" s="10" t="n">
        <v>57</v>
      </c>
      <c r="C63" s="11"/>
      <c r="D63" s="19"/>
      <c r="E63" s="5"/>
      <c r="F63" s="11"/>
      <c r="G63" s="5"/>
      <c r="H63" s="5"/>
      <c r="I63" s="19"/>
      <c r="J63" s="11"/>
      <c r="K63" s="11"/>
      <c r="L63" s="11"/>
      <c r="M63" s="11"/>
      <c r="N63" s="11"/>
      <c r="O63" s="11"/>
      <c r="P63" s="11"/>
      <c r="Q63" s="20" t="str">
        <f aca="false">IF(AND(C63="",E63="",G63=""),"",IF(COUNTA(J63:P63)&lt;7,"Análise incompleta",IF(COUNTIF(J63:P63,"Não")&gt;0,"Resolver antes de aceitar","Pode aceitar")))</f>
        <v/>
      </c>
      <c r="R63" s="21" t="str">
        <f aca="false">IF(AND(C63="",E63="",G63=""),"",COUNTIF(J63:P63,"Não"))</f>
        <v/>
      </c>
      <c r="S63" s="11"/>
      <c r="T63" s="5"/>
      <c r="U63" s="5"/>
      <c r="V63" s="19"/>
      <c r="W63" s="19"/>
      <c r="X63" s="12" t="str">
        <f aca="false">IF(AND(C63="",E63="",G63=""),"",IF(S63="","Falta a decisão",IF(U63="","Falta quem analisou",IF(S63="Em análise","OK",IF(COUNTA(J63:P63)&lt;7,"Falta responder à análise",IF(V63="","Falta a data da análise",IF(AND(OR(S63="Aceito",S63="Aceito com alteração"),W63=""),"Falta a data da confirmação",IF(AND(OR(S63="Aceito",S63="Aceito com alteração"),V63&gt;W63),"Analisado depois de aceitar",IF(AND(S63="Aceito",COUNTIF(J63:P63,"Não")&gt;0),"Aceito com pendência na análise",IF(AND(S63="Aceito com alteração",T63=""),"Falta o que foi negociado",IF(AND(S63="Recusado",T63=""),"Falta o motivo da recusa","OK")))))))))))</f>
        <v/>
      </c>
    </row>
    <row r="64" customFormat="false" ht="30" hidden="false" customHeight="true" outlineLevel="0" collapsed="false">
      <c r="B64" s="10" t="n">
        <v>58</v>
      </c>
      <c r="C64" s="11"/>
      <c r="D64" s="19"/>
      <c r="E64" s="5"/>
      <c r="F64" s="11"/>
      <c r="G64" s="5"/>
      <c r="H64" s="5"/>
      <c r="I64" s="19"/>
      <c r="J64" s="11"/>
      <c r="K64" s="11"/>
      <c r="L64" s="11"/>
      <c r="M64" s="11"/>
      <c r="N64" s="11"/>
      <c r="O64" s="11"/>
      <c r="P64" s="11"/>
      <c r="Q64" s="20" t="str">
        <f aca="false">IF(AND(C64="",E64="",G64=""),"",IF(COUNTA(J64:P64)&lt;7,"Análise incompleta",IF(COUNTIF(J64:P64,"Não")&gt;0,"Resolver antes de aceitar","Pode aceitar")))</f>
        <v/>
      </c>
      <c r="R64" s="21" t="str">
        <f aca="false">IF(AND(C64="",E64="",G64=""),"",COUNTIF(J64:P64,"Não"))</f>
        <v/>
      </c>
      <c r="S64" s="11"/>
      <c r="T64" s="5"/>
      <c r="U64" s="5"/>
      <c r="V64" s="19"/>
      <c r="W64" s="19"/>
      <c r="X64" s="12" t="str">
        <f aca="false">IF(AND(C64="",E64="",G64=""),"",IF(S64="","Falta a decisão",IF(U64="","Falta quem analisou",IF(S64="Em análise","OK",IF(COUNTA(J64:P64)&lt;7,"Falta responder à análise",IF(V64="","Falta a data da análise",IF(AND(OR(S64="Aceito",S64="Aceito com alteração"),W64=""),"Falta a data da confirmação",IF(AND(OR(S64="Aceito",S64="Aceito com alteração"),V64&gt;W64),"Analisado depois de aceitar",IF(AND(S64="Aceito",COUNTIF(J64:P64,"Não")&gt;0),"Aceito com pendência na análise",IF(AND(S64="Aceito com alteração",T64=""),"Falta o que foi negociado",IF(AND(S64="Recusado",T64=""),"Falta o motivo da recusa","OK")))))))))))</f>
        <v/>
      </c>
    </row>
    <row r="65" customFormat="false" ht="30" hidden="false" customHeight="true" outlineLevel="0" collapsed="false">
      <c r="B65" s="10" t="n">
        <v>59</v>
      </c>
      <c r="C65" s="11"/>
      <c r="D65" s="19"/>
      <c r="E65" s="5"/>
      <c r="F65" s="11"/>
      <c r="G65" s="5"/>
      <c r="H65" s="5"/>
      <c r="I65" s="19"/>
      <c r="J65" s="11"/>
      <c r="K65" s="11"/>
      <c r="L65" s="11"/>
      <c r="M65" s="11"/>
      <c r="N65" s="11"/>
      <c r="O65" s="11"/>
      <c r="P65" s="11"/>
      <c r="Q65" s="20" t="str">
        <f aca="false">IF(AND(C65="",E65="",G65=""),"",IF(COUNTA(J65:P65)&lt;7,"Análise incompleta",IF(COUNTIF(J65:P65,"Não")&gt;0,"Resolver antes de aceitar","Pode aceitar")))</f>
        <v/>
      </c>
      <c r="R65" s="21" t="str">
        <f aca="false">IF(AND(C65="",E65="",G65=""),"",COUNTIF(J65:P65,"Não"))</f>
        <v/>
      </c>
      <c r="S65" s="11"/>
      <c r="T65" s="5"/>
      <c r="U65" s="5"/>
      <c r="V65" s="19"/>
      <c r="W65" s="19"/>
      <c r="X65" s="12" t="str">
        <f aca="false">IF(AND(C65="",E65="",G65=""),"",IF(S65="","Falta a decisão",IF(U65="","Falta quem analisou",IF(S65="Em análise","OK",IF(COUNTA(J65:P65)&lt;7,"Falta responder à análise",IF(V65="","Falta a data da análise",IF(AND(OR(S65="Aceito",S65="Aceito com alteração"),W65=""),"Falta a data da confirmação",IF(AND(OR(S65="Aceito",S65="Aceito com alteração"),V65&gt;W65),"Analisado depois de aceitar",IF(AND(S65="Aceito",COUNTIF(J65:P65,"Não")&gt;0),"Aceito com pendência na análise",IF(AND(S65="Aceito com alteração",T65=""),"Falta o que foi negociado",IF(AND(S65="Recusado",T65=""),"Falta o motivo da recusa","OK")))))))))))</f>
        <v/>
      </c>
    </row>
    <row r="66" customFormat="false" ht="30" hidden="false" customHeight="true" outlineLevel="0" collapsed="false">
      <c r="B66" s="10" t="n">
        <v>60</v>
      </c>
      <c r="C66" s="11"/>
      <c r="D66" s="19"/>
      <c r="E66" s="5"/>
      <c r="F66" s="11"/>
      <c r="G66" s="5"/>
      <c r="H66" s="5"/>
      <c r="I66" s="19"/>
      <c r="J66" s="11"/>
      <c r="K66" s="11"/>
      <c r="L66" s="11"/>
      <c r="M66" s="11"/>
      <c r="N66" s="11"/>
      <c r="O66" s="11"/>
      <c r="P66" s="11"/>
      <c r="Q66" s="20" t="str">
        <f aca="false">IF(AND(C66="",E66="",G66=""),"",IF(COUNTA(J66:P66)&lt;7,"Análise incompleta",IF(COUNTIF(J66:P66,"Não")&gt;0,"Resolver antes de aceitar","Pode aceitar")))</f>
        <v/>
      </c>
      <c r="R66" s="21" t="str">
        <f aca="false">IF(AND(C66="",E66="",G66=""),"",COUNTIF(J66:P66,"Não"))</f>
        <v/>
      </c>
      <c r="S66" s="11"/>
      <c r="T66" s="5"/>
      <c r="U66" s="5"/>
      <c r="V66" s="19"/>
      <c r="W66" s="19"/>
      <c r="X66" s="12" t="str">
        <f aca="false">IF(AND(C66="",E66="",G66=""),"",IF(S66="","Falta a decisão",IF(U66="","Falta quem analisou",IF(S66="Em análise","OK",IF(COUNTA(J66:P66)&lt;7,"Falta responder à análise",IF(V66="","Falta a data da análise",IF(AND(OR(S66="Aceito",S66="Aceito com alteração"),W66=""),"Falta a data da confirmação",IF(AND(OR(S66="Aceito",S66="Aceito com alteração"),V66&gt;W66),"Analisado depois de aceitar",IF(AND(S66="Aceito",COUNTIF(J66:P66,"Não")&gt;0),"Aceito com pendência na análise",IF(AND(S66="Aceito com alteração",T66=""),"Falta o que foi negociado",IF(AND(S66="Recusado",T66=""),"Falta o motivo da recusa","OK")))))))))))</f>
        <v/>
      </c>
    </row>
    <row r="68" customFormat="false" ht="21.75" hidden="false" customHeight="true" outlineLevel="0" collapsed="false">
      <c r="B68" s="13" t="s">
        <v>94</v>
      </c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</row>
    <row r="69" customFormat="false" ht="21.75" hidden="false" customHeight="true" outlineLevel="0" collapsed="false">
      <c r="B69" s="14" t="s">
        <v>133</v>
      </c>
      <c r="C69" s="14"/>
      <c r="D69" s="14"/>
      <c r="E69" s="15" t="n">
        <f aca="false">COUNTA(C7:C66)</f>
        <v>0</v>
      </c>
      <c r="F69" s="15"/>
      <c r="G69" s="15"/>
      <c r="H69" s="15"/>
    </row>
    <row r="70" customFormat="false" ht="21.75" hidden="false" customHeight="true" outlineLevel="0" collapsed="false">
      <c r="B70" s="14" t="s">
        <v>134</v>
      </c>
      <c r="C70" s="14"/>
      <c r="D70" s="14"/>
      <c r="E70" s="16" t="str">
        <f aca="false">IF(E69=0,"",COUNTIF(S7:S66,"Aceito")&amp;" aceitos"&amp;", "&amp;COUNTIF(S7:S66,"Aceito com alteração")&amp;" aceitos com alteração"&amp;", "&amp;COUNTIF(S7:S66,"Recusado")&amp;" recusados"&amp;", "&amp;COUNTIF(S7:S66,"Em análise")&amp;" em análise")</f>
        <v/>
      </c>
      <c r="F70" s="16"/>
      <c r="G70" s="16"/>
      <c r="H70" s="16"/>
    </row>
    <row r="71" customFormat="false" ht="21.75" hidden="false" customHeight="true" outlineLevel="0" collapsed="false">
      <c r="B71" s="14" t="s">
        <v>135</v>
      </c>
      <c r="C71" s="14"/>
      <c r="D71" s="14"/>
      <c r="E71" s="15" t="n">
        <f aca="false">SUMPRODUCT((X7:X66&lt;&gt;"")*(X7:X66&lt;&gt;"OK"))</f>
        <v>0</v>
      </c>
      <c r="F71" s="15"/>
      <c r="G71" s="15"/>
      <c r="H71" s="15"/>
    </row>
    <row r="72" customFormat="false" ht="21.75" hidden="false" customHeight="true" outlineLevel="0" collapsed="false">
      <c r="B72" s="14" t="s">
        <v>96</v>
      </c>
      <c r="C72" s="14"/>
      <c r="D72" s="14"/>
      <c r="E72" s="16" t="str">
        <f aca="false">IF(E69=0,"Registre os pedidos",IF(COUNTIF(X7:X66,"Aceito com pendência na análise")&gt;0,"Há pedido aceito com pendência na análise",IF(COUNTIF(X7:X66,"Analisado depois de aceitar")&gt;0,"Há pedido analisado depois de aceito",IF(E71&gt;0,"Há pedido a rever: veja a coluna Conferência","OK"))))</f>
        <v>Registre os pedidos</v>
      </c>
      <c r="F72" s="16"/>
      <c r="G72" s="16"/>
      <c r="H72" s="16"/>
    </row>
  </sheetData>
  <mergeCells count="11">
    <mergeCell ref="B1:X1"/>
    <mergeCell ref="B2:X2"/>
    <mergeCell ref="B68:X68"/>
    <mergeCell ref="B69:D69"/>
    <mergeCell ref="E69:H69"/>
    <mergeCell ref="B70:D70"/>
    <mergeCell ref="E70:H70"/>
    <mergeCell ref="B71:D71"/>
    <mergeCell ref="E71:H71"/>
    <mergeCell ref="B72:D72"/>
    <mergeCell ref="E72:H72"/>
  </mergeCells>
  <conditionalFormatting sqref="J7:P66">
    <cfRule type="expression" priority="2" aboveAverage="0" equalAverage="0" bottom="0" percent="0" rank="0" text="" dxfId="0">
      <formula>J7="Sim"</formula>
    </cfRule>
    <cfRule type="expression" priority="3" aboveAverage="0" equalAverage="0" bottom="0" percent="0" rank="0" text="" dxfId="2">
      <formula>J7="Não"</formula>
    </cfRule>
    <cfRule type="expression" priority="4" aboveAverage="0" equalAverage="0" bottom="0" percent="0" rank="0" text="" dxfId="3">
      <formula>J7="Não se aplica"</formula>
    </cfRule>
  </conditionalFormatting>
  <conditionalFormatting sqref="Q7:Q66">
    <cfRule type="expression" priority="5" aboveAverage="0" equalAverage="0" bottom="0" percent="0" rank="0" text="" dxfId="0">
      <formula>Q7="Pode aceitar"</formula>
    </cfRule>
    <cfRule type="expression" priority="6" aboveAverage="0" equalAverage="0" bottom="0" percent="0" rank="0" text="" dxfId="4">
      <formula>Q7="Resolver antes de aceitar"</formula>
    </cfRule>
    <cfRule type="expression" priority="7" aboveAverage="0" equalAverage="0" bottom="0" percent="0" rank="0" text="" dxfId="2">
      <formula>Q7="Análise incompleta"</formula>
    </cfRule>
  </conditionalFormatting>
  <conditionalFormatting sqref="S7:S66">
    <cfRule type="expression" priority="8" aboveAverage="0" equalAverage="0" bottom="0" percent="0" rank="0" text="" dxfId="0">
      <formula>S7="Aceito"</formula>
    </cfRule>
    <cfRule type="expression" priority="9" aboveAverage="0" equalAverage="0" bottom="0" percent="0" rank="0" text="" dxfId="4">
      <formula>S7="Aceito com alteração"</formula>
    </cfRule>
    <cfRule type="expression" priority="10" aboveAverage="0" equalAverage="0" bottom="0" percent="0" rank="0" text="" dxfId="2">
      <formula>S7="Recusado"</formula>
    </cfRule>
    <cfRule type="expression" priority="11" aboveAverage="0" equalAverage="0" bottom="0" percent="0" rank="0" text="" dxfId="3">
      <formula>S7="Em análise"</formula>
    </cfRule>
  </conditionalFormatting>
  <conditionalFormatting sqref="X7:X66">
    <cfRule type="expression" priority="12" aboveAverage="0" equalAverage="0" bottom="0" percent="0" rank="0" text="" dxfId="0">
      <formula>X7="OK"</formula>
    </cfRule>
    <cfRule type="expression" priority="13" aboveAverage="0" equalAverage="0" bottom="0" percent="0" rank="0" text="" dxfId="5">
      <formula>X7="Aceito com pendência na análise"</formula>
    </cfRule>
    <cfRule type="expression" priority="14" aboveAverage="0" equalAverage="0" bottom="0" percent="0" rank="0" text="" dxfId="5">
      <formula>X7="Analisado depois de aceitar"</formula>
    </cfRule>
    <cfRule type="expression" priority="15" aboveAverage="0" equalAverage="0" bottom="0" percent="0" rank="0" text="" dxfId="1">
      <formula>LEN(X7)&gt;0</formula>
    </cfRule>
  </conditionalFormatting>
  <conditionalFormatting sqref="E72:H72">
    <cfRule type="expression" priority="16" aboveAverage="0" equalAverage="0" bottom="0" percent="0" rank="0" text="" dxfId="0">
      <formula>OR(E72="OK")</formula>
    </cfRule>
    <cfRule type="expression" priority="17" aboveAverage="0" equalAverage="0" bottom="0" percent="0" rank="0" text="" dxfId="1">
      <formula>AND(LEN(E72)&gt;0,NOT(OR(E72="OK")))</formula>
    </cfRule>
  </conditionalFormatting>
  <dataValidations count="3">
    <dataValidation allowBlank="true" error="Digite uma data no formato dia/mês/ano." errorStyle="stop" errorTitle="Data inválida" operator="greaterThanOrEqual" showDropDown="false" showErrorMessage="true" showInputMessage="false" sqref="D7:D66 I7:I66 V7:W66" type="date">
      <formula1>36526</formula1>
      <formula2>0</formula2>
    </dataValidation>
    <dataValidation allowBlank="true" error="Escolha uma das opções da lista." errorStyle="stop" errorTitle="Valor inválido" operator="between" prompt="Sim, Não ou Não se aplica" promptTitle="Opções" showDropDown="false" showErrorMessage="true" showInputMessage="true" sqref="J7:P66" type="list">
      <formula1>"Sim,Não,Não se aplica"</formula1>
      <formula2>0</formula2>
    </dataValidation>
    <dataValidation allowBlank="true" error="Escolha uma das opções da lista." errorStyle="stop" errorTitle="Valor inválido" operator="between" prompt="Aceito, Aceito com alteração, Recusado ou Em análise" promptTitle="Opções" showDropDown="false" showErrorMessage="true" showInputMessage="true" sqref="S7:S66" type="list">
      <formula1>"Aceito,Aceito com alteração,Recusado,Em análise"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J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4" min="3" style="0" width="12"/>
    <col collapsed="false" customWidth="true" hidden="false" outlineLevel="0" max="5" min="5" style="0" width="36"/>
    <col collapsed="false" customWidth="true" hidden="false" outlineLevel="0" max="6" min="6" style="0" width="24"/>
    <col collapsed="false" customWidth="true" hidden="false" outlineLevel="0" max="7" min="7" style="0" width="36"/>
    <col collapsed="false" customWidth="true" hidden="false" outlineLevel="0" max="8" min="8" style="0" width="14"/>
    <col collapsed="false" customWidth="true" hidden="false" outlineLevel="0" max="9" min="9" style="0" width="26"/>
    <col collapsed="false" customWidth="true" hidden="false" outlineLevel="0" max="10" min="10" style="0" width="30"/>
    <col collapsed="false" customWidth="true" hidden="false" outlineLevel="0" max="11" min="11" style="0" width="2"/>
  </cols>
  <sheetData>
    <row r="1" customFormat="false" ht="31.5" hidden="false" customHeight="true" outlineLevel="0" collapsed="false">
      <c r="B1" s="1" t="s">
        <v>136</v>
      </c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B2" s="2" t="s">
        <v>137</v>
      </c>
      <c r="C2" s="2"/>
      <c r="D2" s="2"/>
      <c r="E2" s="2"/>
      <c r="F2" s="2"/>
      <c r="G2" s="2"/>
      <c r="H2" s="2"/>
      <c r="I2" s="2"/>
      <c r="J2" s="2"/>
    </row>
    <row r="4" customFormat="false" ht="33" hidden="false" customHeight="true" outlineLevel="0" collapsed="false">
      <c r="B4" s="8" t="s">
        <v>79</v>
      </c>
      <c r="C4" s="8" t="s">
        <v>100</v>
      </c>
      <c r="D4" s="8" t="s">
        <v>138</v>
      </c>
      <c r="E4" s="8" t="s">
        <v>139</v>
      </c>
      <c r="F4" s="8" t="s">
        <v>140</v>
      </c>
      <c r="G4" s="8" t="s">
        <v>141</v>
      </c>
      <c r="H4" s="8" t="s">
        <v>142</v>
      </c>
      <c r="I4" s="8" t="s">
        <v>143</v>
      </c>
      <c r="J4" s="8" t="s">
        <v>86</v>
      </c>
    </row>
    <row r="5" customFormat="false" ht="30" hidden="false" customHeight="true" outlineLevel="0" collapsed="false">
      <c r="B5" s="9"/>
      <c r="C5" s="9" t="s">
        <v>100</v>
      </c>
      <c r="D5" s="9" t="s">
        <v>144</v>
      </c>
      <c r="E5" s="9" t="s">
        <v>145</v>
      </c>
      <c r="F5" s="9"/>
      <c r="G5" s="9" t="s">
        <v>146</v>
      </c>
      <c r="H5" s="9" t="s">
        <v>92</v>
      </c>
      <c r="I5" s="9" t="s">
        <v>147</v>
      </c>
      <c r="J5" s="9" t="s">
        <v>93</v>
      </c>
    </row>
    <row r="6" customFormat="false" ht="30" hidden="false" customHeight="true" outlineLevel="0" collapsed="false">
      <c r="B6" s="9" t="s">
        <v>121</v>
      </c>
      <c r="C6" s="17" t="n">
        <v>46470</v>
      </c>
      <c r="D6" s="9" t="s">
        <v>148</v>
      </c>
      <c r="E6" s="18" t="s">
        <v>149</v>
      </c>
      <c r="F6" s="18" t="s">
        <v>150</v>
      </c>
      <c r="G6" s="18" t="s">
        <v>151</v>
      </c>
      <c r="H6" s="9" t="s">
        <v>127</v>
      </c>
      <c r="I6" s="18" t="s">
        <v>152</v>
      </c>
      <c r="J6" s="9" t="s">
        <v>132</v>
      </c>
    </row>
    <row r="7" customFormat="false" ht="30" hidden="false" customHeight="true" outlineLevel="0" collapsed="false">
      <c r="B7" s="10" t="n">
        <v>1</v>
      </c>
      <c r="C7" s="19"/>
      <c r="D7" s="11"/>
      <c r="E7" s="5"/>
      <c r="F7" s="5"/>
      <c r="G7" s="5"/>
      <c r="H7" s="11"/>
      <c r="I7" s="5"/>
      <c r="J7" s="12" t="str">
        <f aca="false">IF(E7="",IF(COUNTA(C7:D7,F7:I7)&gt;0,"Falta o que mudou",""),IF(D7="","Falta o pedido",IF(COUNTIF(Pedidos!$C$7:$C$66,D7)=0,"Pedido não está na aba Pedidos",IF(G7="","Falta a análise",IF(H7&lt;&gt;"Sim","Documentos não atualizados",IF(I7="","Falta quem foi informado","OK"))))))</f>
        <v/>
      </c>
    </row>
    <row r="8" customFormat="false" ht="30" hidden="false" customHeight="true" outlineLevel="0" collapsed="false">
      <c r="B8" s="10" t="n">
        <v>2</v>
      </c>
      <c r="C8" s="19"/>
      <c r="D8" s="11"/>
      <c r="E8" s="5"/>
      <c r="F8" s="5"/>
      <c r="G8" s="5"/>
      <c r="H8" s="11"/>
      <c r="I8" s="5"/>
      <c r="J8" s="12" t="str">
        <f aca="false">IF(E8="",IF(COUNTA(C8:D8,F8:I8)&gt;0,"Falta o que mudou",""),IF(D8="","Falta o pedido",IF(COUNTIF(Pedidos!$C$7:$C$66,D8)=0,"Pedido não está na aba Pedidos",IF(G8="","Falta a análise",IF(H8&lt;&gt;"Sim","Documentos não atualizados",IF(I8="","Falta quem foi informado","OK"))))))</f>
        <v/>
      </c>
    </row>
    <row r="9" customFormat="false" ht="30" hidden="false" customHeight="true" outlineLevel="0" collapsed="false">
      <c r="B9" s="10" t="n">
        <v>3</v>
      </c>
      <c r="C9" s="19"/>
      <c r="D9" s="11"/>
      <c r="E9" s="5"/>
      <c r="F9" s="5"/>
      <c r="G9" s="5"/>
      <c r="H9" s="11"/>
      <c r="I9" s="5"/>
      <c r="J9" s="12" t="str">
        <f aca="false">IF(E9="",IF(COUNTA(C9:D9,F9:I9)&gt;0,"Falta o que mudou",""),IF(D9="","Falta o pedido",IF(COUNTIF(Pedidos!$C$7:$C$66,D9)=0,"Pedido não está na aba Pedidos",IF(G9="","Falta a análise",IF(H9&lt;&gt;"Sim","Documentos não atualizados",IF(I9="","Falta quem foi informado","OK"))))))</f>
        <v/>
      </c>
    </row>
    <row r="10" customFormat="false" ht="30" hidden="false" customHeight="true" outlineLevel="0" collapsed="false">
      <c r="B10" s="10" t="n">
        <v>4</v>
      </c>
      <c r="C10" s="19"/>
      <c r="D10" s="11"/>
      <c r="E10" s="5"/>
      <c r="F10" s="5"/>
      <c r="G10" s="5"/>
      <c r="H10" s="11"/>
      <c r="I10" s="5"/>
      <c r="J10" s="12" t="str">
        <f aca="false">IF(E10="",IF(COUNTA(C10:D10,F10:I10)&gt;0,"Falta o que mudou",""),IF(D10="","Falta o pedido",IF(COUNTIF(Pedidos!$C$7:$C$66,D10)=0,"Pedido não está na aba Pedidos",IF(G10="","Falta a análise",IF(H10&lt;&gt;"Sim","Documentos não atualizados",IF(I10="","Falta quem foi informado","OK"))))))</f>
        <v/>
      </c>
    </row>
    <row r="11" customFormat="false" ht="30" hidden="false" customHeight="true" outlineLevel="0" collapsed="false">
      <c r="B11" s="10" t="n">
        <v>5</v>
      </c>
      <c r="C11" s="19"/>
      <c r="D11" s="11"/>
      <c r="E11" s="5"/>
      <c r="F11" s="5"/>
      <c r="G11" s="5"/>
      <c r="H11" s="11"/>
      <c r="I11" s="5"/>
      <c r="J11" s="12" t="str">
        <f aca="false">IF(E11="",IF(COUNTA(C11:D11,F11:I11)&gt;0,"Falta o que mudou",""),IF(D11="","Falta o pedido",IF(COUNTIF(Pedidos!$C$7:$C$66,D11)=0,"Pedido não está na aba Pedidos",IF(G11="","Falta a análise",IF(H11&lt;&gt;"Sim","Documentos não atualizados",IF(I11="","Falta quem foi informado","OK"))))))</f>
        <v/>
      </c>
    </row>
    <row r="12" customFormat="false" ht="30" hidden="false" customHeight="true" outlineLevel="0" collapsed="false">
      <c r="B12" s="10" t="n">
        <v>6</v>
      </c>
      <c r="C12" s="19"/>
      <c r="D12" s="11"/>
      <c r="E12" s="5"/>
      <c r="F12" s="5"/>
      <c r="G12" s="5"/>
      <c r="H12" s="11"/>
      <c r="I12" s="5"/>
      <c r="J12" s="12" t="str">
        <f aca="false">IF(E12="",IF(COUNTA(C12:D12,F12:I12)&gt;0,"Falta o que mudou",""),IF(D12="","Falta o pedido",IF(COUNTIF(Pedidos!$C$7:$C$66,D12)=0,"Pedido não está na aba Pedidos",IF(G12="","Falta a análise",IF(H12&lt;&gt;"Sim","Documentos não atualizados",IF(I12="","Falta quem foi informado","OK"))))))</f>
        <v/>
      </c>
    </row>
    <row r="13" customFormat="false" ht="30" hidden="false" customHeight="true" outlineLevel="0" collapsed="false">
      <c r="B13" s="10" t="n">
        <v>7</v>
      </c>
      <c r="C13" s="19"/>
      <c r="D13" s="11"/>
      <c r="E13" s="5"/>
      <c r="F13" s="5"/>
      <c r="G13" s="5"/>
      <c r="H13" s="11"/>
      <c r="I13" s="5"/>
      <c r="J13" s="12" t="str">
        <f aca="false">IF(E13="",IF(COUNTA(C13:D13,F13:I13)&gt;0,"Falta o que mudou",""),IF(D13="","Falta o pedido",IF(COUNTIF(Pedidos!$C$7:$C$66,D13)=0,"Pedido não está na aba Pedidos",IF(G13="","Falta a análise",IF(H13&lt;&gt;"Sim","Documentos não atualizados",IF(I13="","Falta quem foi informado","OK"))))))</f>
        <v/>
      </c>
    </row>
    <row r="14" customFormat="false" ht="30" hidden="false" customHeight="true" outlineLevel="0" collapsed="false">
      <c r="B14" s="10" t="n">
        <v>8</v>
      </c>
      <c r="C14" s="19"/>
      <c r="D14" s="11"/>
      <c r="E14" s="5"/>
      <c r="F14" s="5"/>
      <c r="G14" s="5"/>
      <c r="H14" s="11"/>
      <c r="I14" s="5"/>
      <c r="J14" s="12" t="str">
        <f aca="false">IF(E14="",IF(COUNTA(C14:D14,F14:I14)&gt;0,"Falta o que mudou",""),IF(D14="","Falta o pedido",IF(COUNTIF(Pedidos!$C$7:$C$66,D14)=0,"Pedido não está na aba Pedidos",IF(G14="","Falta a análise",IF(H14&lt;&gt;"Sim","Documentos não atualizados",IF(I14="","Falta quem foi informado","OK"))))))</f>
        <v/>
      </c>
    </row>
    <row r="15" customFormat="false" ht="30" hidden="false" customHeight="true" outlineLevel="0" collapsed="false">
      <c r="B15" s="10" t="n">
        <v>9</v>
      </c>
      <c r="C15" s="19"/>
      <c r="D15" s="11"/>
      <c r="E15" s="5"/>
      <c r="F15" s="5"/>
      <c r="G15" s="5"/>
      <c r="H15" s="11"/>
      <c r="I15" s="5"/>
      <c r="J15" s="12" t="str">
        <f aca="false">IF(E15="",IF(COUNTA(C15:D15,F15:I15)&gt;0,"Falta o que mudou",""),IF(D15="","Falta o pedido",IF(COUNTIF(Pedidos!$C$7:$C$66,D15)=0,"Pedido não está na aba Pedidos",IF(G15="","Falta a análise",IF(H15&lt;&gt;"Sim","Documentos não atualizados",IF(I15="","Falta quem foi informado","OK"))))))</f>
        <v/>
      </c>
    </row>
    <row r="16" customFormat="false" ht="30" hidden="false" customHeight="true" outlineLevel="0" collapsed="false">
      <c r="B16" s="10" t="n">
        <v>10</v>
      </c>
      <c r="C16" s="19"/>
      <c r="D16" s="11"/>
      <c r="E16" s="5"/>
      <c r="F16" s="5"/>
      <c r="G16" s="5"/>
      <c r="H16" s="11"/>
      <c r="I16" s="5"/>
      <c r="J16" s="12" t="str">
        <f aca="false">IF(E16="",IF(COUNTA(C16:D16,F16:I16)&gt;0,"Falta o que mudou",""),IF(D16="","Falta o pedido",IF(COUNTIF(Pedidos!$C$7:$C$66,D16)=0,"Pedido não está na aba Pedidos",IF(G16="","Falta a análise",IF(H16&lt;&gt;"Sim","Documentos não atualizados",IF(I16="","Falta quem foi informado","OK"))))))</f>
        <v/>
      </c>
    </row>
    <row r="17" customFormat="false" ht="30" hidden="false" customHeight="true" outlineLevel="0" collapsed="false">
      <c r="B17" s="10" t="n">
        <v>11</v>
      </c>
      <c r="C17" s="19"/>
      <c r="D17" s="11"/>
      <c r="E17" s="5"/>
      <c r="F17" s="5"/>
      <c r="G17" s="5"/>
      <c r="H17" s="11"/>
      <c r="I17" s="5"/>
      <c r="J17" s="12" t="str">
        <f aca="false">IF(E17="",IF(COUNTA(C17:D17,F17:I17)&gt;0,"Falta o que mudou",""),IF(D17="","Falta o pedido",IF(COUNTIF(Pedidos!$C$7:$C$66,D17)=0,"Pedido não está na aba Pedidos",IF(G17="","Falta a análise",IF(H17&lt;&gt;"Sim","Documentos não atualizados",IF(I17="","Falta quem foi informado","OK"))))))</f>
        <v/>
      </c>
    </row>
    <row r="18" customFormat="false" ht="30" hidden="false" customHeight="true" outlineLevel="0" collapsed="false">
      <c r="B18" s="10" t="n">
        <v>12</v>
      </c>
      <c r="C18" s="19"/>
      <c r="D18" s="11"/>
      <c r="E18" s="5"/>
      <c r="F18" s="5"/>
      <c r="G18" s="5"/>
      <c r="H18" s="11"/>
      <c r="I18" s="5"/>
      <c r="J18" s="12" t="str">
        <f aca="false">IF(E18="",IF(COUNTA(C18:D18,F18:I18)&gt;0,"Falta o que mudou",""),IF(D18="","Falta o pedido",IF(COUNTIF(Pedidos!$C$7:$C$66,D18)=0,"Pedido não está na aba Pedidos",IF(G18="","Falta a análise",IF(H18&lt;&gt;"Sim","Documentos não atualizados",IF(I18="","Falta quem foi informado","OK"))))))</f>
        <v/>
      </c>
    </row>
    <row r="19" customFormat="false" ht="30" hidden="false" customHeight="true" outlineLevel="0" collapsed="false">
      <c r="B19" s="10" t="n">
        <v>13</v>
      </c>
      <c r="C19" s="19"/>
      <c r="D19" s="11"/>
      <c r="E19" s="5"/>
      <c r="F19" s="5"/>
      <c r="G19" s="5"/>
      <c r="H19" s="11"/>
      <c r="I19" s="5"/>
      <c r="J19" s="12" t="str">
        <f aca="false">IF(E19="",IF(COUNTA(C19:D19,F19:I19)&gt;0,"Falta o que mudou",""),IF(D19="","Falta o pedido",IF(COUNTIF(Pedidos!$C$7:$C$66,D19)=0,"Pedido não está na aba Pedidos",IF(G19="","Falta a análise",IF(H19&lt;&gt;"Sim","Documentos não atualizados",IF(I19="","Falta quem foi informado","OK"))))))</f>
        <v/>
      </c>
    </row>
    <row r="20" customFormat="false" ht="30" hidden="false" customHeight="true" outlineLevel="0" collapsed="false">
      <c r="B20" s="10" t="n">
        <v>14</v>
      </c>
      <c r="C20" s="19"/>
      <c r="D20" s="11"/>
      <c r="E20" s="5"/>
      <c r="F20" s="5"/>
      <c r="G20" s="5"/>
      <c r="H20" s="11"/>
      <c r="I20" s="5"/>
      <c r="J20" s="12" t="str">
        <f aca="false">IF(E20="",IF(COUNTA(C20:D20,F20:I20)&gt;0,"Falta o que mudou",""),IF(D20="","Falta o pedido",IF(COUNTIF(Pedidos!$C$7:$C$66,D20)=0,"Pedido não está na aba Pedidos",IF(G20="","Falta a análise",IF(H20&lt;&gt;"Sim","Documentos não atualizados",IF(I20="","Falta quem foi informado","OK"))))))</f>
        <v/>
      </c>
    </row>
    <row r="21" customFormat="false" ht="30" hidden="false" customHeight="true" outlineLevel="0" collapsed="false">
      <c r="B21" s="10" t="n">
        <v>15</v>
      </c>
      <c r="C21" s="19"/>
      <c r="D21" s="11"/>
      <c r="E21" s="5"/>
      <c r="F21" s="5"/>
      <c r="G21" s="5"/>
      <c r="H21" s="11"/>
      <c r="I21" s="5"/>
      <c r="J21" s="12" t="str">
        <f aca="false">IF(E21="",IF(COUNTA(C21:D21,F21:I21)&gt;0,"Falta o que mudou",""),IF(D21="","Falta o pedido",IF(COUNTIF(Pedidos!$C$7:$C$66,D21)=0,"Pedido não está na aba Pedidos",IF(G21="","Falta a análise",IF(H21&lt;&gt;"Sim","Documentos não atualizados",IF(I21="","Falta quem foi informado","OK"))))))</f>
        <v/>
      </c>
    </row>
    <row r="22" customFormat="false" ht="30" hidden="false" customHeight="true" outlineLevel="0" collapsed="false">
      <c r="B22" s="10" t="n">
        <v>16</v>
      </c>
      <c r="C22" s="19"/>
      <c r="D22" s="11"/>
      <c r="E22" s="5"/>
      <c r="F22" s="5"/>
      <c r="G22" s="5"/>
      <c r="H22" s="11"/>
      <c r="I22" s="5"/>
      <c r="J22" s="12" t="str">
        <f aca="false">IF(E22="",IF(COUNTA(C22:D22,F22:I22)&gt;0,"Falta o que mudou",""),IF(D22="","Falta o pedido",IF(COUNTIF(Pedidos!$C$7:$C$66,D22)=0,"Pedido não está na aba Pedidos",IF(G22="","Falta a análise",IF(H22&lt;&gt;"Sim","Documentos não atualizados",IF(I22="","Falta quem foi informado","OK"))))))</f>
        <v/>
      </c>
    </row>
    <row r="23" customFormat="false" ht="30" hidden="false" customHeight="true" outlineLevel="0" collapsed="false">
      <c r="B23" s="10" t="n">
        <v>17</v>
      </c>
      <c r="C23" s="19"/>
      <c r="D23" s="11"/>
      <c r="E23" s="5"/>
      <c r="F23" s="5"/>
      <c r="G23" s="5"/>
      <c r="H23" s="11"/>
      <c r="I23" s="5"/>
      <c r="J23" s="12" t="str">
        <f aca="false">IF(E23="",IF(COUNTA(C23:D23,F23:I23)&gt;0,"Falta o que mudou",""),IF(D23="","Falta o pedido",IF(COUNTIF(Pedidos!$C$7:$C$66,D23)=0,"Pedido não está na aba Pedidos",IF(G23="","Falta a análise",IF(H23&lt;&gt;"Sim","Documentos não atualizados",IF(I23="","Falta quem foi informado","OK"))))))</f>
        <v/>
      </c>
    </row>
    <row r="24" customFormat="false" ht="30" hidden="false" customHeight="true" outlineLevel="0" collapsed="false">
      <c r="B24" s="10" t="n">
        <v>18</v>
      </c>
      <c r="C24" s="19"/>
      <c r="D24" s="11"/>
      <c r="E24" s="5"/>
      <c r="F24" s="5"/>
      <c r="G24" s="5"/>
      <c r="H24" s="11"/>
      <c r="I24" s="5"/>
      <c r="J24" s="12" t="str">
        <f aca="false">IF(E24="",IF(COUNTA(C24:D24,F24:I24)&gt;0,"Falta o que mudou",""),IF(D24="","Falta o pedido",IF(COUNTIF(Pedidos!$C$7:$C$66,D24)=0,"Pedido não está na aba Pedidos",IF(G24="","Falta a análise",IF(H24&lt;&gt;"Sim","Documentos não atualizados",IF(I24="","Falta quem foi informado","OK"))))))</f>
        <v/>
      </c>
    </row>
    <row r="25" customFormat="false" ht="30" hidden="false" customHeight="true" outlineLevel="0" collapsed="false">
      <c r="B25" s="10" t="n">
        <v>19</v>
      </c>
      <c r="C25" s="19"/>
      <c r="D25" s="11"/>
      <c r="E25" s="5"/>
      <c r="F25" s="5"/>
      <c r="G25" s="5"/>
      <c r="H25" s="11"/>
      <c r="I25" s="5"/>
      <c r="J25" s="12" t="str">
        <f aca="false">IF(E25="",IF(COUNTA(C25:D25,F25:I25)&gt;0,"Falta o que mudou",""),IF(D25="","Falta o pedido",IF(COUNTIF(Pedidos!$C$7:$C$66,D25)=0,"Pedido não está na aba Pedidos",IF(G25="","Falta a análise",IF(H25&lt;&gt;"Sim","Documentos não atualizados",IF(I25="","Falta quem foi informado","OK"))))))</f>
        <v/>
      </c>
    </row>
    <row r="26" customFormat="false" ht="30" hidden="false" customHeight="true" outlineLevel="0" collapsed="false">
      <c r="B26" s="10" t="n">
        <v>20</v>
      </c>
      <c r="C26" s="19"/>
      <c r="D26" s="11"/>
      <c r="E26" s="5"/>
      <c r="F26" s="5"/>
      <c r="G26" s="5"/>
      <c r="H26" s="11"/>
      <c r="I26" s="5"/>
      <c r="J26" s="12" t="str">
        <f aca="false">IF(E26="",IF(COUNTA(C26:D26,F26:I26)&gt;0,"Falta o que mudou",""),IF(D26="","Falta o pedido",IF(COUNTIF(Pedidos!$C$7:$C$66,D26)=0,"Pedido não está na aba Pedidos",IF(G26="","Falta a análise",IF(H26&lt;&gt;"Sim","Documentos não atualizados",IF(I26="","Falta quem foi informado","OK"))))))</f>
        <v/>
      </c>
    </row>
    <row r="27" customFormat="false" ht="30" hidden="false" customHeight="true" outlineLevel="0" collapsed="false">
      <c r="B27" s="10" t="n">
        <v>21</v>
      </c>
      <c r="C27" s="19"/>
      <c r="D27" s="11"/>
      <c r="E27" s="5"/>
      <c r="F27" s="5"/>
      <c r="G27" s="5"/>
      <c r="H27" s="11"/>
      <c r="I27" s="5"/>
      <c r="J27" s="12" t="str">
        <f aca="false">IF(E27="",IF(COUNTA(C27:D27,F27:I27)&gt;0,"Falta o que mudou",""),IF(D27="","Falta o pedido",IF(COUNTIF(Pedidos!$C$7:$C$66,D27)=0,"Pedido não está na aba Pedidos",IF(G27="","Falta a análise",IF(H27&lt;&gt;"Sim","Documentos não atualizados",IF(I27="","Falta quem foi informado","OK"))))))</f>
        <v/>
      </c>
    </row>
    <row r="28" customFormat="false" ht="30" hidden="false" customHeight="true" outlineLevel="0" collapsed="false">
      <c r="B28" s="10" t="n">
        <v>22</v>
      </c>
      <c r="C28" s="19"/>
      <c r="D28" s="11"/>
      <c r="E28" s="5"/>
      <c r="F28" s="5"/>
      <c r="G28" s="5"/>
      <c r="H28" s="11"/>
      <c r="I28" s="5"/>
      <c r="J28" s="12" t="str">
        <f aca="false">IF(E28="",IF(COUNTA(C28:D28,F28:I28)&gt;0,"Falta o que mudou",""),IF(D28="","Falta o pedido",IF(COUNTIF(Pedidos!$C$7:$C$66,D28)=0,"Pedido não está na aba Pedidos",IF(G28="","Falta a análise",IF(H28&lt;&gt;"Sim","Documentos não atualizados",IF(I28="","Falta quem foi informado","OK"))))))</f>
        <v/>
      </c>
    </row>
    <row r="29" customFormat="false" ht="30" hidden="false" customHeight="true" outlineLevel="0" collapsed="false">
      <c r="B29" s="10" t="n">
        <v>23</v>
      </c>
      <c r="C29" s="19"/>
      <c r="D29" s="11"/>
      <c r="E29" s="5"/>
      <c r="F29" s="5"/>
      <c r="G29" s="5"/>
      <c r="H29" s="11"/>
      <c r="I29" s="5"/>
      <c r="J29" s="12" t="str">
        <f aca="false">IF(E29="",IF(COUNTA(C29:D29,F29:I29)&gt;0,"Falta o que mudou",""),IF(D29="","Falta o pedido",IF(COUNTIF(Pedidos!$C$7:$C$66,D29)=0,"Pedido não está na aba Pedidos",IF(G29="","Falta a análise",IF(H29&lt;&gt;"Sim","Documentos não atualizados",IF(I29="","Falta quem foi informado","OK"))))))</f>
        <v/>
      </c>
    </row>
    <row r="30" customFormat="false" ht="30" hidden="false" customHeight="true" outlineLevel="0" collapsed="false">
      <c r="B30" s="10" t="n">
        <v>24</v>
      </c>
      <c r="C30" s="19"/>
      <c r="D30" s="11"/>
      <c r="E30" s="5"/>
      <c r="F30" s="5"/>
      <c r="G30" s="5"/>
      <c r="H30" s="11"/>
      <c r="I30" s="5"/>
      <c r="J30" s="12" t="str">
        <f aca="false">IF(E30="",IF(COUNTA(C30:D30,F30:I30)&gt;0,"Falta o que mudou",""),IF(D30="","Falta o pedido",IF(COUNTIF(Pedidos!$C$7:$C$66,D30)=0,"Pedido não está na aba Pedidos",IF(G30="","Falta a análise",IF(H30&lt;&gt;"Sim","Documentos não atualizados",IF(I30="","Falta quem foi informado","OK"))))))</f>
        <v/>
      </c>
    </row>
    <row r="31" customFormat="false" ht="30" hidden="false" customHeight="true" outlineLevel="0" collapsed="false">
      <c r="B31" s="10" t="n">
        <v>25</v>
      </c>
      <c r="C31" s="19"/>
      <c r="D31" s="11"/>
      <c r="E31" s="5"/>
      <c r="F31" s="5"/>
      <c r="G31" s="5"/>
      <c r="H31" s="11"/>
      <c r="I31" s="5"/>
      <c r="J31" s="12" t="str">
        <f aca="false">IF(E31="",IF(COUNTA(C31:D31,F31:I31)&gt;0,"Falta o que mudou",""),IF(D31="","Falta o pedido",IF(COUNTIF(Pedidos!$C$7:$C$66,D31)=0,"Pedido não está na aba Pedidos",IF(G31="","Falta a análise",IF(H31&lt;&gt;"Sim","Documentos não atualizados",IF(I31="","Falta quem foi informado","OK"))))))</f>
        <v/>
      </c>
    </row>
    <row r="32" customFormat="false" ht="30" hidden="false" customHeight="true" outlineLevel="0" collapsed="false">
      <c r="B32" s="10" t="n">
        <v>26</v>
      </c>
      <c r="C32" s="19"/>
      <c r="D32" s="11"/>
      <c r="E32" s="5"/>
      <c r="F32" s="5"/>
      <c r="G32" s="5"/>
      <c r="H32" s="11"/>
      <c r="I32" s="5"/>
      <c r="J32" s="12" t="str">
        <f aca="false">IF(E32="",IF(COUNTA(C32:D32,F32:I32)&gt;0,"Falta o que mudou",""),IF(D32="","Falta o pedido",IF(COUNTIF(Pedidos!$C$7:$C$66,D32)=0,"Pedido não está na aba Pedidos",IF(G32="","Falta a análise",IF(H32&lt;&gt;"Sim","Documentos não atualizados",IF(I32="","Falta quem foi informado","OK"))))))</f>
        <v/>
      </c>
    </row>
    <row r="33" customFormat="false" ht="30" hidden="false" customHeight="true" outlineLevel="0" collapsed="false">
      <c r="B33" s="10" t="n">
        <v>27</v>
      </c>
      <c r="C33" s="19"/>
      <c r="D33" s="11"/>
      <c r="E33" s="5"/>
      <c r="F33" s="5"/>
      <c r="G33" s="5"/>
      <c r="H33" s="11"/>
      <c r="I33" s="5"/>
      <c r="J33" s="12" t="str">
        <f aca="false">IF(E33="",IF(COUNTA(C33:D33,F33:I33)&gt;0,"Falta o que mudou",""),IF(D33="","Falta o pedido",IF(COUNTIF(Pedidos!$C$7:$C$66,D33)=0,"Pedido não está na aba Pedidos",IF(G33="","Falta a análise",IF(H33&lt;&gt;"Sim","Documentos não atualizados",IF(I33="","Falta quem foi informado","OK"))))))</f>
        <v/>
      </c>
    </row>
    <row r="34" customFormat="false" ht="30" hidden="false" customHeight="true" outlineLevel="0" collapsed="false">
      <c r="B34" s="10" t="n">
        <v>28</v>
      </c>
      <c r="C34" s="19"/>
      <c r="D34" s="11"/>
      <c r="E34" s="5"/>
      <c r="F34" s="5"/>
      <c r="G34" s="5"/>
      <c r="H34" s="11"/>
      <c r="I34" s="5"/>
      <c r="J34" s="12" t="str">
        <f aca="false">IF(E34="",IF(COUNTA(C34:D34,F34:I34)&gt;0,"Falta o que mudou",""),IF(D34="","Falta o pedido",IF(COUNTIF(Pedidos!$C$7:$C$66,D34)=0,"Pedido não está na aba Pedidos",IF(G34="","Falta a análise",IF(H34&lt;&gt;"Sim","Documentos não atualizados",IF(I34="","Falta quem foi informado","OK"))))))</f>
        <v/>
      </c>
    </row>
    <row r="35" customFormat="false" ht="30" hidden="false" customHeight="true" outlineLevel="0" collapsed="false">
      <c r="B35" s="10" t="n">
        <v>29</v>
      </c>
      <c r="C35" s="19"/>
      <c r="D35" s="11"/>
      <c r="E35" s="5"/>
      <c r="F35" s="5"/>
      <c r="G35" s="5"/>
      <c r="H35" s="11"/>
      <c r="I35" s="5"/>
      <c r="J35" s="12" t="str">
        <f aca="false">IF(E35="",IF(COUNTA(C35:D35,F35:I35)&gt;0,"Falta o que mudou",""),IF(D35="","Falta o pedido",IF(COUNTIF(Pedidos!$C$7:$C$66,D35)=0,"Pedido não está na aba Pedidos",IF(G35="","Falta a análise",IF(H35&lt;&gt;"Sim","Documentos não atualizados",IF(I35="","Falta quem foi informado","OK"))))))</f>
        <v/>
      </c>
    </row>
    <row r="36" customFormat="false" ht="30" hidden="false" customHeight="true" outlineLevel="0" collapsed="false">
      <c r="B36" s="10" t="n">
        <v>30</v>
      </c>
      <c r="C36" s="19"/>
      <c r="D36" s="11"/>
      <c r="E36" s="5"/>
      <c r="F36" s="5"/>
      <c r="G36" s="5"/>
      <c r="H36" s="11"/>
      <c r="I36" s="5"/>
      <c r="J36" s="12" t="str">
        <f aca="false">IF(E36="",IF(COUNTA(C36:D36,F36:I36)&gt;0,"Falta o que mudou",""),IF(D36="","Falta o pedido",IF(COUNTIF(Pedidos!$C$7:$C$66,D36)=0,"Pedido não está na aba Pedidos",IF(G36="","Falta a análise",IF(H36&lt;&gt;"Sim","Documentos não atualizados",IF(I36="","Falta quem foi informado","OK"))))))</f>
        <v/>
      </c>
    </row>
    <row r="38" customFormat="false" ht="21.75" hidden="false" customHeight="true" outlineLevel="0" collapsed="false">
      <c r="B38" s="13" t="s">
        <v>94</v>
      </c>
      <c r="C38" s="13"/>
      <c r="D38" s="13"/>
      <c r="E38" s="13"/>
      <c r="F38" s="13"/>
      <c r="G38" s="13"/>
      <c r="H38" s="13"/>
      <c r="I38" s="13"/>
      <c r="J38" s="13"/>
    </row>
    <row r="39" customFormat="false" ht="21.75" hidden="false" customHeight="true" outlineLevel="0" collapsed="false">
      <c r="B39" s="14" t="s">
        <v>153</v>
      </c>
      <c r="C39" s="14"/>
      <c r="D39" s="14"/>
      <c r="E39" s="15" t="n">
        <f aca="false">COUNTA(E7:E36)</f>
        <v>0</v>
      </c>
      <c r="F39" s="15"/>
      <c r="G39" s="15"/>
      <c r="H39" s="15"/>
      <c r="I39" s="15"/>
      <c r="J39" s="15"/>
    </row>
    <row r="40" customFormat="false" ht="21.75" hidden="false" customHeight="true" outlineLevel="0" collapsed="false">
      <c r="B40" s="14" t="s">
        <v>154</v>
      </c>
      <c r="C40" s="14"/>
      <c r="D40" s="14"/>
      <c r="E40" s="15" t="n">
        <f aca="false">SUMPRODUCT((J7:J36&lt;&gt;"")*(J7:J36&lt;&gt;"OK"))</f>
        <v>0</v>
      </c>
      <c r="F40" s="15"/>
      <c r="G40" s="15"/>
      <c r="H40" s="15"/>
      <c r="I40" s="15"/>
      <c r="J40" s="15"/>
    </row>
    <row r="41" customFormat="false" ht="21.75" hidden="false" customHeight="true" outlineLevel="0" collapsed="false">
      <c r="B41" s="14" t="s">
        <v>96</v>
      </c>
      <c r="C41" s="14"/>
      <c r="D41" s="14"/>
      <c r="E41" s="16" t="str">
        <f aca="false">IF(E39=0,"Nenhuma mudança registrada: confirme se nenhum pedido mudou",IF(E40&gt;0,"Há mudança a rever: veja a coluna Conferência","OK"))</f>
        <v>Nenhuma mudança registrada: confirme se nenhum pedido mudou</v>
      </c>
      <c r="F41" s="16"/>
      <c r="G41" s="16"/>
      <c r="H41" s="16"/>
      <c r="I41" s="16"/>
      <c r="J41" s="16"/>
    </row>
  </sheetData>
  <mergeCells count="9">
    <mergeCell ref="B1:J1"/>
    <mergeCell ref="B2:J2"/>
    <mergeCell ref="B38:J38"/>
    <mergeCell ref="B39:D39"/>
    <mergeCell ref="E39:J39"/>
    <mergeCell ref="B40:D40"/>
    <mergeCell ref="E40:J40"/>
    <mergeCell ref="B41:D41"/>
    <mergeCell ref="E41:J41"/>
  </mergeCells>
  <conditionalFormatting sqref="J7:J36">
    <cfRule type="expression" priority="2" aboveAverage="0" equalAverage="0" bottom="0" percent="0" rank="0" text="" dxfId="0">
      <formula>OR(J7="OK")</formula>
    </cfRule>
    <cfRule type="expression" priority="3" aboveAverage="0" equalAverage="0" bottom="0" percent="0" rank="0" text="" dxfId="1">
      <formula>AND(LEN(J7)&gt;0,NOT(OR(J7="OK")))</formula>
    </cfRule>
  </conditionalFormatting>
  <conditionalFormatting sqref="E41:J41">
    <cfRule type="expression" priority="4" aboveAverage="0" equalAverage="0" bottom="0" percent="0" rank="0" text="" dxfId="0">
      <formula>OR(E41="OK",E41="Nenhuma mudança registrada: confirme se nenhum pedido mudou")</formula>
    </cfRule>
    <cfRule type="expression" priority="5" aboveAverage="0" equalAverage="0" bottom="0" percent="0" rank="0" text="" dxfId="1">
      <formula>AND(LEN(E41)&gt;0,NOT(OR(E41="OK",E41="Nenhuma mudança registrada: confirme se nenhum pedido mudou")))</formula>
    </cfRule>
  </conditionalFormatting>
  <dataValidations count="2">
    <dataValidation allowBlank="true" error="Digite uma data no formato dia/mês/ano." errorStyle="stop" errorTitle="Data inválida" operator="greaterThanOrEqual" showDropDown="false" showErrorMessage="true" showInputMessage="false" sqref="C7:C36" type="date">
      <formula1>36526</formula1>
      <formula2>0</formula2>
    </dataValidation>
    <dataValidation allowBlank="true" error="Escolha uma das opções da lista." errorStyle="stop" errorTitle="Valor inválido" operator="between" prompt="O pedido, a ordem de produção e os demais documentos foram atualizados?" promptTitle="Opções" showDropDown="false" showErrorMessage="true" showInputMessage="true" sqref="H7:H36" type="list">
      <formula1>"Sim,Não"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413E"/>
    <pageSetUpPr fitToPage="true"/>
  </sheetPr>
  <dimension ref="B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30"/>
    <col collapsed="false" customWidth="true" hidden="false" outlineLevel="0" max="9" min="9" style="0" width="2"/>
  </cols>
  <sheetData>
    <row r="1" customFormat="false" ht="31.5" hidden="false" customHeight="true" outlineLevel="0" collapsed="false">
      <c r="B1" s="1" t="s">
        <v>155</v>
      </c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B2" s="2" t="s">
        <v>156</v>
      </c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B4" s="8" t="s">
        <v>157</v>
      </c>
      <c r="C4" s="8" t="s">
        <v>158</v>
      </c>
      <c r="D4" s="8" t="s">
        <v>159</v>
      </c>
      <c r="E4" s="8"/>
      <c r="F4" s="8"/>
      <c r="G4" s="8"/>
      <c r="H4" s="8"/>
    </row>
    <row r="5" customFormat="false" ht="21.75" hidden="false" customHeight="true" outlineLevel="0" collapsed="false">
      <c r="B5" s="4" t="s">
        <v>95</v>
      </c>
      <c r="C5" s="22" t="n">
        <f aca="false">COUNTA(Oferta!C6:C17)</f>
        <v>0</v>
      </c>
      <c r="D5" s="23" t="s">
        <v>160</v>
      </c>
      <c r="E5" s="23"/>
      <c r="F5" s="23"/>
      <c r="G5" s="23"/>
      <c r="H5" s="23"/>
    </row>
    <row r="6" customFormat="false" ht="21.75" hidden="false" customHeight="true" outlineLevel="0" collapsed="false">
      <c r="B6" s="4" t="s">
        <v>161</v>
      </c>
      <c r="C6" s="22" t="n">
        <f aca="false">SUMPRODUCT((Oferta!I6:I17&lt;&gt;"")*(Oferta!I6:I17&lt;&gt;"OK"))</f>
        <v>0</v>
      </c>
      <c r="D6" s="23" t="s">
        <v>162</v>
      </c>
      <c r="E6" s="23"/>
      <c r="F6" s="23"/>
      <c r="G6" s="23"/>
      <c r="H6" s="23"/>
    </row>
    <row r="7" customFormat="false" ht="21.75" hidden="false" customHeight="true" outlineLevel="0" collapsed="false">
      <c r="B7" s="4" t="s">
        <v>133</v>
      </c>
      <c r="C7" s="22" t="n">
        <f aca="false">COUNTA(Pedidos!C7:C66)</f>
        <v>0</v>
      </c>
      <c r="D7" s="23" t="s">
        <v>163</v>
      </c>
      <c r="E7" s="23"/>
      <c r="F7" s="23"/>
      <c r="G7" s="23"/>
      <c r="H7" s="23"/>
    </row>
    <row r="8" customFormat="false" ht="21.75" hidden="false" customHeight="true" outlineLevel="0" collapsed="false">
      <c r="B8" s="4" t="s">
        <v>164</v>
      </c>
      <c r="C8" s="22" t="n">
        <f aca="false">COUNTIF(Pedidos!S7:S66,"Aceito")</f>
        <v>0</v>
      </c>
      <c r="D8" s="23" t="s">
        <v>165</v>
      </c>
      <c r="E8" s="23"/>
      <c r="F8" s="23"/>
      <c r="G8" s="23"/>
      <c r="H8" s="23"/>
    </row>
    <row r="9" customFormat="false" ht="21.75" hidden="false" customHeight="true" outlineLevel="0" collapsed="false">
      <c r="B9" s="4" t="s">
        <v>129</v>
      </c>
      <c r="C9" s="22" t="n">
        <f aca="false">COUNTIF(Pedidos!S7:S66,"Aceito com alteração")</f>
        <v>0</v>
      </c>
      <c r="D9" s="23" t="s">
        <v>166</v>
      </c>
      <c r="E9" s="23"/>
      <c r="F9" s="23"/>
      <c r="G9" s="23"/>
      <c r="H9" s="23"/>
    </row>
    <row r="10" customFormat="false" ht="21.75" hidden="false" customHeight="true" outlineLevel="0" collapsed="false">
      <c r="B10" s="4" t="s">
        <v>167</v>
      </c>
      <c r="C10" s="22" t="n">
        <f aca="false">COUNTIF(Pedidos!S7:S66,"Recusado")</f>
        <v>0</v>
      </c>
      <c r="D10" s="23" t="s">
        <v>168</v>
      </c>
      <c r="E10" s="23"/>
      <c r="F10" s="23"/>
      <c r="G10" s="23"/>
      <c r="H10" s="23"/>
    </row>
    <row r="11" customFormat="false" ht="21.75" hidden="false" customHeight="true" outlineLevel="0" collapsed="false">
      <c r="B11" s="4" t="s">
        <v>169</v>
      </c>
      <c r="C11" s="22" t="n">
        <f aca="false">COUNTIF(Pedidos!S7:S66,"Em análise")</f>
        <v>0</v>
      </c>
      <c r="D11" s="23" t="s">
        <v>170</v>
      </c>
      <c r="E11" s="23"/>
      <c r="F11" s="23"/>
      <c r="G11" s="23"/>
      <c r="H11" s="23"/>
    </row>
    <row r="12" customFormat="false" ht="21.75" hidden="false" customHeight="true" outlineLevel="0" collapsed="false">
      <c r="B12" s="4" t="s">
        <v>171</v>
      </c>
      <c r="C12" s="22" t="n">
        <f aca="false">COUNTIF(Pedidos!R7:R66,"&gt;0")</f>
        <v>0</v>
      </c>
      <c r="D12" s="23" t="s">
        <v>172</v>
      </c>
      <c r="E12" s="23"/>
      <c r="F12" s="23"/>
      <c r="G12" s="23"/>
      <c r="H12" s="23"/>
    </row>
    <row r="13" customFormat="false" ht="21.75" hidden="false" customHeight="true" outlineLevel="0" collapsed="false">
      <c r="B13" s="4" t="s">
        <v>135</v>
      </c>
      <c r="C13" s="22" t="n">
        <f aca="false">SUMPRODUCT((Pedidos!X7:X66&lt;&gt;"")*(Pedidos!X7:X66&lt;&gt;"OK"))</f>
        <v>0</v>
      </c>
      <c r="D13" s="23" t="s">
        <v>173</v>
      </c>
      <c r="E13" s="23"/>
      <c r="F13" s="23"/>
      <c r="G13" s="23"/>
      <c r="H13" s="23"/>
    </row>
    <row r="14" customFormat="false" ht="21.75" hidden="false" customHeight="true" outlineLevel="0" collapsed="false">
      <c r="B14" s="4" t="s">
        <v>174</v>
      </c>
      <c r="C14" s="22" t="n">
        <f aca="false">COUNTIF(Pedidos!X7:X66,"Aceito com pendência na análise")</f>
        <v>0</v>
      </c>
      <c r="D14" s="23" t="s">
        <v>175</v>
      </c>
      <c r="E14" s="23"/>
      <c r="F14" s="23"/>
      <c r="G14" s="23"/>
      <c r="H14" s="23"/>
    </row>
    <row r="15" customFormat="false" ht="21.75" hidden="false" customHeight="true" outlineLevel="0" collapsed="false">
      <c r="B15" s="4" t="s">
        <v>176</v>
      </c>
      <c r="C15" s="22" t="n">
        <f aca="false">COUNTIF(Pedidos!X7:X66,"Analisado depois de aceitar")</f>
        <v>0</v>
      </c>
      <c r="D15" s="23" t="s">
        <v>177</v>
      </c>
      <c r="E15" s="23"/>
      <c r="F15" s="23"/>
      <c r="G15" s="23"/>
      <c r="H15" s="23"/>
    </row>
    <row r="16" customFormat="false" ht="21.75" hidden="false" customHeight="true" outlineLevel="0" collapsed="false">
      <c r="B16" s="4" t="s">
        <v>153</v>
      </c>
      <c r="C16" s="22" t="n">
        <f aca="false">COUNTA(Mudanças!E7:E36)</f>
        <v>0</v>
      </c>
      <c r="D16" s="23" t="s">
        <v>178</v>
      </c>
      <c r="E16" s="23"/>
      <c r="F16" s="23"/>
      <c r="G16" s="23"/>
      <c r="H16" s="23"/>
    </row>
    <row r="17" customFormat="false" ht="21.75" hidden="false" customHeight="true" outlineLevel="0" collapsed="false">
      <c r="B17" s="4" t="s">
        <v>154</v>
      </c>
      <c r="C17" s="22" t="n">
        <f aca="false">SUMPRODUCT((Mudanças!J7:J36&lt;&gt;"")*(Mudanças!J7:J36&lt;&gt;"OK"))</f>
        <v>0</v>
      </c>
      <c r="D17" s="23" t="s">
        <v>179</v>
      </c>
      <c r="E17" s="23"/>
      <c r="F17" s="23"/>
      <c r="G17" s="23"/>
      <c r="H17" s="23"/>
    </row>
    <row r="19" customFormat="false" ht="21.75" hidden="false" customHeight="true" outlineLevel="0" collapsed="false">
      <c r="B19" s="13" t="s">
        <v>180</v>
      </c>
      <c r="C19" s="13"/>
      <c r="D19" s="13"/>
      <c r="E19" s="13"/>
      <c r="F19" s="13"/>
      <c r="G19" s="13"/>
      <c r="H19" s="13"/>
    </row>
    <row r="20" customFormat="false" ht="30" hidden="false" customHeight="true" outlineLevel="0" collapsed="false">
      <c r="B20" s="8" t="s">
        <v>181</v>
      </c>
      <c r="C20" s="8" t="s">
        <v>127</v>
      </c>
      <c r="D20" s="8" t="s">
        <v>128</v>
      </c>
      <c r="E20" s="8" t="s">
        <v>182</v>
      </c>
      <c r="F20" s="8" t="s">
        <v>183</v>
      </c>
      <c r="G20" s="8" t="s">
        <v>184</v>
      </c>
      <c r="H20" s="8" t="s">
        <v>106</v>
      </c>
    </row>
    <row r="21" customFormat="false" ht="21.75" hidden="false" customHeight="true" outlineLevel="0" collapsed="false">
      <c r="B21" s="4" t="s">
        <v>14</v>
      </c>
      <c r="C21" s="21" t="n">
        <f aca="false">COUNTIF(Pedidos!J7:J66,"Sim")</f>
        <v>0</v>
      </c>
      <c r="D21" s="22" t="n">
        <f aca="false">COUNTIF(Pedidos!J7:J66,"Não")</f>
        <v>0</v>
      </c>
      <c r="E21" s="21" t="n">
        <f aca="false">COUNTIF(Pedidos!J7:J66,"Não se aplica")</f>
        <v>0</v>
      </c>
      <c r="F21" s="24" t="str">
        <f aca="false">IF(C21+D21=0,"",D21/(C21+D21))</f>
        <v/>
      </c>
      <c r="G21" s="21" t="n">
        <f aca="false">MAX(0,COUNTA(Pedidos!C7:C66)-C21-D21-E21)</f>
        <v>0</v>
      </c>
      <c r="H21" s="16" t="str">
        <f aca="false">IF(D21=0,"",IF(D21=MAX(D$21:D$27),"A que mais encontra problema: rever a oferta",""))</f>
        <v/>
      </c>
    </row>
    <row r="22" customFormat="false" ht="21.75" hidden="false" customHeight="true" outlineLevel="0" collapsed="false">
      <c r="B22" s="4" t="s">
        <v>16</v>
      </c>
      <c r="C22" s="21" t="n">
        <f aca="false">COUNTIF(Pedidos!K7:K66,"Sim")</f>
        <v>0</v>
      </c>
      <c r="D22" s="22" t="n">
        <f aca="false">COUNTIF(Pedidos!K7:K66,"Não")</f>
        <v>0</v>
      </c>
      <c r="E22" s="21" t="n">
        <f aca="false">COUNTIF(Pedidos!K7:K66,"Não se aplica")</f>
        <v>0</v>
      </c>
      <c r="F22" s="24" t="str">
        <f aca="false">IF(C22+D22=0,"",D22/(C22+D22))</f>
        <v/>
      </c>
      <c r="G22" s="21" t="n">
        <f aca="false">MAX(0,COUNTA(Pedidos!C7:C66)-C22-D22-E22)</f>
        <v>0</v>
      </c>
      <c r="H22" s="16" t="str">
        <f aca="false">IF(D22=0,"",IF(D22=MAX(D$21:D$27),"A que mais encontra problema: rever a oferta",""))</f>
        <v/>
      </c>
    </row>
    <row r="23" customFormat="false" ht="21.75" hidden="false" customHeight="true" outlineLevel="0" collapsed="false">
      <c r="B23" s="4" t="s">
        <v>18</v>
      </c>
      <c r="C23" s="21" t="n">
        <f aca="false">COUNTIF(Pedidos!L7:L66,"Sim")</f>
        <v>0</v>
      </c>
      <c r="D23" s="22" t="n">
        <f aca="false">COUNTIF(Pedidos!L7:L66,"Não")</f>
        <v>0</v>
      </c>
      <c r="E23" s="21" t="n">
        <f aca="false">COUNTIF(Pedidos!L7:L66,"Não se aplica")</f>
        <v>0</v>
      </c>
      <c r="F23" s="24" t="str">
        <f aca="false">IF(C23+D23=0,"",D23/(C23+D23))</f>
        <v/>
      </c>
      <c r="G23" s="21" t="n">
        <f aca="false">MAX(0,COUNTA(Pedidos!C7:C66)-C23-D23-E23)</f>
        <v>0</v>
      </c>
      <c r="H23" s="16" t="str">
        <f aca="false">IF(D23=0,"",IF(D23=MAX(D$21:D$27),"A que mais encontra problema: rever a oferta",""))</f>
        <v/>
      </c>
    </row>
    <row r="24" customFormat="false" ht="21.75" hidden="false" customHeight="true" outlineLevel="0" collapsed="false">
      <c r="B24" s="4" t="s">
        <v>20</v>
      </c>
      <c r="C24" s="21" t="n">
        <f aca="false">COUNTIF(Pedidos!M7:M66,"Sim")</f>
        <v>0</v>
      </c>
      <c r="D24" s="22" t="n">
        <f aca="false">COUNTIF(Pedidos!M7:M66,"Não")</f>
        <v>0</v>
      </c>
      <c r="E24" s="21" t="n">
        <f aca="false">COUNTIF(Pedidos!M7:M66,"Não se aplica")</f>
        <v>0</v>
      </c>
      <c r="F24" s="24" t="str">
        <f aca="false">IF(C24+D24=0,"",D24/(C24+D24))</f>
        <v/>
      </c>
      <c r="G24" s="21" t="n">
        <f aca="false">MAX(0,COUNTA(Pedidos!C7:C66)-C24-D24-E24)</f>
        <v>0</v>
      </c>
      <c r="H24" s="16" t="str">
        <f aca="false">IF(D24=0,"",IF(D24=MAX(D$21:D$27),"A que mais encontra problema: rever a oferta",""))</f>
        <v/>
      </c>
    </row>
    <row r="25" customFormat="false" ht="21.75" hidden="false" customHeight="true" outlineLevel="0" collapsed="false">
      <c r="B25" s="4" t="s">
        <v>22</v>
      </c>
      <c r="C25" s="21" t="n">
        <f aca="false">COUNTIF(Pedidos!N7:N66,"Sim")</f>
        <v>0</v>
      </c>
      <c r="D25" s="22" t="n">
        <f aca="false">COUNTIF(Pedidos!N7:N66,"Não")</f>
        <v>0</v>
      </c>
      <c r="E25" s="21" t="n">
        <f aca="false">COUNTIF(Pedidos!N7:N66,"Não se aplica")</f>
        <v>0</v>
      </c>
      <c r="F25" s="24" t="str">
        <f aca="false">IF(C25+D25=0,"",D25/(C25+D25))</f>
        <v/>
      </c>
      <c r="G25" s="21" t="n">
        <f aca="false">MAX(0,COUNTA(Pedidos!C7:C66)-C25-D25-E25)</f>
        <v>0</v>
      </c>
      <c r="H25" s="16" t="str">
        <f aca="false">IF(D25=0,"",IF(D25=MAX(D$21:D$27),"A que mais encontra problema: rever a oferta",""))</f>
        <v/>
      </c>
    </row>
    <row r="26" customFormat="false" ht="21.75" hidden="false" customHeight="true" outlineLevel="0" collapsed="false">
      <c r="B26" s="4" t="s">
        <v>24</v>
      </c>
      <c r="C26" s="21" t="n">
        <f aca="false">COUNTIF(Pedidos!O7:O66,"Sim")</f>
        <v>0</v>
      </c>
      <c r="D26" s="22" t="n">
        <f aca="false">COUNTIF(Pedidos!O7:O66,"Não")</f>
        <v>0</v>
      </c>
      <c r="E26" s="21" t="n">
        <f aca="false">COUNTIF(Pedidos!O7:O66,"Não se aplica")</f>
        <v>0</v>
      </c>
      <c r="F26" s="24" t="str">
        <f aca="false">IF(C26+D26=0,"",D26/(C26+D26))</f>
        <v/>
      </c>
      <c r="G26" s="21" t="n">
        <f aca="false">MAX(0,COUNTA(Pedidos!C7:C66)-C26-D26-E26)</f>
        <v>0</v>
      </c>
      <c r="H26" s="16" t="str">
        <f aca="false">IF(D26=0,"",IF(D26=MAX(D$21:D$27),"A que mais encontra problema: rever a oferta",""))</f>
        <v/>
      </c>
    </row>
    <row r="27" customFormat="false" ht="21.75" hidden="false" customHeight="true" outlineLevel="0" collapsed="false">
      <c r="B27" s="4" t="s">
        <v>26</v>
      </c>
      <c r="C27" s="21" t="n">
        <f aca="false">COUNTIF(Pedidos!P7:P66,"Sim")</f>
        <v>0</v>
      </c>
      <c r="D27" s="22" t="n">
        <f aca="false">COUNTIF(Pedidos!P7:P66,"Não")</f>
        <v>0</v>
      </c>
      <c r="E27" s="21" t="n">
        <f aca="false">COUNTIF(Pedidos!P7:P66,"Não se aplica")</f>
        <v>0</v>
      </c>
      <c r="F27" s="24" t="str">
        <f aca="false">IF(C27+D27=0,"",D27/(C27+D27))</f>
        <v/>
      </c>
      <c r="G27" s="21" t="n">
        <f aca="false">MAX(0,COUNTA(Pedidos!C7:C66)-C27-D27-E27)</f>
        <v>0</v>
      </c>
      <c r="H27" s="16" t="str">
        <f aca="false">IF(D27=0,"",IF(D27=MAX(D$21:D$27),"A que mais encontra problema: rever a oferta",""))</f>
        <v/>
      </c>
    </row>
    <row r="29" customFormat="false" ht="21.75" hidden="false" customHeight="true" outlineLevel="0" collapsed="false">
      <c r="B29" s="13" t="s">
        <v>94</v>
      </c>
      <c r="C29" s="13"/>
      <c r="D29" s="13"/>
      <c r="E29" s="13"/>
      <c r="F29" s="13"/>
      <c r="G29" s="13"/>
      <c r="H29" s="13"/>
    </row>
    <row r="30" customFormat="false" ht="21.75" hidden="false" customHeight="true" outlineLevel="0" collapsed="false">
      <c r="B30" s="4" t="s">
        <v>96</v>
      </c>
      <c r="C30" s="16" t="str">
        <f aca="false">IF(C7=0,"Registre os pedidos na aba Pedidos",IF(C14&gt;0,"Há pedido aceito com pendência na análise",IF(C15&gt;0,"Há pedido analisado depois de aceito",IF(C17&gt;0,"Há mudança sem análise, sem documentos ou sem aviso",IF(C6&gt;0,"Há item da oferta a rever",IF(C13&gt;0,"Há pedido a rever","OK"))))))</f>
        <v>Registre os pedidos na aba Pedidos</v>
      </c>
      <c r="D30" s="16"/>
      <c r="E30" s="16"/>
      <c r="F30" s="16"/>
      <c r="G30" s="16"/>
      <c r="H30" s="16"/>
    </row>
  </sheetData>
  <mergeCells count="19">
    <mergeCell ref="B1:H1"/>
    <mergeCell ref="B2:H2"/>
    <mergeCell ref="D4:H4"/>
    <mergeCell ref="D5:H5"/>
    <mergeCell ref="D6:H6"/>
    <mergeCell ref="D7:H7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B19:H19"/>
    <mergeCell ref="B29:H29"/>
    <mergeCell ref="C30:H30"/>
  </mergeCells>
  <conditionalFormatting sqref="C30:H30">
    <cfRule type="expression" priority="2" aboveAverage="0" equalAverage="0" bottom="0" percent="0" rank="0" text="" dxfId="0">
      <formula>OR(C30="OK")</formula>
    </cfRule>
    <cfRule type="expression" priority="3" aboveAverage="0" equalAverage="0" bottom="0" percent="0" rank="0" text="" dxfId="1">
      <formula>AND(LEN(C30)&gt;0,NOT(OR(C30="OK")))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185</v>
      </c>
      <c r="C1" s="1"/>
      <c r="D1" s="1"/>
      <c r="E1" s="1"/>
    </row>
    <row r="2" customFormat="false" ht="19.5" hidden="false" customHeight="true" outlineLevel="0" collapsed="false">
      <c r="B2" s="2" t="s">
        <v>186</v>
      </c>
      <c r="C2" s="2"/>
      <c r="D2" s="2"/>
      <c r="E2" s="2"/>
    </row>
    <row r="4" customFormat="false" ht="21.75" hidden="false" customHeight="true" outlineLevel="0" collapsed="false">
      <c r="B4" s="8" t="s">
        <v>79</v>
      </c>
      <c r="C4" s="8" t="s">
        <v>187</v>
      </c>
      <c r="D4" s="8" t="s">
        <v>188</v>
      </c>
      <c r="E4" s="8" t="s">
        <v>189</v>
      </c>
    </row>
    <row r="5" customFormat="false" ht="30" hidden="false" customHeight="true" outlineLevel="0" collapsed="false">
      <c r="B5" s="10" t="n">
        <v>1</v>
      </c>
      <c r="C5" s="6" t="s">
        <v>190</v>
      </c>
      <c r="D5" s="11"/>
      <c r="E5" s="5"/>
    </row>
    <row r="6" customFormat="false" ht="30" hidden="false" customHeight="true" outlineLevel="0" collapsed="false">
      <c r="B6" s="10" t="n">
        <v>2</v>
      </c>
      <c r="C6" s="6" t="s">
        <v>191</v>
      </c>
      <c r="D6" s="11"/>
      <c r="E6" s="5"/>
    </row>
    <row r="7" customFormat="false" ht="30" hidden="false" customHeight="true" outlineLevel="0" collapsed="false">
      <c r="B7" s="10" t="n">
        <v>3</v>
      </c>
      <c r="C7" s="6" t="s">
        <v>192</v>
      </c>
      <c r="D7" s="11"/>
      <c r="E7" s="5"/>
    </row>
    <row r="8" customFormat="false" ht="30" hidden="false" customHeight="true" outlineLevel="0" collapsed="false">
      <c r="B8" s="10" t="n">
        <v>4</v>
      </c>
      <c r="C8" s="6" t="s">
        <v>193</v>
      </c>
      <c r="D8" s="11"/>
      <c r="E8" s="5"/>
    </row>
    <row r="9" customFormat="false" ht="30" hidden="false" customHeight="true" outlineLevel="0" collapsed="false">
      <c r="B9" s="10" t="n">
        <v>5</v>
      </c>
      <c r="C9" s="6" t="s">
        <v>194</v>
      </c>
      <c r="D9" s="11"/>
      <c r="E9" s="5"/>
    </row>
    <row r="10" customFormat="false" ht="30" hidden="false" customHeight="true" outlineLevel="0" collapsed="false">
      <c r="B10" s="10" t="n">
        <v>6</v>
      </c>
      <c r="C10" s="6" t="s">
        <v>195</v>
      </c>
      <c r="D10" s="11"/>
      <c r="E10" s="5"/>
    </row>
    <row r="11" customFormat="false" ht="30" hidden="false" customHeight="true" outlineLevel="0" collapsed="false">
      <c r="B11" s="10" t="n">
        <v>7</v>
      </c>
      <c r="C11" s="6" t="s">
        <v>196</v>
      </c>
      <c r="D11" s="11"/>
      <c r="E11" s="5"/>
    </row>
    <row r="12" customFormat="false" ht="30" hidden="false" customHeight="true" outlineLevel="0" collapsed="false">
      <c r="B12" s="10" t="n">
        <v>8</v>
      </c>
      <c r="C12" s="6" t="s">
        <v>197</v>
      </c>
      <c r="D12" s="11"/>
      <c r="E12" s="5"/>
    </row>
    <row r="13" customFormat="false" ht="30" hidden="false" customHeight="true" outlineLevel="0" collapsed="false">
      <c r="B13" s="10" t="n">
        <v>9</v>
      </c>
      <c r="C13" s="6" t="s">
        <v>198</v>
      </c>
      <c r="D13" s="11"/>
      <c r="E13" s="5"/>
    </row>
    <row r="14" customFormat="false" ht="30" hidden="false" customHeight="true" outlineLevel="0" collapsed="false">
      <c r="B14" s="10" t="n">
        <v>10</v>
      </c>
      <c r="C14" s="6" t="s">
        <v>199</v>
      </c>
      <c r="D14" s="11"/>
      <c r="E14" s="5"/>
    </row>
    <row r="15" customFormat="false" ht="30" hidden="false" customHeight="true" outlineLevel="0" collapsed="false">
      <c r="B15" s="10" t="n">
        <v>11</v>
      </c>
      <c r="C15" s="6" t="s">
        <v>200</v>
      </c>
      <c r="D15" s="11"/>
      <c r="E15" s="5"/>
    </row>
    <row r="16" customFormat="false" ht="30" hidden="false" customHeight="true" outlineLevel="0" collapsed="false">
      <c r="B16" s="10" t="n">
        <v>12</v>
      </c>
      <c r="C16" s="6" t="s">
        <v>201</v>
      </c>
      <c r="D16" s="11"/>
      <c r="E16" s="5"/>
    </row>
    <row r="18" customFormat="false" ht="21.75" hidden="false" customHeight="true" outlineLevel="0" collapsed="false">
      <c r="B18" s="13" t="s">
        <v>94</v>
      </c>
      <c r="C18" s="13"/>
      <c r="D18" s="13"/>
      <c r="E18" s="13"/>
    </row>
    <row r="19" customFormat="false" ht="19.5" hidden="false" customHeight="true" outlineLevel="0" collapsed="false">
      <c r="B19" s="14" t="s">
        <v>202</v>
      </c>
      <c r="C19" s="14"/>
      <c r="D19" s="22" t="n">
        <f aca="false">COUNTIF(D5:D16,"Sim")</f>
        <v>0</v>
      </c>
    </row>
    <row r="20" customFormat="false" ht="19.5" hidden="false" customHeight="true" outlineLevel="0" collapsed="false">
      <c r="B20" s="14" t="s">
        <v>203</v>
      </c>
      <c r="C20" s="14"/>
      <c r="D20" s="22" t="n">
        <f aca="false">COUNTIF(D5:D16,"Parcial")</f>
        <v>0</v>
      </c>
    </row>
    <row r="21" customFormat="false" ht="19.5" hidden="false" customHeight="true" outlineLevel="0" collapsed="false">
      <c r="B21" s="14" t="s">
        <v>204</v>
      </c>
      <c r="C21" s="14"/>
      <c r="D21" s="22" t="n">
        <f aca="false">COUNTIF(D5:D16,"Não")</f>
        <v>0</v>
      </c>
    </row>
    <row r="22" customFormat="false" ht="19.5" hidden="false" customHeight="true" outlineLevel="0" collapsed="false">
      <c r="B22" s="14" t="s">
        <v>205</v>
      </c>
      <c r="C22" s="14"/>
      <c r="D22" s="22" t="n">
        <f aca="false">COUNTBLANK(D5:D16)</f>
        <v>12</v>
      </c>
    </row>
    <row r="23" customFormat="false" ht="19.5" hidden="false" customHeight="true" outlineLevel="0" collapsed="false">
      <c r="B23" s="14" t="s">
        <v>206</v>
      </c>
      <c r="C23" s="14"/>
      <c r="D23" s="25" t="n">
        <f aca="false">D19/ROWS(D5:D16)</f>
        <v>0</v>
      </c>
    </row>
    <row r="24" customFormat="false" ht="19.5" hidden="false" customHeight="true" outlineLevel="0" collapsed="false">
      <c r="B24" s="14" t="s">
        <v>207</v>
      </c>
      <c r="C24" s="14"/>
      <c r="D24" s="22" t="str">
        <f aca="false">IF(D19=ROWS(D5:D16),"Validado",IF(D22&gt;0,"Em andamento","Com pendências"))</f>
        <v>Em andamento</v>
      </c>
    </row>
  </sheetData>
  <mergeCells count="9">
    <mergeCell ref="B1:E1"/>
    <mergeCell ref="B2:E2"/>
    <mergeCell ref="B18:E18"/>
    <mergeCell ref="B19:C19"/>
    <mergeCell ref="B20:C20"/>
    <mergeCell ref="B21:C21"/>
    <mergeCell ref="B22:C22"/>
    <mergeCell ref="B23:C23"/>
    <mergeCell ref="B24:C24"/>
  </mergeCells>
  <conditionalFormatting sqref="D5:D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1">
      <formula>"Parcial"</formula>
    </cfRule>
    <cfRule type="cellIs" priority="4" operator="equal" aboveAverage="0" equalAverage="0" bottom="0" percent="0" rank="0" text="" dxfId="5">
      <formula>"Não"</formula>
    </cfRule>
  </conditionalFormatting>
  <dataValidations count="1">
    <dataValidation allowBlank="true" error="Escolha uma das opções da lista." errorStyle="stop" errorTitle="Valor inválido" operator="between" prompt="Sim, Parcial ou Não" promptTitle="Opções" showDropDown="false" showErrorMessage="true" showInputMessage="true" sqref="D5:D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T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17"/>
    <col collapsed="false" customWidth="true" hidden="false" outlineLevel="0" max="5" min="5" style="0" width="30"/>
    <col collapsed="false" customWidth="true" hidden="false" outlineLevel="0" max="6" min="6" style="0" width="9"/>
    <col collapsed="false" customWidth="true" hidden="false" outlineLevel="0" max="13" min="7" style="0" width="5.51"/>
    <col collapsed="false" customWidth="true" hidden="false" outlineLevel="0" max="15" min="14" style="0" width="17"/>
    <col collapsed="false" customWidth="true" hidden="false" outlineLevel="0" max="16" min="16" style="0" width="32"/>
    <col collapsed="false" customWidth="true" hidden="false" outlineLevel="0" max="17" min="17" style="0" width="18"/>
    <col collapsed="false" customWidth="true" hidden="false" outlineLevel="0" max="18" min="18" style="0" width="10"/>
    <col collapsed="false" customWidth="true" hidden="false" outlineLevel="0" max="19" min="19" style="0" width="12"/>
    <col collapsed="false" customWidth="true" hidden="false" outlineLevel="0" max="20" min="20" style="0" width="28"/>
    <col collapsed="false" customWidth="true" hidden="false" outlineLevel="0" max="21" min="21" style="0" width="2"/>
  </cols>
  <sheetData>
    <row r="1" customFormat="false" ht="31.5" hidden="false" customHeight="true" outlineLevel="0" collapsed="false">
      <c r="B1" s="1" t="s">
        <v>208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9.5" hidden="false" customHeight="true" outlineLevel="0" collapsed="false">
      <c r="B2" s="2" t="s">
        <v>209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19.5" hidden="false" customHeight="true" outlineLevel="0" collapsed="false">
      <c r="B4" s="4" t="s">
        <v>210</v>
      </c>
      <c r="C4" s="4"/>
      <c r="D4" s="4"/>
      <c r="E4" s="26" t="s">
        <v>211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19.5" hidden="false" customHeight="true" outlineLevel="0" collapsed="false">
      <c r="B5" s="4" t="s">
        <v>212</v>
      </c>
      <c r="C5" s="4"/>
      <c r="D5" s="4"/>
      <c r="E5" s="26" t="s">
        <v>213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customFormat="false" ht="19.5" hidden="false" customHeight="true" outlineLevel="0" collapsed="false">
      <c r="B6" s="4" t="s">
        <v>214</v>
      </c>
      <c r="C6" s="4"/>
      <c r="D6" s="4"/>
      <c r="E6" s="26" t="s">
        <v>215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</row>
    <row r="7" customFormat="false" ht="19.5" hidden="false" customHeight="true" outlineLevel="0" collapsed="false">
      <c r="B7" s="4" t="s">
        <v>216</v>
      </c>
      <c r="C7" s="4"/>
      <c r="D7" s="4"/>
      <c r="E7" s="26" t="s">
        <v>217</v>
      </c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</row>
    <row r="8" customFormat="false" ht="19.5" hidden="false" customHeight="true" outlineLevel="0" collapsed="false">
      <c r="B8" s="4" t="s">
        <v>218</v>
      </c>
      <c r="C8" s="4"/>
      <c r="D8" s="4"/>
      <c r="E8" s="26" t="s">
        <v>219</v>
      </c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</row>
    <row r="10" customFormat="false" ht="21.75" hidden="false" customHeight="true" outlineLevel="0" collapsed="false">
      <c r="B10" s="27" t="s">
        <v>77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</row>
    <row r="11" customFormat="false" ht="30" hidden="false" customHeight="true" outlineLevel="0" collapsed="false">
      <c r="B11" s="28" t="s">
        <v>80</v>
      </c>
      <c r="C11" s="28"/>
      <c r="D11" s="28" t="s">
        <v>81</v>
      </c>
      <c r="E11" s="28"/>
      <c r="F11" s="28" t="s">
        <v>82</v>
      </c>
      <c r="G11" s="28"/>
      <c r="H11" s="28"/>
      <c r="I11" s="28"/>
      <c r="J11" s="28"/>
      <c r="K11" s="28"/>
      <c r="L11" s="28"/>
      <c r="M11" s="28"/>
      <c r="N11" s="28" t="s">
        <v>83</v>
      </c>
      <c r="O11" s="28"/>
      <c r="P11" s="22" t="s">
        <v>84</v>
      </c>
      <c r="Q11" s="28" t="s">
        <v>85</v>
      </c>
      <c r="R11" s="28"/>
      <c r="S11" s="28"/>
      <c r="T11" s="22" t="s">
        <v>86</v>
      </c>
    </row>
    <row r="12" customFormat="false" ht="42.75" hidden="false" customHeight="true" outlineLevel="0" collapsed="false">
      <c r="B12" s="29" t="s">
        <v>220</v>
      </c>
      <c r="C12" s="29"/>
      <c r="D12" s="7" t="s">
        <v>221</v>
      </c>
      <c r="E12" s="7"/>
      <c r="F12" s="7" t="s">
        <v>222</v>
      </c>
      <c r="G12" s="7"/>
      <c r="H12" s="7"/>
      <c r="I12" s="7"/>
      <c r="J12" s="7"/>
      <c r="K12" s="7"/>
      <c r="L12" s="7"/>
      <c r="M12" s="7"/>
      <c r="N12" s="7" t="s">
        <v>223</v>
      </c>
      <c r="O12" s="7"/>
      <c r="P12" s="7" t="s">
        <v>224</v>
      </c>
      <c r="Q12" s="30" t="s">
        <v>127</v>
      </c>
      <c r="R12" s="30"/>
      <c r="S12" s="30"/>
      <c r="T12" s="12" t="str">
        <f aca="false">IF(B12="",IF(1&gt;0,"Falta o item",""),IF(D12="","Falta a especificação",IF(P12="","Falta onde o cliente é informado",IF(Q12&lt;&gt;"Sim","Capacidade não confirmada","OK"))))</f>
        <v>OK</v>
      </c>
    </row>
    <row r="13" customFormat="false" ht="30.75" hidden="false" customHeight="true" outlineLevel="0" collapsed="false">
      <c r="B13" s="29" t="s">
        <v>225</v>
      </c>
      <c r="C13" s="29"/>
      <c r="D13" s="7" t="s">
        <v>226</v>
      </c>
      <c r="E13" s="7"/>
      <c r="F13" s="7" t="s">
        <v>222</v>
      </c>
      <c r="G13" s="7"/>
      <c r="H13" s="7"/>
      <c r="I13" s="7"/>
      <c r="J13" s="7"/>
      <c r="K13" s="7"/>
      <c r="L13" s="7"/>
      <c r="M13" s="7"/>
      <c r="N13" s="7" t="s">
        <v>227</v>
      </c>
      <c r="O13" s="7"/>
      <c r="P13" s="7" t="s">
        <v>228</v>
      </c>
      <c r="Q13" s="30" t="s">
        <v>127</v>
      </c>
      <c r="R13" s="30"/>
      <c r="S13" s="30"/>
      <c r="T13" s="12" t="str">
        <f aca="false">IF(B13="",IF(1&gt;0,"Falta o item",""),IF(D13="","Falta a especificação",IF(P13="","Falta onde o cliente é informado",IF(Q13&lt;&gt;"Sim","Capacidade não confirmada","OK"))))</f>
        <v>OK</v>
      </c>
    </row>
    <row r="14" customFormat="false" ht="42.75" hidden="false" customHeight="true" outlineLevel="0" collapsed="false">
      <c r="B14" s="29" t="s">
        <v>229</v>
      </c>
      <c r="C14" s="29"/>
      <c r="D14" s="7" t="s">
        <v>230</v>
      </c>
      <c r="E14" s="7"/>
      <c r="F14" s="7" t="s">
        <v>231</v>
      </c>
      <c r="G14" s="7"/>
      <c r="H14" s="7"/>
      <c r="I14" s="7"/>
      <c r="J14" s="7"/>
      <c r="K14" s="7"/>
      <c r="L14" s="7"/>
      <c r="M14" s="7"/>
      <c r="N14" s="7" t="s">
        <v>232</v>
      </c>
      <c r="O14" s="7"/>
      <c r="P14" s="7" t="s">
        <v>233</v>
      </c>
      <c r="Q14" s="30" t="s">
        <v>128</v>
      </c>
      <c r="R14" s="30"/>
      <c r="S14" s="30"/>
      <c r="T14" s="12" t="str">
        <f aca="false">IF(B14="",IF(1&gt;0,"Falta o item",""),IF(D14="","Falta a especificação",IF(P14="","Falta onde o cliente é informado",IF(Q14&lt;&gt;"Sim","Capacidade não confirmada","OK"))))</f>
        <v>Capacidade não confirmada</v>
      </c>
    </row>
    <row r="16" customFormat="false" ht="21.75" hidden="false" customHeight="true" outlineLevel="0" collapsed="false">
      <c r="B16" s="31" t="s">
        <v>57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</row>
    <row r="17" customFormat="false" ht="30" hidden="false" customHeight="true" outlineLevel="0" collapsed="false">
      <c r="B17" s="22" t="s">
        <v>234</v>
      </c>
      <c r="C17" s="22" t="s">
        <v>100</v>
      </c>
      <c r="D17" s="22" t="s">
        <v>101</v>
      </c>
      <c r="E17" s="22" t="s">
        <v>103</v>
      </c>
      <c r="F17" s="22" t="s">
        <v>235</v>
      </c>
      <c r="G17" s="22" t="s">
        <v>236</v>
      </c>
      <c r="H17" s="22" t="s">
        <v>237</v>
      </c>
      <c r="I17" s="22" t="s">
        <v>238</v>
      </c>
      <c r="J17" s="22" t="s">
        <v>239</v>
      </c>
      <c r="K17" s="22" t="s">
        <v>240</v>
      </c>
      <c r="L17" s="22" t="s">
        <v>241</v>
      </c>
      <c r="M17" s="22" t="s">
        <v>242</v>
      </c>
      <c r="N17" s="22" t="s">
        <v>106</v>
      </c>
      <c r="O17" s="22" t="s">
        <v>108</v>
      </c>
      <c r="P17" s="22" t="s">
        <v>109</v>
      </c>
      <c r="Q17" s="22" t="s">
        <v>110</v>
      </c>
      <c r="R17" s="22" t="s">
        <v>243</v>
      </c>
      <c r="S17" s="22" t="s">
        <v>244</v>
      </c>
      <c r="T17" s="22" t="s">
        <v>86</v>
      </c>
    </row>
    <row r="18" customFormat="false" ht="66.75" hidden="false" customHeight="true" outlineLevel="0" collapsed="false">
      <c r="B18" s="32" t="s">
        <v>148</v>
      </c>
      <c r="C18" s="33" t="n">
        <v>46468</v>
      </c>
      <c r="D18" s="7" t="s">
        <v>245</v>
      </c>
      <c r="E18" s="7" t="s">
        <v>246</v>
      </c>
      <c r="F18" s="34" t="n">
        <v>46472</v>
      </c>
      <c r="G18" s="35" t="s">
        <v>127</v>
      </c>
      <c r="H18" s="35" t="s">
        <v>127</v>
      </c>
      <c r="I18" s="35" t="s">
        <v>127</v>
      </c>
      <c r="J18" s="35" t="s">
        <v>127</v>
      </c>
      <c r="K18" s="35" t="s">
        <v>127</v>
      </c>
      <c r="L18" s="35" t="s">
        <v>127</v>
      </c>
      <c r="M18" s="35" t="s">
        <v>127</v>
      </c>
      <c r="N18" s="20" t="str">
        <f aca="false">IF(B18="","",IF(COUNTA(G18:M18)&lt;7,"Análise incompleta",IF(COUNTIF(G18:M18,"Não")&gt;0,"Resolver antes de aceitar","Pode aceitar")))</f>
        <v>Pode aceitar</v>
      </c>
      <c r="O18" s="30" t="s">
        <v>164</v>
      </c>
      <c r="P18" s="7"/>
      <c r="Q18" s="7" t="s">
        <v>131</v>
      </c>
      <c r="R18" s="34" t="n">
        <v>46468</v>
      </c>
      <c r="S18" s="34" t="n">
        <v>46468</v>
      </c>
      <c r="T18" s="12" t="str">
        <f aca="false">IF(B18="","",IF(O18="","Falta a decisão",IF(Q18="","Falta quem analisou",IF(O18="Em análise","OK",IF(COUNTA(G18:M18)&lt;7,"Falta responder à análise",IF(R18="","Falta a data da análise",IF(AND(OR(O18="Aceito",O18="Aceito com alteração"),S18=""),"Falta a data da confirmação",IF(AND(OR(O18="Aceito",O18="Aceito com alteração"),R18&gt;S18),"Analisado depois de aceitar",IF(AND(O18="Aceito",COUNTIF(G18:M18,"Não")&gt;0),"Aceito com pendência na análise",IF(AND(O18="Aceito com alteração",P18=""),"Falta o que foi negociado",IF(AND(O18="Recusado",P18=""),"Falta o motivo da recusa","OK")))))))))))</f>
        <v>OK</v>
      </c>
    </row>
    <row r="19" customFormat="false" ht="30.75" hidden="false" customHeight="true" outlineLevel="0" collapsed="false">
      <c r="B19" s="32" t="s">
        <v>247</v>
      </c>
      <c r="C19" s="33" t="n">
        <v>46469</v>
      </c>
      <c r="D19" s="7" t="s">
        <v>248</v>
      </c>
      <c r="E19" s="7" t="s">
        <v>249</v>
      </c>
      <c r="F19" s="34" t="n">
        <v>46469</v>
      </c>
      <c r="G19" s="35" t="s">
        <v>127</v>
      </c>
      <c r="H19" s="35" t="s">
        <v>127</v>
      </c>
      <c r="I19" s="35" t="s">
        <v>127</v>
      </c>
      <c r="J19" s="35" t="s">
        <v>127</v>
      </c>
      <c r="K19" s="35" t="s">
        <v>182</v>
      </c>
      <c r="L19" s="35" t="s">
        <v>127</v>
      </c>
      <c r="M19" s="35" t="s">
        <v>127</v>
      </c>
      <c r="N19" s="20" t="str">
        <f aca="false">IF(B19="","",IF(COUNTA(G19:M19)&lt;7,"Análise incompleta",IF(COUNTIF(G19:M19,"Não")&gt;0,"Resolver antes de aceitar","Pode aceitar")))</f>
        <v>Pode aceitar</v>
      </c>
      <c r="O19" s="30" t="s">
        <v>164</v>
      </c>
      <c r="P19" s="7" t="s">
        <v>250</v>
      </c>
      <c r="Q19" s="7" t="s">
        <v>251</v>
      </c>
      <c r="R19" s="34" t="n">
        <v>46469</v>
      </c>
      <c r="S19" s="34" t="n">
        <v>46469</v>
      </c>
      <c r="T19" s="12" t="str">
        <f aca="false">IF(B19="","",IF(O19="","Falta a decisão",IF(Q19="","Falta quem analisou",IF(O19="Em análise","OK",IF(COUNTA(G19:M19)&lt;7,"Falta responder à análise",IF(R19="","Falta a data da análise",IF(AND(OR(O19="Aceito",O19="Aceito com alteração"),S19=""),"Falta a data da confirmação",IF(AND(OR(O19="Aceito",O19="Aceito com alteração"),R19&gt;S19),"Analisado depois de aceitar",IF(AND(O19="Aceito",COUNTIF(G19:M19,"Não")&gt;0),"Aceito com pendência na análise",IF(AND(O19="Aceito com alteração",P19=""),"Falta o que foi negociado",IF(AND(O19="Recusado",P19=""),"Falta o motivo da recusa","OK")))))))))))</f>
        <v>OK</v>
      </c>
    </row>
    <row r="20" customFormat="false" ht="54.75" hidden="false" customHeight="true" outlineLevel="0" collapsed="false">
      <c r="B20" s="32" t="s">
        <v>252</v>
      </c>
      <c r="C20" s="33" t="n">
        <v>46470</v>
      </c>
      <c r="D20" s="7" t="s">
        <v>253</v>
      </c>
      <c r="E20" s="7" t="s">
        <v>254</v>
      </c>
      <c r="F20" s="34" t="n">
        <v>46470</v>
      </c>
      <c r="G20" s="35" t="s">
        <v>127</v>
      </c>
      <c r="H20" s="35" t="s">
        <v>127</v>
      </c>
      <c r="I20" s="35" t="s">
        <v>127</v>
      </c>
      <c r="J20" s="35" t="s">
        <v>128</v>
      </c>
      <c r="K20" s="35" t="s">
        <v>127</v>
      </c>
      <c r="L20" s="35" t="s">
        <v>127</v>
      </c>
      <c r="M20" s="35" t="s">
        <v>127</v>
      </c>
      <c r="N20" s="20" t="str">
        <f aca="false">IF(B20="","",IF(COUNTA(G20:M20)&lt;7,"Análise incompleta",IF(COUNTIF(G20:M20,"Não")&gt;0,"Resolver antes de aceitar","Pode aceitar")))</f>
        <v>Resolver antes de aceitar</v>
      </c>
      <c r="O20" s="30" t="s">
        <v>167</v>
      </c>
      <c r="P20" s="7" t="s">
        <v>255</v>
      </c>
      <c r="Q20" s="7" t="s">
        <v>131</v>
      </c>
      <c r="R20" s="34" t="n">
        <v>46470</v>
      </c>
      <c r="S20" s="34"/>
      <c r="T20" s="12" t="str">
        <f aca="false">IF(B20="","",IF(O20="","Falta a decisão",IF(Q20="","Falta quem analisou",IF(O20="Em análise","OK",IF(COUNTA(G20:M20)&lt;7,"Falta responder à análise",IF(R20="","Falta a data da análise",IF(AND(OR(O20="Aceito",O20="Aceito com alteração"),S20=""),"Falta a data da confirmação",IF(AND(OR(O20="Aceito",O20="Aceito com alteração"),R20&gt;S20),"Analisado depois de aceitar",IF(AND(O20="Aceito",COUNTIF(G20:M20,"Não")&gt;0),"Aceito com pendência na análise",IF(AND(O20="Aceito com alteração",P20=""),"Falta o que foi negociado",IF(AND(O20="Recusado",P20=""),"Falta o motivo da recusa","OK")))))))))))</f>
        <v>OK</v>
      </c>
    </row>
    <row r="21" customFormat="false" ht="66.75" hidden="false" customHeight="true" outlineLevel="0" collapsed="false">
      <c r="B21" s="32" t="s">
        <v>122</v>
      </c>
      <c r="C21" s="33" t="n">
        <v>46471</v>
      </c>
      <c r="D21" s="7" t="s">
        <v>256</v>
      </c>
      <c r="E21" s="7" t="s">
        <v>257</v>
      </c>
      <c r="F21" s="34" t="n">
        <v>46473</v>
      </c>
      <c r="G21" s="35" t="s">
        <v>127</v>
      </c>
      <c r="H21" s="35" t="s">
        <v>128</v>
      </c>
      <c r="I21" s="35" t="s">
        <v>127</v>
      </c>
      <c r="J21" s="35" t="s">
        <v>127</v>
      </c>
      <c r="K21" s="35" t="s">
        <v>128</v>
      </c>
      <c r="L21" s="35" t="s">
        <v>127</v>
      </c>
      <c r="M21" s="35" t="s">
        <v>127</v>
      </c>
      <c r="N21" s="20" t="str">
        <f aca="false">IF(B21="","",IF(COUNTA(G21:M21)&lt;7,"Análise incompleta",IF(COUNTIF(G21:M21,"Não")&gt;0,"Resolver antes de aceitar","Pode aceitar")))</f>
        <v>Resolver antes de aceitar</v>
      </c>
      <c r="O21" s="30" t="s">
        <v>129</v>
      </c>
      <c r="P21" s="7" t="s">
        <v>258</v>
      </c>
      <c r="Q21" s="7" t="s">
        <v>131</v>
      </c>
      <c r="R21" s="34" t="n">
        <v>46471</v>
      </c>
      <c r="S21" s="34" t="n">
        <v>46471</v>
      </c>
      <c r="T21" s="12" t="str">
        <f aca="false">IF(B21="","",IF(O21="","Falta a decisão",IF(Q21="","Falta quem analisou",IF(O21="Em análise","OK",IF(COUNTA(G21:M21)&lt;7,"Falta responder à análise",IF(R21="","Falta a data da análise",IF(AND(OR(O21="Aceito",O21="Aceito com alteração"),S21=""),"Falta a data da confirmação",IF(AND(OR(O21="Aceito",O21="Aceito com alteração"),R21&gt;S21),"Analisado depois de aceitar",IF(AND(O21="Aceito",COUNTIF(G21:M21,"Não")&gt;0),"Aceito com pendência na análise",IF(AND(O21="Aceito com alteração",P21=""),"Falta o que foi negociado",IF(AND(O21="Recusado",P21=""),"Falta o motivo da recusa","OK")))))))))))</f>
        <v>OK</v>
      </c>
    </row>
    <row r="22" customFormat="false" ht="54.75" hidden="false" customHeight="true" outlineLevel="0" collapsed="false">
      <c r="B22" s="32" t="s">
        <v>259</v>
      </c>
      <c r="C22" s="33" t="n">
        <v>46471</v>
      </c>
      <c r="D22" s="7" t="s">
        <v>260</v>
      </c>
      <c r="E22" s="7" t="s">
        <v>261</v>
      </c>
      <c r="F22" s="34" t="n">
        <v>46475</v>
      </c>
      <c r="G22" s="35" t="s">
        <v>127</v>
      </c>
      <c r="H22" s="35" t="s">
        <v>128</v>
      </c>
      <c r="I22" s="35" t="s">
        <v>127</v>
      </c>
      <c r="J22" s="35" t="s">
        <v>127</v>
      </c>
      <c r="K22" s="35" t="s">
        <v>127</v>
      </c>
      <c r="L22" s="35" t="s">
        <v>127</v>
      </c>
      <c r="M22" s="35" t="s">
        <v>127</v>
      </c>
      <c r="N22" s="20" t="str">
        <f aca="false">IF(B22="","",IF(COUNTA(G22:M22)&lt;7,"Análise incompleta",IF(COUNTIF(G22:M22,"Não")&gt;0,"Resolver antes de aceitar","Pode aceitar")))</f>
        <v>Resolver antes de aceitar</v>
      </c>
      <c r="O22" s="30" t="s">
        <v>167</v>
      </c>
      <c r="P22" s="7" t="s">
        <v>262</v>
      </c>
      <c r="Q22" s="7" t="s">
        <v>131</v>
      </c>
      <c r="R22" s="34" t="n">
        <v>46471</v>
      </c>
      <c r="S22" s="34"/>
      <c r="T22" s="12" t="str">
        <f aca="false">IF(B22="","",IF(O22="","Falta a decisão",IF(Q22="","Falta quem analisou",IF(O22="Em análise","OK",IF(COUNTA(G22:M22)&lt;7,"Falta responder à análise",IF(R22="","Falta a data da análise",IF(AND(OR(O22="Aceito",O22="Aceito com alteração"),S22=""),"Falta a data da confirmação",IF(AND(OR(O22="Aceito",O22="Aceito com alteração"),R22&gt;S22),"Analisado depois de aceitar",IF(AND(O22="Aceito",COUNTIF(G22:M22,"Não")&gt;0),"Aceito com pendência na análise",IF(AND(O22="Aceito com alteração",P22=""),"Falta o que foi negociado",IF(AND(O22="Recusado",P22=""),"Falta o motivo da recusa","OK")))))))))))</f>
        <v>OK</v>
      </c>
    </row>
    <row r="23" customFormat="false" ht="42.75" hidden="false" customHeight="true" outlineLevel="0" collapsed="false">
      <c r="B23" s="32" t="s">
        <v>263</v>
      </c>
      <c r="C23" s="33" t="n">
        <v>46472</v>
      </c>
      <c r="D23" s="7" t="s">
        <v>248</v>
      </c>
      <c r="E23" s="7" t="s">
        <v>264</v>
      </c>
      <c r="F23" s="34" t="n">
        <v>46472</v>
      </c>
      <c r="G23" s="35" t="s">
        <v>127</v>
      </c>
      <c r="H23" s="35" t="s">
        <v>127</v>
      </c>
      <c r="I23" s="35" t="s">
        <v>128</v>
      </c>
      <c r="J23" s="35" t="s">
        <v>127</v>
      </c>
      <c r="K23" s="35" t="s">
        <v>182</v>
      </c>
      <c r="L23" s="35" t="s">
        <v>127</v>
      </c>
      <c r="M23" s="35" t="s">
        <v>127</v>
      </c>
      <c r="N23" s="20" t="str">
        <f aca="false">IF(B23="","",IF(COUNTA(G23:M23)&lt;7,"Análise incompleta",IF(COUNTIF(G23:M23,"Não")&gt;0,"Resolver antes de aceitar","Pode aceitar")))</f>
        <v>Resolver antes de aceitar</v>
      </c>
      <c r="O23" s="30" t="s">
        <v>129</v>
      </c>
      <c r="P23" s="7" t="s">
        <v>265</v>
      </c>
      <c r="Q23" s="7" t="s">
        <v>251</v>
      </c>
      <c r="R23" s="34" t="n">
        <v>46472</v>
      </c>
      <c r="S23" s="34" t="n">
        <v>46472</v>
      </c>
      <c r="T23" s="12" t="str">
        <f aca="false">IF(B23="","",IF(O23="","Falta a decisão",IF(Q23="","Falta quem analisou",IF(O23="Em análise","OK",IF(COUNTA(G23:M23)&lt;7,"Falta responder à análise",IF(R23="","Falta a data da análise",IF(AND(OR(O23="Aceito",O23="Aceito com alteração"),S23=""),"Falta a data da confirmação",IF(AND(OR(O23="Aceito",O23="Aceito com alteração"),R23&gt;S23),"Analisado depois de aceitar",IF(AND(O23="Aceito",COUNTIF(G23:M23,"Não")&gt;0),"Aceito com pendência na análise",IF(AND(O23="Aceito com alteração",P23=""),"Falta o que foi negociado",IF(AND(O23="Recusado",P23=""),"Falta o motivo da recusa","OK")))))))))))</f>
        <v>OK</v>
      </c>
    </row>
    <row r="24" customFormat="false" ht="30.75" hidden="false" customHeight="true" outlineLevel="0" collapsed="false">
      <c r="B24" s="32" t="s">
        <v>266</v>
      </c>
      <c r="C24" s="33" t="n">
        <v>46472</v>
      </c>
      <c r="D24" s="7" t="s">
        <v>267</v>
      </c>
      <c r="E24" s="7" t="s">
        <v>268</v>
      </c>
      <c r="F24" s="34" t="n">
        <v>46473</v>
      </c>
      <c r="G24" s="35" t="s">
        <v>127</v>
      </c>
      <c r="H24" s="35" t="s">
        <v>128</v>
      </c>
      <c r="I24" s="35" t="s">
        <v>127</v>
      </c>
      <c r="J24" s="35" t="s">
        <v>127</v>
      </c>
      <c r="K24" s="35" t="s">
        <v>127</v>
      </c>
      <c r="L24" s="35" t="s">
        <v>127</v>
      </c>
      <c r="M24" s="35" t="s">
        <v>127</v>
      </c>
      <c r="N24" s="20" t="str">
        <f aca="false">IF(B24="","",IF(COUNTA(G24:M24)&lt;7,"Análise incompleta",IF(COUNTIF(G24:M24,"Não")&gt;0,"Resolver antes de aceitar","Pode aceitar")))</f>
        <v>Resolver antes de aceitar</v>
      </c>
      <c r="O24" s="30" t="s">
        <v>164</v>
      </c>
      <c r="P24" s="7"/>
      <c r="Q24" s="7" t="s">
        <v>251</v>
      </c>
      <c r="R24" s="34" t="n">
        <v>46472</v>
      </c>
      <c r="S24" s="34" t="n">
        <v>46472</v>
      </c>
      <c r="T24" s="12" t="str">
        <f aca="false">IF(B24="","",IF(O24="","Falta a decisão",IF(Q24="","Falta quem analisou",IF(O24="Em análise","OK",IF(COUNTA(G24:M24)&lt;7,"Falta responder à análise",IF(R24="","Falta a data da análise",IF(AND(OR(O24="Aceito",O24="Aceito com alteração"),S24=""),"Falta a data da confirmação",IF(AND(OR(O24="Aceito",O24="Aceito com alteração"),R24&gt;S24),"Analisado depois de aceitar",IF(AND(O24="Aceito",COUNTIF(G24:M24,"Não")&gt;0),"Aceito com pendência na análise",IF(AND(O24="Aceito com alteração",P24=""),"Falta o que foi negociado",IF(AND(O24="Recusado",P24=""),"Falta o motivo da recusa","OK")))))))))))</f>
        <v>Aceito com pendência na análise</v>
      </c>
    </row>
    <row r="25" customFormat="false" ht="42.75" hidden="false" customHeight="true" outlineLevel="0" collapsed="false">
      <c r="B25" s="32" t="s">
        <v>269</v>
      </c>
      <c r="C25" s="33" t="n">
        <v>46472</v>
      </c>
      <c r="D25" s="7" t="s">
        <v>270</v>
      </c>
      <c r="E25" s="7" t="s">
        <v>271</v>
      </c>
      <c r="F25" s="34" t="n">
        <v>46474</v>
      </c>
      <c r="G25" s="35" t="s">
        <v>127</v>
      </c>
      <c r="H25" s="35" t="s">
        <v>127</v>
      </c>
      <c r="I25" s="35" t="s">
        <v>127</v>
      </c>
      <c r="J25" s="35" t="s">
        <v>127</v>
      </c>
      <c r="K25" s="35" t="s">
        <v>127</v>
      </c>
      <c r="L25" s="35" t="s">
        <v>127</v>
      </c>
      <c r="M25" s="35" t="s">
        <v>127</v>
      </c>
      <c r="N25" s="20" t="str">
        <f aca="false">IF(B25="","",IF(COUNTA(G25:M25)&lt;7,"Análise incompleta",IF(COUNTIF(G25:M25,"Não")&gt;0,"Resolver antes de aceitar","Pode aceitar")))</f>
        <v>Pode aceitar</v>
      </c>
      <c r="O25" s="30" t="s">
        <v>164</v>
      </c>
      <c r="P25" s="7"/>
      <c r="Q25" s="7" t="s">
        <v>131</v>
      </c>
      <c r="R25" s="34" t="n">
        <v>46473</v>
      </c>
      <c r="S25" s="34" t="n">
        <v>46472</v>
      </c>
      <c r="T25" s="12" t="str">
        <f aca="false">IF(B25="","",IF(O25="","Falta a decisão",IF(Q25="","Falta quem analisou",IF(O25="Em análise","OK",IF(COUNTA(G25:M25)&lt;7,"Falta responder à análise",IF(R25="","Falta a data da análise",IF(AND(OR(O25="Aceito",O25="Aceito com alteração"),S25=""),"Falta a data da confirmação",IF(AND(OR(O25="Aceito",O25="Aceito com alteração"),R25&gt;S25),"Analisado depois de aceitar",IF(AND(O25="Aceito",COUNTIF(G25:M25,"Não")&gt;0),"Aceito com pendência na análise",IF(AND(O25="Aceito com alteração",P25=""),"Falta o que foi negociado",IF(AND(O25="Recusado",P25=""),"Falta o motivo da recusa","OK")))))))))))</f>
        <v>Analisado depois de aceitar</v>
      </c>
    </row>
    <row r="26" customFormat="false" ht="15" hidden="false" customHeight="true" outlineLevel="0" collapsed="false">
      <c r="B26" s="36" t="s">
        <v>272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</row>
    <row r="28" customFormat="false" ht="21.75" hidden="false" customHeight="true" outlineLevel="0" collapsed="false">
      <c r="B28" s="37" t="s">
        <v>136</v>
      </c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</row>
    <row r="29" customFormat="false" ht="30" hidden="false" customHeight="true" outlineLevel="0" collapsed="false">
      <c r="B29" s="22" t="s">
        <v>100</v>
      </c>
      <c r="C29" s="22" t="s">
        <v>138</v>
      </c>
      <c r="D29" s="28" t="s">
        <v>139</v>
      </c>
      <c r="E29" s="28"/>
      <c r="F29" s="28" t="s">
        <v>141</v>
      </c>
      <c r="G29" s="28"/>
      <c r="H29" s="28"/>
      <c r="I29" s="28"/>
      <c r="J29" s="28"/>
      <c r="K29" s="28"/>
      <c r="L29" s="28"/>
      <c r="M29" s="28"/>
      <c r="N29" s="28" t="s">
        <v>140</v>
      </c>
      <c r="O29" s="28"/>
      <c r="P29" s="22" t="s">
        <v>143</v>
      </c>
      <c r="Q29" s="28" t="s">
        <v>142</v>
      </c>
      <c r="R29" s="28"/>
      <c r="S29" s="28"/>
      <c r="T29" s="22" t="s">
        <v>86</v>
      </c>
    </row>
    <row r="30" customFormat="false" ht="30.75" hidden="false" customHeight="true" outlineLevel="0" collapsed="false">
      <c r="B30" s="33" t="n">
        <v>46470</v>
      </c>
      <c r="C30" s="30" t="s">
        <v>148</v>
      </c>
      <c r="D30" s="29" t="s">
        <v>273</v>
      </c>
      <c r="E30" s="29"/>
      <c r="F30" s="7" t="s">
        <v>274</v>
      </c>
      <c r="G30" s="7"/>
      <c r="H30" s="7"/>
      <c r="I30" s="7"/>
      <c r="J30" s="7"/>
      <c r="K30" s="7"/>
      <c r="L30" s="7"/>
      <c r="M30" s="7"/>
      <c r="N30" s="7" t="s">
        <v>150</v>
      </c>
      <c r="O30" s="7"/>
      <c r="P30" s="7" t="s">
        <v>275</v>
      </c>
      <c r="Q30" s="30" t="s">
        <v>127</v>
      </c>
      <c r="R30" s="30"/>
      <c r="S30" s="30"/>
      <c r="T30" s="12" t="str">
        <f aca="false">IF(D30="",IF(1&gt;0,"Falta o que mudou",""),IF(C30="","Falta o pedido",IF(COUNTIF($B$18:$B$25,C30)=0,"Pedido não está na aba Pedidos",IF(F30="","Falta a análise",IF(Q30&lt;&gt;"Sim","Documentos não atualizados",IF(P30="","Falta quem foi informado","OK"))))))</f>
        <v>OK</v>
      </c>
    </row>
    <row r="31" customFormat="false" ht="21.75" hidden="false" customHeight="true" outlineLevel="0" collapsed="false">
      <c r="B31" s="33" t="n">
        <v>46472</v>
      </c>
      <c r="C31" s="30" t="s">
        <v>122</v>
      </c>
      <c r="D31" s="29" t="s">
        <v>276</v>
      </c>
      <c r="E31" s="29"/>
      <c r="F31" s="7"/>
      <c r="G31" s="7"/>
      <c r="H31" s="7"/>
      <c r="I31" s="7"/>
      <c r="J31" s="7"/>
      <c r="K31" s="7"/>
      <c r="L31" s="7"/>
      <c r="M31" s="7"/>
      <c r="N31" s="7" t="s">
        <v>277</v>
      </c>
      <c r="O31" s="7"/>
      <c r="P31" s="7"/>
      <c r="Q31" s="30" t="s">
        <v>128</v>
      </c>
      <c r="R31" s="30"/>
      <c r="S31" s="30"/>
      <c r="T31" s="12" t="str">
        <f aca="false">IF(D31="",IF(1&gt;0,"Falta o que mudou",""),IF(C31="","Falta o pedido",IF(COUNTIF($B$18:$B$25,C31)=0,"Pedido não está na aba Pedidos",IF(F31="","Falta a análise",IF(Q31&lt;&gt;"Sim","Documentos não atualizados",IF(P31="","Falta quem foi informado","OK"))))))</f>
        <v>Falta a análise</v>
      </c>
    </row>
    <row r="33" customFormat="false" ht="21.75" hidden="false" customHeight="true" outlineLevel="0" collapsed="false">
      <c r="B33" s="13" t="s">
        <v>94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customFormat="false" ht="21.75" hidden="false" customHeight="true" outlineLevel="0" collapsed="false">
      <c r="B34" s="14" t="s">
        <v>278</v>
      </c>
      <c r="C34" s="14"/>
      <c r="D34" s="14"/>
      <c r="E34" s="14"/>
      <c r="F34" s="15" t="str">
        <f aca="false">COUNTIF(O18:O25,"Aceito")&amp;" aceitos"&amp;", "&amp;COUNTIF(O18:O25,"Aceito com alteração")&amp;" aceitos com alteração"&amp;", "&amp;COUNTIF(O18:O25,"Recusado")&amp;" recusados"&amp;", "&amp;COUNTIF(O18:O25,"Em análise")&amp;" em análise"</f>
        <v>4 aceitos, 2 aceitos com alteração, 2 recusados, 0 em análise</v>
      </c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</row>
    <row r="35" customFormat="false" ht="21.75" hidden="false" customHeight="true" outlineLevel="0" collapsed="false">
      <c r="B35" s="14" t="s">
        <v>171</v>
      </c>
      <c r="C35" s="14"/>
      <c r="D35" s="14"/>
      <c r="E35" s="14"/>
      <c r="F35" s="15" t="n">
        <f aca="false">SUMPRODUCT((((G18:G25="Não")+(H18:H25="Não")+(I18:I25="Não")+(J18:J25="Não")+(K18:K25="Não")+(L18:L25="Não")+(M18:M25="Não"))&gt;0)*1)</f>
        <v>5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  <row r="36" customFormat="false" ht="21.75" hidden="false" customHeight="true" outlineLevel="0" collapsed="false">
      <c r="B36" s="14" t="s">
        <v>135</v>
      </c>
      <c r="C36" s="14"/>
      <c r="D36" s="14"/>
      <c r="E36" s="14"/>
      <c r="F36" s="15" t="n">
        <f aca="false">SUMPRODUCT((T18:T25&lt;&gt;"OK")*1)</f>
        <v>2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</row>
    <row r="37" customFormat="false" ht="21.75" hidden="false" customHeight="true" outlineLevel="0" collapsed="false">
      <c r="B37" s="14" t="s">
        <v>279</v>
      </c>
      <c r="C37" s="14"/>
      <c r="D37" s="14"/>
      <c r="E37" s="14"/>
      <c r="F37" s="15" t="str">
        <f aca="false">"1: "&amp;COUNTIF(G18:G25,"Não")&amp;" · "&amp;"2: "&amp;COUNTIF(H18:H25,"Não")&amp;" · "&amp;"3: "&amp;COUNTIF(I18:I25,"Não")&amp;" · "&amp;"4: "&amp;COUNTIF(J18:J25,"Não")&amp;" · "&amp;"5: "&amp;COUNTIF(K18:K25,"Não")&amp;" · "&amp;"6: "&amp;COUNTIF(L18:L25,"Não")&amp;" · "&amp;"7: "&amp;COUNTIF(M18:M25,"Não")</f>
        <v>1: 0 · 2: 3 · 3: 1 · 4: 1 · 5: 1 · 6: 0 · 7: 0</v>
      </c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</row>
    <row r="38" customFormat="false" ht="21.75" hidden="false" customHeight="true" outlineLevel="0" collapsed="false">
      <c r="B38" s="14" t="s">
        <v>280</v>
      </c>
      <c r="C38" s="14"/>
      <c r="D38" s="14"/>
      <c r="E38" s="14"/>
      <c r="F38" s="15" t="str">
        <f aca="false">COUNTA(D30:D31)&amp;" registradas, "&amp;SUMPRODUCT((T30:T31&lt;&gt;"OK")*1)&amp;" a rever"</f>
        <v>2 registradas, 1 a rever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</sheetData>
  <mergeCells count="59">
    <mergeCell ref="B1:T1"/>
    <mergeCell ref="B2:T2"/>
    <mergeCell ref="B4:D4"/>
    <mergeCell ref="E4:T4"/>
    <mergeCell ref="B5:D5"/>
    <mergeCell ref="E5:T5"/>
    <mergeCell ref="B6:D6"/>
    <mergeCell ref="E6:T6"/>
    <mergeCell ref="B7:D7"/>
    <mergeCell ref="E7:T7"/>
    <mergeCell ref="B8:D8"/>
    <mergeCell ref="E8:T8"/>
    <mergeCell ref="B10:T10"/>
    <mergeCell ref="B11:C11"/>
    <mergeCell ref="D11:E11"/>
    <mergeCell ref="F11:M11"/>
    <mergeCell ref="N11:O11"/>
    <mergeCell ref="Q11:S11"/>
    <mergeCell ref="B12:C12"/>
    <mergeCell ref="D12:E12"/>
    <mergeCell ref="F12:M12"/>
    <mergeCell ref="N12:O12"/>
    <mergeCell ref="Q12:S12"/>
    <mergeCell ref="B13:C13"/>
    <mergeCell ref="D13:E13"/>
    <mergeCell ref="F13:M13"/>
    <mergeCell ref="N13:O13"/>
    <mergeCell ref="Q13:S13"/>
    <mergeCell ref="B14:C14"/>
    <mergeCell ref="D14:E14"/>
    <mergeCell ref="F14:M14"/>
    <mergeCell ref="N14:O14"/>
    <mergeCell ref="Q14:S14"/>
    <mergeCell ref="B16:T16"/>
    <mergeCell ref="B26:T26"/>
    <mergeCell ref="B28:T28"/>
    <mergeCell ref="D29:E29"/>
    <mergeCell ref="F29:M29"/>
    <mergeCell ref="N29:O29"/>
    <mergeCell ref="Q29:S29"/>
    <mergeCell ref="D30:E30"/>
    <mergeCell ref="F30:M30"/>
    <mergeCell ref="N30:O30"/>
    <mergeCell ref="Q30:S30"/>
    <mergeCell ref="D31:E31"/>
    <mergeCell ref="F31:M31"/>
    <mergeCell ref="N31:O31"/>
    <mergeCell ref="Q31:S31"/>
    <mergeCell ref="B33:T33"/>
    <mergeCell ref="B34:E34"/>
    <mergeCell ref="F34:T34"/>
    <mergeCell ref="B35:E35"/>
    <mergeCell ref="F35:T35"/>
    <mergeCell ref="B36:E36"/>
    <mergeCell ref="F36:T36"/>
    <mergeCell ref="B37:E37"/>
    <mergeCell ref="F37:T37"/>
    <mergeCell ref="B38:E38"/>
    <mergeCell ref="F38:T38"/>
  </mergeCells>
  <conditionalFormatting sqref="T12:T14">
    <cfRule type="expression" priority="2" aboveAverage="0" equalAverage="0" bottom="0" percent="0" rank="0" text="" dxfId="0">
      <formula>OR(T12="OK")</formula>
    </cfRule>
    <cfRule type="expression" priority="3" aboveAverage="0" equalAverage="0" bottom="0" percent="0" rank="0" text="" dxfId="1">
      <formula>AND(LEN(T12)&gt;0,NOT(OR(T12="OK")))</formula>
    </cfRule>
  </conditionalFormatting>
  <conditionalFormatting sqref="G18:M25">
    <cfRule type="expression" priority="4" aboveAverage="0" equalAverage="0" bottom="0" percent="0" rank="0" text="" dxfId="0">
      <formula>G18="Sim"</formula>
    </cfRule>
    <cfRule type="expression" priority="5" aboveAverage="0" equalAverage="0" bottom="0" percent="0" rank="0" text="" dxfId="2">
      <formula>G18="Não"</formula>
    </cfRule>
    <cfRule type="expression" priority="6" aboveAverage="0" equalAverage="0" bottom="0" percent="0" rank="0" text="" dxfId="3">
      <formula>G18="Não se aplica"</formula>
    </cfRule>
  </conditionalFormatting>
  <conditionalFormatting sqref="N18:N25">
    <cfRule type="expression" priority="7" aboveAverage="0" equalAverage="0" bottom="0" percent="0" rank="0" text="" dxfId="0">
      <formula>N18="Pode aceitar"</formula>
    </cfRule>
    <cfRule type="expression" priority="8" aboveAverage="0" equalAverage="0" bottom="0" percent="0" rank="0" text="" dxfId="4">
      <formula>N18="Resolver antes de aceitar"</formula>
    </cfRule>
    <cfRule type="expression" priority="9" aboveAverage="0" equalAverage="0" bottom="0" percent="0" rank="0" text="" dxfId="2">
      <formula>N18="Análise incompleta"</formula>
    </cfRule>
  </conditionalFormatting>
  <conditionalFormatting sqref="O18:O25">
    <cfRule type="expression" priority="10" aboveAverage="0" equalAverage="0" bottom="0" percent="0" rank="0" text="" dxfId="0">
      <formula>O18="Aceito"</formula>
    </cfRule>
    <cfRule type="expression" priority="11" aboveAverage="0" equalAverage="0" bottom="0" percent="0" rank="0" text="" dxfId="4">
      <formula>O18="Aceito com alteração"</formula>
    </cfRule>
    <cfRule type="expression" priority="12" aboveAverage="0" equalAverage="0" bottom="0" percent="0" rank="0" text="" dxfId="2">
      <formula>O18="Recusado"</formula>
    </cfRule>
    <cfRule type="expression" priority="13" aboveAverage="0" equalAverage="0" bottom="0" percent="0" rank="0" text="" dxfId="3">
      <formula>O18="Em análise"</formula>
    </cfRule>
  </conditionalFormatting>
  <conditionalFormatting sqref="T18:T25">
    <cfRule type="expression" priority="14" aboveAverage="0" equalAverage="0" bottom="0" percent="0" rank="0" text="" dxfId="0">
      <formula>T18="OK"</formula>
    </cfRule>
    <cfRule type="expression" priority="15" aboveAverage="0" equalAverage="0" bottom="0" percent="0" rank="0" text="" dxfId="5">
      <formula>T18="Aceito com pendência na análise"</formula>
    </cfRule>
    <cfRule type="expression" priority="16" aboveAverage="0" equalAverage="0" bottom="0" percent="0" rank="0" text="" dxfId="5">
      <formula>T18="Analisado depois de aceitar"</formula>
    </cfRule>
    <cfRule type="expression" priority="17" aboveAverage="0" equalAverage="0" bottom="0" percent="0" rank="0" text="" dxfId="1">
      <formula>LEN(T18)&gt;0</formula>
    </cfRule>
  </conditionalFormatting>
  <conditionalFormatting sqref="T30:T31">
    <cfRule type="expression" priority="18" aboveAverage="0" equalAverage="0" bottom="0" percent="0" rank="0" text="" dxfId="0">
      <formula>OR(T30="OK")</formula>
    </cfRule>
    <cfRule type="expression" priority="19" aboveAverage="0" equalAverage="0" bottom="0" percent="0" rank="0" text="" dxfId="1">
      <formula>AND(LEN(T30)&gt;0,NOT(OR(T30="OK")))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7" man="true" max="16383" min="0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T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17"/>
    <col collapsed="false" customWidth="true" hidden="false" outlineLevel="0" max="5" min="5" style="0" width="30"/>
    <col collapsed="false" customWidth="true" hidden="false" outlineLevel="0" max="6" min="6" style="0" width="9"/>
    <col collapsed="false" customWidth="true" hidden="false" outlineLevel="0" max="13" min="7" style="0" width="5.51"/>
    <col collapsed="false" customWidth="true" hidden="false" outlineLevel="0" max="15" min="14" style="0" width="17"/>
    <col collapsed="false" customWidth="true" hidden="false" outlineLevel="0" max="16" min="16" style="0" width="32"/>
    <col collapsed="false" customWidth="true" hidden="false" outlineLevel="0" max="17" min="17" style="0" width="18"/>
    <col collapsed="false" customWidth="true" hidden="false" outlineLevel="0" max="18" min="18" style="0" width="10"/>
    <col collapsed="false" customWidth="true" hidden="false" outlineLevel="0" max="19" min="19" style="0" width="12"/>
    <col collapsed="false" customWidth="true" hidden="false" outlineLevel="0" max="20" min="20" style="0" width="28"/>
    <col collapsed="false" customWidth="true" hidden="false" outlineLevel="0" max="21" min="21" style="0" width="2"/>
  </cols>
  <sheetData>
    <row r="1" customFormat="false" ht="31.5" hidden="false" customHeight="true" outlineLevel="0" collapsed="false">
      <c r="B1" s="1" t="s">
        <v>208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9.5" hidden="false" customHeight="true" outlineLevel="0" collapsed="false">
      <c r="B2" s="2" t="s">
        <v>209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19.5" hidden="false" customHeight="true" outlineLevel="0" collapsed="false">
      <c r="B4" s="4" t="s">
        <v>210</v>
      </c>
      <c r="C4" s="4"/>
      <c r="D4" s="4"/>
      <c r="E4" s="26" t="s">
        <v>281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19.5" hidden="false" customHeight="true" outlineLevel="0" collapsed="false">
      <c r="B5" s="4" t="s">
        <v>212</v>
      </c>
      <c r="C5" s="4"/>
      <c r="D5" s="4"/>
      <c r="E5" s="26" t="s">
        <v>282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customFormat="false" ht="19.5" hidden="false" customHeight="true" outlineLevel="0" collapsed="false">
      <c r="B6" s="4" t="s">
        <v>214</v>
      </c>
      <c r="C6" s="4"/>
      <c r="D6" s="4"/>
      <c r="E6" s="26" t="s">
        <v>283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</row>
    <row r="7" customFormat="false" ht="19.5" hidden="false" customHeight="true" outlineLevel="0" collapsed="false">
      <c r="B7" s="4" t="s">
        <v>216</v>
      </c>
      <c r="C7" s="4"/>
      <c r="D7" s="4"/>
      <c r="E7" s="26" t="s">
        <v>284</v>
      </c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</row>
    <row r="8" customFormat="false" ht="19.5" hidden="false" customHeight="true" outlineLevel="0" collapsed="false">
      <c r="B8" s="4" t="s">
        <v>218</v>
      </c>
      <c r="C8" s="4"/>
      <c r="D8" s="4"/>
      <c r="E8" s="26" t="s">
        <v>285</v>
      </c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</row>
    <row r="10" customFormat="false" ht="21.75" hidden="false" customHeight="true" outlineLevel="0" collapsed="false">
      <c r="B10" s="27" t="s">
        <v>77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</row>
    <row r="11" customFormat="false" ht="30" hidden="false" customHeight="true" outlineLevel="0" collapsed="false">
      <c r="B11" s="28" t="s">
        <v>80</v>
      </c>
      <c r="C11" s="28"/>
      <c r="D11" s="28" t="s">
        <v>81</v>
      </c>
      <c r="E11" s="28"/>
      <c r="F11" s="28" t="s">
        <v>82</v>
      </c>
      <c r="G11" s="28"/>
      <c r="H11" s="28"/>
      <c r="I11" s="28"/>
      <c r="J11" s="28"/>
      <c r="K11" s="28"/>
      <c r="L11" s="28"/>
      <c r="M11" s="28"/>
      <c r="N11" s="28" t="s">
        <v>83</v>
      </c>
      <c r="O11" s="28"/>
      <c r="P11" s="22" t="s">
        <v>84</v>
      </c>
      <c r="Q11" s="28" t="s">
        <v>85</v>
      </c>
      <c r="R11" s="28"/>
      <c r="S11" s="28"/>
      <c r="T11" s="22" t="s">
        <v>86</v>
      </c>
    </row>
    <row r="12" customFormat="false" ht="42.75" hidden="false" customHeight="true" outlineLevel="0" collapsed="false">
      <c r="B12" s="29" t="s">
        <v>286</v>
      </c>
      <c r="C12" s="29"/>
      <c r="D12" s="7" t="s">
        <v>287</v>
      </c>
      <c r="E12" s="7"/>
      <c r="F12" s="7" t="s">
        <v>288</v>
      </c>
      <c r="G12" s="7"/>
      <c r="H12" s="7"/>
      <c r="I12" s="7"/>
      <c r="J12" s="7"/>
      <c r="K12" s="7"/>
      <c r="L12" s="7"/>
      <c r="M12" s="7"/>
      <c r="N12" s="7" t="s">
        <v>289</v>
      </c>
      <c r="O12" s="7"/>
      <c r="P12" s="7" t="s">
        <v>290</v>
      </c>
      <c r="Q12" s="30" t="s">
        <v>127</v>
      </c>
      <c r="R12" s="30"/>
      <c r="S12" s="30"/>
      <c r="T12" s="12" t="str">
        <f aca="false">IF(B12="",IF(1&gt;0,"Falta o item",""),IF(D12="","Falta a especificação",IF(P12="","Falta onde o cliente é informado",IF(Q12&lt;&gt;"Sim","Capacidade não confirmada","OK"))))</f>
        <v>OK</v>
      </c>
    </row>
    <row r="13" customFormat="false" ht="30.75" hidden="false" customHeight="true" outlineLevel="0" collapsed="false">
      <c r="B13" s="29" t="s">
        <v>291</v>
      </c>
      <c r="C13" s="29"/>
      <c r="D13" s="7" t="s">
        <v>292</v>
      </c>
      <c r="E13" s="7"/>
      <c r="F13" s="7" t="s">
        <v>293</v>
      </c>
      <c r="G13" s="7"/>
      <c r="H13" s="7"/>
      <c r="I13" s="7"/>
      <c r="J13" s="7"/>
      <c r="K13" s="7"/>
      <c r="L13" s="7"/>
      <c r="M13" s="7"/>
      <c r="N13" s="7" t="s">
        <v>294</v>
      </c>
      <c r="O13" s="7"/>
      <c r="P13" s="7" t="s">
        <v>290</v>
      </c>
      <c r="Q13" s="30" t="s">
        <v>127</v>
      </c>
      <c r="R13" s="30"/>
      <c r="S13" s="30"/>
      <c r="T13" s="12" t="str">
        <f aca="false">IF(B13="",IF(1&gt;0,"Falta o item",""),IF(D13="","Falta a especificação",IF(P13="","Falta onde o cliente é informado",IF(Q13&lt;&gt;"Sim","Capacidade não confirmada","OK"))))</f>
        <v>OK</v>
      </c>
    </row>
    <row r="14" customFormat="false" ht="30.75" hidden="false" customHeight="true" outlineLevel="0" collapsed="false">
      <c r="B14" s="29" t="s">
        <v>295</v>
      </c>
      <c r="C14" s="29"/>
      <c r="D14" s="7" t="s">
        <v>296</v>
      </c>
      <c r="E14" s="7"/>
      <c r="F14" s="7" t="s">
        <v>297</v>
      </c>
      <c r="G14" s="7"/>
      <c r="H14" s="7"/>
      <c r="I14" s="7"/>
      <c r="J14" s="7"/>
      <c r="K14" s="7"/>
      <c r="L14" s="7"/>
      <c r="M14" s="7"/>
      <c r="N14" s="7" t="s">
        <v>298</v>
      </c>
      <c r="O14" s="7"/>
      <c r="P14" s="7" t="s">
        <v>299</v>
      </c>
      <c r="Q14" s="30" t="s">
        <v>127</v>
      </c>
      <c r="R14" s="30"/>
      <c r="S14" s="30"/>
      <c r="T14" s="12" t="str">
        <f aca="false">IF(B14="",IF(1&gt;0,"Falta o item",""),IF(D14="","Falta a especificação",IF(P14="","Falta onde o cliente é informado",IF(Q14&lt;&gt;"Sim","Capacidade não confirmada","OK"))))</f>
        <v>OK</v>
      </c>
    </row>
    <row r="16" customFormat="false" ht="21.75" hidden="false" customHeight="true" outlineLevel="0" collapsed="false">
      <c r="B16" s="31" t="s">
        <v>57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</row>
    <row r="17" customFormat="false" ht="30" hidden="false" customHeight="true" outlineLevel="0" collapsed="false">
      <c r="B17" s="22" t="s">
        <v>234</v>
      </c>
      <c r="C17" s="22" t="s">
        <v>100</v>
      </c>
      <c r="D17" s="22" t="s">
        <v>101</v>
      </c>
      <c r="E17" s="22" t="s">
        <v>103</v>
      </c>
      <c r="F17" s="22" t="s">
        <v>235</v>
      </c>
      <c r="G17" s="22" t="s">
        <v>236</v>
      </c>
      <c r="H17" s="22" t="s">
        <v>237</v>
      </c>
      <c r="I17" s="22" t="s">
        <v>238</v>
      </c>
      <c r="J17" s="22" t="s">
        <v>239</v>
      </c>
      <c r="K17" s="22" t="s">
        <v>240</v>
      </c>
      <c r="L17" s="22" t="s">
        <v>241</v>
      </c>
      <c r="M17" s="22" t="s">
        <v>242</v>
      </c>
      <c r="N17" s="22" t="s">
        <v>106</v>
      </c>
      <c r="O17" s="22" t="s">
        <v>108</v>
      </c>
      <c r="P17" s="22" t="s">
        <v>109</v>
      </c>
      <c r="Q17" s="22" t="s">
        <v>110</v>
      </c>
      <c r="R17" s="22" t="s">
        <v>243</v>
      </c>
      <c r="S17" s="22" t="s">
        <v>244</v>
      </c>
      <c r="T17" s="22" t="s">
        <v>86</v>
      </c>
    </row>
    <row r="18" customFormat="false" ht="42.75" hidden="false" customHeight="true" outlineLevel="0" collapsed="false">
      <c r="B18" s="32" t="s">
        <v>300</v>
      </c>
      <c r="C18" s="33" t="n">
        <v>46539</v>
      </c>
      <c r="D18" s="7" t="s">
        <v>301</v>
      </c>
      <c r="E18" s="7" t="s">
        <v>302</v>
      </c>
      <c r="F18" s="34" t="n">
        <v>46559</v>
      </c>
      <c r="G18" s="35" t="s">
        <v>127</v>
      </c>
      <c r="H18" s="35" t="s">
        <v>127</v>
      </c>
      <c r="I18" s="35" t="s">
        <v>127</v>
      </c>
      <c r="J18" s="35" t="s">
        <v>127</v>
      </c>
      <c r="K18" s="35" t="s">
        <v>127</v>
      </c>
      <c r="L18" s="35" t="s">
        <v>127</v>
      </c>
      <c r="M18" s="35" t="s">
        <v>127</v>
      </c>
      <c r="N18" s="20" t="str">
        <f aca="false">IF(B18="","",IF(COUNTA(G18:M18)&lt;7,"Análise incompleta",IF(COUNTIF(G18:M18,"Não")&gt;0,"Resolver antes de aceitar","Pode aceitar")))</f>
        <v>Pode aceitar</v>
      </c>
      <c r="O18" s="30" t="s">
        <v>164</v>
      </c>
      <c r="P18" s="7"/>
      <c r="Q18" s="7" t="s">
        <v>303</v>
      </c>
      <c r="R18" s="34" t="n">
        <v>46539</v>
      </c>
      <c r="S18" s="34" t="n">
        <v>46539</v>
      </c>
      <c r="T18" s="12" t="str">
        <f aca="false">IF(B18="","",IF(O18="","Falta a decisão",IF(Q18="","Falta quem analisou",IF(O18="Em análise","OK",IF(COUNTA(G18:M18)&lt;7,"Falta responder à análise",IF(R18="","Falta a data da análise",IF(AND(OR(O18="Aceito",O18="Aceito com alteração"),S18=""),"Falta a data da confirmação",IF(AND(OR(O18="Aceito",O18="Aceito com alteração"),R18&gt;S18),"Analisado depois de aceitar",IF(AND(O18="Aceito",COUNTIF(G18:M18,"Não")&gt;0),"Aceito com pendência na análise",IF(AND(O18="Aceito com alteração",P18=""),"Falta o que foi negociado",IF(AND(O18="Recusado",P18=""),"Falta o motivo da recusa","OK")))))))))))</f>
        <v>OK</v>
      </c>
    </row>
    <row r="19" customFormat="false" ht="42.75" hidden="false" customHeight="true" outlineLevel="0" collapsed="false">
      <c r="B19" s="32" t="s">
        <v>304</v>
      </c>
      <c r="C19" s="33" t="n">
        <v>46540</v>
      </c>
      <c r="D19" s="7" t="s">
        <v>305</v>
      </c>
      <c r="E19" s="7" t="s">
        <v>306</v>
      </c>
      <c r="F19" s="34" t="n">
        <v>46550</v>
      </c>
      <c r="G19" s="35" t="s">
        <v>127</v>
      </c>
      <c r="H19" s="35" t="s">
        <v>128</v>
      </c>
      <c r="I19" s="35" t="s">
        <v>127</v>
      </c>
      <c r="J19" s="35" t="s">
        <v>127</v>
      </c>
      <c r="K19" s="35" t="s">
        <v>127</v>
      </c>
      <c r="L19" s="35" t="s">
        <v>127</v>
      </c>
      <c r="M19" s="35" t="s">
        <v>127</v>
      </c>
      <c r="N19" s="20" t="str">
        <f aca="false">IF(B19="","",IF(COUNTA(G19:M19)&lt;7,"Análise incompleta",IF(COUNTIF(G19:M19,"Não")&gt;0,"Resolver antes de aceitar","Pode aceitar")))</f>
        <v>Resolver antes de aceitar</v>
      </c>
      <c r="O19" s="30" t="s">
        <v>129</v>
      </c>
      <c r="P19" s="7" t="s">
        <v>307</v>
      </c>
      <c r="Q19" s="7" t="s">
        <v>303</v>
      </c>
      <c r="R19" s="34" t="n">
        <v>46540</v>
      </c>
      <c r="S19" s="34" t="n">
        <v>46541</v>
      </c>
      <c r="T19" s="12" t="str">
        <f aca="false">IF(B19="","",IF(O19="","Falta a decisão",IF(Q19="","Falta quem analisou",IF(O19="Em análise","OK",IF(COUNTA(G19:M19)&lt;7,"Falta responder à análise",IF(R19="","Falta a data da análise",IF(AND(OR(O19="Aceito",O19="Aceito com alteração"),S19=""),"Falta a data da confirmação",IF(AND(OR(O19="Aceito",O19="Aceito com alteração"),R19&gt;S19),"Analisado depois de aceitar",IF(AND(O19="Aceito",COUNTIF(G19:M19,"Não")&gt;0),"Aceito com pendência na análise",IF(AND(O19="Aceito com alteração",P19=""),"Falta o que foi negociado",IF(AND(O19="Recusado",P19=""),"Falta o motivo da recusa","OK")))))))))))</f>
        <v>OK</v>
      </c>
    </row>
    <row r="20" customFormat="false" ht="78.75" hidden="false" customHeight="true" outlineLevel="0" collapsed="false">
      <c r="B20" s="32" t="s">
        <v>308</v>
      </c>
      <c r="C20" s="33" t="n">
        <v>46541</v>
      </c>
      <c r="D20" s="7" t="s">
        <v>309</v>
      </c>
      <c r="E20" s="7" t="s">
        <v>310</v>
      </c>
      <c r="F20" s="34" t="n">
        <v>46583</v>
      </c>
      <c r="G20" s="35" t="s">
        <v>127</v>
      </c>
      <c r="H20" s="35" t="s">
        <v>127</v>
      </c>
      <c r="I20" s="35" t="s">
        <v>127</v>
      </c>
      <c r="J20" s="35" t="s">
        <v>128</v>
      </c>
      <c r="K20" s="35" t="s">
        <v>127</v>
      </c>
      <c r="L20" s="35" t="s">
        <v>127</v>
      </c>
      <c r="M20" s="35" t="s">
        <v>127</v>
      </c>
      <c r="N20" s="20" t="str">
        <f aca="false">IF(B20="","",IF(COUNTA(G20:M20)&lt;7,"Análise incompleta",IF(COUNTIF(G20:M20,"Não")&gt;0,"Resolver antes de aceitar","Pode aceitar")))</f>
        <v>Resolver antes de aceitar</v>
      </c>
      <c r="O20" s="30" t="s">
        <v>129</v>
      </c>
      <c r="P20" s="7" t="s">
        <v>311</v>
      </c>
      <c r="Q20" s="7" t="s">
        <v>312</v>
      </c>
      <c r="R20" s="34" t="n">
        <v>46542</v>
      </c>
      <c r="S20" s="34" t="n">
        <v>46545</v>
      </c>
      <c r="T20" s="12" t="str">
        <f aca="false">IF(B20="","",IF(O20="","Falta a decisão",IF(Q20="","Falta quem analisou",IF(O20="Em análise","OK",IF(COUNTA(G20:M20)&lt;7,"Falta responder à análise",IF(R20="","Falta a data da análise",IF(AND(OR(O20="Aceito",O20="Aceito com alteração"),S20=""),"Falta a data da confirmação",IF(AND(OR(O20="Aceito",O20="Aceito com alteração"),R20&gt;S20),"Analisado depois de aceitar",IF(AND(O20="Aceito",COUNTIF(G20:M20,"Não")&gt;0),"Aceito com pendência na análise",IF(AND(O20="Aceito com alteração",P20=""),"Falta o que foi negociado",IF(AND(O20="Recusado",P20=""),"Falta o motivo da recusa","OK")))))))))))</f>
        <v>OK</v>
      </c>
    </row>
    <row r="21" customFormat="false" ht="42.75" hidden="false" customHeight="true" outlineLevel="0" collapsed="false">
      <c r="B21" s="32" t="s">
        <v>313</v>
      </c>
      <c r="C21" s="33" t="n">
        <v>46545</v>
      </c>
      <c r="D21" s="7" t="s">
        <v>301</v>
      </c>
      <c r="E21" s="7" t="s">
        <v>314</v>
      </c>
      <c r="F21" s="34" t="n">
        <v>46568</v>
      </c>
      <c r="G21" s="35" t="s">
        <v>128</v>
      </c>
      <c r="H21" s="35" t="s">
        <v>127</v>
      </c>
      <c r="I21" s="35" t="s">
        <v>127</v>
      </c>
      <c r="J21" s="35" t="s">
        <v>127</v>
      </c>
      <c r="K21" s="35" t="s">
        <v>127</v>
      </c>
      <c r="L21" s="35" t="s">
        <v>127</v>
      </c>
      <c r="M21" s="35" t="s">
        <v>127</v>
      </c>
      <c r="N21" s="20" t="str">
        <f aca="false">IF(B21="","",IF(COUNTA(G21:M21)&lt;7,"Análise incompleta",IF(COUNTIF(G21:M21,"Não")&gt;0,"Resolver antes de aceitar","Pode aceitar")))</f>
        <v>Resolver antes de aceitar</v>
      </c>
      <c r="O21" s="30" t="s">
        <v>129</v>
      </c>
      <c r="P21" s="7" t="s">
        <v>315</v>
      </c>
      <c r="Q21" s="7" t="s">
        <v>312</v>
      </c>
      <c r="R21" s="34" t="n">
        <v>46546</v>
      </c>
      <c r="S21" s="34" t="n">
        <v>46547</v>
      </c>
      <c r="T21" s="12" t="str">
        <f aca="false">IF(B21="","",IF(O21="","Falta a decisão",IF(Q21="","Falta quem analisou",IF(O21="Em análise","OK",IF(COUNTA(G21:M21)&lt;7,"Falta responder à análise",IF(R21="","Falta a data da análise",IF(AND(OR(O21="Aceito",O21="Aceito com alteração"),S21=""),"Falta a data da confirmação",IF(AND(OR(O21="Aceito",O21="Aceito com alteração"),R21&gt;S21),"Analisado depois de aceitar",IF(AND(O21="Aceito",COUNTIF(G21:M21,"Não")&gt;0),"Aceito com pendência na análise",IF(AND(O21="Aceito com alteração",P21=""),"Falta o que foi negociado",IF(AND(O21="Recusado",P21=""),"Falta o motivo da recusa","OK")))))))))))</f>
        <v>OK</v>
      </c>
    </row>
    <row r="22" customFormat="false" ht="54.75" hidden="false" customHeight="true" outlineLevel="0" collapsed="false">
      <c r="B22" s="32" t="s">
        <v>316</v>
      </c>
      <c r="C22" s="33" t="n">
        <v>46546</v>
      </c>
      <c r="D22" s="7" t="s">
        <v>317</v>
      </c>
      <c r="E22" s="7" t="s">
        <v>318</v>
      </c>
      <c r="F22" s="34" t="n">
        <v>46569</v>
      </c>
      <c r="G22" s="35" t="s">
        <v>127</v>
      </c>
      <c r="H22" s="35" t="s">
        <v>127</v>
      </c>
      <c r="I22" s="35" t="s">
        <v>127</v>
      </c>
      <c r="J22" s="35" t="s">
        <v>127</v>
      </c>
      <c r="K22" s="35" t="s">
        <v>128</v>
      </c>
      <c r="L22" s="35" t="s">
        <v>127</v>
      </c>
      <c r="M22" s="35" t="s">
        <v>127</v>
      </c>
      <c r="N22" s="20" t="str">
        <f aca="false">IF(B22="","",IF(COUNTA(G22:M22)&lt;7,"Análise incompleta",IF(COUNTIF(G22:M22,"Não")&gt;0,"Resolver antes de aceitar","Pode aceitar")))</f>
        <v>Resolver antes de aceitar</v>
      </c>
      <c r="O22" s="30" t="s">
        <v>167</v>
      </c>
      <c r="P22" s="7" t="s">
        <v>319</v>
      </c>
      <c r="Q22" s="7" t="s">
        <v>320</v>
      </c>
      <c r="R22" s="34" t="n">
        <v>46547</v>
      </c>
      <c r="S22" s="34"/>
      <c r="T22" s="12" t="str">
        <f aca="false">IF(B22="","",IF(O22="","Falta a decisão",IF(Q22="","Falta quem analisou",IF(O22="Em análise","OK",IF(COUNTA(G22:M22)&lt;7,"Falta responder à análise",IF(R22="","Falta a data da análise",IF(AND(OR(O22="Aceito",O22="Aceito com alteração"),S22=""),"Falta a data da confirmação",IF(AND(OR(O22="Aceito",O22="Aceito com alteração"),R22&gt;S22),"Analisado depois de aceitar",IF(AND(O22="Aceito",COUNTIF(G22:M22,"Não")&gt;0),"Aceito com pendência na análise",IF(AND(O22="Aceito com alteração",P22=""),"Falta o que foi negociado",IF(AND(O22="Recusado",P22=""),"Falta o motivo da recusa","OK")))))))))))</f>
        <v>OK</v>
      </c>
    </row>
    <row r="23" customFormat="false" ht="30.75" hidden="false" customHeight="true" outlineLevel="0" collapsed="false">
      <c r="B23" s="32" t="s">
        <v>321</v>
      </c>
      <c r="C23" s="33" t="n">
        <v>46547</v>
      </c>
      <c r="D23" s="7" t="s">
        <v>305</v>
      </c>
      <c r="E23" s="7" t="s">
        <v>322</v>
      </c>
      <c r="F23" s="34" t="n">
        <v>46563</v>
      </c>
      <c r="G23" s="35" t="s">
        <v>127</v>
      </c>
      <c r="H23" s="35" t="s">
        <v>127</v>
      </c>
      <c r="I23" s="35" t="s">
        <v>127</v>
      </c>
      <c r="J23" s="35" t="s">
        <v>127</v>
      </c>
      <c r="K23" s="35" t="s">
        <v>127</v>
      </c>
      <c r="L23" s="35" t="s">
        <v>128</v>
      </c>
      <c r="M23" s="35" t="s">
        <v>127</v>
      </c>
      <c r="N23" s="20" t="str">
        <f aca="false">IF(B23="","",IF(COUNTA(G23:M23)&lt;7,"Análise incompleta",IF(COUNTIF(G23:M23,"Não")&gt;0,"Resolver antes de aceitar","Pode aceitar")))</f>
        <v>Resolver antes de aceitar</v>
      </c>
      <c r="O23" s="30" t="s">
        <v>164</v>
      </c>
      <c r="P23" s="7"/>
      <c r="Q23" s="7" t="s">
        <v>303</v>
      </c>
      <c r="R23" s="34" t="n">
        <v>46547</v>
      </c>
      <c r="S23" s="34" t="n">
        <v>46547</v>
      </c>
      <c r="T23" s="12" t="str">
        <f aca="false">IF(B23="","",IF(O23="","Falta a decisão",IF(Q23="","Falta quem analisou",IF(O23="Em análise","OK",IF(COUNTA(G23:M23)&lt;7,"Falta responder à análise",IF(R23="","Falta a data da análise",IF(AND(OR(O23="Aceito",O23="Aceito com alteração"),S23=""),"Falta a data da confirmação",IF(AND(OR(O23="Aceito",O23="Aceito com alteração"),R23&gt;S23),"Analisado depois de aceitar",IF(AND(O23="Aceito",COUNTIF(G23:M23,"Não")&gt;0),"Aceito com pendência na análise",IF(AND(O23="Aceito com alteração",P23=""),"Falta o que foi negociado",IF(AND(O23="Recusado",P23=""),"Falta o motivo da recusa","OK")))))))))))</f>
        <v>Aceito com pendência na análise</v>
      </c>
    </row>
    <row r="24" customFormat="false" ht="30.75" hidden="false" customHeight="true" outlineLevel="0" collapsed="false">
      <c r="B24" s="32" t="s">
        <v>323</v>
      </c>
      <c r="C24" s="33" t="n">
        <v>46548</v>
      </c>
      <c r="D24" s="7" t="s">
        <v>324</v>
      </c>
      <c r="E24" s="7" t="s">
        <v>325</v>
      </c>
      <c r="F24" s="34" t="n">
        <v>46578</v>
      </c>
      <c r="G24" s="35" t="s">
        <v>128</v>
      </c>
      <c r="H24" s="35" t="s">
        <v>127</v>
      </c>
      <c r="I24" s="35" t="s">
        <v>127</v>
      </c>
      <c r="J24" s="35" t="s">
        <v>127</v>
      </c>
      <c r="K24" s="35" t="s">
        <v>127</v>
      </c>
      <c r="L24" s="35" t="s">
        <v>127</v>
      </c>
      <c r="M24" s="35" t="s">
        <v>127</v>
      </c>
      <c r="N24" s="20" t="str">
        <f aca="false">IF(B24="","",IF(COUNTA(G24:M24)&lt;7,"Análise incompleta",IF(COUNTIF(G24:M24,"Não")&gt;0,"Resolver antes de aceitar","Pode aceitar")))</f>
        <v>Resolver antes de aceitar</v>
      </c>
      <c r="O24" s="30" t="s">
        <v>169</v>
      </c>
      <c r="P24" s="7" t="s">
        <v>326</v>
      </c>
      <c r="Q24" s="7" t="s">
        <v>303</v>
      </c>
      <c r="R24" s="34" t="n">
        <v>46549</v>
      </c>
      <c r="S24" s="34"/>
      <c r="T24" s="12" t="str">
        <f aca="false">IF(B24="","",IF(O24="","Falta a decisão",IF(Q24="","Falta quem analisou",IF(O24="Em análise","OK",IF(COUNTA(G24:M24)&lt;7,"Falta responder à análise",IF(R24="","Falta a data da análise",IF(AND(OR(O24="Aceito",O24="Aceito com alteração"),S24=""),"Falta a data da confirmação",IF(AND(OR(O24="Aceito",O24="Aceito com alteração"),R24&gt;S24),"Analisado depois de aceitar",IF(AND(O24="Aceito",COUNTIF(G24:M24,"Não")&gt;0),"Aceito com pendência na análise",IF(AND(O24="Aceito com alteração",P24=""),"Falta o que foi negociado",IF(AND(O24="Recusado",P24=""),"Falta o motivo da recusa","OK")))))))))))</f>
        <v>OK</v>
      </c>
    </row>
    <row r="25" customFormat="false" ht="30.75" hidden="false" customHeight="true" outlineLevel="0" collapsed="false">
      <c r="B25" s="32" t="s">
        <v>327</v>
      </c>
      <c r="C25" s="33" t="n">
        <v>46549</v>
      </c>
      <c r="D25" s="7" t="s">
        <v>328</v>
      </c>
      <c r="E25" s="7" t="s">
        <v>329</v>
      </c>
      <c r="F25" s="34" t="n">
        <v>46554</v>
      </c>
      <c r="G25" s="35" t="s">
        <v>127</v>
      </c>
      <c r="H25" s="35" t="s">
        <v>127</v>
      </c>
      <c r="I25" s="35" t="s">
        <v>127</v>
      </c>
      <c r="J25" s="35" t="s">
        <v>127</v>
      </c>
      <c r="K25" s="35" t="s">
        <v>127</v>
      </c>
      <c r="L25" s="35" t="s">
        <v>127</v>
      </c>
      <c r="M25" s="35" t="s">
        <v>127</v>
      </c>
      <c r="N25" s="20" t="str">
        <f aca="false">IF(B25="","",IF(COUNTA(G25:M25)&lt;7,"Análise incompleta",IF(COUNTIF(G25:M25,"Não")&gt;0,"Resolver antes de aceitar","Pode aceitar")))</f>
        <v>Pode aceitar</v>
      </c>
      <c r="O25" s="30" t="s">
        <v>164</v>
      </c>
      <c r="P25" s="7"/>
      <c r="Q25" s="7" t="s">
        <v>330</v>
      </c>
      <c r="R25" s="34" t="n">
        <v>46552</v>
      </c>
      <c r="S25" s="34" t="n">
        <v>46549</v>
      </c>
      <c r="T25" s="12" t="str">
        <f aca="false">IF(B25="","",IF(O25="","Falta a decisão",IF(Q25="","Falta quem analisou",IF(O25="Em análise","OK",IF(COUNTA(G25:M25)&lt;7,"Falta responder à análise",IF(R25="","Falta a data da análise",IF(AND(OR(O25="Aceito",O25="Aceito com alteração"),S25=""),"Falta a data da confirmação",IF(AND(OR(O25="Aceito",O25="Aceito com alteração"),R25&gt;S25),"Analisado depois de aceitar",IF(AND(O25="Aceito",COUNTIF(G25:M25,"Não")&gt;0),"Aceito com pendência na análise",IF(AND(O25="Aceito com alteração",P25=""),"Falta o que foi negociado",IF(AND(O25="Recusado",P25=""),"Falta o motivo da recusa","OK")))))))))))</f>
        <v>Analisado depois de aceitar</v>
      </c>
    </row>
    <row r="26" customFormat="false" ht="15" hidden="false" customHeight="true" outlineLevel="0" collapsed="false">
      <c r="B26" s="36" t="s">
        <v>272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</row>
    <row r="28" customFormat="false" ht="21.75" hidden="false" customHeight="true" outlineLevel="0" collapsed="false">
      <c r="B28" s="37" t="s">
        <v>136</v>
      </c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</row>
    <row r="29" customFormat="false" ht="30" hidden="false" customHeight="true" outlineLevel="0" collapsed="false">
      <c r="B29" s="22" t="s">
        <v>100</v>
      </c>
      <c r="C29" s="22" t="s">
        <v>138</v>
      </c>
      <c r="D29" s="28" t="s">
        <v>139</v>
      </c>
      <c r="E29" s="28"/>
      <c r="F29" s="28" t="s">
        <v>141</v>
      </c>
      <c r="G29" s="28"/>
      <c r="H29" s="28"/>
      <c r="I29" s="28"/>
      <c r="J29" s="28"/>
      <c r="K29" s="28"/>
      <c r="L29" s="28"/>
      <c r="M29" s="28"/>
      <c r="N29" s="28" t="s">
        <v>140</v>
      </c>
      <c r="O29" s="28"/>
      <c r="P29" s="22" t="s">
        <v>143</v>
      </c>
      <c r="Q29" s="28" t="s">
        <v>142</v>
      </c>
      <c r="R29" s="28"/>
      <c r="S29" s="28"/>
      <c r="T29" s="22" t="s">
        <v>86</v>
      </c>
    </row>
    <row r="30" customFormat="false" ht="30.75" hidden="false" customHeight="true" outlineLevel="0" collapsed="false">
      <c r="B30" s="33" t="n">
        <v>46542</v>
      </c>
      <c r="C30" s="30" t="s">
        <v>304</v>
      </c>
      <c r="D30" s="29" t="s">
        <v>331</v>
      </c>
      <c r="E30" s="29"/>
      <c r="F30" s="7" t="s">
        <v>332</v>
      </c>
      <c r="G30" s="7"/>
      <c r="H30" s="7"/>
      <c r="I30" s="7"/>
      <c r="J30" s="7"/>
      <c r="K30" s="7"/>
      <c r="L30" s="7"/>
      <c r="M30" s="7"/>
      <c r="N30" s="7" t="s">
        <v>333</v>
      </c>
      <c r="O30" s="7"/>
      <c r="P30" s="7" t="s">
        <v>334</v>
      </c>
      <c r="Q30" s="30" t="s">
        <v>127</v>
      </c>
      <c r="R30" s="30"/>
      <c r="S30" s="30"/>
      <c r="T30" s="12" t="str">
        <f aca="false">IF(D30="",IF(1&gt;0,"Falta o que mudou",""),IF(C30="","Falta o pedido",IF(COUNTIF($B$18:$B$25,C30)=0,"Pedido não está na aba Pedidos",IF(F30="","Falta a análise",IF(Q30&lt;&gt;"Sim","Documentos não atualizados",IF(P30="","Falta quem foi informado","OK"))))))</f>
        <v>OK</v>
      </c>
    </row>
    <row r="31" customFormat="false" ht="30.75" hidden="false" customHeight="true" outlineLevel="0" collapsed="false">
      <c r="B31" s="33" t="n">
        <v>46549</v>
      </c>
      <c r="C31" s="30" t="s">
        <v>300</v>
      </c>
      <c r="D31" s="29" t="s">
        <v>335</v>
      </c>
      <c r="E31" s="29"/>
      <c r="F31" s="7" t="s">
        <v>336</v>
      </c>
      <c r="G31" s="7"/>
      <c r="H31" s="7"/>
      <c r="I31" s="7"/>
      <c r="J31" s="7"/>
      <c r="K31" s="7"/>
      <c r="L31" s="7"/>
      <c r="M31" s="7"/>
      <c r="N31" s="7" t="s">
        <v>337</v>
      </c>
      <c r="O31" s="7"/>
      <c r="P31" s="7" t="s">
        <v>338</v>
      </c>
      <c r="Q31" s="30" t="s">
        <v>127</v>
      </c>
      <c r="R31" s="30"/>
      <c r="S31" s="30"/>
      <c r="T31" s="12" t="str">
        <f aca="false">IF(D31="",IF(1&gt;0,"Falta o que mudou",""),IF(C31="","Falta o pedido",IF(COUNTIF($B$18:$B$25,C31)=0,"Pedido não está na aba Pedidos",IF(F31="","Falta a análise",IF(Q31&lt;&gt;"Sim","Documentos não atualizados",IF(P31="","Falta quem foi informado","OK"))))))</f>
        <v>OK</v>
      </c>
    </row>
    <row r="32" customFormat="false" ht="30.75" hidden="false" customHeight="true" outlineLevel="0" collapsed="false">
      <c r="B32" s="33" t="n">
        <v>46550</v>
      </c>
      <c r="C32" s="30" t="s">
        <v>321</v>
      </c>
      <c r="D32" s="29" t="s">
        <v>339</v>
      </c>
      <c r="E32" s="29"/>
      <c r="F32" s="7" t="s">
        <v>340</v>
      </c>
      <c r="G32" s="7"/>
      <c r="H32" s="7"/>
      <c r="I32" s="7"/>
      <c r="J32" s="7"/>
      <c r="K32" s="7"/>
      <c r="L32" s="7"/>
      <c r="M32" s="7"/>
      <c r="N32" s="7" t="s">
        <v>330</v>
      </c>
      <c r="O32" s="7"/>
      <c r="P32" s="7"/>
      <c r="Q32" s="30" t="s">
        <v>127</v>
      </c>
      <c r="R32" s="30"/>
      <c r="S32" s="30"/>
      <c r="T32" s="12" t="str">
        <f aca="false">IF(D32="",IF(1&gt;0,"Falta o que mudou",""),IF(C32="","Falta o pedido",IF(COUNTIF($B$18:$B$25,C32)=0,"Pedido não está na aba Pedidos",IF(F32="","Falta a análise",IF(Q32&lt;&gt;"Sim","Documentos não atualizados",IF(P32="","Falta quem foi informado","OK"))))))</f>
        <v>Falta quem foi informado</v>
      </c>
    </row>
    <row r="34" customFormat="false" ht="21.75" hidden="false" customHeight="true" outlineLevel="0" collapsed="false">
      <c r="B34" s="13" t="s">
        <v>94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customFormat="false" ht="21.75" hidden="false" customHeight="true" outlineLevel="0" collapsed="false">
      <c r="B35" s="14" t="s">
        <v>278</v>
      </c>
      <c r="C35" s="14"/>
      <c r="D35" s="14"/>
      <c r="E35" s="14"/>
      <c r="F35" s="15" t="str">
        <f aca="false">COUNTIF(O18:O25,"Aceito")&amp;" aceitos"&amp;", "&amp;COUNTIF(O18:O25,"Aceito com alteração")&amp;" aceitos com alteração"&amp;", "&amp;COUNTIF(O18:O25,"Recusado")&amp;" recusados"&amp;", "&amp;COUNTIF(O18:O25,"Em análise")&amp;" em análise"</f>
        <v>3 aceitos, 3 aceitos com alteração, 1 recusados, 1 em análise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  <row r="36" customFormat="false" ht="21.75" hidden="false" customHeight="true" outlineLevel="0" collapsed="false">
      <c r="B36" s="14" t="s">
        <v>171</v>
      </c>
      <c r="C36" s="14"/>
      <c r="D36" s="14"/>
      <c r="E36" s="14"/>
      <c r="F36" s="15" t="n">
        <f aca="false">SUMPRODUCT((((G18:G25="Não")+(H18:H25="Não")+(I18:I25="Não")+(J18:J25="Não")+(K18:K25="Não")+(L18:L25="Não")+(M18:M25="Não"))&gt;0)*1)</f>
        <v>6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</row>
    <row r="37" customFormat="false" ht="21.75" hidden="false" customHeight="true" outlineLevel="0" collapsed="false">
      <c r="B37" s="14" t="s">
        <v>135</v>
      </c>
      <c r="C37" s="14"/>
      <c r="D37" s="14"/>
      <c r="E37" s="14"/>
      <c r="F37" s="15" t="n">
        <f aca="false">SUMPRODUCT((T18:T25&lt;&gt;"OK")*1)</f>
        <v>2</v>
      </c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</row>
    <row r="38" customFormat="false" ht="21.75" hidden="false" customHeight="true" outlineLevel="0" collapsed="false">
      <c r="B38" s="14" t="s">
        <v>279</v>
      </c>
      <c r="C38" s="14"/>
      <c r="D38" s="14"/>
      <c r="E38" s="14"/>
      <c r="F38" s="15" t="str">
        <f aca="false">"1: "&amp;COUNTIF(G18:G25,"Não")&amp;" · "&amp;"2: "&amp;COUNTIF(H18:H25,"Não")&amp;" · "&amp;"3: "&amp;COUNTIF(I18:I25,"Não")&amp;" · "&amp;"4: "&amp;COUNTIF(J18:J25,"Não")&amp;" · "&amp;"5: "&amp;COUNTIF(K18:K25,"Não")&amp;" · "&amp;"6: "&amp;COUNTIF(L18:L25,"Não")&amp;" · "&amp;"7: "&amp;COUNTIF(M18:M25,"Não")</f>
        <v>1: 2 · 2: 1 · 3: 0 · 4: 1 · 5: 1 · 6: 1 · 7: 0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  <row r="39" customFormat="false" ht="21.75" hidden="false" customHeight="true" outlineLevel="0" collapsed="false">
      <c r="B39" s="14" t="s">
        <v>280</v>
      </c>
      <c r="C39" s="14"/>
      <c r="D39" s="14"/>
      <c r="E39" s="14"/>
      <c r="F39" s="15" t="str">
        <f aca="false">COUNTA(D30:D32)&amp;" registradas, "&amp;SUMPRODUCT((T30:T32&lt;&gt;"OK")*1)&amp;" a rever"</f>
        <v>3 registradas, 1 a rever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</sheetData>
  <mergeCells count="63">
    <mergeCell ref="B1:T1"/>
    <mergeCell ref="B2:T2"/>
    <mergeCell ref="B4:D4"/>
    <mergeCell ref="E4:T4"/>
    <mergeCell ref="B5:D5"/>
    <mergeCell ref="E5:T5"/>
    <mergeCell ref="B6:D6"/>
    <mergeCell ref="E6:T6"/>
    <mergeCell ref="B7:D7"/>
    <mergeCell ref="E7:T7"/>
    <mergeCell ref="B8:D8"/>
    <mergeCell ref="E8:T8"/>
    <mergeCell ref="B10:T10"/>
    <mergeCell ref="B11:C11"/>
    <mergeCell ref="D11:E11"/>
    <mergeCell ref="F11:M11"/>
    <mergeCell ref="N11:O11"/>
    <mergeCell ref="Q11:S11"/>
    <mergeCell ref="B12:C12"/>
    <mergeCell ref="D12:E12"/>
    <mergeCell ref="F12:M12"/>
    <mergeCell ref="N12:O12"/>
    <mergeCell ref="Q12:S12"/>
    <mergeCell ref="B13:C13"/>
    <mergeCell ref="D13:E13"/>
    <mergeCell ref="F13:M13"/>
    <mergeCell ref="N13:O13"/>
    <mergeCell ref="Q13:S13"/>
    <mergeCell ref="B14:C14"/>
    <mergeCell ref="D14:E14"/>
    <mergeCell ref="F14:M14"/>
    <mergeCell ref="N14:O14"/>
    <mergeCell ref="Q14:S14"/>
    <mergeCell ref="B16:T16"/>
    <mergeCell ref="B26:T26"/>
    <mergeCell ref="B28:T28"/>
    <mergeCell ref="D29:E29"/>
    <mergeCell ref="F29:M29"/>
    <mergeCell ref="N29:O29"/>
    <mergeCell ref="Q29:S29"/>
    <mergeCell ref="D30:E30"/>
    <mergeCell ref="F30:M30"/>
    <mergeCell ref="N30:O30"/>
    <mergeCell ref="Q30:S30"/>
    <mergeCell ref="D31:E31"/>
    <mergeCell ref="F31:M31"/>
    <mergeCell ref="N31:O31"/>
    <mergeCell ref="Q31:S31"/>
    <mergeCell ref="D32:E32"/>
    <mergeCell ref="F32:M32"/>
    <mergeCell ref="N32:O32"/>
    <mergeCell ref="Q32:S32"/>
    <mergeCell ref="B34:T34"/>
    <mergeCell ref="B35:E35"/>
    <mergeCell ref="F35:T35"/>
    <mergeCell ref="B36:E36"/>
    <mergeCell ref="F36:T36"/>
    <mergeCell ref="B37:E37"/>
    <mergeCell ref="F37:T37"/>
    <mergeCell ref="B38:E38"/>
    <mergeCell ref="F38:T38"/>
    <mergeCell ref="B39:E39"/>
    <mergeCell ref="F39:T39"/>
  </mergeCells>
  <conditionalFormatting sqref="T12:T14">
    <cfRule type="expression" priority="2" aboveAverage="0" equalAverage="0" bottom="0" percent="0" rank="0" text="" dxfId="0">
      <formula>OR(T12="OK")</formula>
    </cfRule>
    <cfRule type="expression" priority="3" aboveAverage="0" equalAverage="0" bottom="0" percent="0" rank="0" text="" dxfId="1">
      <formula>AND(LEN(T12)&gt;0,NOT(OR(T12="OK")))</formula>
    </cfRule>
  </conditionalFormatting>
  <conditionalFormatting sqref="G18:M25">
    <cfRule type="expression" priority="4" aboveAverage="0" equalAverage="0" bottom="0" percent="0" rank="0" text="" dxfId="0">
      <formula>G18="Sim"</formula>
    </cfRule>
    <cfRule type="expression" priority="5" aboveAverage="0" equalAverage="0" bottom="0" percent="0" rank="0" text="" dxfId="2">
      <formula>G18="Não"</formula>
    </cfRule>
    <cfRule type="expression" priority="6" aboveAverage="0" equalAverage="0" bottom="0" percent="0" rank="0" text="" dxfId="3">
      <formula>G18="Não se aplica"</formula>
    </cfRule>
  </conditionalFormatting>
  <conditionalFormatting sqref="N18:N25">
    <cfRule type="expression" priority="7" aboveAverage="0" equalAverage="0" bottom="0" percent="0" rank="0" text="" dxfId="0">
      <formula>N18="Pode aceitar"</formula>
    </cfRule>
    <cfRule type="expression" priority="8" aboveAverage="0" equalAverage="0" bottom="0" percent="0" rank="0" text="" dxfId="4">
      <formula>N18="Resolver antes de aceitar"</formula>
    </cfRule>
    <cfRule type="expression" priority="9" aboveAverage="0" equalAverage="0" bottom="0" percent="0" rank="0" text="" dxfId="2">
      <formula>N18="Análise incompleta"</formula>
    </cfRule>
  </conditionalFormatting>
  <conditionalFormatting sqref="O18:O25">
    <cfRule type="expression" priority="10" aboveAverage="0" equalAverage="0" bottom="0" percent="0" rank="0" text="" dxfId="0">
      <formula>O18="Aceito"</formula>
    </cfRule>
    <cfRule type="expression" priority="11" aboveAverage="0" equalAverage="0" bottom="0" percent="0" rank="0" text="" dxfId="4">
      <formula>O18="Aceito com alteração"</formula>
    </cfRule>
    <cfRule type="expression" priority="12" aboveAverage="0" equalAverage="0" bottom="0" percent="0" rank="0" text="" dxfId="2">
      <formula>O18="Recusado"</formula>
    </cfRule>
    <cfRule type="expression" priority="13" aboveAverage="0" equalAverage="0" bottom="0" percent="0" rank="0" text="" dxfId="3">
      <formula>O18="Em análise"</formula>
    </cfRule>
  </conditionalFormatting>
  <conditionalFormatting sqref="T18:T25">
    <cfRule type="expression" priority="14" aboveAverage="0" equalAverage="0" bottom="0" percent="0" rank="0" text="" dxfId="0">
      <formula>T18="OK"</formula>
    </cfRule>
    <cfRule type="expression" priority="15" aboveAverage="0" equalAverage="0" bottom="0" percent="0" rank="0" text="" dxfId="5">
      <formula>T18="Aceito com pendência na análise"</formula>
    </cfRule>
    <cfRule type="expression" priority="16" aboveAverage="0" equalAverage="0" bottom="0" percent="0" rank="0" text="" dxfId="5">
      <formula>T18="Analisado depois de aceitar"</formula>
    </cfRule>
    <cfRule type="expression" priority="17" aboveAverage="0" equalAverage="0" bottom="0" percent="0" rank="0" text="" dxfId="1">
      <formula>LEN(T18)&gt;0</formula>
    </cfRule>
  </conditionalFormatting>
  <conditionalFormatting sqref="T30:T32">
    <cfRule type="expression" priority="18" aboveAverage="0" equalAverage="0" bottom="0" percent="0" rank="0" text="" dxfId="0">
      <formula>OR(T30="OK")</formula>
    </cfRule>
    <cfRule type="expression" priority="19" aboveAverage="0" equalAverage="0" bottom="0" percent="0" rank="0" text="" dxfId="1">
      <formula>AND(LEN(T30)&gt;0,NOT(OR(T30="OK")))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7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2026-10-05T12:05:27Z</dcterms:created>
  <dc:creator>Modelo Pedidos</dc:creator>
  <dc:description/>
  <dc:language>pt-BR</dc:language>
  <cp:lastModifiedBy/>
  <dcterms:modified xsi:type="dcterms:W3CDTF">2026-10-05T12:05:27Z</dcterms:modified>
  <cp:revision>0</cp:revision>
  <dc:subject/>
  <dc:title>Requisitos do cliente e análise de pedidos — Modelo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