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Mudanças" sheetId="2" state="visible" r:id="rId4"/>
    <sheet name="Plano" sheetId="3" state="visible" r:id="rId5"/>
    <sheet name="Painel" sheetId="4" state="visible" r:id="rId6"/>
    <sheet name="Checklist" sheetId="5" state="visible" r:id="rId7"/>
    <sheet name="Exemplo 1 - Pizzaria" sheetId="6" state="visible" r:id="rId8"/>
    <sheet name="Exemplo 2 - Indústria" sheetId="7" state="visible" r:id="rId9"/>
  </sheets>
  <definedNames>
    <definedName function="false" hidden="false" localSheetId="4" name="_xlnm.Print_Area" vbProcedure="false">Checklist!$B$1:$E$24</definedName>
    <definedName function="false" hidden="false" localSheetId="5" name="_xlnm.Print_Area" vbProcedure="false">'Exemplo 1 - Pizzaria'!$B$1:$R$41</definedName>
    <definedName function="false" hidden="false" localSheetId="6" name="_xlnm.Print_Area" vbProcedure="false">'Exemplo 2 - Indústria'!$B$1:$R$41</definedName>
    <definedName function="false" hidden="false" localSheetId="0" name="_xlnm.Print_Area" vbProcedure="false">Instruções!$B$1:$C$38</definedName>
    <definedName function="false" hidden="false" localSheetId="1" name="_xlnm.Print_Area" vbProcedure="false">Mudanças!$B$1:$R$27</definedName>
    <definedName function="false" hidden="false" localSheetId="3" name="_xlnm.Print_Area" vbProcedure="false">Painel!$B$1:$F$43</definedName>
    <definedName function="false" hidden="false" localSheetId="2" name="_xlnm.Print_Area" vbProcedure="false">Plano!$B$1:$I$23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G6" authorId="0">
      <text>
        <r>
          <rPr>
            <sz val="10"/>
            <rFont val="Arial"/>
            <family val="2"/>
          </rPr>
          <t xml:space="preserve">Convenção deste material: o quanto a mudança costuma exigir de trabalho e o quanto o auditor tende a olhar para ela.</t>
        </r>
      </text>
    </comment>
    <comment ref="I6" authorId="0">
      <text>
        <r>
          <rPr>
            <sz val="10"/>
            <rFont val="Arial"/>
            <family val="2"/>
          </rPr>
          <t xml:space="preserve">Atende: a prática e a evidência existem. Atende em parte: existe, mas falta algo. Não atende: não existe. Não se aplica: com justificativa.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11" authorId="0">
      <text>
        <r>
          <rPr>
            <sz val="10"/>
            <rFont val="Arial"/>
            <family val="2"/>
          </rPr>
          <t xml:space="preserve">Convenção deste material: quantos dias antes da auditoria cada etapa deveria estar feita.</t>
        </r>
      </text>
    </comment>
  </commentList>
</comments>
</file>

<file path=xl/sharedStrings.xml><?xml version="1.0" encoding="utf-8"?>
<sst xmlns="http://schemas.openxmlformats.org/spreadsheetml/2006/main" count="507" uniqueCount="251">
  <si>
    <t xml:space="preserve">ISO 9001:2026: o que muda — Como usar esta planilha</t>
  </si>
  <si>
    <t xml:space="preserve">Modelo para diagnosticar as mudanças da edição de 2026 e planejar a transição.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</si>
  <si>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</si>
  <si>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</si>
  <si>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</si>
  <si>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</si>
  <si>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(as nove mudanças, pontos, prioridade, limites, situações, conferências). Não altere.</t>
  </si>
  <si>
    <t xml:space="preserve">Listas suspensas</t>
  </si>
  <si>
    <t xml:space="preserve">Situação, tipo, impacto, situação do certificado e checklist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</si>
  <si>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</si>
  <si>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</si>
  <si>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As regras de cálculo</t>
  </si>
  <si>
    <t xml:space="preserve">Pontos</t>
  </si>
  <si>
    <t xml:space="preserve">O impacto (alto 3, médio 2, baixo 1) vezes a lacuna (não atende 2, atende em parte 1, atende ou não se aplica 0). Vão de 0 a 6.</t>
  </si>
  <si>
    <t xml:space="preserve">Prioridade</t>
  </si>
  <si>
    <t xml:space="preserve">Alta: 4 pontos ou mais. Média: 2 ou 3. Baixa: 1. Sem lacuna: 0.</t>
  </si>
  <si>
    <t xml:space="preserve">Situação da ação</t>
  </si>
  <si>
    <t xml:space="preserve">Concluída com data de conclusão. Atrasada se o prazo passou na data da leitura. No prazo nos outros casos.</t>
  </si>
  <si>
    <t xml:space="preserve">Limite de cada etapa</t>
  </si>
  <si>
    <t xml:space="preserve">A data da auditoria menos os dias da coluna. Os dias são uma convenção deste material: 180 para ler a norma, 15 para a análise crítica.</t>
  </si>
  <si>
    <t xml:space="preserve">Situação da etapa</t>
  </si>
  <si>
    <t xml:space="preserve">Feito no prazo ou Feito fora do prazo, se feita. Se não: Atrasado depois do limite, Vence em 30 dias a 30 dias ou menos, Previsto antes disso.</t>
  </si>
  <si>
    <t xml:space="preserve">Alerta</t>
  </si>
  <si>
    <t xml:space="preserve">Para quem tem certificado pela edição de 2015, a auditoria precisa ser até o fim da transição.</t>
  </si>
  <si>
    <t xml:space="preserve">Ordem recomendada de preenchimento</t>
  </si>
  <si>
    <t xml:space="preserve">Passo 1</t>
  </si>
  <si>
    <t xml:space="preserve">Aba Mudanças: a data da leitura e a situação de cada mudança, com a evidência.</t>
  </si>
  <si>
    <t xml:space="preserve">Passo 2</t>
  </si>
  <si>
    <t xml:space="preserve">Aba Mudanças: para cada lacuna, a ação, o responsável e o prazo. Quando concluir, a data.</t>
  </si>
  <si>
    <t xml:space="preserve">Passo 3</t>
  </si>
  <si>
    <t xml:space="preserve">Aba Mudanças: se encontrar outra mudança no texto da norma, use as linhas livres.</t>
  </si>
  <si>
    <t xml:space="preserve">Passo 4</t>
  </si>
  <si>
    <t xml:space="preserve">Aba Plano: a auditoria, a data, a leitura, o fim da transição e a situação do certificado.</t>
  </si>
  <si>
    <t xml:space="preserve">Passo 5</t>
  </si>
  <si>
    <t xml:space="preserve">Aba Plano: as datas em que cada etapa foi feita.</t>
  </si>
  <si>
    <t xml:space="preserve">Passo 6</t>
  </si>
  <si>
    <t xml:space="preserve">Aba Painel: leia os avisos. Depois, valide na aba Checklist.</t>
  </si>
  <si>
    <t xml:space="preserve">Abas da planilha</t>
  </si>
  <si>
    <t xml:space="preserve">Mudanças</t>
  </si>
  <si>
    <t xml:space="preserve">As 9 mudanças da edição de 2026, com a pergunta de cada uma, e 6 linhas livres.</t>
  </si>
  <si>
    <t xml:space="preserve">Plano</t>
  </si>
  <si>
    <t xml:space="preserve">As 8 etapas da transição, com o limite calculado pela data da auditoria.</t>
  </si>
  <si>
    <t xml:space="preserve">Painel</t>
  </si>
  <si>
    <t xml:space="preserve">Os números das duas abas, o gráfico das prioridades e o aviso.</t>
  </si>
  <si>
    <t xml:space="preserve">Checklist</t>
  </si>
  <si>
    <t xml:space="preserve">Doze verificações da transição, com percentual de conclusão.</t>
  </si>
  <si>
    <t xml:space="preserve">Exemplo 1 - Pizzaria</t>
  </si>
  <si>
    <t xml:space="preserve">A preparação para a certificação inicial, já pela edição de 2026.</t>
  </si>
  <si>
    <t xml:space="preserve">Exemplo 2 - Indústria</t>
  </si>
  <si>
    <t xml:space="preserve">A transição na 1ª manutenção, depois da certificação pela edição de 2015.</t>
  </si>
  <si>
    <t xml:space="preserve">Premissas do modelo</t>
  </si>
  <si>
    <t xml:space="preserve">Datas</t>
  </si>
  <si>
    <t xml:space="preserve">A ISO 9001:2026 foi publicada em 16/09/2026. Pelas regras de transição da Global ACI, certificados novos só pela edição de 2026 desde 31/03/2028, e os de 2015 valem até 30/09/2029.</t>
  </si>
  <si>
    <t xml:space="preserve">Os resumos são deste material, a partir do anúncio da ISO e das análises dos organismos. Confira no texto da norma.</t>
  </si>
  <si>
    <t xml:space="preserve">Exemplos</t>
  </si>
  <si>
    <t xml:space="preserve">Os dados das abas de exemplo são ilustrativos, criados para este material.</t>
  </si>
  <si>
    <t xml:space="preserve">Diagnóstico das mudanças</t>
  </si>
  <si>
    <t xml:space="preserve">Uma mudança por linha: a situação, a evidência e, se houver lacuna, a ação.</t>
  </si>
  <si>
    <t xml:space="preserve">Data da leitura</t>
  </si>
  <si>
    <t xml:space="preserve">As ações com prazo vencido nesta data aparecem atrasadas.</t>
  </si>
  <si>
    <t xml:space="preserve">#</t>
  </si>
  <si>
    <t xml:space="preserve">Código</t>
  </si>
  <si>
    <t xml:space="preserve">Onde</t>
  </si>
  <si>
    <t xml:space="preserve">Mudança</t>
  </si>
  <si>
    <t xml:space="preserve">Tipo</t>
  </si>
  <si>
    <t xml:space="preserve">Impacto</t>
  </si>
  <si>
    <t xml:space="preserve">Pergunta do diagnóstico</t>
  </si>
  <si>
    <t xml:space="preserve">Situação</t>
  </si>
  <si>
    <t xml:space="preserve">Evidência</t>
  </si>
  <si>
    <t xml:space="preserve">Ação</t>
  </si>
  <si>
    <t xml:space="preserve">Responsável</t>
  </si>
  <si>
    <t xml:space="preserve">Prazo</t>
  </si>
  <si>
    <t xml:space="preserve">Concluída em</t>
  </si>
  <si>
    <t xml:space="preserve">Conferência</t>
  </si>
  <si>
    <t xml:space="preserve">As nove mudanças da edição de 2026, e linhas livres para outras que você encontrar no texto.</t>
  </si>
  <si>
    <t xml:space="preserve">M1</t>
  </si>
  <si>
    <t xml:space="preserve">4.1 e 4.2</t>
  </si>
  <si>
    <t xml:space="preserve">Mudança climática no contexto</t>
  </si>
  <si>
    <t xml:space="preserve">Incorporado</t>
  </si>
  <si>
    <t xml:space="preserve">Baixo</t>
  </si>
  <si>
    <t xml:space="preserve">A análise de contexto e a lista de partes interessadas dizem se o clima afeta a organização?</t>
  </si>
  <si>
    <t xml:space="preserve">M2</t>
  </si>
  <si>
    <t xml:space="preserve">5.1.1</t>
  </si>
  <si>
    <t xml:space="preserve">Cultura da qualidade e comportamento ético</t>
  </si>
  <si>
    <t xml:space="preserve">Novo</t>
  </si>
  <si>
    <t xml:space="preserve">Alto</t>
  </si>
  <si>
    <t xml:space="preserve">Como a direção mostra, na prática, a cultura da qualidade e o comportamento ético que espera?</t>
  </si>
  <si>
    <t xml:space="preserve">M3</t>
  </si>
  <si>
    <t xml:space="preserve">5.2</t>
  </si>
  <si>
    <t xml:space="preserve">Política ligada à direção estratégica</t>
  </si>
  <si>
    <t xml:space="preserve">Reforçado</t>
  </si>
  <si>
    <t xml:space="preserve">Médio</t>
  </si>
  <si>
    <t xml:space="preserve">A política conversa com a estratégia e com o contexto, e os objetivos saem dela?</t>
  </si>
  <si>
    <t xml:space="preserve">M4</t>
  </si>
  <si>
    <t xml:space="preserve">6.1</t>
  </si>
  <si>
    <t xml:space="preserve">Riscos e oportunidades separados</t>
  </si>
  <si>
    <t xml:space="preserve">Reestruturado</t>
  </si>
  <si>
    <t xml:space="preserve">Os riscos e as oportunidades estão em listas separadas, cada uma com análise, ação e eficácia?</t>
  </si>
  <si>
    <t xml:space="preserve">M5</t>
  </si>
  <si>
    <t xml:space="preserve">6.3</t>
  </si>
  <si>
    <t xml:space="preserve">Planejamento de mudanças</t>
  </si>
  <si>
    <t xml:space="preserve">A última mudança importante no sistema teve plano, comunicação e análise do resultado?</t>
  </si>
  <si>
    <t xml:space="preserve">M6</t>
  </si>
  <si>
    <t xml:space="preserve">7.3</t>
  </si>
  <si>
    <t xml:space="preserve">Conscientização sobre cultura e ética</t>
  </si>
  <si>
    <t xml:space="preserve">As pessoas sabem dizer que comportamento a organização espera delas, e por quê?</t>
  </si>
  <si>
    <t xml:space="preserve">M7</t>
  </si>
  <si>
    <t xml:space="preserve">3</t>
  </si>
  <si>
    <t xml:space="preserve">Termos essenciais dentro da norma</t>
  </si>
  <si>
    <t xml:space="preserve">Esclarecimento</t>
  </si>
  <si>
    <t xml:space="preserve">Os documentos internos usam os termos como a norma nova os define?</t>
  </si>
  <si>
    <t xml:space="preserve">M8</t>
  </si>
  <si>
    <t xml:space="preserve">Estrutura</t>
  </si>
  <si>
    <t xml:space="preserve">Estrutura harmonizada atualizada</t>
  </si>
  <si>
    <t xml:space="preserve">Os documentos que citam números de requisitos continuam certos?</t>
  </si>
  <si>
    <t xml:space="preserve">M9</t>
  </si>
  <si>
    <t xml:space="preserve">Anexo A</t>
  </si>
  <si>
    <t xml:space="preserve">Anexo A ampliado</t>
  </si>
  <si>
    <t xml:space="preserve">Quem interpreta a norma na organização leu o anexo novo?</t>
  </si>
  <si>
    <t xml:space="preserve">Resumo automático</t>
  </si>
  <si>
    <t xml:space="preserve">Aviso</t>
  </si>
  <si>
    <t xml:space="preserve">Plano de transição</t>
  </si>
  <si>
    <t xml:space="preserve">As etapas até a auditoria, com o limite de cada uma.</t>
  </si>
  <si>
    <t xml:space="preserve">Auditoria</t>
  </si>
  <si>
    <t xml:space="preserve">Qual auditoria: manutenção, recertificação, auditoria separada, ou a fase 1 da certificação inicial.</t>
  </si>
  <si>
    <t xml:space="preserve">Data da auditoria</t>
  </si>
  <si>
    <t xml:space="preserve">A data combinada, ou prevista, com o organismo.</t>
  </si>
  <si>
    <t xml:space="preserve">As etapas são comparadas com esta data.</t>
  </si>
  <si>
    <t xml:space="preserve">Fim da transição</t>
  </si>
  <si>
    <t xml:space="preserve">Para certificados pela edição de 2015. Confirme com o seu organismo.</t>
  </si>
  <si>
    <t xml:space="preserve">Situação do certificado</t>
  </si>
  <si>
    <t xml:space="preserve">Certificado pela edição de 2015, ou sem certificado.</t>
  </si>
  <si>
    <t xml:space="preserve">Alerta de prazo</t>
  </si>
  <si>
    <t xml:space="preserve">Etapa</t>
  </si>
  <si>
    <t xml:space="preserve">Dias antes</t>
  </si>
  <si>
    <t xml:space="preserve">Limite</t>
  </si>
  <si>
    <t xml:space="preserve">Feito em</t>
  </si>
  <si>
    <t xml:space="preserve">Observação</t>
  </si>
  <si>
    <t xml:space="preserve">Limite pendente</t>
  </si>
  <si>
    <t xml:space="preserve">Comprar e ler a norma nova</t>
  </si>
  <si>
    <t xml:space="preserve">Plano de ação aprovado pela direção</t>
  </si>
  <si>
    <t xml:space="preserve">Ações concluídas</t>
  </si>
  <si>
    <t xml:space="preserve">Conscientização da equipe</t>
  </si>
  <si>
    <t xml:space="preserve">Auditoria interna pela edição de 2026</t>
  </si>
  <si>
    <t xml:space="preserve">Análise crítica com a transição</t>
  </si>
  <si>
    <t xml:space="preserve">Auditoria do organismo</t>
  </si>
  <si>
    <t xml:space="preserve">Etapas</t>
  </si>
  <si>
    <t xml:space="preserve">Painel da transição</t>
  </si>
  <si>
    <t xml:space="preserve">Nada a preencher: tudo vem das outras abas.</t>
  </si>
  <si>
    <t xml:space="preserve">Indicador</t>
  </si>
  <si>
    <t xml:space="preserve">Resultado</t>
  </si>
  <si>
    <t xml:space="preserve">Como se lê</t>
  </si>
  <si>
    <t xml:space="preserve">DIAGNÓSTICO</t>
  </si>
  <si>
    <t xml:space="preserve">Atende</t>
  </si>
  <si>
    <t xml:space="preserve">Mudanças já atendidas.</t>
  </si>
  <si>
    <t xml:space="preserve">Atende em parte</t>
  </si>
  <si>
    <t xml:space="preserve">Lacunas parciais.</t>
  </si>
  <si>
    <t xml:space="preserve">Não atende</t>
  </si>
  <si>
    <t xml:space="preserve">Lacunas inteiras.</t>
  </si>
  <si>
    <t xml:space="preserve">Prioridade alta</t>
  </si>
  <si>
    <t xml:space="preserve">Levar à direção.</t>
  </si>
  <si>
    <t xml:space="preserve">Prioridade média</t>
  </si>
  <si>
    <t xml:space="preserve">Antes da auditoria interna.</t>
  </si>
  <si>
    <t xml:space="preserve">Pontos de lacuna</t>
  </si>
  <si>
    <t xml:space="preserve">Impacto vezes lacuna, somados.</t>
  </si>
  <si>
    <t xml:space="preserve">Ações</t>
  </si>
  <si>
    <t xml:space="preserve">Ações registradas.</t>
  </si>
  <si>
    <t xml:space="preserve">Com data de conclusão.</t>
  </si>
  <si>
    <t xml:space="preserve">Ações atrasadas</t>
  </si>
  <si>
    <t xml:space="preserve">Prazo vencido na data da leitura.</t>
  </si>
  <si>
    <t xml:space="preserve">Linhas a completar</t>
  </si>
  <si>
    <t xml:space="preserve">Conferências diferentes de OK.</t>
  </si>
  <si>
    <t xml:space="preserve">PLANO</t>
  </si>
  <si>
    <t xml:space="preserve">Da aba Plano.</t>
  </si>
  <si>
    <t xml:space="preserve">A auditoria cabe na transição?</t>
  </si>
  <si>
    <t xml:space="preserve">Etapas atrasadas</t>
  </si>
  <si>
    <t xml:space="preserve">Passaram do limite.</t>
  </si>
  <si>
    <t xml:space="preserve">Etapas que vencem em 30 dias</t>
  </si>
  <si>
    <t xml:space="preserve">Confirmar a data e o responsável.</t>
  </si>
  <si>
    <t xml:space="preserve">Próximo limite</t>
  </si>
  <si>
    <t xml:space="preserve">O limite mais próximo de uma etapa ainda não feita.</t>
  </si>
  <si>
    <t xml:space="preserve">Próxima etapa</t>
  </si>
  <si>
    <t xml:space="preserve">A etapa desse limite.</t>
  </si>
  <si>
    <t xml:space="preserve">Mudanças por prioridade</t>
  </si>
  <si>
    <t xml:space="preserve">Alta</t>
  </si>
  <si>
    <t xml:space="preserve">Média</t>
  </si>
  <si>
    <t xml:space="preserve">Baixa</t>
  </si>
  <si>
    <t xml:space="preserve">Sem lacuna</t>
  </si>
  <si>
    <t xml:space="preserve">Checklist da transição para a ISO 9001:2026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</si>
  <si>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</si>
  <si>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</si>
  <si>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</si>
  <si>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</si>
  <si>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A norma nova foi comprada e lida, com o anexo A, por quem cuida do sistema.</t>
  </si>
  <si>
    <t xml:space="preserve">Cada mudança foi avaliada: atende, atende em parte ou não atende, com evidência.</t>
  </si>
  <si>
    <t xml:space="preserve">As lacunas têm ação, responsável e prazo, aprovados pela direção.</t>
  </si>
  <si>
    <t xml:space="preserve">A direção sabe dizer como promove a cultura da qualidade e o comportamento ético.</t>
  </si>
  <si>
    <t xml:space="preserve">A política está ligada ao contexto e à direção estratégica.</t>
  </si>
  <si>
    <t xml:space="preserve">Riscos e oportunidades estão em listas separadas, cada uma com ação e avaliação.</t>
  </si>
  <si>
    <t xml:space="preserve">As mudanças no sistema têm plano, comunicação e análise do efeito.</t>
  </si>
  <si>
    <t xml:space="preserve">As pessoas sabem que comportamento se espera delas, e por quê.</t>
  </si>
  <si>
    <t xml:space="preserve">A análise de contexto diz se o clima afeta a organização.</t>
  </si>
  <si>
    <t xml:space="preserve">Os documentos usam os termos da edição nova.</t>
  </si>
  <si>
    <t xml:space="preserve">Houve auditoria interna e análise crítica pela edição nova antes da auditoria externa.</t>
  </si>
  <si>
    <t xml:space="preserve">A data da auditoria de transição foi combinada com o organismo, antes de 30/09/2029.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</si>
  <si>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</si>
  <si>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</si>
  <si>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</si>
  <si>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</si>
  <si>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</si>
  <si>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ISO 9001:2026: o que muda</t>
  </si>
  <si>
    <t xml:space="preserve">Exemplo preenchido, para consulta. Use as abas Mudanças e Plano para a sua organização.</t>
  </si>
  <si>
    <t xml:space="preserve">Organização</t>
  </si>
  <si>
    <t xml:space="preserve">Pizzaria (loja com salão e delivery)</t>
  </si>
  <si>
    <t xml:space="preserve">Sem certificado. Certificação inicial marcada, já pela edição de 2026.</t>
  </si>
  <si>
    <t xml:space="preserve">Fase 1 da certificação inicial</t>
  </si>
  <si>
    <t xml:space="preserve">Gerente da loja</t>
  </si>
  <si>
    <t xml:space="preserve">Sem certificado</t>
  </si>
  <si>
    <t xml:space="preserve">Pergunta</t>
  </si>
  <si>
    <t xml:space="preserve">Calor da cozinha medido todo dia; o clima não está na SWOT</t>
  </si>
  <si>
    <t xml:space="preserve">Incluir o calor na cozinha e as chuvas fortes na SWOT e nas partes interessadas.</t>
  </si>
  <si>
    <t xml:space="preserve">O dono escreve três comportamentos esperados e os cobra na reunião mensal.</t>
  </si>
  <si>
    <t xml:space="preserve">Dono da loja</t>
  </si>
  <si>
    <t xml:space="preserve">Política de 2027 ligada ao crescimento do delivery</t>
  </si>
  <si>
    <t xml:space="preserve">Matriz de riscos do delivery</t>
  </si>
  <si>
    <t xml:space="preserve">Separar as oportunidades da SWOT numa lista própria, com ação e prazo.</t>
  </si>
  <si>
    <t xml:space="preserve">Inclusão do salão no sistema planejada na análise crítica de 14/12/2026, com responsável e prazo; a atualização de versão do sistema de pedidos, em abril de 2027, foi feita sem plano</t>
  </si>
  <si>
    <t xml:space="preserve">Criar uma rotina simples de planejar mudanças no sistema.</t>
  </si>
  <si>
    <t xml:space="preserve">Conversa com toda a equipe sobre a política e os comportamentos esperados.</t>
  </si>
  <si>
    <t xml:space="preserve">Termos lidos; a loja não tem glossário próprio</t>
  </si>
  <si>
    <t xml:space="preserve">Matriz de requisitos conferida</t>
  </si>
  <si>
    <t xml:space="preserve">Anexo A lido na preparação</t>
  </si>
  <si>
    <t xml:space="preserve">Diagnóstico</t>
  </si>
  <si>
    <t xml:space="preserve">Indústria de embalagens plásticas</t>
  </si>
  <si>
    <t xml:space="preserve">Certificada pela edição de 2015 em 17/12/2027. Transição combinada para a 1ª manutenção.</t>
  </si>
  <si>
    <t xml:space="preserve">1ª manutenção, com a transição</t>
  </si>
  <si>
    <t xml:space="preserve">Coordenador da Qualidade</t>
  </si>
  <si>
    <t xml:space="preserve">Certificado pela edição de 2015</t>
  </si>
  <si>
    <t xml:space="preserve">Calor no salão de impressão medido e avaliado como questão pertinente</t>
  </si>
  <si>
    <t xml:space="preserve">Compromissos da direção de 2027, sem cultura e ética</t>
  </si>
  <si>
    <t xml:space="preserve">Código de conduta e comportamentos esperados, apresentados pela direção.</t>
  </si>
  <si>
    <t xml:space="preserve">Diretor geral</t>
  </si>
  <si>
    <t xml:space="preserve">Política revisada com a SWOT e o objetivo O4</t>
  </si>
  <si>
    <t xml:space="preserve">Riscos C1 a C8 e quatro oportunidades em listas separadas, desde 2026</t>
  </si>
  <si>
    <t xml:space="preserve">Procedimento de mudanças do sistema, com plano, comunicação e análise do efeito.</t>
  </si>
  <si>
    <t xml:space="preserve">Incluir cultura e ética nas entrevistas de conscientização e na integração.</t>
  </si>
  <si>
    <t xml:space="preserve">Gerente de RH</t>
  </si>
  <si>
    <t xml:space="preserve">Glossário da lista mestra com os termos de 2015</t>
  </si>
  <si>
    <t xml:space="preserve">Atualizar o glossário com os termos da norma nova.</t>
  </si>
  <si>
    <t xml:space="preserve">Matriz de requisitos e procedimentos conferidos</t>
  </si>
  <si>
    <t xml:space="preserve">Anexo A lido pelos auditores internos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</si>
</sst>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b val="true"/>
      <sz val="9"/>
      <color rgb="FF16242E"/>
      <name val="Arial"/>
      <family val="0"/>
      <charset val="1"/>
    </font>
    <font>
      <sz val="10"/>
      <name val="Arial"/>
      <family val="2"/>
    </font>
    <font>
      <b val="true"/>
      <sz val="9"/>
      <color rgb="FF5B6B76"/>
      <name val="Arial"/>
      <family val="0"/>
      <charset val="1"/>
    </font>
    <font>
      <sz val="9"/>
      <color rgb="FF5B6B76"/>
      <name val="Arial"/>
      <family val="0"/>
      <charset val="1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8EBCB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1E7B73"/>
      </patternFill>
    </fill>
    <fill>
      <patternFill patternType="solid">
        <fgColor rgb="FF1E7B7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8EFDD"/>
        </patternFill>
      </fill>
    </dxf>
    <dxf>
      <fill>
        <patternFill>
          <bgColor rgb="FFF8EBCB"/>
        </patternFill>
      </fill>
    </dxf>
    <dxf>
      <fill>
        <patternFill>
          <bgColor rgb="FFF6D9D7"/>
        </patternFill>
      </fill>
    </dxf>
    <dxf>
      <fill>
        <patternFill>
          <bgColor rgb="FFEEF1F3"/>
        </patternFill>
      </fill>
    </dxf>
    <dxf>
      <fill>
        <patternFill>
          <bgColor rgb="FFFBEB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73"/>
      <rgbColor rgb="FFD9D9D9"/>
      <rgbColor rgb="FF808080"/>
      <rgbColor rgb="FF9999FF"/>
      <rgbColor rgb="FFB0413E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DBE0"/>
      <rgbColor rgb="FFD8EFDD"/>
      <rgbColor rgb="FFFBEBC8"/>
      <rgbColor rgb="FFF8EBCB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"Mudanças"</c:f>
              <c:strCache>
                <c:ptCount val="1"/>
                <c:pt idx="0">
                  <c:v>Mudanças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Painel!$B$29:$B$32</c:f>
              <c:strCache>
                <c:ptCount val="4"/>
                <c:pt idx="0">
                  <c:v>Alta</c:v>
                </c:pt>
                <c:pt idx="1">
                  <c:v>Média</c:v>
                </c:pt>
                <c:pt idx="2">
                  <c:v>Baixa</c:v>
                </c:pt>
                <c:pt idx="3">
                  <c:v>Sem lacuna</c:v>
                </c:pt>
              </c:strCache>
            </c:strRef>
          </c:cat>
          <c:val>
            <c:numRef>
              <c:f>Painel!$C$29:$C$32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70"/>
        <c:overlap val="0"/>
        <c:axId val="72894394"/>
        <c:axId val="47002796"/>
      </c:barChart>
      <c:catAx>
        <c:axId val="728943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02796"/>
        <c:crosses val="autoZero"/>
        <c:auto val="1"/>
        <c:lblAlgn val="ctr"/>
        <c:lblOffset val="100"/>
        <c:noMultiLvlLbl val="0"/>
      </c:catAx>
      <c:valAx>
        <c:axId val="4700279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94394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27</xdr:row>
      <xdr:rowOff>0</xdr:rowOff>
    </xdr:from>
    <xdr:to>
      <xdr:col>5</xdr:col>
      <xdr:colOff>2345760</xdr:colOff>
      <xdr:row>40</xdr:row>
      <xdr:rowOff>43200</xdr:rowOff>
    </xdr:to>
    <xdr:graphicFrame>
      <xdr:nvGraphicFramePr>
        <xdr:cNvPr id="0" name="Chart 1"/>
        <xdr:cNvGraphicFramePr/>
      </xdr:nvGraphicFramePr>
      <xdr:xfrm>
        <a:off x="3947040" y="72104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31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7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10" customFormat="false" ht="21.75" hidden="false" customHeight="true" outlineLevel="0" collapsed="false">
      <c r="B10" s="3" t="s">
        <v>11</v>
      </c>
      <c r="C10" s="3"/>
    </row>
    <row r="11" customFormat="false" ht="31.5" hidden="false" customHeight="true" outlineLevel="0" collapsed="false">
      <c r="B11" s="4" t="s">
        <v>12</v>
      </c>
      <c r="C11" s="7" t="s">
        <v>13</v>
      </c>
    </row>
    <row r="12" customFormat="false" ht="19.5" hidden="false" customHeight="true" outlineLevel="0" collapsed="false">
      <c r="B12" s="4" t="s">
        <v>14</v>
      </c>
      <c r="C12" s="7" t="s">
        <v>15</v>
      </c>
    </row>
    <row r="13" customFormat="false" ht="31.5" hidden="false" customHeight="true" outlineLevel="0" collapsed="false">
      <c r="B13" s="4" t="s">
        <v>16</v>
      </c>
      <c r="C13" s="7" t="s">
        <v>17</v>
      </c>
    </row>
    <row r="14" customFormat="false" ht="31.5" hidden="false" customHeight="true" outlineLevel="0" collapsed="false">
      <c r="B14" s="4" t="s">
        <v>18</v>
      </c>
      <c r="C14" s="7" t="s">
        <v>19</v>
      </c>
    </row>
    <row r="15" customFormat="false" ht="31.5" hidden="false" customHeight="true" outlineLevel="0" collapsed="false">
      <c r="B15" s="4" t="s">
        <v>20</v>
      </c>
      <c r="C15" s="7" t="s">
        <v>21</v>
      </c>
    </row>
    <row r="16" customFormat="false" ht="19.5" hidden="false" customHeight="true" outlineLevel="0" collapsed="false">
      <c r="B16" s="4" t="s">
        <v>22</v>
      </c>
      <c r="C16" s="7" t="s">
        <v>23</v>
      </c>
    </row>
    <row r="18" customFormat="false" ht="21.75" hidden="false" customHeight="true" outlineLevel="0" collapsed="false">
      <c r="B18" s="3" t="s">
        <v>24</v>
      </c>
      <c r="C18" s="3"/>
    </row>
    <row r="19" customFormat="false" ht="19.5" hidden="false" customHeight="true" outlineLevel="0" collapsed="false">
      <c r="B19" s="4" t="s">
        <v>25</v>
      </c>
      <c r="C19" s="7" t="s">
        <v>26</v>
      </c>
    </row>
    <row r="20" customFormat="false" ht="19.5" hidden="false" customHeight="true" outlineLevel="0" collapsed="false">
      <c r="B20" s="4" t="s">
        <v>27</v>
      </c>
      <c r="C20" s="7" t="s">
        <v>28</v>
      </c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6" customFormat="false" ht="21.75" hidden="false" customHeight="true" outlineLevel="0" collapsed="false">
      <c r="B26" s="3" t="s">
        <v>37</v>
      </c>
      <c r="C26" s="3"/>
    </row>
    <row r="27" customFormat="false" ht="19.5" hidden="false" customHeight="true" outlineLevel="0" collapsed="false">
      <c r="B27" s="4" t="s">
        <v>38</v>
      </c>
      <c r="C27" s="7" t="s">
        <v>39</v>
      </c>
    </row>
    <row r="28" customFormat="false" ht="19.5" hidden="false" customHeight="true" outlineLevel="0" collapsed="false">
      <c r="B28" s="4" t="s">
        <v>40</v>
      </c>
      <c r="C28" s="7" t="s">
        <v>41</v>
      </c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4" customFormat="false" ht="21.75" hidden="false" customHeight="true" outlineLevel="0" collapsed="false">
      <c r="B34" s="3" t="s">
        <v>50</v>
      </c>
      <c r="C34" s="3"/>
    </row>
    <row r="35" customFormat="false" ht="31.5" hidden="false" customHeight="true" outlineLevel="0" collapsed="false">
      <c r="B35" s="4" t="s">
        <v>51</v>
      </c>
      <c r="C35" s="7" t="s">
        <v>52</v>
      </c>
    </row>
    <row r="36" customFormat="false" ht="31.5" hidden="false" customHeight="true" outlineLevel="0" collapsed="false">
      <c r="B36" s="4" t="s">
        <v>38</v>
      </c>
      <c r="C36" s="7" t="s">
        <v>53</v>
      </c>
    </row>
    <row r="37" customFormat="false" ht="19.5" hidden="false" customHeight="true" outlineLevel="0" collapsed="false">
      <c r="B37" s="4" t="s">
        <v>54</v>
      </c>
      <c r="C37" s="7" t="s">
        <v>55</v>
      </c>
    </row>
  </sheetData>
  <mergeCells count="7">
    <mergeCell ref="B1:C1"/>
    <mergeCell ref="B2:C2"/>
    <mergeCell ref="B4:C4"/>
    <mergeCell ref="B10:C10"/>
    <mergeCell ref="B18:C18"/>
    <mergeCell ref="B26:C26"/>
    <mergeCell ref="B34:C3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R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30"/>
    <col collapsed="false" customWidth="true" hidden="false" outlineLevel="0" max="11" min="11" style="0" width="34"/>
    <col collapsed="false" customWidth="true" hidden="false" outlineLevel="0" max="12" min="12" style="0" width="18"/>
    <col collapsed="false" customWidth="true" hidden="false" outlineLevel="0" max="14" min="13" style="0" width="12"/>
    <col collapsed="false" customWidth="true" hidden="false" outlineLevel="0" max="15" min="15" style="0" width="8"/>
    <col collapsed="false" customWidth="true" hidden="false" outlineLevel="0" max="17" min="16" style="0" width="12"/>
    <col collapsed="false" customWidth="true" hidden="false" outlineLevel="0" max="18" min="18" style="0" width="26"/>
    <col collapsed="false" customWidth="true" hidden="false" outlineLevel="0" max="19" min="19" style="0" width="2"/>
  </cols>
  <sheetData>
    <row r="1" customFormat="false" ht="31.5" hidden="false" customHeight="true" outlineLevel="0" collapsed="false">
      <c r="B1" s="1" t="s">
        <v>56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B2" s="2" t="s">
        <v>57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3.85" hidden="false" customHeight="true" outlineLevel="0" collapsed="false">
      <c r="B4" s="4" t="s">
        <v>58</v>
      </c>
      <c r="C4" s="4"/>
      <c r="D4" s="8"/>
      <c r="E4" s="9" t="s">
        <v>59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6" customFormat="false" ht="33" hidden="false" customHeight="true" outlineLevel="0" collapsed="false">
      <c r="B6" s="10" t="s">
        <v>60</v>
      </c>
      <c r="C6" s="10" t="s">
        <v>61</v>
      </c>
      <c r="D6" s="10" t="s">
        <v>62</v>
      </c>
      <c r="E6" s="10" t="s">
        <v>63</v>
      </c>
      <c r="F6" s="10" t="s">
        <v>64</v>
      </c>
      <c r="G6" s="10" t="s">
        <v>65</v>
      </c>
      <c r="H6" s="10" t="s">
        <v>66</v>
      </c>
      <c r="I6" s="10" t="s">
        <v>67</v>
      </c>
      <c r="J6" s="10" t="s">
        <v>68</v>
      </c>
      <c r="K6" s="10" t="s">
        <v>69</v>
      </c>
      <c r="L6" s="10" t="s">
        <v>70</v>
      </c>
      <c r="M6" s="10" t="s">
        <v>71</v>
      </c>
      <c r="N6" s="10" t="s">
        <v>72</v>
      </c>
      <c r="O6" s="10" t="s">
        <v>12</v>
      </c>
      <c r="P6" s="10" t="s">
        <v>14</v>
      </c>
      <c r="Q6" s="10" t="s">
        <v>69</v>
      </c>
      <c r="R6" s="10" t="s">
        <v>73</v>
      </c>
    </row>
    <row r="7" customFormat="false" ht="15" hidden="false" customHeight="true" outlineLevel="0" collapsed="false">
      <c r="B7" s="9" t="s">
        <v>74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customFormat="false" ht="42" hidden="false" customHeight="true" outlineLevel="0" collapsed="false">
      <c r="B8" s="11" t="n">
        <v>1</v>
      </c>
      <c r="C8" s="11" t="s">
        <v>75</v>
      </c>
      <c r="D8" s="12" t="s">
        <v>76</v>
      </c>
      <c r="E8" s="4" t="s">
        <v>77</v>
      </c>
      <c r="F8" s="12" t="s">
        <v>78</v>
      </c>
      <c r="G8" s="12" t="s">
        <v>79</v>
      </c>
      <c r="H8" s="13" t="s">
        <v>80</v>
      </c>
      <c r="I8" s="14"/>
      <c r="J8" s="5"/>
      <c r="K8" s="5"/>
      <c r="L8" s="5"/>
      <c r="M8" s="8"/>
      <c r="N8" s="8"/>
      <c r="O8" s="15" t="str">
        <f aca="false">IF(OR(I8="",G8=""),"",IF(G8="Alto",3,IF(G8="Médio",2,IF(G8="Baixo",1,0)))*IF(I8="Não atende",2,IF(I8="Atende em parte",1,0)))</f>
        <v/>
      </c>
      <c r="P8" s="16" t="str">
        <f aca="false">IF(O8="","",IF(O8&gt;=4,"Alta",IF(O8&gt;=2,"Média",IF(O8&gt;=1,"Baixa","Sem lacuna"))))</f>
        <v/>
      </c>
      <c r="Q8" s="17" t="str">
        <f aca="false">IF(AND(C8="",E8=""),"",IF(K8="","—",IF(N8&lt;&gt;"","Concluída",IF(AND(M8&lt;&gt;"",N($D$4)&gt;M8),"Atrasada","No prazo"))))</f>
        <v>—</v>
      </c>
      <c r="R8" s="18" t="str">
        <f aca="false">IF(AND(C8="",E8=""),"",IF(I8="","Falta a situação",IF(AND(OR(I8="Atende em parte",I8="Não atende"),K8=""),"Lacuna sem ação",IF(AND(K8&lt;&gt;"",M8=""),"Falta o prazo",IF(AND(K8&lt;&gt;"",L8=""),"Falta o responsável",IF(AND(I8="Atende",J8=""),"Falta a evidência","OK"))))))</f>
        <v>Falta a situação</v>
      </c>
    </row>
    <row r="9" customFormat="false" ht="42" hidden="false" customHeight="true" outlineLevel="0" collapsed="false">
      <c r="B9" s="11" t="n">
        <v>2</v>
      </c>
      <c r="C9" s="11" t="s">
        <v>81</v>
      </c>
      <c r="D9" s="12" t="s">
        <v>82</v>
      </c>
      <c r="E9" s="4" t="s">
        <v>83</v>
      </c>
      <c r="F9" s="12" t="s">
        <v>84</v>
      </c>
      <c r="G9" s="12" t="s">
        <v>85</v>
      </c>
      <c r="H9" s="13" t="s">
        <v>86</v>
      </c>
      <c r="I9" s="14"/>
      <c r="J9" s="5"/>
      <c r="K9" s="5"/>
      <c r="L9" s="5"/>
      <c r="M9" s="8"/>
      <c r="N9" s="8"/>
      <c r="O9" s="15" t="str">
        <f aca="false">IF(OR(I9="",G9=""),"",IF(G9="Alto",3,IF(G9="Médio",2,IF(G9="Baixo",1,0)))*IF(I9="Não atende",2,IF(I9="Atende em parte",1,0)))</f>
        <v/>
      </c>
      <c r="P9" s="16" t="str">
        <f aca="false">IF(O9="","",IF(O9&gt;=4,"Alta",IF(O9&gt;=2,"Média",IF(O9&gt;=1,"Baixa","Sem lacuna"))))</f>
        <v/>
      </c>
      <c r="Q9" s="17" t="str">
        <f aca="false">IF(AND(C9="",E9=""),"",IF(K9="","—",IF(N9&lt;&gt;"","Concluída",IF(AND(M9&lt;&gt;"",N($D$4)&gt;M9),"Atrasada","No prazo"))))</f>
        <v>—</v>
      </c>
      <c r="R9" s="18" t="str">
        <f aca="false">IF(AND(C9="",E9=""),"",IF(I9="","Falta a situação",IF(AND(OR(I9="Atende em parte",I9="Não atende"),K9=""),"Lacuna sem ação",IF(AND(K9&lt;&gt;"",M9=""),"Falta o prazo",IF(AND(K9&lt;&gt;"",L9=""),"Falta o responsável",IF(AND(I9="Atende",J9=""),"Falta a evidência","OK"))))))</f>
        <v>Falta a situação</v>
      </c>
    </row>
    <row r="10" customFormat="false" ht="42" hidden="false" customHeight="true" outlineLevel="0" collapsed="false">
      <c r="B10" s="11" t="n">
        <v>3</v>
      </c>
      <c r="C10" s="11" t="s">
        <v>87</v>
      </c>
      <c r="D10" s="12" t="s">
        <v>88</v>
      </c>
      <c r="E10" s="4" t="s">
        <v>89</v>
      </c>
      <c r="F10" s="12" t="s">
        <v>90</v>
      </c>
      <c r="G10" s="12" t="s">
        <v>91</v>
      </c>
      <c r="H10" s="13" t="s">
        <v>92</v>
      </c>
      <c r="I10" s="14"/>
      <c r="J10" s="5"/>
      <c r="K10" s="5"/>
      <c r="L10" s="5"/>
      <c r="M10" s="8"/>
      <c r="N10" s="8"/>
      <c r="O10" s="15" t="str">
        <f aca="false">IF(OR(I10="",G10=""),"",IF(G10="Alto",3,IF(G10="Médio",2,IF(G10="Baixo",1,0)))*IF(I10="Não atende",2,IF(I10="Atende em parte",1,0)))</f>
        <v/>
      </c>
      <c r="P10" s="16" t="str">
        <f aca="false">IF(O10="","",IF(O10&gt;=4,"Alta",IF(O10&gt;=2,"Média",IF(O10&gt;=1,"Baixa","Sem lacuna"))))</f>
        <v/>
      </c>
      <c r="Q10" s="17" t="str">
        <f aca="false">IF(AND(C10="",E10=""),"",IF(K10="","—",IF(N10&lt;&gt;"","Concluída",IF(AND(M10&lt;&gt;"",N($D$4)&gt;M10),"Atrasada","No prazo"))))</f>
        <v>—</v>
      </c>
      <c r="R10" s="18" t="str">
        <f aca="false">IF(AND(C10="",E10=""),"",IF(I10="","Falta a situação",IF(AND(OR(I10="Atende em parte",I10="Não atende"),K10=""),"Lacuna sem ação",IF(AND(K10&lt;&gt;"",M10=""),"Falta o prazo",IF(AND(K10&lt;&gt;"",L10=""),"Falta o responsável",IF(AND(I10="Atende",J10=""),"Falta a evidência","OK"))))))</f>
        <v>Falta a situação</v>
      </c>
    </row>
    <row r="11" customFormat="false" ht="42" hidden="false" customHeight="true" outlineLevel="0" collapsed="false">
      <c r="B11" s="11" t="n">
        <v>4</v>
      </c>
      <c r="C11" s="11" t="s">
        <v>93</v>
      </c>
      <c r="D11" s="12" t="s">
        <v>94</v>
      </c>
      <c r="E11" s="4" t="s">
        <v>95</v>
      </c>
      <c r="F11" s="12" t="s">
        <v>96</v>
      </c>
      <c r="G11" s="12" t="s">
        <v>85</v>
      </c>
      <c r="H11" s="13" t="s">
        <v>97</v>
      </c>
      <c r="I11" s="14"/>
      <c r="J11" s="5"/>
      <c r="K11" s="5"/>
      <c r="L11" s="5"/>
      <c r="M11" s="8"/>
      <c r="N11" s="8"/>
      <c r="O11" s="15" t="str">
        <f aca="false">IF(OR(I11="",G11=""),"",IF(G11="Alto",3,IF(G11="Médio",2,IF(G11="Baixo",1,0)))*IF(I11="Não atende",2,IF(I11="Atende em parte",1,0)))</f>
        <v/>
      </c>
      <c r="P11" s="16" t="str">
        <f aca="false">IF(O11="","",IF(O11&gt;=4,"Alta",IF(O11&gt;=2,"Média",IF(O11&gt;=1,"Baixa","Sem lacuna"))))</f>
        <v/>
      </c>
      <c r="Q11" s="17" t="str">
        <f aca="false">IF(AND(C11="",E11=""),"",IF(K11="","—",IF(N11&lt;&gt;"","Concluída",IF(AND(M11&lt;&gt;"",N($D$4)&gt;M11),"Atrasada","No prazo"))))</f>
        <v>—</v>
      </c>
      <c r="R11" s="18" t="str">
        <f aca="false">IF(AND(C11="",E11=""),"",IF(I11="","Falta a situação",IF(AND(OR(I11="Atende em parte",I11="Não atende"),K11=""),"Lacuna sem ação",IF(AND(K11&lt;&gt;"",M11=""),"Falta o prazo",IF(AND(K11&lt;&gt;"",L11=""),"Falta o responsável",IF(AND(I11="Atende",J11=""),"Falta a evidência","OK"))))))</f>
        <v>Falta a situação</v>
      </c>
    </row>
    <row r="12" customFormat="false" ht="42" hidden="false" customHeight="true" outlineLevel="0" collapsed="false">
      <c r="B12" s="11" t="n">
        <v>5</v>
      </c>
      <c r="C12" s="11" t="s">
        <v>98</v>
      </c>
      <c r="D12" s="12" t="s">
        <v>99</v>
      </c>
      <c r="E12" s="4" t="s">
        <v>100</v>
      </c>
      <c r="F12" s="12" t="s">
        <v>90</v>
      </c>
      <c r="G12" s="12" t="s">
        <v>91</v>
      </c>
      <c r="H12" s="13" t="s">
        <v>101</v>
      </c>
      <c r="I12" s="14"/>
      <c r="J12" s="5"/>
      <c r="K12" s="5"/>
      <c r="L12" s="5"/>
      <c r="M12" s="8"/>
      <c r="N12" s="8"/>
      <c r="O12" s="15" t="str">
        <f aca="false">IF(OR(I12="",G12=""),"",IF(G12="Alto",3,IF(G12="Médio",2,IF(G12="Baixo",1,0)))*IF(I12="Não atende",2,IF(I12="Atende em parte",1,0)))</f>
        <v/>
      </c>
      <c r="P12" s="16" t="str">
        <f aca="false">IF(O12="","",IF(O12&gt;=4,"Alta",IF(O12&gt;=2,"Média",IF(O12&gt;=1,"Baixa","Sem lacuna"))))</f>
        <v/>
      </c>
      <c r="Q12" s="17" t="str">
        <f aca="false">IF(AND(C12="",E12=""),"",IF(K12="","—",IF(N12&lt;&gt;"","Concluída",IF(AND(M12&lt;&gt;"",N($D$4)&gt;M12),"Atrasada","No prazo"))))</f>
        <v>—</v>
      </c>
      <c r="R12" s="18" t="str">
        <f aca="false">IF(AND(C12="",E12=""),"",IF(I12="","Falta a situação",IF(AND(OR(I12="Atende em parte",I12="Não atende"),K12=""),"Lacuna sem ação",IF(AND(K12&lt;&gt;"",M12=""),"Falta o prazo",IF(AND(K12&lt;&gt;"",L12=""),"Falta o responsável",IF(AND(I12="Atende",J12=""),"Falta a evidência","OK"))))))</f>
        <v>Falta a situação</v>
      </c>
    </row>
    <row r="13" customFormat="false" ht="42" hidden="false" customHeight="true" outlineLevel="0" collapsed="false">
      <c r="B13" s="11" t="n">
        <v>6</v>
      </c>
      <c r="C13" s="11" t="s">
        <v>102</v>
      </c>
      <c r="D13" s="12" t="s">
        <v>103</v>
      </c>
      <c r="E13" s="4" t="s">
        <v>104</v>
      </c>
      <c r="F13" s="12" t="s">
        <v>84</v>
      </c>
      <c r="G13" s="12" t="s">
        <v>91</v>
      </c>
      <c r="H13" s="13" t="s">
        <v>105</v>
      </c>
      <c r="I13" s="14"/>
      <c r="J13" s="5"/>
      <c r="K13" s="5"/>
      <c r="L13" s="5"/>
      <c r="M13" s="8"/>
      <c r="N13" s="8"/>
      <c r="O13" s="15" t="str">
        <f aca="false">IF(OR(I13="",G13=""),"",IF(G13="Alto",3,IF(G13="Médio",2,IF(G13="Baixo",1,0)))*IF(I13="Não atende",2,IF(I13="Atende em parte",1,0)))</f>
        <v/>
      </c>
      <c r="P13" s="16" t="str">
        <f aca="false">IF(O13="","",IF(O13&gt;=4,"Alta",IF(O13&gt;=2,"Média",IF(O13&gt;=1,"Baixa","Sem lacuna"))))</f>
        <v/>
      </c>
      <c r="Q13" s="17" t="str">
        <f aca="false">IF(AND(C13="",E13=""),"",IF(K13="","—",IF(N13&lt;&gt;"","Concluída",IF(AND(M13&lt;&gt;"",N($D$4)&gt;M13),"Atrasada","No prazo"))))</f>
        <v>—</v>
      </c>
      <c r="R13" s="18" t="str">
        <f aca="false">IF(AND(C13="",E13=""),"",IF(I13="","Falta a situação",IF(AND(OR(I13="Atende em parte",I13="Não atende"),K13=""),"Lacuna sem ação",IF(AND(K13&lt;&gt;"",M13=""),"Falta o prazo",IF(AND(K13&lt;&gt;"",L13=""),"Falta o responsável",IF(AND(I13="Atende",J13=""),"Falta a evidência","OK"))))))</f>
        <v>Falta a situação</v>
      </c>
    </row>
    <row r="14" customFormat="false" ht="42" hidden="false" customHeight="true" outlineLevel="0" collapsed="false">
      <c r="B14" s="11" t="n">
        <v>7</v>
      </c>
      <c r="C14" s="11" t="s">
        <v>106</v>
      </c>
      <c r="D14" s="12" t="s">
        <v>107</v>
      </c>
      <c r="E14" s="4" t="s">
        <v>108</v>
      </c>
      <c r="F14" s="12" t="s">
        <v>109</v>
      </c>
      <c r="G14" s="12" t="s">
        <v>79</v>
      </c>
      <c r="H14" s="13" t="s">
        <v>110</v>
      </c>
      <c r="I14" s="14"/>
      <c r="J14" s="5"/>
      <c r="K14" s="5"/>
      <c r="L14" s="5"/>
      <c r="M14" s="8"/>
      <c r="N14" s="8"/>
      <c r="O14" s="15" t="str">
        <f aca="false">IF(OR(I14="",G14=""),"",IF(G14="Alto",3,IF(G14="Médio",2,IF(G14="Baixo",1,0)))*IF(I14="Não atende",2,IF(I14="Atende em parte",1,0)))</f>
        <v/>
      </c>
      <c r="P14" s="16" t="str">
        <f aca="false">IF(O14="","",IF(O14&gt;=4,"Alta",IF(O14&gt;=2,"Média",IF(O14&gt;=1,"Baixa","Sem lacuna"))))</f>
        <v/>
      </c>
      <c r="Q14" s="17" t="str">
        <f aca="false">IF(AND(C14="",E14=""),"",IF(K14="","—",IF(N14&lt;&gt;"","Concluída",IF(AND(M14&lt;&gt;"",N($D$4)&gt;M14),"Atrasada","No prazo"))))</f>
        <v>—</v>
      </c>
      <c r="R14" s="18" t="str">
        <f aca="false">IF(AND(C14="",E14=""),"",IF(I14="","Falta a situação",IF(AND(OR(I14="Atende em parte",I14="Não atende"),K14=""),"Lacuna sem ação",IF(AND(K14&lt;&gt;"",M14=""),"Falta o prazo",IF(AND(K14&lt;&gt;"",L14=""),"Falta o responsável",IF(AND(I14="Atende",J14=""),"Falta a evidência","OK"))))))</f>
        <v>Falta a situação</v>
      </c>
    </row>
    <row r="15" customFormat="false" ht="42" hidden="false" customHeight="true" outlineLevel="0" collapsed="false">
      <c r="B15" s="11" t="n">
        <v>8</v>
      </c>
      <c r="C15" s="11" t="s">
        <v>111</v>
      </c>
      <c r="D15" s="12" t="s">
        <v>112</v>
      </c>
      <c r="E15" s="4" t="s">
        <v>113</v>
      </c>
      <c r="F15" s="12" t="s">
        <v>109</v>
      </c>
      <c r="G15" s="12" t="s">
        <v>79</v>
      </c>
      <c r="H15" s="13" t="s">
        <v>114</v>
      </c>
      <c r="I15" s="14"/>
      <c r="J15" s="5"/>
      <c r="K15" s="5"/>
      <c r="L15" s="5"/>
      <c r="M15" s="8"/>
      <c r="N15" s="8"/>
      <c r="O15" s="15" t="str">
        <f aca="false">IF(OR(I15="",G15=""),"",IF(G15="Alto",3,IF(G15="Médio",2,IF(G15="Baixo",1,0)))*IF(I15="Não atende",2,IF(I15="Atende em parte",1,0)))</f>
        <v/>
      </c>
      <c r="P15" s="16" t="str">
        <f aca="false">IF(O15="","",IF(O15&gt;=4,"Alta",IF(O15&gt;=2,"Média",IF(O15&gt;=1,"Baixa","Sem lacuna"))))</f>
        <v/>
      </c>
      <c r="Q15" s="17" t="str">
        <f aca="false">IF(AND(C15="",E15=""),"",IF(K15="","—",IF(N15&lt;&gt;"","Concluída",IF(AND(M15&lt;&gt;"",N($D$4)&gt;M15),"Atrasada","No prazo"))))</f>
        <v>—</v>
      </c>
      <c r="R15" s="18" t="str">
        <f aca="false">IF(AND(C15="",E15=""),"",IF(I15="","Falta a situação",IF(AND(OR(I15="Atende em parte",I15="Não atende"),K15=""),"Lacuna sem ação",IF(AND(K15&lt;&gt;"",M15=""),"Falta o prazo",IF(AND(K15&lt;&gt;"",L15=""),"Falta o responsável",IF(AND(I15="Atende",J15=""),"Falta a evidência","OK"))))))</f>
        <v>Falta a situação</v>
      </c>
    </row>
    <row r="16" customFormat="false" ht="42" hidden="false" customHeight="true" outlineLevel="0" collapsed="false">
      <c r="B16" s="11" t="n">
        <v>9</v>
      </c>
      <c r="C16" s="11" t="s">
        <v>115</v>
      </c>
      <c r="D16" s="12" t="s">
        <v>116</v>
      </c>
      <c r="E16" s="4" t="s">
        <v>117</v>
      </c>
      <c r="F16" s="12" t="s">
        <v>109</v>
      </c>
      <c r="G16" s="12" t="s">
        <v>79</v>
      </c>
      <c r="H16" s="13" t="s">
        <v>118</v>
      </c>
      <c r="I16" s="14"/>
      <c r="J16" s="5"/>
      <c r="K16" s="5"/>
      <c r="L16" s="5"/>
      <c r="M16" s="8"/>
      <c r="N16" s="8"/>
      <c r="O16" s="15" t="str">
        <f aca="false">IF(OR(I16="",G16=""),"",IF(G16="Alto",3,IF(G16="Médio",2,IF(G16="Baixo",1,0)))*IF(I16="Não atende",2,IF(I16="Atende em parte",1,0)))</f>
        <v/>
      </c>
      <c r="P16" s="16" t="str">
        <f aca="false">IF(O16="","",IF(O16&gt;=4,"Alta",IF(O16&gt;=2,"Média",IF(O16&gt;=1,"Baixa","Sem lacuna"))))</f>
        <v/>
      </c>
      <c r="Q16" s="17" t="str">
        <f aca="false">IF(AND(C16="",E16=""),"",IF(K16="","—",IF(N16&lt;&gt;"","Concluída",IF(AND(M16&lt;&gt;"",N($D$4)&gt;M16),"Atrasada","No prazo"))))</f>
        <v>—</v>
      </c>
      <c r="R16" s="18" t="str">
        <f aca="false">IF(AND(C16="",E16=""),"",IF(I16="","Falta a situação",IF(AND(OR(I16="Atende em parte",I16="Não atende"),K16=""),"Lacuna sem ação",IF(AND(K16&lt;&gt;"",M16=""),"Falta o prazo",IF(AND(K16&lt;&gt;"",L16=""),"Falta o responsável",IF(AND(I16="Atende",J16=""),"Falta a evidência","OK"))))))</f>
        <v>Falta a situação</v>
      </c>
    </row>
    <row r="17" customFormat="false" ht="30" hidden="false" customHeight="true" outlineLevel="0" collapsed="false">
      <c r="B17" s="11" t="n">
        <v>10</v>
      </c>
      <c r="C17" s="14"/>
      <c r="D17" s="14"/>
      <c r="E17" s="5"/>
      <c r="F17" s="14"/>
      <c r="G17" s="14"/>
      <c r="H17" s="5"/>
      <c r="I17" s="14"/>
      <c r="J17" s="5"/>
      <c r="K17" s="5"/>
      <c r="L17" s="5"/>
      <c r="M17" s="8"/>
      <c r="N17" s="8"/>
      <c r="O17" s="15" t="str">
        <f aca="false">IF(OR(I17="",G17=""),"",IF(G17="Alto",3,IF(G17="Médio",2,IF(G17="Baixo",1,0)))*IF(I17="Não atende",2,IF(I17="Atende em parte",1,0)))</f>
        <v/>
      </c>
      <c r="P17" s="16" t="str">
        <f aca="false">IF(O17="","",IF(O17&gt;=4,"Alta",IF(O17&gt;=2,"Média",IF(O17&gt;=1,"Baixa","Sem lacuna"))))</f>
        <v/>
      </c>
      <c r="Q17" s="17" t="str">
        <f aca="false">IF(AND(C17="",E17=""),"",IF(K17="","—",IF(N17&lt;&gt;"","Concluída",IF(AND(M17&lt;&gt;"",N($D$4)&gt;M17),"Atrasada","No prazo"))))</f>
        <v/>
      </c>
      <c r="R17" s="18" t="str">
        <f aca="false">IF(AND(C17="",E17=""),"",IF(I17="","Falta a situação",IF(AND(OR(I17="Atende em parte",I17="Não atende"),K17=""),"Lacuna sem ação",IF(AND(K17&lt;&gt;"",M17=""),"Falta o prazo",IF(AND(K17&lt;&gt;"",L17=""),"Falta o responsável",IF(AND(I17="Atende",J17=""),"Falta a evidência","OK"))))))</f>
        <v/>
      </c>
    </row>
    <row r="18" customFormat="false" ht="30" hidden="false" customHeight="true" outlineLevel="0" collapsed="false">
      <c r="B18" s="11" t="n">
        <v>11</v>
      </c>
      <c r="C18" s="14"/>
      <c r="D18" s="14"/>
      <c r="E18" s="5"/>
      <c r="F18" s="14"/>
      <c r="G18" s="14"/>
      <c r="H18" s="5"/>
      <c r="I18" s="14"/>
      <c r="J18" s="5"/>
      <c r="K18" s="5"/>
      <c r="L18" s="5"/>
      <c r="M18" s="8"/>
      <c r="N18" s="8"/>
      <c r="O18" s="15" t="str">
        <f aca="false">IF(OR(I18="",G18=""),"",IF(G18="Alto",3,IF(G18="Médio",2,IF(G18="Baixo",1,0)))*IF(I18="Não atende",2,IF(I18="Atende em parte",1,0)))</f>
        <v/>
      </c>
      <c r="P18" s="16" t="str">
        <f aca="false">IF(O18="","",IF(O18&gt;=4,"Alta",IF(O18&gt;=2,"Média",IF(O18&gt;=1,"Baixa","Sem lacuna"))))</f>
        <v/>
      </c>
      <c r="Q18" s="17" t="str">
        <f aca="false">IF(AND(C18="",E18=""),"",IF(K18="","—",IF(N18&lt;&gt;"","Concluída",IF(AND(M18&lt;&gt;"",N($D$4)&gt;M18),"Atrasada","No prazo"))))</f>
        <v/>
      </c>
      <c r="R18" s="18" t="str">
        <f aca="false">IF(AND(C18="",E18=""),"",IF(I18="","Falta a situação",IF(AND(OR(I18="Atende em parte",I18="Não atende"),K18=""),"Lacuna sem ação",IF(AND(K18&lt;&gt;"",M18=""),"Falta o prazo",IF(AND(K18&lt;&gt;"",L18=""),"Falta o responsável",IF(AND(I18="Atende",J18=""),"Falta a evidência","OK"))))))</f>
        <v/>
      </c>
    </row>
    <row r="19" customFormat="false" ht="30" hidden="false" customHeight="true" outlineLevel="0" collapsed="false">
      <c r="B19" s="11" t="n">
        <v>12</v>
      </c>
      <c r="C19" s="14"/>
      <c r="D19" s="14"/>
      <c r="E19" s="5"/>
      <c r="F19" s="14"/>
      <c r="G19" s="14"/>
      <c r="H19" s="5"/>
      <c r="I19" s="14"/>
      <c r="J19" s="5"/>
      <c r="K19" s="5"/>
      <c r="L19" s="5"/>
      <c r="M19" s="8"/>
      <c r="N19" s="8"/>
      <c r="O19" s="15" t="str">
        <f aca="false">IF(OR(I19="",G19=""),"",IF(G19="Alto",3,IF(G19="Médio",2,IF(G19="Baixo",1,0)))*IF(I19="Não atende",2,IF(I19="Atende em parte",1,0)))</f>
        <v/>
      </c>
      <c r="P19" s="16" t="str">
        <f aca="false">IF(O19="","",IF(O19&gt;=4,"Alta",IF(O19&gt;=2,"Média",IF(O19&gt;=1,"Baixa","Sem lacuna"))))</f>
        <v/>
      </c>
      <c r="Q19" s="17" t="str">
        <f aca="false">IF(AND(C19="",E19=""),"",IF(K19="","—",IF(N19&lt;&gt;"","Concluída",IF(AND(M19&lt;&gt;"",N($D$4)&gt;M19),"Atrasada","No prazo"))))</f>
        <v/>
      </c>
      <c r="R19" s="18" t="str">
        <f aca="false">IF(AND(C19="",E19=""),"",IF(I19="","Falta a situação",IF(AND(OR(I19="Atende em parte",I19="Não atende"),K19=""),"Lacuna sem ação",IF(AND(K19&lt;&gt;"",M19=""),"Falta o prazo",IF(AND(K19&lt;&gt;"",L19=""),"Falta o responsável",IF(AND(I19="Atende",J19=""),"Falta a evidência","OK"))))))</f>
        <v/>
      </c>
    </row>
    <row r="20" customFormat="false" ht="30" hidden="false" customHeight="true" outlineLevel="0" collapsed="false">
      <c r="B20" s="11" t="n">
        <v>13</v>
      </c>
      <c r="C20" s="14"/>
      <c r="D20" s="14"/>
      <c r="E20" s="5"/>
      <c r="F20" s="14"/>
      <c r="G20" s="14"/>
      <c r="H20" s="5"/>
      <c r="I20" s="14"/>
      <c r="J20" s="5"/>
      <c r="K20" s="5"/>
      <c r="L20" s="5"/>
      <c r="M20" s="8"/>
      <c r="N20" s="8"/>
      <c r="O20" s="15" t="str">
        <f aca="false">IF(OR(I20="",G20=""),"",IF(G20="Alto",3,IF(G20="Médio",2,IF(G20="Baixo",1,0)))*IF(I20="Não atende",2,IF(I20="Atende em parte",1,0)))</f>
        <v/>
      </c>
      <c r="P20" s="16" t="str">
        <f aca="false">IF(O20="","",IF(O20&gt;=4,"Alta",IF(O20&gt;=2,"Média",IF(O20&gt;=1,"Baixa","Sem lacuna"))))</f>
        <v/>
      </c>
      <c r="Q20" s="17" t="str">
        <f aca="false">IF(AND(C20="",E20=""),"",IF(K20="","—",IF(N20&lt;&gt;"","Concluída",IF(AND(M20&lt;&gt;"",N($D$4)&gt;M20),"Atrasada","No prazo"))))</f>
        <v/>
      </c>
      <c r="R20" s="18" t="str">
        <f aca="false">IF(AND(C20="",E20=""),"",IF(I20="","Falta a situação",IF(AND(OR(I20="Atende em parte",I20="Não atende"),K20=""),"Lacuna sem ação",IF(AND(K20&lt;&gt;"",M20=""),"Falta o prazo",IF(AND(K20&lt;&gt;"",L20=""),"Falta o responsável",IF(AND(I20="Atende",J20=""),"Falta a evidência","OK"))))))</f>
        <v/>
      </c>
    </row>
    <row r="21" customFormat="false" ht="30" hidden="false" customHeight="true" outlineLevel="0" collapsed="false">
      <c r="B21" s="11" t="n">
        <v>14</v>
      </c>
      <c r="C21" s="14"/>
      <c r="D21" s="14"/>
      <c r="E21" s="5"/>
      <c r="F21" s="14"/>
      <c r="G21" s="14"/>
      <c r="H21" s="5"/>
      <c r="I21" s="14"/>
      <c r="J21" s="5"/>
      <c r="K21" s="5"/>
      <c r="L21" s="5"/>
      <c r="M21" s="8"/>
      <c r="N21" s="8"/>
      <c r="O21" s="15" t="str">
        <f aca="false">IF(OR(I21="",G21=""),"",IF(G21="Alto",3,IF(G21="Médio",2,IF(G21="Baixo",1,0)))*IF(I21="Não atende",2,IF(I21="Atende em parte",1,0)))</f>
        <v/>
      </c>
      <c r="P21" s="16" t="str">
        <f aca="false">IF(O21="","",IF(O21&gt;=4,"Alta",IF(O21&gt;=2,"Média",IF(O21&gt;=1,"Baixa","Sem lacuna"))))</f>
        <v/>
      </c>
      <c r="Q21" s="17" t="str">
        <f aca="false">IF(AND(C21="",E21=""),"",IF(K21="","—",IF(N21&lt;&gt;"","Concluída",IF(AND(M21&lt;&gt;"",N($D$4)&gt;M21),"Atrasada","No prazo"))))</f>
        <v/>
      </c>
      <c r="R21" s="18" t="str">
        <f aca="false">IF(AND(C21="",E21=""),"",IF(I21="","Falta a situação",IF(AND(OR(I21="Atende em parte",I21="Não atende"),K21=""),"Lacuna sem ação",IF(AND(K21&lt;&gt;"",M21=""),"Falta o prazo",IF(AND(K21&lt;&gt;"",L21=""),"Falta o responsável",IF(AND(I21="Atende",J21=""),"Falta a evidência","OK"))))))</f>
        <v/>
      </c>
    </row>
    <row r="22" customFormat="false" ht="30" hidden="false" customHeight="true" outlineLevel="0" collapsed="false">
      <c r="B22" s="11" t="n">
        <v>15</v>
      </c>
      <c r="C22" s="14"/>
      <c r="D22" s="14"/>
      <c r="E22" s="5"/>
      <c r="F22" s="14"/>
      <c r="G22" s="14"/>
      <c r="H22" s="5"/>
      <c r="I22" s="14"/>
      <c r="J22" s="5"/>
      <c r="K22" s="5"/>
      <c r="L22" s="5"/>
      <c r="M22" s="8"/>
      <c r="N22" s="8"/>
      <c r="O22" s="15" t="str">
        <f aca="false">IF(OR(I22="",G22=""),"",IF(G22="Alto",3,IF(G22="Médio",2,IF(G22="Baixo",1,0)))*IF(I22="Não atende",2,IF(I22="Atende em parte",1,0)))</f>
        <v/>
      </c>
      <c r="P22" s="16" t="str">
        <f aca="false">IF(O22="","",IF(O22&gt;=4,"Alta",IF(O22&gt;=2,"Média",IF(O22&gt;=1,"Baixa","Sem lacuna"))))</f>
        <v/>
      </c>
      <c r="Q22" s="17" t="str">
        <f aca="false">IF(AND(C22="",E22=""),"",IF(K22="","—",IF(N22&lt;&gt;"","Concluída",IF(AND(M22&lt;&gt;"",N($D$4)&gt;M22),"Atrasada","No prazo"))))</f>
        <v/>
      </c>
      <c r="R22" s="18" t="str">
        <f aca="false">IF(AND(C22="",E22=""),"",IF(I22="","Falta a situação",IF(AND(OR(I22="Atende em parte",I22="Não atende"),K22=""),"Lacuna sem ação",IF(AND(K22&lt;&gt;"",M22=""),"Falta o prazo",IF(AND(K22&lt;&gt;"",L22=""),"Falta o responsável",IF(AND(I22="Atende",J22=""),"Falta a evidência","OK"))))))</f>
        <v/>
      </c>
    </row>
    <row r="24" customFormat="false" ht="21.75" hidden="false" customHeight="true" outlineLevel="0" collapsed="false">
      <c r="B24" s="19" t="s">
        <v>119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customFormat="false" ht="21.75" hidden="false" customHeight="true" outlineLevel="0" collapsed="false">
      <c r="B25" s="20" t="s">
        <v>67</v>
      </c>
      <c r="C25" s="20"/>
      <c r="D25" s="20"/>
      <c r="E25" s="21" t="str">
        <f aca="false">COUNTIF(I8:I22,"Atende")&amp;" atende"&amp;", "&amp;COUNTIF(I8:I22,"Atende em parte")&amp;" atende em parte"&amp;", "&amp;COUNTIF(I8:I22,"Não atende")&amp;" não atende"&amp;", "&amp;COUNTIF(I8:I22,"Não se aplica")&amp;" não se aplica"</f>
        <v>0 atende, 0 atende em parte, 0 não atende, 0 não se aplica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customFormat="false" ht="21.75" hidden="false" customHeight="true" outlineLevel="0" collapsed="false">
      <c r="B26" s="20" t="s">
        <v>14</v>
      </c>
      <c r="C26" s="20"/>
      <c r="D26" s="20"/>
      <c r="E26" s="21" t="str">
        <f aca="false">COUNTIF(P8:P22,"Alta")&amp;" alta"&amp;", "&amp;COUNTIF(P8:P22,"Média")&amp;" média"&amp;", "&amp;COUNTIF(P8:P22,"Baixa")&amp;" baixa"&amp;", "&amp;COUNTIF(P8:P22,"Sem lacuna")&amp;" sem lacuna"&amp;". Total: "&amp;SUM(O8:O22)&amp;" pontos"</f>
        <v>0 alta, 0 média, 0 baixa, 0 sem lacuna. Total: 0 pontos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customFormat="false" ht="21.75" hidden="false" customHeight="true" outlineLevel="0" collapsed="false">
      <c r="B27" s="20" t="s">
        <v>120</v>
      </c>
      <c r="C27" s="20"/>
      <c r="D27" s="20"/>
      <c r="E27" s="22" t="str">
        <f aca="false">IF(COUNTA(I8:I22)=0,"Diagnostique as mudanças",IF(COUNTIF(R8:R22,"Lacuna sem ação")&gt;0,"Há lacuna sem ação",IF(COUNTIF(Q8:Q22,"Atrasada")&gt;0,"Há ação atrasada",IF(SUMPRODUCT((R8:R22&lt;&gt;"")*(R8:R22&lt;&gt;"OK"))&gt;0,"Há linha a completar: veja a coluna Conferência",IF(COUNTIF(P8:P22,"Alta")&gt;0,"Há prioridade alta: leve à direção","OK")))))</f>
        <v>Diagnostique as mudanças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</sheetData>
  <mergeCells count="12">
    <mergeCell ref="B1:R1"/>
    <mergeCell ref="B2:R2"/>
    <mergeCell ref="B4:C4"/>
    <mergeCell ref="E4:R4"/>
    <mergeCell ref="B7:R7"/>
    <mergeCell ref="B24:R24"/>
    <mergeCell ref="B25:D25"/>
    <mergeCell ref="E25:R25"/>
    <mergeCell ref="B26:D26"/>
    <mergeCell ref="E26:R26"/>
    <mergeCell ref="B27:D27"/>
    <mergeCell ref="E27:R27"/>
  </mergeCells>
  <conditionalFormatting sqref="I8:I22">
    <cfRule type="expression" priority="2" aboveAverage="0" equalAverage="0" bottom="0" percent="0" rank="0" text="" dxfId="0">
      <formula>I8="Atende"</formula>
    </cfRule>
    <cfRule type="expression" priority="3" aboveAverage="0" equalAverage="0" bottom="0" percent="0" rank="0" text="" dxfId="1">
      <formula>I8="Atende em parte"</formula>
    </cfRule>
    <cfRule type="expression" priority="4" aboveAverage="0" equalAverage="0" bottom="0" percent="0" rank="0" text="" dxfId="2">
      <formula>I8="Não atende"</formula>
    </cfRule>
    <cfRule type="expression" priority="5" aboveAverage="0" equalAverage="0" bottom="0" percent="0" rank="0" text="" dxfId="3">
      <formula>I8="Não se aplica"</formula>
    </cfRule>
  </conditionalFormatting>
  <conditionalFormatting sqref="P8:P22">
    <cfRule type="expression" priority="6" aboveAverage="0" equalAverage="0" bottom="0" percent="0" rank="0" text="" dxfId="2">
      <formula>P8="Alta"</formula>
    </cfRule>
    <cfRule type="expression" priority="7" aboveAverage="0" equalAverage="0" bottom="0" percent="0" rank="0" text="" dxfId="1">
      <formula>P8="Média"</formula>
    </cfRule>
    <cfRule type="expression" priority="8" aboveAverage="0" equalAverage="0" bottom="0" percent="0" rank="0" text="" dxfId="3">
      <formula>P8="Baixa"</formula>
    </cfRule>
    <cfRule type="expression" priority="9" aboveAverage="0" equalAverage="0" bottom="0" percent="0" rank="0" text="" dxfId="0">
      <formula>P8="Sem lacuna"</formula>
    </cfRule>
  </conditionalFormatting>
  <conditionalFormatting sqref="Q8:Q22">
    <cfRule type="expression" priority="10" aboveAverage="0" equalAverage="0" bottom="0" percent="0" rank="0" text="" dxfId="0">
      <formula>Q8="Concluída"</formula>
    </cfRule>
    <cfRule type="expression" priority="11" aboveAverage="0" equalAverage="0" bottom="0" percent="0" rank="0" text="" dxfId="1">
      <formula>Q8="No prazo"</formula>
    </cfRule>
    <cfRule type="expression" priority="12" aboveAverage="0" equalAverage="0" bottom="0" percent="0" rank="0" text="" dxfId="2">
      <formula>Q8="Atrasada"</formula>
    </cfRule>
  </conditionalFormatting>
  <conditionalFormatting sqref="R8:R22">
    <cfRule type="expression" priority="13" aboveAverage="0" equalAverage="0" bottom="0" percent="0" rank="0" text="" dxfId="0">
      <formula>OR(R8="OK")</formula>
    </cfRule>
    <cfRule type="expression" priority="14" aboveAverage="0" equalAverage="0" bottom="0" percent="0" rank="0" text="" dxfId="4">
      <formula>AND(LEN(R8)&gt;0,NOT(OR(R8="OK")))</formula>
    </cfRule>
  </conditionalFormatting>
  <conditionalFormatting sqref="E27:R27">
    <cfRule type="expression" priority="15" aboveAverage="0" equalAverage="0" bottom="0" percent="0" rank="0" text="" dxfId="0">
      <formula>OR(E27="OK")</formula>
    </cfRule>
    <cfRule type="expression" priority="16" aboveAverage="0" equalAverage="0" bottom="0" percent="0" rank="0" text="" dxfId="4">
      <formula>AND(LEN(E27)&gt;0,NOT(OR(E27="OK")))</formula>
    </cfRule>
  </conditionalFormatting>
  <dataValidations count="4">
    <dataValidation allowBlank="true" error="Digite uma data no formato dia/mês/ano." errorStyle="stop" errorTitle="Data inválida" operator="greaterThanOrEqual" showDropDown="false" showErrorMessage="true" showInputMessage="false" sqref="D4 M8:N22" type="date">
      <formula1>36526</formula1>
      <formula2>0</formula2>
    </dataValidation>
    <dataValidation allowBlank="true" error="Escolha uma das opções da lista." errorStyle="stop" errorTitle="Valor inválido" operator="between" prompt="Atende, atende em parte, não atende ou não se aplica" promptTitle="Opções" showDropDown="false" showErrorMessage="true" showInputMessage="true" sqref="I8:I22" type="list">
      <formula1>"Atende,Atende em parte,Não atende,Não se aplica"</formula1>
      <formula2>0</formula2>
    </dataValidation>
    <dataValidation allowBlank="true" error="Escolha uma das opções da lista." errorStyle="stop" errorTitle="Valor inválido" operator="between" prompt="Novo, reforçado, reestruturado, incorporado ou esclarecimento" promptTitle="Opções" showDropDown="false" showErrorMessage="true" showInputMessage="true" sqref="F17:F22" type="list">
      <formula1>"Novo,Reforçado,Reestruturado,Incorporado,Esclarecimento"</formula1>
      <formula2>0</formula2>
    </dataValidation>
    <dataValidation allowBlank="true" error="Escolha uma das opções da lista." errorStyle="stop" errorTitle="Valor inválido" operator="between" prompt="Alto, médio ou baixo" promptTitle="Opções" showDropDown="false" showErrorMessage="true" showInputMessage="true" sqref="G17:G22" type="list">
      <formula1>"Alto,Médio,Baixo"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36"/>
    <col collapsed="false" customWidth="true" hidden="false" outlineLevel="0" max="9" min="9" style="0" width="14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121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122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123</v>
      </c>
      <c r="C4" s="4"/>
      <c r="D4" s="5"/>
      <c r="E4" s="5"/>
      <c r="F4" s="9" t="s">
        <v>124</v>
      </c>
      <c r="G4" s="9"/>
      <c r="H4" s="9"/>
      <c r="I4" s="9"/>
    </row>
    <row r="5" customFormat="false" ht="15" hidden="false" customHeight="true" outlineLevel="0" collapsed="false">
      <c r="B5" s="4" t="s">
        <v>125</v>
      </c>
      <c r="C5" s="4"/>
      <c r="D5" s="8"/>
      <c r="E5" s="8"/>
      <c r="F5" s="9" t="s">
        <v>126</v>
      </c>
      <c r="G5" s="9"/>
      <c r="H5" s="9"/>
      <c r="I5" s="9"/>
    </row>
    <row r="6" customFormat="false" ht="15" hidden="false" customHeight="true" outlineLevel="0" collapsed="false">
      <c r="B6" s="4" t="s">
        <v>58</v>
      </c>
      <c r="C6" s="4"/>
      <c r="D6" s="8"/>
      <c r="E6" s="8"/>
      <c r="F6" s="9" t="s">
        <v>127</v>
      </c>
      <c r="G6" s="9"/>
      <c r="H6" s="9"/>
      <c r="I6" s="9"/>
    </row>
    <row r="7" customFormat="false" ht="15" hidden="false" customHeight="true" outlineLevel="0" collapsed="false">
      <c r="B7" s="4" t="s">
        <v>128</v>
      </c>
      <c r="C7" s="4"/>
      <c r="D7" s="8" t="n">
        <v>47391</v>
      </c>
      <c r="E7" s="8"/>
      <c r="F7" s="9" t="s">
        <v>129</v>
      </c>
      <c r="G7" s="9"/>
      <c r="H7" s="9"/>
      <c r="I7" s="9"/>
    </row>
    <row r="8" customFormat="false" ht="15" hidden="false" customHeight="true" outlineLevel="0" collapsed="false">
      <c r="B8" s="4" t="s">
        <v>130</v>
      </c>
      <c r="C8" s="4"/>
      <c r="D8" s="5"/>
      <c r="E8" s="5"/>
      <c r="F8" s="9" t="s">
        <v>131</v>
      </c>
      <c r="G8" s="9"/>
      <c r="H8" s="9"/>
      <c r="I8" s="9"/>
    </row>
    <row r="9" customFormat="false" ht="15" hidden="false" customHeight="true" outlineLevel="0" collapsed="false">
      <c r="B9" s="4" t="s">
        <v>132</v>
      </c>
      <c r="C9" s="4"/>
      <c r="D9" s="23" t="str">
        <f aca="false">IF(OR(D8="",D5=""),"",IF(AND(D8="Certificado pela edição de 2015",D5&gt;D7),"A auditoria está depois do fim da transição","OK"))</f>
        <v/>
      </c>
      <c r="E9" s="23"/>
      <c r="F9" s="23"/>
      <c r="G9" s="23"/>
      <c r="H9" s="23"/>
      <c r="I9" s="23"/>
    </row>
    <row r="11" customFormat="false" ht="21.75" hidden="false" customHeight="true" outlineLevel="0" collapsed="false">
      <c r="B11" s="10" t="s">
        <v>60</v>
      </c>
      <c r="C11" s="10" t="s">
        <v>133</v>
      </c>
      <c r="D11" s="10" t="s">
        <v>134</v>
      </c>
      <c r="E11" s="10" t="s">
        <v>135</v>
      </c>
      <c r="F11" s="10" t="s">
        <v>136</v>
      </c>
      <c r="G11" s="10" t="s">
        <v>67</v>
      </c>
      <c r="H11" s="10" t="s">
        <v>137</v>
      </c>
      <c r="I11" s="10" t="s">
        <v>138</v>
      </c>
    </row>
    <row r="12" customFormat="false" ht="21.75" hidden="false" customHeight="true" outlineLevel="0" collapsed="false">
      <c r="B12" s="11" t="n">
        <v>1</v>
      </c>
      <c r="C12" s="4" t="s">
        <v>139</v>
      </c>
      <c r="D12" s="24" t="n">
        <v>180</v>
      </c>
      <c r="E12" s="25" t="str">
        <f aca="false">IF($D$5="","",$D$5-D12)</f>
        <v/>
      </c>
      <c r="F12" s="8"/>
      <c r="G12" s="16" t="str">
        <f aca="false">IF(E12="","",IF(F12&lt;&gt;"",IF(F12&lt;=E12,"Feito no prazo","Feito fora do prazo"),IF(N($D$6)=0,"",IF($D$6&gt;E12,"Atrasado",IF(E12-$D$6&lt;=30,"Vence em 30 dias","Previsto")))))</f>
        <v/>
      </c>
      <c r="H12" s="5"/>
      <c r="I12" s="25" t="str">
        <f aca="false">IF(AND(E12&lt;&gt;"",F12=""),E12,"")</f>
        <v/>
      </c>
    </row>
    <row r="13" customFormat="false" ht="21.75" hidden="false" customHeight="true" outlineLevel="0" collapsed="false">
      <c r="B13" s="11" t="n">
        <v>2</v>
      </c>
      <c r="C13" s="4" t="s">
        <v>56</v>
      </c>
      <c r="D13" s="24" t="n">
        <v>150</v>
      </c>
      <c r="E13" s="25" t="str">
        <f aca="false">IF($D$5="","",$D$5-D13)</f>
        <v/>
      </c>
      <c r="F13" s="8"/>
      <c r="G13" s="16" t="str">
        <f aca="false">IF(E13="","",IF(F13&lt;&gt;"",IF(F13&lt;=E13,"Feito no prazo","Feito fora do prazo"),IF(N($D$6)=0,"",IF($D$6&gt;E13,"Atrasado",IF(E13-$D$6&lt;=30,"Vence em 30 dias","Previsto")))))</f>
        <v/>
      </c>
      <c r="H13" s="5"/>
      <c r="I13" s="25" t="str">
        <f aca="false">IF(AND(E13&lt;&gt;"",F13=""),E13,"")</f>
        <v/>
      </c>
    </row>
    <row r="14" customFormat="false" ht="21.75" hidden="false" customHeight="true" outlineLevel="0" collapsed="false">
      <c r="B14" s="11" t="n">
        <v>3</v>
      </c>
      <c r="C14" s="4" t="s">
        <v>140</v>
      </c>
      <c r="D14" s="24" t="n">
        <v>120</v>
      </c>
      <c r="E14" s="25" t="str">
        <f aca="false">IF($D$5="","",$D$5-D14)</f>
        <v/>
      </c>
      <c r="F14" s="8"/>
      <c r="G14" s="16" t="str">
        <f aca="false">IF(E14="","",IF(F14&lt;&gt;"",IF(F14&lt;=E14,"Feito no prazo","Feito fora do prazo"),IF(N($D$6)=0,"",IF($D$6&gt;E14,"Atrasado",IF(E14-$D$6&lt;=30,"Vence em 30 dias","Previsto")))))</f>
        <v/>
      </c>
      <c r="H14" s="5"/>
      <c r="I14" s="25" t="str">
        <f aca="false">IF(AND(E14&lt;&gt;"",F14=""),E14,"")</f>
        <v/>
      </c>
    </row>
    <row r="15" customFormat="false" ht="21.75" hidden="false" customHeight="true" outlineLevel="0" collapsed="false">
      <c r="B15" s="11" t="n">
        <v>4</v>
      </c>
      <c r="C15" s="4" t="s">
        <v>141</v>
      </c>
      <c r="D15" s="24" t="n">
        <v>60</v>
      </c>
      <c r="E15" s="25" t="str">
        <f aca="false">IF($D$5="","",$D$5-D15)</f>
        <v/>
      </c>
      <c r="F15" s="8"/>
      <c r="G15" s="16" t="str">
        <f aca="false">IF(E15="","",IF(F15&lt;&gt;"",IF(F15&lt;=E15,"Feito no prazo","Feito fora do prazo"),IF(N($D$6)=0,"",IF($D$6&gt;E15,"Atrasado",IF(E15-$D$6&lt;=30,"Vence em 30 dias","Previsto")))))</f>
        <v/>
      </c>
      <c r="H15" s="5"/>
      <c r="I15" s="25" t="str">
        <f aca="false">IF(AND(E15&lt;&gt;"",F15=""),E15,"")</f>
        <v/>
      </c>
    </row>
    <row r="16" customFormat="false" ht="21.75" hidden="false" customHeight="true" outlineLevel="0" collapsed="false">
      <c r="B16" s="11" t="n">
        <v>5</v>
      </c>
      <c r="C16" s="4" t="s">
        <v>142</v>
      </c>
      <c r="D16" s="24" t="n">
        <v>45</v>
      </c>
      <c r="E16" s="25" t="str">
        <f aca="false">IF($D$5="","",$D$5-D16)</f>
        <v/>
      </c>
      <c r="F16" s="8"/>
      <c r="G16" s="16" t="str">
        <f aca="false">IF(E16="","",IF(F16&lt;&gt;"",IF(F16&lt;=E16,"Feito no prazo","Feito fora do prazo"),IF(N($D$6)=0,"",IF($D$6&gt;E16,"Atrasado",IF(E16-$D$6&lt;=30,"Vence em 30 dias","Previsto")))))</f>
        <v/>
      </c>
      <c r="H16" s="5"/>
      <c r="I16" s="25" t="str">
        <f aca="false">IF(AND(E16&lt;&gt;"",F16=""),E16,"")</f>
        <v/>
      </c>
    </row>
    <row r="17" customFormat="false" ht="21.75" hidden="false" customHeight="true" outlineLevel="0" collapsed="false">
      <c r="B17" s="11" t="n">
        <v>6</v>
      </c>
      <c r="C17" s="4" t="s">
        <v>143</v>
      </c>
      <c r="D17" s="24" t="n">
        <v>30</v>
      </c>
      <c r="E17" s="25" t="str">
        <f aca="false">IF($D$5="","",$D$5-D17)</f>
        <v/>
      </c>
      <c r="F17" s="8"/>
      <c r="G17" s="16" t="str">
        <f aca="false">IF(E17="","",IF(F17&lt;&gt;"",IF(F17&lt;=E17,"Feito no prazo","Feito fora do prazo"),IF(N($D$6)=0,"",IF($D$6&gt;E17,"Atrasado",IF(E17-$D$6&lt;=30,"Vence em 30 dias","Previsto")))))</f>
        <v/>
      </c>
      <c r="H17" s="5"/>
      <c r="I17" s="25" t="str">
        <f aca="false">IF(AND(E17&lt;&gt;"",F17=""),E17,"")</f>
        <v/>
      </c>
    </row>
    <row r="18" customFormat="false" ht="21.75" hidden="false" customHeight="true" outlineLevel="0" collapsed="false">
      <c r="B18" s="11" t="n">
        <v>7</v>
      </c>
      <c r="C18" s="4" t="s">
        <v>144</v>
      </c>
      <c r="D18" s="24" t="n">
        <v>15</v>
      </c>
      <c r="E18" s="25" t="str">
        <f aca="false">IF($D$5="","",$D$5-D18)</f>
        <v/>
      </c>
      <c r="F18" s="8"/>
      <c r="G18" s="16" t="str">
        <f aca="false">IF(E18="","",IF(F18&lt;&gt;"",IF(F18&lt;=E18,"Feito no prazo","Feito fora do prazo"),IF(N($D$6)=0,"",IF($D$6&gt;E18,"Atrasado",IF(E18-$D$6&lt;=30,"Vence em 30 dias","Previsto")))))</f>
        <v/>
      </c>
      <c r="H18" s="5"/>
      <c r="I18" s="25" t="str">
        <f aca="false">IF(AND(E18&lt;&gt;"",F18=""),E18,"")</f>
        <v/>
      </c>
    </row>
    <row r="19" customFormat="false" ht="21.75" hidden="false" customHeight="true" outlineLevel="0" collapsed="false">
      <c r="B19" s="11" t="n">
        <v>8</v>
      </c>
      <c r="C19" s="4" t="s">
        <v>145</v>
      </c>
      <c r="D19" s="24" t="n">
        <v>0</v>
      </c>
      <c r="E19" s="25" t="str">
        <f aca="false">IF($D$5="","",$D$5-D19)</f>
        <v/>
      </c>
      <c r="F19" s="8"/>
      <c r="G19" s="16" t="str">
        <f aca="false">IF(E19="","",IF(F19&lt;&gt;"",IF(F19&lt;=E19,"Feito no prazo","Feito fora do prazo"),IF(N($D$6)=0,"",IF($D$6&gt;E19,"Atrasado",IF(E19-$D$6&lt;=30,"Vence em 30 dias","Previsto")))))</f>
        <v/>
      </c>
      <c r="H19" s="5"/>
      <c r="I19" s="25" t="str">
        <f aca="false">IF(AND(E19&lt;&gt;"",F19=""),E19,"")</f>
        <v/>
      </c>
    </row>
    <row r="21" customFormat="false" ht="21.75" hidden="false" customHeight="true" outlineLevel="0" collapsed="false">
      <c r="B21" s="19" t="s">
        <v>119</v>
      </c>
      <c r="C21" s="19"/>
      <c r="D21" s="19"/>
      <c r="E21" s="19"/>
      <c r="F21" s="19"/>
      <c r="G21" s="19"/>
      <c r="H21" s="19"/>
      <c r="I21" s="19"/>
    </row>
    <row r="22" customFormat="false" ht="21.75" hidden="false" customHeight="true" outlineLevel="0" collapsed="false">
      <c r="B22" s="20" t="s">
        <v>146</v>
      </c>
      <c r="C22" s="20"/>
      <c r="D22" s="20"/>
      <c r="E22" s="21" t="str">
        <f aca="false">COUNTIF(G12:G19,"Feito no prazo")&amp;" feito no prazo"&amp;", "&amp;COUNTIF(G12:G19,"Feito fora do prazo")&amp;" feito fora do prazo"&amp;", "&amp;COUNTIF(G12:G19,"Atrasado")&amp;" atrasado"&amp;", "&amp;COUNTIF(G12:G19,"Vence em 30 dias")&amp;" vence em 30 dias"&amp;", "&amp;COUNTIF(G12:G19,"Previsto")&amp;" previsto"</f>
        <v>0 feito no prazo, 0 feito fora do prazo, 0 atrasado, 0 vence em 30 dias, 0 previsto</v>
      </c>
      <c r="F22" s="21"/>
      <c r="G22" s="21"/>
      <c r="H22" s="21"/>
      <c r="I22" s="21"/>
    </row>
    <row r="23" customFormat="false" ht="21.75" hidden="false" customHeight="true" outlineLevel="0" collapsed="false">
      <c r="B23" s="20" t="s">
        <v>120</v>
      </c>
      <c r="C23" s="20"/>
      <c r="D23" s="20"/>
      <c r="E23" s="22" t="str">
        <f aca="false">IF(D5="","Informe a data da auditoria",IF(D9="A auditoria está depois do fim da transição","A auditoria está depois do fim da transição",IF(D6="","Informe a data da leitura",IF(COUNTIF(G12:G19,"Atrasado")&gt;0,"Há etapa atrasada",IF(COUNTIF(G12:G19,"Vence em 30 dias")&gt;0,"Há etapa que vence em 30 dias","OK")))))</f>
        <v>Informe a data da auditoria</v>
      </c>
      <c r="F23" s="22"/>
      <c r="G23" s="22"/>
      <c r="H23" s="22"/>
      <c r="I23" s="22"/>
    </row>
  </sheetData>
  <mergeCells count="24">
    <mergeCell ref="B1:I1"/>
    <mergeCell ref="B2:I2"/>
    <mergeCell ref="B4:C4"/>
    <mergeCell ref="D4:E4"/>
    <mergeCell ref="F4:I4"/>
    <mergeCell ref="B5:C5"/>
    <mergeCell ref="D5:E5"/>
    <mergeCell ref="F5:I5"/>
    <mergeCell ref="B6:C6"/>
    <mergeCell ref="D6:E6"/>
    <mergeCell ref="F6:I6"/>
    <mergeCell ref="B7:C7"/>
    <mergeCell ref="D7:E7"/>
    <mergeCell ref="F7:I7"/>
    <mergeCell ref="B8:C8"/>
    <mergeCell ref="D8:E8"/>
    <mergeCell ref="F8:I8"/>
    <mergeCell ref="B9:C9"/>
    <mergeCell ref="D9:I9"/>
    <mergeCell ref="B21:I21"/>
    <mergeCell ref="B22:D22"/>
    <mergeCell ref="E22:I22"/>
    <mergeCell ref="B23:D23"/>
    <mergeCell ref="E23:I23"/>
  </mergeCells>
  <conditionalFormatting sqref="D9:I9">
    <cfRule type="expression" priority="2" aboveAverage="0" equalAverage="0" bottom="0" percent="0" rank="0" text="" dxfId="0">
      <formula>OR($D9="OK")</formula>
    </cfRule>
    <cfRule type="expression" priority="3" aboveAverage="0" equalAverage="0" bottom="0" percent="0" rank="0" text="" dxfId="4">
      <formula>AND(LEN($D9)&gt;0,NOT(OR($D9="OK")))</formula>
    </cfRule>
  </conditionalFormatting>
  <conditionalFormatting sqref="G12:G19">
    <cfRule type="expression" priority="4" aboveAverage="0" equalAverage="0" bottom="0" percent="0" rank="0" text="" dxfId="0">
      <formula>G12="Feito no prazo"</formula>
    </cfRule>
    <cfRule type="expression" priority="5" aboveAverage="0" equalAverage="0" bottom="0" percent="0" rank="0" text="" dxfId="2">
      <formula>G12="Feito fora do prazo"</formula>
    </cfRule>
    <cfRule type="expression" priority="6" aboveAverage="0" equalAverage="0" bottom="0" percent="0" rank="0" text="" dxfId="2">
      <formula>G12="Atrasado"</formula>
    </cfRule>
    <cfRule type="expression" priority="7" aboveAverage="0" equalAverage="0" bottom="0" percent="0" rank="0" text="" dxfId="1">
      <formula>G12="Vence em 30 dias"</formula>
    </cfRule>
    <cfRule type="expression" priority="8" aboveAverage="0" equalAverage="0" bottom="0" percent="0" rank="0" text="" dxfId="3">
      <formula>G12="Previsto"</formula>
    </cfRule>
  </conditionalFormatting>
  <conditionalFormatting sqref="E23:I23">
    <cfRule type="expression" priority="9" aboveAverage="0" equalAverage="0" bottom="0" percent="0" rank="0" text="" dxfId="0">
      <formula>OR(E23="OK")</formula>
    </cfRule>
    <cfRule type="expression" priority="10" aboveAverage="0" equalAverage="0" bottom="0" percent="0" rank="0" text="" dxfId="4">
      <formula>AND(LEN(E23)&gt;0,NOT(OR(E23="OK")))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D5:D7 F12:F19" type="date">
      <formula1>36526</formula1>
      <formula2>0</formula2>
    </dataValidation>
    <dataValidation allowBlank="true" error="Escolha uma das opções da lista." errorStyle="stop" errorTitle="Valor inválido" operator="between" prompt="Certificado pela edição de 2015, ou sem certificado" promptTitle="Opções" showDropDown="false" showErrorMessage="true" showInputMessage="true" sqref="D8" type="list">
      <formula1>"Certificado pela edição de 2015,Sem certificado"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34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147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148</v>
      </c>
      <c r="C2" s="2"/>
      <c r="D2" s="2"/>
      <c r="E2" s="2"/>
      <c r="F2" s="2"/>
    </row>
    <row r="3" customFormat="false" ht="15" hidden="false" customHeight="false" outlineLevel="0" collapsed="false">
      <c r="B3" s="4" t="s">
        <v>123</v>
      </c>
      <c r="C3" s="4" t="str">
        <f aca="false">IF(Plano!D4="","",Plano!D4)</f>
        <v/>
      </c>
      <c r="D3" s="4"/>
      <c r="E3" s="4"/>
      <c r="F3" s="4"/>
    </row>
    <row r="5" customFormat="false" ht="21.75" hidden="false" customHeight="true" outlineLevel="0" collapsed="false">
      <c r="B5" s="10" t="s">
        <v>149</v>
      </c>
      <c r="C5" s="10" t="s">
        <v>150</v>
      </c>
      <c r="D5" s="10" t="s">
        <v>151</v>
      </c>
      <c r="E5" s="10"/>
      <c r="F5" s="10"/>
    </row>
    <row r="6" customFormat="false" ht="21.75" hidden="false" customHeight="true" outlineLevel="0" collapsed="false">
      <c r="B6" s="26" t="s">
        <v>152</v>
      </c>
      <c r="C6" s="26"/>
      <c r="D6" s="26"/>
      <c r="E6" s="26"/>
      <c r="F6" s="26"/>
    </row>
    <row r="7" customFormat="false" ht="21.75" hidden="false" customHeight="true" outlineLevel="0" collapsed="false">
      <c r="B7" s="4" t="s">
        <v>153</v>
      </c>
      <c r="C7" s="15" t="n">
        <f aca="false">COUNTIF(Mudanças!I8:I22,"Atende")</f>
        <v>0</v>
      </c>
      <c r="D7" s="27" t="s">
        <v>154</v>
      </c>
      <c r="E7" s="27"/>
      <c r="F7" s="27"/>
    </row>
    <row r="8" customFormat="false" ht="21.75" hidden="false" customHeight="true" outlineLevel="0" collapsed="false">
      <c r="B8" s="4" t="s">
        <v>155</v>
      </c>
      <c r="C8" s="15" t="n">
        <f aca="false">COUNTIF(Mudanças!I8:I22,"Atende em parte")</f>
        <v>0</v>
      </c>
      <c r="D8" s="27" t="s">
        <v>156</v>
      </c>
      <c r="E8" s="27"/>
      <c r="F8" s="27"/>
    </row>
    <row r="9" customFormat="false" ht="21.75" hidden="false" customHeight="true" outlineLevel="0" collapsed="false">
      <c r="B9" s="4" t="s">
        <v>157</v>
      </c>
      <c r="C9" s="15" t="n">
        <f aca="false">COUNTIF(Mudanças!I8:I22,"Não atende")</f>
        <v>0</v>
      </c>
      <c r="D9" s="27" t="s">
        <v>158</v>
      </c>
      <c r="E9" s="27"/>
      <c r="F9" s="27"/>
    </row>
    <row r="10" customFormat="false" ht="21.75" hidden="false" customHeight="true" outlineLevel="0" collapsed="false">
      <c r="B10" s="4" t="s">
        <v>159</v>
      </c>
      <c r="C10" s="15" t="n">
        <f aca="false">COUNTIF(Mudanças!P8:P22,"Alta")</f>
        <v>0</v>
      </c>
      <c r="D10" s="27" t="s">
        <v>160</v>
      </c>
      <c r="E10" s="27"/>
      <c r="F10" s="27"/>
    </row>
    <row r="11" customFormat="false" ht="21.75" hidden="false" customHeight="true" outlineLevel="0" collapsed="false">
      <c r="B11" s="4" t="s">
        <v>161</v>
      </c>
      <c r="C11" s="15" t="n">
        <f aca="false">COUNTIF(Mudanças!P8:P22,"Média")</f>
        <v>0</v>
      </c>
      <c r="D11" s="27" t="s">
        <v>162</v>
      </c>
      <c r="E11" s="27"/>
      <c r="F11" s="27"/>
    </row>
    <row r="12" customFormat="false" ht="21.75" hidden="false" customHeight="true" outlineLevel="0" collapsed="false">
      <c r="B12" s="4" t="s">
        <v>163</v>
      </c>
      <c r="C12" s="15" t="n">
        <f aca="false">SUM(Mudanças!O8:O22)</f>
        <v>0</v>
      </c>
      <c r="D12" s="27" t="s">
        <v>164</v>
      </c>
      <c r="E12" s="27"/>
      <c r="F12" s="27"/>
    </row>
    <row r="13" customFormat="false" ht="21.75" hidden="false" customHeight="true" outlineLevel="0" collapsed="false">
      <c r="B13" s="4" t="s">
        <v>165</v>
      </c>
      <c r="C13" s="15" t="n">
        <f aca="false">COUNTIF(Mudanças!Q8:Q22,"Concluída")+COUNTIF(Mudanças!Q8:Q22,"No prazo")+COUNTIF(Mudanças!Q8:Q22,"Atrasada")</f>
        <v>0</v>
      </c>
      <c r="D13" s="27" t="s">
        <v>166</v>
      </c>
      <c r="E13" s="27"/>
      <c r="F13" s="27"/>
    </row>
    <row r="14" customFormat="false" ht="21.75" hidden="false" customHeight="true" outlineLevel="0" collapsed="false">
      <c r="B14" s="4" t="s">
        <v>141</v>
      </c>
      <c r="C14" s="15" t="n">
        <f aca="false">COUNTIF(Mudanças!Q8:Q22,"Concluída")</f>
        <v>0</v>
      </c>
      <c r="D14" s="27" t="s">
        <v>167</v>
      </c>
      <c r="E14" s="27"/>
      <c r="F14" s="27"/>
    </row>
    <row r="15" customFormat="false" ht="21.75" hidden="false" customHeight="true" outlineLevel="0" collapsed="false">
      <c r="B15" s="4" t="s">
        <v>168</v>
      </c>
      <c r="C15" s="15" t="n">
        <f aca="false">COUNTIF(Mudanças!Q8:Q22,"Atrasada")</f>
        <v>0</v>
      </c>
      <c r="D15" s="27" t="s">
        <v>169</v>
      </c>
      <c r="E15" s="27"/>
      <c r="F15" s="27"/>
    </row>
    <row r="16" customFormat="false" ht="21.75" hidden="false" customHeight="true" outlineLevel="0" collapsed="false">
      <c r="B16" s="4" t="s">
        <v>170</v>
      </c>
      <c r="C16" s="15" t="n">
        <f aca="false">SUMPRODUCT((Mudanças!R8:R22&lt;&gt;"")*(Mudanças!R8:R22&lt;&gt;"OK"))</f>
        <v>9</v>
      </c>
      <c r="D16" s="27" t="s">
        <v>171</v>
      </c>
      <c r="E16" s="27"/>
      <c r="F16" s="27"/>
    </row>
    <row r="17" customFormat="false" ht="21.75" hidden="false" customHeight="true" outlineLevel="0" collapsed="false">
      <c r="B17" s="26" t="s">
        <v>172</v>
      </c>
      <c r="C17" s="26"/>
      <c r="D17" s="26"/>
      <c r="E17" s="26"/>
      <c r="F17" s="26"/>
    </row>
    <row r="18" customFormat="false" ht="21.75" hidden="false" customHeight="true" outlineLevel="0" collapsed="false">
      <c r="B18" s="4" t="s">
        <v>125</v>
      </c>
      <c r="C18" s="28" t="str">
        <f aca="false">IF(Plano!D5="","",Plano!D5)</f>
        <v/>
      </c>
      <c r="D18" s="27" t="s">
        <v>173</v>
      </c>
      <c r="E18" s="27"/>
      <c r="F18" s="27"/>
    </row>
    <row r="19" customFormat="false" ht="21.75" hidden="false" customHeight="true" outlineLevel="0" collapsed="false">
      <c r="B19" s="4" t="s">
        <v>132</v>
      </c>
      <c r="C19" s="17" t="str">
        <f aca="false">IF(Plano!D9="","",Plano!D9)</f>
        <v/>
      </c>
      <c r="D19" s="27" t="s">
        <v>174</v>
      </c>
      <c r="E19" s="27"/>
      <c r="F19" s="27"/>
    </row>
    <row r="20" customFormat="false" ht="21.75" hidden="false" customHeight="true" outlineLevel="0" collapsed="false">
      <c r="B20" s="4" t="s">
        <v>175</v>
      </c>
      <c r="C20" s="15" t="n">
        <f aca="false">COUNTIF(Plano!G12:G19,"Atrasado")</f>
        <v>0</v>
      </c>
      <c r="D20" s="27" t="s">
        <v>176</v>
      </c>
      <c r="E20" s="27"/>
      <c r="F20" s="27"/>
    </row>
    <row r="21" customFormat="false" ht="21.75" hidden="false" customHeight="true" outlineLevel="0" collapsed="false">
      <c r="B21" s="4" t="s">
        <v>177</v>
      </c>
      <c r="C21" s="15" t="n">
        <f aca="false">COUNTIF(Plano!G12:G19,"Vence em 30 dias")</f>
        <v>0</v>
      </c>
      <c r="D21" s="27" t="s">
        <v>178</v>
      </c>
      <c r="E21" s="27"/>
      <c r="F21" s="27"/>
    </row>
    <row r="22" customFormat="false" ht="21.75" hidden="false" customHeight="true" outlineLevel="0" collapsed="false">
      <c r="B22" s="4" t="s">
        <v>179</v>
      </c>
      <c r="C22" s="28" t="str">
        <f aca="false">IF(MIN(Plano!I12:I19)=0,"",MIN(Plano!I12:I19))</f>
        <v/>
      </c>
      <c r="D22" s="27" t="s">
        <v>180</v>
      </c>
      <c r="E22" s="27"/>
      <c r="F22" s="27"/>
    </row>
    <row r="23" customFormat="false" ht="21.75" hidden="false" customHeight="true" outlineLevel="0" collapsed="false">
      <c r="B23" s="4" t="s">
        <v>181</v>
      </c>
      <c r="C23" s="15" t="str">
        <f aca="false">IF(C22="","",IFERROR(INDEX(Plano!C12:C19,MATCH(C22,Plano!I12:I19,0)),""))</f>
        <v/>
      </c>
      <c r="D23" s="27" t="s">
        <v>182</v>
      </c>
      <c r="E23" s="27"/>
      <c r="F23" s="27"/>
    </row>
    <row r="25" customFormat="false" ht="21.75" hidden="false" customHeight="true" outlineLevel="0" collapsed="false">
      <c r="B25" s="19" t="s">
        <v>119</v>
      </c>
      <c r="C25" s="19"/>
      <c r="D25" s="19"/>
      <c r="E25" s="19"/>
      <c r="F25" s="19"/>
    </row>
    <row r="26" customFormat="false" ht="21.75" hidden="false" customHeight="true" outlineLevel="0" collapsed="false">
      <c r="B26" s="4" t="s">
        <v>120</v>
      </c>
      <c r="C26" s="22" t="str">
        <f aca="false">IF(COUNTA(Mudanças!I8:I22)=0,"Diagnostique as mudanças na aba Mudanças",IF(C19="A auditoria está depois do fim da transição","A auditoria está depois do fim da transição",IF(C15&gt;0,"Há ação atrasada",IF(C20&gt;0,"Há etapa do plano atrasada",IF(C16&gt;0,"Há linha a completar no diagnóstico",IF(C10&gt;0,"Há prioridade alta: leve à direção","OK"))))))</f>
        <v>Diagnostique as mudanças na aba Mudanças</v>
      </c>
      <c r="D26" s="22"/>
      <c r="E26" s="22"/>
      <c r="F26" s="22"/>
    </row>
    <row r="28" customFormat="false" ht="15" hidden="false" customHeight="false" outlineLevel="0" collapsed="false">
      <c r="B28" s="29" t="s">
        <v>183</v>
      </c>
    </row>
    <row r="29" customFormat="false" ht="15" hidden="false" customHeight="false" outlineLevel="0" collapsed="false">
      <c r="B29" s="13" t="s">
        <v>184</v>
      </c>
      <c r="C29" s="24" t="n">
        <f aca="false">COUNTIF(Mudanças!P8:P22,B29)</f>
        <v>0</v>
      </c>
    </row>
    <row r="30" customFormat="false" ht="15" hidden="false" customHeight="false" outlineLevel="0" collapsed="false">
      <c r="B30" s="13" t="s">
        <v>185</v>
      </c>
      <c r="C30" s="24" t="n">
        <f aca="false">COUNTIF(Mudanças!P8:P22,B30)</f>
        <v>0</v>
      </c>
    </row>
    <row r="31" customFormat="false" ht="15" hidden="false" customHeight="false" outlineLevel="0" collapsed="false">
      <c r="B31" s="13" t="s">
        <v>186</v>
      </c>
      <c r="C31" s="24" t="n">
        <f aca="false">COUNTIF(Mudanças!P8:P22,B31)</f>
        <v>0</v>
      </c>
    </row>
    <row r="32" customFormat="false" ht="15" hidden="false" customHeight="false" outlineLevel="0" collapsed="false">
      <c r="B32" s="13" t="s">
        <v>187</v>
      </c>
      <c r="C32" s="24" t="n">
        <f aca="false">COUNTIF(Mudanças!P8:P22,B32)</f>
        <v>0</v>
      </c>
    </row>
  </sheetData>
  <mergeCells count="24">
    <mergeCell ref="B1:F1"/>
    <mergeCell ref="B2:F2"/>
    <mergeCell ref="C3:F3"/>
    <mergeCell ref="D5:F5"/>
    <mergeCell ref="B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B17:F17"/>
    <mergeCell ref="D18:F18"/>
    <mergeCell ref="D19:F19"/>
    <mergeCell ref="D20:F20"/>
    <mergeCell ref="D21:F21"/>
    <mergeCell ref="D22:F22"/>
    <mergeCell ref="D23:F23"/>
    <mergeCell ref="B25:F25"/>
    <mergeCell ref="C26:F26"/>
  </mergeCells>
  <conditionalFormatting sqref="C26:F26">
    <cfRule type="expression" priority="2" aboveAverage="0" equalAverage="0" bottom="0" percent="0" rank="0" text="" dxfId="0">
      <formula>OR(C26="OK")</formula>
    </cfRule>
    <cfRule type="expression" priority="3" aboveAverage="0" equalAverage="0" bottom="0" percent="0" rank="0" text="" dxfId="4">
      <formula>AND(LEN(C26)&gt;0,NOT(OR(C26="OK")))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188</v>
      </c>
      <c r="C1" s="1"/>
      <c r="D1" s="1"/>
      <c r="E1" s="1"/>
    </row>
    <row r="2" customFormat="false" ht="19.5" hidden="false" customHeight="true" outlineLevel="0" collapsed="false">
      <c r="B2" s="2" t="s">
        <v>189</v>
      </c>
      <c r="C2" s="2"/>
      <c r="D2" s="2"/>
      <c r="E2" s="2"/>
    </row>
    <row r="4" customFormat="false" ht="21.75" hidden="false" customHeight="true" outlineLevel="0" collapsed="false">
      <c r="B4" s="10" t="s">
        <v>60</v>
      </c>
      <c r="C4" s="10" t="s">
        <v>190</v>
      </c>
      <c r="D4" s="10" t="s">
        <v>191</v>
      </c>
      <c r="E4" s="10" t="s">
        <v>192</v>
      </c>
    </row>
    <row r="5" customFormat="false" ht="30" hidden="false" customHeight="true" outlineLevel="0" collapsed="false">
      <c r="B5" s="11" t="n">
        <v>1</v>
      </c>
      <c r="C5" s="6" t="s">
        <v>193</v>
      </c>
      <c r="D5" s="14"/>
      <c r="E5" s="5"/>
    </row>
    <row r="6" customFormat="false" ht="30" hidden="false" customHeight="true" outlineLevel="0" collapsed="false">
      <c r="B6" s="11" t="n">
        <v>2</v>
      </c>
      <c r="C6" s="6" t="s">
        <v>194</v>
      </c>
      <c r="D6" s="14"/>
      <c r="E6" s="5"/>
    </row>
    <row r="7" customFormat="false" ht="30" hidden="false" customHeight="true" outlineLevel="0" collapsed="false">
      <c r="B7" s="11" t="n">
        <v>3</v>
      </c>
      <c r="C7" s="6" t="s">
        <v>195</v>
      </c>
      <c r="D7" s="14"/>
      <c r="E7" s="5"/>
    </row>
    <row r="8" customFormat="false" ht="30" hidden="false" customHeight="true" outlineLevel="0" collapsed="false">
      <c r="B8" s="11" t="n">
        <v>4</v>
      </c>
      <c r="C8" s="6" t="s">
        <v>196</v>
      </c>
      <c r="D8" s="14"/>
      <c r="E8" s="5"/>
    </row>
    <row r="9" customFormat="false" ht="30" hidden="false" customHeight="true" outlineLevel="0" collapsed="false">
      <c r="B9" s="11" t="n">
        <v>5</v>
      </c>
      <c r="C9" s="6" t="s">
        <v>197</v>
      </c>
      <c r="D9" s="14"/>
      <c r="E9" s="5"/>
    </row>
    <row r="10" customFormat="false" ht="30" hidden="false" customHeight="true" outlineLevel="0" collapsed="false">
      <c r="B10" s="11" t="n">
        <v>6</v>
      </c>
      <c r="C10" s="6" t="s">
        <v>198</v>
      </c>
      <c r="D10" s="14"/>
      <c r="E10" s="5"/>
    </row>
    <row r="11" customFormat="false" ht="30" hidden="false" customHeight="true" outlineLevel="0" collapsed="false">
      <c r="B11" s="11" t="n">
        <v>7</v>
      </c>
      <c r="C11" s="6" t="s">
        <v>199</v>
      </c>
      <c r="D11" s="14"/>
      <c r="E11" s="5"/>
    </row>
    <row r="12" customFormat="false" ht="30" hidden="false" customHeight="true" outlineLevel="0" collapsed="false">
      <c r="B12" s="11" t="n">
        <v>8</v>
      </c>
      <c r="C12" s="6" t="s">
        <v>200</v>
      </c>
      <c r="D12" s="14"/>
      <c r="E12" s="5"/>
    </row>
    <row r="13" customFormat="false" ht="30" hidden="false" customHeight="true" outlineLevel="0" collapsed="false">
      <c r="B13" s="11" t="n">
        <v>9</v>
      </c>
      <c r="C13" s="6" t="s">
        <v>201</v>
      </c>
      <c r="D13" s="14"/>
      <c r="E13" s="5"/>
    </row>
    <row r="14" customFormat="false" ht="30" hidden="false" customHeight="true" outlineLevel="0" collapsed="false">
      <c r="B14" s="11" t="n">
        <v>10</v>
      </c>
      <c r="C14" s="6" t="s">
        <v>202</v>
      </c>
      <c r="D14" s="14"/>
      <c r="E14" s="5"/>
    </row>
    <row r="15" customFormat="false" ht="30" hidden="false" customHeight="true" outlineLevel="0" collapsed="false">
      <c r="B15" s="11" t="n">
        <v>11</v>
      </c>
      <c r="C15" s="6" t="s">
        <v>203</v>
      </c>
      <c r="D15" s="14"/>
      <c r="E15" s="5"/>
    </row>
    <row r="16" customFormat="false" ht="30" hidden="false" customHeight="true" outlineLevel="0" collapsed="false">
      <c r="B16" s="11" t="n">
        <v>12</v>
      </c>
      <c r="C16" s="6" t="s">
        <v>204</v>
      </c>
      <c r="D16" s="14"/>
      <c r="E16" s="5"/>
    </row>
    <row r="18" customFormat="false" ht="21.75" hidden="false" customHeight="true" outlineLevel="0" collapsed="false">
      <c r="B18" s="19" t="s">
        <v>119</v>
      </c>
      <c r="C18" s="19"/>
      <c r="D18" s="19"/>
      <c r="E18" s="19"/>
    </row>
    <row r="19" customFormat="false" ht="19.5" hidden="false" customHeight="true" outlineLevel="0" collapsed="false">
      <c r="B19" s="20" t="s">
        <v>205</v>
      </c>
      <c r="C19" s="20"/>
      <c r="D19" s="15" t="n">
        <f aca="false">COUNTIF(D5:D16,"Sim")</f>
        <v>0</v>
      </c>
    </row>
    <row r="20" customFormat="false" ht="19.5" hidden="false" customHeight="true" outlineLevel="0" collapsed="false">
      <c r="B20" s="20" t="s">
        <v>206</v>
      </c>
      <c r="C20" s="20"/>
      <c r="D20" s="15" t="n">
        <f aca="false">COUNTIF(D5:D16,"Parcial")</f>
        <v>0</v>
      </c>
    </row>
    <row r="21" customFormat="false" ht="19.5" hidden="false" customHeight="true" outlineLevel="0" collapsed="false">
      <c r="B21" s="20" t="s">
        <v>207</v>
      </c>
      <c r="C21" s="20"/>
      <c r="D21" s="15" t="n">
        <f aca="false">COUNTIF(D5:D16,"Não")</f>
        <v>0</v>
      </c>
    </row>
    <row r="22" customFormat="false" ht="19.5" hidden="false" customHeight="true" outlineLevel="0" collapsed="false">
      <c r="B22" s="20" t="s">
        <v>208</v>
      </c>
      <c r="C22" s="20"/>
      <c r="D22" s="15" t="n">
        <f aca="false">COUNTBLANK(D5:D16)</f>
        <v>12</v>
      </c>
    </row>
    <row r="23" customFormat="false" ht="19.5" hidden="false" customHeight="true" outlineLevel="0" collapsed="false">
      <c r="B23" s="20" t="s">
        <v>209</v>
      </c>
      <c r="C23" s="20"/>
      <c r="D23" s="30" t="n">
        <f aca="false">D19/ROWS(D5:D16)</f>
        <v>0</v>
      </c>
    </row>
    <row r="24" customFormat="false" ht="19.5" hidden="false" customHeight="true" outlineLevel="0" collapsed="false">
      <c r="B24" s="20" t="s">
        <v>67</v>
      </c>
      <c r="C24" s="20"/>
      <c r="D24" s="15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4">
      <formula>"Parcial"</formula>
    </cfRule>
    <cfRule type="cellIs" priority="4" operator="equal" aboveAverage="0" equalAverage="0" bottom="0" percent="0" rank="0" text="" dxfId="2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R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30"/>
    <col collapsed="false" customWidth="true" hidden="false" outlineLevel="0" max="11" min="11" style="0" width="34"/>
    <col collapsed="false" customWidth="true" hidden="false" outlineLevel="0" max="12" min="12" style="0" width="18"/>
    <col collapsed="false" customWidth="true" hidden="false" outlineLevel="0" max="14" min="13" style="0" width="12"/>
    <col collapsed="false" customWidth="true" hidden="false" outlineLevel="0" max="15" min="15" style="0" width="8"/>
    <col collapsed="false" customWidth="true" hidden="false" outlineLevel="0" max="17" min="16" style="0" width="12"/>
    <col collapsed="false" customWidth="true" hidden="false" outlineLevel="0" max="18" min="18" style="0" width="26"/>
    <col collapsed="false" customWidth="true" hidden="false" outlineLevel="0" max="19" min="19" style="0" width="2"/>
  </cols>
  <sheetData>
    <row r="1" customFormat="false" ht="31.5" hidden="false" customHeight="true" outlineLevel="0" collapsed="false">
      <c r="B1" s="1" t="s">
        <v>210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B2" s="2" t="s">
        <v>211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9.5" hidden="false" customHeight="true" outlineLevel="0" collapsed="false">
      <c r="B4" s="4" t="s">
        <v>212</v>
      </c>
      <c r="C4" s="4"/>
      <c r="D4" s="4"/>
      <c r="E4" s="31" t="s">
        <v>213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customFormat="false" ht="19.5" hidden="false" customHeight="true" outlineLevel="0" collapsed="false">
      <c r="B5" s="4" t="s">
        <v>67</v>
      </c>
      <c r="C5" s="4"/>
      <c r="D5" s="4"/>
      <c r="E5" s="31" t="s">
        <v>214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customFormat="false" ht="19.5" hidden="false" customHeight="true" outlineLevel="0" collapsed="false">
      <c r="B6" s="4" t="s">
        <v>123</v>
      </c>
      <c r="C6" s="4"/>
      <c r="D6" s="4"/>
      <c r="E6" s="31" t="s">
        <v>215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customFormat="false" ht="19.5" hidden="false" customHeight="true" outlineLevel="0" collapsed="false">
      <c r="B7" s="4" t="s">
        <v>70</v>
      </c>
      <c r="C7" s="4"/>
      <c r="D7" s="4"/>
      <c r="E7" s="31" t="s">
        <v>216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</row>
    <row r="8" customFormat="false" ht="15" hidden="false" customHeight="true" outlineLevel="0" collapsed="false">
      <c r="B8" s="4" t="s">
        <v>58</v>
      </c>
      <c r="C8" s="4"/>
      <c r="D8" s="4"/>
      <c r="E8" s="32" t="n">
        <v>46757</v>
      </c>
    </row>
    <row r="9" customFormat="false" ht="15" hidden="false" customHeight="true" outlineLevel="0" collapsed="false">
      <c r="B9" s="4" t="s">
        <v>125</v>
      </c>
      <c r="C9" s="4"/>
      <c r="D9" s="4"/>
      <c r="E9" s="32" t="n">
        <v>46798</v>
      </c>
    </row>
    <row r="10" customFormat="false" ht="15" hidden="false" customHeight="true" outlineLevel="0" collapsed="false">
      <c r="B10" s="4" t="s">
        <v>128</v>
      </c>
      <c r="C10" s="4"/>
      <c r="D10" s="4"/>
      <c r="E10" s="32" t="n">
        <v>47391</v>
      </c>
    </row>
    <row r="11" customFormat="false" ht="15" hidden="false" customHeight="true" outlineLevel="0" collapsed="false">
      <c r="B11" s="4" t="s">
        <v>130</v>
      </c>
      <c r="C11" s="4"/>
      <c r="D11" s="4"/>
      <c r="E11" s="33" t="s">
        <v>217</v>
      </c>
    </row>
    <row r="12" customFormat="false" ht="15" hidden="false" customHeight="true" outlineLevel="0" collapsed="false">
      <c r="B12" s="4" t="s">
        <v>132</v>
      </c>
      <c r="C12" s="4"/>
      <c r="D12" s="4"/>
      <c r="E12" s="23" t="str">
        <f aca="false">IF(OR($E$11="",$E$9=""),"",IF(AND($E$11="Certificado pela edição de 2015",$E$9&gt;$E$10),"A auditoria está depois do fim da transição","OK"))</f>
        <v>OK</v>
      </c>
      <c r="F12" s="23"/>
      <c r="G12" s="23"/>
      <c r="H12" s="23"/>
    </row>
    <row r="14" customFormat="false" ht="21.75" hidden="false" customHeight="true" outlineLevel="0" collapsed="false">
      <c r="B14" s="34" t="s">
        <v>56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</row>
    <row r="15" customFormat="false" ht="30" hidden="false" customHeight="true" outlineLevel="0" collapsed="false">
      <c r="B15" s="15" t="s">
        <v>60</v>
      </c>
      <c r="C15" s="15" t="s">
        <v>61</v>
      </c>
      <c r="D15" s="15" t="s">
        <v>62</v>
      </c>
      <c r="E15" s="15" t="s">
        <v>63</v>
      </c>
      <c r="F15" s="15" t="s">
        <v>64</v>
      </c>
      <c r="G15" s="15" t="s">
        <v>65</v>
      </c>
      <c r="H15" s="15" t="s">
        <v>218</v>
      </c>
      <c r="I15" s="15" t="s">
        <v>67</v>
      </c>
      <c r="J15" s="15" t="s">
        <v>68</v>
      </c>
      <c r="K15" s="15" t="s">
        <v>69</v>
      </c>
      <c r="L15" s="15" t="s">
        <v>70</v>
      </c>
      <c r="M15" s="15" t="s">
        <v>71</v>
      </c>
      <c r="N15" s="15" t="s">
        <v>72</v>
      </c>
      <c r="O15" s="15" t="s">
        <v>12</v>
      </c>
      <c r="P15" s="15" t="s">
        <v>14</v>
      </c>
      <c r="Q15" s="15" t="s">
        <v>69</v>
      </c>
      <c r="R15" s="15" t="s">
        <v>73</v>
      </c>
    </row>
    <row r="16" customFormat="false" ht="42.75" hidden="false" customHeight="true" outlineLevel="0" collapsed="false">
      <c r="B16" s="11" t="n">
        <v>1</v>
      </c>
      <c r="C16" s="11" t="s">
        <v>75</v>
      </c>
      <c r="D16" s="12" t="s">
        <v>76</v>
      </c>
      <c r="E16" s="4" t="s">
        <v>77</v>
      </c>
      <c r="F16" s="12" t="s">
        <v>78</v>
      </c>
      <c r="G16" s="12" t="s">
        <v>79</v>
      </c>
      <c r="H16" s="13" t="s">
        <v>80</v>
      </c>
      <c r="I16" s="35" t="s">
        <v>155</v>
      </c>
      <c r="J16" s="36" t="s">
        <v>219</v>
      </c>
      <c r="K16" s="36" t="s">
        <v>220</v>
      </c>
      <c r="L16" s="36" t="s">
        <v>216</v>
      </c>
      <c r="M16" s="37" t="n">
        <v>46736</v>
      </c>
      <c r="N16" s="37" t="n">
        <v>46733</v>
      </c>
      <c r="O16" s="15" t="n">
        <f aca="false">IF(OR(I16="",G16=""),"",IF(G16="Alto",3,IF(G16="Médio",2,IF(G16="Baixo",1,0)))*IF(I16="Não atende",2,IF(I16="Atende em parte",1,0)))</f>
        <v>1</v>
      </c>
      <c r="P16" s="17" t="str">
        <f aca="false">IF(O16="","",IF(O16&gt;=4,"Alta",IF(O16&gt;=2,"Média",IF(O16&gt;=1,"Baixa","Sem lacuna"))))</f>
        <v>Baixa</v>
      </c>
      <c r="Q16" s="17" t="str">
        <f aca="false">IF(AND(C16="",E16=""),"",IF(K16="","—",IF(N16&lt;&gt;"","Concluída",IF(AND(M16&lt;&gt;"",N($E$8)&gt;M16),"Atrasada","No prazo"))))</f>
        <v>Concluída</v>
      </c>
      <c r="R16" s="18" t="str">
        <f aca="false">IF(AND(C16="",E16=""),"",IF(I16="","Falta a situação",IF(AND(OR(I16="Atende em parte",I16="Não atende"),K16=""),"Lacuna sem ação",IF(AND(K16&lt;&gt;"",M16=""),"Falta o prazo",IF(AND(K16&lt;&gt;"",L16=""),"Falta o responsável",IF(AND(I16="Atende",J16=""),"Falta a evidência","OK"))))))</f>
        <v>OK</v>
      </c>
    </row>
    <row r="17" customFormat="false" ht="42.75" hidden="false" customHeight="true" outlineLevel="0" collapsed="false">
      <c r="B17" s="11" t="n">
        <v>2</v>
      </c>
      <c r="C17" s="11" t="s">
        <v>81</v>
      </c>
      <c r="D17" s="12" t="s">
        <v>82</v>
      </c>
      <c r="E17" s="4" t="s">
        <v>83</v>
      </c>
      <c r="F17" s="12" t="s">
        <v>84</v>
      </c>
      <c r="G17" s="12" t="s">
        <v>85</v>
      </c>
      <c r="H17" s="13" t="s">
        <v>86</v>
      </c>
      <c r="I17" s="35" t="s">
        <v>157</v>
      </c>
      <c r="J17" s="36"/>
      <c r="K17" s="36" t="s">
        <v>221</v>
      </c>
      <c r="L17" s="36" t="s">
        <v>222</v>
      </c>
      <c r="M17" s="37" t="n">
        <v>46752</v>
      </c>
      <c r="N17" s="37"/>
      <c r="O17" s="15" t="n">
        <f aca="false">IF(OR(I17="",G17=""),"",IF(G17="Alto",3,IF(G17="Médio",2,IF(G17="Baixo",1,0)))*IF(I17="Não atende",2,IF(I17="Atende em parte",1,0)))</f>
        <v>6</v>
      </c>
      <c r="P17" s="17" t="str">
        <f aca="false">IF(O17="","",IF(O17&gt;=4,"Alta",IF(O17&gt;=2,"Média",IF(O17&gt;=1,"Baixa","Sem lacuna"))))</f>
        <v>Alta</v>
      </c>
      <c r="Q17" s="17" t="str">
        <f aca="false">IF(AND(C17="",E17=""),"",IF(K17="","—",IF(N17&lt;&gt;"","Concluída",IF(AND(M17&lt;&gt;"",N($E$8)&gt;M17),"Atrasada","No prazo"))))</f>
        <v>Atrasada</v>
      </c>
      <c r="R17" s="18" t="str">
        <f aca="false">IF(AND(C17="",E17=""),"",IF(I17="","Falta a situação",IF(AND(OR(I17="Atende em parte",I17="Não atende"),K17=""),"Lacuna sem ação",IF(AND(K17&lt;&gt;"",M17=""),"Falta o prazo",IF(AND(K17&lt;&gt;"",L17=""),"Falta o responsável",IF(AND(I17="Atende",J17=""),"Falta a evidência","OK"))))))</f>
        <v>OK</v>
      </c>
    </row>
    <row r="18" customFormat="false" ht="30.75" hidden="false" customHeight="true" outlineLevel="0" collapsed="false">
      <c r="B18" s="11" t="n">
        <v>3</v>
      </c>
      <c r="C18" s="11" t="s">
        <v>87</v>
      </c>
      <c r="D18" s="12" t="s">
        <v>88</v>
      </c>
      <c r="E18" s="4" t="s">
        <v>89</v>
      </c>
      <c r="F18" s="12" t="s">
        <v>90</v>
      </c>
      <c r="G18" s="12" t="s">
        <v>91</v>
      </c>
      <c r="H18" s="13" t="s">
        <v>92</v>
      </c>
      <c r="I18" s="35" t="s">
        <v>153</v>
      </c>
      <c r="J18" s="36" t="s">
        <v>223</v>
      </c>
      <c r="K18" s="36"/>
      <c r="L18" s="36"/>
      <c r="M18" s="37"/>
      <c r="N18" s="37"/>
      <c r="O18" s="15" t="n">
        <f aca="false">IF(OR(I18="",G18=""),"",IF(G18="Alto",3,IF(G18="Médio",2,IF(G18="Baixo",1,0)))*IF(I18="Não atende",2,IF(I18="Atende em parte",1,0)))</f>
        <v>0</v>
      </c>
      <c r="P18" s="17" t="str">
        <f aca="false">IF(O18="","",IF(O18&gt;=4,"Alta",IF(O18&gt;=2,"Média",IF(O18&gt;=1,"Baixa","Sem lacuna"))))</f>
        <v>Sem lacuna</v>
      </c>
      <c r="Q18" s="17" t="str">
        <f aca="false">IF(AND(C18="",E18=""),"",IF(K18="","—",IF(N18&lt;&gt;"","Concluída",IF(AND(M18&lt;&gt;"",N($E$8)&gt;M18),"Atrasada","No prazo"))))</f>
        <v>—</v>
      </c>
      <c r="R18" s="18" t="str">
        <f aca="false">IF(AND(C18="",E18=""),"",IF(I18="","Falta a situação",IF(AND(OR(I18="Atende em parte",I18="Não atende"),K18=""),"Lacuna sem ação",IF(AND(K18&lt;&gt;"",M18=""),"Falta o prazo",IF(AND(K18&lt;&gt;"",L18=""),"Falta o responsável",IF(AND(I18="Atende",J18=""),"Falta a evidência","OK"))))))</f>
        <v>OK</v>
      </c>
    </row>
    <row r="19" customFormat="false" ht="42.75" hidden="false" customHeight="true" outlineLevel="0" collapsed="false">
      <c r="B19" s="11" t="n">
        <v>4</v>
      </c>
      <c r="C19" s="11" t="s">
        <v>93</v>
      </c>
      <c r="D19" s="12" t="s">
        <v>94</v>
      </c>
      <c r="E19" s="4" t="s">
        <v>95</v>
      </c>
      <c r="F19" s="12" t="s">
        <v>96</v>
      </c>
      <c r="G19" s="12" t="s">
        <v>85</v>
      </c>
      <c r="H19" s="13" t="s">
        <v>97</v>
      </c>
      <c r="I19" s="35" t="s">
        <v>155</v>
      </c>
      <c r="J19" s="36" t="s">
        <v>224</v>
      </c>
      <c r="K19" s="36" t="s">
        <v>225</v>
      </c>
      <c r="L19" s="36" t="s">
        <v>216</v>
      </c>
      <c r="M19" s="37" t="n">
        <v>46741</v>
      </c>
      <c r="N19" s="37" t="n">
        <v>46739</v>
      </c>
      <c r="O19" s="15" t="n">
        <f aca="false">IF(OR(I19="",G19=""),"",IF(G19="Alto",3,IF(G19="Médio",2,IF(G19="Baixo",1,0)))*IF(I19="Não atende",2,IF(I19="Atende em parte",1,0)))</f>
        <v>3</v>
      </c>
      <c r="P19" s="17" t="str">
        <f aca="false">IF(O19="","",IF(O19&gt;=4,"Alta",IF(O19&gt;=2,"Média",IF(O19&gt;=1,"Baixa","Sem lacuna"))))</f>
        <v>Média</v>
      </c>
      <c r="Q19" s="17" t="str">
        <f aca="false">IF(AND(C19="",E19=""),"",IF(K19="","—",IF(N19&lt;&gt;"","Concluída",IF(AND(M19&lt;&gt;"",N($E$8)&gt;M19),"Atrasada","No prazo"))))</f>
        <v>Concluída</v>
      </c>
      <c r="R19" s="18" t="str">
        <f aca="false">IF(AND(C19="",E19=""),"",IF(I19="","Falta a situação",IF(AND(OR(I19="Atende em parte",I19="Não atende"),K19=""),"Lacuna sem ação",IF(AND(K19&lt;&gt;"",M19=""),"Falta o prazo",IF(AND(K19&lt;&gt;"",L19=""),"Falta o responsável",IF(AND(I19="Atende",J19=""),"Falta a evidência","OK"))))))</f>
        <v>OK</v>
      </c>
    </row>
    <row r="20" customFormat="false" ht="90.75" hidden="false" customHeight="true" outlineLevel="0" collapsed="false">
      <c r="B20" s="11" t="n">
        <v>5</v>
      </c>
      <c r="C20" s="11" t="s">
        <v>98</v>
      </c>
      <c r="D20" s="12" t="s">
        <v>99</v>
      </c>
      <c r="E20" s="4" t="s">
        <v>100</v>
      </c>
      <c r="F20" s="12" t="s">
        <v>90</v>
      </c>
      <c r="G20" s="12" t="s">
        <v>91</v>
      </c>
      <c r="H20" s="13" t="s">
        <v>101</v>
      </c>
      <c r="I20" s="35" t="s">
        <v>155</v>
      </c>
      <c r="J20" s="36" t="s">
        <v>226</v>
      </c>
      <c r="K20" s="36" t="s">
        <v>227</v>
      </c>
      <c r="L20" s="36" t="s">
        <v>216</v>
      </c>
      <c r="M20" s="37" t="n">
        <v>46767</v>
      </c>
      <c r="N20" s="37"/>
      <c r="O20" s="15" t="n">
        <f aca="false">IF(OR(I20="",G20=""),"",IF(G20="Alto",3,IF(G20="Médio",2,IF(G20="Baixo",1,0)))*IF(I20="Não atende",2,IF(I20="Atende em parte",1,0)))</f>
        <v>2</v>
      </c>
      <c r="P20" s="17" t="str">
        <f aca="false">IF(O20="","",IF(O20&gt;=4,"Alta",IF(O20&gt;=2,"Média",IF(O20&gt;=1,"Baixa","Sem lacuna"))))</f>
        <v>Média</v>
      </c>
      <c r="Q20" s="17" t="str">
        <f aca="false">IF(AND(C20="",E20=""),"",IF(K20="","—",IF(N20&lt;&gt;"","Concluída",IF(AND(M20&lt;&gt;"",N($E$8)&gt;M20),"Atrasada","No prazo"))))</f>
        <v>No prazo</v>
      </c>
      <c r="R20" s="18" t="str">
        <f aca="false">IF(AND(C20="",E20=""),"",IF(I20="","Falta a situação",IF(AND(OR(I20="Atende em parte",I20="Não atende"),K20=""),"Lacuna sem ação",IF(AND(K20&lt;&gt;"",M20=""),"Falta o prazo",IF(AND(K20&lt;&gt;"",L20=""),"Falta o responsável",IF(AND(I20="Atende",J20=""),"Falta a evidência","OK"))))))</f>
        <v>OK</v>
      </c>
    </row>
    <row r="21" customFormat="false" ht="42.75" hidden="false" customHeight="true" outlineLevel="0" collapsed="false">
      <c r="B21" s="11" t="n">
        <v>6</v>
      </c>
      <c r="C21" s="11" t="s">
        <v>102</v>
      </c>
      <c r="D21" s="12" t="s">
        <v>103</v>
      </c>
      <c r="E21" s="4" t="s">
        <v>104</v>
      </c>
      <c r="F21" s="12" t="s">
        <v>84</v>
      </c>
      <c r="G21" s="12" t="s">
        <v>91</v>
      </c>
      <c r="H21" s="13" t="s">
        <v>105</v>
      </c>
      <c r="I21" s="35" t="s">
        <v>157</v>
      </c>
      <c r="J21" s="36"/>
      <c r="K21" s="36" t="s">
        <v>228</v>
      </c>
      <c r="L21" s="36" t="s">
        <v>216</v>
      </c>
      <c r="M21" s="37" t="n">
        <v>46767</v>
      </c>
      <c r="N21" s="37"/>
      <c r="O21" s="15" t="n">
        <f aca="false">IF(OR(I21="",G21=""),"",IF(G21="Alto",3,IF(G21="Médio",2,IF(G21="Baixo",1,0)))*IF(I21="Não atende",2,IF(I21="Atende em parte",1,0)))</f>
        <v>4</v>
      </c>
      <c r="P21" s="17" t="str">
        <f aca="false">IF(O21="","",IF(O21&gt;=4,"Alta",IF(O21&gt;=2,"Média",IF(O21&gt;=1,"Baixa","Sem lacuna"))))</f>
        <v>Alta</v>
      </c>
      <c r="Q21" s="17" t="str">
        <f aca="false">IF(AND(C21="",E21=""),"",IF(K21="","—",IF(N21&lt;&gt;"","Concluída",IF(AND(M21&lt;&gt;"",N($E$8)&gt;M21),"Atrasada","No prazo"))))</f>
        <v>No prazo</v>
      </c>
      <c r="R21" s="18" t="str">
        <f aca="false">IF(AND(C21="",E21=""),"",IF(I21="","Falta a situação",IF(AND(OR(I21="Atende em parte",I21="Não atende"),K21=""),"Lacuna sem ação",IF(AND(K21&lt;&gt;"",M21=""),"Falta o prazo",IF(AND(K21&lt;&gt;"",L21=""),"Falta o responsável",IF(AND(I21="Atende",J21=""),"Falta a evidência","OK"))))))</f>
        <v>OK</v>
      </c>
    </row>
    <row r="22" customFormat="false" ht="30.75" hidden="false" customHeight="true" outlineLevel="0" collapsed="false">
      <c r="B22" s="11" t="n">
        <v>7</v>
      </c>
      <c r="C22" s="11" t="s">
        <v>106</v>
      </c>
      <c r="D22" s="12" t="s">
        <v>107</v>
      </c>
      <c r="E22" s="4" t="s">
        <v>108</v>
      </c>
      <c r="F22" s="12" t="s">
        <v>109</v>
      </c>
      <c r="G22" s="12" t="s">
        <v>79</v>
      </c>
      <c r="H22" s="13" t="s">
        <v>110</v>
      </c>
      <c r="I22" s="35" t="s">
        <v>153</v>
      </c>
      <c r="J22" s="36" t="s">
        <v>229</v>
      </c>
      <c r="K22" s="36"/>
      <c r="L22" s="36"/>
      <c r="M22" s="37"/>
      <c r="N22" s="37"/>
      <c r="O22" s="15" t="n">
        <f aca="false">IF(OR(I22="",G22=""),"",IF(G22="Alto",3,IF(G22="Médio",2,IF(G22="Baixo",1,0)))*IF(I22="Não atende",2,IF(I22="Atende em parte",1,0)))</f>
        <v>0</v>
      </c>
      <c r="P22" s="17" t="str">
        <f aca="false">IF(O22="","",IF(O22&gt;=4,"Alta",IF(O22&gt;=2,"Média",IF(O22&gt;=1,"Baixa","Sem lacuna"))))</f>
        <v>Sem lacuna</v>
      </c>
      <c r="Q22" s="17" t="str">
        <f aca="false">IF(AND(C22="",E22=""),"",IF(K22="","—",IF(N22&lt;&gt;"","Concluída",IF(AND(M22&lt;&gt;"",N($E$8)&gt;M22),"Atrasada","No prazo"))))</f>
        <v>—</v>
      </c>
      <c r="R22" s="18" t="str">
        <f aca="false">IF(AND(C22="",E22=""),"",IF(I22="","Falta a situação",IF(AND(OR(I22="Atende em parte",I22="Não atende"),K22=""),"Lacuna sem ação",IF(AND(K22&lt;&gt;"",M22=""),"Falta o prazo",IF(AND(K22&lt;&gt;"",L22=""),"Falta o responsável",IF(AND(I22="Atende",J22=""),"Falta a evidência","OK"))))))</f>
        <v>OK</v>
      </c>
    </row>
    <row r="23" customFormat="false" ht="30.75" hidden="false" customHeight="true" outlineLevel="0" collapsed="false">
      <c r="B23" s="11" t="n">
        <v>8</v>
      </c>
      <c r="C23" s="11" t="s">
        <v>111</v>
      </c>
      <c r="D23" s="12" t="s">
        <v>112</v>
      </c>
      <c r="E23" s="4" t="s">
        <v>113</v>
      </c>
      <c r="F23" s="12" t="s">
        <v>109</v>
      </c>
      <c r="G23" s="12" t="s">
        <v>79</v>
      </c>
      <c r="H23" s="13" t="s">
        <v>114</v>
      </c>
      <c r="I23" s="35" t="s">
        <v>153</v>
      </c>
      <c r="J23" s="36" t="s">
        <v>230</v>
      </c>
      <c r="K23" s="36"/>
      <c r="L23" s="36"/>
      <c r="M23" s="37"/>
      <c r="N23" s="37"/>
      <c r="O23" s="15" t="n">
        <f aca="false">IF(OR(I23="",G23=""),"",IF(G23="Alto",3,IF(G23="Médio",2,IF(G23="Baixo",1,0)))*IF(I23="Não atende",2,IF(I23="Atende em parte",1,0)))</f>
        <v>0</v>
      </c>
      <c r="P23" s="17" t="str">
        <f aca="false">IF(O23="","",IF(O23&gt;=4,"Alta",IF(O23&gt;=2,"Média",IF(O23&gt;=1,"Baixa","Sem lacuna"))))</f>
        <v>Sem lacuna</v>
      </c>
      <c r="Q23" s="17" t="str">
        <f aca="false">IF(AND(C23="",E23=""),"",IF(K23="","—",IF(N23&lt;&gt;"","Concluída",IF(AND(M23&lt;&gt;"",N($E$8)&gt;M23),"Atrasada","No prazo"))))</f>
        <v>—</v>
      </c>
      <c r="R23" s="18" t="str">
        <f aca="false">IF(AND(C23="",E23=""),"",IF(I23="","Falta a situação",IF(AND(OR(I23="Atende em parte",I23="Não atende"),K23=""),"Lacuna sem ação",IF(AND(K23&lt;&gt;"",M23=""),"Falta o prazo",IF(AND(K23&lt;&gt;"",L23=""),"Falta o responsável",IF(AND(I23="Atende",J23=""),"Falta a evidência","OK"))))))</f>
        <v>OK</v>
      </c>
    </row>
    <row r="24" customFormat="false" ht="30.75" hidden="false" customHeight="true" outlineLevel="0" collapsed="false">
      <c r="B24" s="11" t="n">
        <v>9</v>
      </c>
      <c r="C24" s="11" t="s">
        <v>115</v>
      </c>
      <c r="D24" s="12" t="s">
        <v>116</v>
      </c>
      <c r="E24" s="4" t="s">
        <v>117</v>
      </c>
      <c r="F24" s="12" t="s">
        <v>109</v>
      </c>
      <c r="G24" s="12" t="s">
        <v>79</v>
      </c>
      <c r="H24" s="13" t="s">
        <v>118</v>
      </c>
      <c r="I24" s="35" t="s">
        <v>153</v>
      </c>
      <c r="J24" s="36" t="s">
        <v>231</v>
      </c>
      <c r="K24" s="36"/>
      <c r="L24" s="36"/>
      <c r="M24" s="37"/>
      <c r="N24" s="37"/>
      <c r="O24" s="15" t="n">
        <f aca="false">IF(OR(I24="",G24=""),"",IF(G24="Alto",3,IF(G24="Médio",2,IF(G24="Baixo",1,0)))*IF(I24="Não atende",2,IF(I24="Atende em parte",1,0)))</f>
        <v>0</v>
      </c>
      <c r="P24" s="17" t="str">
        <f aca="false">IF(O24="","",IF(O24&gt;=4,"Alta",IF(O24&gt;=2,"Média",IF(O24&gt;=1,"Baixa","Sem lacuna"))))</f>
        <v>Sem lacuna</v>
      </c>
      <c r="Q24" s="17" t="str">
        <f aca="false">IF(AND(C24="",E24=""),"",IF(K24="","—",IF(N24&lt;&gt;"","Concluída",IF(AND(M24&lt;&gt;"",N($E$8)&gt;M24),"Atrasada","No prazo"))))</f>
        <v>—</v>
      </c>
      <c r="R24" s="18" t="str">
        <f aca="false">IF(AND(C24="",E24=""),"",IF(I24="","Falta a situação",IF(AND(OR(I24="Atende em parte",I24="Não atende"),K24=""),"Lacuna sem ação",IF(AND(K24&lt;&gt;"",M24=""),"Falta o prazo",IF(AND(K24&lt;&gt;"",L24=""),"Falta o responsável",IF(AND(I24="Atende",J24=""),"Falta a evidência","OK"))))))</f>
        <v>OK</v>
      </c>
    </row>
    <row r="26" customFormat="false" ht="21.75" hidden="false" customHeight="true" outlineLevel="0" collapsed="false">
      <c r="B26" s="38" t="s">
        <v>121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</row>
    <row r="27" customFormat="false" ht="30" hidden="false" customHeight="true" outlineLevel="0" collapsed="false">
      <c r="B27" s="15" t="s">
        <v>60</v>
      </c>
      <c r="C27" s="15" t="s">
        <v>133</v>
      </c>
      <c r="D27" s="15"/>
      <c r="E27" s="15"/>
      <c r="F27" s="15" t="s">
        <v>134</v>
      </c>
      <c r="G27" s="15" t="s">
        <v>135</v>
      </c>
      <c r="H27" s="15"/>
      <c r="I27" s="15" t="s">
        <v>136</v>
      </c>
      <c r="J27" s="15" t="s">
        <v>67</v>
      </c>
    </row>
    <row r="28" customFormat="false" ht="21.75" hidden="false" customHeight="true" outlineLevel="0" collapsed="false">
      <c r="B28" s="11" t="n">
        <v>1</v>
      </c>
      <c r="C28" s="4" t="s">
        <v>139</v>
      </c>
      <c r="D28" s="4"/>
      <c r="E28" s="4"/>
      <c r="F28" s="24" t="n">
        <v>180</v>
      </c>
      <c r="G28" s="25" t="n">
        <f aca="false">IF($E$9="","",$E$9-F28)</f>
        <v>46618</v>
      </c>
      <c r="H28" s="25"/>
      <c r="I28" s="37" t="n">
        <v>46670</v>
      </c>
      <c r="J28" s="17" t="str">
        <f aca="false">IF(G28="","",IF(I28&lt;&gt;"",IF(I28&lt;=G28,"Feito no prazo","Feito fora do prazo"),IF(N($E$8)=0,"",IF($E$8&gt;G28,"Atrasado",IF(G28-$E$8&lt;=30,"Vence em 30 dias","Previsto")))))</f>
        <v>Feito fora do prazo</v>
      </c>
    </row>
    <row r="29" customFormat="false" ht="21.75" hidden="false" customHeight="true" outlineLevel="0" collapsed="false">
      <c r="B29" s="11" t="n">
        <v>2</v>
      </c>
      <c r="C29" s="4" t="s">
        <v>56</v>
      </c>
      <c r="D29" s="4"/>
      <c r="E29" s="4"/>
      <c r="F29" s="24" t="n">
        <v>150</v>
      </c>
      <c r="G29" s="25" t="n">
        <f aca="false">IF($E$9="","",$E$9-F29)</f>
        <v>46648</v>
      </c>
      <c r="H29" s="25"/>
      <c r="I29" s="37" t="n">
        <v>46721</v>
      </c>
      <c r="J29" s="17" t="str">
        <f aca="false">IF(G29="","",IF(I29&lt;&gt;"",IF(I29&lt;=G29,"Feito no prazo","Feito fora do prazo"),IF(N($E$8)=0,"",IF($E$8&gt;G29,"Atrasado",IF(G29-$E$8&lt;=30,"Vence em 30 dias","Previsto")))))</f>
        <v>Feito fora do prazo</v>
      </c>
    </row>
    <row r="30" customFormat="false" ht="21.75" hidden="false" customHeight="true" outlineLevel="0" collapsed="false">
      <c r="B30" s="11" t="n">
        <v>3</v>
      </c>
      <c r="C30" s="4" t="s">
        <v>140</v>
      </c>
      <c r="D30" s="4"/>
      <c r="E30" s="4"/>
      <c r="F30" s="24" t="n">
        <v>120</v>
      </c>
      <c r="G30" s="25" t="n">
        <f aca="false">IF($E$9="","",$E$9-F30)</f>
        <v>46678</v>
      </c>
      <c r="H30" s="25"/>
      <c r="I30" s="37" t="n">
        <v>46726</v>
      </c>
      <c r="J30" s="17" t="str">
        <f aca="false">IF(G30="","",IF(I30&lt;&gt;"",IF(I30&lt;=G30,"Feito no prazo","Feito fora do prazo"),IF(N($E$8)=0,"",IF($E$8&gt;G30,"Atrasado",IF(G30-$E$8&lt;=30,"Vence em 30 dias","Previsto")))))</f>
        <v>Feito fora do prazo</v>
      </c>
    </row>
    <row r="31" customFormat="false" ht="21.75" hidden="false" customHeight="true" outlineLevel="0" collapsed="false">
      <c r="B31" s="11" t="n">
        <v>4</v>
      </c>
      <c r="C31" s="4" t="s">
        <v>141</v>
      </c>
      <c r="D31" s="4"/>
      <c r="E31" s="4"/>
      <c r="F31" s="24" t="n">
        <v>60</v>
      </c>
      <c r="G31" s="25" t="n">
        <f aca="false">IF($E$9="","",$E$9-F31)</f>
        <v>46738</v>
      </c>
      <c r="H31" s="25"/>
      <c r="I31" s="37"/>
      <c r="J31" s="17" t="str">
        <f aca="false">IF(G31="","",IF(I31&lt;&gt;"",IF(I31&lt;=G31,"Feito no prazo","Feito fora do prazo"),IF(N($E$8)=0,"",IF($E$8&gt;G31,"Atrasado",IF(G31-$E$8&lt;=30,"Vence em 30 dias","Previsto")))))</f>
        <v>Atrasado</v>
      </c>
    </row>
    <row r="32" customFormat="false" ht="21.75" hidden="false" customHeight="true" outlineLevel="0" collapsed="false">
      <c r="B32" s="11" t="n">
        <v>5</v>
      </c>
      <c r="C32" s="4" t="s">
        <v>142</v>
      </c>
      <c r="D32" s="4"/>
      <c r="E32" s="4"/>
      <c r="F32" s="24" t="n">
        <v>45</v>
      </c>
      <c r="G32" s="25" t="n">
        <f aca="false">IF($E$9="","",$E$9-F32)</f>
        <v>46753</v>
      </c>
      <c r="H32" s="25"/>
      <c r="I32" s="37"/>
      <c r="J32" s="17" t="str">
        <f aca="false">IF(G32="","",IF(I32&lt;&gt;"",IF(I32&lt;=G32,"Feito no prazo","Feito fora do prazo"),IF(N($E$8)=0,"",IF($E$8&gt;G32,"Atrasado",IF(G32-$E$8&lt;=30,"Vence em 30 dias","Previsto")))))</f>
        <v>Atrasado</v>
      </c>
    </row>
    <row r="33" customFormat="false" ht="21.75" hidden="false" customHeight="true" outlineLevel="0" collapsed="false">
      <c r="B33" s="11" t="n">
        <v>6</v>
      </c>
      <c r="C33" s="4" t="s">
        <v>143</v>
      </c>
      <c r="D33" s="4"/>
      <c r="E33" s="4"/>
      <c r="F33" s="24" t="n">
        <v>30</v>
      </c>
      <c r="G33" s="25" t="n">
        <f aca="false">IF($E$9="","",$E$9-F33)</f>
        <v>46768</v>
      </c>
      <c r="H33" s="25"/>
      <c r="I33" s="37"/>
      <c r="J33" s="17" t="str">
        <f aca="false">IF(G33="","",IF(I33&lt;&gt;"",IF(I33&lt;=G33,"Feito no prazo","Feito fora do prazo"),IF(N($E$8)=0,"",IF($E$8&gt;G33,"Atrasado",IF(G33-$E$8&lt;=30,"Vence em 30 dias","Previsto")))))</f>
        <v>Vence em 30 dias</v>
      </c>
    </row>
    <row r="34" customFormat="false" ht="21.75" hidden="false" customHeight="true" outlineLevel="0" collapsed="false">
      <c r="B34" s="11" t="n">
        <v>7</v>
      </c>
      <c r="C34" s="4" t="s">
        <v>144</v>
      </c>
      <c r="D34" s="4"/>
      <c r="E34" s="4"/>
      <c r="F34" s="24" t="n">
        <v>15</v>
      </c>
      <c r="G34" s="25" t="n">
        <f aca="false">IF($E$9="","",$E$9-F34)</f>
        <v>46783</v>
      </c>
      <c r="H34" s="25"/>
      <c r="I34" s="37"/>
      <c r="J34" s="17" t="str">
        <f aca="false">IF(G34="","",IF(I34&lt;&gt;"",IF(I34&lt;=G34,"Feito no prazo","Feito fora do prazo"),IF(N($E$8)=0,"",IF($E$8&gt;G34,"Atrasado",IF(G34-$E$8&lt;=30,"Vence em 30 dias","Previsto")))))</f>
        <v>Vence em 30 dias</v>
      </c>
    </row>
    <row r="35" customFormat="false" ht="21.75" hidden="false" customHeight="true" outlineLevel="0" collapsed="false">
      <c r="B35" s="11" t="n">
        <v>8</v>
      </c>
      <c r="C35" s="4" t="s">
        <v>145</v>
      </c>
      <c r="D35" s="4"/>
      <c r="E35" s="4"/>
      <c r="F35" s="24" t="n">
        <v>0</v>
      </c>
      <c r="G35" s="25" t="n">
        <f aca="false">IF($E$9="","",$E$9-F35)</f>
        <v>46798</v>
      </c>
      <c r="H35" s="25"/>
      <c r="I35" s="37"/>
      <c r="J35" s="17" t="str">
        <f aca="false">IF(G35="","",IF(I35&lt;&gt;"",IF(I35&lt;=G35,"Feito no prazo","Feito fora do prazo"),IF(N($E$8)=0,"",IF($E$8&gt;G35,"Atrasado",IF(G35-$E$8&lt;=30,"Vence em 30 dias","Previsto")))))</f>
        <v>Previsto</v>
      </c>
    </row>
    <row r="37" customFormat="false" ht="21.75" hidden="false" customHeight="true" outlineLevel="0" collapsed="false">
      <c r="B37" s="19" t="s">
        <v>119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  <row r="38" customFormat="false" ht="21.75" hidden="false" customHeight="true" outlineLevel="0" collapsed="false">
      <c r="B38" s="20" t="s">
        <v>232</v>
      </c>
      <c r="C38" s="20"/>
      <c r="D38" s="20"/>
      <c r="E38" s="21" t="str">
        <f aca="false">COUNTIF(I16:I24,"Atende")&amp;" atende"&amp;", "&amp;COUNTIF(I16:I24,"Atende em parte")&amp;" atende em parte"&amp;", "&amp;COUNTIF(I16:I24,"Não atende")&amp;" não atende"&amp;", "&amp;COUNTIF(I16:I24,"Não se aplica")&amp;" não se aplica"&amp;". Total: "&amp;SUM(O16:O24)&amp;" pontos"</f>
        <v>4 atende, 3 atende em parte, 2 não atende, 0 não se aplica. Total: 16 pontos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customFormat="false" ht="21.75" hidden="false" customHeight="true" outlineLevel="0" collapsed="false">
      <c r="B39" s="20" t="s">
        <v>14</v>
      </c>
      <c r="C39" s="20"/>
      <c r="D39" s="20"/>
      <c r="E39" s="21" t="str">
        <f aca="false">COUNTIF(P16:P24,"Alta")&amp;" alta"&amp;", "&amp;COUNTIF(P16:P24,"Média")&amp;" média"&amp;", "&amp;COUNTIF(P16:P24,"Baixa")&amp;" baixa"&amp;", "&amp;COUNTIF(P16:P24,"Sem lacuna")&amp;" sem lacuna"</f>
        <v>2 alta, 2 média, 1 baixa, 4 sem lacuna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  <row r="40" customFormat="false" ht="21.75" hidden="false" customHeight="true" outlineLevel="0" collapsed="false">
      <c r="B40" s="20" t="s">
        <v>165</v>
      </c>
      <c r="C40" s="20"/>
      <c r="D40" s="20"/>
      <c r="E40" s="21" t="str">
        <f aca="false">COUNTIF(Q16:Q24,"Concluída")&amp;" concluída"&amp;", "&amp;COUNTIF(Q16:Q24,"No prazo")&amp;" no prazo"&amp;", "&amp;COUNTIF(Q16:Q24,"Atrasada")&amp;" atrasada"</f>
        <v>2 concluída, 2 no prazo, 1 atrasada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</row>
    <row r="41" customFormat="false" ht="21.75" hidden="false" customHeight="true" outlineLevel="0" collapsed="false">
      <c r="B41" s="20" t="s">
        <v>40</v>
      </c>
      <c r="C41" s="20"/>
      <c r="D41" s="20"/>
      <c r="E41" s="21" t="str">
        <f aca="false">COUNTIF(J28:J35,"Feito no prazo")&amp;" feito no prazo"&amp;", "&amp;COUNTIF(J28:J35,"Feito fora do prazo")&amp;" feito fora do prazo"&amp;", "&amp;COUNTIF(J28:J35,"Atrasado")&amp;" atrasado"&amp;", "&amp;COUNTIF(J28:J35,"Vence em 30 dias")&amp;" vence em 30 dias"&amp;", "&amp;COUNTIF(J28:J35,"Previsto")&amp;" previsto"</f>
        <v>0 feito no prazo, 3 feito fora do prazo, 2 atrasado, 2 vence em 30 dias, 1 previsto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</row>
  </sheetData>
  <mergeCells count="45">
    <mergeCell ref="B1:R1"/>
    <mergeCell ref="B2:R2"/>
    <mergeCell ref="B4:D4"/>
    <mergeCell ref="E4:R4"/>
    <mergeCell ref="B5:D5"/>
    <mergeCell ref="E5:R5"/>
    <mergeCell ref="B6:D6"/>
    <mergeCell ref="E6:R6"/>
    <mergeCell ref="B7:D7"/>
    <mergeCell ref="E7:R7"/>
    <mergeCell ref="B8:D8"/>
    <mergeCell ref="B9:D9"/>
    <mergeCell ref="B10:D10"/>
    <mergeCell ref="B11:D11"/>
    <mergeCell ref="B12:D12"/>
    <mergeCell ref="E12:H12"/>
    <mergeCell ref="B14:R14"/>
    <mergeCell ref="B26:R26"/>
    <mergeCell ref="C27:E27"/>
    <mergeCell ref="G27:H27"/>
    <mergeCell ref="C28:E28"/>
    <mergeCell ref="G28:H28"/>
    <mergeCell ref="C29:E29"/>
    <mergeCell ref="G29:H29"/>
    <mergeCell ref="C30:E30"/>
    <mergeCell ref="G30:H30"/>
    <mergeCell ref="C31:E31"/>
    <mergeCell ref="G31:H31"/>
    <mergeCell ref="C32:E32"/>
    <mergeCell ref="G32:H32"/>
    <mergeCell ref="C33:E33"/>
    <mergeCell ref="G33:H33"/>
    <mergeCell ref="C34:E34"/>
    <mergeCell ref="G34:H34"/>
    <mergeCell ref="C35:E35"/>
    <mergeCell ref="G35:H35"/>
    <mergeCell ref="B37:R37"/>
    <mergeCell ref="B38:D38"/>
    <mergeCell ref="E38:R38"/>
    <mergeCell ref="B39:D39"/>
    <mergeCell ref="E39:R39"/>
    <mergeCell ref="B40:D40"/>
    <mergeCell ref="E40:R40"/>
    <mergeCell ref="B41:D41"/>
    <mergeCell ref="E41:R41"/>
  </mergeCells>
  <conditionalFormatting sqref="E12:H12">
    <cfRule type="expression" priority="2" aboveAverage="0" equalAverage="0" bottom="0" percent="0" rank="0" text="" dxfId="0">
      <formula>OR($E12="OK")</formula>
    </cfRule>
    <cfRule type="expression" priority="3" aboveAverage="0" equalAverage="0" bottom="0" percent="0" rank="0" text="" dxfId="4">
      <formula>AND(LEN($E12)&gt;0,NOT(OR($E12="OK")))</formula>
    </cfRule>
  </conditionalFormatting>
  <conditionalFormatting sqref="I16:I24">
    <cfRule type="expression" priority="4" aboveAverage="0" equalAverage="0" bottom="0" percent="0" rank="0" text="" dxfId="0">
      <formula>I16="Atende"</formula>
    </cfRule>
    <cfRule type="expression" priority="5" aboveAverage="0" equalAverage="0" bottom="0" percent="0" rank="0" text="" dxfId="1">
      <formula>I16="Atende em parte"</formula>
    </cfRule>
    <cfRule type="expression" priority="6" aboveAverage="0" equalAverage="0" bottom="0" percent="0" rank="0" text="" dxfId="2">
      <formula>I16="Não atende"</formula>
    </cfRule>
    <cfRule type="expression" priority="7" aboveAverage="0" equalAverage="0" bottom="0" percent="0" rank="0" text="" dxfId="3">
      <formula>I16="Não se aplica"</formula>
    </cfRule>
  </conditionalFormatting>
  <conditionalFormatting sqref="P16:P24">
    <cfRule type="expression" priority="8" aboveAverage="0" equalAverage="0" bottom="0" percent="0" rank="0" text="" dxfId="2">
      <formula>P16="Alta"</formula>
    </cfRule>
    <cfRule type="expression" priority="9" aboveAverage="0" equalAverage="0" bottom="0" percent="0" rank="0" text="" dxfId="1">
      <formula>P16="Média"</formula>
    </cfRule>
    <cfRule type="expression" priority="10" aboveAverage="0" equalAverage="0" bottom="0" percent="0" rank="0" text="" dxfId="3">
      <formula>P16="Baixa"</formula>
    </cfRule>
    <cfRule type="expression" priority="11" aboveAverage="0" equalAverage="0" bottom="0" percent="0" rank="0" text="" dxfId="0">
      <formula>P16="Sem lacuna"</formula>
    </cfRule>
  </conditionalFormatting>
  <conditionalFormatting sqref="Q16:Q24">
    <cfRule type="expression" priority="12" aboveAverage="0" equalAverage="0" bottom="0" percent="0" rank="0" text="" dxfId="0">
      <formula>Q16="Concluída"</formula>
    </cfRule>
    <cfRule type="expression" priority="13" aboveAverage="0" equalAverage="0" bottom="0" percent="0" rank="0" text="" dxfId="1">
      <formula>Q16="No prazo"</formula>
    </cfRule>
    <cfRule type="expression" priority="14" aboveAverage="0" equalAverage="0" bottom="0" percent="0" rank="0" text="" dxfId="2">
      <formula>Q16="Atrasada"</formula>
    </cfRule>
  </conditionalFormatting>
  <conditionalFormatting sqref="R16:R24">
    <cfRule type="expression" priority="15" aboveAverage="0" equalAverage="0" bottom="0" percent="0" rank="0" text="" dxfId="0">
      <formula>OR(R16="OK")</formula>
    </cfRule>
    <cfRule type="expression" priority="16" aboveAverage="0" equalAverage="0" bottom="0" percent="0" rank="0" text="" dxfId="4">
      <formula>AND(LEN(R16)&gt;0,NOT(OR(R16="OK")))</formula>
    </cfRule>
  </conditionalFormatting>
  <conditionalFormatting sqref="J28:J35">
    <cfRule type="expression" priority="17" aboveAverage="0" equalAverage="0" bottom="0" percent="0" rank="0" text="" dxfId="0">
      <formula>J28="Feito no prazo"</formula>
    </cfRule>
    <cfRule type="expression" priority="18" aboveAverage="0" equalAverage="0" bottom="0" percent="0" rank="0" text="" dxfId="2">
      <formula>J28="Feito fora do prazo"</formula>
    </cfRule>
    <cfRule type="expression" priority="19" aboveAverage="0" equalAverage="0" bottom="0" percent="0" rank="0" text="" dxfId="2">
      <formula>J28="Atrasado"</formula>
    </cfRule>
    <cfRule type="expression" priority="20" aboveAverage="0" equalAverage="0" bottom="0" percent="0" rank="0" text="" dxfId="1">
      <formula>J28="Vence em 30 dias"</formula>
    </cfRule>
    <cfRule type="expression" priority="21" aboveAverage="0" equalAverage="0" bottom="0" percent="0" rank="0" text="" dxfId="3">
      <formula>J28="Previsto"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5" man="true" max="16383" min="0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R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30"/>
    <col collapsed="false" customWidth="true" hidden="false" outlineLevel="0" max="11" min="11" style="0" width="34"/>
    <col collapsed="false" customWidth="true" hidden="false" outlineLevel="0" max="12" min="12" style="0" width="18"/>
    <col collapsed="false" customWidth="true" hidden="false" outlineLevel="0" max="14" min="13" style="0" width="12"/>
    <col collapsed="false" customWidth="true" hidden="false" outlineLevel="0" max="15" min="15" style="0" width="8"/>
    <col collapsed="false" customWidth="true" hidden="false" outlineLevel="0" max="17" min="16" style="0" width="12"/>
    <col collapsed="false" customWidth="true" hidden="false" outlineLevel="0" max="18" min="18" style="0" width="26"/>
    <col collapsed="false" customWidth="true" hidden="false" outlineLevel="0" max="19" min="19" style="0" width="2"/>
  </cols>
  <sheetData>
    <row r="1" customFormat="false" ht="31.5" hidden="false" customHeight="true" outlineLevel="0" collapsed="false">
      <c r="B1" s="1" t="s">
        <v>210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B2" s="2" t="s">
        <v>211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9.5" hidden="false" customHeight="true" outlineLevel="0" collapsed="false">
      <c r="B4" s="4" t="s">
        <v>212</v>
      </c>
      <c r="C4" s="4"/>
      <c r="D4" s="4"/>
      <c r="E4" s="31" t="s">
        <v>233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customFormat="false" ht="19.5" hidden="false" customHeight="true" outlineLevel="0" collapsed="false">
      <c r="B5" s="4" t="s">
        <v>67</v>
      </c>
      <c r="C5" s="4"/>
      <c r="D5" s="4"/>
      <c r="E5" s="31" t="s">
        <v>234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customFormat="false" ht="19.5" hidden="false" customHeight="true" outlineLevel="0" collapsed="false">
      <c r="B6" s="4" t="s">
        <v>123</v>
      </c>
      <c r="C6" s="4"/>
      <c r="D6" s="4"/>
      <c r="E6" s="31" t="s">
        <v>235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customFormat="false" ht="19.5" hidden="false" customHeight="true" outlineLevel="0" collapsed="false">
      <c r="B7" s="4" t="s">
        <v>70</v>
      </c>
      <c r="C7" s="4"/>
      <c r="D7" s="4"/>
      <c r="E7" s="31" t="s">
        <v>236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</row>
    <row r="8" customFormat="false" ht="15" hidden="false" customHeight="true" outlineLevel="0" collapsed="false">
      <c r="B8" s="4" t="s">
        <v>58</v>
      </c>
      <c r="C8" s="4"/>
      <c r="D8" s="4"/>
      <c r="E8" s="32" t="n">
        <v>46934</v>
      </c>
    </row>
    <row r="9" customFormat="false" ht="15" hidden="false" customHeight="true" outlineLevel="0" collapsed="false">
      <c r="B9" s="4" t="s">
        <v>125</v>
      </c>
      <c r="C9" s="4"/>
      <c r="D9" s="4"/>
      <c r="E9" s="32" t="n">
        <v>47079</v>
      </c>
    </row>
    <row r="10" customFormat="false" ht="15" hidden="false" customHeight="true" outlineLevel="0" collapsed="false">
      <c r="B10" s="4" t="s">
        <v>128</v>
      </c>
      <c r="C10" s="4"/>
      <c r="D10" s="4"/>
      <c r="E10" s="32" t="n">
        <v>47391</v>
      </c>
    </row>
    <row r="11" customFormat="false" ht="15" hidden="false" customHeight="true" outlineLevel="0" collapsed="false">
      <c r="B11" s="4" t="s">
        <v>130</v>
      </c>
      <c r="C11" s="4"/>
      <c r="D11" s="4"/>
      <c r="E11" s="33" t="s">
        <v>237</v>
      </c>
    </row>
    <row r="12" customFormat="false" ht="15" hidden="false" customHeight="true" outlineLevel="0" collapsed="false">
      <c r="B12" s="4" t="s">
        <v>132</v>
      </c>
      <c r="C12" s="4"/>
      <c r="D12" s="4"/>
      <c r="E12" s="23" t="str">
        <f aca="false">IF(OR($E$11="",$E$9=""),"",IF(AND($E$11="Certificado pela edição de 2015",$E$9&gt;$E$10),"A auditoria está depois do fim da transição","OK"))</f>
        <v>OK</v>
      </c>
      <c r="F12" s="23"/>
      <c r="G12" s="23"/>
      <c r="H12" s="23"/>
    </row>
    <row r="14" customFormat="false" ht="21.75" hidden="false" customHeight="true" outlineLevel="0" collapsed="false">
      <c r="B14" s="34" t="s">
        <v>56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</row>
    <row r="15" customFormat="false" ht="30" hidden="false" customHeight="true" outlineLevel="0" collapsed="false">
      <c r="B15" s="15" t="s">
        <v>60</v>
      </c>
      <c r="C15" s="15" t="s">
        <v>61</v>
      </c>
      <c r="D15" s="15" t="s">
        <v>62</v>
      </c>
      <c r="E15" s="15" t="s">
        <v>63</v>
      </c>
      <c r="F15" s="15" t="s">
        <v>64</v>
      </c>
      <c r="G15" s="15" t="s">
        <v>65</v>
      </c>
      <c r="H15" s="15" t="s">
        <v>218</v>
      </c>
      <c r="I15" s="15" t="s">
        <v>67</v>
      </c>
      <c r="J15" s="15" t="s">
        <v>68</v>
      </c>
      <c r="K15" s="15" t="s">
        <v>69</v>
      </c>
      <c r="L15" s="15" t="s">
        <v>70</v>
      </c>
      <c r="M15" s="15" t="s">
        <v>71</v>
      </c>
      <c r="N15" s="15" t="s">
        <v>72</v>
      </c>
      <c r="O15" s="15" t="s">
        <v>12</v>
      </c>
      <c r="P15" s="15" t="s">
        <v>14</v>
      </c>
      <c r="Q15" s="15" t="s">
        <v>69</v>
      </c>
      <c r="R15" s="15" t="s">
        <v>73</v>
      </c>
    </row>
    <row r="16" customFormat="false" ht="42.75" hidden="false" customHeight="true" outlineLevel="0" collapsed="false">
      <c r="B16" s="11" t="n">
        <v>1</v>
      </c>
      <c r="C16" s="11" t="s">
        <v>75</v>
      </c>
      <c r="D16" s="12" t="s">
        <v>76</v>
      </c>
      <c r="E16" s="4" t="s">
        <v>77</v>
      </c>
      <c r="F16" s="12" t="s">
        <v>78</v>
      </c>
      <c r="G16" s="12" t="s">
        <v>79</v>
      </c>
      <c r="H16" s="13" t="s">
        <v>80</v>
      </c>
      <c r="I16" s="35" t="s">
        <v>153</v>
      </c>
      <c r="J16" s="36" t="s">
        <v>238</v>
      </c>
      <c r="K16" s="36"/>
      <c r="L16" s="36"/>
      <c r="M16" s="37"/>
      <c r="N16" s="37"/>
      <c r="O16" s="15" t="n">
        <f aca="false">IF(OR(I16="",G16=""),"",IF(G16="Alto",3,IF(G16="Médio",2,IF(G16="Baixo",1,0)))*IF(I16="Não atende",2,IF(I16="Atende em parte",1,0)))</f>
        <v>0</v>
      </c>
      <c r="P16" s="17" t="str">
        <f aca="false">IF(O16="","",IF(O16&gt;=4,"Alta",IF(O16&gt;=2,"Média",IF(O16&gt;=1,"Baixa","Sem lacuna"))))</f>
        <v>Sem lacuna</v>
      </c>
      <c r="Q16" s="17" t="str">
        <f aca="false">IF(AND(C16="",E16=""),"",IF(K16="","—",IF(N16&lt;&gt;"","Concluída",IF(AND(M16&lt;&gt;"",N($E$8)&gt;M16),"Atrasada","No prazo"))))</f>
        <v>—</v>
      </c>
      <c r="R16" s="18" t="str">
        <f aca="false">IF(AND(C16="",E16=""),"",IF(I16="","Falta a situação",IF(AND(OR(I16="Atende em parte",I16="Não atende"),K16=""),"Lacuna sem ação",IF(AND(K16&lt;&gt;"",M16=""),"Falta o prazo",IF(AND(K16&lt;&gt;"",L16=""),"Falta o responsável",IF(AND(I16="Atende",J16=""),"Falta a evidência","OK"))))))</f>
        <v>OK</v>
      </c>
    </row>
    <row r="17" customFormat="false" ht="42.75" hidden="false" customHeight="true" outlineLevel="0" collapsed="false">
      <c r="B17" s="11" t="n">
        <v>2</v>
      </c>
      <c r="C17" s="11" t="s">
        <v>81</v>
      </c>
      <c r="D17" s="12" t="s">
        <v>82</v>
      </c>
      <c r="E17" s="4" t="s">
        <v>83</v>
      </c>
      <c r="F17" s="12" t="s">
        <v>84</v>
      </c>
      <c r="G17" s="12" t="s">
        <v>85</v>
      </c>
      <c r="H17" s="13" t="s">
        <v>86</v>
      </c>
      <c r="I17" s="35" t="s">
        <v>155</v>
      </c>
      <c r="J17" s="36" t="s">
        <v>239</v>
      </c>
      <c r="K17" s="36" t="s">
        <v>240</v>
      </c>
      <c r="L17" s="36" t="s">
        <v>241</v>
      </c>
      <c r="M17" s="37" t="n">
        <v>46996</v>
      </c>
      <c r="N17" s="37"/>
      <c r="O17" s="15" t="n">
        <f aca="false">IF(OR(I17="",G17=""),"",IF(G17="Alto",3,IF(G17="Médio",2,IF(G17="Baixo",1,0)))*IF(I17="Não atende",2,IF(I17="Atende em parte",1,0)))</f>
        <v>3</v>
      </c>
      <c r="P17" s="17" t="str">
        <f aca="false">IF(O17="","",IF(O17&gt;=4,"Alta",IF(O17&gt;=2,"Média",IF(O17&gt;=1,"Baixa","Sem lacuna"))))</f>
        <v>Média</v>
      </c>
      <c r="Q17" s="17" t="str">
        <f aca="false">IF(AND(C17="",E17=""),"",IF(K17="","—",IF(N17&lt;&gt;"","Concluída",IF(AND(M17&lt;&gt;"",N($E$8)&gt;M17),"Atrasada","No prazo"))))</f>
        <v>No prazo</v>
      </c>
      <c r="R17" s="18" t="str">
        <f aca="false">IF(AND(C17="",E17=""),"",IF(I17="","Falta a situação",IF(AND(OR(I17="Atende em parte",I17="Não atende"),K17=""),"Lacuna sem ação",IF(AND(K17&lt;&gt;"",M17=""),"Falta o prazo",IF(AND(K17&lt;&gt;"",L17=""),"Falta o responsável",IF(AND(I17="Atende",J17=""),"Falta a evidência","OK"))))))</f>
        <v>OK</v>
      </c>
    </row>
    <row r="18" customFormat="false" ht="30.75" hidden="false" customHeight="true" outlineLevel="0" collapsed="false">
      <c r="B18" s="11" t="n">
        <v>3</v>
      </c>
      <c r="C18" s="11" t="s">
        <v>87</v>
      </c>
      <c r="D18" s="12" t="s">
        <v>88</v>
      </c>
      <c r="E18" s="4" t="s">
        <v>89</v>
      </c>
      <c r="F18" s="12" t="s">
        <v>90</v>
      </c>
      <c r="G18" s="12" t="s">
        <v>91</v>
      </c>
      <c r="H18" s="13" t="s">
        <v>92</v>
      </c>
      <c r="I18" s="35" t="s">
        <v>153</v>
      </c>
      <c r="J18" s="36" t="s">
        <v>242</v>
      </c>
      <c r="K18" s="36"/>
      <c r="L18" s="36"/>
      <c r="M18" s="37"/>
      <c r="N18" s="37"/>
      <c r="O18" s="15" t="n">
        <f aca="false">IF(OR(I18="",G18=""),"",IF(G18="Alto",3,IF(G18="Médio",2,IF(G18="Baixo",1,0)))*IF(I18="Não atende",2,IF(I18="Atende em parte",1,0)))</f>
        <v>0</v>
      </c>
      <c r="P18" s="17" t="str">
        <f aca="false">IF(O18="","",IF(O18&gt;=4,"Alta",IF(O18&gt;=2,"Média",IF(O18&gt;=1,"Baixa","Sem lacuna"))))</f>
        <v>Sem lacuna</v>
      </c>
      <c r="Q18" s="17" t="str">
        <f aca="false">IF(AND(C18="",E18=""),"",IF(K18="","—",IF(N18&lt;&gt;"","Concluída",IF(AND(M18&lt;&gt;"",N($E$8)&gt;M18),"Atrasada","No prazo"))))</f>
        <v>—</v>
      </c>
      <c r="R18" s="18" t="str">
        <f aca="false">IF(AND(C18="",E18=""),"",IF(I18="","Falta a situação",IF(AND(OR(I18="Atende em parte",I18="Não atende"),K18=""),"Lacuna sem ação",IF(AND(K18&lt;&gt;"",M18=""),"Falta o prazo",IF(AND(K18&lt;&gt;"",L18=""),"Falta o responsável",IF(AND(I18="Atende",J18=""),"Falta a evidência","OK"))))))</f>
        <v>OK</v>
      </c>
    </row>
    <row r="19" customFormat="false" ht="42.75" hidden="false" customHeight="true" outlineLevel="0" collapsed="false">
      <c r="B19" s="11" t="n">
        <v>4</v>
      </c>
      <c r="C19" s="11" t="s">
        <v>93</v>
      </c>
      <c r="D19" s="12" t="s">
        <v>94</v>
      </c>
      <c r="E19" s="4" t="s">
        <v>95</v>
      </c>
      <c r="F19" s="12" t="s">
        <v>96</v>
      </c>
      <c r="G19" s="12" t="s">
        <v>85</v>
      </c>
      <c r="H19" s="13" t="s">
        <v>97</v>
      </c>
      <c r="I19" s="35" t="s">
        <v>153</v>
      </c>
      <c r="J19" s="36" t="s">
        <v>243</v>
      </c>
      <c r="K19" s="36"/>
      <c r="L19" s="36"/>
      <c r="M19" s="37"/>
      <c r="N19" s="37"/>
      <c r="O19" s="15" t="n">
        <f aca="false">IF(OR(I19="",G19=""),"",IF(G19="Alto",3,IF(G19="Médio",2,IF(G19="Baixo",1,0)))*IF(I19="Não atende",2,IF(I19="Atende em parte",1,0)))</f>
        <v>0</v>
      </c>
      <c r="P19" s="17" t="str">
        <f aca="false">IF(O19="","",IF(O19&gt;=4,"Alta",IF(O19&gt;=2,"Média",IF(O19&gt;=1,"Baixa","Sem lacuna"))))</f>
        <v>Sem lacuna</v>
      </c>
      <c r="Q19" s="17" t="str">
        <f aca="false">IF(AND(C19="",E19=""),"",IF(K19="","—",IF(N19&lt;&gt;"","Concluída",IF(AND(M19&lt;&gt;"",N($E$8)&gt;M19),"Atrasada","No prazo"))))</f>
        <v>—</v>
      </c>
      <c r="R19" s="18" t="str">
        <f aca="false">IF(AND(C19="",E19=""),"",IF(I19="","Falta a situação",IF(AND(OR(I19="Atende em parte",I19="Não atende"),K19=""),"Lacuna sem ação",IF(AND(K19&lt;&gt;"",M19=""),"Falta o prazo",IF(AND(K19&lt;&gt;"",L19=""),"Falta o responsável",IF(AND(I19="Atende",J19=""),"Falta a evidência","OK"))))))</f>
        <v>OK</v>
      </c>
    </row>
    <row r="20" customFormat="false" ht="42.75" hidden="false" customHeight="true" outlineLevel="0" collapsed="false">
      <c r="B20" s="11" t="n">
        <v>5</v>
      </c>
      <c r="C20" s="11" t="s">
        <v>98</v>
      </c>
      <c r="D20" s="12" t="s">
        <v>99</v>
      </c>
      <c r="E20" s="4" t="s">
        <v>100</v>
      </c>
      <c r="F20" s="12" t="s">
        <v>90</v>
      </c>
      <c r="G20" s="12" t="s">
        <v>91</v>
      </c>
      <c r="H20" s="13" t="s">
        <v>101</v>
      </c>
      <c r="I20" s="35" t="s">
        <v>157</v>
      </c>
      <c r="J20" s="36"/>
      <c r="K20" s="36" t="s">
        <v>244</v>
      </c>
      <c r="L20" s="36" t="s">
        <v>236</v>
      </c>
      <c r="M20" s="37" t="n">
        <v>46996</v>
      </c>
      <c r="N20" s="37"/>
      <c r="O20" s="15" t="n">
        <f aca="false">IF(OR(I20="",G20=""),"",IF(G20="Alto",3,IF(G20="Médio",2,IF(G20="Baixo",1,0)))*IF(I20="Não atende",2,IF(I20="Atende em parte",1,0)))</f>
        <v>4</v>
      </c>
      <c r="P20" s="17" t="str">
        <f aca="false">IF(O20="","",IF(O20&gt;=4,"Alta",IF(O20&gt;=2,"Média",IF(O20&gt;=1,"Baixa","Sem lacuna"))))</f>
        <v>Alta</v>
      </c>
      <c r="Q20" s="17" t="str">
        <f aca="false">IF(AND(C20="",E20=""),"",IF(K20="","—",IF(N20&lt;&gt;"","Concluída",IF(AND(M20&lt;&gt;"",N($E$8)&gt;M20),"Atrasada","No prazo"))))</f>
        <v>No prazo</v>
      </c>
      <c r="R20" s="18" t="str">
        <f aca="false">IF(AND(C20="",E20=""),"",IF(I20="","Falta a situação",IF(AND(OR(I20="Atende em parte",I20="Não atende"),K20=""),"Lacuna sem ação",IF(AND(K20&lt;&gt;"",M20=""),"Falta o prazo",IF(AND(K20&lt;&gt;"",L20=""),"Falta o responsável",IF(AND(I20="Atende",J20=""),"Falta a evidência","OK"))))))</f>
        <v>OK</v>
      </c>
    </row>
    <row r="21" customFormat="false" ht="42.75" hidden="false" customHeight="true" outlineLevel="0" collapsed="false">
      <c r="B21" s="11" t="n">
        <v>6</v>
      </c>
      <c r="C21" s="11" t="s">
        <v>102</v>
      </c>
      <c r="D21" s="12" t="s">
        <v>103</v>
      </c>
      <c r="E21" s="4" t="s">
        <v>104</v>
      </c>
      <c r="F21" s="12" t="s">
        <v>84</v>
      </c>
      <c r="G21" s="12" t="s">
        <v>91</v>
      </c>
      <c r="H21" s="13" t="s">
        <v>105</v>
      </c>
      <c r="I21" s="35" t="s">
        <v>157</v>
      </c>
      <c r="J21" s="36"/>
      <c r="K21" s="36" t="s">
        <v>245</v>
      </c>
      <c r="L21" s="36" t="s">
        <v>246</v>
      </c>
      <c r="M21" s="37" t="n">
        <v>47026</v>
      </c>
      <c r="N21" s="37"/>
      <c r="O21" s="15" t="n">
        <f aca="false">IF(OR(I21="",G21=""),"",IF(G21="Alto",3,IF(G21="Médio",2,IF(G21="Baixo",1,0)))*IF(I21="Não atende",2,IF(I21="Atende em parte",1,0)))</f>
        <v>4</v>
      </c>
      <c r="P21" s="17" t="str">
        <f aca="false">IF(O21="","",IF(O21&gt;=4,"Alta",IF(O21&gt;=2,"Média",IF(O21&gt;=1,"Baixa","Sem lacuna"))))</f>
        <v>Alta</v>
      </c>
      <c r="Q21" s="17" t="str">
        <f aca="false">IF(AND(C21="",E21=""),"",IF(K21="","—",IF(N21&lt;&gt;"","Concluída",IF(AND(M21&lt;&gt;"",N($E$8)&gt;M21),"Atrasada","No prazo"))))</f>
        <v>No prazo</v>
      </c>
      <c r="R21" s="18" t="str">
        <f aca="false">IF(AND(C21="",E21=""),"",IF(I21="","Falta a situação",IF(AND(OR(I21="Atende em parte",I21="Não atende"),K21=""),"Lacuna sem ação",IF(AND(K21&lt;&gt;"",M21=""),"Falta o prazo",IF(AND(K21&lt;&gt;"",L21=""),"Falta o responsável",IF(AND(I21="Atende",J21=""),"Falta a evidência","OK"))))))</f>
        <v>OK</v>
      </c>
    </row>
    <row r="22" customFormat="false" ht="30.75" hidden="false" customHeight="true" outlineLevel="0" collapsed="false">
      <c r="B22" s="11" t="n">
        <v>7</v>
      </c>
      <c r="C22" s="11" t="s">
        <v>106</v>
      </c>
      <c r="D22" s="12" t="s">
        <v>107</v>
      </c>
      <c r="E22" s="4" t="s">
        <v>108</v>
      </c>
      <c r="F22" s="12" t="s">
        <v>109</v>
      </c>
      <c r="G22" s="12" t="s">
        <v>79</v>
      </c>
      <c r="H22" s="13" t="s">
        <v>110</v>
      </c>
      <c r="I22" s="35" t="s">
        <v>155</v>
      </c>
      <c r="J22" s="36" t="s">
        <v>247</v>
      </c>
      <c r="K22" s="36" t="s">
        <v>248</v>
      </c>
      <c r="L22" s="36" t="s">
        <v>236</v>
      </c>
      <c r="M22" s="37" t="n">
        <v>46904</v>
      </c>
      <c r="N22" s="37"/>
      <c r="O22" s="15" t="n">
        <f aca="false">IF(OR(I22="",G22=""),"",IF(G22="Alto",3,IF(G22="Médio",2,IF(G22="Baixo",1,0)))*IF(I22="Não atende",2,IF(I22="Atende em parte",1,0)))</f>
        <v>1</v>
      </c>
      <c r="P22" s="17" t="str">
        <f aca="false">IF(O22="","",IF(O22&gt;=4,"Alta",IF(O22&gt;=2,"Média",IF(O22&gt;=1,"Baixa","Sem lacuna"))))</f>
        <v>Baixa</v>
      </c>
      <c r="Q22" s="17" t="str">
        <f aca="false">IF(AND(C22="",E22=""),"",IF(K22="","—",IF(N22&lt;&gt;"","Concluída",IF(AND(M22&lt;&gt;"",N($E$8)&gt;M22),"Atrasada","No prazo"))))</f>
        <v>Atrasada</v>
      </c>
      <c r="R22" s="18" t="str">
        <f aca="false">IF(AND(C22="",E22=""),"",IF(I22="","Falta a situação",IF(AND(OR(I22="Atende em parte",I22="Não atende"),K22=""),"Lacuna sem ação",IF(AND(K22&lt;&gt;"",M22=""),"Falta o prazo",IF(AND(K22&lt;&gt;"",L22=""),"Falta o responsável",IF(AND(I22="Atende",J22=""),"Falta a evidência","OK"))))))</f>
        <v>OK</v>
      </c>
    </row>
    <row r="23" customFormat="false" ht="30.75" hidden="false" customHeight="true" outlineLevel="0" collapsed="false">
      <c r="B23" s="11" t="n">
        <v>8</v>
      </c>
      <c r="C23" s="11" t="s">
        <v>111</v>
      </c>
      <c r="D23" s="12" t="s">
        <v>112</v>
      </c>
      <c r="E23" s="4" t="s">
        <v>113</v>
      </c>
      <c r="F23" s="12" t="s">
        <v>109</v>
      </c>
      <c r="G23" s="12" t="s">
        <v>79</v>
      </c>
      <c r="H23" s="13" t="s">
        <v>114</v>
      </c>
      <c r="I23" s="35" t="s">
        <v>153</v>
      </c>
      <c r="J23" s="36" t="s">
        <v>249</v>
      </c>
      <c r="K23" s="36"/>
      <c r="L23" s="36"/>
      <c r="M23" s="37"/>
      <c r="N23" s="37"/>
      <c r="O23" s="15" t="n">
        <f aca="false">IF(OR(I23="",G23=""),"",IF(G23="Alto",3,IF(G23="Médio",2,IF(G23="Baixo",1,0)))*IF(I23="Não atende",2,IF(I23="Atende em parte",1,0)))</f>
        <v>0</v>
      </c>
      <c r="P23" s="17" t="str">
        <f aca="false">IF(O23="","",IF(O23&gt;=4,"Alta",IF(O23&gt;=2,"Média",IF(O23&gt;=1,"Baixa","Sem lacuna"))))</f>
        <v>Sem lacuna</v>
      </c>
      <c r="Q23" s="17" t="str">
        <f aca="false">IF(AND(C23="",E23=""),"",IF(K23="","—",IF(N23&lt;&gt;"","Concluída",IF(AND(M23&lt;&gt;"",N($E$8)&gt;M23),"Atrasada","No prazo"))))</f>
        <v>—</v>
      </c>
      <c r="R23" s="18" t="str">
        <f aca="false">IF(AND(C23="",E23=""),"",IF(I23="","Falta a situação",IF(AND(OR(I23="Atende em parte",I23="Não atende"),K23=""),"Lacuna sem ação",IF(AND(K23&lt;&gt;"",M23=""),"Falta o prazo",IF(AND(K23&lt;&gt;"",L23=""),"Falta o responsável",IF(AND(I23="Atende",J23=""),"Falta a evidência","OK"))))))</f>
        <v>OK</v>
      </c>
    </row>
    <row r="24" customFormat="false" ht="30.75" hidden="false" customHeight="true" outlineLevel="0" collapsed="false">
      <c r="B24" s="11" t="n">
        <v>9</v>
      </c>
      <c r="C24" s="11" t="s">
        <v>115</v>
      </c>
      <c r="D24" s="12" t="s">
        <v>116</v>
      </c>
      <c r="E24" s="4" t="s">
        <v>117</v>
      </c>
      <c r="F24" s="12" t="s">
        <v>109</v>
      </c>
      <c r="G24" s="12" t="s">
        <v>79</v>
      </c>
      <c r="H24" s="13" t="s">
        <v>118</v>
      </c>
      <c r="I24" s="35" t="s">
        <v>153</v>
      </c>
      <c r="J24" s="36" t="s">
        <v>250</v>
      </c>
      <c r="K24" s="36"/>
      <c r="L24" s="36"/>
      <c r="M24" s="37"/>
      <c r="N24" s="37"/>
      <c r="O24" s="15" t="n">
        <f aca="false">IF(OR(I24="",G24=""),"",IF(G24="Alto",3,IF(G24="Médio",2,IF(G24="Baixo",1,0)))*IF(I24="Não atende",2,IF(I24="Atende em parte",1,0)))</f>
        <v>0</v>
      </c>
      <c r="P24" s="17" t="str">
        <f aca="false">IF(O24="","",IF(O24&gt;=4,"Alta",IF(O24&gt;=2,"Média",IF(O24&gt;=1,"Baixa","Sem lacuna"))))</f>
        <v>Sem lacuna</v>
      </c>
      <c r="Q24" s="17" t="str">
        <f aca="false">IF(AND(C24="",E24=""),"",IF(K24="","—",IF(N24&lt;&gt;"","Concluída",IF(AND(M24&lt;&gt;"",N($E$8)&gt;M24),"Atrasada","No prazo"))))</f>
        <v>—</v>
      </c>
      <c r="R24" s="18" t="str">
        <f aca="false">IF(AND(C24="",E24=""),"",IF(I24="","Falta a situação",IF(AND(OR(I24="Atende em parte",I24="Não atende"),K24=""),"Lacuna sem ação",IF(AND(K24&lt;&gt;"",M24=""),"Falta o prazo",IF(AND(K24&lt;&gt;"",L24=""),"Falta o responsável",IF(AND(I24="Atende",J24=""),"Falta a evidência","OK"))))))</f>
        <v>OK</v>
      </c>
    </row>
    <row r="26" customFormat="false" ht="21.75" hidden="false" customHeight="true" outlineLevel="0" collapsed="false">
      <c r="B26" s="38" t="s">
        <v>121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</row>
    <row r="27" customFormat="false" ht="30" hidden="false" customHeight="true" outlineLevel="0" collapsed="false">
      <c r="B27" s="15" t="s">
        <v>60</v>
      </c>
      <c r="C27" s="15" t="s">
        <v>133</v>
      </c>
      <c r="D27" s="15"/>
      <c r="E27" s="15"/>
      <c r="F27" s="15" t="s">
        <v>134</v>
      </c>
      <c r="G27" s="15" t="s">
        <v>135</v>
      </c>
      <c r="H27" s="15"/>
      <c r="I27" s="15" t="s">
        <v>136</v>
      </c>
      <c r="J27" s="15" t="s">
        <v>67</v>
      </c>
    </row>
    <row r="28" customFormat="false" ht="21.75" hidden="false" customHeight="true" outlineLevel="0" collapsed="false">
      <c r="B28" s="11" t="n">
        <v>1</v>
      </c>
      <c r="C28" s="4" t="s">
        <v>139</v>
      </c>
      <c r="D28" s="4"/>
      <c r="E28" s="4"/>
      <c r="F28" s="24" t="n">
        <v>180</v>
      </c>
      <c r="G28" s="25" t="n">
        <f aca="false">IF($E$9="","",$E$9-F28)</f>
        <v>46899</v>
      </c>
      <c r="H28" s="25"/>
      <c r="I28" s="37" t="n">
        <v>46428</v>
      </c>
      <c r="J28" s="17" t="str">
        <f aca="false">IF(G28="","",IF(I28&lt;&gt;"",IF(I28&lt;=G28,"Feito no prazo","Feito fora do prazo"),IF(N($E$8)=0,"",IF($E$8&gt;G28,"Atrasado",IF(G28-$E$8&lt;=30,"Vence em 30 dias","Previsto")))))</f>
        <v>Feito no prazo</v>
      </c>
    </row>
    <row r="29" customFormat="false" ht="21.75" hidden="false" customHeight="true" outlineLevel="0" collapsed="false">
      <c r="B29" s="11" t="n">
        <v>2</v>
      </c>
      <c r="C29" s="4" t="s">
        <v>56</v>
      </c>
      <c r="D29" s="4"/>
      <c r="E29" s="4"/>
      <c r="F29" s="24" t="n">
        <v>150</v>
      </c>
      <c r="G29" s="25" t="n">
        <f aca="false">IF($E$9="","",$E$9-F29)</f>
        <v>46929</v>
      </c>
      <c r="H29" s="25"/>
      <c r="I29" s="37" t="n">
        <v>46832</v>
      </c>
      <c r="J29" s="17" t="str">
        <f aca="false">IF(G29="","",IF(I29&lt;&gt;"",IF(I29&lt;=G29,"Feito no prazo","Feito fora do prazo"),IF(N($E$8)=0,"",IF($E$8&gt;G29,"Atrasado",IF(G29-$E$8&lt;=30,"Vence em 30 dias","Previsto")))))</f>
        <v>Feito no prazo</v>
      </c>
    </row>
    <row r="30" customFormat="false" ht="21.75" hidden="false" customHeight="true" outlineLevel="0" collapsed="false">
      <c r="B30" s="11" t="n">
        <v>3</v>
      </c>
      <c r="C30" s="4" t="s">
        <v>140</v>
      </c>
      <c r="D30" s="4"/>
      <c r="E30" s="4"/>
      <c r="F30" s="24" t="n">
        <v>120</v>
      </c>
      <c r="G30" s="25" t="n">
        <f aca="false">IF($E$9="","",$E$9-F30)</f>
        <v>46959</v>
      </c>
      <c r="H30" s="25"/>
      <c r="I30" s="37" t="n">
        <v>46853</v>
      </c>
      <c r="J30" s="17" t="str">
        <f aca="false">IF(G30="","",IF(I30&lt;&gt;"",IF(I30&lt;=G30,"Feito no prazo","Feito fora do prazo"),IF(N($E$8)=0,"",IF($E$8&gt;G30,"Atrasado",IF(G30-$E$8&lt;=30,"Vence em 30 dias","Previsto")))))</f>
        <v>Feito no prazo</v>
      </c>
    </row>
    <row r="31" customFormat="false" ht="21.75" hidden="false" customHeight="true" outlineLevel="0" collapsed="false">
      <c r="B31" s="11" t="n">
        <v>4</v>
      </c>
      <c r="C31" s="4" t="s">
        <v>141</v>
      </c>
      <c r="D31" s="4"/>
      <c r="E31" s="4"/>
      <c r="F31" s="24" t="n">
        <v>60</v>
      </c>
      <c r="G31" s="25" t="n">
        <f aca="false">IF($E$9="","",$E$9-F31)</f>
        <v>47019</v>
      </c>
      <c r="H31" s="25"/>
      <c r="I31" s="37"/>
      <c r="J31" s="17" t="str">
        <f aca="false">IF(G31="","",IF(I31&lt;&gt;"",IF(I31&lt;=G31,"Feito no prazo","Feito fora do prazo"),IF(N($E$8)=0,"",IF($E$8&gt;G31,"Atrasado",IF(G31-$E$8&lt;=30,"Vence em 30 dias","Previsto")))))</f>
        <v>Previsto</v>
      </c>
    </row>
    <row r="32" customFormat="false" ht="21.75" hidden="false" customHeight="true" outlineLevel="0" collapsed="false">
      <c r="B32" s="11" t="n">
        <v>5</v>
      </c>
      <c r="C32" s="4" t="s">
        <v>142</v>
      </c>
      <c r="D32" s="4"/>
      <c r="E32" s="4"/>
      <c r="F32" s="24" t="n">
        <v>45</v>
      </c>
      <c r="G32" s="25" t="n">
        <f aca="false">IF($E$9="","",$E$9-F32)</f>
        <v>47034</v>
      </c>
      <c r="H32" s="25"/>
      <c r="I32" s="37"/>
      <c r="J32" s="17" t="str">
        <f aca="false">IF(G32="","",IF(I32&lt;&gt;"",IF(I32&lt;=G32,"Feito no prazo","Feito fora do prazo"),IF(N($E$8)=0,"",IF($E$8&gt;G32,"Atrasado",IF(G32-$E$8&lt;=30,"Vence em 30 dias","Previsto")))))</f>
        <v>Previsto</v>
      </c>
    </row>
    <row r="33" customFormat="false" ht="21.75" hidden="false" customHeight="true" outlineLevel="0" collapsed="false">
      <c r="B33" s="11" t="n">
        <v>6</v>
      </c>
      <c r="C33" s="4" t="s">
        <v>143</v>
      </c>
      <c r="D33" s="4"/>
      <c r="E33" s="4"/>
      <c r="F33" s="24" t="n">
        <v>30</v>
      </c>
      <c r="G33" s="25" t="n">
        <f aca="false">IF($E$9="","",$E$9-F33)</f>
        <v>47049</v>
      </c>
      <c r="H33" s="25"/>
      <c r="I33" s="37"/>
      <c r="J33" s="17" t="str">
        <f aca="false">IF(G33="","",IF(I33&lt;&gt;"",IF(I33&lt;=G33,"Feito no prazo","Feito fora do prazo"),IF(N($E$8)=0,"",IF($E$8&gt;G33,"Atrasado",IF(G33-$E$8&lt;=30,"Vence em 30 dias","Previsto")))))</f>
        <v>Previsto</v>
      </c>
    </row>
    <row r="34" customFormat="false" ht="21.75" hidden="false" customHeight="true" outlineLevel="0" collapsed="false">
      <c r="B34" s="11" t="n">
        <v>7</v>
      </c>
      <c r="C34" s="4" t="s">
        <v>144</v>
      </c>
      <c r="D34" s="4"/>
      <c r="E34" s="4"/>
      <c r="F34" s="24" t="n">
        <v>15</v>
      </c>
      <c r="G34" s="25" t="n">
        <f aca="false">IF($E$9="","",$E$9-F34)</f>
        <v>47064</v>
      </c>
      <c r="H34" s="25"/>
      <c r="I34" s="37"/>
      <c r="J34" s="17" t="str">
        <f aca="false">IF(G34="","",IF(I34&lt;&gt;"",IF(I34&lt;=G34,"Feito no prazo","Feito fora do prazo"),IF(N($E$8)=0,"",IF($E$8&gt;G34,"Atrasado",IF(G34-$E$8&lt;=30,"Vence em 30 dias","Previsto")))))</f>
        <v>Previsto</v>
      </c>
    </row>
    <row r="35" customFormat="false" ht="21.75" hidden="false" customHeight="true" outlineLevel="0" collapsed="false">
      <c r="B35" s="11" t="n">
        <v>8</v>
      </c>
      <c r="C35" s="4" t="s">
        <v>145</v>
      </c>
      <c r="D35" s="4"/>
      <c r="E35" s="4"/>
      <c r="F35" s="24" t="n">
        <v>0</v>
      </c>
      <c r="G35" s="25" t="n">
        <f aca="false">IF($E$9="","",$E$9-F35)</f>
        <v>47079</v>
      </c>
      <c r="H35" s="25"/>
      <c r="I35" s="37"/>
      <c r="J35" s="17" t="str">
        <f aca="false">IF(G35="","",IF(I35&lt;&gt;"",IF(I35&lt;=G35,"Feito no prazo","Feito fora do prazo"),IF(N($E$8)=0,"",IF($E$8&gt;G35,"Atrasado",IF(G35-$E$8&lt;=30,"Vence em 30 dias","Previsto")))))</f>
        <v>Previsto</v>
      </c>
    </row>
    <row r="37" customFormat="false" ht="21.75" hidden="false" customHeight="true" outlineLevel="0" collapsed="false">
      <c r="B37" s="19" t="s">
        <v>119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  <row r="38" customFormat="false" ht="21.75" hidden="false" customHeight="true" outlineLevel="0" collapsed="false">
      <c r="B38" s="20" t="s">
        <v>232</v>
      </c>
      <c r="C38" s="20"/>
      <c r="D38" s="20"/>
      <c r="E38" s="21" t="str">
        <f aca="false">COUNTIF(I16:I24,"Atende")&amp;" atende"&amp;", "&amp;COUNTIF(I16:I24,"Atende em parte")&amp;" atende em parte"&amp;", "&amp;COUNTIF(I16:I24,"Não atende")&amp;" não atende"&amp;", "&amp;COUNTIF(I16:I24,"Não se aplica")&amp;" não se aplica"&amp;". Total: "&amp;SUM(O16:O24)&amp;" pontos"</f>
        <v>5 atende, 2 atende em parte, 2 não atende, 0 não se aplica. Total: 12 pontos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customFormat="false" ht="21.75" hidden="false" customHeight="true" outlineLevel="0" collapsed="false">
      <c r="B39" s="20" t="s">
        <v>14</v>
      </c>
      <c r="C39" s="20"/>
      <c r="D39" s="20"/>
      <c r="E39" s="21" t="str">
        <f aca="false">COUNTIF(P16:P24,"Alta")&amp;" alta"&amp;", "&amp;COUNTIF(P16:P24,"Média")&amp;" média"&amp;", "&amp;COUNTIF(P16:P24,"Baixa")&amp;" baixa"&amp;", "&amp;COUNTIF(P16:P24,"Sem lacuna")&amp;" sem lacuna"</f>
        <v>2 alta, 1 média, 1 baixa, 5 sem lacuna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  <row r="40" customFormat="false" ht="21.75" hidden="false" customHeight="true" outlineLevel="0" collapsed="false">
      <c r="B40" s="20" t="s">
        <v>165</v>
      </c>
      <c r="C40" s="20"/>
      <c r="D40" s="20"/>
      <c r="E40" s="21" t="str">
        <f aca="false">COUNTIF(Q16:Q24,"Concluída")&amp;" concluída"&amp;", "&amp;COUNTIF(Q16:Q24,"No prazo")&amp;" no prazo"&amp;", "&amp;COUNTIF(Q16:Q24,"Atrasada")&amp;" atrasada"</f>
        <v>0 concluída, 3 no prazo, 1 atrasada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</row>
    <row r="41" customFormat="false" ht="21.75" hidden="false" customHeight="true" outlineLevel="0" collapsed="false">
      <c r="B41" s="20" t="s">
        <v>40</v>
      </c>
      <c r="C41" s="20"/>
      <c r="D41" s="20"/>
      <c r="E41" s="21" t="str">
        <f aca="false">COUNTIF(J28:J35,"Feito no prazo")&amp;" feito no prazo"&amp;", "&amp;COUNTIF(J28:J35,"Feito fora do prazo")&amp;" feito fora do prazo"&amp;", "&amp;COUNTIF(J28:J35,"Atrasado")&amp;" atrasado"&amp;", "&amp;COUNTIF(J28:J35,"Vence em 30 dias")&amp;" vence em 30 dias"&amp;", "&amp;COUNTIF(J28:J35,"Previsto")&amp;" previsto"</f>
        <v>3 feito no prazo, 0 feito fora do prazo, 0 atrasado, 0 vence em 30 dias, 5 previsto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</row>
  </sheetData>
  <mergeCells count="45">
    <mergeCell ref="B1:R1"/>
    <mergeCell ref="B2:R2"/>
    <mergeCell ref="B4:D4"/>
    <mergeCell ref="E4:R4"/>
    <mergeCell ref="B5:D5"/>
    <mergeCell ref="E5:R5"/>
    <mergeCell ref="B6:D6"/>
    <mergeCell ref="E6:R6"/>
    <mergeCell ref="B7:D7"/>
    <mergeCell ref="E7:R7"/>
    <mergeCell ref="B8:D8"/>
    <mergeCell ref="B9:D9"/>
    <mergeCell ref="B10:D10"/>
    <mergeCell ref="B11:D11"/>
    <mergeCell ref="B12:D12"/>
    <mergeCell ref="E12:H12"/>
    <mergeCell ref="B14:R14"/>
    <mergeCell ref="B26:R26"/>
    <mergeCell ref="C27:E27"/>
    <mergeCell ref="G27:H27"/>
    <mergeCell ref="C28:E28"/>
    <mergeCell ref="G28:H28"/>
    <mergeCell ref="C29:E29"/>
    <mergeCell ref="G29:H29"/>
    <mergeCell ref="C30:E30"/>
    <mergeCell ref="G30:H30"/>
    <mergeCell ref="C31:E31"/>
    <mergeCell ref="G31:H31"/>
    <mergeCell ref="C32:E32"/>
    <mergeCell ref="G32:H32"/>
    <mergeCell ref="C33:E33"/>
    <mergeCell ref="G33:H33"/>
    <mergeCell ref="C34:E34"/>
    <mergeCell ref="G34:H34"/>
    <mergeCell ref="C35:E35"/>
    <mergeCell ref="G35:H35"/>
    <mergeCell ref="B37:R37"/>
    <mergeCell ref="B38:D38"/>
    <mergeCell ref="E38:R38"/>
    <mergeCell ref="B39:D39"/>
    <mergeCell ref="E39:R39"/>
    <mergeCell ref="B40:D40"/>
    <mergeCell ref="E40:R40"/>
    <mergeCell ref="B41:D41"/>
    <mergeCell ref="E41:R41"/>
  </mergeCells>
  <conditionalFormatting sqref="E12:H12">
    <cfRule type="expression" priority="2" aboveAverage="0" equalAverage="0" bottom="0" percent="0" rank="0" text="" dxfId="0">
      <formula>OR($E12="OK")</formula>
    </cfRule>
    <cfRule type="expression" priority="3" aboveAverage="0" equalAverage="0" bottom="0" percent="0" rank="0" text="" dxfId="4">
      <formula>AND(LEN($E12)&gt;0,NOT(OR($E12="OK")))</formula>
    </cfRule>
  </conditionalFormatting>
  <conditionalFormatting sqref="I16:I24">
    <cfRule type="expression" priority="4" aboveAverage="0" equalAverage="0" bottom="0" percent="0" rank="0" text="" dxfId="0">
      <formula>I16="Atende"</formula>
    </cfRule>
    <cfRule type="expression" priority="5" aboveAverage="0" equalAverage="0" bottom="0" percent="0" rank="0" text="" dxfId="1">
      <formula>I16="Atende em parte"</formula>
    </cfRule>
    <cfRule type="expression" priority="6" aboveAverage="0" equalAverage="0" bottom="0" percent="0" rank="0" text="" dxfId="2">
      <formula>I16="Não atende"</formula>
    </cfRule>
    <cfRule type="expression" priority="7" aboveAverage="0" equalAverage="0" bottom="0" percent="0" rank="0" text="" dxfId="3">
      <formula>I16="Não se aplica"</formula>
    </cfRule>
  </conditionalFormatting>
  <conditionalFormatting sqref="P16:P24">
    <cfRule type="expression" priority="8" aboveAverage="0" equalAverage="0" bottom="0" percent="0" rank="0" text="" dxfId="2">
      <formula>P16="Alta"</formula>
    </cfRule>
    <cfRule type="expression" priority="9" aboveAverage="0" equalAverage="0" bottom="0" percent="0" rank="0" text="" dxfId="1">
      <formula>P16="Média"</formula>
    </cfRule>
    <cfRule type="expression" priority="10" aboveAverage="0" equalAverage="0" bottom="0" percent="0" rank="0" text="" dxfId="3">
      <formula>P16="Baixa"</formula>
    </cfRule>
    <cfRule type="expression" priority="11" aboveAverage="0" equalAverage="0" bottom="0" percent="0" rank="0" text="" dxfId="0">
      <formula>P16="Sem lacuna"</formula>
    </cfRule>
  </conditionalFormatting>
  <conditionalFormatting sqref="Q16:Q24">
    <cfRule type="expression" priority="12" aboveAverage="0" equalAverage="0" bottom="0" percent="0" rank="0" text="" dxfId="0">
      <formula>Q16="Concluída"</formula>
    </cfRule>
    <cfRule type="expression" priority="13" aboveAverage="0" equalAverage="0" bottom="0" percent="0" rank="0" text="" dxfId="1">
      <formula>Q16="No prazo"</formula>
    </cfRule>
    <cfRule type="expression" priority="14" aboveAverage="0" equalAverage="0" bottom="0" percent="0" rank="0" text="" dxfId="2">
      <formula>Q16="Atrasada"</formula>
    </cfRule>
  </conditionalFormatting>
  <conditionalFormatting sqref="R16:R24">
    <cfRule type="expression" priority="15" aboveAverage="0" equalAverage="0" bottom="0" percent="0" rank="0" text="" dxfId="0">
      <formula>OR(R16="OK")</formula>
    </cfRule>
    <cfRule type="expression" priority="16" aboveAverage="0" equalAverage="0" bottom="0" percent="0" rank="0" text="" dxfId="4">
      <formula>AND(LEN(R16)&gt;0,NOT(OR(R16="OK")))</formula>
    </cfRule>
  </conditionalFormatting>
  <conditionalFormatting sqref="J28:J35">
    <cfRule type="expression" priority="17" aboveAverage="0" equalAverage="0" bottom="0" percent="0" rank="0" text="" dxfId="0">
      <formula>J28="Feito no prazo"</formula>
    </cfRule>
    <cfRule type="expression" priority="18" aboveAverage="0" equalAverage="0" bottom="0" percent="0" rank="0" text="" dxfId="2">
      <formula>J28="Feito fora do prazo"</formula>
    </cfRule>
    <cfRule type="expression" priority="19" aboveAverage="0" equalAverage="0" bottom="0" percent="0" rank="0" text="" dxfId="2">
      <formula>J28="Atrasado"</formula>
    </cfRule>
    <cfRule type="expression" priority="20" aboveAverage="0" equalAverage="0" bottom="0" percent="0" rank="0" text="" dxfId="1">
      <formula>J28="Vence em 30 dias"</formula>
    </cfRule>
    <cfRule type="expression" priority="21" aboveAverage="0" equalAverage="0" bottom="0" percent="0" rank="0" text="" dxfId="3">
      <formula>J28="Previsto"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5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2026-10-05T14:45:47Z</dcterms:created>
  <dc:creator>Modelo ISO 9001:2026</dc:creator>
  <dc:description/>
  <dc:language>pt-BR</dc:language>
  <cp:lastModifiedBy/>
  <dcterms:modified xsi:type="dcterms:W3CDTF">2026-10-05T14:45:47Z</dcterms:modified>
  <cp:revision>0</cp:revision>
  <dc:subject/>
  <dc:title>ISO 9001:2026: o que muda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