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Plano de controle" sheetId="2" state="visible" r:id="rId4"/>
    <sheet name="Registros" sheetId="3" state="visible" r:id="rId5"/>
    <sheet name="Rastreabilidade" sheetId="4" state="visible" r:id="rId6"/>
    <sheet name="Mudanças" sheetId="5" state="visible" r:id="rId7"/>
    <sheet name="Painel" sheetId="6" state="visible" r:id="rId8"/>
    <sheet name="Checklist" sheetId="7" state="visible" r:id="rId9"/>
    <sheet name="Exemplo 1 - Pizzaria" sheetId="8" state="visible" r:id="rId10"/>
    <sheet name="Exemplo 2 - Indústria" sheetId="9" state="visible" r:id="rId11"/>
  </sheets>
  <definedNames>
    <definedName function="false" hidden="false" localSheetId="6" name="_xlnm.Print_Area" vbProcedure="false">Checklist!$B$1:$E$24</definedName>
    <definedName function="false" hidden="false" localSheetId="7" name="_xlnm.Print_Area" vbProcedure="false">'Exemplo 1 - Pizzaria'!$B$1:$L$115</definedName>
    <definedName function="false" hidden="false" localSheetId="8" name="_xlnm.Print_Area" vbProcedure="false">'Exemplo 2 - Indústria'!$B$1:$L$99</definedName>
    <definedName function="false" hidden="false" localSheetId="0" name="_xlnm.Print_Area" vbProcedure="false">Instruções!$B$1:$C$43</definedName>
    <definedName function="false" hidden="false" localSheetId="4" name="_xlnm.Print_Area" vbProcedure="false">Mudanças!$B$1:$I$23</definedName>
    <definedName function="false" hidden="false" localSheetId="5" name="_xlnm.Print_Area" vbProcedure="false">Painel!$B$1:$I$65</definedName>
    <definedName function="false" hidden="false" localSheetId="1" name="_xlnm.Print_Area" vbProcedure="false">'Plano de controle'!$B$1:$O$35</definedName>
    <definedName function="false" hidden="false" localSheetId="3" name="_xlnm.Print_Area" vbProcedure="false">Rastreabilidade!$B$1:$H$34</definedName>
    <definedName function="false" hidden="false" localSheetId="2" name="_xlnm.Print_Area" vbProcedure="false">Registros!$B$1:$O$163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8" authorId="0">
      <text>
        <r>
          <rPr>
            <sz val="10"/>
            <rFont val="Arial"/>
            <family val="2"/>
          </rPr>
          <t xml:space="preserve">A característica do produto ou o parâmetro do processo: “Temperatura da pizza na saída”, “Espessura do filme”.</t>
        </r>
      </text>
    </comment>
    <comment ref="F8" authorId="0">
      <text>
        <r>
          <rPr>
            <sz val="10"/>
            <rFont val="Arial"/>
            <family val="2"/>
          </rPr>
          <t xml:space="preserve">Deixe o mínimo e o máximo vazios para um controle por atributo: o resultado será conforme ou não.</t>
        </r>
      </text>
    </comment>
    <comment ref="M8" authorId="0">
      <text>
        <r>
          <rPr>
            <sz val="10"/>
            <rFont val="Arial"/>
            <family val="2"/>
          </rPr>
          <t xml:space="preserve">O que fazer com o produto feito desde a última verificação boa, e com o processo. “Avisar o responsável” não é reação.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4" authorId="0">
      <text>
        <r>
          <rPr>
            <sz val="10"/>
            <rFont val="Arial"/>
            <family val="2"/>
          </rPr>
          <t xml:space="preserve">O que identifica o produto verificado: o lote, o pedido, a bobina, o turno. É por aqui que se rastreia.</t>
        </r>
      </text>
    </comment>
    <comment ref="M4" authorId="0">
      <text>
        <r>
          <rPr>
            <sz val="10"/>
            <rFont val="Arial"/>
            <family val="2"/>
          </rPr>
          <t xml:space="preserve">O que foi feito com o produto e com o processo. Um resultado fora do critério sem reação é o aviso mais grave.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G19" authorId="0">
      <text>
        <r>
          <rPr>
            <sz val="10"/>
            <rFont val="Arial"/>
            <family val="2"/>
          </rPr>
          <t xml:space="preserve">A norma pede que a perda, o dano ou a inadequação do item seja relatada ao dono, com registro.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4" authorId="0">
      <text>
        <r>
          <rPr>
            <sz val="10"/>
            <rFont val="Arial"/>
            <family val="2"/>
          </rPr>
          <t xml:space="preserve">O que foi conferido, testado ou medido antes de a mudança entrar em uso, e o resultado.</t>
        </r>
      </text>
    </comment>
  </commentList>
</comments>
</file>

<file path=xl/sharedStrings.xml><?xml version="1.0" encoding="utf-8"?>
<sst xmlns="http://schemas.openxmlformats.org/spreadsheetml/2006/main" count="1013" uniqueCount="467">
  <si>
    <t xml:space="preserve">Controle de produção e de serviço — Como usar esta planilha</t>
  </si>
  <si>
    <t xml:space="preserve">Modelo para escrever o plano de controle, registrar as verificações, cuidar da identificação e controlar as mudanças.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</si>
  <si>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</si>
  <si>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</si>
  <si>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</si>
  <si>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</si>
  <si>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critérios, leituras,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</si>
  <si>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</si>
  <si>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</si>
  <si>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</si>
  <si>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Tipo do controle, código do controle, conforme ou não, dono do item e checklist aceitam apenas as opções da lista.</t>
  </si>
  <si>
    <t xml:space="preserve">Comentários</t>
  </si>
  <si>
    <t xml:space="preserve">Células com triângulo vermelho no canto trazem uma dica de preenchimento. Passe o mouse sobre elas.</t>
  </si>
  <si>
    <t xml:space="preserve">As regras de cálculo</t>
  </si>
  <si>
    <t xml:space="preserve">Critério</t>
  </si>
  <si>
    <t xml:space="preserve">Com mínimo e máximo: faixa. Só com um deles: mínimo ou máximo. Sem nenhum: o controle é por atributo, e o resultado é conforme ou não.</t>
  </si>
  <si>
    <t xml:space="preserve">Dentro</t>
  </si>
  <si>
    <t xml:space="preserve">Controle por medida: o valor está entre o mínimo e o máximo. Controle por atributo: a resposta é Sim.</t>
  </si>
  <si>
    <t xml:space="preserve">Fora</t>
  </si>
  <si>
    <t xml:space="preserve">O valor está abaixo do mínimo ou acima do máximo, ou a resposta é Não.</t>
  </si>
  <si>
    <t xml:space="preserve">Fora sem reação registrada</t>
  </si>
  <si>
    <t xml:space="preserve">A leitura é Fora, e a coluna Reação tomada está vazia. É o aviso mais importante da planilha.</t>
  </si>
  <si>
    <t xml:space="preserve">Sem registro</t>
  </si>
  <si>
    <t xml:space="preserve">O controle está no plano, e não há verificação lançada na aba Registros.</t>
  </si>
  <si>
    <t xml:space="preserve">Desvio repetido: analisar a causa</t>
  </si>
  <si>
    <t xml:space="preserve">O mesmo controle tem mais de um resultado fora do critério. A reação não basta: abrir a análise de causa.</t>
  </si>
  <si>
    <t xml:space="preserve">Mudança a rever</t>
  </si>
  <si>
    <t xml:space="preserve">A mudança foi escrita sem a análise feita antes de mudar, ou sem quem autorizou.</t>
  </si>
  <si>
    <t xml:space="preserve">Ordem recomendada de preenchimento</t>
  </si>
  <si>
    <t xml:space="preserve">Passo 1</t>
  </si>
  <si>
    <t xml:space="preserve">Aba Plano de controle: escreva a organização, o processo, o produto e a revisão do plano.</t>
  </si>
  <si>
    <t xml:space="preserve">Passo 2</t>
  </si>
  <si>
    <t xml:space="preserve">Aba Plano de controle: para cada controle, a etapa, o que controlar, o tipo, o mínimo e o máximo, como medir, a frequência, quem mede, o registro e a reação.</t>
  </si>
  <si>
    <t xml:space="preserve">Passo 3</t>
  </si>
  <si>
    <t xml:space="preserve">Aba Registros: lance cada verificação, com data, lote ou pedido, código do controle e resultado. Se o resultado sair do critério, escreva a reação tomada.</t>
  </si>
  <si>
    <t xml:space="preserve">Passo 4</t>
  </si>
  <si>
    <t xml:space="preserve">Aba Rastreabilidade: descreva a identificação, a situação e a preservação em cada etapa, e liste o que pertence a clientes e a fornecedores.</t>
  </si>
  <si>
    <t xml:space="preserve">Passo 5</t>
  </si>
  <si>
    <t xml:space="preserve">Aba Mudanças: registre cada mudança, com o motivo, a análise, quem autorizou e as ações decorrentes.</t>
  </si>
  <si>
    <t xml:space="preserve">Passo 6</t>
  </si>
  <si>
    <t xml:space="preserve">Aba Painel: leia os desvios por controle, os desvios sem reação e os controles sem registro. Depois, valide na aba Checklist.</t>
  </si>
  <si>
    <t xml:space="preserve">Abas da planilha</t>
  </si>
  <si>
    <t xml:space="preserve">Plano de controle</t>
  </si>
  <si>
    <t xml:space="preserve">Até 20 controles. Calcula o texto do critério e a conferência de cada um.</t>
  </si>
  <si>
    <t xml:space="preserve">Registros</t>
  </si>
  <si>
    <t xml:space="preserve">Até 150 verificações, ligadas aos controles pelo código. Calcula a leitura e a conferência.</t>
  </si>
  <si>
    <t xml:space="preserve">Rastreabilidade</t>
  </si>
  <si>
    <t xml:space="preserve">Até 10 etapas, com identificação, situação e preservação, e até 8 itens de clientes e de fornecedores.</t>
  </si>
  <si>
    <t xml:space="preserve">Mudanças</t>
  </si>
  <si>
    <t xml:space="preserve">Até 12 mudanças. Calcula a conferência: análise e autorização.</t>
  </si>
  <si>
    <t xml:space="preserve">Painel</t>
  </si>
  <si>
    <t xml:space="preserve">Os indicadores gerais, a leitura de cada controle e o gráfico das verificações dentro do critério.</t>
  </si>
  <si>
    <t xml:space="preserve">Checklist</t>
  </si>
  <si>
    <t xml:space="preserve">Doze verificações de qualidade do controle, com percentual de conclusão.</t>
  </si>
  <si>
    <t xml:space="preserve">Exemplo 1 - Pizzaria</t>
  </si>
  <si>
    <t xml:space="preserve">O plano da cozinha e da expedição, com sete controles e os registros de uma semana.</t>
  </si>
  <si>
    <t xml:space="preserve">Exemplo 2 - Indústria</t>
  </si>
  <si>
    <t xml:space="preserve">O plano da extrusora 3, com sete controles e os registros de cinco lotes.</t>
  </si>
  <si>
    <t xml:space="preserve">Regras e premissas do modelo</t>
  </si>
  <si>
    <t xml:space="preserve">Poucos controles</t>
  </si>
  <si>
    <t xml:space="preserve">O modelo aceita 20. O usual é de cinco a dez por processo: os que pesam para o cliente, para a lei e para a etapa seguinte.</t>
  </si>
  <si>
    <t xml:space="preserve">Código do controle</t>
  </si>
  <si>
    <t xml:space="preserve">Os códigos K1 a K20 são fixos. Na aba Registros, cada verificação é ligada ao controle pelo código.</t>
  </si>
  <si>
    <t xml:space="preserve">Mínimo e máximo</t>
  </si>
  <si>
    <t xml:space="preserve">Digite só o número, na unidade informada. Para um controle por atributo, deixe os dois vazios e responda Sim ou Não no registro.</t>
  </si>
  <si>
    <t xml:space="preserve">Exemplos</t>
  </si>
  <si>
    <t xml:space="preserve">Os dados das abas de exemplo são ilustrativos, criados para este material.</t>
  </si>
  <si>
    <t xml:space="preserve">Uma linha por controle: o que se confere, com que critério, como, quando, por quem, onde se registra e o que fazer se sair do critério.</t>
  </si>
  <si>
    <t xml:space="preserve">Organização e processo</t>
  </si>
  <si>
    <t xml:space="preserve">Produto ou serviço</t>
  </si>
  <si>
    <t xml:space="preserve">Revisão do plano e data</t>
  </si>
  <si>
    <t xml:space="preserve">#</t>
  </si>
  <si>
    <t xml:space="preserve">Etapa</t>
  </si>
  <si>
    <t xml:space="preserve">O que controlar</t>
  </si>
  <si>
    <t xml:space="preserve">Tipo</t>
  </si>
  <si>
    <t xml:space="preserve">Mínimo</t>
  </si>
  <si>
    <t xml:space="preserve">Máximo</t>
  </si>
  <si>
    <t xml:space="preserve">Unidade</t>
  </si>
  <si>
    <t xml:space="preserve">Como medir</t>
  </si>
  <si>
    <t xml:space="preserve">Frequência</t>
  </si>
  <si>
    <t xml:space="preserve">Quem mede</t>
  </si>
  <si>
    <t xml:space="preserve">Registro</t>
  </si>
  <si>
    <t xml:space="preserve">Reação se sair do critério</t>
  </si>
  <si>
    <t xml:space="preserve">Conferência</t>
  </si>
  <si>
    <t xml:space="preserve">Do recebimento à entrega</t>
  </si>
  <si>
    <t xml:space="preserve">Característica ou parâmetro</t>
  </si>
  <si>
    <t xml:space="preserve">Lista</t>
  </si>
  <si>
    <t xml:space="preserve">Número</t>
  </si>
  <si>
    <t xml:space="preserve">°C, g, mm</t>
  </si>
  <si>
    <t xml:space="preserve">Método e instrumento</t>
  </si>
  <si>
    <t xml:space="preserve">Quando e quantos</t>
  </si>
  <si>
    <t xml:space="preserve">Uma função</t>
  </si>
  <si>
    <t xml:space="preserve">Onde fica o resultado</t>
  </si>
  <si>
    <t xml:space="preserve">Com o produto e com o processo</t>
  </si>
  <si>
    <t xml:space="preserve">Calculado</t>
  </si>
  <si>
    <t xml:space="preserve">Calculada</t>
  </si>
  <si>
    <t xml:space="preserve">K1</t>
  </si>
  <si>
    <t xml:space="preserve">K2</t>
  </si>
  <si>
    <t xml:space="preserve">K3</t>
  </si>
  <si>
    <t xml:space="preserve">K4</t>
  </si>
  <si>
    <t xml:space="preserve">K5</t>
  </si>
  <si>
    <t xml:space="preserve">K6</t>
  </si>
  <si>
    <t xml:space="preserve">K7</t>
  </si>
  <si>
    <t xml:space="preserve">K8</t>
  </si>
  <si>
    <t xml:space="preserve">K9</t>
  </si>
  <si>
    <t xml:space="preserve">K10</t>
  </si>
  <si>
    <t xml:space="preserve">K11</t>
  </si>
  <si>
    <t xml:space="preserve">K12</t>
  </si>
  <si>
    <t xml:space="preserve">K13</t>
  </si>
  <si>
    <t xml:space="preserve">K14</t>
  </si>
  <si>
    <t xml:space="preserve">K15</t>
  </si>
  <si>
    <t xml:space="preserve">K16</t>
  </si>
  <si>
    <t xml:space="preserve">K17</t>
  </si>
  <si>
    <t xml:space="preserve">K18</t>
  </si>
  <si>
    <t xml:space="preserve">K19</t>
  </si>
  <si>
    <t xml:space="preserve">K20</t>
  </si>
  <si>
    <t xml:space="preserve">Resumo automático</t>
  </si>
  <si>
    <t xml:space="preserve">Controles escritos</t>
  </si>
  <si>
    <t xml:space="preserve">Por tipo</t>
  </si>
  <si>
    <t xml:space="preserve">Por critério</t>
  </si>
  <si>
    <t xml:space="preserve">Aviso</t>
  </si>
  <si>
    <t xml:space="preserve">Registros das verificações</t>
  </si>
  <si>
    <t xml:space="preserve">Uma linha por verificação. Para um controle por medida, digite o valor. Para um controle por atributo, responda Sim ou Não.</t>
  </si>
  <si>
    <t xml:space="preserve">Data</t>
  </si>
  <si>
    <t xml:space="preserve">Lote ou pedido</t>
  </si>
  <si>
    <t xml:space="preserve">Controle</t>
  </si>
  <si>
    <t xml:space="preserve">O que se controla</t>
  </si>
  <si>
    <t xml:space="preserve">Mín.</t>
  </si>
  <si>
    <t xml:space="preserve">Máx.</t>
  </si>
  <si>
    <t xml:space="preserve">Valor medido</t>
  </si>
  <si>
    <t xml:space="preserve">Conforme?</t>
  </si>
  <si>
    <t xml:space="preserve">Leitura</t>
  </si>
  <si>
    <t xml:space="preserve">Reação tomada</t>
  </si>
  <si>
    <t xml:space="preserve">Quem mediu</t>
  </si>
  <si>
    <t xml:space="preserve">A identificação</t>
  </si>
  <si>
    <t xml:space="preserve">Código</t>
  </si>
  <si>
    <t xml:space="preserve">Vem do plano</t>
  </si>
  <si>
    <t xml:space="preserve">Só o número</t>
  </si>
  <si>
    <t xml:space="preserve">Só quando sair do critério</t>
  </si>
  <si>
    <t xml:space="preserve">Ex.</t>
  </si>
  <si>
    <t xml:space="preserve">Câmara, 2ª leitura</t>
  </si>
  <si>
    <t xml:space="preserve">Temperatura da câmara fria</t>
  </si>
  <si>
    <t xml:space="preserve">0 a 5 °C</t>
  </si>
  <si>
    <t xml:space="preserve">Insumos passados para o refrigerador reserva às 21h40.</t>
  </si>
  <si>
    <t xml:space="preserve">Pizzaiolo do turno</t>
  </si>
  <si>
    <t xml:space="preserve">OK</t>
  </si>
  <si>
    <t xml:space="preserve">Verificações lançadas</t>
  </si>
  <si>
    <t xml:space="preserve">Dentro do critério</t>
  </si>
  <si>
    <t xml:space="preserve">Fora do critério</t>
  </si>
  <si>
    <t xml:space="preserve">Identificação, rastreabilidade e preservação</t>
  </si>
  <si>
    <t xml:space="preserve">Em cada etapa: como o produto é identificado, como se sabe se já foi verificado, o que se registra e como ele é protegido.</t>
  </si>
  <si>
    <t xml:space="preserve">Identificação, situação e preservação, por etapa</t>
  </si>
  <si>
    <t xml:space="preserve">Como o produto é identificado</t>
  </si>
  <si>
    <t xml:space="preserve">Como se sabe a situação</t>
  </si>
  <si>
    <t xml:space="preserve">O que se registra para rastrear</t>
  </si>
  <si>
    <t xml:space="preserve">Como se preserva</t>
  </si>
  <si>
    <t xml:space="preserve">A mesma do plano</t>
  </si>
  <si>
    <t xml:space="preserve">Etiqueta, comanda, lote</t>
  </si>
  <si>
    <t xml:space="preserve">Aprovado, aguardando, reprovado</t>
  </si>
  <si>
    <t xml:space="preserve">O registro que liga à etapa anterior</t>
  </si>
  <si>
    <t xml:space="preserve">Manuseio, embalagem, armazenagem</t>
  </si>
  <si>
    <t xml:space="preserve">Propriedade de clientes e de fornecedores</t>
  </si>
  <si>
    <t xml:space="preserve">Item</t>
  </si>
  <si>
    <t xml:space="preserve">De quem é</t>
  </si>
  <si>
    <t xml:space="preserve">Como é identificado</t>
  </si>
  <si>
    <t xml:space="preserve">Como é cuidado</t>
  </si>
  <si>
    <t xml:space="preserve">Ocorrência e comunicação ao dono</t>
  </si>
  <si>
    <t xml:space="preserve">Material, ferramenta, embalagem, dado</t>
  </si>
  <si>
    <t xml:space="preserve">Marca, código, cadastro</t>
  </si>
  <si>
    <t xml:space="preserve">Guarda, inspeção, acesso</t>
  </si>
  <si>
    <t xml:space="preserve">Perda ou dano, e quando o dono foi avisado</t>
  </si>
  <si>
    <t xml:space="preserve">Etapas descritas</t>
  </si>
  <si>
    <t xml:space="preserve">Itens de clientes e de fornecedores</t>
  </si>
  <si>
    <t xml:space="preserve">Ocorrências registradas</t>
  </si>
  <si>
    <t xml:space="preserve">Mudanças na produção e no serviço</t>
  </si>
  <si>
    <t xml:space="preserve">Uma linha por mudança de insumo, método, equipamento, parâmetro ou pessoas. A análise vem antes de a mudança entrar em uso.</t>
  </si>
  <si>
    <t xml:space="preserve">O que mudou</t>
  </si>
  <si>
    <t xml:space="preserve">Motivo</t>
  </si>
  <si>
    <t xml:space="preserve">Análise antes de mudar</t>
  </si>
  <si>
    <t xml:space="preserve">Quem autorizou</t>
  </si>
  <si>
    <t xml:space="preserve">Ações decorrentes</t>
  </si>
  <si>
    <t xml:space="preserve">De quê, para quê</t>
  </si>
  <si>
    <t xml:space="preserve">Por que mudar</t>
  </si>
  <si>
    <t xml:space="preserve">O que foi conferido ou testado</t>
  </si>
  <si>
    <t xml:space="preserve">Documentos, treinamento, plano de controle</t>
  </si>
  <si>
    <t xml:space="preserve">Farinha da marca B no lugar da marca A.</t>
  </si>
  <si>
    <t xml:space="preserve">Falta no fornecedor.</t>
  </si>
  <si>
    <t xml:space="preserve">Um lote de massa de teste: peso e ponto conferidos.</t>
  </si>
  <si>
    <t xml:space="preserve">Pizzaiolo líder</t>
  </si>
  <si>
    <t xml:space="preserve">Receita ajustada. Ficha da massa atualizada.</t>
  </si>
  <si>
    <t xml:space="preserve">Mudanças registradas</t>
  </si>
  <si>
    <t xml:space="preserve">Com análise e autorização</t>
  </si>
  <si>
    <t xml:space="preserve">Painel do controle</t>
  </si>
  <si>
    <t xml:space="preserve">As verificações e os desvios por controle. Nada a preencher: tudo vem das outras abas.</t>
  </si>
  <si>
    <t xml:space="preserve">Indicador</t>
  </si>
  <si>
    <t xml:space="preserve">Resultado</t>
  </si>
  <si>
    <t xml:space="preserve">Como se lê</t>
  </si>
  <si>
    <t xml:space="preserve">Controles no plano</t>
  </si>
  <si>
    <t xml:space="preserve">Da aba Plano de controle. O usual é de cinco a dez por processo.</t>
  </si>
  <si>
    <t xml:space="preserve">Da aba Registros.</t>
  </si>
  <si>
    <t xml:space="preserve">Parte das verificações com leitura que atendeu ao critério.</t>
  </si>
  <si>
    <t xml:space="preserve">Cada uma pede uma reação, com o produto e com o processo.</t>
  </si>
  <si>
    <t xml:space="preserve">O aviso mais grave: o que foi feito com o produto?</t>
  </si>
  <si>
    <t xml:space="preserve">Controles sem registro</t>
  </si>
  <si>
    <t xml:space="preserve">Estão no plano, e não há verificação lançada.</t>
  </si>
  <si>
    <t xml:space="preserve">Controles com desvio repetido</t>
  </si>
  <si>
    <t xml:space="preserve">Mais de um resultado fora: a reação não basta.</t>
  </si>
  <si>
    <t xml:space="preserve">Mudanças: registradas, a rever</t>
  </si>
  <si>
    <t xml:space="preserve">A rever: sem a análise feita antes, ou sem quem autorizou.</t>
  </si>
  <si>
    <t xml:space="preserve">Leitura de cada controle</t>
  </si>
  <si>
    <t xml:space="preserve">Verificações</t>
  </si>
  <si>
    <t xml:space="preserve">Sem reação</t>
  </si>
  <si>
    <t xml:space="preserve">Checklist do controle de produção e de serviço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</si>
  <si>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</si>
  <si>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</si>
  <si>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</si>
  <si>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</si>
  <si>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As etapas do processo estão listadas, do recebimento à entrega.</t>
  </si>
  <si>
    <t xml:space="preserve">Cada controle diz o que medir, com o critério: mínimo, máximo ou padrão.</t>
  </si>
  <si>
    <t xml:space="preserve">Cada controle diz como medir, com que instrumento e com que frequência.</t>
  </si>
  <si>
    <t xml:space="preserve">Cada controle tem quem mede, onde registra e o que fazer quando o resultado sai do critério.</t>
  </si>
  <si>
    <t xml:space="preserve">Os instrumentos usados nos controles estão calibrados ou verificados.</t>
  </si>
  <si>
    <t xml:space="preserve">Quem executa conhece o plano, e a versão em uso no posto é a vigente.</t>
  </si>
  <si>
    <t xml:space="preserve">Os registros estão em dia, e cada resultado fora do critério tem a reação registrada.</t>
  </si>
  <si>
    <t xml:space="preserve">O produto é identificado em todas as etapas, e dá para saber se já foi verificado.</t>
  </si>
  <si>
    <t xml:space="preserve">É possível ir do produto entregue aos insumos e aos registros, e voltar.</t>
  </si>
  <si>
    <t xml:space="preserve">O que pertence ao cliente ou ao fornecedor está identificado e cuidado, e as ocorrências são comunicadas ao dono.</t>
  </si>
  <si>
    <t xml:space="preserve">O produto é protegido no manuseio, na armazenagem e no transporte.</t>
  </si>
  <si>
    <t xml:space="preserve">Toda mudança no processo tem análise, autorização e registro, antes de entrar em uso.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</si>
  <si>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</si>
  <si>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</si>
  <si>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</si>
  <si>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</si>
  <si>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</si>
  <si>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Situação</t>
  </si>
  <si>
    <t xml:space="preserve">Controle de produção e de serviço</t>
  </si>
  <si>
    <t xml:space="preserve">Exemplo preenchido, para consulta. Use as abas Plano de controle, Registros, Rastreabilidade e Mudanças para o seu processo.</t>
  </si>
  <si>
    <t xml:space="preserve">Organização</t>
  </si>
  <si>
    <t xml:space="preserve">Pizzaria (loja com salão e delivery)</t>
  </si>
  <si>
    <t xml:space="preserve">Processo</t>
  </si>
  <si>
    <t xml:space="preserve">Produzir e embalar (P2) e Entregar o pedido (P3)</t>
  </si>
  <si>
    <t xml:space="preserve">Pizza entregue em casa</t>
  </si>
  <si>
    <t xml:space="preserve">Revisão 2, de 01/03/2027. Pizzaiolo líder e líder da expedição, com o gerente da loja.</t>
  </si>
  <si>
    <t xml:space="preserve">Noites de 08 a 14/03/2027, lidos em 15/03/2027.</t>
  </si>
  <si>
    <t xml:space="preserve">Origem</t>
  </si>
  <si>
    <t xml:space="preserve">Requisito 8.5.6 não atendido no diagnóstico de 2026, e objetivo O4: reduzir os pedidos refeitos.</t>
  </si>
  <si>
    <t xml:space="preserve">Quem · registro</t>
  </si>
  <si>
    <t xml:space="preserve">Receber e guardar insumos</t>
  </si>
  <si>
    <t xml:space="preserve">°C</t>
  </si>
  <si>
    <t xml:space="preserve">Termômetro da câmara, leitura no visor</t>
  </si>
  <si>
    <t xml:space="preserve">Duas vezes por turno</t>
  </si>
  <si>
    <t xml:space="preserve">Pizzaiolo do turno · Planilha de temperatura (FR-02)</t>
  </si>
  <si>
    <t xml:space="preserve">Avisar o gerente, passar os insumos para o refrigerador reserva e avaliar o que ficou acima de 5 °C por mais de duas horas.</t>
  </si>
  <si>
    <t xml:space="preserve">Preparar a massa</t>
  </si>
  <si>
    <t xml:space="preserve">Peso da bola de massa da pizza grande</t>
  </si>
  <si>
    <t xml:space="preserve">Produto</t>
  </si>
  <si>
    <t xml:space="preserve">g</t>
  </si>
  <si>
    <t xml:space="preserve">Balança da bancada, média de cinco bolas</t>
  </si>
  <si>
    <t xml:space="preserve">Cada lote de massa</t>
  </si>
  <si>
    <t xml:space="preserve">Pizzaiolo do turno · Ficha do lote de massa</t>
  </si>
  <si>
    <t xml:space="preserve">Regular a divisora e pesar de novo o lote inteiro.</t>
  </si>
  <si>
    <t xml:space="preserve">Montar</t>
  </si>
  <si>
    <t xml:space="preserve">Bancada e utensílios higienizados antes do turno</t>
  </si>
  <si>
    <t xml:space="preserve">atributo</t>
  </si>
  <si>
    <t xml:space="preserve">Lista de abertura do turno, conferida no posto</t>
  </si>
  <si>
    <t xml:space="preserve">Cada turno</t>
  </si>
  <si>
    <t xml:space="preserve">Pizzaiolo líder · Lista de abertura do turno</t>
  </si>
  <si>
    <t xml:space="preserve">Higienizar antes de começar. Não montar pizza em bancada reprovada.</t>
  </si>
  <si>
    <t xml:space="preserve">Assar</t>
  </si>
  <si>
    <t xml:space="preserve">Temperatura do forno</t>
  </si>
  <si>
    <t xml:space="preserve">Termômetro do forno, no pico do turno</t>
  </si>
  <si>
    <t xml:space="preserve">Uma vez por hora</t>
  </si>
  <si>
    <t xml:space="preserve">Pizzaiolo do turno · Registro de regulagem do forno</t>
  </si>
  <si>
    <t xml:space="preserve">Regular o forno e segurar a entrada de pizzas até a temperatura voltar à faixa.</t>
  </si>
  <si>
    <t xml:space="preserve">Conferir e embalar</t>
  </si>
  <si>
    <t xml:space="preserve">Pedidos com a etiqueta rubricada, em 20 conferidos</t>
  </si>
  <si>
    <t xml:space="preserve">pedidos</t>
  </si>
  <si>
    <t xml:space="preserve">Conferência da pizza com a etiqueta; amostra de 20 no fechamento</t>
  </si>
  <si>
    <t xml:space="preserve">Todo pedido</t>
  </si>
  <si>
    <t xml:space="preserve">Quem embala · Etiqueta rubricada</t>
  </si>
  <si>
    <t xml:space="preserve">Conferir de novo o pedido sem rubrica antes da saída e orientar quem embalou.</t>
  </si>
  <si>
    <t xml:space="preserve">Expedir</t>
  </si>
  <si>
    <t xml:space="preserve">Maior espera da pizza pronta, na noite</t>
  </si>
  <si>
    <t xml:space="preserve">min</t>
  </si>
  <si>
    <t xml:space="preserve">Horários de pronto e de saída, no sistema de pedidos</t>
  </si>
  <si>
    <t xml:space="preserve">Todo pedido de entrega</t>
  </si>
  <si>
    <t xml:space="preserve">Líder da expedição · Sistema de pedidos</t>
  </si>
  <si>
    <t xml:space="preserve">Priorizar a saída. Acima de 15 minutos, refazer a pizza.</t>
  </si>
  <si>
    <t xml:space="preserve">Temperatura da pizza na saída</t>
  </si>
  <si>
    <t xml:space="preserve">Termômetro de espeto, no centro da pizza</t>
  </si>
  <si>
    <t xml:space="preserve">Três pedidos por hora</t>
  </si>
  <si>
    <t xml:space="preserve">Líder da expedição · Planilha da expedição</t>
  </si>
  <si>
    <t xml:space="preserve">Reaquecer ou refazer, e conferir a bolsa térmica.</t>
  </si>
  <si>
    <t xml:space="preserve">Resumo por controle</t>
  </si>
  <si>
    <t xml:space="preserve">Câmara, 1ª leitura</t>
  </si>
  <si>
    <t xml:space="preserve">Massa 08/03</t>
  </si>
  <si>
    <t xml:space="preserve">Turno 08/03</t>
  </si>
  <si>
    <t xml:space="preserve">Sim</t>
  </si>
  <si>
    <t xml:space="preserve">Noite 08/03</t>
  </si>
  <si>
    <t xml:space="preserve">Massa 09/03</t>
  </si>
  <si>
    <t xml:space="preserve">Turno 09/03</t>
  </si>
  <si>
    <t xml:space="preserve">Noite 09/03</t>
  </si>
  <si>
    <t xml:space="preserve">Massa 10/03</t>
  </si>
  <si>
    <t xml:space="preserve">Turno 10/03</t>
  </si>
  <si>
    <t xml:space="preserve">Noite 10/03</t>
  </si>
  <si>
    <t xml:space="preserve">Insumos passados para o refrigerador reserva às 21h40. Borracha da porta solta, trocada em 12/03.</t>
  </si>
  <si>
    <t xml:space="preserve">Massa 11/03</t>
  </si>
  <si>
    <t xml:space="preserve">Turno 11/03</t>
  </si>
  <si>
    <t xml:space="preserve">Noite 11/03</t>
  </si>
  <si>
    <t xml:space="preserve">Massa 12/03</t>
  </si>
  <si>
    <t xml:space="preserve">Turno 12/03</t>
  </si>
  <si>
    <t xml:space="preserve">Noite 12/03</t>
  </si>
  <si>
    <t xml:space="preserve">Pedido conferido de novo antes de sair. Atendente do turno orientado.</t>
  </si>
  <si>
    <t xml:space="preserve">Saída priorizada. Nenhum pedido passou de 15 minutos.</t>
  </si>
  <si>
    <t xml:space="preserve">Massa 13/03</t>
  </si>
  <si>
    <t xml:space="preserve">Turno 13/03</t>
  </si>
  <si>
    <t xml:space="preserve">Noite 13/03</t>
  </si>
  <si>
    <t xml:space="preserve">Forno regulado. Entrada de pizzas segurada por seis minutos.</t>
  </si>
  <si>
    <t xml:space="preserve">Dois pedidos refeitos. Escala do pico levada à reunião mensal.</t>
  </si>
  <si>
    <t xml:space="preserve">Massa 14/03</t>
  </si>
  <si>
    <t xml:space="preserve">Turno 14/03</t>
  </si>
  <si>
    <t xml:space="preserve">Noite 14/03</t>
  </si>
  <si>
    <t xml:space="preserve">Identificação, situação e preservação</t>
  </si>
  <si>
    <t xml:space="preserve">Etiqueta com a data de recebimento e a validade.</t>
  </si>
  <si>
    <t xml:space="preserve">Só entra na câmara o que foi conferido no recebimento.</t>
  </si>
  <si>
    <t xml:space="preserve">Nota do fornecedor e planilha de recebimento.</t>
  </si>
  <si>
    <t xml:space="preserve">Câmara fria de 0 a 5 °C. Sai primeiro o que vence primeiro.</t>
  </si>
  <si>
    <t xml:space="preserve">Caixa com o lote do dia: data e turno.</t>
  </si>
  <si>
    <t xml:space="preserve">Massa liberada depois de pesada.</t>
  </si>
  <si>
    <t xml:space="preserve">Ficha do lote de massa.</t>
  </si>
  <si>
    <t xml:space="preserve">Descanso coberto, por até 24 horas.</t>
  </si>
  <si>
    <t xml:space="preserve">Montar e assar</t>
  </si>
  <si>
    <t xml:space="preserve">A comanda, com o número do pedido, acompanha a pizza.</t>
  </si>
  <si>
    <t xml:space="preserve">Pizza assada só segue com a comanda.</t>
  </si>
  <si>
    <t xml:space="preserve">Sistema de pedidos.</t>
  </si>
  <si>
    <t xml:space="preserve">Bancada refrigerada para os recheios.</t>
  </si>
  <si>
    <t xml:space="preserve">Etiqueta com o número do pedido, na caixa.</t>
  </si>
  <si>
    <t xml:space="preserve">Rubrica de quem conferiu.</t>
  </si>
  <si>
    <t xml:space="preserve">Etiqueta rubricada.</t>
  </si>
  <si>
    <t xml:space="preserve">Caixa lacrada.</t>
  </si>
  <si>
    <t xml:space="preserve">Expedir e entregar</t>
  </si>
  <si>
    <t xml:space="preserve">Pedido ligado ao entregador, no sistema.</t>
  </si>
  <si>
    <t xml:space="preserve">Saída registrada com horário.</t>
  </si>
  <si>
    <t xml:space="preserve">Sistema: horário de saída e entregador.</t>
  </si>
  <si>
    <t xml:space="preserve">Bolsa térmica. Espera de até 10 minutos.</t>
  </si>
  <si>
    <t xml:space="preserve">Endereço e telefone do cliente</t>
  </si>
  <si>
    <t xml:space="preserve">Cadastro no sistema de pedidos.</t>
  </si>
  <si>
    <t xml:space="preserve">Cliente</t>
  </si>
  <si>
    <t xml:space="preserve">Acesso por senha. Listas de entrega picotadas no fechamento.</t>
  </si>
  <si>
    <t xml:space="preserve">Bolsas térmicas da plataforma de entrega</t>
  </si>
  <si>
    <t xml:space="preserve">Numeradas, com o nome da plataforma.</t>
  </si>
  <si>
    <t xml:space="preserve">Fornecedor</t>
  </si>
  <si>
    <t xml:space="preserve">Higienizadas a cada noite e guardadas na expedição.</t>
  </si>
  <si>
    <t xml:space="preserve">Bolsa nº 4 rasgada em 12/03. Plataforma avisada em 13/03; troca combinada.</t>
  </si>
  <si>
    <t xml:space="preserve">Receita ajustada, com 2% a mais de água. Ficha da massa atualizada.</t>
  </si>
  <si>
    <t xml:space="preserve">Tempo de forno de sete para seis minutos, no pico.</t>
  </si>
  <si>
    <t xml:space="preserve">Fila no forno na sexta à noite.</t>
  </si>
  <si>
    <t xml:space="preserve">Dois entregadores extras nas sextas e nos sábados.</t>
  </si>
  <si>
    <t xml:space="preserve">Espera da pizza pronta acima de 10 minutos no pico.</t>
  </si>
  <si>
    <t xml:space="preserve">Esperas das duas últimas semanas, lidas na reunião mensal.</t>
  </si>
  <si>
    <t xml:space="preserve">Gerente da loja</t>
  </si>
  <si>
    <t xml:space="preserve">Escala padrão revista. Líder da expedição informado.</t>
  </si>
  <si>
    <t xml:space="preserve">Verificações: lançadas, fora do critério</t>
  </si>
  <si>
    <t xml:space="preserve">Itens de terceiros com ocorrência</t>
  </si>
  <si>
    <t xml:space="preserve">Indústria de embalagens plásticas</t>
  </si>
  <si>
    <t xml:space="preserve">Extrusão, na extrusora 3</t>
  </si>
  <si>
    <t xml:space="preserve">Filme de 40 µm para o cliente A, do segmento de alimentos</t>
  </si>
  <si>
    <t xml:space="preserve">Revisão 5, de 03/05/2027. Gerente industrial, com o Laboratório e o Coordenador da Qualidade.</t>
  </si>
  <si>
    <t xml:space="preserve">Lotes 131 a 135, de 10 a 14/05/2027, lidos em 17/05/2027.</t>
  </si>
  <si>
    <t xml:space="preserve">Reclamações do cliente A por espessura e o objetivo O1: reduzir o refugo para 2,0%.</t>
  </si>
  <si>
    <t xml:space="preserve">Receber a resina</t>
  </si>
  <si>
    <t xml:space="preserve">Índice de fluidez do lote de resina</t>
  </si>
  <si>
    <t xml:space="preserve">g/10 min</t>
  </si>
  <si>
    <t xml:space="preserve">Laudo do fornecedor, conferido com a ficha técnica</t>
  </si>
  <si>
    <t xml:space="preserve">Cada lote recebido</t>
  </si>
  <si>
    <t xml:space="preserve">Laboratório · Registro de recebimento</t>
  </si>
  <si>
    <t xml:space="preserve">Segregar o lote com etiqueta vermelha e acionar Suprimentos.</t>
  </si>
  <si>
    <t xml:space="preserve">Extrusar</t>
  </si>
  <si>
    <t xml:space="preserve">Temperatura da zona 3 da extrusora</t>
  </si>
  <si>
    <t xml:space="preserve">Leitura no painel da extrusora</t>
  </si>
  <si>
    <t xml:space="preserve">A cada duas horas</t>
  </si>
  <si>
    <t xml:space="preserve">Operador · Folha de processo</t>
  </si>
  <si>
    <t xml:space="preserve">Ajustar a zona e medir de novo a bobina em curso.</t>
  </si>
  <si>
    <t xml:space="preserve">Espessura do filme</t>
  </si>
  <si>
    <t xml:space="preserve">µm</t>
  </si>
  <si>
    <t xml:space="preserve">Micrômetro MIC-07, cinco pontos na largura</t>
  </si>
  <si>
    <t xml:space="preserve">Cada bobina</t>
  </si>
  <si>
    <t xml:space="preserve">Ajustar a matriz, segregar a bobina com etiqueta vermelha e abrir o registro de produto não conforme.</t>
  </si>
  <si>
    <t xml:space="preserve">Largura do filme</t>
  </si>
  <si>
    <t xml:space="preserve">mm</t>
  </si>
  <si>
    <t xml:space="preserve">Trena calibrada TR-03</t>
  </si>
  <si>
    <t xml:space="preserve">Ajustar as guias e segregar a bobina.</t>
  </si>
  <si>
    <t xml:space="preserve">Bobinar</t>
  </si>
  <si>
    <t xml:space="preserve">Aparência: sem géis, rugas ou furos</t>
  </si>
  <si>
    <t xml:space="preserve">Exame visual, com o padrão de defeitos do posto</t>
  </si>
  <si>
    <t xml:space="preserve">Segregar a bobina e procurar a origem: filtro, matriz ou resina.</t>
  </si>
  <si>
    <t xml:space="preserve">Inspecionar e liberar</t>
  </si>
  <si>
    <t xml:space="preserve">Resistência da solda</t>
  </si>
  <si>
    <t xml:space="preserve">N/15 mm</t>
  </si>
  <si>
    <t xml:space="preserve">Dinamômetro do laboratório, três corpos de prova</t>
  </si>
  <si>
    <t xml:space="preserve">Uma amostra por lote</t>
  </si>
  <si>
    <t xml:space="preserve">Laboratório · Laudo do lote</t>
  </si>
  <si>
    <t xml:space="preserve">Reter o lote, ensaiar de novo e decidir com a Qualidade.</t>
  </si>
  <si>
    <t xml:space="preserve">Embalar e armazenar</t>
  </si>
  <si>
    <t xml:space="preserve">Etiqueta da bobina com lote, extrusora, turno e situação</t>
  </si>
  <si>
    <t xml:space="preserve">Conferência da etiqueta com a folha de processo</t>
  </si>
  <si>
    <t xml:space="preserve">Expedição · Romaneio</t>
  </si>
  <si>
    <t xml:space="preserve">Identificar de novo pela folha de processo. Sem origem comprovada, segregar.</t>
  </si>
  <si>
    <t xml:space="preserve">Lote 131</t>
  </si>
  <si>
    <t xml:space="preserve">Lote 131, bobina 1</t>
  </si>
  <si>
    <t xml:space="preserve">Lote 131, bobina 2</t>
  </si>
  <si>
    <t xml:space="preserve">Lote 132</t>
  </si>
  <si>
    <t xml:space="preserve">Lote 132, bobina 1</t>
  </si>
  <si>
    <t xml:space="preserve">Lote 132, bobina 2</t>
  </si>
  <si>
    <t xml:space="preserve">Não</t>
  </si>
  <si>
    <t xml:space="preserve">Bobina segregada por géis. Tela do filtro trocada.</t>
  </si>
  <si>
    <t xml:space="preserve">Lote 133</t>
  </si>
  <si>
    <t xml:space="preserve">Zona 3 ajustada para 190 °C. Resistência com mau contato, trocada na parada do turno.</t>
  </si>
  <si>
    <t xml:space="preserve">Lote 133, bobina 1</t>
  </si>
  <si>
    <t xml:space="preserve">Bobina segregada com etiqueta vermelha. Registro de produto não conforme 2027-18.</t>
  </si>
  <si>
    <t xml:space="preserve">Lote 133, bobina 2</t>
  </si>
  <si>
    <t xml:space="preserve">Lote 134</t>
  </si>
  <si>
    <t xml:space="preserve">Lote 134, bobina 1</t>
  </si>
  <si>
    <t xml:space="preserve">Lote 134, bobina 2</t>
  </si>
  <si>
    <t xml:space="preserve">Lote 135</t>
  </si>
  <si>
    <t xml:space="preserve">Lote 135, bobina 1</t>
  </si>
  <si>
    <t xml:space="preserve">Bobina segregada. Perfil de temperatura revisto para a resina do segundo fornecedor.</t>
  </si>
  <si>
    <t xml:space="preserve">Lote 135, bobina 2</t>
  </si>
  <si>
    <t xml:space="preserve">Etiqueta com o lote do fornecedor e a data.</t>
  </si>
  <si>
    <t xml:space="preserve">Verde: aprovado. Amarela: aguarda laudo. Vermelha: reprovado.</t>
  </si>
  <si>
    <t xml:space="preserve">Registro de recebimento, com lote e laudo.</t>
  </si>
  <si>
    <t xml:space="preserve">Sacaria em palete, coberta e longe da umidade.</t>
  </si>
  <si>
    <t xml:space="preserve">Folha de processo com lote, extrusora, turno e lote da resina.</t>
  </si>
  <si>
    <t xml:space="preserve">Medições da bobina dentro do critério.</t>
  </si>
  <si>
    <t xml:space="preserve">Folha de processo.</t>
  </si>
  <si>
    <t xml:space="preserve">—</t>
  </si>
  <si>
    <t xml:space="preserve">Etiqueta da bobina: lote, número, extrusora e turno.</t>
  </si>
  <si>
    <t xml:space="preserve">Etiqueta verde depois das medições; vermelha se reprovada.</t>
  </si>
  <si>
    <t xml:space="preserve">Folha de processo, por bobina.</t>
  </si>
  <si>
    <t xml:space="preserve">Bobina em berço, sem contato com o piso.</t>
  </si>
  <si>
    <t xml:space="preserve">Laudo com o número do lote.</t>
  </si>
  <si>
    <t xml:space="preserve">Carimbo de liberado, da Qualidade.</t>
  </si>
  <si>
    <t xml:space="preserve">Laudo do lote e amostra retida.</t>
  </si>
  <si>
    <t xml:space="preserve">Amostra guardada por 12 meses.</t>
  </si>
  <si>
    <t xml:space="preserve">Embalar, armazenar e expedir</t>
  </si>
  <si>
    <t xml:space="preserve">Palete com etiqueta de lote e cliente.</t>
  </si>
  <si>
    <t xml:space="preserve">Só sai palete com laudo.</t>
  </si>
  <si>
    <t xml:space="preserve">Romaneio com os lotes embarcados.</t>
  </si>
  <si>
    <t xml:space="preserve">Filme esticável, cantoneiras e no máximo dois paletes de altura.</t>
  </si>
  <si>
    <t xml:space="preserve">Cilindros de impressão do cliente A</t>
  </si>
  <si>
    <t xml:space="preserve">Gravados com o código do cliente.</t>
  </si>
  <si>
    <t xml:space="preserve">Estante própria. Inspeção a cada uso.</t>
  </si>
  <si>
    <t xml:space="preserve">Risco em um cilindro em 06/05. Cliente avisado no mesmo dia; cilindro regravado.</t>
  </si>
  <si>
    <t xml:space="preserve">Especificação e arte do cliente A</t>
  </si>
  <si>
    <t xml:space="preserve">Documento externo, com a revisão do cliente.</t>
  </si>
  <si>
    <t xml:space="preserve">Controlado na lista de documentos externos.</t>
  </si>
  <si>
    <t xml:space="preserve">Paletes e embalagens retornáveis</t>
  </si>
  <si>
    <t xml:space="preserve">Marca do fornecedor.</t>
  </si>
  <si>
    <t xml:space="preserve">Controle de saldo por fornecedor.</t>
  </si>
  <si>
    <t xml:space="preserve">Velocidade da linha de 42 para 45 m/min.</t>
  </si>
  <si>
    <t xml:space="preserve">Atraso na programação.</t>
  </si>
  <si>
    <t xml:space="preserve">Líder do turno</t>
  </si>
  <si>
    <t xml:space="preserve">Resina do segundo fornecedor na extrusora 3.</t>
  </si>
  <si>
    <t xml:space="preserve">Segundo fornecedor homologado em 29/03.</t>
  </si>
  <si>
    <t xml:space="preserve">Lote piloto de duas bobinas: espessura e solda ensaiadas.</t>
  </si>
  <si>
    <t xml:space="preserve">Gerente industrial</t>
  </si>
  <si>
    <t xml:space="preserve">Zona 3 de 190 para 187 °C. Folha de processo na revisão 5.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</si>
</sst>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##"/>
    <numFmt numFmtId="166" formatCode="General"/>
    <numFmt numFmtId="167" formatCode="dd/mm/yyyy"/>
    <numFmt numFmtId="168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b val="true"/>
      <sz val="9"/>
      <color rgb="FF16242E"/>
      <name val="Arial"/>
      <family val="0"/>
      <charset val="1"/>
    </font>
    <font>
      <sz val="9"/>
      <color rgb="FF5B6B76"/>
      <name val="Arial"/>
      <family val="0"/>
      <charset val="1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CE8F3"/>
      </patternFill>
    </fill>
    <fill>
      <patternFill patternType="solid">
        <fgColor rgb="FFFFF9DB"/>
        <bgColor rgb="FFFBEBC8"/>
      </patternFill>
    </fill>
    <fill>
      <patternFill patternType="solid">
        <fgColor rgb="FFA96A12"/>
        <bgColor rgb="FFB0413E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1E7B73"/>
      </patternFill>
    </fill>
    <fill>
      <patternFill patternType="solid">
        <fgColor rgb="FF1E7B73"/>
        <bgColor rgb="FF008080"/>
      </patternFill>
    </fill>
    <fill>
      <patternFill patternType="solid">
        <fgColor rgb="FF7A4A9A"/>
        <bgColor rgb="FF5B6B7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DCE8F3"/>
        </patternFill>
      </fill>
    </dxf>
    <dxf>
      <fill>
        <patternFill>
          <bgColor rgb="FFF5DEDC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DCE8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3"/>
      <rgbColor rgb="FFD8EFDD"/>
      <rgbColor rgb="FFFBEBC8"/>
      <rgbColor rgb="FFD3DBE0"/>
      <rgbColor rgb="FFF5DED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"Dentro do critério"</c:f>
              <c:strCache>
                <c:ptCount val="1"/>
                <c:pt idx="0">
                  <c:v>Dentro do critério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Painel!$B$18:$B$37</c:f>
              <c:strCache>
                <c:ptCount val="20"/>
                <c:pt idx="0">
                  <c:v>K1</c:v>
                </c:pt>
                <c:pt idx="1">
                  <c:v>K2</c:v>
                </c:pt>
                <c:pt idx="2">
                  <c:v>K3</c:v>
                </c:pt>
                <c:pt idx="3">
                  <c:v>K4</c:v>
                </c:pt>
                <c:pt idx="4">
                  <c:v>K5</c:v>
                </c:pt>
                <c:pt idx="5">
                  <c:v>K6</c:v>
                </c:pt>
                <c:pt idx="6">
                  <c:v>K7</c:v>
                </c:pt>
                <c:pt idx="7">
                  <c:v>K8</c:v>
                </c:pt>
                <c:pt idx="8">
                  <c:v>K9</c:v>
                </c:pt>
                <c:pt idx="9">
                  <c:v>K10</c:v>
                </c:pt>
                <c:pt idx="10">
                  <c:v>K11</c:v>
                </c:pt>
                <c:pt idx="11">
                  <c:v>K12</c:v>
                </c:pt>
                <c:pt idx="12">
                  <c:v>K13</c:v>
                </c:pt>
                <c:pt idx="13">
                  <c:v>K14</c:v>
                </c:pt>
                <c:pt idx="14">
                  <c:v>K15</c:v>
                </c:pt>
                <c:pt idx="15">
                  <c:v>K16</c:v>
                </c:pt>
                <c:pt idx="16">
                  <c:v>K17</c:v>
                </c:pt>
                <c:pt idx="17">
                  <c:v>K18</c:v>
                </c:pt>
                <c:pt idx="18">
                  <c:v>K19</c:v>
                </c:pt>
                <c:pt idx="19">
                  <c:v>K20</c:v>
                </c:pt>
              </c:strCache>
            </c:strRef>
          </c:cat>
          <c:val>
            <c:numRef>
              <c:f>Painel!$H$18:$H$37</c:f>
              <c:numCache>
                <c:formatCode>General</c:formatCode>
                <c:ptCount val="20"/>
              </c:numCache>
            </c:numRef>
          </c:val>
        </c:ser>
        <c:gapWidth val="60"/>
        <c:overlap val="0"/>
        <c:axId val="26565026"/>
        <c:axId val="73853988"/>
      </c:barChart>
      <c:catAx>
        <c:axId val="2656502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53988"/>
        <c:crosses val="autoZero"/>
        <c:auto val="1"/>
        <c:lblAlgn val="ctr"/>
        <c:lblOffset val="100"/>
        <c:noMultiLvlLbl val="0"/>
      </c:catAx>
      <c:valAx>
        <c:axId val="7385398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65026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41</xdr:row>
      <xdr:rowOff>0</xdr:rowOff>
    </xdr:from>
    <xdr:to>
      <xdr:col>8</xdr:col>
      <xdr:colOff>745560</xdr:colOff>
      <xdr:row>61</xdr:row>
      <xdr:rowOff>149400</xdr:rowOff>
    </xdr:to>
    <xdr:graphicFrame>
      <xdr:nvGraphicFramePr>
        <xdr:cNvPr id="0" name="Chart 1"/>
        <xdr:cNvGraphicFramePr/>
      </xdr:nvGraphicFramePr>
      <xdr:xfrm>
        <a:off x="141120" y="1170612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31.5" hidden="false" customHeight="true" outlineLevel="0" collapsed="false">
      <c r="B12" s="4" t="s">
        <v>14</v>
      </c>
      <c r="C12" s="7" t="s">
        <v>15</v>
      </c>
    </row>
    <row r="13" customFormat="false" ht="31.5" hidden="false" customHeight="true" outlineLevel="0" collapsed="false">
      <c r="B13" s="4" t="s">
        <v>16</v>
      </c>
      <c r="C13" s="7" t="s">
        <v>17</v>
      </c>
    </row>
    <row r="14" customFormat="false" ht="19.5" hidden="false" customHeight="true" outlineLevel="0" collapsed="false">
      <c r="B14" s="4" t="s">
        <v>18</v>
      </c>
      <c r="C14" s="7" t="s">
        <v>19</v>
      </c>
    </row>
    <row r="15" customFormat="false" ht="19.5" hidden="false" customHeight="true" outlineLevel="0" collapsed="false">
      <c r="B15" s="4" t="s">
        <v>20</v>
      </c>
      <c r="C15" s="7" t="s">
        <v>21</v>
      </c>
    </row>
    <row r="16" customFormat="false" ht="19.5" hidden="false" customHeight="true" outlineLevel="0" collapsed="false">
      <c r="B16" s="4" t="s">
        <v>22</v>
      </c>
      <c r="C16" s="7" t="s">
        <v>23</v>
      </c>
    </row>
    <row r="17" customFormat="false" ht="31.5" hidden="false" customHeight="true" outlineLevel="0" collapsed="false">
      <c r="B17" s="4" t="s">
        <v>24</v>
      </c>
      <c r="C17" s="7" t="s">
        <v>25</v>
      </c>
    </row>
    <row r="18" customFormat="false" ht="19.5" hidden="false" customHeight="true" outlineLevel="0" collapsed="false">
      <c r="B18" s="4" t="s">
        <v>26</v>
      </c>
      <c r="C18" s="7" t="s">
        <v>27</v>
      </c>
    </row>
    <row r="20" customFormat="false" ht="21.75" hidden="false" customHeight="true" outlineLevel="0" collapsed="false">
      <c r="B20" s="3" t="s">
        <v>28</v>
      </c>
      <c r="C20" s="3"/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31.5" hidden="false" customHeight="true" outlineLevel="0" collapsed="false">
      <c r="B23" s="4" t="s">
        <v>33</v>
      </c>
      <c r="C23" s="7" t="s">
        <v>34</v>
      </c>
    </row>
    <row r="24" customFormat="false" ht="31.5" hidden="false" customHeight="true" outlineLevel="0" collapsed="false">
      <c r="B24" s="4" t="s">
        <v>35</v>
      </c>
      <c r="C24" s="7" t="s">
        <v>36</v>
      </c>
    </row>
    <row r="25" customFormat="false" ht="31.5" hidden="false" customHeight="true" outlineLevel="0" collapsed="false">
      <c r="B25" s="4" t="s">
        <v>37</v>
      </c>
      <c r="C25" s="7" t="s">
        <v>38</v>
      </c>
    </row>
    <row r="26" customFormat="false" ht="31.5" hidden="false" customHeight="true" outlineLevel="0" collapsed="false">
      <c r="B26" s="4" t="s">
        <v>39</v>
      </c>
      <c r="C26" s="7" t="s">
        <v>40</v>
      </c>
    </row>
    <row r="28" customFormat="false" ht="21.75" hidden="false" customHeight="true" outlineLevel="0" collapsed="false">
      <c r="B28" s="3" t="s">
        <v>41</v>
      </c>
      <c r="C28" s="3"/>
    </row>
    <row r="29" customFormat="false" ht="19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19.5" hidden="false" customHeight="true" outlineLevel="0" collapsed="false">
      <c r="B35" s="4" t="s">
        <v>54</v>
      </c>
      <c r="C35" s="7" t="s">
        <v>55</v>
      </c>
    </row>
    <row r="36" customFormat="false" ht="19.5" hidden="false" customHeight="true" outlineLevel="0" collapsed="false">
      <c r="B36" s="4" t="s">
        <v>56</v>
      </c>
      <c r="C36" s="7" t="s">
        <v>57</v>
      </c>
    </row>
    <row r="38" customFormat="false" ht="21.75" hidden="false" customHeight="true" outlineLevel="0" collapsed="false">
      <c r="B38" s="3" t="s">
        <v>58</v>
      </c>
      <c r="C38" s="3"/>
    </row>
    <row r="39" customFormat="false" ht="31.5" hidden="false" customHeight="true" outlineLevel="0" collapsed="false">
      <c r="B39" s="4" t="s">
        <v>59</v>
      </c>
      <c r="C39" s="7" t="s">
        <v>60</v>
      </c>
    </row>
    <row r="40" customFormat="false" ht="31.5" hidden="false" customHeight="true" outlineLevel="0" collapsed="false">
      <c r="B40" s="4" t="s">
        <v>61</v>
      </c>
      <c r="C40" s="7" t="s">
        <v>62</v>
      </c>
    </row>
    <row r="41" customFormat="false" ht="31.5" hidden="false" customHeight="true" outlineLevel="0" collapsed="false">
      <c r="B41" s="4" t="s">
        <v>63</v>
      </c>
      <c r="C41" s="7" t="s">
        <v>64</v>
      </c>
    </row>
    <row r="42" customFormat="false" ht="19.5" hidden="false" customHeight="true" outlineLevel="0" collapsed="false">
      <c r="B42" s="4" t="s">
        <v>65</v>
      </c>
      <c r="C42" s="7" t="s">
        <v>66</v>
      </c>
    </row>
  </sheetData>
  <mergeCells count="7">
    <mergeCell ref="B1:C1"/>
    <mergeCell ref="B2:C2"/>
    <mergeCell ref="B4:C4"/>
    <mergeCell ref="B11:C11"/>
    <mergeCell ref="B20:C20"/>
    <mergeCell ref="B28:C28"/>
    <mergeCell ref="B38:C38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O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1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40"/>
    <col collapsed="false" customWidth="true" hidden="false" outlineLevel="0" max="14" min="14" style="0" width="18"/>
    <col collapsed="false" customWidth="true" hidden="false" outlineLevel="0" max="15" min="15" style="0" width="24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42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67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1.75" hidden="false" customHeight="true" outlineLevel="0" collapsed="false">
      <c r="B4" s="4" t="s">
        <v>68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customFormat="false" ht="21.75" hidden="false" customHeight="true" outlineLevel="0" collapsed="false">
      <c r="B5" s="4" t="s">
        <v>69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21.75" hidden="false" customHeight="true" outlineLevel="0" collapsed="false">
      <c r="B6" s="4" t="s">
        <v>70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8" customFormat="false" ht="33" hidden="false" customHeight="true" outlineLevel="0" collapsed="false">
      <c r="B8" s="8" t="s">
        <v>71</v>
      </c>
      <c r="C8" s="8" t="s">
        <v>72</v>
      </c>
      <c r="D8" s="8" t="s">
        <v>73</v>
      </c>
      <c r="E8" s="8" t="s">
        <v>74</v>
      </c>
      <c r="F8" s="8" t="s">
        <v>75</v>
      </c>
      <c r="G8" s="8" t="s">
        <v>76</v>
      </c>
      <c r="H8" s="8" t="s">
        <v>77</v>
      </c>
      <c r="I8" s="8" t="s">
        <v>78</v>
      </c>
      <c r="J8" s="8" t="s">
        <v>79</v>
      </c>
      <c r="K8" s="8" t="s">
        <v>80</v>
      </c>
      <c r="L8" s="8" t="s">
        <v>81</v>
      </c>
      <c r="M8" s="8" t="s">
        <v>82</v>
      </c>
      <c r="N8" s="8" t="s">
        <v>14</v>
      </c>
      <c r="O8" s="8" t="s">
        <v>83</v>
      </c>
    </row>
    <row r="9" customFormat="false" ht="30" hidden="false" customHeight="true" outlineLevel="0" collapsed="false">
      <c r="B9" s="9"/>
      <c r="C9" s="9" t="s">
        <v>84</v>
      </c>
      <c r="D9" s="9" t="s">
        <v>85</v>
      </c>
      <c r="E9" s="9" t="s">
        <v>86</v>
      </c>
      <c r="F9" s="9" t="s">
        <v>87</v>
      </c>
      <c r="G9" s="9" t="s">
        <v>87</v>
      </c>
      <c r="H9" s="9" t="s">
        <v>88</v>
      </c>
      <c r="I9" s="9" t="s">
        <v>89</v>
      </c>
      <c r="J9" s="9" t="s">
        <v>90</v>
      </c>
      <c r="K9" s="9" t="s">
        <v>91</v>
      </c>
      <c r="L9" s="9" t="s">
        <v>92</v>
      </c>
      <c r="M9" s="9" t="s">
        <v>93</v>
      </c>
      <c r="N9" s="9" t="s">
        <v>94</v>
      </c>
      <c r="O9" s="9" t="s">
        <v>95</v>
      </c>
    </row>
    <row r="10" customFormat="false" ht="30" hidden="false" customHeight="true" outlineLevel="0" collapsed="false">
      <c r="B10" s="10" t="s">
        <v>96</v>
      </c>
      <c r="C10" s="5"/>
      <c r="D10" s="5"/>
      <c r="E10" s="11"/>
      <c r="F10" s="12"/>
      <c r="G10" s="12"/>
      <c r="H10" s="11"/>
      <c r="I10" s="5"/>
      <c r="J10" s="5"/>
      <c r="K10" s="5"/>
      <c r="L10" s="5"/>
      <c r="M10" s="5"/>
      <c r="N10" s="13" t="str">
        <f aca="false">IF(D10="","",IF(AND(F10="",G10=""),"Conforme ou não",TRIM(IF(G10="","mín. "&amp;F10,IF(F10="","máx. "&amp;G10,F10&amp;" a "&amp;G10))&amp;" "&amp;H10)))</f>
        <v/>
      </c>
      <c r="O10" s="13" t="str">
        <f aca="false">IF(D10="","",IF(C10="","Falta a etapa",IF(E10="","Falta o tipo",IF(AND(F10&lt;&gt;"",G10&lt;&gt;"",F10&gt;G10),"Mínimo maior que o máximo",IF(I10="","Falta como medir",IF(J10="","Falta a frequência",IF(K10="","Falta quem mede",IF(L10="","Falta o registro",IF(M10="","Falta a reação","OK")))))))))</f>
        <v/>
      </c>
    </row>
    <row r="11" customFormat="false" ht="30" hidden="false" customHeight="true" outlineLevel="0" collapsed="false">
      <c r="B11" s="10" t="s">
        <v>97</v>
      </c>
      <c r="C11" s="5"/>
      <c r="D11" s="5"/>
      <c r="E11" s="11"/>
      <c r="F11" s="12"/>
      <c r="G11" s="12"/>
      <c r="H11" s="11"/>
      <c r="I11" s="5"/>
      <c r="J11" s="5"/>
      <c r="K11" s="5"/>
      <c r="L11" s="5"/>
      <c r="M11" s="5"/>
      <c r="N11" s="13" t="str">
        <f aca="false">IF(D11="","",IF(AND(F11="",G11=""),"Conforme ou não",TRIM(IF(G11="","mín. "&amp;F11,IF(F11="","máx. "&amp;G11,F11&amp;" a "&amp;G11))&amp;" "&amp;H11)))</f>
        <v/>
      </c>
      <c r="O11" s="13" t="str">
        <f aca="false">IF(D11="","",IF(C11="","Falta a etapa",IF(E11="","Falta o tipo",IF(AND(F11&lt;&gt;"",G11&lt;&gt;"",F11&gt;G11),"Mínimo maior que o máximo",IF(I11="","Falta como medir",IF(J11="","Falta a frequência",IF(K11="","Falta quem mede",IF(L11="","Falta o registro",IF(M11="","Falta a reação","OK")))))))))</f>
        <v/>
      </c>
    </row>
    <row r="12" customFormat="false" ht="30" hidden="false" customHeight="true" outlineLevel="0" collapsed="false">
      <c r="B12" s="10" t="s">
        <v>98</v>
      </c>
      <c r="C12" s="5"/>
      <c r="D12" s="5"/>
      <c r="E12" s="11"/>
      <c r="F12" s="12"/>
      <c r="G12" s="12"/>
      <c r="H12" s="11"/>
      <c r="I12" s="5"/>
      <c r="J12" s="5"/>
      <c r="K12" s="5"/>
      <c r="L12" s="5"/>
      <c r="M12" s="5"/>
      <c r="N12" s="13" t="str">
        <f aca="false">IF(D12="","",IF(AND(F12="",G12=""),"Conforme ou não",TRIM(IF(G12="","mín. "&amp;F12,IF(F12="","máx. "&amp;G12,F12&amp;" a "&amp;G12))&amp;" "&amp;H12)))</f>
        <v/>
      </c>
      <c r="O12" s="13" t="str">
        <f aca="false">IF(D12="","",IF(C12="","Falta a etapa",IF(E12="","Falta o tipo",IF(AND(F12&lt;&gt;"",G12&lt;&gt;"",F12&gt;G12),"Mínimo maior que o máximo",IF(I12="","Falta como medir",IF(J12="","Falta a frequência",IF(K12="","Falta quem mede",IF(L12="","Falta o registro",IF(M12="","Falta a reação","OK")))))))))</f>
        <v/>
      </c>
    </row>
    <row r="13" customFormat="false" ht="30" hidden="false" customHeight="true" outlineLevel="0" collapsed="false">
      <c r="B13" s="10" t="s">
        <v>99</v>
      </c>
      <c r="C13" s="5"/>
      <c r="D13" s="5"/>
      <c r="E13" s="11"/>
      <c r="F13" s="12"/>
      <c r="G13" s="12"/>
      <c r="H13" s="11"/>
      <c r="I13" s="5"/>
      <c r="J13" s="5"/>
      <c r="K13" s="5"/>
      <c r="L13" s="5"/>
      <c r="M13" s="5"/>
      <c r="N13" s="13" t="str">
        <f aca="false">IF(D13="","",IF(AND(F13="",G13=""),"Conforme ou não",TRIM(IF(G13="","mín. "&amp;F13,IF(F13="","máx. "&amp;G13,F13&amp;" a "&amp;G13))&amp;" "&amp;H13)))</f>
        <v/>
      </c>
      <c r="O13" s="13" t="str">
        <f aca="false">IF(D13="","",IF(C13="","Falta a etapa",IF(E13="","Falta o tipo",IF(AND(F13&lt;&gt;"",G13&lt;&gt;"",F13&gt;G13),"Mínimo maior que o máximo",IF(I13="","Falta como medir",IF(J13="","Falta a frequência",IF(K13="","Falta quem mede",IF(L13="","Falta o registro",IF(M13="","Falta a reação","OK")))))))))</f>
        <v/>
      </c>
    </row>
    <row r="14" customFormat="false" ht="30" hidden="false" customHeight="true" outlineLevel="0" collapsed="false">
      <c r="B14" s="10" t="s">
        <v>100</v>
      </c>
      <c r="C14" s="5"/>
      <c r="D14" s="5"/>
      <c r="E14" s="11"/>
      <c r="F14" s="12"/>
      <c r="G14" s="12"/>
      <c r="H14" s="11"/>
      <c r="I14" s="5"/>
      <c r="J14" s="5"/>
      <c r="K14" s="5"/>
      <c r="L14" s="5"/>
      <c r="M14" s="5"/>
      <c r="N14" s="13" t="str">
        <f aca="false">IF(D14="","",IF(AND(F14="",G14=""),"Conforme ou não",TRIM(IF(G14="","mín. "&amp;F14,IF(F14="","máx. "&amp;G14,F14&amp;" a "&amp;G14))&amp;" "&amp;H14)))</f>
        <v/>
      </c>
      <c r="O14" s="13" t="str">
        <f aca="false">IF(D14="","",IF(C14="","Falta a etapa",IF(E14="","Falta o tipo",IF(AND(F14&lt;&gt;"",G14&lt;&gt;"",F14&gt;G14),"Mínimo maior que o máximo",IF(I14="","Falta como medir",IF(J14="","Falta a frequência",IF(K14="","Falta quem mede",IF(L14="","Falta o registro",IF(M14="","Falta a reação","OK")))))))))</f>
        <v/>
      </c>
    </row>
    <row r="15" customFormat="false" ht="30" hidden="false" customHeight="true" outlineLevel="0" collapsed="false">
      <c r="B15" s="10" t="s">
        <v>101</v>
      </c>
      <c r="C15" s="5"/>
      <c r="D15" s="5"/>
      <c r="E15" s="11"/>
      <c r="F15" s="12"/>
      <c r="G15" s="12"/>
      <c r="H15" s="11"/>
      <c r="I15" s="5"/>
      <c r="J15" s="5"/>
      <c r="K15" s="5"/>
      <c r="L15" s="5"/>
      <c r="M15" s="5"/>
      <c r="N15" s="13" t="str">
        <f aca="false">IF(D15="","",IF(AND(F15="",G15=""),"Conforme ou não",TRIM(IF(G15="","mín. "&amp;F15,IF(F15="","máx. "&amp;G15,F15&amp;" a "&amp;G15))&amp;" "&amp;H15)))</f>
        <v/>
      </c>
      <c r="O15" s="13" t="str">
        <f aca="false">IF(D15="","",IF(C15="","Falta a etapa",IF(E15="","Falta o tipo",IF(AND(F15&lt;&gt;"",G15&lt;&gt;"",F15&gt;G15),"Mínimo maior que o máximo",IF(I15="","Falta como medir",IF(J15="","Falta a frequência",IF(K15="","Falta quem mede",IF(L15="","Falta o registro",IF(M15="","Falta a reação","OK")))))))))</f>
        <v/>
      </c>
    </row>
    <row r="16" customFormat="false" ht="30" hidden="false" customHeight="true" outlineLevel="0" collapsed="false">
      <c r="B16" s="10" t="s">
        <v>102</v>
      </c>
      <c r="C16" s="5"/>
      <c r="D16" s="5"/>
      <c r="E16" s="11"/>
      <c r="F16" s="12"/>
      <c r="G16" s="12"/>
      <c r="H16" s="11"/>
      <c r="I16" s="5"/>
      <c r="J16" s="5"/>
      <c r="K16" s="5"/>
      <c r="L16" s="5"/>
      <c r="M16" s="5"/>
      <c r="N16" s="13" t="str">
        <f aca="false">IF(D16="","",IF(AND(F16="",G16=""),"Conforme ou não",TRIM(IF(G16="","mín. "&amp;F16,IF(F16="","máx. "&amp;G16,F16&amp;" a "&amp;G16))&amp;" "&amp;H16)))</f>
        <v/>
      </c>
      <c r="O16" s="13" t="str">
        <f aca="false">IF(D16="","",IF(C16="","Falta a etapa",IF(E16="","Falta o tipo",IF(AND(F16&lt;&gt;"",G16&lt;&gt;"",F16&gt;G16),"Mínimo maior que o máximo",IF(I16="","Falta como medir",IF(J16="","Falta a frequência",IF(K16="","Falta quem mede",IF(L16="","Falta o registro",IF(M16="","Falta a reação","OK")))))))))</f>
        <v/>
      </c>
    </row>
    <row r="17" customFormat="false" ht="30" hidden="false" customHeight="true" outlineLevel="0" collapsed="false">
      <c r="B17" s="10" t="s">
        <v>103</v>
      </c>
      <c r="C17" s="5"/>
      <c r="D17" s="5"/>
      <c r="E17" s="11"/>
      <c r="F17" s="12"/>
      <c r="G17" s="12"/>
      <c r="H17" s="11"/>
      <c r="I17" s="5"/>
      <c r="J17" s="5"/>
      <c r="K17" s="5"/>
      <c r="L17" s="5"/>
      <c r="M17" s="5"/>
      <c r="N17" s="13" t="str">
        <f aca="false">IF(D17="","",IF(AND(F17="",G17=""),"Conforme ou não",TRIM(IF(G17="","mín. "&amp;F17,IF(F17="","máx. "&amp;G17,F17&amp;" a "&amp;G17))&amp;" "&amp;H17)))</f>
        <v/>
      </c>
      <c r="O17" s="13" t="str">
        <f aca="false">IF(D17="","",IF(C17="","Falta a etapa",IF(E17="","Falta o tipo",IF(AND(F17&lt;&gt;"",G17&lt;&gt;"",F17&gt;G17),"Mínimo maior que o máximo",IF(I17="","Falta como medir",IF(J17="","Falta a frequência",IF(K17="","Falta quem mede",IF(L17="","Falta o registro",IF(M17="","Falta a reação","OK")))))))))</f>
        <v/>
      </c>
    </row>
    <row r="18" customFormat="false" ht="30" hidden="false" customHeight="true" outlineLevel="0" collapsed="false">
      <c r="B18" s="10" t="s">
        <v>104</v>
      </c>
      <c r="C18" s="5"/>
      <c r="D18" s="5"/>
      <c r="E18" s="11"/>
      <c r="F18" s="12"/>
      <c r="G18" s="12"/>
      <c r="H18" s="11"/>
      <c r="I18" s="5"/>
      <c r="J18" s="5"/>
      <c r="K18" s="5"/>
      <c r="L18" s="5"/>
      <c r="M18" s="5"/>
      <c r="N18" s="13" t="str">
        <f aca="false">IF(D18="","",IF(AND(F18="",G18=""),"Conforme ou não",TRIM(IF(G18="","mín. "&amp;F18,IF(F18="","máx. "&amp;G18,F18&amp;" a "&amp;G18))&amp;" "&amp;H18)))</f>
        <v/>
      </c>
      <c r="O18" s="13" t="str">
        <f aca="false">IF(D18="","",IF(C18="","Falta a etapa",IF(E18="","Falta o tipo",IF(AND(F18&lt;&gt;"",G18&lt;&gt;"",F18&gt;G18),"Mínimo maior que o máximo",IF(I18="","Falta como medir",IF(J18="","Falta a frequência",IF(K18="","Falta quem mede",IF(L18="","Falta o registro",IF(M18="","Falta a reação","OK")))))))))</f>
        <v/>
      </c>
    </row>
    <row r="19" customFormat="false" ht="30" hidden="false" customHeight="true" outlineLevel="0" collapsed="false">
      <c r="B19" s="10" t="s">
        <v>105</v>
      </c>
      <c r="C19" s="5"/>
      <c r="D19" s="5"/>
      <c r="E19" s="11"/>
      <c r="F19" s="12"/>
      <c r="G19" s="12"/>
      <c r="H19" s="11"/>
      <c r="I19" s="5"/>
      <c r="J19" s="5"/>
      <c r="K19" s="5"/>
      <c r="L19" s="5"/>
      <c r="M19" s="5"/>
      <c r="N19" s="13" t="str">
        <f aca="false">IF(D19="","",IF(AND(F19="",G19=""),"Conforme ou não",TRIM(IF(G19="","mín. "&amp;F19,IF(F19="","máx. "&amp;G19,F19&amp;" a "&amp;G19))&amp;" "&amp;H19)))</f>
        <v/>
      </c>
      <c r="O19" s="13" t="str">
        <f aca="false">IF(D19="","",IF(C19="","Falta a etapa",IF(E19="","Falta o tipo",IF(AND(F19&lt;&gt;"",G19&lt;&gt;"",F19&gt;G19),"Mínimo maior que o máximo",IF(I19="","Falta como medir",IF(J19="","Falta a frequência",IF(K19="","Falta quem mede",IF(L19="","Falta o registro",IF(M19="","Falta a reação","OK")))))))))</f>
        <v/>
      </c>
    </row>
    <row r="20" customFormat="false" ht="30" hidden="false" customHeight="true" outlineLevel="0" collapsed="false">
      <c r="B20" s="10" t="s">
        <v>106</v>
      </c>
      <c r="C20" s="5"/>
      <c r="D20" s="5"/>
      <c r="E20" s="11"/>
      <c r="F20" s="12"/>
      <c r="G20" s="12"/>
      <c r="H20" s="11"/>
      <c r="I20" s="5"/>
      <c r="J20" s="5"/>
      <c r="K20" s="5"/>
      <c r="L20" s="5"/>
      <c r="M20" s="5"/>
      <c r="N20" s="13" t="str">
        <f aca="false">IF(D20="","",IF(AND(F20="",G20=""),"Conforme ou não",TRIM(IF(G20="","mín. "&amp;F20,IF(F20="","máx. "&amp;G20,F20&amp;" a "&amp;G20))&amp;" "&amp;H20)))</f>
        <v/>
      </c>
      <c r="O20" s="13" t="str">
        <f aca="false">IF(D20="","",IF(C20="","Falta a etapa",IF(E20="","Falta o tipo",IF(AND(F20&lt;&gt;"",G20&lt;&gt;"",F20&gt;G20),"Mínimo maior que o máximo",IF(I20="","Falta como medir",IF(J20="","Falta a frequência",IF(K20="","Falta quem mede",IF(L20="","Falta o registro",IF(M20="","Falta a reação","OK")))))))))</f>
        <v/>
      </c>
    </row>
    <row r="21" customFormat="false" ht="30" hidden="false" customHeight="true" outlineLevel="0" collapsed="false">
      <c r="B21" s="10" t="s">
        <v>107</v>
      </c>
      <c r="C21" s="5"/>
      <c r="D21" s="5"/>
      <c r="E21" s="11"/>
      <c r="F21" s="12"/>
      <c r="G21" s="12"/>
      <c r="H21" s="11"/>
      <c r="I21" s="5"/>
      <c r="J21" s="5"/>
      <c r="K21" s="5"/>
      <c r="L21" s="5"/>
      <c r="M21" s="5"/>
      <c r="N21" s="13" t="str">
        <f aca="false">IF(D21="","",IF(AND(F21="",G21=""),"Conforme ou não",TRIM(IF(G21="","mín. "&amp;F21,IF(F21="","máx. "&amp;G21,F21&amp;" a "&amp;G21))&amp;" "&amp;H21)))</f>
        <v/>
      </c>
      <c r="O21" s="13" t="str">
        <f aca="false">IF(D21="","",IF(C21="","Falta a etapa",IF(E21="","Falta o tipo",IF(AND(F21&lt;&gt;"",G21&lt;&gt;"",F21&gt;G21),"Mínimo maior que o máximo",IF(I21="","Falta como medir",IF(J21="","Falta a frequência",IF(K21="","Falta quem mede",IF(L21="","Falta o registro",IF(M21="","Falta a reação","OK")))))))))</f>
        <v/>
      </c>
    </row>
    <row r="22" customFormat="false" ht="30" hidden="false" customHeight="true" outlineLevel="0" collapsed="false">
      <c r="B22" s="10" t="s">
        <v>108</v>
      </c>
      <c r="C22" s="5"/>
      <c r="D22" s="5"/>
      <c r="E22" s="11"/>
      <c r="F22" s="12"/>
      <c r="G22" s="12"/>
      <c r="H22" s="11"/>
      <c r="I22" s="5"/>
      <c r="J22" s="5"/>
      <c r="K22" s="5"/>
      <c r="L22" s="5"/>
      <c r="M22" s="5"/>
      <c r="N22" s="13" t="str">
        <f aca="false">IF(D22="","",IF(AND(F22="",G22=""),"Conforme ou não",TRIM(IF(G22="","mín. "&amp;F22,IF(F22="","máx. "&amp;G22,F22&amp;" a "&amp;G22))&amp;" "&amp;H22)))</f>
        <v/>
      </c>
      <c r="O22" s="13" t="str">
        <f aca="false">IF(D22="","",IF(C22="","Falta a etapa",IF(E22="","Falta o tipo",IF(AND(F22&lt;&gt;"",G22&lt;&gt;"",F22&gt;G22),"Mínimo maior que o máximo",IF(I22="","Falta como medir",IF(J22="","Falta a frequência",IF(K22="","Falta quem mede",IF(L22="","Falta o registro",IF(M22="","Falta a reação","OK")))))))))</f>
        <v/>
      </c>
    </row>
    <row r="23" customFormat="false" ht="30" hidden="false" customHeight="true" outlineLevel="0" collapsed="false">
      <c r="B23" s="10" t="s">
        <v>109</v>
      </c>
      <c r="C23" s="5"/>
      <c r="D23" s="5"/>
      <c r="E23" s="11"/>
      <c r="F23" s="12"/>
      <c r="G23" s="12"/>
      <c r="H23" s="11"/>
      <c r="I23" s="5"/>
      <c r="J23" s="5"/>
      <c r="K23" s="5"/>
      <c r="L23" s="5"/>
      <c r="M23" s="5"/>
      <c r="N23" s="13" t="str">
        <f aca="false">IF(D23="","",IF(AND(F23="",G23=""),"Conforme ou não",TRIM(IF(G23="","mín. "&amp;F23,IF(F23="","máx. "&amp;G23,F23&amp;" a "&amp;G23))&amp;" "&amp;H23)))</f>
        <v/>
      </c>
      <c r="O23" s="13" t="str">
        <f aca="false">IF(D23="","",IF(C23="","Falta a etapa",IF(E23="","Falta o tipo",IF(AND(F23&lt;&gt;"",G23&lt;&gt;"",F23&gt;G23),"Mínimo maior que o máximo",IF(I23="","Falta como medir",IF(J23="","Falta a frequência",IF(K23="","Falta quem mede",IF(L23="","Falta o registro",IF(M23="","Falta a reação","OK")))))))))</f>
        <v/>
      </c>
    </row>
    <row r="24" customFormat="false" ht="30" hidden="false" customHeight="true" outlineLevel="0" collapsed="false">
      <c r="B24" s="10" t="s">
        <v>110</v>
      </c>
      <c r="C24" s="5"/>
      <c r="D24" s="5"/>
      <c r="E24" s="11"/>
      <c r="F24" s="12"/>
      <c r="G24" s="12"/>
      <c r="H24" s="11"/>
      <c r="I24" s="5"/>
      <c r="J24" s="5"/>
      <c r="K24" s="5"/>
      <c r="L24" s="5"/>
      <c r="M24" s="5"/>
      <c r="N24" s="13" t="str">
        <f aca="false">IF(D24="","",IF(AND(F24="",G24=""),"Conforme ou não",TRIM(IF(G24="","mín. "&amp;F24,IF(F24="","máx. "&amp;G24,F24&amp;" a "&amp;G24))&amp;" "&amp;H24)))</f>
        <v/>
      </c>
      <c r="O24" s="13" t="str">
        <f aca="false">IF(D24="","",IF(C24="","Falta a etapa",IF(E24="","Falta o tipo",IF(AND(F24&lt;&gt;"",G24&lt;&gt;"",F24&gt;G24),"Mínimo maior que o máximo",IF(I24="","Falta como medir",IF(J24="","Falta a frequência",IF(K24="","Falta quem mede",IF(L24="","Falta o registro",IF(M24="","Falta a reação","OK")))))))))</f>
        <v/>
      </c>
    </row>
    <row r="25" customFormat="false" ht="30" hidden="false" customHeight="true" outlineLevel="0" collapsed="false">
      <c r="B25" s="10" t="s">
        <v>111</v>
      </c>
      <c r="C25" s="5"/>
      <c r="D25" s="5"/>
      <c r="E25" s="11"/>
      <c r="F25" s="12"/>
      <c r="G25" s="12"/>
      <c r="H25" s="11"/>
      <c r="I25" s="5"/>
      <c r="J25" s="5"/>
      <c r="K25" s="5"/>
      <c r="L25" s="5"/>
      <c r="M25" s="5"/>
      <c r="N25" s="13" t="str">
        <f aca="false">IF(D25="","",IF(AND(F25="",G25=""),"Conforme ou não",TRIM(IF(G25="","mín. "&amp;F25,IF(F25="","máx. "&amp;G25,F25&amp;" a "&amp;G25))&amp;" "&amp;H25)))</f>
        <v/>
      </c>
      <c r="O25" s="13" t="str">
        <f aca="false">IF(D25="","",IF(C25="","Falta a etapa",IF(E25="","Falta o tipo",IF(AND(F25&lt;&gt;"",G25&lt;&gt;"",F25&gt;G25),"Mínimo maior que o máximo",IF(I25="","Falta como medir",IF(J25="","Falta a frequência",IF(K25="","Falta quem mede",IF(L25="","Falta o registro",IF(M25="","Falta a reação","OK")))))))))</f>
        <v/>
      </c>
    </row>
    <row r="26" customFormat="false" ht="30" hidden="false" customHeight="true" outlineLevel="0" collapsed="false">
      <c r="B26" s="10" t="s">
        <v>112</v>
      </c>
      <c r="C26" s="5"/>
      <c r="D26" s="5"/>
      <c r="E26" s="11"/>
      <c r="F26" s="12"/>
      <c r="G26" s="12"/>
      <c r="H26" s="11"/>
      <c r="I26" s="5"/>
      <c r="J26" s="5"/>
      <c r="K26" s="5"/>
      <c r="L26" s="5"/>
      <c r="M26" s="5"/>
      <c r="N26" s="13" t="str">
        <f aca="false">IF(D26="","",IF(AND(F26="",G26=""),"Conforme ou não",TRIM(IF(G26="","mín. "&amp;F26,IF(F26="","máx. "&amp;G26,F26&amp;" a "&amp;G26))&amp;" "&amp;H26)))</f>
        <v/>
      </c>
      <c r="O26" s="13" t="str">
        <f aca="false">IF(D26="","",IF(C26="","Falta a etapa",IF(E26="","Falta o tipo",IF(AND(F26&lt;&gt;"",G26&lt;&gt;"",F26&gt;G26),"Mínimo maior que o máximo",IF(I26="","Falta como medir",IF(J26="","Falta a frequência",IF(K26="","Falta quem mede",IF(L26="","Falta o registro",IF(M26="","Falta a reação","OK")))))))))</f>
        <v/>
      </c>
    </row>
    <row r="27" customFormat="false" ht="30" hidden="false" customHeight="true" outlineLevel="0" collapsed="false">
      <c r="B27" s="10" t="s">
        <v>113</v>
      </c>
      <c r="C27" s="5"/>
      <c r="D27" s="5"/>
      <c r="E27" s="11"/>
      <c r="F27" s="12"/>
      <c r="G27" s="12"/>
      <c r="H27" s="11"/>
      <c r="I27" s="5"/>
      <c r="J27" s="5"/>
      <c r="K27" s="5"/>
      <c r="L27" s="5"/>
      <c r="M27" s="5"/>
      <c r="N27" s="13" t="str">
        <f aca="false">IF(D27="","",IF(AND(F27="",G27=""),"Conforme ou não",TRIM(IF(G27="","mín. "&amp;F27,IF(F27="","máx. "&amp;G27,F27&amp;" a "&amp;G27))&amp;" "&amp;H27)))</f>
        <v/>
      </c>
      <c r="O27" s="13" t="str">
        <f aca="false">IF(D27="","",IF(C27="","Falta a etapa",IF(E27="","Falta o tipo",IF(AND(F27&lt;&gt;"",G27&lt;&gt;"",F27&gt;G27),"Mínimo maior que o máximo",IF(I27="","Falta como medir",IF(J27="","Falta a frequência",IF(K27="","Falta quem mede",IF(L27="","Falta o registro",IF(M27="","Falta a reação","OK")))))))))</f>
        <v/>
      </c>
    </row>
    <row r="28" customFormat="false" ht="30" hidden="false" customHeight="true" outlineLevel="0" collapsed="false">
      <c r="B28" s="10" t="s">
        <v>114</v>
      </c>
      <c r="C28" s="5"/>
      <c r="D28" s="5"/>
      <c r="E28" s="11"/>
      <c r="F28" s="12"/>
      <c r="G28" s="12"/>
      <c r="H28" s="11"/>
      <c r="I28" s="5"/>
      <c r="J28" s="5"/>
      <c r="K28" s="5"/>
      <c r="L28" s="5"/>
      <c r="M28" s="5"/>
      <c r="N28" s="13" t="str">
        <f aca="false">IF(D28="","",IF(AND(F28="",G28=""),"Conforme ou não",TRIM(IF(G28="","mín. "&amp;F28,IF(F28="","máx. "&amp;G28,F28&amp;" a "&amp;G28))&amp;" "&amp;H28)))</f>
        <v/>
      </c>
      <c r="O28" s="13" t="str">
        <f aca="false">IF(D28="","",IF(C28="","Falta a etapa",IF(E28="","Falta o tipo",IF(AND(F28&lt;&gt;"",G28&lt;&gt;"",F28&gt;G28),"Mínimo maior que o máximo",IF(I28="","Falta como medir",IF(J28="","Falta a frequência",IF(K28="","Falta quem mede",IF(L28="","Falta o registro",IF(M28="","Falta a reação","OK")))))))))</f>
        <v/>
      </c>
    </row>
    <row r="29" customFormat="false" ht="30" hidden="false" customHeight="true" outlineLevel="0" collapsed="false">
      <c r="B29" s="10" t="s">
        <v>115</v>
      </c>
      <c r="C29" s="5"/>
      <c r="D29" s="5"/>
      <c r="E29" s="11"/>
      <c r="F29" s="12"/>
      <c r="G29" s="12"/>
      <c r="H29" s="11"/>
      <c r="I29" s="5"/>
      <c r="J29" s="5"/>
      <c r="K29" s="5"/>
      <c r="L29" s="5"/>
      <c r="M29" s="5"/>
      <c r="N29" s="13" t="str">
        <f aca="false">IF(D29="","",IF(AND(F29="",G29=""),"Conforme ou não",TRIM(IF(G29="","mín. "&amp;F29,IF(F29="","máx. "&amp;G29,F29&amp;" a "&amp;G29))&amp;" "&amp;H29)))</f>
        <v/>
      </c>
      <c r="O29" s="13" t="str">
        <f aca="false">IF(D29="","",IF(C29="","Falta a etapa",IF(E29="","Falta o tipo",IF(AND(F29&lt;&gt;"",G29&lt;&gt;"",F29&gt;G29),"Mínimo maior que o máximo",IF(I29="","Falta como medir",IF(J29="","Falta a frequência",IF(K29="","Falta quem mede",IF(L29="","Falta o registro",IF(M29="","Falta a reação","OK")))))))))</f>
        <v/>
      </c>
    </row>
    <row r="31" customFormat="false" ht="21.75" hidden="false" customHeight="true" outlineLevel="0" collapsed="false">
      <c r="B31" s="14" t="s">
        <v>116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customFormat="false" ht="21.75" hidden="false" customHeight="true" outlineLevel="0" collapsed="false">
      <c r="B32" s="15" t="s">
        <v>117</v>
      </c>
      <c r="C32" s="15"/>
      <c r="D32" s="16" t="n">
        <f aca="false">COUNTA(D10:D29)</f>
        <v>0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customFormat="false" ht="21.75" hidden="false" customHeight="true" outlineLevel="0" collapsed="false">
      <c r="B33" s="15" t="s">
        <v>118</v>
      </c>
      <c r="C33" s="15"/>
      <c r="D33" s="16" t="str">
        <f aca="false">IF(D32=0,"",COUNTIF(E10:E29,"Produto")&amp;" de produto, "&amp;COUNTIF(E10:E29,"Processo")&amp;" de processo")</f>
        <v/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customFormat="false" ht="21.75" hidden="false" customHeight="true" outlineLevel="0" collapsed="false">
      <c r="B34" s="15" t="s">
        <v>119</v>
      </c>
      <c r="C34" s="15"/>
      <c r="D34" s="16" t="str">
        <f aca="false">IF(D32=0,"",(D32-COUNTIF(N10:N29,"Conforme ou não"))&amp;" por medida, "&amp;COUNTIF(N10:N29,"Conforme ou não")&amp;" por atributo")</f>
        <v/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customFormat="false" ht="21.75" hidden="false" customHeight="true" outlineLevel="0" collapsed="false">
      <c r="B35" s="15" t="s">
        <v>120</v>
      </c>
      <c r="C35" s="15"/>
      <c r="D35" s="17" t="str">
        <f aca="false">IF(D4="","Escreva a organização e o processo",IF(D32=0,"Escreva os controles",IF(COUNTIF(O10:O29,"OK")&lt;D32,"Há controle a rever: veja a coluna Conferência",IF(COUNTIF(E10:E29,"Processo")=0,"Só há controles de produto: avalie controlar também o processo","OK"))))</f>
        <v>Escreva a organização e o processo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</sheetData>
  <mergeCells count="17">
    <mergeCell ref="B1:O1"/>
    <mergeCell ref="B2:O2"/>
    <mergeCell ref="B4:C4"/>
    <mergeCell ref="D4:O4"/>
    <mergeCell ref="B5:C5"/>
    <mergeCell ref="D5:O5"/>
    <mergeCell ref="B6:C6"/>
    <mergeCell ref="D6:O6"/>
    <mergeCell ref="B31:O31"/>
    <mergeCell ref="B32:C32"/>
    <mergeCell ref="D32:O32"/>
    <mergeCell ref="B33:C33"/>
    <mergeCell ref="D33:O33"/>
    <mergeCell ref="B34:C34"/>
    <mergeCell ref="D34:O34"/>
    <mergeCell ref="B35:C35"/>
    <mergeCell ref="D35:O35"/>
  </mergeCells>
  <conditionalFormatting sqref="O10:O29">
    <cfRule type="expression" priority="2" aboveAverage="0" equalAverage="0" bottom="0" percent="0" rank="0" text="" dxfId="0">
      <formula>OR(O10="OK")</formula>
    </cfRule>
    <cfRule type="expression" priority="3" aboveAverage="0" equalAverage="0" bottom="0" percent="0" rank="0" text="" dxfId="1">
      <formula>AND(LEN(O10)&gt;0,NOT(OR(O10="OK")))</formula>
    </cfRule>
  </conditionalFormatting>
  <conditionalFormatting sqref="D35:O35">
    <cfRule type="expression" priority="4" aboveAverage="0" equalAverage="0" bottom="0" percent="0" rank="0" text="" dxfId="0">
      <formula>OR(D35="OK")</formula>
    </cfRule>
    <cfRule type="expression" priority="5" aboveAverage="0" equalAverage="0" bottom="0" percent="0" rank="0" text="" dxfId="1">
      <formula>AND(LEN(D35)&gt;0,NOT(OR(D35="OK")))</formula>
    </cfRule>
  </conditionalFormatting>
  <dataValidations count="2">
    <dataValidation allowBlank="true" error="Escolha uma das opções da lista." errorStyle="stop" errorTitle="Valor inválido" operator="between" prompt="Produto: uma característica do que é feito. Processo: uma condição que faz o produto sair certo." promptTitle="Opções" showDropDown="false" showErrorMessage="true" showInputMessage="true" sqref="E10:E29" type="list">
      <formula1>"Produto,Processo"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F10:G29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O1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9" min="8" style="0" width="8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40"/>
    <col collapsed="false" customWidth="true" hidden="false" outlineLevel="0" max="14" min="14" style="0" width="18"/>
    <col collapsed="false" customWidth="true" hidden="false" outlineLevel="0" max="15" min="15" style="0" width="26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121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122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3" hidden="false" customHeight="true" outlineLevel="0" collapsed="false">
      <c r="B4" s="8" t="s">
        <v>71</v>
      </c>
      <c r="C4" s="8" t="s">
        <v>123</v>
      </c>
      <c r="D4" s="8" t="s">
        <v>124</v>
      </c>
      <c r="E4" s="8" t="s">
        <v>125</v>
      </c>
      <c r="F4" s="8" t="s">
        <v>126</v>
      </c>
      <c r="G4" s="8" t="s">
        <v>14</v>
      </c>
      <c r="H4" s="8" t="s">
        <v>127</v>
      </c>
      <c r="I4" s="8" t="s">
        <v>128</v>
      </c>
      <c r="J4" s="8" t="s">
        <v>129</v>
      </c>
      <c r="K4" s="8" t="s">
        <v>130</v>
      </c>
      <c r="L4" s="8" t="s">
        <v>131</v>
      </c>
      <c r="M4" s="8" t="s">
        <v>132</v>
      </c>
      <c r="N4" s="8" t="s">
        <v>133</v>
      </c>
      <c r="O4" s="8" t="s">
        <v>83</v>
      </c>
    </row>
    <row r="5" customFormat="false" ht="30" hidden="false" customHeight="true" outlineLevel="0" collapsed="false">
      <c r="B5" s="9"/>
      <c r="C5" s="9" t="s">
        <v>123</v>
      </c>
      <c r="D5" s="9" t="s">
        <v>134</v>
      </c>
      <c r="E5" s="9" t="s">
        <v>135</v>
      </c>
      <c r="F5" s="9" t="s">
        <v>136</v>
      </c>
      <c r="G5" s="9" t="s">
        <v>136</v>
      </c>
      <c r="H5" s="9"/>
      <c r="I5" s="9"/>
      <c r="J5" s="9" t="s">
        <v>137</v>
      </c>
      <c r="K5" s="9" t="s">
        <v>86</v>
      </c>
      <c r="L5" s="9" t="s">
        <v>95</v>
      </c>
      <c r="M5" s="9" t="s">
        <v>138</v>
      </c>
      <c r="N5" s="9" t="s">
        <v>91</v>
      </c>
      <c r="O5" s="9" t="s">
        <v>95</v>
      </c>
    </row>
    <row r="6" customFormat="false" ht="30" hidden="false" customHeight="true" outlineLevel="0" collapsed="false">
      <c r="B6" s="9" t="s">
        <v>139</v>
      </c>
      <c r="C6" s="18" t="n">
        <v>46457</v>
      </c>
      <c r="D6" s="19" t="s">
        <v>140</v>
      </c>
      <c r="E6" s="9" t="s">
        <v>96</v>
      </c>
      <c r="F6" s="19" t="s">
        <v>141</v>
      </c>
      <c r="G6" s="9" t="s">
        <v>142</v>
      </c>
      <c r="H6" s="9" t="n">
        <v>0</v>
      </c>
      <c r="I6" s="9" t="n">
        <v>5</v>
      </c>
      <c r="J6" s="9" t="n">
        <v>7</v>
      </c>
      <c r="K6" s="9"/>
      <c r="L6" s="9" t="s">
        <v>18</v>
      </c>
      <c r="M6" s="19" t="s">
        <v>143</v>
      </c>
      <c r="N6" s="19" t="s">
        <v>144</v>
      </c>
      <c r="O6" s="9" t="s">
        <v>145</v>
      </c>
    </row>
    <row r="7" customFormat="false" ht="21.75" hidden="false" customHeight="true" outlineLevel="0" collapsed="false">
      <c r="B7" s="10" t="n">
        <v>1</v>
      </c>
      <c r="C7" s="20"/>
      <c r="D7" s="5"/>
      <c r="E7" s="11"/>
      <c r="F7" s="17" t="str">
        <f aca="false">IF(E7="","",IFERROR(INDEX('Plano de controle'!$D$10:$D$29,MATCH(E7,'Plano de controle'!$B$10:$B$29,0))&amp;"",""))</f>
        <v/>
      </c>
      <c r="G7" s="13" t="str">
        <f aca="false">IF(E7="","",IFERROR(INDEX('Plano de controle'!$N$10:$N$29,MATCH(E7,'Plano de controle'!$B$10:$B$29,0))&amp;"",""))</f>
        <v/>
      </c>
      <c r="H7" s="21" t="str">
        <f aca="false">IF(E7="","",IFERROR(IF(ISNUMBER(INDEX('Plano de controle'!$F$10:$F$29,MATCH(E7,'Plano de controle'!$B$10:$B$29,0))),INDEX('Plano de controle'!$F$10:$F$29,MATCH(E7,'Plano de controle'!$B$10:$B$29,0)),""),""))</f>
        <v/>
      </c>
      <c r="I7" s="21" t="str">
        <f aca="false">IF(E7="","",IFERROR(IF(ISNUMBER(INDEX('Plano de controle'!$G$10:$G$29,MATCH(E7,'Plano de controle'!$B$10:$B$29,0))),INDEX('Plano de controle'!$G$10:$G$29,MATCH(E7,'Plano de controle'!$B$10:$B$29,0)),""),""))</f>
        <v/>
      </c>
      <c r="J7" s="12"/>
      <c r="K7" s="11"/>
      <c r="L7" s="22" t="str">
        <f aca="false">IF(OR(E7="",F7=""),"",IF(AND(H7="",I7=""),IF(K7="","Falta o resultado",IF(K7="Sim","Dentro","Fora")),IF(J7="","Falta o valor",IF(AND(OR(H7="",J7&gt;=H7),OR(I7="",J7&lt;=I7)),"Dentro","Fora"))))</f>
        <v/>
      </c>
      <c r="M7" s="5"/>
      <c r="N7" s="5"/>
      <c r="O7" s="13" t="str">
        <f aca="false">IF(E7="",IF(COUNTA(C7:D7,J7:K7,M7)&gt;0,"Falta o controle",""),IF(F7="","Controle sem plano",IF(C7="","Falta a data",IF(D7="","Falta o lote ou o pedido",IF(LEFT(L7,5)="Falta",L7,IF(AND(L7="Fora",M7=""),"Fora sem reação registrada",IF(N7="","Falta quem mediu","OK")))))))</f>
        <v/>
      </c>
    </row>
    <row r="8" customFormat="false" ht="21.75" hidden="false" customHeight="true" outlineLevel="0" collapsed="false">
      <c r="B8" s="10" t="n">
        <v>2</v>
      </c>
      <c r="C8" s="20"/>
      <c r="D8" s="5"/>
      <c r="E8" s="11"/>
      <c r="F8" s="17" t="str">
        <f aca="false">IF(E8="","",IFERROR(INDEX('Plano de controle'!$D$10:$D$29,MATCH(E8,'Plano de controle'!$B$10:$B$29,0))&amp;"",""))</f>
        <v/>
      </c>
      <c r="G8" s="13" t="str">
        <f aca="false">IF(E8="","",IFERROR(INDEX('Plano de controle'!$N$10:$N$29,MATCH(E8,'Plano de controle'!$B$10:$B$29,0))&amp;"",""))</f>
        <v/>
      </c>
      <c r="H8" s="21" t="str">
        <f aca="false">IF(E8="","",IFERROR(IF(ISNUMBER(INDEX('Plano de controle'!$F$10:$F$29,MATCH(E8,'Plano de controle'!$B$10:$B$29,0))),INDEX('Plano de controle'!$F$10:$F$29,MATCH(E8,'Plano de controle'!$B$10:$B$29,0)),""),""))</f>
        <v/>
      </c>
      <c r="I8" s="21" t="str">
        <f aca="false">IF(E8="","",IFERROR(IF(ISNUMBER(INDEX('Plano de controle'!$G$10:$G$29,MATCH(E8,'Plano de controle'!$B$10:$B$29,0))),INDEX('Plano de controle'!$G$10:$G$29,MATCH(E8,'Plano de controle'!$B$10:$B$29,0)),""),""))</f>
        <v/>
      </c>
      <c r="J8" s="12"/>
      <c r="K8" s="11"/>
      <c r="L8" s="22" t="str">
        <f aca="false">IF(OR(E8="",F8=""),"",IF(AND(H8="",I8=""),IF(K8="","Falta o resultado",IF(K8="Sim","Dentro","Fora")),IF(J8="","Falta o valor",IF(AND(OR(H8="",J8&gt;=H8),OR(I8="",J8&lt;=I8)),"Dentro","Fora"))))</f>
        <v/>
      </c>
      <c r="M8" s="5"/>
      <c r="N8" s="5"/>
      <c r="O8" s="13" t="str">
        <f aca="false">IF(E8="",IF(COUNTA(C8:D8,J8:K8,M8)&gt;0,"Falta o controle",""),IF(F8="","Controle sem plano",IF(C8="","Falta a data",IF(D8="","Falta o lote ou o pedido",IF(LEFT(L8,5)="Falta",L8,IF(AND(L8="Fora",M8=""),"Fora sem reação registrada",IF(N8="","Falta quem mediu","OK")))))))</f>
        <v/>
      </c>
    </row>
    <row r="9" customFormat="false" ht="21.75" hidden="false" customHeight="true" outlineLevel="0" collapsed="false">
      <c r="B9" s="10" t="n">
        <v>3</v>
      </c>
      <c r="C9" s="20"/>
      <c r="D9" s="5"/>
      <c r="E9" s="11"/>
      <c r="F9" s="17" t="str">
        <f aca="false">IF(E9="","",IFERROR(INDEX('Plano de controle'!$D$10:$D$29,MATCH(E9,'Plano de controle'!$B$10:$B$29,0))&amp;"",""))</f>
        <v/>
      </c>
      <c r="G9" s="13" t="str">
        <f aca="false">IF(E9="","",IFERROR(INDEX('Plano de controle'!$N$10:$N$29,MATCH(E9,'Plano de controle'!$B$10:$B$29,0))&amp;"",""))</f>
        <v/>
      </c>
      <c r="H9" s="21" t="str">
        <f aca="false">IF(E9="","",IFERROR(IF(ISNUMBER(INDEX('Plano de controle'!$F$10:$F$29,MATCH(E9,'Plano de controle'!$B$10:$B$29,0))),INDEX('Plano de controle'!$F$10:$F$29,MATCH(E9,'Plano de controle'!$B$10:$B$29,0)),""),""))</f>
        <v/>
      </c>
      <c r="I9" s="21" t="str">
        <f aca="false">IF(E9="","",IFERROR(IF(ISNUMBER(INDEX('Plano de controle'!$G$10:$G$29,MATCH(E9,'Plano de controle'!$B$10:$B$29,0))),INDEX('Plano de controle'!$G$10:$G$29,MATCH(E9,'Plano de controle'!$B$10:$B$29,0)),""),""))</f>
        <v/>
      </c>
      <c r="J9" s="12"/>
      <c r="K9" s="11"/>
      <c r="L9" s="22" t="str">
        <f aca="false">IF(OR(E9="",F9=""),"",IF(AND(H9="",I9=""),IF(K9="","Falta o resultado",IF(K9="Sim","Dentro","Fora")),IF(J9="","Falta o valor",IF(AND(OR(H9="",J9&gt;=H9),OR(I9="",J9&lt;=I9)),"Dentro","Fora"))))</f>
        <v/>
      </c>
      <c r="M9" s="5"/>
      <c r="N9" s="5"/>
      <c r="O9" s="13" t="str">
        <f aca="false">IF(E9="",IF(COUNTA(C9:D9,J9:K9,M9)&gt;0,"Falta o controle",""),IF(F9="","Controle sem plano",IF(C9="","Falta a data",IF(D9="","Falta o lote ou o pedido",IF(LEFT(L9,5)="Falta",L9,IF(AND(L9="Fora",M9=""),"Fora sem reação registrada",IF(N9="","Falta quem mediu","OK")))))))</f>
        <v/>
      </c>
    </row>
    <row r="10" customFormat="false" ht="21.75" hidden="false" customHeight="true" outlineLevel="0" collapsed="false">
      <c r="B10" s="10" t="n">
        <v>4</v>
      </c>
      <c r="C10" s="20"/>
      <c r="D10" s="5"/>
      <c r="E10" s="11"/>
      <c r="F10" s="17" t="str">
        <f aca="false">IF(E10="","",IFERROR(INDEX('Plano de controle'!$D$10:$D$29,MATCH(E10,'Plano de controle'!$B$10:$B$29,0))&amp;"",""))</f>
        <v/>
      </c>
      <c r="G10" s="13" t="str">
        <f aca="false">IF(E10="","",IFERROR(INDEX('Plano de controle'!$N$10:$N$29,MATCH(E10,'Plano de controle'!$B$10:$B$29,0))&amp;"",""))</f>
        <v/>
      </c>
      <c r="H10" s="21" t="str">
        <f aca="false">IF(E10="","",IFERROR(IF(ISNUMBER(INDEX('Plano de controle'!$F$10:$F$29,MATCH(E10,'Plano de controle'!$B$10:$B$29,0))),INDEX('Plano de controle'!$F$10:$F$29,MATCH(E10,'Plano de controle'!$B$10:$B$29,0)),""),""))</f>
        <v/>
      </c>
      <c r="I10" s="21" t="str">
        <f aca="false">IF(E10="","",IFERROR(IF(ISNUMBER(INDEX('Plano de controle'!$G$10:$G$29,MATCH(E10,'Plano de controle'!$B$10:$B$29,0))),INDEX('Plano de controle'!$G$10:$G$29,MATCH(E10,'Plano de controle'!$B$10:$B$29,0)),""),""))</f>
        <v/>
      </c>
      <c r="J10" s="12"/>
      <c r="K10" s="11"/>
      <c r="L10" s="22" t="str">
        <f aca="false">IF(OR(E10="",F10=""),"",IF(AND(H10="",I10=""),IF(K10="","Falta o resultado",IF(K10="Sim","Dentro","Fora")),IF(J10="","Falta o valor",IF(AND(OR(H10="",J10&gt;=H10),OR(I10="",J10&lt;=I10)),"Dentro","Fora"))))</f>
        <v/>
      </c>
      <c r="M10" s="5"/>
      <c r="N10" s="5"/>
      <c r="O10" s="13" t="str">
        <f aca="false">IF(E10="",IF(COUNTA(C10:D10,J10:K10,M10)&gt;0,"Falta o controle",""),IF(F10="","Controle sem plano",IF(C10="","Falta a data",IF(D10="","Falta o lote ou o pedido",IF(LEFT(L10,5)="Falta",L10,IF(AND(L10="Fora",M10=""),"Fora sem reação registrada",IF(N10="","Falta quem mediu","OK")))))))</f>
        <v/>
      </c>
    </row>
    <row r="11" customFormat="false" ht="21.75" hidden="false" customHeight="true" outlineLevel="0" collapsed="false">
      <c r="B11" s="10" t="n">
        <v>5</v>
      </c>
      <c r="C11" s="20"/>
      <c r="D11" s="5"/>
      <c r="E11" s="11"/>
      <c r="F11" s="17" t="str">
        <f aca="false">IF(E11="","",IFERROR(INDEX('Plano de controle'!$D$10:$D$29,MATCH(E11,'Plano de controle'!$B$10:$B$29,0))&amp;"",""))</f>
        <v/>
      </c>
      <c r="G11" s="13" t="str">
        <f aca="false">IF(E11="","",IFERROR(INDEX('Plano de controle'!$N$10:$N$29,MATCH(E11,'Plano de controle'!$B$10:$B$29,0))&amp;"",""))</f>
        <v/>
      </c>
      <c r="H11" s="21" t="str">
        <f aca="false">IF(E11="","",IFERROR(IF(ISNUMBER(INDEX('Plano de controle'!$F$10:$F$29,MATCH(E11,'Plano de controle'!$B$10:$B$29,0))),INDEX('Plano de controle'!$F$10:$F$29,MATCH(E11,'Plano de controle'!$B$10:$B$29,0)),""),""))</f>
        <v/>
      </c>
      <c r="I11" s="21" t="str">
        <f aca="false">IF(E11="","",IFERROR(IF(ISNUMBER(INDEX('Plano de controle'!$G$10:$G$29,MATCH(E11,'Plano de controle'!$B$10:$B$29,0))),INDEX('Plano de controle'!$G$10:$G$29,MATCH(E11,'Plano de controle'!$B$10:$B$29,0)),""),""))</f>
        <v/>
      </c>
      <c r="J11" s="12"/>
      <c r="K11" s="11"/>
      <c r="L11" s="22" t="str">
        <f aca="false">IF(OR(E11="",F11=""),"",IF(AND(H11="",I11=""),IF(K11="","Falta o resultado",IF(K11="Sim","Dentro","Fora")),IF(J11="","Falta o valor",IF(AND(OR(H11="",J11&gt;=H11),OR(I11="",J11&lt;=I11)),"Dentro","Fora"))))</f>
        <v/>
      </c>
      <c r="M11" s="5"/>
      <c r="N11" s="5"/>
      <c r="O11" s="13" t="str">
        <f aca="false">IF(E11="",IF(COUNTA(C11:D11,J11:K11,M11)&gt;0,"Falta o controle",""),IF(F11="","Controle sem plano",IF(C11="","Falta a data",IF(D11="","Falta o lote ou o pedido",IF(LEFT(L11,5)="Falta",L11,IF(AND(L11="Fora",M11=""),"Fora sem reação registrada",IF(N11="","Falta quem mediu","OK")))))))</f>
        <v/>
      </c>
    </row>
    <row r="12" customFormat="false" ht="21.75" hidden="false" customHeight="true" outlineLevel="0" collapsed="false">
      <c r="B12" s="10" t="n">
        <v>6</v>
      </c>
      <c r="C12" s="20"/>
      <c r="D12" s="5"/>
      <c r="E12" s="11"/>
      <c r="F12" s="17" t="str">
        <f aca="false">IF(E12="","",IFERROR(INDEX('Plano de controle'!$D$10:$D$29,MATCH(E12,'Plano de controle'!$B$10:$B$29,0))&amp;"",""))</f>
        <v/>
      </c>
      <c r="G12" s="13" t="str">
        <f aca="false">IF(E12="","",IFERROR(INDEX('Plano de controle'!$N$10:$N$29,MATCH(E12,'Plano de controle'!$B$10:$B$29,0))&amp;"",""))</f>
        <v/>
      </c>
      <c r="H12" s="21" t="str">
        <f aca="false">IF(E12="","",IFERROR(IF(ISNUMBER(INDEX('Plano de controle'!$F$10:$F$29,MATCH(E12,'Plano de controle'!$B$10:$B$29,0))),INDEX('Plano de controle'!$F$10:$F$29,MATCH(E12,'Plano de controle'!$B$10:$B$29,0)),""),""))</f>
        <v/>
      </c>
      <c r="I12" s="21" t="str">
        <f aca="false">IF(E12="","",IFERROR(IF(ISNUMBER(INDEX('Plano de controle'!$G$10:$G$29,MATCH(E12,'Plano de controle'!$B$10:$B$29,0))),INDEX('Plano de controle'!$G$10:$G$29,MATCH(E12,'Plano de controle'!$B$10:$B$29,0)),""),""))</f>
        <v/>
      </c>
      <c r="J12" s="12"/>
      <c r="K12" s="11"/>
      <c r="L12" s="22" t="str">
        <f aca="false">IF(OR(E12="",F12=""),"",IF(AND(H12="",I12=""),IF(K12="","Falta o resultado",IF(K12="Sim","Dentro","Fora")),IF(J12="","Falta o valor",IF(AND(OR(H12="",J12&gt;=H12),OR(I12="",J12&lt;=I12)),"Dentro","Fora"))))</f>
        <v/>
      </c>
      <c r="M12" s="5"/>
      <c r="N12" s="5"/>
      <c r="O12" s="13" t="str">
        <f aca="false">IF(E12="",IF(COUNTA(C12:D12,J12:K12,M12)&gt;0,"Falta o controle",""),IF(F12="","Controle sem plano",IF(C12="","Falta a data",IF(D12="","Falta o lote ou o pedido",IF(LEFT(L12,5)="Falta",L12,IF(AND(L12="Fora",M12=""),"Fora sem reação registrada",IF(N12="","Falta quem mediu","OK")))))))</f>
        <v/>
      </c>
    </row>
    <row r="13" customFormat="false" ht="21.75" hidden="false" customHeight="true" outlineLevel="0" collapsed="false">
      <c r="B13" s="10" t="n">
        <v>7</v>
      </c>
      <c r="C13" s="20"/>
      <c r="D13" s="5"/>
      <c r="E13" s="11"/>
      <c r="F13" s="17" t="str">
        <f aca="false">IF(E13="","",IFERROR(INDEX('Plano de controle'!$D$10:$D$29,MATCH(E13,'Plano de controle'!$B$10:$B$29,0))&amp;"",""))</f>
        <v/>
      </c>
      <c r="G13" s="13" t="str">
        <f aca="false">IF(E13="","",IFERROR(INDEX('Plano de controle'!$N$10:$N$29,MATCH(E13,'Plano de controle'!$B$10:$B$29,0))&amp;"",""))</f>
        <v/>
      </c>
      <c r="H13" s="21" t="str">
        <f aca="false">IF(E13="","",IFERROR(IF(ISNUMBER(INDEX('Plano de controle'!$F$10:$F$29,MATCH(E13,'Plano de controle'!$B$10:$B$29,0))),INDEX('Plano de controle'!$F$10:$F$29,MATCH(E13,'Plano de controle'!$B$10:$B$29,0)),""),""))</f>
        <v/>
      </c>
      <c r="I13" s="21" t="str">
        <f aca="false">IF(E13="","",IFERROR(IF(ISNUMBER(INDEX('Plano de controle'!$G$10:$G$29,MATCH(E13,'Plano de controle'!$B$10:$B$29,0))),INDEX('Plano de controle'!$G$10:$G$29,MATCH(E13,'Plano de controle'!$B$10:$B$29,0)),""),""))</f>
        <v/>
      </c>
      <c r="J13" s="12"/>
      <c r="K13" s="11"/>
      <c r="L13" s="22" t="str">
        <f aca="false">IF(OR(E13="",F13=""),"",IF(AND(H13="",I13=""),IF(K13="","Falta o resultado",IF(K13="Sim","Dentro","Fora")),IF(J13="","Falta o valor",IF(AND(OR(H13="",J13&gt;=H13),OR(I13="",J13&lt;=I13)),"Dentro","Fora"))))</f>
        <v/>
      </c>
      <c r="M13" s="5"/>
      <c r="N13" s="5"/>
      <c r="O13" s="13" t="str">
        <f aca="false">IF(E13="",IF(COUNTA(C13:D13,J13:K13,M13)&gt;0,"Falta o controle",""),IF(F13="","Controle sem plano",IF(C13="","Falta a data",IF(D13="","Falta o lote ou o pedido",IF(LEFT(L13,5)="Falta",L13,IF(AND(L13="Fora",M13=""),"Fora sem reação registrada",IF(N13="","Falta quem mediu","OK")))))))</f>
        <v/>
      </c>
    </row>
    <row r="14" customFormat="false" ht="21.75" hidden="false" customHeight="true" outlineLevel="0" collapsed="false">
      <c r="B14" s="10" t="n">
        <v>8</v>
      </c>
      <c r="C14" s="20"/>
      <c r="D14" s="5"/>
      <c r="E14" s="11"/>
      <c r="F14" s="17" t="str">
        <f aca="false">IF(E14="","",IFERROR(INDEX('Plano de controle'!$D$10:$D$29,MATCH(E14,'Plano de controle'!$B$10:$B$29,0))&amp;"",""))</f>
        <v/>
      </c>
      <c r="G14" s="13" t="str">
        <f aca="false">IF(E14="","",IFERROR(INDEX('Plano de controle'!$N$10:$N$29,MATCH(E14,'Plano de controle'!$B$10:$B$29,0))&amp;"",""))</f>
        <v/>
      </c>
      <c r="H14" s="21" t="str">
        <f aca="false">IF(E14="","",IFERROR(IF(ISNUMBER(INDEX('Plano de controle'!$F$10:$F$29,MATCH(E14,'Plano de controle'!$B$10:$B$29,0))),INDEX('Plano de controle'!$F$10:$F$29,MATCH(E14,'Plano de controle'!$B$10:$B$29,0)),""),""))</f>
        <v/>
      </c>
      <c r="I14" s="21" t="str">
        <f aca="false">IF(E14="","",IFERROR(IF(ISNUMBER(INDEX('Plano de controle'!$G$10:$G$29,MATCH(E14,'Plano de controle'!$B$10:$B$29,0))),INDEX('Plano de controle'!$G$10:$G$29,MATCH(E14,'Plano de controle'!$B$10:$B$29,0)),""),""))</f>
        <v/>
      </c>
      <c r="J14" s="12"/>
      <c r="K14" s="11"/>
      <c r="L14" s="22" t="str">
        <f aca="false">IF(OR(E14="",F14=""),"",IF(AND(H14="",I14=""),IF(K14="","Falta o resultado",IF(K14="Sim","Dentro","Fora")),IF(J14="","Falta o valor",IF(AND(OR(H14="",J14&gt;=H14),OR(I14="",J14&lt;=I14)),"Dentro","Fora"))))</f>
        <v/>
      </c>
      <c r="M14" s="5"/>
      <c r="N14" s="5"/>
      <c r="O14" s="13" t="str">
        <f aca="false">IF(E14="",IF(COUNTA(C14:D14,J14:K14,M14)&gt;0,"Falta o controle",""),IF(F14="","Controle sem plano",IF(C14="","Falta a data",IF(D14="","Falta o lote ou o pedido",IF(LEFT(L14,5)="Falta",L14,IF(AND(L14="Fora",M14=""),"Fora sem reação registrada",IF(N14="","Falta quem mediu","OK")))))))</f>
        <v/>
      </c>
    </row>
    <row r="15" customFormat="false" ht="21.75" hidden="false" customHeight="true" outlineLevel="0" collapsed="false">
      <c r="B15" s="10" t="n">
        <v>9</v>
      </c>
      <c r="C15" s="20"/>
      <c r="D15" s="5"/>
      <c r="E15" s="11"/>
      <c r="F15" s="17" t="str">
        <f aca="false">IF(E15="","",IFERROR(INDEX('Plano de controle'!$D$10:$D$29,MATCH(E15,'Plano de controle'!$B$10:$B$29,0))&amp;"",""))</f>
        <v/>
      </c>
      <c r="G15" s="13" t="str">
        <f aca="false">IF(E15="","",IFERROR(INDEX('Plano de controle'!$N$10:$N$29,MATCH(E15,'Plano de controle'!$B$10:$B$29,0))&amp;"",""))</f>
        <v/>
      </c>
      <c r="H15" s="21" t="str">
        <f aca="false">IF(E15="","",IFERROR(IF(ISNUMBER(INDEX('Plano de controle'!$F$10:$F$29,MATCH(E15,'Plano de controle'!$B$10:$B$29,0))),INDEX('Plano de controle'!$F$10:$F$29,MATCH(E15,'Plano de controle'!$B$10:$B$29,0)),""),""))</f>
        <v/>
      </c>
      <c r="I15" s="21" t="str">
        <f aca="false">IF(E15="","",IFERROR(IF(ISNUMBER(INDEX('Plano de controle'!$G$10:$G$29,MATCH(E15,'Plano de controle'!$B$10:$B$29,0))),INDEX('Plano de controle'!$G$10:$G$29,MATCH(E15,'Plano de controle'!$B$10:$B$29,0)),""),""))</f>
        <v/>
      </c>
      <c r="J15" s="12"/>
      <c r="K15" s="11"/>
      <c r="L15" s="22" t="str">
        <f aca="false">IF(OR(E15="",F15=""),"",IF(AND(H15="",I15=""),IF(K15="","Falta o resultado",IF(K15="Sim","Dentro","Fora")),IF(J15="","Falta o valor",IF(AND(OR(H15="",J15&gt;=H15),OR(I15="",J15&lt;=I15)),"Dentro","Fora"))))</f>
        <v/>
      </c>
      <c r="M15" s="5"/>
      <c r="N15" s="5"/>
      <c r="O15" s="13" t="str">
        <f aca="false">IF(E15="",IF(COUNTA(C15:D15,J15:K15,M15)&gt;0,"Falta o controle",""),IF(F15="","Controle sem plano",IF(C15="","Falta a data",IF(D15="","Falta o lote ou o pedido",IF(LEFT(L15,5)="Falta",L15,IF(AND(L15="Fora",M15=""),"Fora sem reação registrada",IF(N15="","Falta quem mediu","OK")))))))</f>
        <v/>
      </c>
    </row>
    <row r="16" customFormat="false" ht="21.75" hidden="false" customHeight="true" outlineLevel="0" collapsed="false">
      <c r="B16" s="10" t="n">
        <v>10</v>
      </c>
      <c r="C16" s="20"/>
      <c r="D16" s="5"/>
      <c r="E16" s="11"/>
      <c r="F16" s="17" t="str">
        <f aca="false">IF(E16="","",IFERROR(INDEX('Plano de controle'!$D$10:$D$29,MATCH(E16,'Plano de controle'!$B$10:$B$29,0))&amp;"",""))</f>
        <v/>
      </c>
      <c r="G16" s="13" t="str">
        <f aca="false">IF(E16="","",IFERROR(INDEX('Plano de controle'!$N$10:$N$29,MATCH(E16,'Plano de controle'!$B$10:$B$29,0))&amp;"",""))</f>
        <v/>
      </c>
      <c r="H16" s="21" t="str">
        <f aca="false">IF(E16="","",IFERROR(IF(ISNUMBER(INDEX('Plano de controle'!$F$10:$F$29,MATCH(E16,'Plano de controle'!$B$10:$B$29,0))),INDEX('Plano de controle'!$F$10:$F$29,MATCH(E16,'Plano de controle'!$B$10:$B$29,0)),""),""))</f>
        <v/>
      </c>
      <c r="I16" s="21" t="str">
        <f aca="false">IF(E16="","",IFERROR(IF(ISNUMBER(INDEX('Plano de controle'!$G$10:$G$29,MATCH(E16,'Plano de controle'!$B$10:$B$29,0))),INDEX('Plano de controle'!$G$10:$G$29,MATCH(E16,'Plano de controle'!$B$10:$B$29,0)),""),""))</f>
        <v/>
      </c>
      <c r="J16" s="12"/>
      <c r="K16" s="11"/>
      <c r="L16" s="22" t="str">
        <f aca="false">IF(OR(E16="",F16=""),"",IF(AND(H16="",I16=""),IF(K16="","Falta o resultado",IF(K16="Sim","Dentro","Fora")),IF(J16="","Falta o valor",IF(AND(OR(H16="",J16&gt;=H16),OR(I16="",J16&lt;=I16)),"Dentro","Fora"))))</f>
        <v/>
      </c>
      <c r="M16" s="5"/>
      <c r="N16" s="5"/>
      <c r="O16" s="13" t="str">
        <f aca="false">IF(E16="",IF(COUNTA(C16:D16,J16:K16,M16)&gt;0,"Falta o controle",""),IF(F16="","Controle sem plano",IF(C16="","Falta a data",IF(D16="","Falta o lote ou o pedido",IF(LEFT(L16,5)="Falta",L16,IF(AND(L16="Fora",M16=""),"Fora sem reação registrada",IF(N16="","Falta quem mediu","OK")))))))</f>
        <v/>
      </c>
    </row>
    <row r="17" customFormat="false" ht="21.75" hidden="false" customHeight="true" outlineLevel="0" collapsed="false">
      <c r="B17" s="10" t="n">
        <v>11</v>
      </c>
      <c r="C17" s="20"/>
      <c r="D17" s="5"/>
      <c r="E17" s="11"/>
      <c r="F17" s="17" t="str">
        <f aca="false">IF(E17="","",IFERROR(INDEX('Plano de controle'!$D$10:$D$29,MATCH(E17,'Plano de controle'!$B$10:$B$29,0))&amp;"",""))</f>
        <v/>
      </c>
      <c r="G17" s="13" t="str">
        <f aca="false">IF(E17="","",IFERROR(INDEX('Plano de controle'!$N$10:$N$29,MATCH(E17,'Plano de controle'!$B$10:$B$29,0))&amp;"",""))</f>
        <v/>
      </c>
      <c r="H17" s="21" t="str">
        <f aca="false">IF(E17="","",IFERROR(IF(ISNUMBER(INDEX('Plano de controle'!$F$10:$F$29,MATCH(E17,'Plano de controle'!$B$10:$B$29,0))),INDEX('Plano de controle'!$F$10:$F$29,MATCH(E17,'Plano de controle'!$B$10:$B$29,0)),""),""))</f>
        <v/>
      </c>
      <c r="I17" s="21" t="str">
        <f aca="false">IF(E17="","",IFERROR(IF(ISNUMBER(INDEX('Plano de controle'!$G$10:$G$29,MATCH(E17,'Plano de controle'!$B$10:$B$29,0))),INDEX('Plano de controle'!$G$10:$G$29,MATCH(E17,'Plano de controle'!$B$10:$B$29,0)),""),""))</f>
        <v/>
      </c>
      <c r="J17" s="12"/>
      <c r="K17" s="11"/>
      <c r="L17" s="22" t="str">
        <f aca="false">IF(OR(E17="",F17=""),"",IF(AND(H17="",I17=""),IF(K17="","Falta o resultado",IF(K17="Sim","Dentro","Fora")),IF(J17="","Falta o valor",IF(AND(OR(H17="",J17&gt;=H17),OR(I17="",J17&lt;=I17)),"Dentro","Fora"))))</f>
        <v/>
      </c>
      <c r="M17" s="5"/>
      <c r="N17" s="5"/>
      <c r="O17" s="13" t="str">
        <f aca="false">IF(E17="",IF(COUNTA(C17:D17,J17:K17,M17)&gt;0,"Falta o controle",""),IF(F17="","Controle sem plano",IF(C17="","Falta a data",IF(D17="","Falta o lote ou o pedido",IF(LEFT(L17,5)="Falta",L17,IF(AND(L17="Fora",M17=""),"Fora sem reação registrada",IF(N17="","Falta quem mediu","OK")))))))</f>
        <v/>
      </c>
    </row>
    <row r="18" customFormat="false" ht="21.75" hidden="false" customHeight="true" outlineLevel="0" collapsed="false">
      <c r="B18" s="10" t="n">
        <v>12</v>
      </c>
      <c r="C18" s="20"/>
      <c r="D18" s="5"/>
      <c r="E18" s="11"/>
      <c r="F18" s="17" t="str">
        <f aca="false">IF(E18="","",IFERROR(INDEX('Plano de controle'!$D$10:$D$29,MATCH(E18,'Plano de controle'!$B$10:$B$29,0))&amp;"",""))</f>
        <v/>
      </c>
      <c r="G18" s="13" t="str">
        <f aca="false">IF(E18="","",IFERROR(INDEX('Plano de controle'!$N$10:$N$29,MATCH(E18,'Plano de controle'!$B$10:$B$29,0))&amp;"",""))</f>
        <v/>
      </c>
      <c r="H18" s="21" t="str">
        <f aca="false">IF(E18="","",IFERROR(IF(ISNUMBER(INDEX('Plano de controle'!$F$10:$F$29,MATCH(E18,'Plano de controle'!$B$10:$B$29,0))),INDEX('Plano de controle'!$F$10:$F$29,MATCH(E18,'Plano de controle'!$B$10:$B$29,0)),""),""))</f>
        <v/>
      </c>
      <c r="I18" s="21" t="str">
        <f aca="false">IF(E18="","",IFERROR(IF(ISNUMBER(INDEX('Plano de controle'!$G$10:$G$29,MATCH(E18,'Plano de controle'!$B$10:$B$29,0))),INDEX('Plano de controle'!$G$10:$G$29,MATCH(E18,'Plano de controle'!$B$10:$B$29,0)),""),""))</f>
        <v/>
      </c>
      <c r="J18" s="12"/>
      <c r="K18" s="11"/>
      <c r="L18" s="22" t="str">
        <f aca="false">IF(OR(E18="",F18=""),"",IF(AND(H18="",I18=""),IF(K18="","Falta o resultado",IF(K18="Sim","Dentro","Fora")),IF(J18="","Falta o valor",IF(AND(OR(H18="",J18&gt;=H18),OR(I18="",J18&lt;=I18)),"Dentro","Fora"))))</f>
        <v/>
      </c>
      <c r="M18" s="5"/>
      <c r="N18" s="5"/>
      <c r="O18" s="13" t="str">
        <f aca="false">IF(E18="",IF(COUNTA(C18:D18,J18:K18,M18)&gt;0,"Falta o controle",""),IF(F18="","Controle sem plano",IF(C18="","Falta a data",IF(D18="","Falta o lote ou o pedido",IF(LEFT(L18,5)="Falta",L18,IF(AND(L18="Fora",M18=""),"Fora sem reação registrada",IF(N18="","Falta quem mediu","OK")))))))</f>
        <v/>
      </c>
    </row>
    <row r="19" customFormat="false" ht="21.75" hidden="false" customHeight="true" outlineLevel="0" collapsed="false">
      <c r="B19" s="10" t="n">
        <v>13</v>
      </c>
      <c r="C19" s="20"/>
      <c r="D19" s="5"/>
      <c r="E19" s="11"/>
      <c r="F19" s="17" t="str">
        <f aca="false">IF(E19="","",IFERROR(INDEX('Plano de controle'!$D$10:$D$29,MATCH(E19,'Plano de controle'!$B$10:$B$29,0))&amp;"",""))</f>
        <v/>
      </c>
      <c r="G19" s="13" t="str">
        <f aca="false">IF(E19="","",IFERROR(INDEX('Plano de controle'!$N$10:$N$29,MATCH(E19,'Plano de controle'!$B$10:$B$29,0))&amp;"",""))</f>
        <v/>
      </c>
      <c r="H19" s="21" t="str">
        <f aca="false">IF(E19="","",IFERROR(IF(ISNUMBER(INDEX('Plano de controle'!$F$10:$F$29,MATCH(E19,'Plano de controle'!$B$10:$B$29,0))),INDEX('Plano de controle'!$F$10:$F$29,MATCH(E19,'Plano de controle'!$B$10:$B$29,0)),""),""))</f>
        <v/>
      </c>
      <c r="I19" s="21" t="str">
        <f aca="false">IF(E19="","",IFERROR(IF(ISNUMBER(INDEX('Plano de controle'!$G$10:$G$29,MATCH(E19,'Plano de controle'!$B$10:$B$29,0))),INDEX('Plano de controle'!$G$10:$G$29,MATCH(E19,'Plano de controle'!$B$10:$B$29,0)),""),""))</f>
        <v/>
      </c>
      <c r="J19" s="12"/>
      <c r="K19" s="11"/>
      <c r="L19" s="22" t="str">
        <f aca="false">IF(OR(E19="",F19=""),"",IF(AND(H19="",I19=""),IF(K19="","Falta o resultado",IF(K19="Sim","Dentro","Fora")),IF(J19="","Falta o valor",IF(AND(OR(H19="",J19&gt;=H19),OR(I19="",J19&lt;=I19)),"Dentro","Fora"))))</f>
        <v/>
      </c>
      <c r="M19" s="5"/>
      <c r="N19" s="5"/>
      <c r="O19" s="13" t="str">
        <f aca="false">IF(E19="",IF(COUNTA(C19:D19,J19:K19,M19)&gt;0,"Falta o controle",""),IF(F19="","Controle sem plano",IF(C19="","Falta a data",IF(D19="","Falta o lote ou o pedido",IF(LEFT(L19,5)="Falta",L19,IF(AND(L19="Fora",M19=""),"Fora sem reação registrada",IF(N19="","Falta quem mediu","OK")))))))</f>
        <v/>
      </c>
    </row>
    <row r="20" customFormat="false" ht="21.75" hidden="false" customHeight="true" outlineLevel="0" collapsed="false">
      <c r="B20" s="10" t="n">
        <v>14</v>
      </c>
      <c r="C20" s="20"/>
      <c r="D20" s="5"/>
      <c r="E20" s="11"/>
      <c r="F20" s="17" t="str">
        <f aca="false">IF(E20="","",IFERROR(INDEX('Plano de controle'!$D$10:$D$29,MATCH(E20,'Plano de controle'!$B$10:$B$29,0))&amp;"",""))</f>
        <v/>
      </c>
      <c r="G20" s="13" t="str">
        <f aca="false">IF(E20="","",IFERROR(INDEX('Plano de controle'!$N$10:$N$29,MATCH(E20,'Plano de controle'!$B$10:$B$29,0))&amp;"",""))</f>
        <v/>
      </c>
      <c r="H20" s="21" t="str">
        <f aca="false">IF(E20="","",IFERROR(IF(ISNUMBER(INDEX('Plano de controle'!$F$10:$F$29,MATCH(E20,'Plano de controle'!$B$10:$B$29,0))),INDEX('Plano de controle'!$F$10:$F$29,MATCH(E20,'Plano de controle'!$B$10:$B$29,0)),""),""))</f>
        <v/>
      </c>
      <c r="I20" s="21" t="str">
        <f aca="false">IF(E20="","",IFERROR(IF(ISNUMBER(INDEX('Plano de controle'!$G$10:$G$29,MATCH(E20,'Plano de controle'!$B$10:$B$29,0))),INDEX('Plano de controle'!$G$10:$G$29,MATCH(E20,'Plano de controle'!$B$10:$B$29,0)),""),""))</f>
        <v/>
      </c>
      <c r="J20" s="12"/>
      <c r="K20" s="11"/>
      <c r="L20" s="22" t="str">
        <f aca="false">IF(OR(E20="",F20=""),"",IF(AND(H20="",I20=""),IF(K20="","Falta o resultado",IF(K20="Sim","Dentro","Fora")),IF(J20="","Falta o valor",IF(AND(OR(H20="",J20&gt;=H20),OR(I20="",J20&lt;=I20)),"Dentro","Fora"))))</f>
        <v/>
      </c>
      <c r="M20" s="5"/>
      <c r="N20" s="5"/>
      <c r="O20" s="13" t="str">
        <f aca="false">IF(E20="",IF(COUNTA(C20:D20,J20:K20,M20)&gt;0,"Falta o controle",""),IF(F20="","Controle sem plano",IF(C20="","Falta a data",IF(D20="","Falta o lote ou o pedido",IF(LEFT(L20,5)="Falta",L20,IF(AND(L20="Fora",M20=""),"Fora sem reação registrada",IF(N20="","Falta quem mediu","OK")))))))</f>
        <v/>
      </c>
    </row>
    <row r="21" customFormat="false" ht="21.75" hidden="false" customHeight="true" outlineLevel="0" collapsed="false">
      <c r="B21" s="10" t="n">
        <v>15</v>
      </c>
      <c r="C21" s="20"/>
      <c r="D21" s="5"/>
      <c r="E21" s="11"/>
      <c r="F21" s="17" t="str">
        <f aca="false">IF(E21="","",IFERROR(INDEX('Plano de controle'!$D$10:$D$29,MATCH(E21,'Plano de controle'!$B$10:$B$29,0))&amp;"",""))</f>
        <v/>
      </c>
      <c r="G21" s="13" t="str">
        <f aca="false">IF(E21="","",IFERROR(INDEX('Plano de controle'!$N$10:$N$29,MATCH(E21,'Plano de controle'!$B$10:$B$29,0))&amp;"",""))</f>
        <v/>
      </c>
      <c r="H21" s="21" t="str">
        <f aca="false">IF(E21="","",IFERROR(IF(ISNUMBER(INDEX('Plano de controle'!$F$10:$F$29,MATCH(E21,'Plano de controle'!$B$10:$B$29,0))),INDEX('Plano de controle'!$F$10:$F$29,MATCH(E21,'Plano de controle'!$B$10:$B$29,0)),""),""))</f>
        <v/>
      </c>
      <c r="I21" s="21" t="str">
        <f aca="false">IF(E21="","",IFERROR(IF(ISNUMBER(INDEX('Plano de controle'!$G$10:$G$29,MATCH(E21,'Plano de controle'!$B$10:$B$29,0))),INDEX('Plano de controle'!$G$10:$G$29,MATCH(E21,'Plano de controle'!$B$10:$B$29,0)),""),""))</f>
        <v/>
      </c>
      <c r="J21" s="12"/>
      <c r="K21" s="11"/>
      <c r="L21" s="22" t="str">
        <f aca="false">IF(OR(E21="",F21=""),"",IF(AND(H21="",I21=""),IF(K21="","Falta o resultado",IF(K21="Sim","Dentro","Fora")),IF(J21="","Falta o valor",IF(AND(OR(H21="",J21&gt;=H21),OR(I21="",J21&lt;=I21)),"Dentro","Fora"))))</f>
        <v/>
      </c>
      <c r="M21" s="5"/>
      <c r="N21" s="5"/>
      <c r="O21" s="13" t="str">
        <f aca="false">IF(E21="",IF(COUNTA(C21:D21,J21:K21,M21)&gt;0,"Falta o controle",""),IF(F21="","Controle sem plano",IF(C21="","Falta a data",IF(D21="","Falta o lote ou o pedido",IF(LEFT(L21,5)="Falta",L21,IF(AND(L21="Fora",M21=""),"Fora sem reação registrada",IF(N21="","Falta quem mediu","OK")))))))</f>
        <v/>
      </c>
    </row>
    <row r="22" customFormat="false" ht="21.75" hidden="false" customHeight="true" outlineLevel="0" collapsed="false">
      <c r="B22" s="10" t="n">
        <v>16</v>
      </c>
      <c r="C22" s="20"/>
      <c r="D22" s="5"/>
      <c r="E22" s="11"/>
      <c r="F22" s="17" t="str">
        <f aca="false">IF(E22="","",IFERROR(INDEX('Plano de controle'!$D$10:$D$29,MATCH(E22,'Plano de controle'!$B$10:$B$29,0))&amp;"",""))</f>
        <v/>
      </c>
      <c r="G22" s="13" t="str">
        <f aca="false">IF(E22="","",IFERROR(INDEX('Plano de controle'!$N$10:$N$29,MATCH(E22,'Plano de controle'!$B$10:$B$29,0))&amp;"",""))</f>
        <v/>
      </c>
      <c r="H22" s="21" t="str">
        <f aca="false">IF(E22="","",IFERROR(IF(ISNUMBER(INDEX('Plano de controle'!$F$10:$F$29,MATCH(E22,'Plano de controle'!$B$10:$B$29,0))),INDEX('Plano de controle'!$F$10:$F$29,MATCH(E22,'Plano de controle'!$B$10:$B$29,0)),""),""))</f>
        <v/>
      </c>
      <c r="I22" s="21" t="str">
        <f aca="false">IF(E22="","",IFERROR(IF(ISNUMBER(INDEX('Plano de controle'!$G$10:$G$29,MATCH(E22,'Plano de controle'!$B$10:$B$29,0))),INDEX('Plano de controle'!$G$10:$G$29,MATCH(E22,'Plano de controle'!$B$10:$B$29,0)),""),""))</f>
        <v/>
      </c>
      <c r="J22" s="12"/>
      <c r="K22" s="11"/>
      <c r="L22" s="22" t="str">
        <f aca="false">IF(OR(E22="",F22=""),"",IF(AND(H22="",I22=""),IF(K22="","Falta o resultado",IF(K22="Sim","Dentro","Fora")),IF(J22="","Falta o valor",IF(AND(OR(H22="",J22&gt;=H22),OR(I22="",J22&lt;=I22)),"Dentro","Fora"))))</f>
        <v/>
      </c>
      <c r="M22" s="5"/>
      <c r="N22" s="5"/>
      <c r="O22" s="13" t="str">
        <f aca="false">IF(E22="",IF(COUNTA(C22:D22,J22:K22,M22)&gt;0,"Falta o controle",""),IF(F22="","Controle sem plano",IF(C22="","Falta a data",IF(D22="","Falta o lote ou o pedido",IF(LEFT(L22,5)="Falta",L22,IF(AND(L22="Fora",M22=""),"Fora sem reação registrada",IF(N22="","Falta quem mediu","OK")))))))</f>
        <v/>
      </c>
    </row>
    <row r="23" customFormat="false" ht="21.75" hidden="false" customHeight="true" outlineLevel="0" collapsed="false">
      <c r="B23" s="10" t="n">
        <v>17</v>
      </c>
      <c r="C23" s="20"/>
      <c r="D23" s="5"/>
      <c r="E23" s="11"/>
      <c r="F23" s="17" t="str">
        <f aca="false">IF(E23="","",IFERROR(INDEX('Plano de controle'!$D$10:$D$29,MATCH(E23,'Plano de controle'!$B$10:$B$29,0))&amp;"",""))</f>
        <v/>
      </c>
      <c r="G23" s="13" t="str">
        <f aca="false">IF(E23="","",IFERROR(INDEX('Plano de controle'!$N$10:$N$29,MATCH(E23,'Plano de controle'!$B$10:$B$29,0))&amp;"",""))</f>
        <v/>
      </c>
      <c r="H23" s="21" t="str">
        <f aca="false">IF(E23="","",IFERROR(IF(ISNUMBER(INDEX('Plano de controle'!$F$10:$F$29,MATCH(E23,'Plano de controle'!$B$10:$B$29,0))),INDEX('Plano de controle'!$F$10:$F$29,MATCH(E23,'Plano de controle'!$B$10:$B$29,0)),""),""))</f>
        <v/>
      </c>
      <c r="I23" s="21" t="str">
        <f aca="false">IF(E23="","",IFERROR(IF(ISNUMBER(INDEX('Plano de controle'!$G$10:$G$29,MATCH(E23,'Plano de controle'!$B$10:$B$29,0))),INDEX('Plano de controle'!$G$10:$G$29,MATCH(E23,'Plano de controle'!$B$10:$B$29,0)),""),""))</f>
        <v/>
      </c>
      <c r="J23" s="12"/>
      <c r="K23" s="11"/>
      <c r="L23" s="22" t="str">
        <f aca="false">IF(OR(E23="",F23=""),"",IF(AND(H23="",I23=""),IF(K23="","Falta o resultado",IF(K23="Sim","Dentro","Fora")),IF(J23="","Falta o valor",IF(AND(OR(H23="",J23&gt;=H23),OR(I23="",J23&lt;=I23)),"Dentro","Fora"))))</f>
        <v/>
      </c>
      <c r="M23" s="5"/>
      <c r="N23" s="5"/>
      <c r="O23" s="13" t="str">
        <f aca="false">IF(E23="",IF(COUNTA(C23:D23,J23:K23,M23)&gt;0,"Falta o controle",""),IF(F23="","Controle sem plano",IF(C23="","Falta a data",IF(D23="","Falta o lote ou o pedido",IF(LEFT(L23,5)="Falta",L23,IF(AND(L23="Fora",M23=""),"Fora sem reação registrada",IF(N23="","Falta quem mediu","OK")))))))</f>
        <v/>
      </c>
    </row>
    <row r="24" customFormat="false" ht="21.75" hidden="false" customHeight="true" outlineLevel="0" collapsed="false">
      <c r="B24" s="10" t="n">
        <v>18</v>
      </c>
      <c r="C24" s="20"/>
      <c r="D24" s="5"/>
      <c r="E24" s="11"/>
      <c r="F24" s="17" t="str">
        <f aca="false">IF(E24="","",IFERROR(INDEX('Plano de controle'!$D$10:$D$29,MATCH(E24,'Plano de controle'!$B$10:$B$29,0))&amp;"",""))</f>
        <v/>
      </c>
      <c r="G24" s="13" t="str">
        <f aca="false">IF(E24="","",IFERROR(INDEX('Plano de controle'!$N$10:$N$29,MATCH(E24,'Plano de controle'!$B$10:$B$29,0))&amp;"",""))</f>
        <v/>
      </c>
      <c r="H24" s="21" t="str">
        <f aca="false">IF(E24="","",IFERROR(IF(ISNUMBER(INDEX('Plano de controle'!$F$10:$F$29,MATCH(E24,'Plano de controle'!$B$10:$B$29,0))),INDEX('Plano de controle'!$F$10:$F$29,MATCH(E24,'Plano de controle'!$B$10:$B$29,0)),""),""))</f>
        <v/>
      </c>
      <c r="I24" s="21" t="str">
        <f aca="false">IF(E24="","",IFERROR(IF(ISNUMBER(INDEX('Plano de controle'!$G$10:$G$29,MATCH(E24,'Plano de controle'!$B$10:$B$29,0))),INDEX('Plano de controle'!$G$10:$G$29,MATCH(E24,'Plano de controle'!$B$10:$B$29,0)),""),""))</f>
        <v/>
      </c>
      <c r="J24" s="12"/>
      <c r="K24" s="11"/>
      <c r="L24" s="22" t="str">
        <f aca="false">IF(OR(E24="",F24=""),"",IF(AND(H24="",I24=""),IF(K24="","Falta o resultado",IF(K24="Sim","Dentro","Fora")),IF(J24="","Falta o valor",IF(AND(OR(H24="",J24&gt;=H24),OR(I24="",J24&lt;=I24)),"Dentro","Fora"))))</f>
        <v/>
      </c>
      <c r="M24" s="5"/>
      <c r="N24" s="5"/>
      <c r="O24" s="13" t="str">
        <f aca="false">IF(E24="",IF(COUNTA(C24:D24,J24:K24,M24)&gt;0,"Falta o controle",""),IF(F24="","Controle sem plano",IF(C24="","Falta a data",IF(D24="","Falta o lote ou o pedido",IF(LEFT(L24,5)="Falta",L24,IF(AND(L24="Fora",M24=""),"Fora sem reação registrada",IF(N24="","Falta quem mediu","OK")))))))</f>
        <v/>
      </c>
    </row>
    <row r="25" customFormat="false" ht="21.75" hidden="false" customHeight="true" outlineLevel="0" collapsed="false">
      <c r="B25" s="10" t="n">
        <v>19</v>
      </c>
      <c r="C25" s="20"/>
      <c r="D25" s="5"/>
      <c r="E25" s="11"/>
      <c r="F25" s="17" t="str">
        <f aca="false">IF(E25="","",IFERROR(INDEX('Plano de controle'!$D$10:$D$29,MATCH(E25,'Plano de controle'!$B$10:$B$29,0))&amp;"",""))</f>
        <v/>
      </c>
      <c r="G25" s="13" t="str">
        <f aca="false">IF(E25="","",IFERROR(INDEX('Plano de controle'!$N$10:$N$29,MATCH(E25,'Plano de controle'!$B$10:$B$29,0))&amp;"",""))</f>
        <v/>
      </c>
      <c r="H25" s="21" t="str">
        <f aca="false">IF(E25="","",IFERROR(IF(ISNUMBER(INDEX('Plano de controle'!$F$10:$F$29,MATCH(E25,'Plano de controle'!$B$10:$B$29,0))),INDEX('Plano de controle'!$F$10:$F$29,MATCH(E25,'Plano de controle'!$B$10:$B$29,0)),""),""))</f>
        <v/>
      </c>
      <c r="I25" s="21" t="str">
        <f aca="false">IF(E25="","",IFERROR(IF(ISNUMBER(INDEX('Plano de controle'!$G$10:$G$29,MATCH(E25,'Plano de controle'!$B$10:$B$29,0))),INDEX('Plano de controle'!$G$10:$G$29,MATCH(E25,'Plano de controle'!$B$10:$B$29,0)),""),""))</f>
        <v/>
      </c>
      <c r="J25" s="12"/>
      <c r="K25" s="11"/>
      <c r="L25" s="22" t="str">
        <f aca="false">IF(OR(E25="",F25=""),"",IF(AND(H25="",I25=""),IF(K25="","Falta o resultado",IF(K25="Sim","Dentro","Fora")),IF(J25="","Falta o valor",IF(AND(OR(H25="",J25&gt;=H25),OR(I25="",J25&lt;=I25)),"Dentro","Fora"))))</f>
        <v/>
      </c>
      <c r="M25" s="5"/>
      <c r="N25" s="5"/>
      <c r="O25" s="13" t="str">
        <f aca="false">IF(E25="",IF(COUNTA(C25:D25,J25:K25,M25)&gt;0,"Falta o controle",""),IF(F25="","Controle sem plano",IF(C25="","Falta a data",IF(D25="","Falta o lote ou o pedido",IF(LEFT(L25,5)="Falta",L25,IF(AND(L25="Fora",M25=""),"Fora sem reação registrada",IF(N25="","Falta quem mediu","OK")))))))</f>
        <v/>
      </c>
    </row>
    <row r="26" customFormat="false" ht="21.75" hidden="false" customHeight="true" outlineLevel="0" collapsed="false">
      <c r="B26" s="10" t="n">
        <v>20</v>
      </c>
      <c r="C26" s="20"/>
      <c r="D26" s="5"/>
      <c r="E26" s="11"/>
      <c r="F26" s="17" t="str">
        <f aca="false">IF(E26="","",IFERROR(INDEX('Plano de controle'!$D$10:$D$29,MATCH(E26,'Plano de controle'!$B$10:$B$29,0))&amp;"",""))</f>
        <v/>
      </c>
      <c r="G26" s="13" t="str">
        <f aca="false">IF(E26="","",IFERROR(INDEX('Plano de controle'!$N$10:$N$29,MATCH(E26,'Plano de controle'!$B$10:$B$29,0))&amp;"",""))</f>
        <v/>
      </c>
      <c r="H26" s="21" t="str">
        <f aca="false">IF(E26="","",IFERROR(IF(ISNUMBER(INDEX('Plano de controle'!$F$10:$F$29,MATCH(E26,'Plano de controle'!$B$10:$B$29,0))),INDEX('Plano de controle'!$F$10:$F$29,MATCH(E26,'Plano de controle'!$B$10:$B$29,0)),""),""))</f>
        <v/>
      </c>
      <c r="I26" s="21" t="str">
        <f aca="false">IF(E26="","",IFERROR(IF(ISNUMBER(INDEX('Plano de controle'!$G$10:$G$29,MATCH(E26,'Plano de controle'!$B$10:$B$29,0))),INDEX('Plano de controle'!$G$10:$G$29,MATCH(E26,'Plano de controle'!$B$10:$B$29,0)),""),""))</f>
        <v/>
      </c>
      <c r="J26" s="12"/>
      <c r="K26" s="11"/>
      <c r="L26" s="22" t="str">
        <f aca="false">IF(OR(E26="",F26=""),"",IF(AND(H26="",I26=""),IF(K26="","Falta o resultado",IF(K26="Sim","Dentro","Fora")),IF(J26="","Falta o valor",IF(AND(OR(H26="",J26&gt;=H26),OR(I26="",J26&lt;=I26)),"Dentro","Fora"))))</f>
        <v/>
      </c>
      <c r="M26" s="5"/>
      <c r="N26" s="5"/>
      <c r="O26" s="13" t="str">
        <f aca="false">IF(E26="",IF(COUNTA(C26:D26,J26:K26,M26)&gt;0,"Falta o controle",""),IF(F26="","Controle sem plano",IF(C26="","Falta a data",IF(D26="","Falta o lote ou o pedido",IF(LEFT(L26,5)="Falta",L26,IF(AND(L26="Fora",M26=""),"Fora sem reação registrada",IF(N26="","Falta quem mediu","OK")))))))</f>
        <v/>
      </c>
    </row>
    <row r="27" customFormat="false" ht="21.75" hidden="false" customHeight="true" outlineLevel="0" collapsed="false">
      <c r="B27" s="10" t="n">
        <v>21</v>
      </c>
      <c r="C27" s="20"/>
      <c r="D27" s="5"/>
      <c r="E27" s="11"/>
      <c r="F27" s="17" t="str">
        <f aca="false">IF(E27="","",IFERROR(INDEX('Plano de controle'!$D$10:$D$29,MATCH(E27,'Plano de controle'!$B$10:$B$29,0))&amp;"",""))</f>
        <v/>
      </c>
      <c r="G27" s="13" t="str">
        <f aca="false">IF(E27="","",IFERROR(INDEX('Plano de controle'!$N$10:$N$29,MATCH(E27,'Plano de controle'!$B$10:$B$29,0))&amp;"",""))</f>
        <v/>
      </c>
      <c r="H27" s="21" t="str">
        <f aca="false">IF(E27="","",IFERROR(IF(ISNUMBER(INDEX('Plano de controle'!$F$10:$F$29,MATCH(E27,'Plano de controle'!$B$10:$B$29,0))),INDEX('Plano de controle'!$F$10:$F$29,MATCH(E27,'Plano de controle'!$B$10:$B$29,0)),""),""))</f>
        <v/>
      </c>
      <c r="I27" s="21" t="str">
        <f aca="false">IF(E27="","",IFERROR(IF(ISNUMBER(INDEX('Plano de controle'!$G$10:$G$29,MATCH(E27,'Plano de controle'!$B$10:$B$29,0))),INDEX('Plano de controle'!$G$10:$G$29,MATCH(E27,'Plano de controle'!$B$10:$B$29,0)),""),""))</f>
        <v/>
      </c>
      <c r="J27" s="12"/>
      <c r="K27" s="11"/>
      <c r="L27" s="22" t="str">
        <f aca="false">IF(OR(E27="",F27=""),"",IF(AND(H27="",I27=""),IF(K27="","Falta o resultado",IF(K27="Sim","Dentro","Fora")),IF(J27="","Falta o valor",IF(AND(OR(H27="",J27&gt;=H27),OR(I27="",J27&lt;=I27)),"Dentro","Fora"))))</f>
        <v/>
      </c>
      <c r="M27" s="5"/>
      <c r="N27" s="5"/>
      <c r="O27" s="13" t="str">
        <f aca="false">IF(E27="",IF(COUNTA(C27:D27,J27:K27,M27)&gt;0,"Falta o controle",""),IF(F27="","Controle sem plano",IF(C27="","Falta a data",IF(D27="","Falta o lote ou o pedido",IF(LEFT(L27,5)="Falta",L27,IF(AND(L27="Fora",M27=""),"Fora sem reação registrada",IF(N27="","Falta quem mediu","OK")))))))</f>
        <v/>
      </c>
    </row>
    <row r="28" customFormat="false" ht="21.75" hidden="false" customHeight="true" outlineLevel="0" collapsed="false">
      <c r="B28" s="10" t="n">
        <v>22</v>
      </c>
      <c r="C28" s="20"/>
      <c r="D28" s="5"/>
      <c r="E28" s="11"/>
      <c r="F28" s="17" t="str">
        <f aca="false">IF(E28="","",IFERROR(INDEX('Plano de controle'!$D$10:$D$29,MATCH(E28,'Plano de controle'!$B$10:$B$29,0))&amp;"",""))</f>
        <v/>
      </c>
      <c r="G28" s="13" t="str">
        <f aca="false">IF(E28="","",IFERROR(INDEX('Plano de controle'!$N$10:$N$29,MATCH(E28,'Plano de controle'!$B$10:$B$29,0))&amp;"",""))</f>
        <v/>
      </c>
      <c r="H28" s="21" t="str">
        <f aca="false">IF(E28="","",IFERROR(IF(ISNUMBER(INDEX('Plano de controle'!$F$10:$F$29,MATCH(E28,'Plano de controle'!$B$10:$B$29,0))),INDEX('Plano de controle'!$F$10:$F$29,MATCH(E28,'Plano de controle'!$B$10:$B$29,0)),""),""))</f>
        <v/>
      </c>
      <c r="I28" s="21" t="str">
        <f aca="false">IF(E28="","",IFERROR(IF(ISNUMBER(INDEX('Plano de controle'!$G$10:$G$29,MATCH(E28,'Plano de controle'!$B$10:$B$29,0))),INDEX('Plano de controle'!$G$10:$G$29,MATCH(E28,'Plano de controle'!$B$10:$B$29,0)),""),""))</f>
        <v/>
      </c>
      <c r="J28" s="12"/>
      <c r="K28" s="11"/>
      <c r="L28" s="22" t="str">
        <f aca="false">IF(OR(E28="",F28=""),"",IF(AND(H28="",I28=""),IF(K28="","Falta o resultado",IF(K28="Sim","Dentro","Fora")),IF(J28="","Falta o valor",IF(AND(OR(H28="",J28&gt;=H28),OR(I28="",J28&lt;=I28)),"Dentro","Fora"))))</f>
        <v/>
      </c>
      <c r="M28" s="5"/>
      <c r="N28" s="5"/>
      <c r="O28" s="13" t="str">
        <f aca="false">IF(E28="",IF(COUNTA(C28:D28,J28:K28,M28)&gt;0,"Falta o controle",""),IF(F28="","Controle sem plano",IF(C28="","Falta a data",IF(D28="","Falta o lote ou o pedido",IF(LEFT(L28,5)="Falta",L28,IF(AND(L28="Fora",M28=""),"Fora sem reação registrada",IF(N28="","Falta quem mediu","OK")))))))</f>
        <v/>
      </c>
    </row>
    <row r="29" customFormat="false" ht="21.75" hidden="false" customHeight="true" outlineLevel="0" collapsed="false">
      <c r="B29" s="10" t="n">
        <v>23</v>
      </c>
      <c r="C29" s="20"/>
      <c r="D29" s="5"/>
      <c r="E29" s="11"/>
      <c r="F29" s="17" t="str">
        <f aca="false">IF(E29="","",IFERROR(INDEX('Plano de controle'!$D$10:$D$29,MATCH(E29,'Plano de controle'!$B$10:$B$29,0))&amp;"",""))</f>
        <v/>
      </c>
      <c r="G29" s="13" t="str">
        <f aca="false">IF(E29="","",IFERROR(INDEX('Plano de controle'!$N$10:$N$29,MATCH(E29,'Plano de controle'!$B$10:$B$29,0))&amp;"",""))</f>
        <v/>
      </c>
      <c r="H29" s="21" t="str">
        <f aca="false">IF(E29="","",IFERROR(IF(ISNUMBER(INDEX('Plano de controle'!$F$10:$F$29,MATCH(E29,'Plano de controle'!$B$10:$B$29,0))),INDEX('Plano de controle'!$F$10:$F$29,MATCH(E29,'Plano de controle'!$B$10:$B$29,0)),""),""))</f>
        <v/>
      </c>
      <c r="I29" s="21" t="str">
        <f aca="false">IF(E29="","",IFERROR(IF(ISNUMBER(INDEX('Plano de controle'!$G$10:$G$29,MATCH(E29,'Plano de controle'!$B$10:$B$29,0))),INDEX('Plano de controle'!$G$10:$G$29,MATCH(E29,'Plano de controle'!$B$10:$B$29,0)),""),""))</f>
        <v/>
      </c>
      <c r="J29" s="12"/>
      <c r="K29" s="11"/>
      <c r="L29" s="22" t="str">
        <f aca="false">IF(OR(E29="",F29=""),"",IF(AND(H29="",I29=""),IF(K29="","Falta o resultado",IF(K29="Sim","Dentro","Fora")),IF(J29="","Falta o valor",IF(AND(OR(H29="",J29&gt;=H29),OR(I29="",J29&lt;=I29)),"Dentro","Fora"))))</f>
        <v/>
      </c>
      <c r="M29" s="5"/>
      <c r="N29" s="5"/>
      <c r="O29" s="13" t="str">
        <f aca="false">IF(E29="",IF(COUNTA(C29:D29,J29:K29,M29)&gt;0,"Falta o controle",""),IF(F29="","Controle sem plano",IF(C29="","Falta a data",IF(D29="","Falta o lote ou o pedido",IF(LEFT(L29,5)="Falta",L29,IF(AND(L29="Fora",M29=""),"Fora sem reação registrada",IF(N29="","Falta quem mediu","OK")))))))</f>
        <v/>
      </c>
    </row>
    <row r="30" customFormat="false" ht="21.75" hidden="false" customHeight="true" outlineLevel="0" collapsed="false">
      <c r="B30" s="10" t="n">
        <v>24</v>
      </c>
      <c r="C30" s="20"/>
      <c r="D30" s="5"/>
      <c r="E30" s="11"/>
      <c r="F30" s="17" t="str">
        <f aca="false">IF(E30="","",IFERROR(INDEX('Plano de controle'!$D$10:$D$29,MATCH(E30,'Plano de controle'!$B$10:$B$29,0))&amp;"",""))</f>
        <v/>
      </c>
      <c r="G30" s="13" t="str">
        <f aca="false">IF(E30="","",IFERROR(INDEX('Plano de controle'!$N$10:$N$29,MATCH(E30,'Plano de controle'!$B$10:$B$29,0))&amp;"",""))</f>
        <v/>
      </c>
      <c r="H30" s="21" t="str">
        <f aca="false">IF(E30="","",IFERROR(IF(ISNUMBER(INDEX('Plano de controle'!$F$10:$F$29,MATCH(E30,'Plano de controle'!$B$10:$B$29,0))),INDEX('Plano de controle'!$F$10:$F$29,MATCH(E30,'Plano de controle'!$B$10:$B$29,0)),""),""))</f>
        <v/>
      </c>
      <c r="I30" s="21" t="str">
        <f aca="false">IF(E30="","",IFERROR(IF(ISNUMBER(INDEX('Plano de controle'!$G$10:$G$29,MATCH(E30,'Plano de controle'!$B$10:$B$29,0))),INDEX('Plano de controle'!$G$10:$G$29,MATCH(E30,'Plano de controle'!$B$10:$B$29,0)),""),""))</f>
        <v/>
      </c>
      <c r="J30" s="12"/>
      <c r="K30" s="11"/>
      <c r="L30" s="22" t="str">
        <f aca="false">IF(OR(E30="",F30=""),"",IF(AND(H30="",I30=""),IF(K30="","Falta o resultado",IF(K30="Sim","Dentro","Fora")),IF(J30="","Falta o valor",IF(AND(OR(H30="",J30&gt;=H30),OR(I30="",J30&lt;=I30)),"Dentro","Fora"))))</f>
        <v/>
      </c>
      <c r="M30" s="5"/>
      <c r="N30" s="5"/>
      <c r="O30" s="13" t="str">
        <f aca="false">IF(E30="",IF(COUNTA(C30:D30,J30:K30,M30)&gt;0,"Falta o controle",""),IF(F30="","Controle sem plano",IF(C30="","Falta a data",IF(D30="","Falta o lote ou o pedido",IF(LEFT(L30,5)="Falta",L30,IF(AND(L30="Fora",M30=""),"Fora sem reação registrada",IF(N30="","Falta quem mediu","OK")))))))</f>
        <v/>
      </c>
    </row>
    <row r="31" customFormat="false" ht="21.75" hidden="false" customHeight="true" outlineLevel="0" collapsed="false">
      <c r="B31" s="10" t="n">
        <v>25</v>
      </c>
      <c r="C31" s="20"/>
      <c r="D31" s="5"/>
      <c r="E31" s="11"/>
      <c r="F31" s="17" t="str">
        <f aca="false">IF(E31="","",IFERROR(INDEX('Plano de controle'!$D$10:$D$29,MATCH(E31,'Plano de controle'!$B$10:$B$29,0))&amp;"",""))</f>
        <v/>
      </c>
      <c r="G31" s="13" t="str">
        <f aca="false">IF(E31="","",IFERROR(INDEX('Plano de controle'!$N$10:$N$29,MATCH(E31,'Plano de controle'!$B$10:$B$29,0))&amp;"",""))</f>
        <v/>
      </c>
      <c r="H31" s="21" t="str">
        <f aca="false">IF(E31="","",IFERROR(IF(ISNUMBER(INDEX('Plano de controle'!$F$10:$F$29,MATCH(E31,'Plano de controle'!$B$10:$B$29,0))),INDEX('Plano de controle'!$F$10:$F$29,MATCH(E31,'Plano de controle'!$B$10:$B$29,0)),""),""))</f>
        <v/>
      </c>
      <c r="I31" s="21" t="str">
        <f aca="false">IF(E31="","",IFERROR(IF(ISNUMBER(INDEX('Plano de controle'!$G$10:$G$29,MATCH(E31,'Plano de controle'!$B$10:$B$29,0))),INDEX('Plano de controle'!$G$10:$G$29,MATCH(E31,'Plano de controle'!$B$10:$B$29,0)),""),""))</f>
        <v/>
      </c>
      <c r="J31" s="12"/>
      <c r="K31" s="11"/>
      <c r="L31" s="22" t="str">
        <f aca="false">IF(OR(E31="",F31=""),"",IF(AND(H31="",I31=""),IF(K31="","Falta o resultado",IF(K31="Sim","Dentro","Fora")),IF(J31="","Falta o valor",IF(AND(OR(H31="",J31&gt;=H31),OR(I31="",J31&lt;=I31)),"Dentro","Fora"))))</f>
        <v/>
      </c>
      <c r="M31" s="5"/>
      <c r="N31" s="5"/>
      <c r="O31" s="13" t="str">
        <f aca="false">IF(E31="",IF(COUNTA(C31:D31,J31:K31,M31)&gt;0,"Falta o controle",""),IF(F31="","Controle sem plano",IF(C31="","Falta a data",IF(D31="","Falta o lote ou o pedido",IF(LEFT(L31,5)="Falta",L31,IF(AND(L31="Fora",M31=""),"Fora sem reação registrada",IF(N31="","Falta quem mediu","OK")))))))</f>
        <v/>
      </c>
    </row>
    <row r="32" customFormat="false" ht="21.75" hidden="false" customHeight="true" outlineLevel="0" collapsed="false">
      <c r="B32" s="10" t="n">
        <v>26</v>
      </c>
      <c r="C32" s="20"/>
      <c r="D32" s="5"/>
      <c r="E32" s="11"/>
      <c r="F32" s="17" t="str">
        <f aca="false">IF(E32="","",IFERROR(INDEX('Plano de controle'!$D$10:$D$29,MATCH(E32,'Plano de controle'!$B$10:$B$29,0))&amp;"",""))</f>
        <v/>
      </c>
      <c r="G32" s="13" t="str">
        <f aca="false">IF(E32="","",IFERROR(INDEX('Plano de controle'!$N$10:$N$29,MATCH(E32,'Plano de controle'!$B$10:$B$29,0))&amp;"",""))</f>
        <v/>
      </c>
      <c r="H32" s="21" t="str">
        <f aca="false">IF(E32="","",IFERROR(IF(ISNUMBER(INDEX('Plano de controle'!$F$10:$F$29,MATCH(E32,'Plano de controle'!$B$10:$B$29,0))),INDEX('Plano de controle'!$F$10:$F$29,MATCH(E32,'Plano de controle'!$B$10:$B$29,0)),""),""))</f>
        <v/>
      </c>
      <c r="I32" s="21" t="str">
        <f aca="false">IF(E32="","",IFERROR(IF(ISNUMBER(INDEX('Plano de controle'!$G$10:$G$29,MATCH(E32,'Plano de controle'!$B$10:$B$29,0))),INDEX('Plano de controle'!$G$10:$G$29,MATCH(E32,'Plano de controle'!$B$10:$B$29,0)),""),""))</f>
        <v/>
      </c>
      <c r="J32" s="12"/>
      <c r="K32" s="11"/>
      <c r="L32" s="22" t="str">
        <f aca="false">IF(OR(E32="",F32=""),"",IF(AND(H32="",I32=""),IF(K32="","Falta o resultado",IF(K32="Sim","Dentro","Fora")),IF(J32="","Falta o valor",IF(AND(OR(H32="",J32&gt;=H32),OR(I32="",J32&lt;=I32)),"Dentro","Fora"))))</f>
        <v/>
      </c>
      <c r="M32" s="5"/>
      <c r="N32" s="5"/>
      <c r="O32" s="13" t="str">
        <f aca="false">IF(E32="",IF(COUNTA(C32:D32,J32:K32,M32)&gt;0,"Falta o controle",""),IF(F32="","Controle sem plano",IF(C32="","Falta a data",IF(D32="","Falta o lote ou o pedido",IF(LEFT(L32,5)="Falta",L32,IF(AND(L32="Fora",M32=""),"Fora sem reação registrada",IF(N32="","Falta quem mediu","OK")))))))</f>
        <v/>
      </c>
    </row>
    <row r="33" customFormat="false" ht="21.75" hidden="false" customHeight="true" outlineLevel="0" collapsed="false">
      <c r="B33" s="10" t="n">
        <v>27</v>
      </c>
      <c r="C33" s="20"/>
      <c r="D33" s="5"/>
      <c r="E33" s="11"/>
      <c r="F33" s="17" t="str">
        <f aca="false">IF(E33="","",IFERROR(INDEX('Plano de controle'!$D$10:$D$29,MATCH(E33,'Plano de controle'!$B$10:$B$29,0))&amp;"",""))</f>
        <v/>
      </c>
      <c r="G33" s="13" t="str">
        <f aca="false">IF(E33="","",IFERROR(INDEX('Plano de controle'!$N$10:$N$29,MATCH(E33,'Plano de controle'!$B$10:$B$29,0))&amp;"",""))</f>
        <v/>
      </c>
      <c r="H33" s="21" t="str">
        <f aca="false">IF(E33="","",IFERROR(IF(ISNUMBER(INDEX('Plano de controle'!$F$10:$F$29,MATCH(E33,'Plano de controle'!$B$10:$B$29,0))),INDEX('Plano de controle'!$F$10:$F$29,MATCH(E33,'Plano de controle'!$B$10:$B$29,0)),""),""))</f>
        <v/>
      </c>
      <c r="I33" s="21" t="str">
        <f aca="false">IF(E33="","",IFERROR(IF(ISNUMBER(INDEX('Plano de controle'!$G$10:$G$29,MATCH(E33,'Plano de controle'!$B$10:$B$29,0))),INDEX('Plano de controle'!$G$10:$G$29,MATCH(E33,'Plano de controle'!$B$10:$B$29,0)),""),""))</f>
        <v/>
      </c>
      <c r="J33" s="12"/>
      <c r="K33" s="11"/>
      <c r="L33" s="22" t="str">
        <f aca="false">IF(OR(E33="",F33=""),"",IF(AND(H33="",I33=""),IF(K33="","Falta o resultado",IF(K33="Sim","Dentro","Fora")),IF(J33="","Falta o valor",IF(AND(OR(H33="",J33&gt;=H33),OR(I33="",J33&lt;=I33)),"Dentro","Fora"))))</f>
        <v/>
      </c>
      <c r="M33" s="5"/>
      <c r="N33" s="5"/>
      <c r="O33" s="13" t="str">
        <f aca="false">IF(E33="",IF(COUNTA(C33:D33,J33:K33,M33)&gt;0,"Falta o controle",""),IF(F33="","Controle sem plano",IF(C33="","Falta a data",IF(D33="","Falta o lote ou o pedido",IF(LEFT(L33,5)="Falta",L33,IF(AND(L33="Fora",M33=""),"Fora sem reação registrada",IF(N33="","Falta quem mediu","OK")))))))</f>
        <v/>
      </c>
    </row>
    <row r="34" customFormat="false" ht="21.75" hidden="false" customHeight="true" outlineLevel="0" collapsed="false">
      <c r="B34" s="10" t="n">
        <v>28</v>
      </c>
      <c r="C34" s="20"/>
      <c r="D34" s="5"/>
      <c r="E34" s="11"/>
      <c r="F34" s="17" t="str">
        <f aca="false">IF(E34="","",IFERROR(INDEX('Plano de controle'!$D$10:$D$29,MATCH(E34,'Plano de controle'!$B$10:$B$29,0))&amp;"",""))</f>
        <v/>
      </c>
      <c r="G34" s="13" t="str">
        <f aca="false">IF(E34="","",IFERROR(INDEX('Plano de controle'!$N$10:$N$29,MATCH(E34,'Plano de controle'!$B$10:$B$29,0))&amp;"",""))</f>
        <v/>
      </c>
      <c r="H34" s="21" t="str">
        <f aca="false">IF(E34="","",IFERROR(IF(ISNUMBER(INDEX('Plano de controle'!$F$10:$F$29,MATCH(E34,'Plano de controle'!$B$10:$B$29,0))),INDEX('Plano de controle'!$F$10:$F$29,MATCH(E34,'Plano de controle'!$B$10:$B$29,0)),""),""))</f>
        <v/>
      </c>
      <c r="I34" s="21" t="str">
        <f aca="false">IF(E34="","",IFERROR(IF(ISNUMBER(INDEX('Plano de controle'!$G$10:$G$29,MATCH(E34,'Plano de controle'!$B$10:$B$29,0))),INDEX('Plano de controle'!$G$10:$G$29,MATCH(E34,'Plano de controle'!$B$10:$B$29,0)),""),""))</f>
        <v/>
      </c>
      <c r="J34" s="12"/>
      <c r="K34" s="11"/>
      <c r="L34" s="22" t="str">
        <f aca="false">IF(OR(E34="",F34=""),"",IF(AND(H34="",I34=""),IF(K34="","Falta o resultado",IF(K34="Sim","Dentro","Fora")),IF(J34="","Falta o valor",IF(AND(OR(H34="",J34&gt;=H34),OR(I34="",J34&lt;=I34)),"Dentro","Fora"))))</f>
        <v/>
      </c>
      <c r="M34" s="5"/>
      <c r="N34" s="5"/>
      <c r="O34" s="13" t="str">
        <f aca="false">IF(E34="",IF(COUNTA(C34:D34,J34:K34,M34)&gt;0,"Falta o controle",""),IF(F34="","Controle sem plano",IF(C34="","Falta a data",IF(D34="","Falta o lote ou o pedido",IF(LEFT(L34,5)="Falta",L34,IF(AND(L34="Fora",M34=""),"Fora sem reação registrada",IF(N34="","Falta quem mediu","OK")))))))</f>
        <v/>
      </c>
    </row>
    <row r="35" customFormat="false" ht="21.75" hidden="false" customHeight="true" outlineLevel="0" collapsed="false">
      <c r="B35" s="10" t="n">
        <v>29</v>
      </c>
      <c r="C35" s="20"/>
      <c r="D35" s="5"/>
      <c r="E35" s="11"/>
      <c r="F35" s="17" t="str">
        <f aca="false">IF(E35="","",IFERROR(INDEX('Plano de controle'!$D$10:$D$29,MATCH(E35,'Plano de controle'!$B$10:$B$29,0))&amp;"",""))</f>
        <v/>
      </c>
      <c r="G35" s="13" t="str">
        <f aca="false">IF(E35="","",IFERROR(INDEX('Plano de controle'!$N$10:$N$29,MATCH(E35,'Plano de controle'!$B$10:$B$29,0))&amp;"",""))</f>
        <v/>
      </c>
      <c r="H35" s="21" t="str">
        <f aca="false">IF(E35="","",IFERROR(IF(ISNUMBER(INDEX('Plano de controle'!$F$10:$F$29,MATCH(E35,'Plano de controle'!$B$10:$B$29,0))),INDEX('Plano de controle'!$F$10:$F$29,MATCH(E35,'Plano de controle'!$B$10:$B$29,0)),""),""))</f>
        <v/>
      </c>
      <c r="I35" s="21" t="str">
        <f aca="false">IF(E35="","",IFERROR(IF(ISNUMBER(INDEX('Plano de controle'!$G$10:$G$29,MATCH(E35,'Plano de controle'!$B$10:$B$29,0))),INDEX('Plano de controle'!$G$10:$G$29,MATCH(E35,'Plano de controle'!$B$10:$B$29,0)),""),""))</f>
        <v/>
      </c>
      <c r="J35" s="12"/>
      <c r="K35" s="11"/>
      <c r="L35" s="22" t="str">
        <f aca="false">IF(OR(E35="",F35=""),"",IF(AND(H35="",I35=""),IF(K35="","Falta o resultado",IF(K35="Sim","Dentro","Fora")),IF(J35="","Falta o valor",IF(AND(OR(H35="",J35&gt;=H35),OR(I35="",J35&lt;=I35)),"Dentro","Fora"))))</f>
        <v/>
      </c>
      <c r="M35" s="5"/>
      <c r="N35" s="5"/>
      <c r="O35" s="13" t="str">
        <f aca="false">IF(E35="",IF(COUNTA(C35:D35,J35:K35,M35)&gt;0,"Falta o controle",""),IF(F35="","Controle sem plano",IF(C35="","Falta a data",IF(D35="","Falta o lote ou o pedido",IF(LEFT(L35,5)="Falta",L35,IF(AND(L35="Fora",M35=""),"Fora sem reação registrada",IF(N35="","Falta quem mediu","OK")))))))</f>
        <v/>
      </c>
    </row>
    <row r="36" customFormat="false" ht="21.75" hidden="false" customHeight="true" outlineLevel="0" collapsed="false">
      <c r="B36" s="10" t="n">
        <v>30</v>
      </c>
      <c r="C36" s="20"/>
      <c r="D36" s="5"/>
      <c r="E36" s="11"/>
      <c r="F36" s="17" t="str">
        <f aca="false">IF(E36="","",IFERROR(INDEX('Plano de controle'!$D$10:$D$29,MATCH(E36,'Plano de controle'!$B$10:$B$29,0))&amp;"",""))</f>
        <v/>
      </c>
      <c r="G36" s="13" t="str">
        <f aca="false">IF(E36="","",IFERROR(INDEX('Plano de controle'!$N$10:$N$29,MATCH(E36,'Plano de controle'!$B$10:$B$29,0))&amp;"",""))</f>
        <v/>
      </c>
      <c r="H36" s="21" t="str">
        <f aca="false">IF(E36="","",IFERROR(IF(ISNUMBER(INDEX('Plano de controle'!$F$10:$F$29,MATCH(E36,'Plano de controle'!$B$10:$B$29,0))),INDEX('Plano de controle'!$F$10:$F$29,MATCH(E36,'Plano de controle'!$B$10:$B$29,0)),""),""))</f>
        <v/>
      </c>
      <c r="I36" s="21" t="str">
        <f aca="false">IF(E36="","",IFERROR(IF(ISNUMBER(INDEX('Plano de controle'!$G$10:$G$29,MATCH(E36,'Plano de controle'!$B$10:$B$29,0))),INDEX('Plano de controle'!$G$10:$G$29,MATCH(E36,'Plano de controle'!$B$10:$B$29,0)),""),""))</f>
        <v/>
      </c>
      <c r="J36" s="12"/>
      <c r="K36" s="11"/>
      <c r="L36" s="22" t="str">
        <f aca="false">IF(OR(E36="",F36=""),"",IF(AND(H36="",I36=""),IF(K36="","Falta o resultado",IF(K36="Sim","Dentro","Fora")),IF(J36="","Falta o valor",IF(AND(OR(H36="",J36&gt;=H36),OR(I36="",J36&lt;=I36)),"Dentro","Fora"))))</f>
        <v/>
      </c>
      <c r="M36" s="5"/>
      <c r="N36" s="5"/>
      <c r="O36" s="13" t="str">
        <f aca="false">IF(E36="",IF(COUNTA(C36:D36,J36:K36,M36)&gt;0,"Falta o controle",""),IF(F36="","Controle sem plano",IF(C36="","Falta a data",IF(D36="","Falta o lote ou o pedido",IF(LEFT(L36,5)="Falta",L36,IF(AND(L36="Fora",M36=""),"Fora sem reação registrada",IF(N36="","Falta quem mediu","OK")))))))</f>
        <v/>
      </c>
    </row>
    <row r="37" customFormat="false" ht="21.75" hidden="false" customHeight="true" outlineLevel="0" collapsed="false">
      <c r="B37" s="10" t="n">
        <v>31</v>
      </c>
      <c r="C37" s="20"/>
      <c r="D37" s="5"/>
      <c r="E37" s="11"/>
      <c r="F37" s="17" t="str">
        <f aca="false">IF(E37="","",IFERROR(INDEX('Plano de controle'!$D$10:$D$29,MATCH(E37,'Plano de controle'!$B$10:$B$29,0))&amp;"",""))</f>
        <v/>
      </c>
      <c r="G37" s="13" t="str">
        <f aca="false">IF(E37="","",IFERROR(INDEX('Plano de controle'!$N$10:$N$29,MATCH(E37,'Plano de controle'!$B$10:$B$29,0))&amp;"",""))</f>
        <v/>
      </c>
      <c r="H37" s="21" t="str">
        <f aca="false">IF(E37="","",IFERROR(IF(ISNUMBER(INDEX('Plano de controle'!$F$10:$F$29,MATCH(E37,'Plano de controle'!$B$10:$B$29,0))),INDEX('Plano de controle'!$F$10:$F$29,MATCH(E37,'Plano de controle'!$B$10:$B$29,0)),""),""))</f>
        <v/>
      </c>
      <c r="I37" s="21" t="str">
        <f aca="false">IF(E37="","",IFERROR(IF(ISNUMBER(INDEX('Plano de controle'!$G$10:$G$29,MATCH(E37,'Plano de controle'!$B$10:$B$29,0))),INDEX('Plano de controle'!$G$10:$G$29,MATCH(E37,'Plano de controle'!$B$10:$B$29,0)),""),""))</f>
        <v/>
      </c>
      <c r="J37" s="12"/>
      <c r="K37" s="11"/>
      <c r="L37" s="22" t="str">
        <f aca="false">IF(OR(E37="",F37=""),"",IF(AND(H37="",I37=""),IF(K37="","Falta o resultado",IF(K37="Sim","Dentro","Fora")),IF(J37="","Falta o valor",IF(AND(OR(H37="",J37&gt;=H37),OR(I37="",J37&lt;=I37)),"Dentro","Fora"))))</f>
        <v/>
      </c>
      <c r="M37" s="5"/>
      <c r="N37" s="5"/>
      <c r="O37" s="13" t="str">
        <f aca="false">IF(E37="",IF(COUNTA(C37:D37,J37:K37,M37)&gt;0,"Falta o controle",""),IF(F37="","Controle sem plano",IF(C37="","Falta a data",IF(D37="","Falta o lote ou o pedido",IF(LEFT(L37,5)="Falta",L37,IF(AND(L37="Fora",M37=""),"Fora sem reação registrada",IF(N37="","Falta quem mediu","OK")))))))</f>
        <v/>
      </c>
    </row>
    <row r="38" customFormat="false" ht="21.75" hidden="false" customHeight="true" outlineLevel="0" collapsed="false">
      <c r="B38" s="10" t="n">
        <v>32</v>
      </c>
      <c r="C38" s="20"/>
      <c r="D38" s="5"/>
      <c r="E38" s="11"/>
      <c r="F38" s="17" t="str">
        <f aca="false">IF(E38="","",IFERROR(INDEX('Plano de controle'!$D$10:$D$29,MATCH(E38,'Plano de controle'!$B$10:$B$29,0))&amp;"",""))</f>
        <v/>
      </c>
      <c r="G38" s="13" t="str">
        <f aca="false">IF(E38="","",IFERROR(INDEX('Plano de controle'!$N$10:$N$29,MATCH(E38,'Plano de controle'!$B$10:$B$29,0))&amp;"",""))</f>
        <v/>
      </c>
      <c r="H38" s="21" t="str">
        <f aca="false">IF(E38="","",IFERROR(IF(ISNUMBER(INDEX('Plano de controle'!$F$10:$F$29,MATCH(E38,'Plano de controle'!$B$10:$B$29,0))),INDEX('Plano de controle'!$F$10:$F$29,MATCH(E38,'Plano de controle'!$B$10:$B$29,0)),""),""))</f>
        <v/>
      </c>
      <c r="I38" s="21" t="str">
        <f aca="false">IF(E38="","",IFERROR(IF(ISNUMBER(INDEX('Plano de controle'!$G$10:$G$29,MATCH(E38,'Plano de controle'!$B$10:$B$29,0))),INDEX('Plano de controle'!$G$10:$G$29,MATCH(E38,'Plano de controle'!$B$10:$B$29,0)),""),""))</f>
        <v/>
      </c>
      <c r="J38" s="12"/>
      <c r="K38" s="11"/>
      <c r="L38" s="22" t="str">
        <f aca="false">IF(OR(E38="",F38=""),"",IF(AND(H38="",I38=""),IF(K38="","Falta o resultado",IF(K38="Sim","Dentro","Fora")),IF(J38="","Falta o valor",IF(AND(OR(H38="",J38&gt;=H38),OR(I38="",J38&lt;=I38)),"Dentro","Fora"))))</f>
        <v/>
      </c>
      <c r="M38" s="5"/>
      <c r="N38" s="5"/>
      <c r="O38" s="13" t="str">
        <f aca="false">IF(E38="",IF(COUNTA(C38:D38,J38:K38,M38)&gt;0,"Falta o controle",""),IF(F38="","Controle sem plano",IF(C38="","Falta a data",IF(D38="","Falta o lote ou o pedido",IF(LEFT(L38,5)="Falta",L38,IF(AND(L38="Fora",M38=""),"Fora sem reação registrada",IF(N38="","Falta quem mediu","OK")))))))</f>
        <v/>
      </c>
    </row>
    <row r="39" customFormat="false" ht="21.75" hidden="false" customHeight="true" outlineLevel="0" collapsed="false">
      <c r="B39" s="10" t="n">
        <v>33</v>
      </c>
      <c r="C39" s="20"/>
      <c r="D39" s="5"/>
      <c r="E39" s="11"/>
      <c r="F39" s="17" t="str">
        <f aca="false">IF(E39="","",IFERROR(INDEX('Plano de controle'!$D$10:$D$29,MATCH(E39,'Plano de controle'!$B$10:$B$29,0))&amp;"",""))</f>
        <v/>
      </c>
      <c r="G39" s="13" t="str">
        <f aca="false">IF(E39="","",IFERROR(INDEX('Plano de controle'!$N$10:$N$29,MATCH(E39,'Plano de controle'!$B$10:$B$29,0))&amp;"",""))</f>
        <v/>
      </c>
      <c r="H39" s="21" t="str">
        <f aca="false">IF(E39="","",IFERROR(IF(ISNUMBER(INDEX('Plano de controle'!$F$10:$F$29,MATCH(E39,'Plano de controle'!$B$10:$B$29,0))),INDEX('Plano de controle'!$F$10:$F$29,MATCH(E39,'Plano de controle'!$B$10:$B$29,0)),""),""))</f>
        <v/>
      </c>
      <c r="I39" s="21" t="str">
        <f aca="false">IF(E39="","",IFERROR(IF(ISNUMBER(INDEX('Plano de controle'!$G$10:$G$29,MATCH(E39,'Plano de controle'!$B$10:$B$29,0))),INDEX('Plano de controle'!$G$10:$G$29,MATCH(E39,'Plano de controle'!$B$10:$B$29,0)),""),""))</f>
        <v/>
      </c>
      <c r="J39" s="12"/>
      <c r="K39" s="11"/>
      <c r="L39" s="22" t="str">
        <f aca="false">IF(OR(E39="",F39=""),"",IF(AND(H39="",I39=""),IF(K39="","Falta o resultado",IF(K39="Sim","Dentro","Fora")),IF(J39="","Falta o valor",IF(AND(OR(H39="",J39&gt;=H39),OR(I39="",J39&lt;=I39)),"Dentro","Fora"))))</f>
        <v/>
      </c>
      <c r="M39" s="5"/>
      <c r="N39" s="5"/>
      <c r="O39" s="13" t="str">
        <f aca="false">IF(E39="",IF(COUNTA(C39:D39,J39:K39,M39)&gt;0,"Falta o controle",""),IF(F39="","Controle sem plano",IF(C39="","Falta a data",IF(D39="","Falta o lote ou o pedido",IF(LEFT(L39,5)="Falta",L39,IF(AND(L39="Fora",M39=""),"Fora sem reação registrada",IF(N39="","Falta quem mediu","OK")))))))</f>
        <v/>
      </c>
    </row>
    <row r="40" customFormat="false" ht="21.75" hidden="false" customHeight="true" outlineLevel="0" collapsed="false">
      <c r="B40" s="10" t="n">
        <v>34</v>
      </c>
      <c r="C40" s="20"/>
      <c r="D40" s="5"/>
      <c r="E40" s="11"/>
      <c r="F40" s="17" t="str">
        <f aca="false">IF(E40="","",IFERROR(INDEX('Plano de controle'!$D$10:$D$29,MATCH(E40,'Plano de controle'!$B$10:$B$29,0))&amp;"",""))</f>
        <v/>
      </c>
      <c r="G40" s="13" t="str">
        <f aca="false">IF(E40="","",IFERROR(INDEX('Plano de controle'!$N$10:$N$29,MATCH(E40,'Plano de controle'!$B$10:$B$29,0))&amp;"",""))</f>
        <v/>
      </c>
      <c r="H40" s="21" t="str">
        <f aca="false">IF(E40="","",IFERROR(IF(ISNUMBER(INDEX('Plano de controle'!$F$10:$F$29,MATCH(E40,'Plano de controle'!$B$10:$B$29,0))),INDEX('Plano de controle'!$F$10:$F$29,MATCH(E40,'Plano de controle'!$B$10:$B$29,0)),""),""))</f>
        <v/>
      </c>
      <c r="I40" s="21" t="str">
        <f aca="false">IF(E40="","",IFERROR(IF(ISNUMBER(INDEX('Plano de controle'!$G$10:$G$29,MATCH(E40,'Plano de controle'!$B$10:$B$29,0))),INDEX('Plano de controle'!$G$10:$G$29,MATCH(E40,'Plano de controle'!$B$10:$B$29,0)),""),""))</f>
        <v/>
      </c>
      <c r="J40" s="12"/>
      <c r="K40" s="11"/>
      <c r="L40" s="22" t="str">
        <f aca="false">IF(OR(E40="",F40=""),"",IF(AND(H40="",I40=""),IF(K40="","Falta o resultado",IF(K40="Sim","Dentro","Fora")),IF(J40="","Falta o valor",IF(AND(OR(H40="",J40&gt;=H40),OR(I40="",J40&lt;=I40)),"Dentro","Fora"))))</f>
        <v/>
      </c>
      <c r="M40" s="5"/>
      <c r="N40" s="5"/>
      <c r="O40" s="13" t="str">
        <f aca="false">IF(E40="",IF(COUNTA(C40:D40,J40:K40,M40)&gt;0,"Falta o controle",""),IF(F40="","Controle sem plano",IF(C40="","Falta a data",IF(D40="","Falta o lote ou o pedido",IF(LEFT(L40,5)="Falta",L40,IF(AND(L40="Fora",M40=""),"Fora sem reação registrada",IF(N40="","Falta quem mediu","OK")))))))</f>
        <v/>
      </c>
    </row>
    <row r="41" customFormat="false" ht="21.75" hidden="false" customHeight="true" outlineLevel="0" collapsed="false">
      <c r="B41" s="10" t="n">
        <v>35</v>
      </c>
      <c r="C41" s="20"/>
      <c r="D41" s="5"/>
      <c r="E41" s="11"/>
      <c r="F41" s="17" t="str">
        <f aca="false">IF(E41="","",IFERROR(INDEX('Plano de controle'!$D$10:$D$29,MATCH(E41,'Plano de controle'!$B$10:$B$29,0))&amp;"",""))</f>
        <v/>
      </c>
      <c r="G41" s="13" t="str">
        <f aca="false">IF(E41="","",IFERROR(INDEX('Plano de controle'!$N$10:$N$29,MATCH(E41,'Plano de controle'!$B$10:$B$29,0))&amp;"",""))</f>
        <v/>
      </c>
      <c r="H41" s="21" t="str">
        <f aca="false">IF(E41="","",IFERROR(IF(ISNUMBER(INDEX('Plano de controle'!$F$10:$F$29,MATCH(E41,'Plano de controle'!$B$10:$B$29,0))),INDEX('Plano de controle'!$F$10:$F$29,MATCH(E41,'Plano de controle'!$B$10:$B$29,0)),""),""))</f>
        <v/>
      </c>
      <c r="I41" s="21" t="str">
        <f aca="false">IF(E41="","",IFERROR(IF(ISNUMBER(INDEX('Plano de controle'!$G$10:$G$29,MATCH(E41,'Plano de controle'!$B$10:$B$29,0))),INDEX('Plano de controle'!$G$10:$G$29,MATCH(E41,'Plano de controle'!$B$10:$B$29,0)),""),""))</f>
        <v/>
      </c>
      <c r="J41" s="12"/>
      <c r="K41" s="11"/>
      <c r="L41" s="22" t="str">
        <f aca="false">IF(OR(E41="",F41=""),"",IF(AND(H41="",I41=""),IF(K41="","Falta o resultado",IF(K41="Sim","Dentro","Fora")),IF(J41="","Falta o valor",IF(AND(OR(H41="",J41&gt;=H41),OR(I41="",J41&lt;=I41)),"Dentro","Fora"))))</f>
        <v/>
      </c>
      <c r="M41" s="5"/>
      <c r="N41" s="5"/>
      <c r="O41" s="13" t="str">
        <f aca="false">IF(E41="",IF(COUNTA(C41:D41,J41:K41,M41)&gt;0,"Falta o controle",""),IF(F41="","Controle sem plano",IF(C41="","Falta a data",IF(D41="","Falta o lote ou o pedido",IF(LEFT(L41,5)="Falta",L41,IF(AND(L41="Fora",M41=""),"Fora sem reação registrada",IF(N41="","Falta quem mediu","OK")))))))</f>
        <v/>
      </c>
    </row>
    <row r="42" customFormat="false" ht="21.75" hidden="false" customHeight="true" outlineLevel="0" collapsed="false">
      <c r="B42" s="10" t="n">
        <v>36</v>
      </c>
      <c r="C42" s="20"/>
      <c r="D42" s="5"/>
      <c r="E42" s="11"/>
      <c r="F42" s="17" t="str">
        <f aca="false">IF(E42="","",IFERROR(INDEX('Plano de controle'!$D$10:$D$29,MATCH(E42,'Plano de controle'!$B$10:$B$29,0))&amp;"",""))</f>
        <v/>
      </c>
      <c r="G42" s="13" t="str">
        <f aca="false">IF(E42="","",IFERROR(INDEX('Plano de controle'!$N$10:$N$29,MATCH(E42,'Plano de controle'!$B$10:$B$29,0))&amp;"",""))</f>
        <v/>
      </c>
      <c r="H42" s="21" t="str">
        <f aca="false">IF(E42="","",IFERROR(IF(ISNUMBER(INDEX('Plano de controle'!$F$10:$F$29,MATCH(E42,'Plano de controle'!$B$10:$B$29,0))),INDEX('Plano de controle'!$F$10:$F$29,MATCH(E42,'Plano de controle'!$B$10:$B$29,0)),""),""))</f>
        <v/>
      </c>
      <c r="I42" s="21" t="str">
        <f aca="false">IF(E42="","",IFERROR(IF(ISNUMBER(INDEX('Plano de controle'!$G$10:$G$29,MATCH(E42,'Plano de controle'!$B$10:$B$29,0))),INDEX('Plano de controle'!$G$10:$G$29,MATCH(E42,'Plano de controle'!$B$10:$B$29,0)),""),""))</f>
        <v/>
      </c>
      <c r="J42" s="12"/>
      <c r="K42" s="11"/>
      <c r="L42" s="22" t="str">
        <f aca="false">IF(OR(E42="",F42=""),"",IF(AND(H42="",I42=""),IF(K42="","Falta o resultado",IF(K42="Sim","Dentro","Fora")),IF(J42="","Falta o valor",IF(AND(OR(H42="",J42&gt;=H42),OR(I42="",J42&lt;=I42)),"Dentro","Fora"))))</f>
        <v/>
      </c>
      <c r="M42" s="5"/>
      <c r="N42" s="5"/>
      <c r="O42" s="13" t="str">
        <f aca="false">IF(E42="",IF(COUNTA(C42:D42,J42:K42,M42)&gt;0,"Falta o controle",""),IF(F42="","Controle sem plano",IF(C42="","Falta a data",IF(D42="","Falta o lote ou o pedido",IF(LEFT(L42,5)="Falta",L42,IF(AND(L42="Fora",M42=""),"Fora sem reação registrada",IF(N42="","Falta quem mediu","OK")))))))</f>
        <v/>
      </c>
    </row>
    <row r="43" customFormat="false" ht="21.75" hidden="false" customHeight="true" outlineLevel="0" collapsed="false">
      <c r="B43" s="10" t="n">
        <v>37</v>
      </c>
      <c r="C43" s="20"/>
      <c r="D43" s="5"/>
      <c r="E43" s="11"/>
      <c r="F43" s="17" t="str">
        <f aca="false">IF(E43="","",IFERROR(INDEX('Plano de controle'!$D$10:$D$29,MATCH(E43,'Plano de controle'!$B$10:$B$29,0))&amp;"",""))</f>
        <v/>
      </c>
      <c r="G43" s="13" t="str">
        <f aca="false">IF(E43="","",IFERROR(INDEX('Plano de controle'!$N$10:$N$29,MATCH(E43,'Plano de controle'!$B$10:$B$29,0))&amp;"",""))</f>
        <v/>
      </c>
      <c r="H43" s="21" t="str">
        <f aca="false">IF(E43="","",IFERROR(IF(ISNUMBER(INDEX('Plano de controle'!$F$10:$F$29,MATCH(E43,'Plano de controle'!$B$10:$B$29,0))),INDEX('Plano de controle'!$F$10:$F$29,MATCH(E43,'Plano de controle'!$B$10:$B$29,0)),""),""))</f>
        <v/>
      </c>
      <c r="I43" s="21" t="str">
        <f aca="false">IF(E43="","",IFERROR(IF(ISNUMBER(INDEX('Plano de controle'!$G$10:$G$29,MATCH(E43,'Plano de controle'!$B$10:$B$29,0))),INDEX('Plano de controle'!$G$10:$G$29,MATCH(E43,'Plano de controle'!$B$10:$B$29,0)),""),""))</f>
        <v/>
      </c>
      <c r="J43" s="12"/>
      <c r="K43" s="11"/>
      <c r="L43" s="22" t="str">
        <f aca="false">IF(OR(E43="",F43=""),"",IF(AND(H43="",I43=""),IF(K43="","Falta o resultado",IF(K43="Sim","Dentro","Fora")),IF(J43="","Falta o valor",IF(AND(OR(H43="",J43&gt;=H43),OR(I43="",J43&lt;=I43)),"Dentro","Fora"))))</f>
        <v/>
      </c>
      <c r="M43" s="5"/>
      <c r="N43" s="5"/>
      <c r="O43" s="13" t="str">
        <f aca="false">IF(E43="",IF(COUNTA(C43:D43,J43:K43,M43)&gt;0,"Falta o controle",""),IF(F43="","Controle sem plano",IF(C43="","Falta a data",IF(D43="","Falta o lote ou o pedido",IF(LEFT(L43,5)="Falta",L43,IF(AND(L43="Fora",M43=""),"Fora sem reação registrada",IF(N43="","Falta quem mediu","OK")))))))</f>
        <v/>
      </c>
    </row>
    <row r="44" customFormat="false" ht="21.75" hidden="false" customHeight="true" outlineLevel="0" collapsed="false">
      <c r="B44" s="10" t="n">
        <v>38</v>
      </c>
      <c r="C44" s="20"/>
      <c r="D44" s="5"/>
      <c r="E44" s="11"/>
      <c r="F44" s="17" t="str">
        <f aca="false">IF(E44="","",IFERROR(INDEX('Plano de controle'!$D$10:$D$29,MATCH(E44,'Plano de controle'!$B$10:$B$29,0))&amp;"",""))</f>
        <v/>
      </c>
      <c r="G44" s="13" t="str">
        <f aca="false">IF(E44="","",IFERROR(INDEX('Plano de controle'!$N$10:$N$29,MATCH(E44,'Plano de controle'!$B$10:$B$29,0))&amp;"",""))</f>
        <v/>
      </c>
      <c r="H44" s="21" t="str">
        <f aca="false">IF(E44="","",IFERROR(IF(ISNUMBER(INDEX('Plano de controle'!$F$10:$F$29,MATCH(E44,'Plano de controle'!$B$10:$B$29,0))),INDEX('Plano de controle'!$F$10:$F$29,MATCH(E44,'Plano de controle'!$B$10:$B$29,0)),""),""))</f>
        <v/>
      </c>
      <c r="I44" s="21" t="str">
        <f aca="false">IF(E44="","",IFERROR(IF(ISNUMBER(INDEX('Plano de controle'!$G$10:$G$29,MATCH(E44,'Plano de controle'!$B$10:$B$29,0))),INDEX('Plano de controle'!$G$10:$G$29,MATCH(E44,'Plano de controle'!$B$10:$B$29,0)),""),""))</f>
        <v/>
      </c>
      <c r="J44" s="12"/>
      <c r="K44" s="11"/>
      <c r="L44" s="22" t="str">
        <f aca="false">IF(OR(E44="",F44=""),"",IF(AND(H44="",I44=""),IF(K44="","Falta o resultado",IF(K44="Sim","Dentro","Fora")),IF(J44="","Falta o valor",IF(AND(OR(H44="",J44&gt;=H44),OR(I44="",J44&lt;=I44)),"Dentro","Fora"))))</f>
        <v/>
      </c>
      <c r="M44" s="5"/>
      <c r="N44" s="5"/>
      <c r="O44" s="13" t="str">
        <f aca="false">IF(E44="",IF(COUNTA(C44:D44,J44:K44,M44)&gt;0,"Falta o controle",""),IF(F44="","Controle sem plano",IF(C44="","Falta a data",IF(D44="","Falta o lote ou o pedido",IF(LEFT(L44,5)="Falta",L44,IF(AND(L44="Fora",M44=""),"Fora sem reação registrada",IF(N44="","Falta quem mediu","OK")))))))</f>
        <v/>
      </c>
    </row>
    <row r="45" customFormat="false" ht="21.75" hidden="false" customHeight="true" outlineLevel="0" collapsed="false">
      <c r="B45" s="10" t="n">
        <v>39</v>
      </c>
      <c r="C45" s="20"/>
      <c r="D45" s="5"/>
      <c r="E45" s="11"/>
      <c r="F45" s="17" t="str">
        <f aca="false">IF(E45="","",IFERROR(INDEX('Plano de controle'!$D$10:$D$29,MATCH(E45,'Plano de controle'!$B$10:$B$29,0))&amp;"",""))</f>
        <v/>
      </c>
      <c r="G45" s="13" t="str">
        <f aca="false">IF(E45="","",IFERROR(INDEX('Plano de controle'!$N$10:$N$29,MATCH(E45,'Plano de controle'!$B$10:$B$29,0))&amp;"",""))</f>
        <v/>
      </c>
      <c r="H45" s="21" t="str">
        <f aca="false">IF(E45="","",IFERROR(IF(ISNUMBER(INDEX('Plano de controle'!$F$10:$F$29,MATCH(E45,'Plano de controle'!$B$10:$B$29,0))),INDEX('Plano de controle'!$F$10:$F$29,MATCH(E45,'Plano de controle'!$B$10:$B$29,0)),""),""))</f>
        <v/>
      </c>
      <c r="I45" s="21" t="str">
        <f aca="false">IF(E45="","",IFERROR(IF(ISNUMBER(INDEX('Plano de controle'!$G$10:$G$29,MATCH(E45,'Plano de controle'!$B$10:$B$29,0))),INDEX('Plano de controle'!$G$10:$G$29,MATCH(E45,'Plano de controle'!$B$10:$B$29,0)),""),""))</f>
        <v/>
      </c>
      <c r="J45" s="12"/>
      <c r="K45" s="11"/>
      <c r="L45" s="22" t="str">
        <f aca="false">IF(OR(E45="",F45=""),"",IF(AND(H45="",I45=""),IF(K45="","Falta o resultado",IF(K45="Sim","Dentro","Fora")),IF(J45="","Falta o valor",IF(AND(OR(H45="",J45&gt;=H45),OR(I45="",J45&lt;=I45)),"Dentro","Fora"))))</f>
        <v/>
      </c>
      <c r="M45" s="5"/>
      <c r="N45" s="5"/>
      <c r="O45" s="13" t="str">
        <f aca="false">IF(E45="",IF(COUNTA(C45:D45,J45:K45,M45)&gt;0,"Falta o controle",""),IF(F45="","Controle sem plano",IF(C45="","Falta a data",IF(D45="","Falta o lote ou o pedido",IF(LEFT(L45,5)="Falta",L45,IF(AND(L45="Fora",M45=""),"Fora sem reação registrada",IF(N45="","Falta quem mediu","OK")))))))</f>
        <v/>
      </c>
    </row>
    <row r="46" customFormat="false" ht="21.75" hidden="false" customHeight="true" outlineLevel="0" collapsed="false">
      <c r="B46" s="10" t="n">
        <v>40</v>
      </c>
      <c r="C46" s="20"/>
      <c r="D46" s="5"/>
      <c r="E46" s="11"/>
      <c r="F46" s="17" t="str">
        <f aca="false">IF(E46="","",IFERROR(INDEX('Plano de controle'!$D$10:$D$29,MATCH(E46,'Plano de controle'!$B$10:$B$29,0))&amp;"",""))</f>
        <v/>
      </c>
      <c r="G46" s="13" t="str">
        <f aca="false">IF(E46="","",IFERROR(INDEX('Plano de controle'!$N$10:$N$29,MATCH(E46,'Plano de controle'!$B$10:$B$29,0))&amp;"",""))</f>
        <v/>
      </c>
      <c r="H46" s="21" t="str">
        <f aca="false">IF(E46="","",IFERROR(IF(ISNUMBER(INDEX('Plano de controle'!$F$10:$F$29,MATCH(E46,'Plano de controle'!$B$10:$B$29,0))),INDEX('Plano de controle'!$F$10:$F$29,MATCH(E46,'Plano de controle'!$B$10:$B$29,0)),""),""))</f>
        <v/>
      </c>
      <c r="I46" s="21" t="str">
        <f aca="false">IF(E46="","",IFERROR(IF(ISNUMBER(INDEX('Plano de controle'!$G$10:$G$29,MATCH(E46,'Plano de controle'!$B$10:$B$29,0))),INDEX('Plano de controle'!$G$10:$G$29,MATCH(E46,'Plano de controle'!$B$10:$B$29,0)),""),""))</f>
        <v/>
      </c>
      <c r="J46" s="12"/>
      <c r="K46" s="11"/>
      <c r="L46" s="22" t="str">
        <f aca="false">IF(OR(E46="",F46=""),"",IF(AND(H46="",I46=""),IF(K46="","Falta o resultado",IF(K46="Sim","Dentro","Fora")),IF(J46="","Falta o valor",IF(AND(OR(H46="",J46&gt;=H46),OR(I46="",J46&lt;=I46)),"Dentro","Fora"))))</f>
        <v/>
      </c>
      <c r="M46" s="5"/>
      <c r="N46" s="5"/>
      <c r="O46" s="13" t="str">
        <f aca="false">IF(E46="",IF(COUNTA(C46:D46,J46:K46,M46)&gt;0,"Falta o controle",""),IF(F46="","Controle sem plano",IF(C46="","Falta a data",IF(D46="","Falta o lote ou o pedido",IF(LEFT(L46,5)="Falta",L46,IF(AND(L46="Fora",M46=""),"Fora sem reação registrada",IF(N46="","Falta quem mediu","OK")))))))</f>
        <v/>
      </c>
    </row>
    <row r="47" customFormat="false" ht="21.75" hidden="false" customHeight="true" outlineLevel="0" collapsed="false">
      <c r="B47" s="10" t="n">
        <v>41</v>
      </c>
      <c r="C47" s="20"/>
      <c r="D47" s="5"/>
      <c r="E47" s="11"/>
      <c r="F47" s="17" t="str">
        <f aca="false">IF(E47="","",IFERROR(INDEX('Plano de controle'!$D$10:$D$29,MATCH(E47,'Plano de controle'!$B$10:$B$29,0))&amp;"",""))</f>
        <v/>
      </c>
      <c r="G47" s="13" t="str">
        <f aca="false">IF(E47="","",IFERROR(INDEX('Plano de controle'!$N$10:$N$29,MATCH(E47,'Plano de controle'!$B$10:$B$29,0))&amp;"",""))</f>
        <v/>
      </c>
      <c r="H47" s="21" t="str">
        <f aca="false">IF(E47="","",IFERROR(IF(ISNUMBER(INDEX('Plano de controle'!$F$10:$F$29,MATCH(E47,'Plano de controle'!$B$10:$B$29,0))),INDEX('Plano de controle'!$F$10:$F$29,MATCH(E47,'Plano de controle'!$B$10:$B$29,0)),""),""))</f>
        <v/>
      </c>
      <c r="I47" s="21" t="str">
        <f aca="false">IF(E47="","",IFERROR(IF(ISNUMBER(INDEX('Plano de controle'!$G$10:$G$29,MATCH(E47,'Plano de controle'!$B$10:$B$29,0))),INDEX('Plano de controle'!$G$10:$G$29,MATCH(E47,'Plano de controle'!$B$10:$B$29,0)),""),""))</f>
        <v/>
      </c>
      <c r="J47" s="12"/>
      <c r="K47" s="11"/>
      <c r="L47" s="22" t="str">
        <f aca="false">IF(OR(E47="",F47=""),"",IF(AND(H47="",I47=""),IF(K47="","Falta o resultado",IF(K47="Sim","Dentro","Fora")),IF(J47="","Falta o valor",IF(AND(OR(H47="",J47&gt;=H47),OR(I47="",J47&lt;=I47)),"Dentro","Fora"))))</f>
        <v/>
      </c>
      <c r="M47" s="5"/>
      <c r="N47" s="5"/>
      <c r="O47" s="13" t="str">
        <f aca="false">IF(E47="",IF(COUNTA(C47:D47,J47:K47,M47)&gt;0,"Falta o controle",""),IF(F47="","Controle sem plano",IF(C47="","Falta a data",IF(D47="","Falta o lote ou o pedido",IF(LEFT(L47,5)="Falta",L47,IF(AND(L47="Fora",M47=""),"Fora sem reação registrada",IF(N47="","Falta quem mediu","OK")))))))</f>
        <v/>
      </c>
    </row>
    <row r="48" customFormat="false" ht="21.75" hidden="false" customHeight="true" outlineLevel="0" collapsed="false">
      <c r="B48" s="10" t="n">
        <v>42</v>
      </c>
      <c r="C48" s="20"/>
      <c r="D48" s="5"/>
      <c r="E48" s="11"/>
      <c r="F48" s="17" t="str">
        <f aca="false">IF(E48="","",IFERROR(INDEX('Plano de controle'!$D$10:$D$29,MATCH(E48,'Plano de controle'!$B$10:$B$29,0))&amp;"",""))</f>
        <v/>
      </c>
      <c r="G48" s="13" t="str">
        <f aca="false">IF(E48="","",IFERROR(INDEX('Plano de controle'!$N$10:$N$29,MATCH(E48,'Plano de controle'!$B$10:$B$29,0))&amp;"",""))</f>
        <v/>
      </c>
      <c r="H48" s="21" t="str">
        <f aca="false">IF(E48="","",IFERROR(IF(ISNUMBER(INDEX('Plano de controle'!$F$10:$F$29,MATCH(E48,'Plano de controle'!$B$10:$B$29,0))),INDEX('Plano de controle'!$F$10:$F$29,MATCH(E48,'Plano de controle'!$B$10:$B$29,0)),""),""))</f>
        <v/>
      </c>
      <c r="I48" s="21" t="str">
        <f aca="false">IF(E48="","",IFERROR(IF(ISNUMBER(INDEX('Plano de controle'!$G$10:$G$29,MATCH(E48,'Plano de controle'!$B$10:$B$29,0))),INDEX('Plano de controle'!$G$10:$G$29,MATCH(E48,'Plano de controle'!$B$10:$B$29,0)),""),""))</f>
        <v/>
      </c>
      <c r="J48" s="12"/>
      <c r="K48" s="11"/>
      <c r="L48" s="22" t="str">
        <f aca="false">IF(OR(E48="",F48=""),"",IF(AND(H48="",I48=""),IF(K48="","Falta o resultado",IF(K48="Sim","Dentro","Fora")),IF(J48="","Falta o valor",IF(AND(OR(H48="",J48&gt;=H48),OR(I48="",J48&lt;=I48)),"Dentro","Fora"))))</f>
        <v/>
      </c>
      <c r="M48" s="5"/>
      <c r="N48" s="5"/>
      <c r="O48" s="13" t="str">
        <f aca="false">IF(E48="",IF(COUNTA(C48:D48,J48:K48,M48)&gt;0,"Falta o controle",""),IF(F48="","Controle sem plano",IF(C48="","Falta a data",IF(D48="","Falta o lote ou o pedido",IF(LEFT(L48,5)="Falta",L48,IF(AND(L48="Fora",M48=""),"Fora sem reação registrada",IF(N48="","Falta quem mediu","OK")))))))</f>
        <v/>
      </c>
    </row>
    <row r="49" customFormat="false" ht="21.75" hidden="false" customHeight="true" outlineLevel="0" collapsed="false">
      <c r="B49" s="10" t="n">
        <v>43</v>
      </c>
      <c r="C49" s="20"/>
      <c r="D49" s="5"/>
      <c r="E49" s="11"/>
      <c r="F49" s="17" t="str">
        <f aca="false">IF(E49="","",IFERROR(INDEX('Plano de controle'!$D$10:$D$29,MATCH(E49,'Plano de controle'!$B$10:$B$29,0))&amp;"",""))</f>
        <v/>
      </c>
      <c r="G49" s="13" t="str">
        <f aca="false">IF(E49="","",IFERROR(INDEX('Plano de controle'!$N$10:$N$29,MATCH(E49,'Plano de controle'!$B$10:$B$29,0))&amp;"",""))</f>
        <v/>
      </c>
      <c r="H49" s="21" t="str">
        <f aca="false">IF(E49="","",IFERROR(IF(ISNUMBER(INDEX('Plano de controle'!$F$10:$F$29,MATCH(E49,'Plano de controle'!$B$10:$B$29,0))),INDEX('Plano de controle'!$F$10:$F$29,MATCH(E49,'Plano de controle'!$B$10:$B$29,0)),""),""))</f>
        <v/>
      </c>
      <c r="I49" s="21" t="str">
        <f aca="false">IF(E49="","",IFERROR(IF(ISNUMBER(INDEX('Plano de controle'!$G$10:$G$29,MATCH(E49,'Plano de controle'!$B$10:$B$29,0))),INDEX('Plano de controle'!$G$10:$G$29,MATCH(E49,'Plano de controle'!$B$10:$B$29,0)),""),""))</f>
        <v/>
      </c>
      <c r="J49" s="12"/>
      <c r="K49" s="11"/>
      <c r="L49" s="22" t="str">
        <f aca="false">IF(OR(E49="",F49=""),"",IF(AND(H49="",I49=""),IF(K49="","Falta o resultado",IF(K49="Sim","Dentro","Fora")),IF(J49="","Falta o valor",IF(AND(OR(H49="",J49&gt;=H49),OR(I49="",J49&lt;=I49)),"Dentro","Fora"))))</f>
        <v/>
      </c>
      <c r="M49" s="5"/>
      <c r="N49" s="5"/>
      <c r="O49" s="13" t="str">
        <f aca="false">IF(E49="",IF(COUNTA(C49:D49,J49:K49,M49)&gt;0,"Falta o controle",""),IF(F49="","Controle sem plano",IF(C49="","Falta a data",IF(D49="","Falta o lote ou o pedido",IF(LEFT(L49,5)="Falta",L49,IF(AND(L49="Fora",M49=""),"Fora sem reação registrada",IF(N49="","Falta quem mediu","OK")))))))</f>
        <v/>
      </c>
    </row>
    <row r="50" customFormat="false" ht="21.75" hidden="false" customHeight="true" outlineLevel="0" collapsed="false">
      <c r="B50" s="10" t="n">
        <v>44</v>
      </c>
      <c r="C50" s="20"/>
      <c r="D50" s="5"/>
      <c r="E50" s="11"/>
      <c r="F50" s="17" t="str">
        <f aca="false">IF(E50="","",IFERROR(INDEX('Plano de controle'!$D$10:$D$29,MATCH(E50,'Plano de controle'!$B$10:$B$29,0))&amp;"",""))</f>
        <v/>
      </c>
      <c r="G50" s="13" t="str">
        <f aca="false">IF(E50="","",IFERROR(INDEX('Plano de controle'!$N$10:$N$29,MATCH(E50,'Plano de controle'!$B$10:$B$29,0))&amp;"",""))</f>
        <v/>
      </c>
      <c r="H50" s="21" t="str">
        <f aca="false">IF(E50="","",IFERROR(IF(ISNUMBER(INDEX('Plano de controle'!$F$10:$F$29,MATCH(E50,'Plano de controle'!$B$10:$B$29,0))),INDEX('Plano de controle'!$F$10:$F$29,MATCH(E50,'Plano de controle'!$B$10:$B$29,0)),""),""))</f>
        <v/>
      </c>
      <c r="I50" s="21" t="str">
        <f aca="false">IF(E50="","",IFERROR(IF(ISNUMBER(INDEX('Plano de controle'!$G$10:$G$29,MATCH(E50,'Plano de controle'!$B$10:$B$29,0))),INDEX('Plano de controle'!$G$10:$G$29,MATCH(E50,'Plano de controle'!$B$10:$B$29,0)),""),""))</f>
        <v/>
      </c>
      <c r="J50" s="12"/>
      <c r="K50" s="11"/>
      <c r="L50" s="22" t="str">
        <f aca="false">IF(OR(E50="",F50=""),"",IF(AND(H50="",I50=""),IF(K50="","Falta o resultado",IF(K50="Sim","Dentro","Fora")),IF(J50="","Falta o valor",IF(AND(OR(H50="",J50&gt;=H50),OR(I50="",J50&lt;=I50)),"Dentro","Fora"))))</f>
        <v/>
      </c>
      <c r="M50" s="5"/>
      <c r="N50" s="5"/>
      <c r="O50" s="13" t="str">
        <f aca="false">IF(E50="",IF(COUNTA(C50:D50,J50:K50,M50)&gt;0,"Falta o controle",""),IF(F50="","Controle sem plano",IF(C50="","Falta a data",IF(D50="","Falta o lote ou o pedido",IF(LEFT(L50,5)="Falta",L50,IF(AND(L50="Fora",M50=""),"Fora sem reação registrada",IF(N50="","Falta quem mediu","OK")))))))</f>
        <v/>
      </c>
    </row>
    <row r="51" customFormat="false" ht="21.75" hidden="false" customHeight="true" outlineLevel="0" collapsed="false">
      <c r="B51" s="10" t="n">
        <v>45</v>
      </c>
      <c r="C51" s="20"/>
      <c r="D51" s="5"/>
      <c r="E51" s="11"/>
      <c r="F51" s="17" t="str">
        <f aca="false">IF(E51="","",IFERROR(INDEX('Plano de controle'!$D$10:$D$29,MATCH(E51,'Plano de controle'!$B$10:$B$29,0))&amp;"",""))</f>
        <v/>
      </c>
      <c r="G51" s="13" t="str">
        <f aca="false">IF(E51="","",IFERROR(INDEX('Plano de controle'!$N$10:$N$29,MATCH(E51,'Plano de controle'!$B$10:$B$29,0))&amp;"",""))</f>
        <v/>
      </c>
      <c r="H51" s="21" t="str">
        <f aca="false">IF(E51="","",IFERROR(IF(ISNUMBER(INDEX('Plano de controle'!$F$10:$F$29,MATCH(E51,'Plano de controle'!$B$10:$B$29,0))),INDEX('Plano de controle'!$F$10:$F$29,MATCH(E51,'Plano de controle'!$B$10:$B$29,0)),""),""))</f>
        <v/>
      </c>
      <c r="I51" s="21" t="str">
        <f aca="false">IF(E51="","",IFERROR(IF(ISNUMBER(INDEX('Plano de controle'!$G$10:$G$29,MATCH(E51,'Plano de controle'!$B$10:$B$29,0))),INDEX('Plano de controle'!$G$10:$G$29,MATCH(E51,'Plano de controle'!$B$10:$B$29,0)),""),""))</f>
        <v/>
      </c>
      <c r="J51" s="12"/>
      <c r="K51" s="11"/>
      <c r="L51" s="22" t="str">
        <f aca="false">IF(OR(E51="",F51=""),"",IF(AND(H51="",I51=""),IF(K51="","Falta o resultado",IF(K51="Sim","Dentro","Fora")),IF(J51="","Falta o valor",IF(AND(OR(H51="",J51&gt;=H51),OR(I51="",J51&lt;=I51)),"Dentro","Fora"))))</f>
        <v/>
      </c>
      <c r="M51" s="5"/>
      <c r="N51" s="5"/>
      <c r="O51" s="13" t="str">
        <f aca="false">IF(E51="",IF(COUNTA(C51:D51,J51:K51,M51)&gt;0,"Falta o controle",""),IF(F51="","Controle sem plano",IF(C51="","Falta a data",IF(D51="","Falta o lote ou o pedido",IF(LEFT(L51,5)="Falta",L51,IF(AND(L51="Fora",M51=""),"Fora sem reação registrada",IF(N51="","Falta quem mediu","OK")))))))</f>
        <v/>
      </c>
    </row>
    <row r="52" customFormat="false" ht="21.75" hidden="false" customHeight="true" outlineLevel="0" collapsed="false">
      <c r="B52" s="10" t="n">
        <v>46</v>
      </c>
      <c r="C52" s="20"/>
      <c r="D52" s="5"/>
      <c r="E52" s="11"/>
      <c r="F52" s="17" t="str">
        <f aca="false">IF(E52="","",IFERROR(INDEX('Plano de controle'!$D$10:$D$29,MATCH(E52,'Plano de controle'!$B$10:$B$29,0))&amp;"",""))</f>
        <v/>
      </c>
      <c r="G52" s="13" t="str">
        <f aca="false">IF(E52="","",IFERROR(INDEX('Plano de controle'!$N$10:$N$29,MATCH(E52,'Plano de controle'!$B$10:$B$29,0))&amp;"",""))</f>
        <v/>
      </c>
      <c r="H52" s="21" t="str">
        <f aca="false">IF(E52="","",IFERROR(IF(ISNUMBER(INDEX('Plano de controle'!$F$10:$F$29,MATCH(E52,'Plano de controle'!$B$10:$B$29,0))),INDEX('Plano de controle'!$F$10:$F$29,MATCH(E52,'Plano de controle'!$B$10:$B$29,0)),""),""))</f>
        <v/>
      </c>
      <c r="I52" s="21" t="str">
        <f aca="false">IF(E52="","",IFERROR(IF(ISNUMBER(INDEX('Plano de controle'!$G$10:$G$29,MATCH(E52,'Plano de controle'!$B$10:$B$29,0))),INDEX('Plano de controle'!$G$10:$G$29,MATCH(E52,'Plano de controle'!$B$10:$B$29,0)),""),""))</f>
        <v/>
      </c>
      <c r="J52" s="12"/>
      <c r="K52" s="11"/>
      <c r="L52" s="22" t="str">
        <f aca="false">IF(OR(E52="",F52=""),"",IF(AND(H52="",I52=""),IF(K52="","Falta o resultado",IF(K52="Sim","Dentro","Fora")),IF(J52="","Falta o valor",IF(AND(OR(H52="",J52&gt;=H52),OR(I52="",J52&lt;=I52)),"Dentro","Fora"))))</f>
        <v/>
      </c>
      <c r="M52" s="5"/>
      <c r="N52" s="5"/>
      <c r="O52" s="13" t="str">
        <f aca="false">IF(E52="",IF(COUNTA(C52:D52,J52:K52,M52)&gt;0,"Falta o controle",""),IF(F52="","Controle sem plano",IF(C52="","Falta a data",IF(D52="","Falta o lote ou o pedido",IF(LEFT(L52,5)="Falta",L52,IF(AND(L52="Fora",M52=""),"Fora sem reação registrada",IF(N52="","Falta quem mediu","OK")))))))</f>
        <v/>
      </c>
    </row>
    <row r="53" customFormat="false" ht="21.75" hidden="false" customHeight="true" outlineLevel="0" collapsed="false">
      <c r="B53" s="10" t="n">
        <v>47</v>
      </c>
      <c r="C53" s="20"/>
      <c r="D53" s="5"/>
      <c r="E53" s="11"/>
      <c r="F53" s="17" t="str">
        <f aca="false">IF(E53="","",IFERROR(INDEX('Plano de controle'!$D$10:$D$29,MATCH(E53,'Plano de controle'!$B$10:$B$29,0))&amp;"",""))</f>
        <v/>
      </c>
      <c r="G53" s="13" t="str">
        <f aca="false">IF(E53="","",IFERROR(INDEX('Plano de controle'!$N$10:$N$29,MATCH(E53,'Plano de controle'!$B$10:$B$29,0))&amp;"",""))</f>
        <v/>
      </c>
      <c r="H53" s="21" t="str">
        <f aca="false">IF(E53="","",IFERROR(IF(ISNUMBER(INDEX('Plano de controle'!$F$10:$F$29,MATCH(E53,'Plano de controle'!$B$10:$B$29,0))),INDEX('Plano de controle'!$F$10:$F$29,MATCH(E53,'Plano de controle'!$B$10:$B$29,0)),""),""))</f>
        <v/>
      </c>
      <c r="I53" s="21" t="str">
        <f aca="false">IF(E53="","",IFERROR(IF(ISNUMBER(INDEX('Plano de controle'!$G$10:$G$29,MATCH(E53,'Plano de controle'!$B$10:$B$29,0))),INDEX('Plano de controle'!$G$10:$G$29,MATCH(E53,'Plano de controle'!$B$10:$B$29,0)),""),""))</f>
        <v/>
      </c>
      <c r="J53" s="12"/>
      <c r="K53" s="11"/>
      <c r="L53" s="22" t="str">
        <f aca="false">IF(OR(E53="",F53=""),"",IF(AND(H53="",I53=""),IF(K53="","Falta o resultado",IF(K53="Sim","Dentro","Fora")),IF(J53="","Falta o valor",IF(AND(OR(H53="",J53&gt;=H53),OR(I53="",J53&lt;=I53)),"Dentro","Fora"))))</f>
        <v/>
      </c>
      <c r="M53" s="5"/>
      <c r="N53" s="5"/>
      <c r="O53" s="13" t="str">
        <f aca="false">IF(E53="",IF(COUNTA(C53:D53,J53:K53,M53)&gt;0,"Falta o controle",""),IF(F53="","Controle sem plano",IF(C53="","Falta a data",IF(D53="","Falta o lote ou o pedido",IF(LEFT(L53,5)="Falta",L53,IF(AND(L53="Fora",M53=""),"Fora sem reação registrada",IF(N53="","Falta quem mediu","OK")))))))</f>
        <v/>
      </c>
    </row>
    <row r="54" customFormat="false" ht="21.75" hidden="false" customHeight="true" outlineLevel="0" collapsed="false">
      <c r="B54" s="10" t="n">
        <v>48</v>
      </c>
      <c r="C54" s="20"/>
      <c r="D54" s="5"/>
      <c r="E54" s="11"/>
      <c r="F54" s="17" t="str">
        <f aca="false">IF(E54="","",IFERROR(INDEX('Plano de controle'!$D$10:$D$29,MATCH(E54,'Plano de controle'!$B$10:$B$29,0))&amp;"",""))</f>
        <v/>
      </c>
      <c r="G54" s="13" t="str">
        <f aca="false">IF(E54="","",IFERROR(INDEX('Plano de controle'!$N$10:$N$29,MATCH(E54,'Plano de controle'!$B$10:$B$29,0))&amp;"",""))</f>
        <v/>
      </c>
      <c r="H54" s="21" t="str">
        <f aca="false">IF(E54="","",IFERROR(IF(ISNUMBER(INDEX('Plano de controle'!$F$10:$F$29,MATCH(E54,'Plano de controle'!$B$10:$B$29,0))),INDEX('Plano de controle'!$F$10:$F$29,MATCH(E54,'Plano de controle'!$B$10:$B$29,0)),""),""))</f>
        <v/>
      </c>
      <c r="I54" s="21" t="str">
        <f aca="false">IF(E54="","",IFERROR(IF(ISNUMBER(INDEX('Plano de controle'!$G$10:$G$29,MATCH(E54,'Plano de controle'!$B$10:$B$29,0))),INDEX('Plano de controle'!$G$10:$G$29,MATCH(E54,'Plano de controle'!$B$10:$B$29,0)),""),""))</f>
        <v/>
      </c>
      <c r="J54" s="12"/>
      <c r="K54" s="11"/>
      <c r="L54" s="22" t="str">
        <f aca="false">IF(OR(E54="",F54=""),"",IF(AND(H54="",I54=""),IF(K54="","Falta o resultado",IF(K54="Sim","Dentro","Fora")),IF(J54="","Falta o valor",IF(AND(OR(H54="",J54&gt;=H54),OR(I54="",J54&lt;=I54)),"Dentro","Fora"))))</f>
        <v/>
      </c>
      <c r="M54" s="5"/>
      <c r="N54" s="5"/>
      <c r="O54" s="13" t="str">
        <f aca="false">IF(E54="",IF(COUNTA(C54:D54,J54:K54,M54)&gt;0,"Falta o controle",""),IF(F54="","Controle sem plano",IF(C54="","Falta a data",IF(D54="","Falta o lote ou o pedido",IF(LEFT(L54,5)="Falta",L54,IF(AND(L54="Fora",M54=""),"Fora sem reação registrada",IF(N54="","Falta quem mediu","OK")))))))</f>
        <v/>
      </c>
    </row>
    <row r="55" customFormat="false" ht="21.75" hidden="false" customHeight="true" outlineLevel="0" collapsed="false">
      <c r="B55" s="10" t="n">
        <v>49</v>
      </c>
      <c r="C55" s="20"/>
      <c r="D55" s="5"/>
      <c r="E55" s="11"/>
      <c r="F55" s="17" t="str">
        <f aca="false">IF(E55="","",IFERROR(INDEX('Plano de controle'!$D$10:$D$29,MATCH(E55,'Plano de controle'!$B$10:$B$29,0))&amp;"",""))</f>
        <v/>
      </c>
      <c r="G55" s="13" t="str">
        <f aca="false">IF(E55="","",IFERROR(INDEX('Plano de controle'!$N$10:$N$29,MATCH(E55,'Plano de controle'!$B$10:$B$29,0))&amp;"",""))</f>
        <v/>
      </c>
      <c r="H55" s="21" t="str">
        <f aca="false">IF(E55="","",IFERROR(IF(ISNUMBER(INDEX('Plano de controle'!$F$10:$F$29,MATCH(E55,'Plano de controle'!$B$10:$B$29,0))),INDEX('Plano de controle'!$F$10:$F$29,MATCH(E55,'Plano de controle'!$B$10:$B$29,0)),""),""))</f>
        <v/>
      </c>
      <c r="I55" s="21" t="str">
        <f aca="false">IF(E55="","",IFERROR(IF(ISNUMBER(INDEX('Plano de controle'!$G$10:$G$29,MATCH(E55,'Plano de controle'!$B$10:$B$29,0))),INDEX('Plano de controle'!$G$10:$G$29,MATCH(E55,'Plano de controle'!$B$10:$B$29,0)),""),""))</f>
        <v/>
      </c>
      <c r="J55" s="12"/>
      <c r="K55" s="11"/>
      <c r="L55" s="22" t="str">
        <f aca="false">IF(OR(E55="",F55=""),"",IF(AND(H55="",I55=""),IF(K55="","Falta o resultado",IF(K55="Sim","Dentro","Fora")),IF(J55="","Falta o valor",IF(AND(OR(H55="",J55&gt;=H55),OR(I55="",J55&lt;=I55)),"Dentro","Fora"))))</f>
        <v/>
      </c>
      <c r="M55" s="5"/>
      <c r="N55" s="5"/>
      <c r="O55" s="13" t="str">
        <f aca="false">IF(E55="",IF(COUNTA(C55:D55,J55:K55,M55)&gt;0,"Falta o controle",""),IF(F55="","Controle sem plano",IF(C55="","Falta a data",IF(D55="","Falta o lote ou o pedido",IF(LEFT(L55,5)="Falta",L55,IF(AND(L55="Fora",M55=""),"Fora sem reação registrada",IF(N55="","Falta quem mediu","OK")))))))</f>
        <v/>
      </c>
    </row>
    <row r="56" customFormat="false" ht="21.75" hidden="false" customHeight="true" outlineLevel="0" collapsed="false">
      <c r="B56" s="10" t="n">
        <v>50</v>
      </c>
      <c r="C56" s="20"/>
      <c r="D56" s="5"/>
      <c r="E56" s="11"/>
      <c r="F56" s="17" t="str">
        <f aca="false">IF(E56="","",IFERROR(INDEX('Plano de controle'!$D$10:$D$29,MATCH(E56,'Plano de controle'!$B$10:$B$29,0))&amp;"",""))</f>
        <v/>
      </c>
      <c r="G56" s="13" t="str">
        <f aca="false">IF(E56="","",IFERROR(INDEX('Plano de controle'!$N$10:$N$29,MATCH(E56,'Plano de controle'!$B$10:$B$29,0))&amp;"",""))</f>
        <v/>
      </c>
      <c r="H56" s="21" t="str">
        <f aca="false">IF(E56="","",IFERROR(IF(ISNUMBER(INDEX('Plano de controle'!$F$10:$F$29,MATCH(E56,'Plano de controle'!$B$10:$B$29,0))),INDEX('Plano de controle'!$F$10:$F$29,MATCH(E56,'Plano de controle'!$B$10:$B$29,0)),""),""))</f>
        <v/>
      </c>
      <c r="I56" s="21" t="str">
        <f aca="false">IF(E56="","",IFERROR(IF(ISNUMBER(INDEX('Plano de controle'!$G$10:$G$29,MATCH(E56,'Plano de controle'!$B$10:$B$29,0))),INDEX('Plano de controle'!$G$10:$G$29,MATCH(E56,'Plano de controle'!$B$10:$B$29,0)),""),""))</f>
        <v/>
      </c>
      <c r="J56" s="12"/>
      <c r="K56" s="11"/>
      <c r="L56" s="22" t="str">
        <f aca="false">IF(OR(E56="",F56=""),"",IF(AND(H56="",I56=""),IF(K56="","Falta o resultado",IF(K56="Sim","Dentro","Fora")),IF(J56="","Falta o valor",IF(AND(OR(H56="",J56&gt;=H56),OR(I56="",J56&lt;=I56)),"Dentro","Fora"))))</f>
        <v/>
      </c>
      <c r="M56" s="5"/>
      <c r="N56" s="5"/>
      <c r="O56" s="13" t="str">
        <f aca="false">IF(E56="",IF(COUNTA(C56:D56,J56:K56,M56)&gt;0,"Falta o controle",""),IF(F56="","Controle sem plano",IF(C56="","Falta a data",IF(D56="","Falta o lote ou o pedido",IF(LEFT(L56,5)="Falta",L56,IF(AND(L56="Fora",M56=""),"Fora sem reação registrada",IF(N56="","Falta quem mediu","OK")))))))</f>
        <v/>
      </c>
    </row>
    <row r="57" customFormat="false" ht="21.75" hidden="false" customHeight="true" outlineLevel="0" collapsed="false">
      <c r="B57" s="10" t="n">
        <v>51</v>
      </c>
      <c r="C57" s="20"/>
      <c r="D57" s="5"/>
      <c r="E57" s="11"/>
      <c r="F57" s="17" t="str">
        <f aca="false">IF(E57="","",IFERROR(INDEX('Plano de controle'!$D$10:$D$29,MATCH(E57,'Plano de controle'!$B$10:$B$29,0))&amp;"",""))</f>
        <v/>
      </c>
      <c r="G57" s="13" t="str">
        <f aca="false">IF(E57="","",IFERROR(INDEX('Plano de controle'!$N$10:$N$29,MATCH(E57,'Plano de controle'!$B$10:$B$29,0))&amp;"",""))</f>
        <v/>
      </c>
      <c r="H57" s="21" t="str">
        <f aca="false">IF(E57="","",IFERROR(IF(ISNUMBER(INDEX('Plano de controle'!$F$10:$F$29,MATCH(E57,'Plano de controle'!$B$10:$B$29,0))),INDEX('Plano de controle'!$F$10:$F$29,MATCH(E57,'Plano de controle'!$B$10:$B$29,0)),""),""))</f>
        <v/>
      </c>
      <c r="I57" s="21" t="str">
        <f aca="false">IF(E57="","",IFERROR(IF(ISNUMBER(INDEX('Plano de controle'!$G$10:$G$29,MATCH(E57,'Plano de controle'!$B$10:$B$29,0))),INDEX('Plano de controle'!$G$10:$G$29,MATCH(E57,'Plano de controle'!$B$10:$B$29,0)),""),""))</f>
        <v/>
      </c>
      <c r="J57" s="12"/>
      <c r="K57" s="11"/>
      <c r="L57" s="22" t="str">
        <f aca="false">IF(OR(E57="",F57=""),"",IF(AND(H57="",I57=""),IF(K57="","Falta o resultado",IF(K57="Sim","Dentro","Fora")),IF(J57="","Falta o valor",IF(AND(OR(H57="",J57&gt;=H57),OR(I57="",J57&lt;=I57)),"Dentro","Fora"))))</f>
        <v/>
      </c>
      <c r="M57" s="5"/>
      <c r="N57" s="5"/>
      <c r="O57" s="13" t="str">
        <f aca="false">IF(E57="",IF(COUNTA(C57:D57,J57:K57,M57)&gt;0,"Falta o controle",""),IF(F57="","Controle sem plano",IF(C57="","Falta a data",IF(D57="","Falta o lote ou o pedido",IF(LEFT(L57,5)="Falta",L57,IF(AND(L57="Fora",M57=""),"Fora sem reação registrada",IF(N57="","Falta quem mediu","OK")))))))</f>
        <v/>
      </c>
    </row>
    <row r="58" customFormat="false" ht="21.75" hidden="false" customHeight="true" outlineLevel="0" collapsed="false">
      <c r="B58" s="10" t="n">
        <v>52</v>
      </c>
      <c r="C58" s="20"/>
      <c r="D58" s="5"/>
      <c r="E58" s="11"/>
      <c r="F58" s="17" t="str">
        <f aca="false">IF(E58="","",IFERROR(INDEX('Plano de controle'!$D$10:$D$29,MATCH(E58,'Plano de controle'!$B$10:$B$29,0))&amp;"",""))</f>
        <v/>
      </c>
      <c r="G58" s="13" t="str">
        <f aca="false">IF(E58="","",IFERROR(INDEX('Plano de controle'!$N$10:$N$29,MATCH(E58,'Plano de controle'!$B$10:$B$29,0))&amp;"",""))</f>
        <v/>
      </c>
      <c r="H58" s="21" t="str">
        <f aca="false">IF(E58="","",IFERROR(IF(ISNUMBER(INDEX('Plano de controle'!$F$10:$F$29,MATCH(E58,'Plano de controle'!$B$10:$B$29,0))),INDEX('Plano de controle'!$F$10:$F$29,MATCH(E58,'Plano de controle'!$B$10:$B$29,0)),""),""))</f>
        <v/>
      </c>
      <c r="I58" s="21" t="str">
        <f aca="false">IF(E58="","",IFERROR(IF(ISNUMBER(INDEX('Plano de controle'!$G$10:$G$29,MATCH(E58,'Plano de controle'!$B$10:$B$29,0))),INDEX('Plano de controle'!$G$10:$G$29,MATCH(E58,'Plano de controle'!$B$10:$B$29,0)),""),""))</f>
        <v/>
      </c>
      <c r="J58" s="12"/>
      <c r="K58" s="11"/>
      <c r="L58" s="22" t="str">
        <f aca="false">IF(OR(E58="",F58=""),"",IF(AND(H58="",I58=""),IF(K58="","Falta o resultado",IF(K58="Sim","Dentro","Fora")),IF(J58="","Falta o valor",IF(AND(OR(H58="",J58&gt;=H58),OR(I58="",J58&lt;=I58)),"Dentro","Fora"))))</f>
        <v/>
      </c>
      <c r="M58" s="5"/>
      <c r="N58" s="5"/>
      <c r="O58" s="13" t="str">
        <f aca="false">IF(E58="",IF(COUNTA(C58:D58,J58:K58,M58)&gt;0,"Falta o controle",""),IF(F58="","Controle sem plano",IF(C58="","Falta a data",IF(D58="","Falta o lote ou o pedido",IF(LEFT(L58,5)="Falta",L58,IF(AND(L58="Fora",M58=""),"Fora sem reação registrada",IF(N58="","Falta quem mediu","OK")))))))</f>
        <v/>
      </c>
    </row>
    <row r="59" customFormat="false" ht="21.75" hidden="false" customHeight="true" outlineLevel="0" collapsed="false">
      <c r="B59" s="10" t="n">
        <v>53</v>
      </c>
      <c r="C59" s="20"/>
      <c r="D59" s="5"/>
      <c r="E59" s="11"/>
      <c r="F59" s="17" t="str">
        <f aca="false">IF(E59="","",IFERROR(INDEX('Plano de controle'!$D$10:$D$29,MATCH(E59,'Plano de controle'!$B$10:$B$29,0))&amp;"",""))</f>
        <v/>
      </c>
      <c r="G59" s="13" t="str">
        <f aca="false">IF(E59="","",IFERROR(INDEX('Plano de controle'!$N$10:$N$29,MATCH(E59,'Plano de controle'!$B$10:$B$29,0))&amp;"",""))</f>
        <v/>
      </c>
      <c r="H59" s="21" t="str">
        <f aca="false">IF(E59="","",IFERROR(IF(ISNUMBER(INDEX('Plano de controle'!$F$10:$F$29,MATCH(E59,'Plano de controle'!$B$10:$B$29,0))),INDEX('Plano de controle'!$F$10:$F$29,MATCH(E59,'Plano de controle'!$B$10:$B$29,0)),""),""))</f>
        <v/>
      </c>
      <c r="I59" s="21" t="str">
        <f aca="false">IF(E59="","",IFERROR(IF(ISNUMBER(INDEX('Plano de controle'!$G$10:$G$29,MATCH(E59,'Plano de controle'!$B$10:$B$29,0))),INDEX('Plano de controle'!$G$10:$G$29,MATCH(E59,'Plano de controle'!$B$10:$B$29,0)),""),""))</f>
        <v/>
      </c>
      <c r="J59" s="12"/>
      <c r="K59" s="11"/>
      <c r="L59" s="22" t="str">
        <f aca="false">IF(OR(E59="",F59=""),"",IF(AND(H59="",I59=""),IF(K59="","Falta o resultado",IF(K59="Sim","Dentro","Fora")),IF(J59="","Falta o valor",IF(AND(OR(H59="",J59&gt;=H59),OR(I59="",J59&lt;=I59)),"Dentro","Fora"))))</f>
        <v/>
      </c>
      <c r="M59" s="5"/>
      <c r="N59" s="5"/>
      <c r="O59" s="13" t="str">
        <f aca="false">IF(E59="",IF(COUNTA(C59:D59,J59:K59,M59)&gt;0,"Falta o controle",""),IF(F59="","Controle sem plano",IF(C59="","Falta a data",IF(D59="","Falta o lote ou o pedido",IF(LEFT(L59,5)="Falta",L59,IF(AND(L59="Fora",M59=""),"Fora sem reação registrada",IF(N59="","Falta quem mediu","OK")))))))</f>
        <v/>
      </c>
    </row>
    <row r="60" customFormat="false" ht="21.75" hidden="false" customHeight="true" outlineLevel="0" collapsed="false">
      <c r="B60" s="10" t="n">
        <v>54</v>
      </c>
      <c r="C60" s="20"/>
      <c r="D60" s="5"/>
      <c r="E60" s="11"/>
      <c r="F60" s="17" t="str">
        <f aca="false">IF(E60="","",IFERROR(INDEX('Plano de controle'!$D$10:$D$29,MATCH(E60,'Plano de controle'!$B$10:$B$29,0))&amp;"",""))</f>
        <v/>
      </c>
      <c r="G60" s="13" t="str">
        <f aca="false">IF(E60="","",IFERROR(INDEX('Plano de controle'!$N$10:$N$29,MATCH(E60,'Plano de controle'!$B$10:$B$29,0))&amp;"",""))</f>
        <v/>
      </c>
      <c r="H60" s="21" t="str">
        <f aca="false">IF(E60="","",IFERROR(IF(ISNUMBER(INDEX('Plano de controle'!$F$10:$F$29,MATCH(E60,'Plano de controle'!$B$10:$B$29,0))),INDEX('Plano de controle'!$F$10:$F$29,MATCH(E60,'Plano de controle'!$B$10:$B$29,0)),""),""))</f>
        <v/>
      </c>
      <c r="I60" s="21" t="str">
        <f aca="false">IF(E60="","",IFERROR(IF(ISNUMBER(INDEX('Plano de controle'!$G$10:$G$29,MATCH(E60,'Plano de controle'!$B$10:$B$29,0))),INDEX('Plano de controle'!$G$10:$G$29,MATCH(E60,'Plano de controle'!$B$10:$B$29,0)),""),""))</f>
        <v/>
      </c>
      <c r="J60" s="12"/>
      <c r="K60" s="11"/>
      <c r="L60" s="22" t="str">
        <f aca="false">IF(OR(E60="",F60=""),"",IF(AND(H60="",I60=""),IF(K60="","Falta o resultado",IF(K60="Sim","Dentro","Fora")),IF(J60="","Falta o valor",IF(AND(OR(H60="",J60&gt;=H60),OR(I60="",J60&lt;=I60)),"Dentro","Fora"))))</f>
        <v/>
      </c>
      <c r="M60" s="5"/>
      <c r="N60" s="5"/>
      <c r="O60" s="13" t="str">
        <f aca="false">IF(E60="",IF(COUNTA(C60:D60,J60:K60,M60)&gt;0,"Falta o controle",""),IF(F60="","Controle sem plano",IF(C60="","Falta a data",IF(D60="","Falta o lote ou o pedido",IF(LEFT(L60,5)="Falta",L60,IF(AND(L60="Fora",M60=""),"Fora sem reação registrada",IF(N60="","Falta quem mediu","OK")))))))</f>
        <v/>
      </c>
    </row>
    <row r="61" customFormat="false" ht="21.75" hidden="false" customHeight="true" outlineLevel="0" collapsed="false">
      <c r="B61" s="10" t="n">
        <v>55</v>
      </c>
      <c r="C61" s="20"/>
      <c r="D61" s="5"/>
      <c r="E61" s="11"/>
      <c r="F61" s="17" t="str">
        <f aca="false">IF(E61="","",IFERROR(INDEX('Plano de controle'!$D$10:$D$29,MATCH(E61,'Plano de controle'!$B$10:$B$29,0))&amp;"",""))</f>
        <v/>
      </c>
      <c r="G61" s="13" t="str">
        <f aca="false">IF(E61="","",IFERROR(INDEX('Plano de controle'!$N$10:$N$29,MATCH(E61,'Plano de controle'!$B$10:$B$29,0))&amp;"",""))</f>
        <v/>
      </c>
      <c r="H61" s="21" t="str">
        <f aca="false">IF(E61="","",IFERROR(IF(ISNUMBER(INDEX('Plano de controle'!$F$10:$F$29,MATCH(E61,'Plano de controle'!$B$10:$B$29,0))),INDEX('Plano de controle'!$F$10:$F$29,MATCH(E61,'Plano de controle'!$B$10:$B$29,0)),""),""))</f>
        <v/>
      </c>
      <c r="I61" s="21" t="str">
        <f aca="false">IF(E61="","",IFERROR(IF(ISNUMBER(INDEX('Plano de controle'!$G$10:$G$29,MATCH(E61,'Plano de controle'!$B$10:$B$29,0))),INDEX('Plano de controle'!$G$10:$G$29,MATCH(E61,'Plano de controle'!$B$10:$B$29,0)),""),""))</f>
        <v/>
      </c>
      <c r="J61" s="12"/>
      <c r="K61" s="11"/>
      <c r="L61" s="22" t="str">
        <f aca="false">IF(OR(E61="",F61=""),"",IF(AND(H61="",I61=""),IF(K61="","Falta o resultado",IF(K61="Sim","Dentro","Fora")),IF(J61="","Falta o valor",IF(AND(OR(H61="",J61&gt;=H61),OR(I61="",J61&lt;=I61)),"Dentro","Fora"))))</f>
        <v/>
      </c>
      <c r="M61" s="5"/>
      <c r="N61" s="5"/>
      <c r="O61" s="13" t="str">
        <f aca="false">IF(E61="",IF(COUNTA(C61:D61,J61:K61,M61)&gt;0,"Falta o controle",""),IF(F61="","Controle sem plano",IF(C61="","Falta a data",IF(D61="","Falta o lote ou o pedido",IF(LEFT(L61,5)="Falta",L61,IF(AND(L61="Fora",M61=""),"Fora sem reação registrada",IF(N61="","Falta quem mediu","OK")))))))</f>
        <v/>
      </c>
    </row>
    <row r="62" customFormat="false" ht="21.75" hidden="false" customHeight="true" outlineLevel="0" collapsed="false">
      <c r="B62" s="10" t="n">
        <v>56</v>
      </c>
      <c r="C62" s="20"/>
      <c r="D62" s="5"/>
      <c r="E62" s="11"/>
      <c r="F62" s="17" t="str">
        <f aca="false">IF(E62="","",IFERROR(INDEX('Plano de controle'!$D$10:$D$29,MATCH(E62,'Plano de controle'!$B$10:$B$29,0))&amp;"",""))</f>
        <v/>
      </c>
      <c r="G62" s="13" t="str">
        <f aca="false">IF(E62="","",IFERROR(INDEX('Plano de controle'!$N$10:$N$29,MATCH(E62,'Plano de controle'!$B$10:$B$29,0))&amp;"",""))</f>
        <v/>
      </c>
      <c r="H62" s="21" t="str">
        <f aca="false">IF(E62="","",IFERROR(IF(ISNUMBER(INDEX('Plano de controle'!$F$10:$F$29,MATCH(E62,'Plano de controle'!$B$10:$B$29,0))),INDEX('Plano de controle'!$F$10:$F$29,MATCH(E62,'Plano de controle'!$B$10:$B$29,0)),""),""))</f>
        <v/>
      </c>
      <c r="I62" s="21" t="str">
        <f aca="false">IF(E62="","",IFERROR(IF(ISNUMBER(INDEX('Plano de controle'!$G$10:$G$29,MATCH(E62,'Plano de controle'!$B$10:$B$29,0))),INDEX('Plano de controle'!$G$10:$G$29,MATCH(E62,'Plano de controle'!$B$10:$B$29,0)),""),""))</f>
        <v/>
      </c>
      <c r="J62" s="12"/>
      <c r="K62" s="11"/>
      <c r="L62" s="22" t="str">
        <f aca="false">IF(OR(E62="",F62=""),"",IF(AND(H62="",I62=""),IF(K62="","Falta o resultado",IF(K62="Sim","Dentro","Fora")),IF(J62="","Falta o valor",IF(AND(OR(H62="",J62&gt;=H62),OR(I62="",J62&lt;=I62)),"Dentro","Fora"))))</f>
        <v/>
      </c>
      <c r="M62" s="5"/>
      <c r="N62" s="5"/>
      <c r="O62" s="13" t="str">
        <f aca="false">IF(E62="",IF(COUNTA(C62:D62,J62:K62,M62)&gt;0,"Falta o controle",""),IF(F62="","Controle sem plano",IF(C62="","Falta a data",IF(D62="","Falta o lote ou o pedido",IF(LEFT(L62,5)="Falta",L62,IF(AND(L62="Fora",M62=""),"Fora sem reação registrada",IF(N62="","Falta quem mediu","OK")))))))</f>
        <v/>
      </c>
    </row>
    <row r="63" customFormat="false" ht="21.75" hidden="false" customHeight="true" outlineLevel="0" collapsed="false">
      <c r="B63" s="10" t="n">
        <v>57</v>
      </c>
      <c r="C63" s="20"/>
      <c r="D63" s="5"/>
      <c r="E63" s="11"/>
      <c r="F63" s="17" t="str">
        <f aca="false">IF(E63="","",IFERROR(INDEX('Plano de controle'!$D$10:$D$29,MATCH(E63,'Plano de controle'!$B$10:$B$29,0))&amp;"",""))</f>
        <v/>
      </c>
      <c r="G63" s="13" t="str">
        <f aca="false">IF(E63="","",IFERROR(INDEX('Plano de controle'!$N$10:$N$29,MATCH(E63,'Plano de controle'!$B$10:$B$29,0))&amp;"",""))</f>
        <v/>
      </c>
      <c r="H63" s="21" t="str">
        <f aca="false">IF(E63="","",IFERROR(IF(ISNUMBER(INDEX('Plano de controle'!$F$10:$F$29,MATCH(E63,'Plano de controle'!$B$10:$B$29,0))),INDEX('Plano de controle'!$F$10:$F$29,MATCH(E63,'Plano de controle'!$B$10:$B$29,0)),""),""))</f>
        <v/>
      </c>
      <c r="I63" s="21" t="str">
        <f aca="false">IF(E63="","",IFERROR(IF(ISNUMBER(INDEX('Plano de controle'!$G$10:$G$29,MATCH(E63,'Plano de controle'!$B$10:$B$29,0))),INDEX('Plano de controle'!$G$10:$G$29,MATCH(E63,'Plano de controle'!$B$10:$B$29,0)),""),""))</f>
        <v/>
      </c>
      <c r="J63" s="12"/>
      <c r="K63" s="11"/>
      <c r="L63" s="22" t="str">
        <f aca="false">IF(OR(E63="",F63=""),"",IF(AND(H63="",I63=""),IF(K63="","Falta o resultado",IF(K63="Sim","Dentro","Fora")),IF(J63="","Falta o valor",IF(AND(OR(H63="",J63&gt;=H63),OR(I63="",J63&lt;=I63)),"Dentro","Fora"))))</f>
        <v/>
      </c>
      <c r="M63" s="5"/>
      <c r="N63" s="5"/>
      <c r="O63" s="13" t="str">
        <f aca="false">IF(E63="",IF(COUNTA(C63:D63,J63:K63,M63)&gt;0,"Falta o controle",""),IF(F63="","Controle sem plano",IF(C63="","Falta a data",IF(D63="","Falta o lote ou o pedido",IF(LEFT(L63,5)="Falta",L63,IF(AND(L63="Fora",M63=""),"Fora sem reação registrada",IF(N63="","Falta quem mediu","OK")))))))</f>
        <v/>
      </c>
    </row>
    <row r="64" customFormat="false" ht="21.75" hidden="false" customHeight="true" outlineLevel="0" collapsed="false">
      <c r="B64" s="10" t="n">
        <v>58</v>
      </c>
      <c r="C64" s="20"/>
      <c r="D64" s="5"/>
      <c r="E64" s="11"/>
      <c r="F64" s="17" t="str">
        <f aca="false">IF(E64="","",IFERROR(INDEX('Plano de controle'!$D$10:$D$29,MATCH(E64,'Plano de controle'!$B$10:$B$29,0))&amp;"",""))</f>
        <v/>
      </c>
      <c r="G64" s="13" t="str">
        <f aca="false">IF(E64="","",IFERROR(INDEX('Plano de controle'!$N$10:$N$29,MATCH(E64,'Plano de controle'!$B$10:$B$29,0))&amp;"",""))</f>
        <v/>
      </c>
      <c r="H64" s="21" t="str">
        <f aca="false">IF(E64="","",IFERROR(IF(ISNUMBER(INDEX('Plano de controle'!$F$10:$F$29,MATCH(E64,'Plano de controle'!$B$10:$B$29,0))),INDEX('Plano de controle'!$F$10:$F$29,MATCH(E64,'Plano de controle'!$B$10:$B$29,0)),""),""))</f>
        <v/>
      </c>
      <c r="I64" s="21" t="str">
        <f aca="false">IF(E64="","",IFERROR(IF(ISNUMBER(INDEX('Plano de controle'!$G$10:$G$29,MATCH(E64,'Plano de controle'!$B$10:$B$29,0))),INDEX('Plano de controle'!$G$10:$G$29,MATCH(E64,'Plano de controle'!$B$10:$B$29,0)),""),""))</f>
        <v/>
      </c>
      <c r="J64" s="12"/>
      <c r="K64" s="11"/>
      <c r="L64" s="22" t="str">
        <f aca="false">IF(OR(E64="",F64=""),"",IF(AND(H64="",I64=""),IF(K64="","Falta o resultado",IF(K64="Sim","Dentro","Fora")),IF(J64="","Falta o valor",IF(AND(OR(H64="",J64&gt;=H64),OR(I64="",J64&lt;=I64)),"Dentro","Fora"))))</f>
        <v/>
      </c>
      <c r="M64" s="5"/>
      <c r="N64" s="5"/>
      <c r="O64" s="13" t="str">
        <f aca="false">IF(E64="",IF(COUNTA(C64:D64,J64:K64,M64)&gt;0,"Falta o controle",""),IF(F64="","Controle sem plano",IF(C64="","Falta a data",IF(D64="","Falta o lote ou o pedido",IF(LEFT(L64,5)="Falta",L64,IF(AND(L64="Fora",M64=""),"Fora sem reação registrada",IF(N64="","Falta quem mediu","OK")))))))</f>
        <v/>
      </c>
    </row>
    <row r="65" customFormat="false" ht="21.75" hidden="false" customHeight="true" outlineLevel="0" collapsed="false">
      <c r="B65" s="10" t="n">
        <v>59</v>
      </c>
      <c r="C65" s="20"/>
      <c r="D65" s="5"/>
      <c r="E65" s="11"/>
      <c r="F65" s="17" t="str">
        <f aca="false">IF(E65="","",IFERROR(INDEX('Plano de controle'!$D$10:$D$29,MATCH(E65,'Plano de controle'!$B$10:$B$29,0))&amp;"",""))</f>
        <v/>
      </c>
      <c r="G65" s="13" t="str">
        <f aca="false">IF(E65="","",IFERROR(INDEX('Plano de controle'!$N$10:$N$29,MATCH(E65,'Plano de controle'!$B$10:$B$29,0))&amp;"",""))</f>
        <v/>
      </c>
      <c r="H65" s="21" t="str">
        <f aca="false">IF(E65="","",IFERROR(IF(ISNUMBER(INDEX('Plano de controle'!$F$10:$F$29,MATCH(E65,'Plano de controle'!$B$10:$B$29,0))),INDEX('Plano de controle'!$F$10:$F$29,MATCH(E65,'Plano de controle'!$B$10:$B$29,0)),""),""))</f>
        <v/>
      </c>
      <c r="I65" s="21" t="str">
        <f aca="false">IF(E65="","",IFERROR(IF(ISNUMBER(INDEX('Plano de controle'!$G$10:$G$29,MATCH(E65,'Plano de controle'!$B$10:$B$29,0))),INDEX('Plano de controle'!$G$10:$G$29,MATCH(E65,'Plano de controle'!$B$10:$B$29,0)),""),""))</f>
        <v/>
      </c>
      <c r="J65" s="12"/>
      <c r="K65" s="11"/>
      <c r="L65" s="22" t="str">
        <f aca="false">IF(OR(E65="",F65=""),"",IF(AND(H65="",I65=""),IF(K65="","Falta o resultado",IF(K65="Sim","Dentro","Fora")),IF(J65="","Falta o valor",IF(AND(OR(H65="",J65&gt;=H65),OR(I65="",J65&lt;=I65)),"Dentro","Fora"))))</f>
        <v/>
      </c>
      <c r="M65" s="5"/>
      <c r="N65" s="5"/>
      <c r="O65" s="13" t="str">
        <f aca="false">IF(E65="",IF(COUNTA(C65:D65,J65:K65,M65)&gt;0,"Falta o controle",""),IF(F65="","Controle sem plano",IF(C65="","Falta a data",IF(D65="","Falta o lote ou o pedido",IF(LEFT(L65,5)="Falta",L65,IF(AND(L65="Fora",M65=""),"Fora sem reação registrada",IF(N65="","Falta quem mediu","OK")))))))</f>
        <v/>
      </c>
    </row>
    <row r="66" customFormat="false" ht="21.75" hidden="false" customHeight="true" outlineLevel="0" collapsed="false">
      <c r="B66" s="10" t="n">
        <v>60</v>
      </c>
      <c r="C66" s="20"/>
      <c r="D66" s="5"/>
      <c r="E66" s="11"/>
      <c r="F66" s="17" t="str">
        <f aca="false">IF(E66="","",IFERROR(INDEX('Plano de controle'!$D$10:$D$29,MATCH(E66,'Plano de controle'!$B$10:$B$29,0))&amp;"",""))</f>
        <v/>
      </c>
      <c r="G66" s="13" t="str">
        <f aca="false">IF(E66="","",IFERROR(INDEX('Plano de controle'!$N$10:$N$29,MATCH(E66,'Plano de controle'!$B$10:$B$29,0))&amp;"",""))</f>
        <v/>
      </c>
      <c r="H66" s="21" t="str">
        <f aca="false">IF(E66="","",IFERROR(IF(ISNUMBER(INDEX('Plano de controle'!$F$10:$F$29,MATCH(E66,'Plano de controle'!$B$10:$B$29,0))),INDEX('Plano de controle'!$F$10:$F$29,MATCH(E66,'Plano de controle'!$B$10:$B$29,0)),""),""))</f>
        <v/>
      </c>
      <c r="I66" s="21" t="str">
        <f aca="false">IF(E66="","",IFERROR(IF(ISNUMBER(INDEX('Plano de controle'!$G$10:$G$29,MATCH(E66,'Plano de controle'!$B$10:$B$29,0))),INDEX('Plano de controle'!$G$10:$G$29,MATCH(E66,'Plano de controle'!$B$10:$B$29,0)),""),""))</f>
        <v/>
      </c>
      <c r="J66" s="12"/>
      <c r="K66" s="11"/>
      <c r="L66" s="22" t="str">
        <f aca="false">IF(OR(E66="",F66=""),"",IF(AND(H66="",I66=""),IF(K66="","Falta o resultado",IF(K66="Sim","Dentro","Fora")),IF(J66="","Falta o valor",IF(AND(OR(H66="",J66&gt;=H66),OR(I66="",J66&lt;=I66)),"Dentro","Fora"))))</f>
        <v/>
      </c>
      <c r="M66" s="5"/>
      <c r="N66" s="5"/>
      <c r="O66" s="13" t="str">
        <f aca="false">IF(E66="",IF(COUNTA(C66:D66,J66:K66,M66)&gt;0,"Falta o controle",""),IF(F66="","Controle sem plano",IF(C66="","Falta a data",IF(D66="","Falta o lote ou o pedido",IF(LEFT(L66,5)="Falta",L66,IF(AND(L66="Fora",M66=""),"Fora sem reação registrada",IF(N66="","Falta quem mediu","OK")))))))</f>
        <v/>
      </c>
    </row>
    <row r="67" customFormat="false" ht="21.75" hidden="false" customHeight="true" outlineLevel="0" collapsed="false">
      <c r="B67" s="10" t="n">
        <v>61</v>
      </c>
      <c r="C67" s="20"/>
      <c r="D67" s="5"/>
      <c r="E67" s="11"/>
      <c r="F67" s="17" t="str">
        <f aca="false">IF(E67="","",IFERROR(INDEX('Plano de controle'!$D$10:$D$29,MATCH(E67,'Plano de controle'!$B$10:$B$29,0))&amp;"",""))</f>
        <v/>
      </c>
      <c r="G67" s="13" t="str">
        <f aca="false">IF(E67="","",IFERROR(INDEX('Plano de controle'!$N$10:$N$29,MATCH(E67,'Plano de controle'!$B$10:$B$29,0))&amp;"",""))</f>
        <v/>
      </c>
      <c r="H67" s="21" t="str">
        <f aca="false">IF(E67="","",IFERROR(IF(ISNUMBER(INDEX('Plano de controle'!$F$10:$F$29,MATCH(E67,'Plano de controle'!$B$10:$B$29,0))),INDEX('Plano de controle'!$F$10:$F$29,MATCH(E67,'Plano de controle'!$B$10:$B$29,0)),""),""))</f>
        <v/>
      </c>
      <c r="I67" s="21" t="str">
        <f aca="false">IF(E67="","",IFERROR(IF(ISNUMBER(INDEX('Plano de controle'!$G$10:$G$29,MATCH(E67,'Plano de controle'!$B$10:$B$29,0))),INDEX('Plano de controle'!$G$10:$G$29,MATCH(E67,'Plano de controle'!$B$10:$B$29,0)),""),""))</f>
        <v/>
      </c>
      <c r="J67" s="12"/>
      <c r="K67" s="11"/>
      <c r="L67" s="22" t="str">
        <f aca="false">IF(OR(E67="",F67=""),"",IF(AND(H67="",I67=""),IF(K67="","Falta o resultado",IF(K67="Sim","Dentro","Fora")),IF(J67="","Falta o valor",IF(AND(OR(H67="",J67&gt;=H67),OR(I67="",J67&lt;=I67)),"Dentro","Fora"))))</f>
        <v/>
      </c>
      <c r="M67" s="5"/>
      <c r="N67" s="5"/>
      <c r="O67" s="13" t="str">
        <f aca="false">IF(E67="",IF(COUNTA(C67:D67,J67:K67,M67)&gt;0,"Falta o controle",""),IF(F67="","Controle sem plano",IF(C67="","Falta a data",IF(D67="","Falta o lote ou o pedido",IF(LEFT(L67,5)="Falta",L67,IF(AND(L67="Fora",M67=""),"Fora sem reação registrada",IF(N67="","Falta quem mediu","OK")))))))</f>
        <v/>
      </c>
    </row>
    <row r="68" customFormat="false" ht="21.75" hidden="false" customHeight="true" outlineLevel="0" collapsed="false">
      <c r="B68" s="10" t="n">
        <v>62</v>
      </c>
      <c r="C68" s="20"/>
      <c r="D68" s="5"/>
      <c r="E68" s="11"/>
      <c r="F68" s="17" t="str">
        <f aca="false">IF(E68="","",IFERROR(INDEX('Plano de controle'!$D$10:$D$29,MATCH(E68,'Plano de controle'!$B$10:$B$29,0))&amp;"",""))</f>
        <v/>
      </c>
      <c r="G68" s="13" t="str">
        <f aca="false">IF(E68="","",IFERROR(INDEX('Plano de controle'!$N$10:$N$29,MATCH(E68,'Plano de controle'!$B$10:$B$29,0))&amp;"",""))</f>
        <v/>
      </c>
      <c r="H68" s="21" t="str">
        <f aca="false">IF(E68="","",IFERROR(IF(ISNUMBER(INDEX('Plano de controle'!$F$10:$F$29,MATCH(E68,'Plano de controle'!$B$10:$B$29,0))),INDEX('Plano de controle'!$F$10:$F$29,MATCH(E68,'Plano de controle'!$B$10:$B$29,0)),""),""))</f>
        <v/>
      </c>
      <c r="I68" s="21" t="str">
        <f aca="false">IF(E68="","",IFERROR(IF(ISNUMBER(INDEX('Plano de controle'!$G$10:$G$29,MATCH(E68,'Plano de controle'!$B$10:$B$29,0))),INDEX('Plano de controle'!$G$10:$G$29,MATCH(E68,'Plano de controle'!$B$10:$B$29,0)),""),""))</f>
        <v/>
      </c>
      <c r="J68" s="12"/>
      <c r="K68" s="11"/>
      <c r="L68" s="22" t="str">
        <f aca="false">IF(OR(E68="",F68=""),"",IF(AND(H68="",I68=""),IF(K68="","Falta o resultado",IF(K68="Sim","Dentro","Fora")),IF(J68="","Falta o valor",IF(AND(OR(H68="",J68&gt;=H68),OR(I68="",J68&lt;=I68)),"Dentro","Fora"))))</f>
        <v/>
      </c>
      <c r="M68" s="5"/>
      <c r="N68" s="5"/>
      <c r="O68" s="13" t="str">
        <f aca="false">IF(E68="",IF(COUNTA(C68:D68,J68:K68,M68)&gt;0,"Falta o controle",""),IF(F68="","Controle sem plano",IF(C68="","Falta a data",IF(D68="","Falta o lote ou o pedido",IF(LEFT(L68,5)="Falta",L68,IF(AND(L68="Fora",M68=""),"Fora sem reação registrada",IF(N68="","Falta quem mediu","OK")))))))</f>
        <v/>
      </c>
    </row>
    <row r="69" customFormat="false" ht="21.75" hidden="false" customHeight="true" outlineLevel="0" collapsed="false">
      <c r="B69" s="10" t="n">
        <v>63</v>
      </c>
      <c r="C69" s="20"/>
      <c r="D69" s="5"/>
      <c r="E69" s="11"/>
      <c r="F69" s="17" t="str">
        <f aca="false">IF(E69="","",IFERROR(INDEX('Plano de controle'!$D$10:$D$29,MATCH(E69,'Plano de controle'!$B$10:$B$29,0))&amp;"",""))</f>
        <v/>
      </c>
      <c r="G69" s="13" t="str">
        <f aca="false">IF(E69="","",IFERROR(INDEX('Plano de controle'!$N$10:$N$29,MATCH(E69,'Plano de controle'!$B$10:$B$29,0))&amp;"",""))</f>
        <v/>
      </c>
      <c r="H69" s="21" t="str">
        <f aca="false">IF(E69="","",IFERROR(IF(ISNUMBER(INDEX('Plano de controle'!$F$10:$F$29,MATCH(E69,'Plano de controle'!$B$10:$B$29,0))),INDEX('Plano de controle'!$F$10:$F$29,MATCH(E69,'Plano de controle'!$B$10:$B$29,0)),""),""))</f>
        <v/>
      </c>
      <c r="I69" s="21" t="str">
        <f aca="false">IF(E69="","",IFERROR(IF(ISNUMBER(INDEX('Plano de controle'!$G$10:$G$29,MATCH(E69,'Plano de controle'!$B$10:$B$29,0))),INDEX('Plano de controle'!$G$10:$G$29,MATCH(E69,'Plano de controle'!$B$10:$B$29,0)),""),""))</f>
        <v/>
      </c>
      <c r="J69" s="12"/>
      <c r="K69" s="11"/>
      <c r="L69" s="22" t="str">
        <f aca="false">IF(OR(E69="",F69=""),"",IF(AND(H69="",I69=""),IF(K69="","Falta o resultado",IF(K69="Sim","Dentro","Fora")),IF(J69="","Falta o valor",IF(AND(OR(H69="",J69&gt;=H69),OR(I69="",J69&lt;=I69)),"Dentro","Fora"))))</f>
        <v/>
      </c>
      <c r="M69" s="5"/>
      <c r="N69" s="5"/>
      <c r="O69" s="13" t="str">
        <f aca="false">IF(E69="",IF(COUNTA(C69:D69,J69:K69,M69)&gt;0,"Falta o controle",""),IF(F69="","Controle sem plano",IF(C69="","Falta a data",IF(D69="","Falta o lote ou o pedido",IF(LEFT(L69,5)="Falta",L69,IF(AND(L69="Fora",M69=""),"Fora sem reação registrada",IF(N69="","Falta quem mediu","OK")))))))</f>
        <v/>
      </c>
    </row>
    <row r="70" customFormat="false" ht="21.75" hidden="false" customHeight="true" outlineLevel="0" collapsed="false">
      <c r="B70" s="10" t="n">
        <v>64</v>
      </c>
      <c r="C70" s="20"/>
      <c r="D70" s="5"/>
      <c r="E70" s="11"/>
      <c r="F70" s="17" t="str">
        <f aca="false">IF(E70="","",IFERROR(INDEX('Plano de controle'!$D$10:$D$29,MATCH(E70,'Plano de controle'!$B$10:$B$29,0))&amp;"",""))</f>
        <v/>
      </c>
      <c r="G70" s="13" t="str">
        <f aca="false">IF(E70="","",IFERROR(INDEX('Plano de controle'!$N$10:$N$29,MATCH(E70,'Plano de controle'!$B$10:$B$29,0))&amp;"",""))</f>
        <v/>
      </c>
      <c r="H70" s="21" t="str">
        <f aca="false">IF(E70="","",IFERROR(IF(ISNUMBER(INDEX('Plano de controle'!$F$10:$F$29,MATCH(E70,'Plano de controle'!$B$10:$B$29,0))),INDEX('Plano de controle'!$F$10:$F$29,MATCH(E70,'Plano de controle'!$B$10:$B$29,0)),""),""))</f>
        <v/>
      </c>
      <c r="I70" s="21" t="str">
        <f aca="false">IF(E70="","",IFERROR(IF(ISNUMBER(INDEX('Plano de controle'!$G$10:$G$29,MATCH(E70,'Plano de controle'!$B$10:$B$29,0))),INDEX('Plano de controle'!$G$10:$G$29,MATCH(E70,'Plano de controle'!$B$10:$B$29,0)),""),""))</f>
        <v/>
      </c>
      <c r="J70" s="12"/>
      <c r="K70" s="11"/>
      <c r="L70" s="22" t="str">
        <f aca="false">IF(OR(E70="",F70=""),"",IF(AND(H70="",I70=""),IF(K70="","Falta o resultado",IF(K70="Sim","Dentro","Fora")),IF(J70="","Falta o valor",IF(AND(OR(H70="",J70&gt;=H70),OR(I70="",J70&lt;=I70)),"Dentro","Fora"))))</f>
        <v/>
      </c>
      <c r="M70" s="5"/>
      <c r="N70" s="5"/>
      <c r="O70" s="13" t="str">
        <f aca="false">IF(E70="",IF(COUNTA(C70:D70,J70:K70,M70)&gt;0,"Falta o controle",""),IF(F70="","Controle sem plano",IF(C70="","Falta a data",IF(D70="","Falta o lote ou o pedido",IF(LEFT(L70,5)="Falta",L70,IF(AND(L70="Fora",M70=""),"Fora sem reação registrada",IF(N70="","Falta quem mediu","OK")))))))</f>
        <v/>
      </c>
    </row>
    <row r="71" customFormat="false" ht="21.75" hidden="false" customHeight="true" outlineLevel="0" collapsed="false">
      <c r="B71" s="10" t="n">
        <v>65</v>
      </c>
      <c r="C71" s="20"/>
      <c r="D71" s="5"/>
      <c r="E71" s="11"/>
      <c r="F71" s="17" t="str">
        <f aca="false">IF(E71="","",IFERROR(INDEX('Plano de controle'!$D$10:$D$29,MATCH(E71,'Plano de controle'!$B$10:$B$29,0))&amp;"",""))</f>
        <v/>
      </c>
      <c r="G71" s="13" t="str">
        <f aca="false">IF(E71="","",IFERROR(INDEX('Plano de controle'!$N$10:$N$29,MATCH(E71,'Plano de controle'!$B$10:$B$29,0))&amp;"",""))</f>
        <v/>
      </c>
      <c r="H71" s="21" t="str">
        <f aca="false">IF(E71="","",IFERROR(IF(ISNUMBER(INDEX('Plano de controle'!$F$10:$F$29,MATCH(E71,'Plano de controle'!$B$10:$B$29,0))),INDEX('Plano de controle'!$F$10:$F$29,MATCH(E71,'Plano de controle'!$B$10:$B$29,0)),""),""))</f>
        <v/>
      </c>
      <c r="I71" s="21" t="str">
        <f aca="false">IF(E71="","",IFERROR(IF(ISNUMBER(INDEX('Plano de controle'!$G$10:$G$29,MATCH(E71,'Plano de controle'!$B$10:$B$29,0))),INDEX('Plano de controle'!$G$10:$G$29,MATCH(E71,'Plano de controle'!$B$10:$B$29,0)),""),""))</f>
        <v/>
      </c>
      <c r="J71" s="12"/>
      <c r="K71" s="11"/>
      <c r="L71" s="22" t="str">
        <f aca="false">IF(OR(E71="",F71=""),"",IF(AND(H71="",I71=""),IF(K71="","Falta o resultado",IF(K71="Sim","Dentro","Fora")),IF(J71="","Falta o valor",IF(AND(OR(H71="",J71&gt;=H71),OR(I71="",J71&lt;=I71)),"Dentro","Fora"))))</f>
        <v/>
      </c>
      <c r="M71" s="5"/>
      <c r="N71" s="5"/>
      <c r="O71" s="13" t="str">
        <f aca="false">IF(E71="",IF(COUNTA(C71:D71,J71:K71,M71)&gt;0,"Falta o controle",""),IF(F71="","Controle sem plano",IF(C71="","Falta a data",IF(D71="","Falta o lote ou o pedido",IF(LEFT(L71,5)="Falta",L71,IF(AND(L71="Fora",M71=""),"Fora sem reação registrada",IF(N71="","Falta quem mediu","OK")))))))</f>
        <v/>
      </c>
    </row>
    <row r="72" customFormat="false" ht="21.75" hidden="false" customHeight="true" outlineLevel="0" collapsed="false">
      <c r="B72" s="10" t="n">
        <v>66</v>
      </c>
      <c r="C72" s="20"/>
      <c r="D72" s="5"/>
      <c r="E72" s="11"/>
      <c r="F72" s="17" t="str">
        <f aca="false">IF(E72="","",IFERROR(INDEX('Plano de controle'!$D$10:$D$29,MATCH(E72,'Plano de controle'!$B$10:$B$29,0))&amp;"",""))</f>
        <v/>
      </c>
      <c r="G72" s="13" t="str">
        <f aca="false">IF(E72="","",IFERROR(INDEX('Plano de controle'!$N$10:$N$29,MATCH(E72,'Plano de controle'!$B$10:$B$29,0))&amp;"",""))</f>
        <v/>
      </c>
      <c r="H72" s="21" t="str">
        <f aca="false">IF(E72="","",IFERROR(IF(ISNUMBER(INDEX('Plano de controle'!$F$10:$F$29,MATCH(E72,'Plano de controle'!$B$10:$B$29,0))),INDEX('Plano de controle'!$F$10:$F$29,MATCH(E72,'Plano de controle'!$B$10:$B$29,0)),""),""))</f>
        <v/>
      </c>
      <c r="I72" s="21" t="str">
        <f aca="false">IF(E72="","",IFERROR(IF(ISNUMBER(INDEX('Plano de controle'!$G$10:$G$29,MATCH(E72,'Plano de controle'!$B$10:$B$29,0))),INDEX('Plano de controle'!$G$10:$G$29,MATCH(E72,'Plano de controle'!$B$10:$B$29,0)),""),""))</f>
        <v/>
      </c>
      <c r="J72" s="12"/>
      <c r="K72" s="11"/>
      <c r="L72" s="22" t="str">
        <f aca="false">IF(OR(E72="",F72=""),"",IF(AND(H72="",I72=""),IF(K72="","Falta o resultado",IF(K72="Sim","Dentro","Fora")),IF(J72="","Falta o valor",IF(AND(OR(H72="",J72&gt;=H72),OR(I72="",J72&lt;=I72)),"Dentro","Fora"))))</f>
        <v/>
      </c>
      <c r="M72" s="5"/>
      <c r="N72" s="5"/>
      <c r="O72" s="13" t="str">
        <f aca="false">IF(E72="",IF(COUNTA(C72:D72,J72:K72,M72)&gt;0,"Falta o controle",""),IF(F72="","Controle sem plano",IF(C72="","Falta a data",IF(D72="","Falta o lote ou o pedido",IF(LEFT(L72,5)="Falta",L72,IF(AND(L72="Fora",M72=""),"Fora sem reação registrada",IF(N72="","Falta quem mediu","OK")))))))</f>
        <v/>
      </c>
    </row>
    <row r="73" customFormat="false" ht="21.75" hidden="false" customHeight="true" outlineLevel="0" collapsed="false">
      <c r="B73" s="10" t="n">
        <v>67</v>
      </c>
      <c r="C73" s="20"/>
      <c r="D73" s="5"/>
      <c r="E73" s="11"/>
      <c r="F73" s="17" t="str">
        <f aca="false">IF(E73="","",IFERROR(INDEX('Plano de controle'!$D$10:$D$29,MATCH(E73,'Plano de controle'!$B$10:$B$29,0))&amp;"",""))</f>
        <v/>
      </c>
      <c r="G73" s="13" t="str">
        <f aca="false">IF(E73="","",IFERROR(INDEX('Plano de controle'!$N$10:$N$29,MATCH(E73,'Plano de controle'!$B$10:$B$29,0))&amp;"",""))</f>
        <v/>
      </c>
      <c r="H73" s="21" t="str">
        <f aca="false">IF(E73="","",IFERROR(IF(ISNUMBER(INDEX('Plano de controle'!$F$10:$F$29,MATCH(E73,'Plano de controle'!$B$10:$B$29,0))),INDEX('Plano de controle'!$F$10:$F$29,MATCH(E73,'Plano de controle'!$B$10:$B$29,0)),""),""))</f>
        <v/>
      </c>
      <c r="I73" s="21" t="str">
        <f aca="false">IF(E73="","",IFERROR(IF(ISNUMBER(INDEX('Plano de controle'!$G$10:$G$29,MATCH(E73,'Plano de controle'!$B$10:$B$29,0))),INDEX('Plano de controle'!$G$10:$G$29,MATCH(E73,'Plano de controle'!$B$10:$B$29,0)),""),""))</f>
        <v/>
      </c>
      <c r="J73" s="12"/>
      <c r="K73" s="11"/>
      <c r="L73" s="22" t="str">
        <f aca="false">IF(OR(E73="",F73=""),"",IF(AND(H73="",I73=""),IF(K73="","Falta o resultado",IF(K73="Sim","Dentro","Fora")),IF(J73="","Falta o valor",IF(AND(OR(H73="",J73&gt;=H73),OR(I73="",J73&lt;=I73)),"Dentro","Fora"))))</f>
        <v/>
      </c>
      <c r="M73" s="5"/>
      <c r="N73" s="5"/>
      <c r="O73" s="13" t="str">
        <f aca="false">IF(E73="",IF(COUNTA(C73:D73,J73:K73,M73)&gt;0,"Falta o controle",""),IF(F73="","Controle sem plano",IF(C73="","Falta a data",IF(D73="","Falta o lote ou o pedido",IF(LEFT(L73,5)="Falta",L73,IF(AND(L73="Fora",M73=""),"Fora sem reação registrada",IF(N73="","Falta quem mediu","OK")))))))</f>
        <v/>
      </c>
    </row>
    <row r="74" customFormat="false" ht="21.75" hidden="false" customHeight="true" outlineLevel="0" collapsed="false">
      <c r="B74" s="10" t="n">
        <v>68</v>
      </c>
      <c r="C74" s="20"/>
      <c r="D74" s="5"/>
      <c r="E74" s="11"/>
      <c r="F74" s="17" t="str">
        <f aca="false">IF(E74="","",IFERROR(INDEX('Plano de controle'!$D$10:$D$29,MATCH(E74,'Plano de controle'!$B$10:$B$29,0))&amp;"",""))</f>
        <v/>
      </c>
      <c r="G74" s="13" t="str">
        <f aca="false">IF(E74="","",IFERROR(INDEX('Plano de controle'!$N$10:$N$29,MATCH(E74,'Plano de controle'!$B$10:$B$29,0))&amp;"",""))</f>
        <v/>
      </c>
      <c r="H74" s="21" t="str">
        <f aca="false">IF(E74="","",IFERROR(IF(ISNUMBER(INDEX('Plano de controle'!$F$10:$F$29,MATCH(E74,'Plano de controle'!$B$10:$B$29,0))),INDEX('Plano de controle'!$F$10:$F$29,MATCH(E74,'Plano de controle'!$B$10:$B$29,0)),""),""))</f>
        <v/>
      </c>
      <c r="I74" s="21" t="str">
        <f aca="false">IF(E74="","",IFERROR(IF(ISNUMBER(INDEX('Plano de controle'!$G$10:$G$29,MATCH(E74,'Plano de controle'!$B$10:$B$29,0))),INDEX('Plano de controle'!$G$10:$G$29,MATCH(E74,'Plano de controle'!$B$10:$B$29,0)),""),""))</f>
        <v/>
      </c>
      <c r="J74" s="12"/>
      <c r="K74" s="11"/>
      <c r="L74" s="22" t="str">
        <f aca="false">IF(OR(E74="",F74=""),"",IF(AND(H74="",I74=""),IF(K74="","Falta o resultado",IF(K74="Sim","Dentro","Fora")),IF(J74="","Falta o valor",IF(AND(OR(H74="",J74&gt;=H74),OR(I74="",J74&lt;=I74)),"Dentro","Fora"))))</f>
        <v/>
      </c>
      <c r="M74" s="5"/>
      <c r="N74" s="5"/>
      <c r="O74" s="13" t="str">
        <f aca="false">IF(E74="",IF(COUNTA(C74:D74,J74:K74,M74)&gt;0,"Falta o controle",""),IF(F74="","Controle sem plano",IF(C74="","Falta a data",IF(D74="","Falta o lote ou o pedido",IF(LEFT(L74,5)="Falta",L74,IF(AND(L74="Fora",M74=""),"Fora sem reação registrada",IF(N74="","Falta quem mediu","OK")))))))</f>
        <v/>
      </c>
    </row>
    <row r="75" customFormat="false" ht="21.75" hidden="false" customHeight="true" outlineLevel="0" collapsed="false">
      <c r="B75" s="10" t="n">
        <v>69</v>
      </c>
      <c r="C75" s="20"/>
      <c r="D75" s="5"/>
      <c r="E75" s="11"/>
      <c r="F75" s="17" t="str">
        <f aca="false">IF(E75="","",IFERROR(INDEX('Plano de controle'!$D$10:$D$29,MATCH(E75,'Plano de controle'!$B$10:$B$29,0))&amp;"",""))</f>
        <v/>
      </c>
      <c r="G75" s="13" t="str">
        <f aca="false">IF(E75="","",IFERROR(INDEX('Plano de controle'!$N$10:$N$29,MATCH(E75,'Plano de controle'!$B$10:$B$29,0))&amp;"",""))</f>
        <v/>
      </c>
      <c r="H75" s="21" t="str">
        <f aca="false">IF(E75="","",IFERROR(IF(ISNUMBER(INDEX('Plano de controle'!$F$10:$F$29,MATCH(E75,'Plano de controle'!$B$10:$B$29,0))),INDEX('Plano de controle'!$F$10:$F$29,MATCH(E75,'Plano de controle'!$B$10:$B$29,0)),""),""))</f>
        <v/>
      </c>
      <c r="I75" s="21" t="str">
        <f aca="false">IF(E75="","",IFERROR(IF(ISNUMBER(INDEX('Plano de controle'!$G$10:$G$29,MATCH(E75,'Plano de controle'!$B$10:$B$29,0))),INDEX('Plano de controle'!$G$10:$G$29,MATCH(E75,'Plano de controle'!$B$10:$B$29,0)),""),""))</f>
        <v/>
      </c>
      <c r="J75" s="12"/>
      <c r="K75" s="11"/>
      <c r="L75" s="22" t="str">
        <f aca="false">IF(OR(E75="",F75=""),"",IF(AND(H75="",I75=""),IF(K75="","Falta o resultado",IF(K75="Sim","Dentro","Fora")),IF(J75="","Falta o valor",IF(AND(OR(H75="",J75&gt;=H75),OR(I75="",J75&lt;=I75)),"Dentro","Fora"))))</f>
        <v/>
      </c>
      <c r="M75" s="5"/>
      <c r="N75" s="5"/>
      <c r="O75" s="13" t="str">
        <f aca="false">IF(E75="",IF(COUNTA(C75:D75,J75:K75,M75)&gt;0,"Falta o controle",""),IF(F75="","Controle sem plano",IF(C75="","Falta a data",IF(D75="","Falta o lote ou o pedido",IF(LEFT(L75,5)="Falta",L75,IF(AND(L75="Fora",M75=""),"Fora sem reação registrada",IF(N75="","Falta quem mediu","OK")))))))</f>
        <v/>
      </c>
    </row>
    <row r="76" customFormat="false" ht="21.75" hidden="false" customHeight="true" outlineLevel="0" collapsed="false">
      <c r="B76" s="10" t="n">
        <v>70</v>
      </c>
      <c r="C76" s="20"/>
      <c r="D76" s="5"/>
      <c r="E76" s="11"/>
      <c r="F76" s="17" t="str">
        <f aca="false">IF(E76="","",IFERROR(INDEX('Plano de controle'!$D$10:$D$29,MATCH(E76,'Plano de controle'!$B$10:$B$29,0))&amp;"",""))</f>
        <v/>
      </c>
      <c r="G76" s="13" t="str">
        <f aca="false">IF(E76="","",IFERROR(INDEX('Plano de controle'!$N$10:$N$29,MATCH(E76,'Plano de controle'!$B$10:$B$29,0))&amp;"",""))</f>
        <v/>
      </c>
      <c r="H76" s="21" t="str">
        <f aca="false">IF(E76="","",IFERROR(IF(ISNUMBER(INDEX('Plano de controle'!$F$10:$F$29,MATCH(E76,'Plano de controle'!$B$10:$B$29,0))),INDEX('Plano de controle'!$F$10:$F$29,MATCH(E76,'Plano de controle'!$B$10:$B$29,0)),""),""))</f>
        <v/>
      </c>
      <c r="I76" s="21" t="str">
        <f aca="false">IF(E76="","",IFERROR(IF(ISNUMBER(INDEX('Plano de controle'!$G$10:$G$29,MATCH(E76,'Plano de controle'!$B$10:$B$29,0))),INDEX('Plano de controle'!$G$10:$G$29,MATCH(E76,'Plano de controle'!$B$10:$B$29,0)),""),""))</f>
        <v/>
      </c>
      <c r="J76" s="12"/>
      <c r="K76" s="11"/>
      <c r="L76" s="22" t="str">
        <f aca="false">IF(OR(E76="",F76=""),"",IF(AND(H76="",I76=""),IF(K76="","Falta o resultado",IF(K76="Sim","Dentro","Fora")),IF(J76="","Falta o valor",IF(AND(OR(H76="",J76&gt;=H76),OR(I76="",J76&lt;=I76)),"Dentro","Fora"))))</f>
        <v/>
      </c>
      <c r="M76" s="5"/>
      <c r="N76" s="5"/>
      <c r="O76" s="13" t="str">
        <f aca="false">IF(E76="",IF(COUNTA(C76:D76,J76:K76,M76)&gt;0,"Falta o controle",""),IF(F76="","Controle sem plano",IF(C76="","Falta a data",IF(D76="","Falta o lote ou o pedido",IF(LEFT(L76,5)="Falta",L76,IF(AND(L76="Fora",M76=""),"Fora sem reação registrada",IF(N76="","Falta quem mediu","OK")))))))</f>
        <v/>
      </c>
    </row>
    <row r="77" customFormat="false" ht="21.75" hidden="false" customHeight="true" outlineLevel="0" collapsed="false">
      <c r="B77" s="10" t="n">
        <v>71</v>
      </c>
      <c r="C77" s="20"/>
      <c r="D77" s="5"/>
      <c r="E77" s="11"/>
      <c r="F77" s="17" t="str">
        <f aca="false">IF(E77="","",IFERROR(INDEX('Plano de controle'!$D$10:$D$29,MATCH(E77,'Plano de controle'!$B$10:$B$29,0))&amp;"",""))</f>
        <v/>
      </c>
      <c r="G77" s="13" t="str">
        <f aca="false">IF(E77="","",IFERROR(INDEX('Plano de controle'!$N$10:$N$29,MATCH(E77,'Plano de controle'!$B$10:$B$29,0))&amp;"",""))</f>
        <v/>
      </c>
      <c r="H77" s="21" t="str">
        <f aca="false">IF(E77="","",IFERROR(IF(ISNUMBER(INDEX('Plano de controle'!$F$10:$F$29,MATCH(E77,'Plano de controle'!$B$10:$B$29,0))),INDEX('Plano de controle'!$F$10:$F$29,MATCH(E77,'Plano de controle'!$B$10:$B$29,0)),""),""))</f>
        <v/>
      </c>
      <c r="I77" s="21" t="str">
        <f aca="false">IF(E77="","",IFERROR(IF(ISNUMBER(INDEX('Plano de controle'!$G$10:$G$29,MATCH(E77,'Plano de controle'!$B$10:$B$29,0))),INDEX('Plano de controle'!$G$10:$G$29,MATCH(E77,'Plano de controle'!$B$10:$B$29,0)),""),""))</f>
        <v/>
      </c>
      <c r="J77" s="12"/>
      <c r="K77" s="11"/>
      <c r="L77" s="22" t="str">
        <f aca="false">IF(OR(E77="",F77=""),"",IF(AND(H77="",I77=""),IF(K77="","Falta o resultado",IF(K77="Sim","Dentro","Fora")),IF(J77="","Falta o valor",IF(AND(OR(H77="",J77&gt;=H77),OR(I77="",J77&lt;=I77)),"Dentro","Fora"))))</f>
        <v/>
      </c>
      <c r="M77" s="5"/>
      <c r="N77" s="5"/>
      <c r="O77" s="13" t="str">
        <f aca="false">IF(E77="",IF(COUNTA(C77:D77,J77:K77,M77)&gt;0,"Falta o controle",""),IF(F77="","Controle sem plano",IF(C77="","Falta a data",IF(D77="","Falta o lote ou o pedido",IF(LEFT(L77,5)="Falta",L77,IF(AND(L77="Fora",M77=""),"Fora sem reação registrada",IF(N77="","Falta quem mediu","OK")))))))</f>
        <v/>
      </c>
    </row>
    <row r="78" customFormat="false" ht="21.75" hidden="false" customHeight="true" outlineLevel="0" collapsed="false">
      <c r="B78" s="10" t="n">
        <v>72</v>
      </c>
      <c r="C78" s="20"/>
      <c r="D78" s="5"/>
      <c r="E78" s="11"/>
      <c r="F78" s="17" t="str">
        <f aca="false">IF(E78="","",IFERROR(INDEX('Plano de controle'!$D$10:$D$29,MATCH(E78,'Plano de controle'!$B$10:$B$29,0))&amp;"",""))</f>
        <v/>
      </c>
      <c r="G78" s="13" t="str">
        <f aca="false">IF(E78="","",IFERROR(INDEX('Plano de controle'!$N$10:$N$29,MATCH(E78,'Plano de controle'!$B$10:$B$29,0))&amp;"",""))</f>
        <v/>
      </c>
      <c r="H78" s="21" t="str">
        <f aca="false">IF(E78="","",IFERROR(IF(ISNUMBER(INDEX('Plano de controle'!$F$10:$F$29,MATCH(E78,'Plano de controle'!$B$10:$B$29,0))),INDEX('Plano de controle'!$F$10:$F$29,MATCH(E78,'Plano de controle'!$B$10:$B$29,0)),""),""))</f>
        <v/>
      </c>
      <c r="I78" s="21" t="str">
        <f aca="false">IF(E78="","",IFERROR(IF(ISNUMBER(INDEX('Plano de controle'!$G$10:$G$29,MATCH(E78,'Plano de controle'!$B$10:$B$29,0))),INDEX('Plano de controle'!$G$10:$G$29,MATCH(E78,'Plano de controle'!$B$10:$B$29,0)),""),""))</f>
        <v/>
      </c>
      <c r="J78" s="12"/>
      <c r="K78" s="11"/>
      <c r="L78" s="22" t="str">
        <f aca="false">IF(OR(E78="",F78=""),"",IF(AND(H78="",I78=""),IF(K78="","Falta o resultado",IF(K78="Sim","Dentro","Fora")),IF(J78="","Falta o valor",IF(AND(OR(H78="",J78&gt;=H78),OR(I78="",J78&lt;=I78)),"Dentro","Fora"))))</f>
        <v/>
      </c>
      <c r="M78" s="5"/>
      <c r="N78" s="5"/>
      <c r="O78" s="13" t="str">
        <f aca="false">IF(E78="",IF(COUNTA(C78:D78,J78:K78,M78)&gt;0,"Falta o controle",""),IF(F78="","Controle sem plano",IF(C78="","Falta a data",IF(D78="","Falta o lote ou o pedido",IF(LEFT(L78,5)="Falta",L78,IF(AND(L78="Fora",M78=""),"Fora sem reação registrada",IF(N78="","Falta quem mediu","OK")))))))</f>
        <v/>
      </c>
    </row>
    <row r="79" customFormat="false" ht="21.75" hidden="false" customHeight="true" outlineLevel="0" collapsed="false">
      <c r="B79" s="10" t="n">
        <v>73</v>
      </c>
      <c r="C79" s="20"/>
      <c r="D79" s="5"/>
      <c r="E79" s="11"/>
      <c r="F79" s="17" t="str">
        <f aca="false">IF(E79="","",IFERROR(INDEX('Plano de controle'!$D$10:$D$29,MATCH(E79,'Plano de controle'!$B$10:$B$29,0))&amp;"",""))</f>
        <v/>
      </c>
      <c r="G79" s="13" t="str">
        <f aca="false">IF(E79="","",IFERROR(INDEX('Plano de controle'!$N$10:$N$29,MATCH(E79,'Plano de controle'!$B$10:$B$29,0))&amp;"",""))</f>
        <v/>
      </c>
      <c r="H79" s="21" t="str">
        <f aca="false">IF(E79="","",IFERROR(IF(ISNUMBER(INDEX('Plano de controle'!$F$10:$F$29,MATCH(E79,'Plano de controle'!$B$10:$B$29,0))),INDEX('Plano de controle'!$F$10:$F$29,MATCH(E79,'Plano de controle'!$B$10:$B$29,0)),""),""))</f>
        <v/>
      </c>
      <c r="I79" s="21" t="str">
        <f aca="false">IF(E79="","",IFERROR(IF(ISNUMBER(INDEX('Plano de controle'!$G$10:$G$29,MATCH(E79,'Plano de controle'!$B$10:$B$29,0))),INDEX('Plano de controle'!$G$10:$G$29,MATCH(E79,'Plano de controle'!$B$10:$B$29,0)),""),""))</f>
        <v/>
      </c>
      <c r="J79" s="12"/>
      <c r="K79" s="11"/>
      <c r="L79" s="22" t="str">
        <f aca="false">IF(OR(E79="",F79=""),"",IF(AND(H79="",I79=""),IF(K79="","Falta o resultado",IF(K79="Sim","Dentro","Fora")),IF(J79="","Falta o valor",IF(AND(OR(H79="",J79&gt;=H79),OR(I79="",J79&lt;=I79)),"Dentro","Fora"))))</f>
        <v/>
      </c>
      <c r="M79" s="5"/>
      <c r="N79" s="5"/>
      <c r="O79" s="13" t="str">
        <f aca="false">IF(E79="",IF(COUNTA(C79:D79,J79:K79,M79)&gt;0,"Falta o controle",""),IF(F79="","Controle sem plano",IF(C79="","Falta a data",IF(D79="","Falta o lote ou o pedido",IF(LEFT(L79,5)="Falta",L79,IF(AND(L79="Fora",M79=""),"Fora sem reação registrada",IF(N79="","Falta quem mediu","OK")))))))</f>
        <v/>
      </c>
    </row>
    <row r="80" customFormat="false" ht="21.75" hidden="false" customHeight="true" outlineLevel="0" collapsed="false">
      <c r="B80" s="10" t="n">
        <v>74</v>
      </c>
      <c r="C80" s="20"/>
      <c r="D80" s="5"/>
      <c r="E80" s="11"/>
      <c r="F80" s="17" t="str">
        <f aca="false">IF(E80="","",IFERROR(INDEX('Plano de controle'!$D$10:$D$29,MATCH(E80,'Plano de controle'!$B$10:$B$29,0))&amp;"",""))</f>
        <v/>
      </c>
      <c r="G80" s="13" t="str">
        <f aca="false">IF(E80="","",IFERROR(INDEX('Plano de controle'!$N$10:$N$29,MATCH(E80,'Plano de controle'!$B$10:$B$29,0))&amp;"",""))</f>
        <v/>
      </c>
      <c r="H80" s="21" t="str">
        <f aca="false">IF(E80="","",IFERROR(IF(ISNUMBER(INDEX('Plano de controle'!$F$10:$F$29,MATCH(E80,'Plano de controle'!$B$10:$B$29,0))),INDEX('Plano de controle'!$F$10:$F$29,MATCH(E80,'Plano de controle'!$B$10:$B$29,0)),""),""))</f>
        <v/>
      </c>
      <c r="I80" s="21" t="str">
        <f aca="false">IF(E80="","",IFERROR(IF(ISNUMBER(INDEX('Plano de controle'!$G$10:$G$29,MATCH(E80,'Plano de controle'!$B$10:$B$29,0))),INDEX('Plano de controle'!$G$10:$G$29,MATCH(E80,'Plano de controle'!$B$10:$B$29,0)),""),""))</f>
        <v/>
      </c>
      <c r="J80" s="12"/>
      <c r="K80" s="11"/>
      <c r="L80" s="22" t="str">
        <f aca="false">IF(OR(E80="",F80=""),"",IF(AND(H80="",I80=""),IF(K80="","Falta o resultado",IF(K80="Sim","Dentro","Fora")),IF(J80="","Falta o valor",IF(AND(OR(H80="",J80&gt;=H80),OR(I80="",J80&lt;=I80)),"Dentro","Fora"))))</f>
        <v/>
      </c>
      <c r="M80" s="5"/>
      <c r="N80" s="5"/>
      <c r="O80" s="13" t="str">
        <f aca="false">IF(E80="",IF(COUNTA(C80:D80,J80:K80,M80)&gt;0,"Falta o controle",""),IF(F80="","Controle sem plano",IF(C80="","Falta a data",IF(D80="","Falta o lote ou o pedido",IF(LEFT(L80,5)="Falta",L80,IF(AND(L80="Fora",M80=""),"Fora sem reação registrada",IF(N80="","Falta quem mediu","OK")))))))</f>
        <v/>
      </c>
    </row>
    <row r="81" customFormat="false" ht="21.75" hidden="false" customHeight="true" outlineLevel="0" collapsed="false">
      <c r="B81" s="10" t="n">
        <v>75</v>
      </c>
      <c r="C81" s="20"/>
      <c r="D81" s="5"/>
      <c r="E81" s="11"/>
      <c r="F81" s="17" t="str">
        <f aca="false">IF(E81="","",IFERROR(INDEX('Plano de controle'!$D$10:$D$29,MATCH(E81,'Plano de controle'!$B$10:$B$29,0))&amp;"",""))</f>
        <v/>
      </c>
      <c r="G81" s="13" t="str">
        <f aca="false">IF(E81="","",IFERROR(INDEX('Plano de controle'!$N$10:$N$29,MATCH(E81,'Plano de controle'!$B$10:$B$29,0))&amp;"",""))</f>
        <v/>
      </c>
      <c r="H81" s="21" t="str">
        <f aca="false">IF(E81="","",IFERROR(IF(ISNUMBER(INDEX('Plano de controle'!$F$10:$F$29,MATCH(E81,'Plano de controle'!$B$10:$B$29,0))),INDEX('Plano de controle'!$F$10:$F$29,MATCH(E81,'Plano de controle'!$B$10:$B$29,0)),""),""))</f>
        <v/>
      </c>
      <c r="I81" s="21" t="str">
        <f aca="false">IF(E81="","",IFERROR(IF(ISNUMBER(INDEX('Plano de controle'!$G$10:$G$29,MATCH(E81,'Plano de controle'!$B$10:$B$29,0))),INDEX('Plano de controle'!$G$10:$G$29,MATCH(E81,'Plano de controle'!$B$10:$B$29,0)),""),""))</f>
        <v/>
      </c>
      <c r="J81" s="12"/>
      <c r="K81" s="11"/>
      <c r="L81" s="22" t="str">
        <f aca="false">IF(OR(E81="",F81=""),"",IF(AND(H81="",I81=""),IF(K81="","Falta o resultado",IF(K81="Sim","Dentro","Fora")),IF(J81="","Falta o valor",IF(AND(OR(H81="",J81&gt;=H81),OR(I81="",J81&lt;=I81)),"Dentro","Fora"))))</f>
        <v/>
      </c>
      <c r="M81" s="5"/>
      <c r="N81" s="5"/>
      <c r="O81" s="13" t="str">
        <f aca="false">IF(E81="",IF(COUNTA(C81:D81,J81:K81,M81)&gt;0,"Falta o controle",""),IF(F81="","Controle sem plano",IF(C81="","Falta a data",IF(D81="","Falta o lote ou o pedido",IF(LEFT(L81,5)="Falta",L81,IF(AND(L81="Fora",M81=""),"Fora sem reação registrada",IF(N81="","Falta quem mediu","OK")))))))</f>
        <v/>
      </c>
    </row>
    <row r="82" customFormat="false" ht="21.75" hidden="false" customHeight="true" outlineLevel="0" collapsed="false">
      <c r="B82" s="10" t="n">
        <v>76</v>
      </c>
      <c r="C82" s="20"/>
      <c r="D82" s="5"/>
      <c r="E82" s="11"/>
      <c r="F82" s="17" t="str">
        <f aca="false">IF(E82="","",IFERROR(INDEX('Plano de controle'!$D$10:$D$29,MATCH(E82,'Plano de controle'!$B$10:$B$29,0))&amp;"",""))</f>
        <v/>
      </c>
      <c r="G82" s="13" t="str">
        <f aca="false">IF(E82="","",IFERROR(INDEX('Plano de controle'!$N$10:$N$29,MATCH(E82,'Plano de controle'!$B$10:$B$29,0))&amp;"",""))</f>
        <v/>
      </c>
      <c r="H82" s="21" t="str">
        <f aca="false">IF(E82="","",IFERROR(IF(ISNUMBER(INDEX('Plano de controle'!$F$10:$F$29,MATCH(E82,'Plano de controle'!$B$10:$B$29,0))),INDEX('Plano de controle'!$F$10:$F$29,MATCH(E82,'Plano de controle'!$B$10:$B$29,0)),""),""))</f>
        <v/>
      </c>
      <c r="I82" s="21" t="str">
        <f aca="false">IF(E82="","",IFERROR(IF(ISNUMBER(INDEX('Plano de controle'!$G$10:$G$29,MATCH(E82,'Plano de controle'!$B$10:$B$29,0))),INDEX('Plano de controle'!$G$10:$G$29,MATCH(E82,'Plano de controle'!$B$10:$B$29,0)),""),""))</f>
        <v/>
      </c>
      <c r="J82" s="12"/>
      <c r="K82" s="11"/>
      <c r="L82" s="22" t="str">
        <f aca="false">IF(OR(E82="",F82=""),"",IF(AND(H82="",I82=""),IF(K82="","Falta o resultado",IF(K82="Sim","Dentro","Fora")),IF(J82="","Falta o valor",IF(AND(OR(H82="",J82&gt;=H82),OR(I82="",J82&lt;=I82)),"Dentro","Fora"))))</f>
        <v/>
      </c>
      <c r="M82" s="5"/>
      <c r="N82" s="5"/>
      <c r="O82" s="13" t="str">
        <f aca="false">IF(E82="",IF(COUNTA(C82:D82,J82:K82,M82)&gt;0,"Falta o controle",""),IF(F82="","Controle sem plano",IF(C82="","Falta a data",IF(D82="","Falta o lote ou o pedido",IF(LEFT(L82,5)="Falta",L82,IF(AND(L82="Fora",M82=""),"Fora sem reação registrada",IF(N82="","Falta quem mediu","OK")))))))</f>
        <v/>
      </c>
    </row>
    <row r="83" customFormat="false" ht="21.75" hidden="false" customHeight="true" outlineLevel="0" collapsed="false">
      <c r="B83" s="10" t="n">
        <v>77</v>
      </c>
      <c r="C83" s="20"/>
      <c r="D83" s="5"/>
      <c r="E83" s="11"/>
      <c r="F83" s="17" t="str">
        <f aca="false">IF(E83="","",IFERROR(INDEX('Plano de controle'!$D$10:$D$29,MATCH(E83,'Plano de controle'!$B$10:$B$29,0))&amp;"",""))</f>
        <v/>
      </c>
      <c r="G83" s="13" t="str">
        <f aca="false">IF(E83="","",IFERROR(INDEX('Plano de controle'!$N$10:$N$29,MATCH(E83,'Plano de controle'!$B$10:$B$29,0))&amp;"",""))</f>
        <v/>
      </c>
      <c r="H83" s="21" t="str">
        <f aca="false">IF(E83="","",IFERROR(IF(ISNUMBER(INDEX('Plano de controle'!$F$10:$F$29,MATCH(E83,'Plano de controle'!$B$10:$B$29,0))),INDEX('Plano de controle'!$F$10:$F$29,MATCH(E83,'Plano de controle'!$B$10:$B$29,0)),""),""))</f>
        <v/>
      </c>
      <c r="I83" s="21" t="str">
        <f aca="false">IF(E83="","",IFERROR(IF(ISNUMBER(INDEX('Plano de controle'!$G$10:$G$29,MATCH(E83,'Plano de controle'!$B$10:$B$29,0))),INDEX('Plano de controle'!$G$10:$G$29,MATCH(E83,'Plano de controle'!$B$10:$B$29,0)),""),""))</f>
        <v/>
      </c>
      <c r="J83" s="12"/>
      <c r="K83" s="11"/>
      <c r="L83" s="22" t="str">
        <f aca="false">IF(OR(E83="",F83=""),"",IF(AND(H83="",I83=""),IF(K83="","Falta o resultado",IF(K83="Sim","Dentro","Fora")),IF(J83="","Falta o valor",IF(AND(OR(H83="",J83&gt;=H83),OR(I83="",J83&lt;=I83)),"Dentro","Fora"))))</f>
        <v/>
      </c>
      <c r="M83" s="5"/>
      <c r="N83" s="5"/>
      <c r="O83" s="13" t="str">
        <f aca="false">IF(E83="",IF(COUNTA(C83:D83,J83:K83,M83)&gt;0,"Falta o controle",""),IF(F83="","Controle sem plano",IF(C83="","Falta a data",IF(D83="","Falta o lote ou o pedido",IF(LEFT(L83,5)="Falta",L83,IF(AND(L83="Fora",M83=""),"Fora sem reação registrada",IF(N83="","Falta quem mediu","OK")))))))</f>
        <v/>
      </c>
    </row>
    <row r="84" customFormat="false" ht="21.75" hidden="false" customHeight="true" outlineLevel="0" collapsed="false">
      <c r="B84" s="10" t="n">
        <v>78</v>
      </c>
      <c r="C84" s="20"/>
      <c r="D84" s="5"/>
      <c r="E84" s="11"/>
      <c r="F84" s="17" t="str">
        <f aca="false">IF(E84="","",IFERROR(INDEX('Plano de controle'!$D$10:$D$29,MATCH(E84,'Plano de controle'!$B$10:$B$29,0))&amp;"",""))</f>
        <v/>
      </c>
      <c r="G84" s="13" t="str">
        <f aca="false">IF(E84="","",IFERROR(INDEX('Plano de controle'!$N$10:$N$29,MATCH(E84,'Plano de controle'!$B$10:$B$29,0))&amp;"",""))</f>
        <v/>
      </c>
      <c r="H84" s="21" t="str">
        <f aca="false">IF(E84="","",IFERROR(IF(ISNUMBER(INDEX('Plano de controle'!$F$10:$F$29,MATCH(E84,'Plano de controle'!$B$10:$B$29,0))),INDEX('Plano de controle'!$F$10:$F$29,MATCH(E84,'Plano de controle'!$B$10:$B$29,0)),""),""))</f>
        <v/>
      </c>
      <c r="I84" s="21" t="str">
        <f aca="false">IF(E84="","",IFERROR(IF(ISNUMBER(INDEX('Plano de controle'!$G$10:$G$29,MATCH(E84,'Plano de controle'!$B$10:$B$29,0))),INDEX('Plano de controle'!$G$10:$G$29,MATCH(E84,'Plano de controle'!$B$10:$B$29,0)),""),""))</f>
        <v/>
      </c>
      <c r="J84" s="12"/>
      <c r="K84" s="11"/>
      <c r="L84" s="22" t="str">
        <f aca="false">IF(OR(E84="",F84=""),"",IF(AND(H84="",I84=""),IF(K84="","Falta o resultado",IF(K84="Sim","Dentro","Fora")),IF(J84="","Falta o valor",IF(AND(OR(H84="",J84&gt;=H84),OR(I84="",J84&lt;=I84)),"Dentro","Fora"))))</f>
        <v/>
      </c>
      <c r="M84" s="5"/>
      <c r="N84" s="5"/>
      <c r="O84" s="13" t="str">
        <f aca="false">IF(E84="",IF(COUNTA(C84:D84,J84:K84,M84)&gt;0,"Falta o controle",""),IF(F84="","Controle sem plano",IF(C84="","Falta a data",IF(D84="","Falta o lote ou o pedido",IF(LEFT(L84,5)="Falta",L84,IF(AND(L84="Fora",M84=""),"Fora sem reação registrada",IF(N84="","Falta quem mediu","OK")))))))</f>
        <v/>
      </c>
    </row>
    <row r="85" customFormat="false" ht="21.75" hidden="false" customHeight="true" outlineLevel="0" collapsed="false">
      <c r="B85" s="10" t="n">
        <v>79</v>
      </c>
      <c r="C85" s="20"/>
      <c r="D85" s="5"/>
      <c r="E85" s="11"/>
      <c r="F85" s="17" t="str">
        <f aca="false">IF(E85="","",IFERROR(INDEX('Plano de controle'!$D$10:$D$29,MATCH(E85,'Plano de controle'!$B$10:$B$29,0))&amp;"",""))</f>
        <v/>
      </c>
      <c r="G85" s="13" t="str">
        <f aca="false">IF(E85="","",IFERROR(INDEX('Plano de controle'!$N$10:$N$29,MATCH(E85,'Plano de controle'!$B$10:$B$29,0))&amp;"",""))</f>
        <v/>
      </c>
      <c r="H85" s="21" t="str">
        <f aca="false">IF(E85="","",IFERROR(IF(ISNUMBER(INDEX('Plano de controle'!$F$10:$F$29,MATCH(E85,'Plano de controle'!$B$10:$B$29,0))),INDEX('Plano de controle'!$F$10:$F$29,MATCH(E85,'Plano de controle'!$B$10:$B$29,0)),""),""))</f>
        <v/>
      </c>
      <c r="I85" s="21" t="str">
        <f aca="false">IF(E85="","",IFERROR(IF(ISNUMBER(INDEX('Plano de controle'!$G$10:$G$29,MATCH(E85,'Plano de controle'!$B$10:$B$29,0))),INDEX('Plano de controle'!$G$10:$G$29,MATCH(E85,'Plano de controle'!$B$10:$B$29,0)),""),""))</f>
        <v/>
      </c>
      <c r="J85" s="12"/>
      <c r="K85" s="11"/>
      <c r="L85" s="22" t="str">
        <f aca="false">IF(OR(E85="",F85=""),"",IF(AND(H85="",I85=""),IF(K85="","Falta o resultado",IF(K85="Sim","Dentro","Fora")),IF(J85="","Falta o valor",IF(AND(OR(H85="",J85&gt;=H85),OR(I85="",J85&lt;=I85)),"Dentro","Fora"))))</f>
        <v/>
      </c>
      <c r="M85" s="5"/>
      <c r="N85" s="5"/>
      <c r="O85" s="13" t="str">
        <f aca="false">IF(E85="",IF(COUNTA(C85:D85,J85:K85,M85)&gt;0,"Falta o controle",""),IF(F85="","Controle sem plano",IF(C85="","Falta a data",IF(D85="","Falta o lote ou o pedido",IF(LEFT(L85,5)="Falta",L85,IF(AND(L85="Fora",M85=""),"Fora sem reação registrada",IF(N85="","Falta quem mediu","OK")))))))</f>
        <v/>
      </c>
    </row>
    <row r="86" customFormat="false" ht="21.75" hidden="false" customHeight="true" outlineLevel="0" collapsed="false">
      <c r="B86" s="10" t="n">
        <v>80</v>
      </c>
      <c r="C86" s="20"/>
      <c r="D86" s="5"/>
      <c r="E86" s="11"/>
      <c r="F86" s="17" t="str">
        <f aca="false">IF(E86="","",IFERROR(INDEX('Plano de controle'!$D$10:$D$29,MATCH(E86,'Plano de controle'!$B$10:$B$29,0))&amp;"",""))</f>
        <v/>
      </c>
      <c r="G86" s="13" t="str">
        <f aca="false">IF(E86="","",IFERROR(INDEX('Plano de controle'!$N$10:$N$29,MATCH(E86,'Plano de controle'!$B$10:$B$29,0))&amp;"",""))</f>
        <v/>
      </c>
      <c r="H86" s="21" t="str">
        <f aca="false">IF(E86="","",IFERROR(IF(ISNUMBER(INDEX('Plano de controle'!$F$10:$F$29,MATCH(E86,'Plano de controle'!$B$10:$B$29,0))),INDEX('Plano de controle'!$F$10:$F$29,MATCH(E86,'Plano de controle'!$B$10:$B$29,0)),""),""))</f>
        <v/>
      </c>
      <c r="I86" s="21" t="str">
        <f aca="false">IF(E86="","",IFERROR(IF(ISNUMBER(INDEX('Plano de controle'!$G$10:$G$29,MATCH(E86,'Plano de controle'!$B$10:$B$29,0))),INDEX('Plano de controle'!$G$10:$G$29,MATCH(E86,'Plano de controle'!$B$10:$B$29,0)),""),""))</f>
        <v/>
      </c>
      <c r="J86" s="12"/>
      <c r="K86" s="11"/>
      <c r="L86" s="22" t="str">
        <f aca="false">IF(OR(E86="",F86=""),"",IF(AND(H86="",I86=""),IF(K86="","Falta o resultado",IF(K86="Sim","Dentro","Fora")),IF(J86="","Falta o valor",IF(AND(OR(H86="",J86&gt;=H86),OR(I86="",J86&lt;=I86)),"Dentro","Fora"))))</f>
        <v/>
      </c>
      <c r="M86" s="5"/>
      <c r="N86" s="5"/>
      <c r="O86" s="13" t="str">
        <f aca="false">IF(E86="",IF(COUNTA(C86:D86,J86:K86,M86)&gt;0,"Falta o controle",""),IF(F86="","Controle sem plano",IF(C86="","Falta a data",IF(D86="","Falta o lote ou o pedido",IF(LEFT(L86,5)="Falta",L86,IF(AND(L86="Fora",M86=""),"Fora sem reação registrada",IF(N86="","Falta quem mediu","OK")))))))</f>
        <v/>
      </c>
    </row>
    <row r="87" customFormat="false" ht="21.75" hidden="false" customHeight="true" outlineLevel="0" collapsed="false">
      <c r="B87" s="10" t="n">
        <v>81</v>
      </c>
      <c r="C87" s="20"/>
      <c r="D87" s="5"/>
      <c r="E87" s="11"/>
      <c r="F87" s="17" t="str">
        <f aca="false">IF(E87="","",IFERROR(INDEX('Plano de controle'!$D$10:$D$29,MATCH(E87,'Plano de controle'!$B$10:$B$29,0))&amp;"",""))</f>
        <v/>
      </c>
      <c r="G87" s="13" t="str">
        <f aca="false">IF(E87="","",IFERROR(INDEX('Plano de controle'!$N$10:$N$29,MATCH(E87,'Plano de controle'!$B$10:$B$29,0))&amp;"",""))</f>
        <v/>
      </c>
      <c r="H87" s="21" t="str">
        <f aca="false">IF(E87="","",IFERROR(IF(ISNUMBER(INDEX('Plano de controle'!$F$10:$F$29,MATCH(E87,'Plano de controle'!$B$10:$B$29,0))),INDEX('Plano de controle'!$F$10:$F$29,MATCH(E87,'Plano de controle'!$B$10:$B$29,0)),""),""))</f>
        <v/>
      </c>
      <c r="I87" s="21" t="str">
        <f aca="false">IF(E87="","",IFERROR(IF(ISNUMBER(INDEX('Plano de controle'!$G$10:$G$29,MATCH(E87,'Plano de controle'!$B$10:$B$29,0))),INDEX('Plano de controle'!$G$10:$G$29,MATCH(E87,'Plano de controle'!$B$10:$B$29,0)),""),""))</f>
        <v/>
      </c>
      <c r="J87" s="12"/>
      <c r="K87" s="11"/>
      <c r="L87" s="22" t="str">
        <f aca="false">IF(OR(E87="",F87=""),"",IF(AND(H87="",I87=""),IF(K87="","Falta o resultado",IF(K87="Sim","Dentro","Fora")),IF(J87="","Falta o valor",IF(AND(OR(H87="",J87&gt;=H87),OR(I87="",J87&lt;=I87)),"Dentro","Fora"))))</f>
        <v/>
      </c>
      <c r="M87" s="5"/>
      <c r="N87" s="5"/>
      <c r="O87" s="13" t="str">
        <f aca="false">IF(E87="",IF(COUNTA(C87:D87,J87:K87,M87)&gt;0,"Falta o controle",""),IF(F87="","Controle sem plano",IF(C87="","Falta a data",IF(D87="","Falta o lote ou o pedido",IF(LEFT(L87,5)="Falta",L87,IF(AND(L87="Fora",M87=""),"Fora sem reação registrada",IF(N87="","Falta quem mediu","OK")))))))</f>
        <v/>
      </c>
    </row>
    <row r="88" customFormat="false" ht="21.75" hidden="false" customHeight="true" outlineLevel="0" collapsed="false">
      <c r="B88" s="10" t="n">
        <v>82</v>
      </c>
      <c r="C88" s="20"/>
      <c r="D88" s="5"/>
      <c r="E88" s="11"/>
      <c r="F88" s="17" t="str">
        <f aca="false">IF(E88="","",IFERROR(INDEX('Plano de controle'!$D$10:$D$29,MATCH(E88,'Plano de controle'!$B$10:$B$29,0))&amp;"",""))</f>
        <v/>
      </c>
      <c r="G88" s="13" t="str">
        <f aca="false">IF(E88="","",IFERROR(INDEX('Plano de controle'!$N$10:$N$29,MATCH(E88,'Plano de controle'!$B$10:$B$29,0))&amp;"",""))</f>
        <v/>
      </c>
      <c r="H88" s="21" t="str">
        <f aca="false">IF(E88="","",IFERROR(IF(ISNUMBER(INDEX('Plano de controle'!$F$10:$F$29,MATCH(E88,'Plano de controle'!$B$10:$B$29,0))),INDEX('Plano de controle'!$F$10:$F$29,MATCH(E88,'Plano de controle'!$B$10:$B$29,0)),""),""))</f>
        <v/>
      </c>
      <c r="I88" s="21" t="str">
        <f aca="false">IF(E88="","",IFERROR(IF(ISNUMBER(INDEX('Plano de controle'!$G$10:$G$29,MATCH(E88,'Plano de controle'!$B$10:$B$29,0))),INDEX('Plano de controle'!$G$10:$G$29,MATCH(E88,'Plano de controle'!$B$10:$B$29,0)),""),""))</f>
        <v/>
      </c>
      <c r="J88" s="12"/>
      <c r="K88" s="11"/>
      <c r="L88" s="22" t="str">
        <f aca="false">IF(OR(E88="",F88=""),"",IF(AND(H88="",I88=""),IF(K88="","Falta o resultado",IF(K88="Sim","Dentro","Fora")),IF(J88="","Falta o valor",IF(AND(OR(H88="",J88&gt;=H88),OR(I88="",J88&lt;=I88)),"Dentro","Fora"))))</f>
        <v/>
      </c>
      <c r="M88" s="5"/>
      <c r="N88" s="5"/>
      <c r="O88" s="13" t="str">
        <f aca="false">IF(E88="",IF(COUNTA(C88:D88,J88:K88,M88)&gt;0,"Falta o controle",""),IF(F88="","Controle sem plano",IF(C88="","Falta a data",IF(D88="","Falta o lote ou o pedido",IF(LEFT(L88,5)="Falta",L88,IF(AND(L88="Fora",M88=""),"Fora sem reação registrada",IF(N88="","Falta quem mediu","OK")))))))</f>
        <v/>
      </c>
    </row>
    <row r="89" customFormat="false" ht="21.75" hidden="false" customHeight="true" outlineLevel="0" collapsed="false">
      <c r="B89" s="10" t="n">
        <v>83</v>
      </c>
      <c r="C89" s="20"/>
      <c r="D89" s="5"/>
      <c r="E89" s="11"/>
      <c r="F89" s="17" t="str">
        <f aca="false">IF(E89="","",IFERROR(INDEX('Plano de controle'!$D$10:$D$29,MATCH(E89,'Plano de controle'!$B$10:$B$29,0))&amp;"",""))</f>
        <v/>
      </c>
      <c r="G89" s="13" t="str">
        <f aca="false">IF(E89="","",IFERROR(INDEX('Plano de controle'!$N$10:$N$29,MATCH(E89,'Plano de controle'!$B$10:$B$29,0))&amp;"",""))</f>
        <v/>
      </c>
      <c r="H89" s="21" t="str">
        <f aca="false">IF(E89="","",IFERROR(IF(ISNUMBER(INDEX('Plano de controle'!$F$10:$F$29,MATCH(E89,'Plano de controle'!$B$10:$B$29,0))),INDEX('Plano de controle'!$F$10:$F$29,MATCH(E89,'Plano de controle'!$B$10:$B$29,0)),""),""))</f>
        <v/>
      </c>
      <c r="I89" s="21" t="str">
        <f aca="false">IF(E89="","",IFERROR(IF(ISNUMBER(INDEX('Plano de controle'!$G$10:$G$29,MATCH(E89,'Plano de controle'!$B$10:$B$29,0))),INDEX('Plano de controle'!$G$10:$G$29,MATCH(E89,'Plano de controle'!$B$10:$B$29,0)),""),""))</f>
        <v/>
      </c>
      <c r="J89" s="12"/>
      <c r="K89" s="11"/>
      <c r="L89" s="22" t="str">
        <f aca="false">IF(OR(E89="",F89=""),"",IF(AND(H89="",I89=""),IF(K89="","Falta o resultado",IF(K89="Sim","Dentro","Fora")),IF(J89="","Falta o valor",IF(AND(OR(H89="",J89&gt;=H89),OR(I89="",J89&lt;=I89)),"Dentro","Fora"))))</f>
        <v/>
      </c>
      <c r="M89" s="5"/>
      <c r="N89" s="5"/>
      <c r="O89" s="13" t="str">
        <f aca="false">IF(E89="",IF(COUNTA(C89:D89,J89:K89,M89)&gt;0,"Falta o controle",""),IF(F89="","Controle sem plano",IF(C89="","Falta a data",IF(D89="","Falta o lote ou o pedido",IF(LEFT(L89,5)="Falta",L89,IF(AND(L89="Fora",M89=""),"Fora sem reação registrada",IF(N89="","Falta quem mediu","OK")))))))</f>
        <v/>
      </c>
    </row>
    <row r="90" customFormat="false" ht="21.75" hidden="false" customHeight="true" outlineLevel="0" collapsed="false">
      <c r="B90" s="10" t="n">
        <v>84</v>
      </c>
      <c r="C90" s="20"/>
      <c r="D90" s="5"/>
      <c r="E90" s="11"/>
      <c r="F90" s="17" t="str">
        <f aca="false">IF(E90="","",IFERROR(INDEX('Plano de controle'!$D$10:$D$29,MATCH(E90,'Plano de controle'!$B$10:$B$29,0))&amp;"",""))</f>
        <v/>
      </c>
      <c r="G90" s="13" t="str">
        <f aca="false">IF(E90="","",IFERROR(INDEX('Plano de controle'!$N$10:$N$29,MATCH(E90,'Plano de controle'!$B$10:$B$29,0))&amp;"",""))</f>
        <v/>
      </c>
      <c r="H90" s="21" t="str">
        <f aca="false">IF(E90="","",IFERROR(IF(ISNUMBER(INDEX('Plano de controle'!$F$10:$F$29,MATCH(E90,'Plano de controle'!$B$10:$B$29,0))),INDEX('Plano de controle'!$F$10:$F$29,MATCH(E90,'Plano de controle'!$B$10:$B$29,0)),""),""))</f>
        <v/>
      </c>
      <c r="I90" s="21" t="str">
        <f aca="false">IF(E90="","",IFERROR(IF(ISNUMBER(INDEX('Plano de controle'!$G$10:$G$29,MATCH(E90,'Plano de controle'!$B$10:$B$29,0))),INDEX('Plano de controle'!$G$10:$G$29,MATCH(E90,'Plano de controle'!$B$10:$B$29,0)),""),""))</f>
        <v/>
      </c>
      <c r="J90" s="12"/>
      <c r="K90" s="11"/>
      <c r="L90" s="22" t="str">
        <f aca="false">IF(OR(E90="",F90=""),"",IF(AND(H90="",I90=""),IF(K90="","Falta o resultado",IF(K90="Sim","Dentro","Fora")),IF(J90="","Falta o valor",IF(AND(OR(H90="",J90&gt;=H90),OR(I90="",J90&lt;=I90)),"Dentro","Fora"))))</f>
        <v/>
      </c>
      <c r="M90" s="5"/>
      <c r="N90" s="5"/>
      <c r="O90" s="13" t="str">
        <f aca="false">IF(E90="",IF(COUNTA(C90:D90,J90:K90,M90)&gt;0,"Falta o controle",""),IF(F90="","Controle sem plano",IF(C90="","Falta a data",IF(D90="","Falta o lote ou o pedido",IF(LEFT(L90,5)="Falta",L90,IF(AND(L90="Fora",M90=""),"Fora sem reação registrada",IF(N90="","Falta quem mediu","OK")))))))</f>
        <v/>
      </c>
    </row>
    <row r="91" customFormat="false" ht="21.75" hidden="false" customHeight="true" outlineLevel="0" collapsed="false">
      <c r="B91" s="10" t="n">
        <v>85</v>
      </c>
      <c r="C91" s="20"/>
      <c r="D91" s="5"/>
      <c r="E91" s="11"/>
      <c r="F91" s="17" t="str">
        <f aca="false">IF(E91="","",IFERROR(INDEX('Plano de controle'!$D$10:$D$29,MATCH(E91,'Plano de controle'!$B$10:$B$29,0))&amp;"",""))</f>
        <v/>
      </c>
      <c r="G91" s="13" t="str">
        <f aca="false">IF(E91="","",IFERROR(INDEX('Plano de controle'!$N$10:$N$29,MATCH(E91,'Plano de controle'!$B$10:$B$29,0))&amp;"",""))</f>
        <v/>
      </c>
      <c r="H91" s="21" t="str">
        <f aca="false">IF(E91="","",IFERROR(IF(ISNUMBER(INDEX('Plano de controle'!$F$10:$F$29,MATCH(E91,'Plano de controle'!$B$10:$B$29,0))),INDEX('Plano de controle'!$F$10:$F$29,MATCH(E91,'Plano de controle'!$B$10:$B$29,0)),""),""))</f>
        <v/>
      </c>
      <c r="I91" s="21" t="str">
        <f aca="false">IF(E91="","",IFERROR(IF(ISNUMBER(INDEX('Plano de controle'!$G$10:$G$29,MATCH(E91,'Plano de controle'!$B$10:$B$29,0))),INDEX('Plano de controle'!$G$10:$G$29,MATCH(E91,'Plano de controle'!$B$10:$B$29,0)),""),""))</f>
        <v/>
      </c>
      <c r="J91" s="12"/>
      <c r="K91" s="11"/>
      <c r="L91" s="22" t="str">
        <f aca="false">IF(OR(E91="",F91=""),"",IF(AND(H91="",I91=""),IF(K91="","Falta o resultado",IF(K91="Sim","Dentro","Fora")),IF(J91="","Falta o valor",IF(AND(OR(H91="",J91&gt;=H91),OR(I91="",J91&lt;=I91)),"Dentro","Fora"))))</f>
        <v/>
      </c>
      <c r="M91" s="5"/>
      <c r="N91" s="5"/>
      <c r="O91" s="13" t="str">
        <f aca="false">IF(E91="",IF(COUNTA(C91:D91,J91:K91,M91)&gt;0,"Falta o controle",""),IF(F91="","Controle sem plano",IF(C91="","Falta a data",IF(D91="","Falta o lote ou o pedido",IF(LEFT(L91,5)="Falta",L91,IF(AND(L91="Fora",M91=""),"Fora sem reação registrada",IF(N91="","Falta quem mediu","OK")))))))</f>
        <v/>
      </c>
    </row>
    <row r="92" customFormat="false" ht="21.75" hidden="false" customHeight="true" outlineLevel="0" collapsed="false">
      <c r="B92" s="10" t="n">
        <v>86</v>
      </c>
      <c r="C92" s="20"/>
      <c r="D92" s="5"/>
      <c r="E92" s="11"/>
      <c r="F92" s="17" t="str">
        <f aca="false">IF(E92="","",IFERROR(INDEX('Plano de controle'!$D$10:$D$29,MATCH(E92,'Plano de controle'!$B$10:$B$29,0))&amp;"",""))</f>
        <v/>
      </c>
      <c r="G92" s="13" t="str">
        <f aca="false">IF(E92="","",IFERROR(INDEX('Plano de controle'!$N$10:$N$29,MATCH(E92,'Plano de controle'!$B$10:$B$29,0))&amp;"",""))</f>
        <v/>
      </c>
      <c r="H92" s="21" t="str">
        <f aca="false">IF(E92="","",IFERROR(IF(ISNUMBER(INDEX('Plano de controle'!$F$10:$F$29,MATCH(E92,'Plano de controle'!$B$10:$B$29,0))),INDEX('Plano de controle'!$F$10:$F$29,MATCH(E92,'Plano de controle'!$B$10:$B$29,0)),""),""))</f>
        <v/>
      </c>
      <c r="I92" s="21" t="str">
        <f aca="false">IF(E92="","",IFERROR(IF(ISNUMBER(INDEX('Plano de controle'!$G$10:$G$29,MATCH(E92,'Plano de controle'!$B$10:$B$29,0))),INDEX('Plano de controle'!$G$10:$G$29,MATCH(E92,'Plano de controle'!$B$10:$B$29,0)),""),""))</f>
        <v/>
      </c>
      <c r="J92" s="12"/>
      <c r="K92" s="11"/>
      <c r="L92" s="22" t="str">
        <f aca="false">IF(OR(E92="",F92=""),"",IF(AND(H92="",I92=""),IF(K92="","Falta o resultado",IF(K92="Sim","Dentro","Fora")),IF(J92="","Falta o valor",IF(AND(OR(H92="",J92&gt;=H92),OR(I92="",J92&lt;=I92)),"Dentro","Fora"))))</f>
        <v/>
      </c>
      <c r="M92" s="5"/>
      <c r="N92" s="5"/>
      <c r="O92" s="13" t="str">
        <f aca="false">IF(E92="",IF(COUNTA(C92:D92,J92:K92,M92)&gt;0,"Falta o controle",""),IF(F92="","Controle sem plano",IF(C92="","Falta a data",IF(D92="","Falta o lote ou o pedido",IF(LEFT(L92,5)="Falta",L92,IF(AND(L92="Fora",M92=""),"Fora sem reação registrada",IF(N92="","Falta quem mediu","OK")))))))</f>
        <v/>
      </c>
    </row>
    <row r="93" customFormat="false" ht="21.75" hidden="false" customHeight="true" outlineLevel="0" collapsed="false">
      <c r="B93" s="10" t="n">
        <v>87</v>
      </c>
      <c r="C93" s="20"/>
      <c r="D93" s="5"/>
      <c r="E93" s="11"/>
      <c r="F93" s="17" t="str">
        <f aca="false">IF(E93="","",IFERROR(INDEX('Plano de controle'!$D$10:$D$29,MATCH(E93,'Plano de controle'!$B$10:$B$29,0))&amp;"",""))</f>
        <v/>
      </c>
      <c r="G93" s="13" t="str">
        <f aca="false">IF(E93="","",IFERROR(INDEX('Plano de controle'!$N$10:$N$29,MATCH(E93,'Plano de controle'!$B$10:$B$29,0))&amp;"",""))</f>
        <v/>
      </c>
      <c r="H93" s="21" t="str">
        <f aca="false">IF(E93="","",IFERROR(IF(ISNUMBER(INDEX('Plano de controle'!$F$10:$F$29,MATCH(E93,'Plano de controle'!$B$10:$B$29,0))),INDEX('Plano de controle'!$F$10:$F$29,MATCH(E93,'Plano de controle'!$B$10:$B$29,0)),""),""))</f>
        <v/>
      </c>
      <c r="I93" s="21" t="str">
        <f aca="false">IF(E93="","",IFERROR(IF(ISNUMBER(INDEX('Plano de controle'!$G$10:$G$29,MATCH(E93,'Plano de controle'!$B$10:$B$29,0))),INDEX('Plano de controle'!$G$10:$G$29,MATCH(E93,'Plano de controle'!$B$10:$B$29,0)),""),""))</f>
        <v/>
      </c>
      <c r="J93" s="12"/>
      <c r="K93" s="11"/>
      <c r="L93" s="22" t="str">
        <f aca="false">IF(OR(E93="",F93=""),"",IF(AND(H93="",I93=""),IF(K93="","Falta o resultado",IF(K93="Sim","Dentro","Fora")),IF(J93="","Falta o valor",IF(AND(OR(H93="",J93&gt;=H93),OR(I93="",J93&lt;=I93)),"Dentro","Fora"))))</f>
        <v/>
      </c>
      <c r="M93" s="5"/>
      <c r="N93" s="5"/>
      <c r="O93" s="13" t="str">
        <f aca="false">IF(E93="",IF(COUNTA(C93:D93,J93:K93,M93)&gt;0,"Falta o controle",""),IF(F93="","Controle sem plano",IF(C93="","Falta a data",IF(D93="","Falta o lote ou o pedido",IF(LEFT(L93,5)="Falta",L93,IF(AND(L93="Fora",M93=""),"Fora sem reação registrada",IF(N93="","Falta quem mediu","OK")))))))</f>
        <v/>
      </c>
    </row>
    <row r="94" customFormat="false" ht="21.75" hidden="false" customHeight="true" outlineLevel="0" collapsed="false">
      <c r="B94" s="10" t="n">
        <v>88</v>
      </c>
      <c r="C94" s="20"/>
      <c r="D94" s="5"/>
      <c r="E94" s="11"/>
      <c r="F94" s="17" t="str">
        <f aca="false">IF(E94="","",IFERROR(INDEX('Plano de controle'!$D$10:$D$29,MATCH(E94,'Plano de controle'!$B$10:$B$29,0))&amp;"",""))</f>
        <v/>
      </c>
      <c r="G94" s="13" t="str">
        <f aca="false">IF(E94="","",IFERROR(INDEX('Plano de controle'!$N$10:$N$29,MATCH(E94,'Plano de controle'!$B$10:$B$29,0))&amp;"",""))</f>
        <v/>
      </c>
      <c r="H94" s="21" t="str">
        <f aca="false">IF(E94="","",IFERROR(IF(ISNUMBER(INDEX('Plano de controle'!$F$10:$F$29,MATCH(E94,'Plano de controle'!$B$10:$B$29,0))),INDEX('Plano de controle'!$F$10:$F$29,MATCH(E94,'Plano de controle'!$B$10:$B$29,0)),""),""))</f>
        <v/>
      </c>
      <c r="I94" s="21" t="str">
        <f aca="false">IF(E94="","",IFERROR(IF(ISNUMBER(INDEX('Plano de controle'!$G$10:$G$29,MATCH(E94,'Plano de controle'!$B$10:$B$29,0))),INDEX('Plano de controle'!$G$10:$G$29,MATCH(E94,'Plano de controle'!$B$10:$B$29,0)),""),""))</f>
        <v/>
      </c>
      <c r="J94" s="12"/>
      <c r="K94" s="11"/>
      <c r="L94" s="22" t="str">
        <f aca="false">IF(OR(E94="",F94=""),"",IF(AND(H94="",I94=""),IF(K94="","Falta o resultado",IF(K94="Sim","Dentro","Fora")),IF(J94="","Falta o valor",IF(AND(OR(H94="",J94&gt;=H94),OR(I94="",J94&lt;=I94)),"Dentro","Fora"))))</f>
        <v/>
      </c>
      <c r="M94" s="5"/>
      <c r="N94" s="5"/>
      <c r="O94" s="13" t="str">
        <f aca="false">IF(E94="",IF(COUNTA(C94:D94,J94:K94,M94)&gt;0,"Falta o controle",""),IF(F94="","Controle sem plano",IF(C94="","Falta a data",IF(D94="","Falta o lote ou o pedido",IF(LEFT(L94,5)="Falta",L94,IF(AND(L94="Fora",M94=""),"Fora sem reação registrada",IF(N94="","Falta quem mediu","OK")))))))</f>
        <v/>
      </c>
    </row>
    <row r="95" customFormat="false" ht="21.75" hidden="false" customHeight="true" outlineLevel="0" collapsed="false">
      <c r="B95" s="10" t="n">
        <v>89</v>
      </c>
      <c r="C95" s="20"/>
      <c r="D95" s="5"/>
      <c r="E95" s="11"/>
      <c r="F95" s="17" t="str">
        <f aca="false">IF(E95="","",IFERROR(INDEX('Plano de controle'!$D$10:$D$29,MATCH(E95,'Plano de controle'!$B$10:$B$29,0))&amp;"",""))</f>
        <v/>
      </c>
      <c r="G95" s="13" t="str">
        <f aca="false">IF(E95="","",IFERROR(INDEX('Plano de controle'!$N$10:$N$29,MATCH(E95,'Plano de controle'!$B$10:$B$29,0))&amp;"",""))</f>
        <v/>
      </c>
      <c r="H95" s="21" t="str">
        <f aca="false">IF(E95="","",IFERROR(IF(ISNUMBER(INDEX('Plano de controle'!$F$10:$F$29,MATCH(E95,'Plano de controle'!$B$10:$B$29,0))),INDEX('Plano de controle'!$F$10:$F$29,MATCH(E95,'Plano de controle'!$B$10:$B$29,0)),""),""))</f>
        <v/>
      </c>
      <c r="I95" s="21" t="str">
        <f aca="false">IF(E95="","",IFERROR(IF(ISNUMBER(INDEX('Plano de controle'!$G$10:$G$29,MATCH(E95,'Plano de controle'!$B$10:$B$29,0))),INDEX('Plano de controle'!$G$10:$G$29,MATCH(E95,'Plano de controle'!$B$10:$B$29,0)),""),""))</f>
        <v/>
      </c>
      <c r="J95" s="12"/>
      <c r="K95" s="11"/>
      <c r="L95" s="22" t="str">
        <f aca="false">IF(OR(E95="",F95=""),"",IF(AND(H95="",I95=""),IF(K95="","Falta o resultado",IF(K95="Sim","Dentro","Fora")),IF(J95="","Falta o valor",IF(AND(OR(H95="",J95&gt;=H95),OR(I95="",J95&lt;=I95)),"Dentro","Fora"))))</f>
        <v/>
      </c>
      <c r="M95" s="5"/>
      <c r="N95" s="5"/>
      <c r="O95" s="13" t="str">
        <f aca="false">IF(E95="",IF(COUNTA(C95:D95,J95:K95,M95)&gt;0,"Falta o controle",""),IF(F95="","Controle sem plano",IF(C95="","Falta a data",IF(D95="","Falta o lote ou o pedido",IF(LEFT(L95,5)="Falta",L95,IF(AND(L95="Fora",M95=""),"Fora sem reação registrada",IF(N95="","Falta quem mediu","OK")))))))</f>
        <v/>
      </c>
    </row>
    <row r="96" customFormat="false" ht="21.75" hidden="false" customHeight="true" outlineLevel="0" collapsed="false">
      <c r="B96" s="10" t="n">
        <v>90</v>
      </c>
      <c r="C96" s="20"/>
      <c r="D96" s="5"/>
      <c r="E96" s="11"/>
      <c r="F96" s="17" t="str">
        <f aca="false">IF(E96="","",IFERROR(INDEX('Plano de controle'!$D$10:$D$29,MATCH(E96,'Plano de controle'!$B$10:$B$29,0))&amp;"",""))</f>
        <v/>
      </c>
      <c r="G96" s="13" t="str">
        <f aca="false">IF(E96="","",IFERROR(INDEX('Plano de controle'!$N$10:$N$29,MATCH(E96,'Plano de controle'!$B$10:$B$29,0))&amp;"",""))</f>
        <v/>
      </c>
      <c r="H96" s="21" t="str">
        <f aca="false">IF(E96="","",IFERROR(IF(ISNUMBER(INDEX('Plano de controle'!$F$10:$F$29,MATCH(E96,'Plano de controle'!$B$10:$B$29,0))),INDEX('Plano de controle'!$F$10:$F$29,MATCH(E96,'Plano de controle'!$B$10:$B$29,0)),""),""))</f>
        <v/>
      </c>
      <c r="I96" s="21" t="str">
        <f aca="false">IF(E96="","",IFERROR(IF(ISNUMBER(INDEX('Plano de controle'!$G$10:$G$29,MATCH(E96,'Plano de controle'!$B$10:$B$29,0))),INDEX('Plano de controle'!$G$10:$G$29,MATCH(E96,'Plano de controle'!$B$10:$B$29,0)),""),""))</f>
        <v/>
      </c>
      <c r="J96" s="12"/>
      <c r="K96" s="11"/>
      <c r="L96" s="22" t="str">
        <f aca="false">IF(OR(E96="",F96=""),"",IF(AND(H96="",I96=""),IF(K96="","Falta o resultado",IF(K96="Sim","Dentro","Fora")),IF(J96="","Falta o valor",IF(AND(OR(H96="",J96&gt;=H96),OR(I96="",J96&lt;=I96)),"Dentro","Fora"))))</f>
        <v/>
      </c>
      <c r="M96" s="5"/>
      <c r="N96" s="5"/>
      <c r="O96" s="13" t="str">
        <f aca="false">IF(E96="",IF(COUNTA(C96:D96,J96:K96,M96)&gt;0,"Falta o controle",""),IF(F96="","Controle sem plano",IF(C96="","Falta a data",IF(D96="","Falta o lote ou o pedido",IF(LEFT(L96,5)="Falta",L96,IF(AND(L96="Fora",M96=""),"Fora sem reação registrada",IF(N96="","Falta quem mediu","OK")))))))</f>
        <v/>
      </c>
    </row>
    <row r="97" customFormat="false" ht="21.75" hidden="false" customHeight="true" outlineLevel="0" collapsed="false">
      <c r="B97" s="10" t="n">
        <v>91</v>
      </c>
      <c r="C97" s="20"/>
      <c r="D97" s="5"/>
      <c r="E97" s="11"/>
      <c r="F97" s="17" t="str">
        <f aca="false">IF(E97="","",IFERROR(INDEX('Plano de controle'!$D$10:$D$29,MATCH(E97,'Plano de controle'!$B$10:$B$29,0))&amp;"",""))</f>
        <v/>
      </c>
      <c r="G97" s="13" t="str">
        <f aca="false">IF(E97="","",IFERROR(INDEX('Plano de controle'!$N$10:$N$29,MATCH(E97,'Plano de controle'!$B$10:$B$29,0))&amp;"",""))</f>
        <v/>
      </c>
      <c r="H97" s="21" t="str">
        <f aca="false">IF(E97="","",IFERROR(IF(ISNUMBER(INDEX('Plano de controle'!$F$10:$F$29,MATCH(E97,'Plano de controle'!$B$10:$B$29,0))),INDEX('Plano de controle'!$F$10:$F$29,MATCH(E97,'Plano de controle'!$B$10:$B$29,0)),""),""))</f>
        <v/>
      </c>
      <c r="I97" s="21" t="str">
        <f aca="false">IF(E97="","",IFERROR(IF(ISNUMBER(INDEX('Plano de controle'!$G$10:$G$29,MATCH(E97,'Plano de controle'!$B$10:$B$29,0))),INDEX('Plano de controle'!$G$10:$G$29,MATCH(E97,'Plano de controle'!$B$10:$B$29,0)),""),""))</f>
        <v/>
      </c>
      <c r="J97" s="12"/>
      <c r="K97" s="11"/>
      <c r="L97" s="22" t="str">
        <f aca="false">IF(OR(E97="",F97=""),"",IF(AND(H97="",I97=""),IF(K97="","Falta o resultado",IF(K97="Sim","Dentro","Fora")),IF(J97="","Falta o valor",IF(AND(OR(H97="",J97&gt;=H97),OR(I97="",J97&lt;=I97)),"Dentro","Fora"))))</f>
        <v/>
      </c>
      <c r="M97" s="5"/>
      <c r="N97" s="5"/>
      <c r="O97" s="13" t="str">
        <f aca="false">IF(E97="",IF(COUNTA(C97:D97,J97:K97,M97)&gt;0,"Falta o controle",""),IF(F97="","Controle sem plano",IF(C97="","Falta a data",IF(D97="","Falta o lote ou o pedido",IF(LEFT(L97,5)="Falta",L97,IF(AND(L97="Fora",M97=""),"Fora sem reação registrada",IF(N97="","Falta quem mediu","OK")))))))</f>
        <v/>
      </c>
    </row>
    <row r="98" customFormat="false" ht="21.75" hidden="false" customHeight="true" outlineLevel="0" collapsed="false">
      <c r="B98" s="10" t="n">
        <v>92</v>
      </c>
      <c r="C98" s="20"/>
      <c r="D98" s="5"/>
      <c r="E98" s="11"/>
      <c r="F98" s="17" t="str">
        <f aca="false">IF(E98="","",IFERROR(INDEX('Plano de controle'!$D$10:$D$29,MATCH(E98,'Plano de controle'!$B$10:$B$29,0))&amp;"",""))</f>
        <v/>
      </c>
      <c r="G98" s="13" t="str">
        <f aca="false">IF(E98="","",IFERROR(INDEX('Plano de controle'!$N$10:$N$29,MATCH(E98,'Plano de controle'!$B$10:$B$29,0))&amp;"",""))</f>
        <v/>
      </c>
      <c r="H98" s="21" t="str">
        <f aca="false">IF(E98="","",IFERROR(IF(ISNUMBER(INDEX('Plano de controle'!$F$10:$F$29,MATCH(E98,'Plano de controle'!$B$10:$B$29,0))),INDEX('Plano de controle'!$F$10:$F$29,MATCH(E98,'Plano de controle'!$B$10:$B$29,0)),""),""))</f>
        <v/>
      </c>
      <c r="I98" s="21" t="str">
        <f aca="false">IF(E98="","",IFERROR(IF(ISNUMBER(INDEX('Plano de controle'!$G$10:$G$29,MATCH(E98,'Plano de controle'!$B$10:$B$29,0))),INDEX('Plano de controle'!$G$10:$G$29,MATCH(E98,'Plano de controle'!$B$10:$B$29,0)),""),""))</f>
        <v/>
      </c>
      <c r="J98" s="12"/>
      <c r="K98" s="11"/>
      <c r="L98" s="22" t="str">
        <f aca="false">IF(OR(E98="",F98=""),"",IF(AND(H98="",I98=""),IF(K98="","Falta o resultado",IF(K98="Sim","Dentro","Fora")),IF(J98="","Falta o valor",IF(AND(OR(H98="",J98&gt;=H98),OR(I98="",J98&lt;=I98)),"Dentro","Fora"))))</f>
        <v/>
      </c>
      <c r="M98" s="5"/>
      <c r="N98" s="5"/>
      <c r="O98" s="13" t="str">
        <f aca="false">IF(E98="",IF(COUNTA(C98:D98,J98:K98,M98)&gt;0,"Falta o controle",""),IF(F98="","Controle sem plano",IF(C98="","Falta a data",IF(D98="","Falta o lote ou o pedido",IF(LEFT(L98,5)="Falta",L98,IF(AND(L98="Fora",M98=""),"Fora sem reação registrada",IF(N98="","Falta quem mediu","OK")))))))</f>
        <v/>
      </c>
    </row>
    <row r="99" customFormat="false" ht="21.75" hidden="false" customHeight="true" outlineLevel="0" collapsed="false">
      <c r="B99" s="10" t="n">
        <v>93</v>
      </c>
      <c r="C99" s="20"/>
      <c r="D99" s="5"/>
      <c r="E99" s="11"/>
      <c r="F99" s="17" t="str">
        <f aca="false">IF(E99="","",IFERROR(INDEX('Plano de controle'!$D$10:$D$29,MATCH(E99,'Plano de controle'!$B$10:$B$29,0))&amp;"",""))</f>
        <v/>
      </c>
      <c r="G99" s="13" t="str">
        <f aca="false">IF(E99="","",IFERROR(INDEX('Plano de controle'!$N$10:$N$29,MATCH(E99,'Plano de controle'!$B$10:$B$29,0))&amp;"",""))</f>
        <v/>
      </c>
      <c r="H99" s="21" t="str">
        <f aca="false">IF(E99="","",IFERROR(IF(ISNUMBER(INDEX('Plano de controle'!$F$10:$F$29,MATCH(E99,'Plano de controle'!$B$10:$B$29,0))),INDEX('Plano de controle'!$F$10:$F$29,MATCH(E99,'Plano de controle'!$B$10:$B$29,0)),""),""))</f>
        <v/>
      </c>
      <c r="I99" s="21" t="str">
        <f aca="false">IF(E99="","",IFERROR(IF(ISNUMBER(INDEX('Plano de controle'!$G$10:$G$29,MATCH(E99,'Plano de controle'!$B$10:$B$29,0))),INDEX('Plano de controle'!$G$10:$G$29,MATCH(E99,'Plano de controle'!$B$10:$B$29,0)),""),""))</f>
        <v/>
      </c>
      <c r="J99" s="12"/>
      <c r="K99" s="11"/>
      <c r="L99" s="22" t="str">
        <f aca="false">IF(OR(E99="",F99=""),"",IF(AND(H99="",I99=""),IF(K99="","Falta o resultado",IF(K99="Sim","Dentro","Fora")),IF(J99="","Falta o valor",IF(AND(OR(H99="",J99&gt;=H99),OR(I99="",J99&lt;=I99)),"Dentro","Fora"))))</f>
        <v/>
      </c>
      <c r="M99" s="5"/>
      <c r="N99" s="5"/>
      <c r="O99" s="13" t="str">
        <f aca="false">IF(E99="",IF(COUNTA(C99:D99,J99:K99,M99)&gt;0,"Falta o controle",""),IF(F99="","Controle sem plano",IF(C99="","Falta a data",IF(D99="","Falta o lote ou o pedido",IF(LEFT(L99,5)="Falta",L99,IF(AND(L99="Fora",M99=""),"Fora sem reação registrada",IF(N99="","Falta quem mediu","OK")))))))</f>
        <v/>
      </c>
    </row>
    <row r="100" customFormat="false" ht="21.75" hidden="false" customHeight="true" outlineLevel="0" collapsed="false">
      <c r="B100" s="10" t="n">
        <v>94</v>
      </c>
      <c r="C100" s="20"/>
      <c r="D100" s="5"/>
      <c r="E100" s="11"/>
      <c r="F100" s="17" t="str">
        <f aca="false">IF(E100="","",IFERROR(INDEX('Plano de controle'!$D$10:$D$29,MATCH(E100,'Plano de controle'!$B$10:$B$29,0))&amp;"",""))</f>
        <v/>
      </c>
      <c r="G100" s="13" t="str">
        <f aca="false">IF(E100="","",IFERROR(INDEX('Plano de controle'!$N$10:$N$29,MATCH(E100,'Plano de controle'!$B$10:$B$29,0))&amp;"",""))</f>
        <v/>
      </c>
      <c r="H100" s="21" t="str">
        <f aca="false">IF(E100="","",IFERROR(IF(ISNUMBER(INDEX('Plano de controle'!$F$10:$F$29,MATCH(E100,'Plano de controle'!$B$10:$B$29,0))),INDEX('Plano de controle'!$F$10:$F$29,MATCH(E100,'Plano de controle'!$B$10:$B$29,0)),""),""))</f>
        <v/>
      </c>
      <c r="I100" s="21" t="str">
        <f aca="false">IF(E100="","",IFERROR(IF(ISNUMBER(INDEX('Plano de controle'!$G$10:$G$29,MATCH(E100,'Plano de controle'!$B$10:$B$29,0))),INDEX('Plano de controle'!$G$10:$G$29,MATCH(E100,'Plano de controle'!$B$10:$B$29,0)),""),""))</f>
        <v/>
      </c>
      <c r="J100" s="12"/>
      <c r="K100" s="11"/>
      <c r="L100" s="22" t="str">
        <f aca="false">IF(OR(E100="",F100=""),"",IF(AND(H100="",I100=""),IF(K100="","Falta o resultado",IF(K100="Sim","Dentro","Fora")),IF(J100="","Falta o valor",IF(AND(OR(H100="",J100&gt;=H100),OR(I100="",J100&lt;=I100)),"Dentro","Fora"))))</f>
        <v/>
      </c>
      <c r="M100" s="5"/>
      <c r="N100" s="5"/>
      <c r="O100" s="13" t="str">
        <f aca="false">IF(E100="",IF(COUNTA(C100:D100,J100:K100,M100)&gt;0,"Falta o controle",""),IF(F100="","Controle sem plano",IF(C100="","Falta a data",IF(D100="","Falta o lote ou o pedido",IF(LEFT(L100,5)="Falta",L100,IF(AND(L100="Fora",M100=""),"Fora sem reação registrada",IF(N100="","Falta quem mediu","OK")))))))</f>
        <v/>
      </c>
    </row>
    <row r="101" customFormat="false" ht="21.75" hidden="false" customHeight="true" outlineLevel="0" collapsed="false">
      <c r="B101" s="10" t="n">
        <v>95</v>
      </c>
      <c r="C101" s="20"/>
      <c r="D101" s="5"/>
      <c r="E101" s="11"/>
      <c r="F101" s="17" t="str">
        <f aca="false">IF(E101="","",IFERROR(INDEX('Plano de controle'!$D$10:$D$29,MATCH(E101,'Plano de controle'!$B$10:$B$29,0))&amp;"",""))</f>
        <v/>
      </c>
      <c r="G101" s="13" t="str">
        <f aca="false">IF(E101="","",IFERROR(INDEX('Plano de controle'!$N$10:$N$29,MATCH(E101,'Plano de controle'!$B$10:$B$29,0))&amp;"",""))</f>
        <v/>
      </c>
      <c r="H101" s="21" t="str">
        <f aca="false">IF(E101="","",IFERROR(IF(ISNUMBER(INDEX('Plano de controle'!$F$10:$F$29,MATCH(E101,'Plano de controle'!$B$10:$B$29,0))),INDEX('Plano de controle'!$F$10:$F$29,MATCH(E101,'Plano de controle'!$B$10:$B$29,0)),""),""))</f>
        <v/>
      </c>
      <c r="I101" s="21" t="str">
        <f aca="false">IF(E101="","",IFERROR(IF(ISNUMBER(INDEX('Plano de controle'!$G$10:$G$29,MATCH(E101,'Plano de controle'!$B$10:$B$29,0))),INDEX('Plano de controle'!$G$10:$G$29,MATCH(E101,'Plano de controle'!$B$10:$B$29,0)),""),""))</f>
        <v/>
      </c>
      <c r="J101" s="12"/>
      <c r="K101" s="11"/>
      <c r="L101" s="22" t="str">
        <f aca="false">IF(OR(E101="",F101=""),"",IF(AND(H101="",I101=""),IF(K101="","Falta o resultado",IF(K101="Sim","Dentro","Fora")),IF(J101="","Falta o valor",IF(AND(OR(H101="",J101&gt;=H101),OR(I101="",J101&lt;=I101)),"Dentro","Fora"))))</f>
        <v/>
      </c>
      <c r="M101" s="5"/>
      <c r="N101" s="5"/>
      <c r="O101" s="13" t="str">
        <f aca="false">IF(E101="",IF(COUNTA(C101:D101,J101:K101,M101)&gt;0,"Falta o controle",""),IF(F101="","Controle sem plano",IF(C101="","Falta a data",IF(D101="","Falta o lote ou o pedido",IF(LEFT(L101,5)="Falta",L101,IF(AND(L101="Fora",M101=""),"Fora sem reação registrada",IF(N101="","Falta quem mediu","OK")))))))</f>
        <v/>
      </c>
    </row>
    <row r="102" customFormat="false" ht="21.75" hidden="false" customHeight="true" outlineLevel="0" collapsed="false">
      <c r="B102" s="10" t="n">
        <v>96</v>
      </c>
      <c r="C102" s="20"/>
      <c r="D102" s="5"/>
      <c r="E102" s="11"/>
      <c r="F102" s="17" t="str">
        <f aca="false">IF(E102="","",IFERROR(INDEX('Plano de controle'!$D$10:$D$29,MATCH(E102,'Plano de controle'!$B$10:$B$29,0))&amp;"",""))</f>
        <v/>
      </c>
      <c r="G102" s="13" t="str">
        <f aca="false">IF(E102="","",IFERROR(INDEX('Plano de controle'!$N$10:$N$29,MATCH(E102,'Plano de controle'!$B$10:$B$29,0))&amp;"",""))</f>
        <v/>
      </c>
      <c r="H102" s="21" t="str">
        <f aca="false">IF(E102="","",IFERROR(IF(ISNUMBER(INDEX('Plano de controle'!$F$10:$F$29,MATCH(E102,'Plano de controle'!$B$10:$B$29,0))),INDEX('Plano de controle'!$F$10:$F$29,MATCH(E102,'Plano de controle'!$B$10:$B$29,0)),""),""))</f>
        <v/>
      </c>
      <c r="I102" s="21" t="str">
        <f aca="false">IF(E102="","",IFERROR(IF(ISNUMBER(INDEX('Plano de controle'!$G$10:$G$29,MATCH(E102,'Plano de controle'!$B$10:$B$29,0))),INDEX('Plano de controle'!$G$10:$G$29,MATCH(E102,'Plano de controle'!$B$10:$B$29,0)),""),""))</f>
        <v/>
      </c>
      <c r="J102" s="12"/>
      <c r="K102" s="11"/>
      <c r="L102" s="22" t="str">
        <f aca="false">IF(OR(E102="",F102=""),"",IF(AND(H102="",I102=""),IF(K102="","Falta o resultado",IF(K102="Sim","Dentro","Fora")),IF(J102="","Falta o valor",IF(AND(OR(H102="",J102&gt;=H102),OR(I102="",J102&lt;=I102)),"Dentro","Fora"))))</f>
        <v/>
      </c>
      <c r="M102" s="5"/>
      <c r="N102" s="5"/>
      <c r="O102" s="13" t="str">
        <f aca="false">IF(E102="",IF(COUNTA(C102:D102,J102:K102,M102)&gt;0,"Falta o controle",""),IF(F102="","Controle sem plano",IF(C102="","Falta a data",IF(D102="","Falta o lote ou o pedido",IF(LEFT(L102,5)="Falta",L102,IF(AND(L102="Fora",M102=""),"Fora sem reação registrada",IF(N102="","Falta quem mediu","OK")))))))</f>
        <v/>
      </c>
    </row>
    <row r="103" customFormat="false" ht="21.75" hidden="false" customHeight="true" outlineLevel="0" collapsed="false">
      <c r="B103" s="10" t="n">
        <v>97</v>
      </c>
      <c r="C103" s="20"/>
      <c r="D103" s="5"/>
      <c r="E103" s="11"/>
      <c r="F103" s="17" t="str">
        <f aca="false">IF(E103="","",IFERROR(INDEX('Plano de controle'!$D$10:$D$29,MATCH(E103,'Plano de controle'!$B$10:$B$29,0))&amp;"",""))</f>
        <v/>
      </c>
      <c r="G103" s="13" t="str">
        <f aca="false">IF(E103="","",IFERROR(INDEX('Plano de controle'!$N$10:$N$29,MATCH(E103,'Plano de controle'!$B$10:$B$29,0))&amp;"",""))</f>
        <v/>
      </c>
      <c r="H103" s="21" t="str">
        <f aca="false">IF(E103="","",IFERROR(IF(ISNUMBER(INDEX('Plano de controle'!$F$10:$F$29,MATCH(E103,'Plano de controle'!$B$10:$B$29,0))),INDEX('Plano de controle'!$F$10:$F$29,MATCH(E103,'Plano de controle'!$B$10:$B$29,0)),""),""))</f>
        <v/>
      </c>
      <c r="I103" s="21" t="str">
        <f aca="false">IF(E103="","",IFERROR(IF(ISNUMBER(INDEX('Plano de controle'!$G$10:$G$29,MATCH(E103,'Plano de controle'!$B$10:$B$29,0))),INDEX('Plano de controle'!$G$10:$G$29,MATCH(E103,'Plano de controle'!$B$10:$B$29,0)),""),""))</f>
        <v/>
      </c>
      <c r="J103" s="12"/>
      <c r="K103" s="11"/>
      <c r="L103" s="22" t="str">
        <f aca="false">IF(OR(E103="",F103=""),"",IF(AND(H103="",I103=""),IF(K103="","Falta o resultado",IF(K103="Sim","Dentro","Fora")),IF(J103="","Falta o valor",IF(AND(OR(H103="",J103&gt;=H103),OR(I103="",J103&lt;=I103)),"Dentro","Fora"))))</f>
        <v/>
      </c>
      <c r="M103" s="5"/>
      <c r="N103" s="5"/>
      <c r="O103" s="13" t="str">
        <f aca="false">IF(E103="",IF(COUNTA(C103:D103,J103:K103,M103)&gt;0,"Falta o controle",""),IF(F103="","Controle sem plano",IF(C103="","Falta a data",IF(D103="","Falta o lote ou o pedido",IF(LEFT(L103,5)="Falta",L103,IF(AND(L103="Fora",M103=""),"Fora sem reação registrada",IF(N103="","Falta quem mediu","OK")))))))</f>
        <v/>
      </c>
    </row>
    <row r="104" customFormat="false" ht="21.75" hidden="false" customHeight="true" outlineLevel="0" collapsed="false">
      <c r="B104" s="10" t="n">
        <v>98</v>
      </c>
      <c r="C104" s="20"/>
      <c r="D104" s="5"/>
      <c r="E104" s="11"/>
      <c r="F104" s="17" t="str">
        <f aca="false">IF(E104="","",IFERROR(INDEX('Plano de controle'!$D$10:$D$29,MATCH(E104,'Plano de controle'!$B$10:$B$29,0))&amp;"",""))</f>
        <v/>
      </c>
      <c r="G104" s="13" t="str">
        <f aca="false">IF(E104="","",IFERROR(INDEX('Plano de controle'!$N$10:$N$29,MATCH(E104,'Plano de controle'!$B$10:$B$29,0))&amp;"",""))</f>
        <v/>
      </c>
      <c r="H104" s="21" t="str">
        <f aca="false">IF(E104="","",IFERROR(IF(ISNUMBER(INDEX('Plano de controle'!$F$10:$F$29,MATCH(E104,'Plano de controle'!$B$10:$B$29,0))),INDEX('Plano de controle'!$F$10:$F$29,MATCH(E104,'Plano de controle'!$B$10:$B$29,0)),""),""))</f>
        <v/>
      </c>
      <c r="I104" s="21" t="str">
        <f aca="false">IF(E104="","",IFERROR(IF(ISNUMBER(INDEX('Plano de controle'!$G$10:$G$29,MATCH(E104,'Plano de controle'!$B$10:$B$29,0))),INDEX('Plano de controle'!$G$10:$G$29,MATCH(E104,'Plano de controle'!$B$10:$B$29,0)),""),""))</f>
        <v/>
      </c>
      <c r="J104" s="12"/>
      <c r="K104" s="11"/>
      <c r="L104" s="22" t="str">
        <f aca="false">IF(OR(E104="",F104=""),"",IF(AND(H104="",I104=""),IF(K104="","Falta o resultado",IF(K104="Sim","Dentro","Fora")),IF(J104="","Falta o valor",IF(AND(OR(H104="",J104&gt;=H104),OR(I104="",J104&lt;=I104)),"Dentro","Fora"))))</f>
        <v/>
      </c>
      <c r="M104" s="5"/>
      <c r="N104" s="5"/>
      <c r="O104" s="13" t="str">
        <f aca="false">IF(E104="",IF(COUNTA(C104:D104,J104:K104,M104)&gt;0,"Falta o controle",""),IF(F104="","Controle sem plano",IF(C104="","Falta a data",IF(D104="","Falta o lote ou o pedido",IF(LEFT(L104,5)="Falta",L104,IF(AND(L104="Fora",M104=""),"Fora sem reação registrada",IF(N104="","Falta quem mediu","OK")))))))</f>
        <v/>
      </c>
    </row>
    <row r="105" customFormat="false" ht="21.75" hidden="false" customHeight="true" outlineLevel="0" collapsed="false">
      <c r="B105" s="10" t="n">
        <v>99</v>
      </c>
      <c r="C105" s="20"/>
      <c r="D105" s="5"/>
      <c r="E105" s="11"/>
      <c r="F105" s="17" t="str">
        <f aca="false">IF(E105="","",IFERROR(INDEX('Plano de controle'!$D$10:$D$29,MATCH(E105,'Plano de controle'!$B$10:$B$29,0))&amp;"",""))</f>
        <v/>
      </c>
      <c r="G105" s="13" t="str">
        <f aca="false">IF(E105="","",IFERROR(INDEX('Plano de controle'!$N$10:$N$29,MATCH(E105,'Plano de controle'!$B$10:$B$29,0))&amp;"",""))</f>
        <v/>
      </c>
      <c r="H105" s="21" t="str">
        <f aca="false">IF(E105="","",IFERROR(IF(ISNUMBER(INDEX('Plano de controle'!$F$10:$F$29,MATCH(E105,'Plano de controle'!$B$10:$B$29,0))),INDEX('Plano de controle'!$F$10:$F$29,MATCH(E105,'Plano de controle'!$B$10:$B$29,0)),""),""))</f>
        <v/>
      </c>
      <c r="I105" s="21" t="str">
        <f aca="false">IF(E105="","",IFERROR(IF(ISNUMBER(INDEX('Plano de controle'!$G$10:$G$29,MATCH(E105,'Plano de controle'!$B$10:$B$29,0))),INDEX('Plano de controle'!$G$10:$G$29,MATCH(E105,'Plano de controle'!$B$10:$B$29,0)),""),""))</f>
        <v/>
      </c>
      <c r="J105" s="12"/>
      <c r="K105" s="11"/>
      <c r="L105" s="22" t="str">
        <f aca="false">IF(OR(E105="",F105=""),"",IF(AND(H105="",I105=""),IF(K105="","Falta o resultado",IF(K105="Sim","Dentro","Fora")),IF(J105="","Falta o valor",IF(AND(OR(H105="",J105&gt;=H105),OR(I105="",J105&lt;=I105)),"Dentro","Fora"))))</f>
        <v/>
      </c>
      <c r="M105" s="5"/>
      <c r="N105" s="5"/>
      <c r="O105" s="13" t="str">
        <f aca="false">IF(E105="",IF(COUNTA(C105:D105,J105:K105,M105)&gt;0,"Falta o controle",""),IF(F105="","Controle sem plano",IF(C105="","Falta a data",IF(D105="","Falta o lote ou o pedido",IF(LEFT(L105,5)="Falta",L105,IF(AND(L105="Fora",M105=""),"Fora sem reação registrada",IF(N105="","Falta quem mediu","OK")))))))</f>
        <v/>
      </c>
    </row>
    <row r="106" customFormat="false" ht="21.75" hidden="false" customHeight="true" outlineLevel="0" collapsed="false">
      <c r="B106" s="10" t="n">
        <v>100</v>
      </c>
      <c r="C106" s="20"/>
      <c r="D106" s="5"/>
      <c r="E106" s="11"/>
      <c r="F106" s="17" t="str">
        <f aca="false">IF(E106="","",IFERROR(INDEX('Plano de controle'!$D$10:$D$29,MATCH(E106,'Plano de controle'!$B$10:$B$29,0))&amp;"",""))</f>
        <v/>
      </c>
      <c r="G106" s="13" t="str">
        <f aca="false">IF(E106="","",IFERROR(INDEX('Plano de controle'!$N$10:$N$29,MATCH(E106,'Plano de controle'!$B$10:$B$29,0))&amp;"",""))</f>
        <v/>
      </c>
      <c r="H106" s="21" t="str">
        <f aca="false">IF(E106="","",IFERROR(IF(ISNUMBER(INDEX('Plano de controle'!$F$10:$F$29,MATCH(E106,'Plano de controle'!$B$10:$B$29,0))),INDEX('Plano de controle'!$F$10:$F$29,MATCH(E106,'Plano de controle'!$B$10:$B$29,0)),""),""))</f>
        <v/>
      </c>
      <c r="I106" s="21" t="str">
        <f aca="false">IF(E106="","",IFERROR(IF(ISNUMBER(INDEX('Plano de controle'!$G$10:$G$29,MATCH(E106,'Plano de controle'!$B$10:$B$29,0))),INDEX('Plano de controle'!$G$10:$G$29,MATCH(E106,'Plano de controle'!$B$10:$B$29,0)),""),""))</f>
        <v/>
      </c>
      <c r="J106" s="12"/>
      <c r="K106" s="11"/>
      <c r="L106" s="22" t="str">
        <f aca="false">IF(OR(E106="",F106=""),"",IF(AND(H106="",I106=""),IF(K106="","Falta o resultado",IF(K106="Sim","Dentro","Fora")),IF(J106="","Falta o valor",IF(AND(OR(H106="",J106&gt;=H106),OR(I106="",J106&lt;=I106)),"Dentro","Fora"))))</f>
        <v/>
      </c>
      <c r="M106" s="5"/>
      <c r="N106" s="5"/>
      <c r="O106" s="13" t="str">
        <f aca="false">IF(E106="",IF(COUNTA(C106:D106,J106:K106,M106)&gt;0,"Falta o controle",""),IF(F106="","Controle sem plano",IF(C106="","Falta a data",IF(D106="","Falta o lote ou o pedido",IF(LEFT(L106,5)="Falta",L106,IF(AND(L106="Fora",M106=""),"Fora sem reação registrada",IF(N106="","Falta quem mediu","OK")))))))</f>
        <v/>
      </c>
    </row>
    <row r="107" customFormat="false" ht="21.75" hidden="false" customHeight="true" outlineLevel="0" collapsed="false">
      <c r="B107" s="10" t="n">
        <v>101</v>
      </c>
      <c r="C107" s="20"/>
      <c r="D107" s="5"/>
      <c r="E107" s="11"/>
      <c r="F107" s="17" t="str">
        <f aca="false">IF(E107="","",IFERROR(INDEX('Plano de controle'!$D$10:$D$29,MATCH(E107,'Plano de controle'!$B$10:$B$29,0))&amp;"",""))</f>
        <v/>
      </c>
      <c r="G107" s="13" t="str">
        <f aca="false">IF(E107="","",IFERROR(INDEX('Plano de controle'!$N$10:$N$29,MATCH(E107,'Plano de controle'!$B$10:$B$29,0))&amp;"",""))</f>
        <v/>
      </c>
      <c r="H107" s="21" t="str">
        <f aca="false">IF(E107="","",IFERROR(IF(ISNUMBER(INDEX('Plano de controle'!$F$10:$F$29,MATCH(E107,'Plano de controle'!$B$10:$B$29,0))),INDEX('Plano de controle'!$F$10:$F$29,MATCH(E107,'Plano de controle'!$B$10:$B$29,0)),""),""))</f>
        <v/>
      </c>
      <c r="I107" s="21" t="str">
        <f aca="false">IF(E107="","",IFERROR(IF(ISNUMBER(INDEX('Plano de controle'!$G$10:$G$29,MATCH(E107,'Plano de controle'!$B$10:$B$29,0))),INDEX('Plano de controle'!$G$10:$G$29,MATCH(E107,'Plano de controle'!$B$10:$B$29,0)),""),""))</f>
        <v/>
      </c>
      <c r="J107" s="12"/>
      <c r="K107" s="11"/>
      <c r="L107" s="22" t="str">
        <f aca="false">IF(OR(E107="",F107=""),"",IF(AND(H107="",I107=""),IF(K107="","Falta o resultado",IF(K107="Sim","Dentro","Fora")),IF(J107="","Falta o valor",IF(AND(OR(H107="",J107&gt;=H107),OR(I107="",J107&lt;=I107)),"Dentro","Fora"))))</f>
        <v/>
      </c>
      <c r="M107" s="5"/>
      <c r="N107" s="5"/>
      <c r="O107" s="13" t="str">
        <f aca="false">IF(E107="",IF(COUNTA(C107:D107,J107:K107,M107)&gt;0,"Falta o controle",""),IF(F107="","Controle sem plano",IF(C107="","Falta a data",IF(D107="","Falta o lote ou o pedido",IF(LEFT(L107,5)="Falta",L107,IF(AND(L107="Fora",M107=""),"Fora sem reação registrada",IF(N107="","Falta quem mediu","OK")))))))</f>
        <v/>
      </c>
    </row>
    <row r="108" customFormat="false" ht="21.75" hidden="false" customHeight="true" outlineLevel="0" collapsed="false">
      <c r="B108" s="10" t="n">
        <v>102</v>
      </c>
      <c r="C108" s="20"/>
      <c r="D108" s="5"/>
      <c r="E108" s="11"/>
      <c r="F108" s="17" t="str">
        <f aca="false">IF(E108="","",IFERROR(INDEX('Plano de controle'!$D$10:$D$29,MATCH(E108,'Plano de controle'!$B$10:$B$29,0))&amp;"",""))</f>
        <v/>
      </c>
      <c r="G108" s="13" t="str">
        <f aca="false">IF(E108="","",IFERROR(INDEX('Plano de controle'!$N$10:$N$29,MATCH(E108,'Plano de controle'!$B$10:$B$29,0))&amp;"",""))</f>
        <v/>
      </c>
      <c r="H108" s="21" t="str">
        <f aca="false">IF(E108="","",IFERROR(IF(ISNUMBER(INDEX('Plano de controle'!$F$10:$F$29,MATCH(E108,'Plano de controle'!$B$10:$B$29,0))),INDEX('Plano de controle'!$F$10:$F$29,MATCH(E108,'Plano de controle'!$B$10:$B$29,0)),""),""))</f>
        <v/>
      </c>
      <c r="I108" s="21" t="str">
        <f aca="false">IF(E108="","",IFERROR(IF(ISNUMBER(INDEX('Plano de controle'!$G$10:$G$29,MATCH(E108,'Plano de controle'!$B$10:$B$29,0))),INDEX('Plano de controle'!$G$10:$G$29,MATCH(E108,'Plano de controle'!$B$10:$B$29,0)),""),""))</f>
        <v/>
      </c>
      <c r="J108" s="12"/>
      <c r="K108" s="11"/>
      <c r="L108" s="22" t="str">
        <f aca="false">IF(OR(E108="",F108=""),"",IF(AND(H108="",I108=""),IF(K108="","Falta o resultado",IF(K108="Sim","Dentro","Fora")),IF(J108="","Falta o valor",IF(AND(OR(H108="",J108&gt;=H108),OR(I108="",J108&lt;=I108)),"Dentro","Fora"))))</f>
        <v/>
      </c>
      <c r="M108" s="5"/>
      <c r="N108" s="5"/>
      <c r="O108" s="13" t="str">
        <f aca="false">IF(E108="",IF(COUNTA(C108:D108,J108:K108,M108)&gt;0,"Falta o controle",""),IF(F108="","Controle sem plano",IF(C108="","Falta a data",IF(D108="","Falta o lote ou o pedido",IF(LEFT(L108,5)="Falta",L108,IF(AND(L108="Fora",M108=""),"Fora sem reação registrada",IF(N108="","Falta quem mediu","OK")))))))</f>
        <v/>
      </c>
    </row>
    <row r="109" customFormat="false" ht="21.75" hidden="false" customHeight="true" outlineLevel="0" collapsed="false">
      <c r="B109" s="10" t="n">
        <v>103</v>
      </c>
      <c r="C109" s="20"/>
      <c r="D109" s="5"/>
      <c r="E109" s="11"/>
      <c r="F109" s="17" t="str">
        <f aca="false">IF(E109="","",IFERROR(INDEX('Plano de controle'!$D$10:$D$29,MATCH(E109,'Plano de controle'!$B$10:$B$29,0))&amp;"",""))</f>
        <v/>
      </c>
      <c r="G109" s="13" t="str">
        <f aca="false">IF(E109="","",IFERROR(INDEX('Plano de controle'!$N$10:$N$29,MATCH(E109,'Plano de controle'!$B$10:$B$29,0))&amp;"",""))</f>
        <v/>
      </c>
      <c r="H109" s="21" t="str">
        <f aca="false">IF(E109="","",IFERROR(IF(ISNUMBER(INDEX('Plano de controle'!$F$10:$F$29,MATCH(E109,'Plano de controle'!$B$10:$B$29,0))),INDEX('Plano de controle'!$F$10:$F$29,MATCH(E109,'Plano de controle'!$B$10:$B$29,0)),""),""))</f>
        <v/>
      </c>
      <c r="I109" s="21" t="str">
        <f aca="false">IF(E109="","",IFERROR(IF(ISNUMBER(INDEX('Plano de controle'!$G$10:$G$29,MATCH(E109,'Plano de controle'!$B$10:$B$29,0))),INDEX('Plano de controle'!$G$10:$G$29,MATCH(E109,'Plano de controle'!$B$10:$B$29,0)),""),""))</f>
        <v/>
      </c>
      <c r="J109" s="12"/>
      <c r="K109" s="11"/>
      <c r="L109" s="22" t="str">
        <f aca="false">IF(OR(E109="",F109=""),"",IF(AND(H109="",I109=""),IF(K109="","Falta o resultado",IF(K109="Sim","Dentro","Fora")),IF(J109="","Falta o valor",IF(AND(OR(H109="",J109&gt;=H109),OR(I109="",J109&lt;=I109)),"Dentro","Fora"))))</f>
        <v/>
      </c>
      <c r="M109" s="5"/>
      <c r="N109" s="5"/>
      <c r="O109" s="13" t="str">
        <f aca="false">IF(E109="",IF(COUNTA(C109:D109,J109:K109,M109)&gt;0,"Falta o controle",""),IF(F109="","Controle sem plano",IF(C109="","Falta a data",IF(D109="","Falta o lote ou o pedido",IF(LEFT(L109,5)="Falta",L109,IF(AND(L109="Fora",M109=""),"Fora sem reação registrada",IF(N109="","Falta quem mediu","OK")))))))</f>
        <v/>
      </c>
    </row>
    <row r="110" customFormat="false" ht="21.75" hidden="false" customHeight="true" outlineLevel="0" collapsed="false">
      <c r="B110" s="10" t="n">
        <v>104</v>
      </c>
      <c r="C110" s="20"/>
      <c r="D110" s="5"/>
      <c r="E110" s="11"/>
      <c r="F110" s="17" t="str">
        <f aca="false">IF(E110="","",IFERROR(INDEX('Plano de controle'!$D$10:$D$29,MATCH(E110,'Plano de controle'!$B$10:$B$29,0))&amp;"",""))</f>
        <v/>
      </c>
      <c r="G110" s="13" t="str">
        <f aca="false">IF(E110="","",IFERROR(INDEX('Plano de controle'!$N$10:$N$29,MATCH(E110,'Plano de controle'!$B$10:$B$29,0))&amp;"",""))</f>
        <v/>
      </c>
      <c r="H110" s="21" t="str">
        <f aca="false">IF(E110="","",IFERROR(IF(ISNUMBER(INDEX('Plano de controle'!$F$10:$F$29,MATCH(E110,'Plano de controle'!$B$10:$B$29,0))),INDEX('Plano de controle'!$F$10:$F$29,MATCH(E110,'Plano de controle'!$B$10:$B$29,0)),""),""))</f>
        <v/>
      </c>
      <c r="I110" s="21" t="str">
        <f aca="false">IF(E110="","",IFERROR(IF(ISNUMBER(INDEX('Plano de controle'!$G$10:$G$29,MATCH(E110,'Plano de controle'!$B$10:$B$29,0))),INDEX('Plano de controle'!$G$10:$G$29,MATCH(E110,'Plano de controle'!$B$10:$B$29,0)),""),""))</f>
        <v/>
      </c>
      <c r="J110" s="12"/>
      <c r="K110" s="11"/>
      <c r="L110" s="22" t="str">
        <f aca="false">IF(OR(E110="",F110=""),"",IF(AND(H110="",I110=""),IF(K110="","Falta o resultado",IF(K110="Sim","Dentro","Fora")),IF(J110="","Falta o valor",IF(AND(OR(H110="",J110&gt;=H110),OR(I110="",J110&lt;=I110)),"Dentro","Fora"))))</f>
        <v/>
      </c>
      <c r="M110" s="5"/>
      <c r="N110" s="5"/>
      <c r="O110" s="13" t="str">
        <f aca="false">IF(E110="",IF(COUNTA(C110:D110,J110:K110,M110)&gt;0,"Falta o controle",""),IF(F110="","Controle sem plano",IF(C110="","Falta a data",IF(D110="","Falta o lote ou o pedido",IF(LEFT(L110,5)="Falta",L110,IF(AND(L110="Fora",M110=""),"Fora sem reação registrada",IF(N110="","Falta quem mediu","OK")))))))</f>
        <v/>
      </c>
    </row>
    <row r="111" customFormat="false" ht="21.75" hidden="false" customHeight="true" outlineLevel="0" collapsed="false">
      <c r="B111" s="10" t="n">
        <v>105</v>
      </c>
      <c r="C111" s="20"/>
      <c r="D111" s="5"/>
      <c r="E111" s="11"/>
      <c r="F111" s="17" t="str">
        <f aca="false">IF(E111="","",IFERROR(INDEX('Plano de controle'!$D$10:$D$29,MATCH(E111,'Plano de controle'!$B$10:$B$29,0))&amp;"",""))</f>
        <v/>
      </c>
      <c r="G111" s="13" t="str">
        <f aca="false">IF(E111="","",IFERROR(INDEX('Plano de controle'!$N$10:$N$29,MATCH(E111,'Plano de controle'!$B$10:$B$29,0))&amp;"",""))</f>
        <v/>
      </c>
      <c r="H111" s="21" t="str">
        <f aca="false">IF(E111="","",IFERROR(IF(ISNUMBER(INDEX('Plano de controle'!$F$10:$F$29,MATCH(E111,'Plano de controle'!$B$10:$B$29,0))),INDEX('Plano de controle'!$F$10:$F$29,MATCH(E111,'Plano de controle'!$B$10:$B$29,0)),""),""))</f>
        <v/>
      </c>
      <c r="I111" s="21" t="str">
        <f aca="false">IF(E111="","",IFERROR(IF(ISNUMBER(INDEX('Plano de controle'!$G$10:$G$29,MATCH(E111,'Plano de controle'!$B$10:$B$29,0))),INDEX('Plano de controle'!$G$10:$G$29,MATCH(E111,'Plano de controle'!$B$10:$B$29,0)),""),""))</f>
        <v/>
      </c>
      <c r="J111" s="12"/>
      <c r="K111" s="11"/>
      <c r="L111" s="22" t="str">
        <f aca="false">IF(OR(E111="",F111=""),"",IF(AND(H111="",I111=""),IF(K111="","Falta o resultado",IF(K111="Sim","Dentro","Fora")),IF(J111="","Falta o valor",IF(AND(OR(H111="",J111&gt;=H111),OR(I111="",J111&lt;=I111)),"Dentro","Fora"))))</f>
        <v/>
      </c>
      <c r="M111" s="5"/>
      <c r="N111" s="5"/>
      <c r="O111" s="13" t="str">
        <f aca="false">IF(E111="",IF(COUNTA(C111:D111,J111:K111,M111)&gt;0,"Falta o controle",""),IF(F111="","Controle sem plano",IF(C111="","Falta a data",IF(D111="","Falta o lote ou o pedido",IF(LEFT(L111,5)="Falta",L111,IF(AND(L111="Fora",M111=""),"Fora sem reação registrada",IF(N111="","Falta quem mediu","OK")))))))</f>
        <v/>
      </c>
    </row>
    <row r="112" customFormat="false" ht="21.75" hidden="false" customHeight="true" outlineLevel="0" collapsed="false">
      <c r="B112" s="10" t="n">
        <v>106</v>
      </c>
      <c r="C112" s="20"/>
      <c r="D112" s="5"/>
      <c r="E112" s="11"/>
      <c r="F112" s="17" t="str">
        <f aca="false">IF(E112="","",IFERROR(INDEX('Plano de controle'!$D$10:$D$29,MATCH(E112,'Plano de controle'!$B$10:$B$29,0))&amp;"",""))</f>
        <v/>
      </c>
      <c r="G112" s="13" t="str">
        <f aca="false">IF(E112="","",IFERROR(INDEX('Plano de controle'!$N$10:$N$29,MATCH(E112,'Plano de controle'!$B$10:$B$29,0))&amp;"",""))</f>
        <v/>
      </c>
      <c r="H112" s="21" t="str">
        <f aca="false">IF(E112="","",IFERROR(IF(ISNUMBER(INDEX('Plano de controle'!$F$10:$F$29,MATCH(E112,'Plano de controle'!$B$10:$B$29,0))),INDEX('Plano de controle'!$F$10:$F$29,MATCH(E112,'Plano de controle'!$B$10:$B$29,0)),""),""))</f>
        <v/>
      </c>
      <c r="I112" s="21" t="str">
        <f aca="false">IF(E112="","",IFERROR(IF(ISNUMBER(INDEX('Plano de controle'!$G$10:$G$29,MATCH(E112,'Plano de controle'!$B$10:$B$29,0))),INDEX('Plano de controle'!$G$10:$G$29,MATCH(E112,'Plano de controle'!$B$10:$B$29,0)),""),""))</f>
        <v/>
      </c>
      <c r="J112" s="12"/>
      <c r="K112" s="11"/>
      <c r="L112" s="22" t="str">
        <f aca="false">IF(OR(E112="",F112=""),"",IF(AND(H112="",I112=""),IF(K112="","Falta o resultado",IF(K112="Sim","Dentro","Fora")),IF(J112="","Falta o valor",IF(AND(OR(H112="",J112&gt;=H112),OR(I112="",J112&lt;=I112)),"Dentro","Fora"))))</f>
        <v/>
      </c>
      <c r="M112" s="5"/>
      <c r="N112" s="5"/>
      <c r="O112" s="13" t="str">
        <f aca="false">IF(E112="",IF(COUNTA(C112:D112,J112:K112,M112)&gt;0,"Falta o controle",""),IF(F112="","Controle sem plano",IF(C112="","Falta a data",IF(D112="","Falta o lote ou o pedido",IF(LEFT(L112,5)="Falta",L112,IF(AND(L112="Fora",M112=""),"Fora sem reação registrada",IF(N112="","Falta quem mediu","OK")))))))</f>
        <v/>
      </c>
    </row>
    <row r="113" customFormat="false" ht="21.75" hidden="false" customHeight="true" outlineLevel="0" collapsed="false">
      <c r="B113" s="10" t="n">
        <v>107</v>
      </c>
      <c r="C113" s="20"/>
      <c r="D113" s="5"/>
      <c r="E113" s="11"/>
      <c r="F113" s="17" t="str">
        <f aca="false">IF(E113="","",IFERROR(INDEX('Plano de controle'!$D$10:$D$29,MATCH(E113,'Plano de controle'!$B$10:$B$29,0))&amp;"",""))</f>
        <v/>
      </c>
      <c r="G113" s="13" t="str">
        <f aca="false">IF(E113="","",IFERROR(INDEX('Plano de controle'!$N$10:$N$29,MATCH(E113,'Plano de controle'!$B$10:$B$29,0))&amp;"",""))</f>
        <v/>
      </c>
      <c r="H113" s="21" t="str">
        <f aca="false">IF(E113="","",IFERROR(IF(ISNUMBER(INDEX('Plano de controle'!$F$10:$F$29,MATCH(E113,'Plano de controle'!$B$10:$B$29,0))),INDEX('Plano de controle'!$F$10:$F$29,MATCH(E113,'Plano de controle'!$B$10:$B$29,0)),""),""))</f>
        <v/>
      </c>
      <c r="I113" s="21" t="str">
        <f aca="false">IF(E113="","",IFERROR(IF(ISNUMBER(INDEX('Plano de controle'!$G$10:$G$29,MATCH(E113,'Plano de controle'!$B$10:$B$29,0))),INDEX('Plano de controle'!$G$10:$G$29,MATCH(E113,'Plano de controle'!$B$10:$B$29,0)),""),""))</f>
        <v/>
      </c>
      <c r="J113" s="12"/>
      <c r="K113" s="11"/>
      <c r="L113" s="22" t="str">
        <f aca="false">IF(OR(E113="",F113=""),"",IF(AND(H113="",I113=""),IF(K113="","Falta o resultado",IF(K113="Sim","Dentro","Fora")),IF(J113="","Falta o valor",IF(AND(OR(H113="",J113&gt;=H113),OR(I113="",J113&lt;=I113)),"Dentro","Fora"))))</f>
        <v/>
      </c>
      <c r="M113" s="5"/>
      <c r="N113" s="5"/>
      <c r="O113" s="13" t="str">
        <f aca="false">IF(E113="",IF(COUNTA(C113:D113,J113:K113,M113)&gt;0,"Falta o controle",""),IF(F113="","Controle sem plano",IF(C113="","Falta a data",IF(D113="","Falta o lote ou o pedido",IF(LEFT(L113,5)="Falta",L113,IF(AND(L113="Fora",M113=""),"Fora sem reação registrada",IF(N113="","Falta quem mediu","OK")))))))</f>
        <v/>
      </c>
    </row>
    <row r="114" customFormat="false" ht="21.75" hidden="false" customHeight="true" outlineLevel="0" collapsed="false">
      <c r="B114" s="10" t="n">
        <v>108</v>
      </c>
      <c r="C114" s="20"/>
      <c r="D114" s="5"/>
      <c r="E114" s="11"/>
      <c r="F114" s="17" t="str">
        <f aca="false">IF(E114="","",IFERROR(INDEX('Plano de controle'!$D$10:$D$29,MATCH(E114,'Plano de controle'!$B$10:$B$29,0))&amp;"",""))</f>
        <v/>
      </c>
      <c r="G114" s="13" t="str">
        <f aca="false">IF(E114="","",IFERROR(INDEX('Plano de controle'!$N$10:$N$29,MATCH(E114,'Plano de controle'!$B$10:$B$29,0))&amp;"",""))</f>
        <v/>
      </c>
      <c r="H114" s="21" t="str">
        <f aca="false">IF(E114="","",IFERROR(IF(ISNUMBER(INDEX('Plano de controle'!$F$10:$F$29,MATCH(E114,'Plano de controle'!$B$10:$B$29,0))),INDEX('Plano de controle'!$F$10:$F$29,MATCH(E114,'Plano de controle'!$B$10:$B$29,0)),""),""))</f>
        <v/>
      </c>
      <c r="I114" s="21" t="str">
        <f aca="false">IF(E114="","",IFERROR(IF(ISNUMBER(INDEX('Plano de controle'!$G$10:$G$29,MATCH(E114,'Plano de controle'!$B$10:$B$29,0))),INDEX('Plano de controle'!$G$10:$G$29,MATCH(E114,'Plano de controle'!$B$10:$B$29,0)),""),""))</f>
        <v/>
      </c>
      <c r="J114" s="12"/>
      <c r="K114" s="11"/>
      <c r="L114" s="22" t="str">
        <f aca="false">IF(OR(E114="",F114=""),"",IF(AND(H114="",I114=""),IF(K114="","Falta o resultado",IF(K114="Sim","Dentro","Fora")),IF(J114="","Falta o valor",IF(AND(OR(H114="",J114&gt;=H114),OR(I114="",J114&lt;=I114)),"Dentro","Fora"))))</f>
        <v/>
      </c>
      <c r="M114" s="5"/>
      <c r="N114" s="5"/>
      <c r="O114" s="13" t="str">
        <f aca="false">IF(E114="",IF(COUNTA(C114:D114,J114:K114,M114)&gt;0,"Falta o controle",""),IF(F114="","Controle sem plano",IF(C114="","Falta a data",IF(D114="","Falta o lote ou o pedido",IF(LEFT(L114,5)="Falta",L114,IF(AND(L114="Fora",M114=""),"Fora sem reação registrada",IF(N114="","Falta quem mediu","OK")))))))</f>
        <v/>
      </c>
    </row>
    <row r="115" customFormat="false" ht="21.75" hidden="false" customHeight="true" outlineLevel="0" collapsed="false">
      <c r="B115" s="10" t="n">
        <v>109</v>
      </c>
      <c r="C115" s="20"/>
      <c r="D115" s="5"/>
      <c r="E115" s="11"/>
      <c r="F115" s="17" t="str">
        <f aca="false">IF(E115="","",IFERROR(INDEX('Plano de controle'!$D$10:$D$29,MATCH(E115,'Plano de controle'!$B$10:$B$29,0))&amp;"",""))</f>
        <v/>
      </c>
      <c r="G115" s="13" t="str">
        <f aca="false">IF(E115="","",IFERROR(INDEX('Plano de controle'!$N$10:$N$29,MATCH(E115,'Plano de controle'!$B$10:$B$29,0))&amp;"",""))</f>
        <v/>
      </c>
      <c r="H115" s="21" t="str">
        <f aca="false">IF(E115="","",IFERROR(IF(ISNUMBER(INDEX('Plano de controle'!$F$10:$F$29,MATCH(E115,'Plano de controle'!$B$10:$B$29,0))),INDEX('Plano de controle'!$F$10:$F$29,MATCH(E115,'Plano de controle'!$B$10:$B$29,0)),""),""))</f>
        <v/>
      </c>
      <c r="I115" s="21" t="str">
        <f aca="false">IF(E115="","",IFERROR(IF(ISNUMBER(INDEX('Plano de controle'!$G$10:$G$29,MATCH(E115,'Plano de controle'!$B$10:$B$29,0))),INDEX('Plano de controle'!$G$10:$G$29,MATCH(E115,'Plano de controle'!$B$10:$B$29,0)),""),""))</f>
        <v/>
      </c>
      <c r="J115" s="12"/>
      <c r="K115" s="11"/>
      <c r="L115" s="22" t="str">
        <f aca="false">IF(OR(E115="",F115=""),"",IF(AND(H115="",I115=""),IF(K115="","Falta o resultado",IF(K115="Sim","Dentro","Fora")),IF(J115="","Falta o valor",IF(AND(OR(H115="",J115&gt;=H115),OR(I115="",J115&lt;=I115)),"Dentro","Fora"))))</f>
        <v/>
      </c>
      <c r="M115" s="5"/>
      <c r="N115" s="5"/>
      <c r="O115" s="13" t="str">
        <f aca="false">IF(E115="",IF(COUNTA(C115:D115,J115:K115,M115)&gt;0,"Falta o controle",""),IF(F115="","Controle sem plano",IF(C115="","Falta a data",IF(D115="","Falta o lote ou o pedido",IF(LEFT(L115,5)="Falta",L115,IF(AND(L115="Fora",M115=""),"Fora sem reação registrada",IF(N115="","Falta quem mediu","OK")))))))</f>
        <v/>
      </c>
    </row>
    <row r="116" customFormat="false" ht="21.75" hidden="false" customHeight="true" outlineLevel="0" collapsed="false">
      <c r="B116" s="10" t="n">
        <v>110</v>
      </c>
      <c r="C116" s="20"/>
      <c r="D116" s="5"/>
      <c r="E116" s="11"/>
      <c r="F116" s="17" t="str">
        <f aca="false">IF(E116="","",IFERROR(INDEX('Plano de controle'!$D$10:$D$29,MATCH(E116,'Plano de controle'!$B$10:$B$29,0))&amp;"",""))</f>
        <v/>
      </c>
      <c r="G116" s="13" t="str">
        <f aca="false">IF(E116="","",IFERROR(INDEX('Plano de controle'!$N$10:$N$29,MATCH(E116,'Plano de controle'!$B$10:$B$29,0))&amp;"",""))</f>
        <v/>
      </c>
      <c r="H116" s="21" t="str">
        <f aca="false">IF(E116="","",IFERROR(IF(ISNUMBER(INDEX('Plano de controle'!$F$10:$F$29,MATCH(E116,'Plano de controle'!$B$10:$B$29,0))),INDEX('Plano de controle'!$F$10:$F$29,MATCH(E116,'Plano de controle'!$B$10:$B$29,0)),""),""))</f>
        <v/>
      </c>
      <c r="I116" s="21" t="str">
        <f aca="false">IF(E116="","",IFERROR(IF(ISNUMBER(INDEX('Plano de controle'!$G$10:$G$29,MATCH(E116,'Plano de controle'!$B$10:$B$29,0))),INDEX('Plano de controle'!$G$10:$G$29,MATCH(E116,'Plano de controle'!$B$10:$B$29,0)),""),""))</f>
        <v/>
      </c>
      <c r="J116" s="12"/>
      <c r="K116" s="11"/>
      <c r="L116" s="22" t="str">
        <f aca="false">IF(OR(E116="",F116=""),"",IF(AND(H116="",I116=""),IF(K116="","Falta o resultado",IF(K116="Sim","Dentro","Fora")),IF(J116="","Falta o valor",IF(AND(OR(H116="",J116&gt;=H116),OR(I116="",J116&lt;=I116)),"Dentro","Fora"))))</f>
        <v/>
      </c>
      <c r="M116" s="5"/>
      <c r="N116" s="5"/>
      <c r="O116" s="13" t="str">
        <f aca="false">IF(E116="",IF(COUNTA(C116:D116,J116:K116,M116)&gt;0,"Falta o controle",""),IF(F116="","Controle sem plano",IF(C116="","Falta a data",IF(D116="","Falta o lote ou o pedido",IF(LEFT(L116,5)="Falta",L116,IF(AND(L116="Fora",M116=""),"Fora sem reação registrada",IF(N116="","Falta quem mediu","OK")))))))</f>
        <v/>
      </c>
    </row>
    <row r="117" customFormat="false" ht="21.75" hidden="false" customHeight="true" outlineLevel="0" collapsed="false">
      <c r="B117" s="10" t="n">
        <v>111</v>
      </c>
      <c r="C117" s="20"/>
      <c r="D117" s="5"/>
      <c r="E117" s="11"/>
      <c r="F117" s="17" t="str">
        <f aca="false">IF(E117="","",IFERROR(INDEX('Plano de controle'!$D$10:$D$29,MATCH(E117,'Plano de controle'!$B$10:$B$29,0))&amp;"",""))</f>
        <v/>
      </c>
      <c r="G117" s="13" t="str">
        <f aca="false">IF(E117="","",IFERROR(INDEX('Plano de controle'!$N$10:$N$29,MATCH(E117,'Plano de controle'!$B$10:$B$29,0))&amp;"",""))</f>
        <v/>
      </c>
      <c r="H117" s="21" t="str">
        <f aca="false">IF(E117="","",IFERROR(IF(ISNUMBER(INDEX('Plano de controle'!$F$10:$F$29,MATCH(E117,'Plano de controle'!$B$10:$B$29,0))),INDEX('Plano de controle'!$F$10:$F$29,MATCH(E117,'Plano de controle'!$B$10:$B$29,0)),""),""))</f>
        <v/>
      </c>
      <c r="I117" s="21" t="str">
        <f aca="false">IF(E117="","",IFERROR(IF(ISNUMBER(INDEX('Plano de controle'!$G$10:$G$29,MATCH(E117,'Plano de controle'!$B$10:$B$29,0))),INDEX('Plano de controle'!$G$10:$G$29,MATCH(E117,'Plano de controle'!$B$10:$B$29,0)),""),""))</f>
        <v/>
      </c>
      <c r="J117" s="12"/>
      <c r="K117" s="11"/>
      <c r="L117" s="22" t="str">
        <f aca="false">IF(OR(E117="",F117=""),"",IF(AND(H117="",I117=""),IF(K117="","Falta o resultado",IF(K117="Sim","Dentro","Fora")),IF(J117="","Falta o valor",IF(AND(OR(H117="",J117&gt;=H117),OR(I117="",J117&lt;=I117)),"Dentro","Fora"))))</f>
        <v/>
      </c>
      <c r="M117" s="5"/>
      <c r="N117" s="5"/>
      <c r="O117" s="13" t="str">
        <f aca="false">IF(E117="",IF(COUNTA(C117:D117,J117:K117,M117)&gt;0,"Falta o controle",""),IF(F117="","Controle sem plano",IF(C117="","Falta a data",IF(D117="","Falta o lote ou o pedido",IF(LEFT(L117,5)="Falta",L117,IF(AND(L117="Fora",M117=""),"Fora sem reação registrada",IF(N117="","Falta quem mediu","OK")))))))</f>
        <v/>
      </c>
    </row>
    <row r="118" customFormat="false" ht="21.75" hidden="false" customHeight="true" outlineLevel="0" collapsed="false">
      <c r="B118" s="10" t="n">
        <v>112</v>
      </c>
      <c r="C118" s="20"/>
      <c r="D118" s="5"/>
      <c r="E118" s="11"/>
      <c r="F118" s="17" t="str">
        <f aca="false">IF(E118="","",IFERROR(INDEX('Plano de controle'!$D$10:$D$29,MATCH(E118,'Plano de controle'!$B$10:$B$29,0))&amp;"",""))</f>
        <v/>
      </c>
      <c r="G118" s="13" t="str">
        <f aca="false">IF(E118="","",IFERROR(INDEX('Plano de controle'!$N$10:$N$29,MATCH(E118,'Plano de controle'!$B$10:$B$29,0))&amp;"",""))</f>
        <v/>
      </c>
      <c r="H118" s="21" t="str">
        <f aca="false">IF(E118="","",IFERROR(IF(ISNUMBER(INDEX('Plano de controle'!$F$10:$F$29,MATCH(E118,'Plano de controle'!$B$10:$B$29,0))),INDEX('Plano de controle'!$F$10:$F$29,MATCH(E118,'Plano de controle'!$B$10:$B$29,0)),""),""))</f>
        <v/>
      </c>
      <c r="I118" s="21" t="str">
        <f aca="false">IF(E118="","",IFERROR(IF(ISNUMBER(INDEX('Plano de controle'!$G$10:$G$29,MATCH(E118,'Plano de controle'!$B$10:$B$29,0))),INDEX('Plano de controle'!$G$10:$G$29,MATCH(E118,'Plano de controle'!$B$10:$B$29,0)),""),""))</f>
        <v/>
      </c>
      <c r="J118" s="12"/>
      <c r="K118" s="11"/>
      <c r="L118" s="22" t="str">
        <f aca="false">IF(OR(E118="",F118=""),"",IF(AND(H118="",I118=""),IF(K118="","Falta o resultado",IF(K118="Sim","Dentro","Fora")),IF(J118="","Falta o valor",IF(AND(OR(H118="",J118&gt;=H118),OR(I118="",J118&lt;=I118)),"Dentro","Fora"))))</f>
        <v/>
      </c>
      <c r="M118" s="5"/>
      <c r="N118" s="5"/>
      <c r="O118" s="13" t="str">
        <f aca="false">IF(E118="",IF(COUNTA(C118:D118,J118:K118,M118)&gt;0,"Falta o controle",""),IF(F118="","Controle sem plano",IF(C118="","Falta a data",IF(D118="","Falta o lote ou o pedido",IF(LEFT(L118,5)="Falta",L118,IF(AND(L118="Fora",M118=""),"Fora sem reação registrada",IF(N118="","Falta quem mediu","OK")))))))</f>
        <v/>
      </c>
    </row>
    <row r="119" customFormat="false" ht="21.75" hidden="false" customHeight="true" outlineLevel="0" collapsed="false">
      <c r="B119" s="10" t="n">
        <v>113</v>
      </c>
      <c r="C119" s="20"/>
      <c r="D119" s="5"/>
      <c r="E119" s="11"/>
      <c r="F119" s="17" t="str">
        <f aca="false">IF(E119="","",IFERROR(INDEX('Plano de controle'!$D$10:$D$29,MATCH(E119,'Plano de controle'!$B$10:$B$29,0))&amp;"",""))</f>
        <v/>
      </c>
      <c r="G119" s="13" t="str">
        <f aca="false">IF(E119="","",IFERROR(INDEX('Plano de controle'!$N$10:$N$29,MATCH(E119,'Plano de controle'!$B$10:$B$29,0))&amp;"",""))</f>
        <v/>
      </c>
      <c r="H119" s="21" t="str">
        <f aca="false">IF(E119="","",IFERROR(IF(ISNUMBER(INDEX('Plano de controle'!$F$10:$F$29,MATCH(E119,'Plano de controle'!$B$10:$B$29,0))),INDEX('Plano de controle'!$F$10:$F$29,MATCH(E119,'Plano de controle'!$B$10:$B$29,0)),""),""))</f>
        <v/>
      </c>
      <c r="I119" s="21" t="str">
        <f aca="false">IF(E119="","",IFERROR(IF(ISNUMBER(INDEX('Plano de controle'!$G$10:$G$29,MATCH(E119,'Plano de controle'!$B$10:$B$29,0))),INDEX('Plano de controle'!$G$10:$G$29,MATCH(E119,'Plano de controle'!$B$10:$B$29,0)),""),""))</f>
        <v/>
      </c>
      <c r="J119" s="12"/>
      <c r="K119" s="11"/>
      <c r="L119" s="22" t="str">
        <f aca="false">IF(OR(E119="",F119=""),"",IF(AND(H119="",I119=""),IF(K119="","Falta o resultado",IF(K119="Sim","Dentro","Fora")),IF(J119="","Falta o valor",IF(AND(OR(H119="",J119&gt;=H119),OR(I119="",J119&lt;=I119)),"Dentro","Fora"))))</f>
        <v/>
      </c>
      <c r="M119" s="5"/>
      <c r="N119" s="5"/>
      <c r="O119" s="13" t="str">
        <f aca="false">IF(E119="",IF(COUNTA(C119:D119,J119:K119,M119)&gt;0,"Falta o controle",""),IF(F119="","Controle sem plano",IF(C119="","Falta a data",IF(D119="","Falta o lote ou o pedido",IF(LEFT(L119,5)="Falta",L119,IF(AND(L119="Fora",M119=""),"Fora sem reação registrada",IF(N119="","Falta quem mediu","OK")))))))</f>
        <v/>
      </c>
    </row>
    <row r="120" customFormat="false" ht="21.75" hidden="false" customHeight="true" outlineLevel="0" collapsed="false">
      <c r="B120" s="10" t="n">
        <v>114</v>
      </c>
      <c r="C120" s="20"/>
      <c r="D120" s="5"/>
      <c r="E120" s="11"/>
      <c r="F120" s="17" t="str">
        <f aca="false">IF(E120="","",IFERROR(INDEX('Plano de controle'!$D$10:$D$29,MATCH(E120,'Plano de controle'!$B$10:$B$29,0))&amp;"",""))</f>
        <v/>
      </c>
      <c r="G120" s="13" t="str">
        <f aca="false">IF(E120="","",IFERROR(INDEX('Plano de controle'!$N$10:$N$29,MATCH(E120,'Plano de controle'!$B$10:$B$29,0))&amp;"",""))</f>
        <v/>
      </c>
      <c r="H120" s="21" t="str">
        <f aca="false">IF(E120="","",IFERROR(IF(ISNUMBER(INDEX('Plano de controle'!$F$10:$F$29,MATCH(E120,'Plano de controle'!$B$10:$B$29,0))),INDEX('Plano de controle'!$F$10:$F$29,MATCH(E120,'Plano de controle'!$B$10:$B$29,0)),""),""))</f>
        <v/>
      </c>
      <c r="I120" s="21" t="str">
        <f aca="false">IF(E120="","",IFERROR(IF(ISNUMBER(INDEX('Plano de controle'!$G$10:$G$29,MATCH(E120,'Plano de controle'!$B$10:$B$29,0))),INDEX('Plano de controle'!$G$10:$G$29,MATCH(E120,'Plano de controle'!$B$10:$B$29,0)),""),""))</f>
        <v/>
      </c>
      <c r="J120" s="12"/>
      <c r="K120" s="11"/>
      <c r="L120" s="22" t="str">
        <f aca="false">IF(OR(E120="",F120=""),"",IF(AND(H120="",I120=""),IF(K120="","Falta o resultado",IF(K120="Sim","Dentro","Fora")),IF(J120="","Falta o valor",IF(AND(OR(H120="",J120&gt;=H120),OR(I120="",J120&lt;=I120)),"Dentro","Fora"))))</f>
        <v/>
      </c>
      <c r="M120" s="5"/>
      <c r="N120" s="5"/>
      <c r="O120" s="13" t="str">
        <f aca="false">IF(E120="",IF(COUNTA(C120:D120,J120:K120,M120)&gt;0,"Falta o controle",""),IF(F120="","Controle sem plano",IF(C120="","Falta a data",IF(D120="","Falta o lote ou o pedido",IF(LEFT(L120,5)="Falta",L120,IF(AND(L120="Fora",M120=""),"Fora sem reação registrada",IF(N120="","Falta quem mediu","OK")))))))</f>
        <v/>
      </c>
    </row>
    <row r="121" customFormat="false" ht="21.75" hidden="false" customHeight="true" outlineLevel="0" collapsed="false">
      <c r="B121" s="10" t="n">
        <v>115</v>
      </c>
      <c r="C121" s="20"/>
      <c r="D121" s="5"/>
      <c r="E121" s="11"/>
      <c r="F121" s="17" t="str">
        <f aca="false">IF(E121="","",IFERROR(INDEX('Plano de controle'!$D$10:$D$29,MATCH(E121,'Plano de controle'!$B$10:$B$29,0))&amp;"",""))</f>
        <v/>
      </c>
      <c r="G121" s="13" t="str">
        <f aca="false">IF(E121="","",IFERROR(INDEX('Plano de controle'!$N$10:$N$29,MATCH(E121,'Plano de controle'!$B$10:$B$29,0))&amp;"",""))</f>
        <v/>
      </c>
      <c r="H121" s="21" t="str">
        <f aca="false">IF(E121="","",IFERROR(IF(ISNUMBER(INDEX('Plano de controle'!$F$10:$F$29,MATCH(E121,'Plano de controle'!$B$10:$B$29,0))),INDEX('Plano de controle'!$F$10:$F$29,MATCH(E121,'Plano de controle'!$B$10:$B$29,0)),""),""))</f>
        <v/>
      </c>
      <c r="I121" s="21" t="str">
        <f aca="false">IF(E121="","",IFERROR(IF(ISNUMBER(INDEX('Plano de controle'!$G$10:$G$29,MATCH(E121,'Plano de controle'!$B$10:$B$29,0))),INDEX('Plano de controle'!$G$10:$G$29,MATCH(E121,'Plano de controle'!$B$10:$B$29,0)),""),""))</f>
        <v/>
      </c>
      <c r="J121" s="12"/>
      <c r="K121" s="11"/>
      <c r="L121" s="22" t="str">
        <f aca="false">IF(OR(E121="",F121=""),"",IF(AND(H121="",I121=""),IF(K121="","Falta o resultado",IF(K121="Sim","Dentro","Fora")),IF(J121="","Falta o valor",IF(AND(OR(H121="",J121&gt;=H121),OR(I121="",J121&lt;=I121)),"Dentro","Fora"))))</f>
        <v/>
      </c>
      <c r="M121" s="5"/>
      <c r="N121" s="5"/>
      <c r="O121" s="13" t="str">
        <f aca="false">IF(E121="",IF(COUNTA(C121:D121,J121:K121,M121)&gt;0,"Falta o controle",""),IF(F121="","Controle sem plano",IF(C121="","Falta a data",IF(D121="","Falta o lote ou o pedido",IF(LEFT(L121,5)="Falta",L121,IF(AND(L121="Fora",M121=""),"Fora sem reação registrada",IF(N121="","Falta quem mediu","OK")))))))</f>
        <v/>
      </c>
    </row>
    <row r="122" customFormat="false" ht="21.75" hidden="false" customHeight="true" outlineLevel="0" collapsed="false">
      <c r="B122" s="10" t="n">
        <v>116</v>
      </c>
      <c r="C122" s="20"/>
      <c r="D122" s="5"/>
      <c r="E122" s="11"/>
      <c r="F122" s="17" t="str">
        <f aca="false">IF(E122="","",IFERROR(INDEX('Plano de controle'!$D$10:$D$29,MATCH(E122,'Plano de controle'!$B$10:$B$29,0))&amp;"",""))</f>
        <v/>
      </c>
      <c r="G122" s="13" t="str">
        <f aca="false">IF(E122="","",IFERROR(INDEX('Plano de controle'!$N$10:$N$29,MATCH(E122,'Plano de controle'!$B$10:$B$29,0))&amp;"",""))</f>
        <v/>
      </c>
      <c r="H122" s="21" t="str">
        <f aca="false">IF(E122="","",IFERROR(IF(ISNUMBER(INDEX('Plano de controle'!$F$10:$F$29,MATCH(E122,'Plano de controle'!$B$10:$B$29,0))),INDEX('Plano de controle'!$F$10:$F$29,MATCH(E122,'Plano de controle'!$B$10:$B$29,0)),""),""))</f>
        <v/>
      </c>
      <c r="I122" s="21" t="str">
        <f aca="false">IF(E122="","",IFERROR(IF(ISNUMBER(INDEX('Plano de controle'!$G$10:$G$29,MATCH(E122,'Plano de controle'!$B$10:$B$29,0))),INDEX('Plano de controle'!$G$10:$G$29,MATCH(E122,'Plano de controle'!$B$10:$B$29,0)),""),""))</f>
        <v/>
      </c>
      <c r="J122" s="12"/>
      <c r="K122" s="11"/>
      <c r="L122" s="22" t="str">
        <f aca="false">IF(OR(E122="",F122=""),"",IF(AND(H122="",I122=""),IF(K122="","Falta o resultado",IF(K122="Sim","Dentro","Fora")),IF(J122="","Falta o valor",IF(AND(OR(H122="",J122&gt;=H122),OR(I122="",J122&lt;=I122)),"Dentro","Fora"))))</f>
        <v/>
      </c>
      <c r="M122" s="5"/>
      <c r="N122" s="5"/>
      <c r="O122" s="13" t="str">
        <f aca="false">IF(E122="",IF(COUNTA(C122:D122,J122:K122,M122)&gt;0,"Falta o controle",""),IF(F122="","Controle sem plano",IF(C122="","Falta a data",IF(D122="","Falta o lote ou o pedido",IF(LEFT(L122,5)="Falta",L122,IF(AND(L122="Fora",M122=""),"Fora sem reação registrada",IF(N122="","Falta quem mediu","OK")))))))</f>
        <v/>
      </c>
    </row>
    <row r="123" customFormat="false" ht="21.75" hidden="false" customHeight="true" outlineLevel="0" collapsed="false">
      <c r="B123" s="10" t="n">
        <v>117</v>
      </c>
      <c r="C123" s="20"/>
      <c r="D123" s="5"/>
      <c r="E123" s="11"/>
      <c r="F123" s="17" t="str">
        <f aca="false">IF(E123="","",IFERROR(INDEX('Plano de controle'!$D$10:$D$29,MATCH(E123,'Plano de controle'!$B$10:$B$29,0))&amp;"",""))</f>
        <v/>
      </c>
      <c r="G123" s="13" t="str">
        <f aca="false">IF(E123="","",IFERROR(INDEX('Plano de controle'!$N$10:$N$29,MATCH(E123,'Plano de controle'!$B$10:$B$29,0))&amp;"",""))</f>
        <v/>
      </c>
      <c r="H123" s="21" t="str">
        <f aca="false">IF(E123="","",IFERROR(IF(ISNUMBER(INDEX('Plano de controle'!$F$10:$F$29,MATCH(E123,'Plano de controle'!$B$10:$B$29,0))),INDEX('Plano de controle'!$F$10:$F$29,MATCH(E123,'Plano de controle'!$B$10:$B$29,0)),""),""))</f>
        <v/>
      </c>
      <c r="I123" s="21" t="str">
        <f aca="false">IF(E123="","",IFERROR(IF(ISNUMBER(INDEX('Plano de controle'!$G$10:$G$29,MATCH(E123,'Plano de controle'!$B$10:$B$29,0))),INDEX('Plano de controle'!$G$10:$G$29,MATCH(E123,'Plano de controle'!$B$10:$B$29,0)),""),""))</f>
        <v/>
      </c>
      <c r="J123" s="12"/>
      <c r="K123" s="11"/>
      <c r="L123" s="22" t="str">
        <f aca="false">IF(OR(E123="",F123=""),"",IF(AND(H123="",I123=""),IF(K123="","Falta o resultado",IF(K123="Sim","Dentro","Fora")),IF(J123="","Falta o valor",IF(AND(OR(H123="",J123&gt;=H123),OR(I123="",J123&lt;=I123)),"Dentro","Fora"))))</f>
        <v/>
      </c>
      <c r="M123" s="5"/>
      <c r="N123" s="5"/>
      <c r="O123" s="13" t="str">
        <f aca="false">IF(E123="",IF(COUNTA(C123:D123,J123:K123,M123)&gt;0,"Falta o controle",""),IF(F123="","Controle sem plano",IF(C123="","Falta a data",IF(D123="","Falta o lote ou o pedido",IF(LEFT(L123,5)="Falta",L123,IF(AND(L123="Fora",M123=""),"Fora sem reação registrada",IF(N123="","Falta quem mediu","OK")))))))</f>
        <v/>
      </c>
    </row>
    <row r="124" customFormat="false" ht="21.75" hidden="false" customHeight="true" outlineLevel="0" collapsed="false">
      <c r="B124" s="10" t="n">
        <v>118</v>
      </c>
      <c r="C124" s="20"/>
      <c r="D124" s="5"/>
      <c r="E124" s="11"/>
      <c r="F124" s="17" t="str">
        <f aca="false">IF(E124="","",IFERROR(INDEX('Plano de controle'!$D$10:$D$29,MATCH(E124,'Plano de controle'!$B$10:$B$29,0))&amp;"",""))</f>
        <v/>
      </c>
      <c r="G124" s="13" t="str">
        <f aca="false">IF(E124="","",IFERROR(INDEX('Plano de controle'!$N$10:$N$29,MATCH(E124,'Plano de controle'!$B$10:$B$29,0))&amp;"",""))</f>
        <v/>
      </c>
      <c r="H124" s="21" t="str">
        <f aca="false">IF(E124="","",IFERROR(IF(ISNUMBER(INDEX('Plano de controle'!$F$10:$F$29,MATCH(E124,'Plano de controle'!$B$10:$B$29,0))),INDEX('Plano de controle'!$F$10:$F$29,MATCH(E124,'Plano de controle'!$B$10:$B$29,0)),""),""))</f>
        <v/>
      </c>
      <c r="I124" s="21" t="str">
        <f aca="false">IF(E124="","",IFERROR(IF(ISNUMBER(INDEX('Plano de controle'!$G$10:$G$29,MATCH(E124,'Plano de controle'!$B$10:$B$29,0))),INDEX('Plano de controle'!$G$10:$G$29,MATCH(E124,'Plano de controle'!$B$10:$B$29,0)),""),""))</f>
        <v/>
      </c>
      <c r="J124" s="12"/>
      <c r="K124" s="11"/>
      <c r="L124" s="22" t="str">
        <f aca="false">IF(OR(E124="",F124=""),"",IF(AND(H124="",I124=""),IF(K124="","Falta o resultado",IF(K124="Sim","Dentro","Fora")),IF(J124="","Falta o valor",IF(AND(OR(H124="",J124&gt;=H124),OR(I124="",J124&lt;=I124)),"Dentro","Fora"))))</f>
        <v/>
      </c>
      <c r="M124" s="5"/>
      <c r="N124" s="5"/>
      <c r="O124" s="13" t="str">
        <f aca="false">IF(E124="",IF(COUNTA(C124:D124,J124:K124,M124)&gt;0,"Falta o controle",""),IF(F124="","Controle sem plano",IF(C124="","Falta a data",IF(D124="","Falta o lote ou o pedido",IF(LEFT(L124,5)="Falta",L124,IF(AND(L124="Fora",M124=""),"Fora sem reação registrada",IF(N124="","Falta quem mediu","OK")))))))</f>
        <v/>
      </c>
    </row>
    <row r="125" customFormat="false" ht="21.75" hidden="false" customHeight="true" outlineLevel="0" collapsed="false">
      <c r="B125" s="10" t="n">
        <v>119</v>
      </c>
      <c r="C125" s="20"/>
      <c r="D125" s="5"/>
      <c r="E125" s="11"/>
      <c r="F125" s="17" t="str">
        <f aca="false">IF(E125="","",IFERROR(INDEX('Plano de controle'!$D$10:$D$29,MATCH(E125,'Plano de controle'!$B$10:$B$29,0))&amp;"",""))</f>
        <v/>
      </c>
      <c r="G125" s="13" t="str">
        <f aca="false">IF(E125="","",IFERROR(INDEX('Plano de controle'!$N$10:$N$29,MATCH(E125,'Plano de controle'!$B$10:$B$29,0))&amp;"",""))</f>
        <v/>
      </c>
      <c r="H125" s="21" t="str">
        <f aca="false">IF(E125="","",IFERROR(IF(ISNUMBER(INDEX('Plano de controle'!$F$10:$F$29,MATCH(E125,'Plano de controle'!$B$10:$B$29,0))),INDEX('Plano de controle'!$F$10:$F$29,MATCH(E125,'Plano de controle'!$B$10:$B$29,0)),""),""))</f>
        <v/>
      </c>
      <c r="I125" s="21" t="str">
        <f aca="false">IF(E125="","",IFERROR(IF(ISNUMBER(INDEX('Plano de controle'!$G$10:$G$29,MATCH(E125,'Plano de controle'!$B$10:$B$29,0))),INDEX('Plano de controle'!$G$10:$G$29,MATCH(E125,'Plano de controle'!$B$10:$B$29,0)),""),""))</f>
        <v/>
      </c>
      <c r="J125" s="12"/>
      <c r="K125" s="11"/>
      <c r="L125" s="22" t="str">
        <f aca="false">IF(OR(E125="",F125=""),"",IF(AND(H125="",I125=""),IF(K125="","Falta o resultado",IF(K125="Sim","Dentro","Fora")),IF(J125="","Falta o valor",IF(AND(OR(H125="",J125&gt;=H125),OR(I125="",J125&lt;=I125)),"Dentro","Fora"))))</f>
        <v/>
      </c>
      <c r="M125" s="5"/>
      <c r="N125" s="5"/>
      <c r="O125" s="13" t="str">
        <f aca="false">IF(E125="",IF(COUNTA(C125:D125,J125:K125,M125)&gt;0,"Falta o controle",""),IF(F125="","Controle sem plano",IF(C125="","Falta a data",IF(D125="","Falta o lote ou o pedido",IF(LEFT(L125,5)="Falta",L125,IF(AND(L125="Fora",M125=""),"Fora sem reação registrada",IF(N125="","Falta quem mediu","OK")))))))</f>
        <v/>
      </c>
    </row>
    <row r="126" customFormat="false" ht="21.75" hidden="false" customHeight="true" outlineLevel="0" collapsed="false">
      <c r="B126" s="10" t="n">
        <v>120</v>
      </c>
      <c r="C126" s="20"/>
      <c r="D126" s="5"/>
      <c r="E126" s="11"/>
      <c r="F126" s="17" t="str">
        <f aca="false">IF(E126="","",IFERROR(INDEX('Plano de controle'!$D$10:$D$29,MATCH(E126,'Plano de controle'!$B$10:$B$29,0))&amp;"",""))</f>
        <v/>
      </c>
      <c r="G126" s="13" t="str">
        <f aca="false">IF(E126="","",IFERROR(INDEX('Plano de controle'!$N$10:$N$29,MATCH(E126,'Plano de controle'!$B$10:$B$29,0))&amp;"",""))</f>
        <v/>
      </c>
      <c r="H126" s="21" t="str">
        <f aca="false">IF(E126="","",IFERROR(IF(ISNUMBER(INDEX('Plano de controle'!$F$10:$F$29,MATCH(E126,'Plano de controle'!$B$10:$B$29,0))),INDEX('Plano de controle'!$F$10:$F$29,MATCH(E126,'Plano de controle'!$B$10:$B$29,0)),""),""))</f>
        <v/>
      </c>
      <c r="I126" s="21" t="str">
        <f aca="false">IF(E126="","",IFERROR(IF(ISNUMBER(INDEX('Plano de controle'!$G$10:$G$29,MATCH(E126,'Plano de controle'!$B$10:$B$29,0))),INDEX('Plano de controle'!$G$10:$G$29,MATCH(E126,'Plano de controle'!$B$10:$B$29,0)),""),""))</f>
        <v/>
      </c>
      <c r="J126" s="12"/>
      <c r="K126" s="11"/>
      <c r="L126" s="22" t="str">
        <f aca="false">IF(OR(E126="",F126=""),"",IF(AND(H126="",I126=""),IF(K126="","Falta o resultado",IF(K126="Sim","Dentro","Fora")),IF(J126="","Falta o valor",IF(AND(OR(H126="",J126&gt;=H126),OR(I126="",J126&lt;=I126)),"Dentro","Fora"))))</f>
        <v/>
      </c>
      <c r="M126" s="5"/>
      <c r="N126" s="5"/>
      <c r="O126" s="13" t="str">
        <f aca="false">IF(E126="",IF(COUNTA(C126:D126,J126:K126,M126)&gt;0,"Falta o controle",""),IF(F126="","Controle sem plano",IF(C126="","Falta a data",IF(D126="","Falta o lote ou o pedido",IF(LEFT(L126,5)="Falta",L126,IF(AND(L126="Fora",M126=""),"Fora sem reação registrada",IF(N126="","Falta quem mediu","OK")))))))</f>
        <v/>
      </c>
    </row>
    <row r="127" customFormat="false" ht="21.75" hidden="false" customHeight="true" outlineLevel="0" collapsed="false">
      <c r="B127" s="10" t="n">
        <v>121</v>
      </c>
      <c r="C127" s="20"/>
      <c r="D127" s="5"/>
      <c r="E127" s="11"/>
      <c r="F127" s="17" t="str">
        <f aca="false">IF(E127="","",IFERROR(INDEX('Plano de controle'!$D$10:$D$29,MATCH(E127,'Plano de controle'!$B$10:$B$29,0))&amp;"",""))</f>
        <v/>
      </c>
      <c r="G127" s="13" t="str">
        <f aca="false">IF(E127="","",IFERROR(INDEX('Plano de controle'!$N$10:$N$29,MATCH(E127,'Plano de controle'!$B$10:$B$29,0))&amp;"",""))</f>
        <v/>
      </c>
      <c r="H127" s="21" t="str">
        <f aca="false">IF(E127="","",IFERROR(IF(ISNUMBER(INDEX('Plano de controle'!$F$10:$F$29,MATCH(E127,'Plano de controle'!$B$10:$B$29,0))),INDEX('Plano de controle'!$F$10:$F$29,MATCH(E127,'Plano de controle'!$B$10:$B$29,0)),""),""))</f>
        <v/>
      </c>
      <c r="I127" s="21" t="str">
        <f aca="false">IF(E127="","",IFERROR(IF(ISNUMBER(INDEX('Plano de controle'!$G$10:$G$29,MATCH(E127,'Plano de controle'!$B$10:$B$29,0))),INDEX('Plano de controle'!$G$10:$G$29,MATCH(E127,'Plano de controle'!$B$10:$B$29,0)),""),""))</f>
        <v/>
      </c>
      <c r="J127" s="12"/>
      <c r="K127" s="11"/>
      <c r="L127" s="22" t="str">
        <f aca="false">IF(OR(E127="",F127=""),"",IF(AND(H127="",I127=""),IF(K127="","Falta o resultado",IF(K127="Sim","Dentro","Fora")),IF(J127="","Falta o valor",IF(AND(OR(H127="",J127&gt;=H127),OR(I127="",J127&lt;=I127)),"Dentro","Fora"))))</f>
        <v/>
      </c>
      <c r="M127" s="5"/>
      <c r="N127" s="5"/>
      <c r="O127" s="13" t="str">
        <f aca="false">IF(E127="",IF(COUNTA(C127:D127,J127:K127,M127)&gt;0,"Falta o controle",""),IF(F127="","Controle sem plano",IF(C127="","Falta a data",IF(D127="","Falta o lote ou o pedido",IF(LEFT(L127,5)="Falta",L127,IF(AND(L127="Fora",M127=""),"Fora sem reação registrada",IF(N127="","Falta quem mediu","OK")))))))</f>
        <v/>
      </c>
    </row>
    <row r="128" customFormat="false" ht="21.75" hidden="false" customHeight="true" outlineLevel="0" collapsed="false">
      <c r="B128" s="10" t="n">
        <v>122</v>
      </c>
      <c r="C128" s="20"/>
      <c r="D128" s="5"/>
      <c r="E128" s="11"/>
      <c r="F128" s="17" t="str">
        <f aca="false">IF(E128="","",IFERROR(INDEX('Plano de controle'!$D$10:$D$29,MATCH(E128,'Plano de controle'!$B$10:$B$29,0))&amp;"",""))</f>
        <v/>
      </c>
      <c r="G128" s="13" t="str">
        <f aca="false">IF(E128="","",IFERROR(INDEX('Plano de controle'!$N$10:$N$29,MATCH(E128,'Plano de controle'!$B$10:$B$29,0))&amp;"",""))</f>
        <v/>
      </c>
      <c r="H128" s="21" t="str">
        <f aca="false">IF(E128="","",IFERROR(IF(ISNUMBER(INDEX('Plano de controle'!$F$10:$F$29,MATCH(E128,'Plano de controle'!$B$10:$B$29,0))),INDEX('Plano de controle'!$F$10:$F$29,MATCH(E128,'Plano de controle'!$B$10:$B$29,0)),""),""))</f>
        <v/>
      </c>
      <c r="I128" s="21" t="str">
        <f aca="false">IF(E128="","",IFERROR(IF(ISNUMBER(INDEX('Plano de controle'!$G$10:$G$29,MATCH(E128,'Plano de controle'!$B$10:$B$29,0))),INDEX('Plano de controle'!$G$10:$G$29,MATCH(E128,'Plano de controle'!$B$10:$B$29,0)),""),""))</f>
        <v/>
      </c>
      <c r="J128" s="12"/>
      <c r="K128" s="11"/>
      <c r="L128" s="22" t="str">
        <f aca="false">IF(OR(E128="",F128=""),"",IF(AND(H128="",I128=""),IF(K128="","Falta o resultado",IF(K128="Sim","Dentro","Fora")),IF(J128="","Falta o valor",IF(AND(OR(H128="",J128&gt;=H128),OR(I128="",J128&lt;=I128)),"Dentro","Fora"))))</f>
        <v/>
      </c>
      <c r="M128" s="5"/>
      <c r="N128" s="5"/>
      <c r="O128" s="13" t="str">
        <f aca="false">IF(E128="",IF(COUNTA(C128:D128,J128:K128,M128)&gt;0,"Falta o controle",""),IF(F128="","Controle sem plano",IF(C128="","Falta a data",IF(D128="","Falta o lote ou o pedido",IF(LEFT(L128,5)="Falta",L128,IF(AND(L128="Fora",M128=""),"Fora sem reação registrada",IF(N128="","Falta quem mediu","OK")))))))</f>
        <v/>
      </c>
    </row>
    <row r="129" customFormat="false" ht="21.75" hidden="false" customHeight="true" outlineLevel="0" collapsed="false">
      <c r="B129" s="10" t="n">
        <v>123</v>
      </c>
      <c r="C129" s="20"/>
      <c r="D129" s="5"/>
      <c r="E129" s="11"/>
      <c r="F129" s="17" t="str">
        <f aca="false">IF(E129="","",IFERROR(INDEX('Plano de controle'!$D$10:$D$29,MATCH(E129,'Plano de controle'!$B$10:$B$29,0))&amp;"",""))</f>
        <v/>
      </c>
      <c r="G129" s="13" t="str">
        <f aca="false">IF(E129="","",IFERROR(INDEX('Plano de controle'!$N$10:$N$29,MATCH(E129,'Plano de controle'!$B$10:$B$29,0))&amp;"",""))</f>
        <v/>
      </c>
      <c r="H129" s="21" t="str">
        <f aca="false">IF(E129="","",IFERROR(IF(ISNUMBER(INDEX('Plano de controle'!$F$10:$F$29,MATCH(E129,'Plano de controle'!$B$10:$B$29,0))),INDEX('Plano de controle'!$F$10:$F$29,MATCH(E129,'Plano de controle'!$B$10:$B$29,0)),""),""))</f>
        <v/>
      </c>
      <c r="I129" s="21" t="str">
        <f aca="false">IF(E129="","",IFERROR(IF(ISNUMBER(INDEX('Plano de controle'!$G$10:$G$29,MATCH(E129,'Plano de controle'!$B$10:$B$29,0))),INDEX('Plano de controle'!$G$10:$G$29,MATCH(E129,'Plano de controle'!$B$10:$B$29,0)),""),""))</f>
        <v/>
      </c>
      <c r="J129" s="12"/>
      <c r="K129" s="11"/>
      <c r="L129" s="22" t="str">
        <f aca="false">IF(OR(E129="",F129=""),"",IF(AND(H129="",I129=""),IF(K129="","Falta o resultado",IF(K129="Sim","Dentro","Fora")),IF(J129="","Falta o valor",IF(AND(OR(H129="",J129&gt;=H129),OR(I129="",J129&lt;=I129)),"Dentro","Fora"))))</f>
        <v/>
      </c>
      <c r="M129" s="5"/>
      <c r="N129" s="5"/>
      <c r="O129" s="13" t="str">
        <f aca="false">IF(E129="",IF(COUNTA(C129:D129,J129:K129,M129)&gt;0,"Falta o controle",""),IF(F129="","Controle sem plano",IF(C129="","Falta a data",IF(D129="","Falta o lote ou o pedido",IF(LEFT(L129,5)="Falta",L129,IF(AND(L129="Fora",M129=""),"Fora sem reação registrada",IF(N129="","Falta quem mediu","OK")))))))</f>
        <v/>
      </c>
    </row>
    <row r="130" customFormat="false" ht="21.75" hidden="false" customHeight="true" outlineLevel="0" collapsed="false">
      <c r="B130" s="10" t="n">
        <v>124</v>
      </c>
      <c r="C130" s="20"/>
      <c r="D130" s="5"/>
      <c r="E130" s="11"/>
      <c r="F130" s="17" t="str">
        <f aca="false">IF(E130="","",IFERROR(INDEX('Plano de controle'!$D$10:$D$29,MATCH(E130,'Plano de controle'!$B$10:$B$29,0))&amp;"",""))</f>
        <v/>
      </c>
      <c r="G130" s="13" t="str">
        <f aca="false">IF(E130="","",IFERROR(INDEX('Plano de controle'!$N$10:$N$29,MATCH(E130,'Plano de controle'!$B$10:$B$29,0))&amp;"",""))</f>
        <v/>
      </c>
      <c r="H130" s="21" t="str">
        <f aca="false">IF(E130="","",IFERROR(IF(ISNUMBER(INDEX('Plano de controle'!$F$10:$F$29,MATCH(E130,'Plano de controle'!$B$10:$B$29,0))),INDEX('Plano de controle'!$F$10:$F$29,MATCH(E130,'Plano de controle'!$B$10:$B$29,0)),""),""))</f>
        <v/>
      </c>
      <c r="I130" s="21" t="str">
        <f aca="false">IF(E130="","",IFERROR(IF(ISNUMBER(INDEX('Plano de controle'!$G$10:$G$29,MATCH(E130,'Plano de controle'!$B$10:$B$29,0))),INDEX('Plano de controle'!$G$10:$G$29,MATCH(E130,'Plano de controle'!$B$10:$B$29,0)),""),""))</f>
        <v/>
      </c>
      <c r="J130" s="12"/>
      <c r="K130" s="11"/>
      <c r="L130" s="22" t="str">
        <f aca="false">IF(OR(E130="",F130=""),"",IF(AND(H130="",I130=""),IF(K130="","Falta o resultado",IF(K130="Sim","Dentro","Fora")),IF(J130="","Falta o valor",IF(AND(OR(H130="",J130&gt;=H130),OR(I130="",J130&lt;=I130)),"Dentro","Fora"))))</f>
        <v/>
      </c>
      <c r="M130" s="5"/>
      <c r="N130" s="5"/>
      <c r="O130" s="13" t="str">
        <f aca="false">IF(E130="",IF(COUNTA(C130:D130,J130:K130,M130)&gt;0,"Falta o controle",""),IF(F130="","Controle sem plano",IF(C130="","Falta a data",IF(D130="","Falta o lote ou o pedido",IF(LEFT(L130,5)="Falta",L130,IF(AND(L130="Fora",M130=""),"Fora sem reação registrada",IF(N130="","Falta quem mediu","OK")))))))</f>
        <v/>
      </c>
    </row>
    <row r="131" customFormat="false" ht="21.75" hidden="false" customHeight="true" outlineLevel="0" collapsed="false">
      <c r="B131" s="10" t="n">
        <v>125</v>
      </c>
      <c r="C131" s="20"/>
      <c r="D131" s="5"/>
      <c r="E131" s="11"/>
      <c r="F131" s="17" t="str">
        <f aca="false">IF(E131="","",IFERROR(INDEX('Plano de controle'!$D$10:$D$29,MATCH(E131,'Plano de controle'!$B$10:$B$29,0))&amp;"",""))</f>
        <v/>
      </c>
      <c r="G131" s="13" t="str">
        <f aca="false">IF(E131="","",IFERROR(INDEX('Plano de controle'!$N$10:$N$29,MATCH(E131,'Plano de controle'!$B$10:$B$29,0))&amp;"",""))</f>
        <v/>
      </c>
      <c r="H131" s="21" t="str">
        <f aca="false">IF(E131="","",IFERROR(IF(ISNUMBER(INDEX('Plano de controle'!$F$10:$F$29,MATCH(E131,'Plano de controle'!$B$10:$B$29,0))),INDEX('Plano de controle'!$F$10:$F$29,MATCH(E131,'Plano de controle'!$B$10:$B$29,0)),""),""))</f>
        <v/>
      </c>
      <c r="I131" s="21" t="str">
        <f aca="false">IF(E131="","",IFERROR(IF(ISNUMBER(INDEX('Plano de controle'!$G$10:$G$29,MATCH(E131,'Plano de controle'!$B$10:$B$29,0))),INDEX('Plano de controle'!$G$10:$G$29,MATCH(E131,'Plano de controle'!$B$10:$B$29,0)),""),""))</f>
        <v/>
      </c>
      <c r="J131" s="12"/>
      <c r="K131" s="11"/>
      <c r="L131" s="22" t="str">
        <f aca="false">IF(OR(E131="",F131=""),"",IF(AND(H131="",I131=""),IF(K131="","Falta o resultado",IF(K131="Sim","Dentro","Fora")),IF(J131="","Falta o valor",IF(AND(OR(H131="",J131&gt;=H131),OR(I131="",J131&lt;=I131)),"Dentro","Fora"))))</f>
        <v/>
      </c>
      <c r="M131" s="5"/>
      <c r="N131" s="5"/>
      <c r="O131" s="13" t="str">
        <f aca="false">IF(E131="",IF(COUNTA(C131:D131,J131:K131,M131)&gt;0,"Falta o controle",""),IF(F131="","Controle sem plano",IF(C131="","Falta a data",IF(D131="","Falta o lote ou o pedido",IF(LEFT(L131,5)="Falta",L131,IF(AND(L131="Fora",M131=""),"Fora sem reação registrada",IF(N131="","Falta quem mediu","OK")))))))</f>
        <v/>
      </c>
    </row>
    <row r="132" customFormat="false" ht="21.75" hidden="false" customHeight="true" outlineLevel="0" collapsed="false">
      <c r="B132" s="10" t="n">
        <v>126</v>
      </c>
      <c r="C132" s="20"/>
      <c r="D132" s="5"/>
      <c r="E132" s="11"/>
      <c r="F132" s="17" t="str">
        <f aca="false">IF(E132="","",IFERROR(INDEX('Plano de controle'!$D$10:$D$29,MATCH(E132,'Plano de controle'!$B$10:$B$29,0))&amp;"",""))</f>
        <v/>
      </c>
      <c r="G132" s="13" t="str">
        <f aca="false">IF(E132="","",IFERROR(INDEX('Plano de controle'!$N$10:$N$29,MATCH(E132,'Plano de controle'!$B$10:$B$29,0))&amp;"",""))</f>
        <v/>
      </c>
      <c r="H132" s="21" t="str">
        <f aca="false">IF(E132="","",IFERROR(IF(ISNUMBER(INDEX('Plano de controle'!$F$10:$F$29,MATCH(E132,'Plano de controle'!$B$10:$B$29,0))),INDEX('Plano de controle'!$F$10:$F$29,MATCH(E132,'Plano de controle'!$B$10:$B$29,0)),""),""))</f>
        <v/>
      </c>
      <c r="I132" s="21" t="str">
        <f aca="false">IF(E132="","",IFERROR(IF(ISNUMBER(INDEX('Plano de controle'!$G$10:$G$29,MATCH(E132,'Plano de controle'!$B$10:$B$29,0))),INDEX('Plano de controle'!$G$10:$G$29,MATCH(E132,'Plano de controle'!$B$10:$B$29,0)),""),""))</f>
        <v/>
      </c>
      <c r="J132" s="12"/>
      <c r="K132" s="11"/>
      <c r="L132" s="22" t="str">
        <f aca="false">IF(OR(E132="",F132=""),"",IF(AND(H132="",I132=""),IF(K132="","Falta o resultado",IF(K132="Sim","Dentro","Fora")),IF(J132="","Falta o valor",IF(AND(OR(H132="",J132&gt;=H132),OR(I132="",J132&lt;=I132)),"Dentro","Fora"))))</f>
        <v/>
      </c>
      <c r="M132" s="5"/>
      <c r="N132" s="5"/>
      <c r="O132" s="13" t="str">
        <f aca="false">IF(E132="",IF(COUNTA(C132:D132,J132:K132,M132)&gt;0,"Falta o controle",""),IF(F132="","Controle sem plano",IF(C132="","Falta a data",IF(D132="","Falta o lote ou o pedido",IF(LEFT(L132,5)="Falta",L132,IF(AND(L132="Fora",M132=""),"Fora sem reação registrada",IF(N132="","Falta quem mediu","OK")))))))</f>
        <v/>
      </c>
    </row>
    <row r="133" customFormat="false" ht="21.75" hidden="false" customHeight="true" outlineLevel="0" collapsed="false">
      <c r="B133" s="10" t="n">
        <v>127</v>
      </c>
      <c r="C133" s="20"/>
      <c r="D133" s="5"/>
      <c r="E133" s="11"/>
      <c r="F133" s="17" t="str">
        <f aca="false">IF(E133="","",IFERROR(INDEX('Plano de controle'!$D$10:$D$29,MATCH(E133,'Plano de controle'!$B$10:$B$29,0))&amp;"",""))</f>
        <v/>
      </c>
      <c r="G133" s="13" t="str">
        <f aca="false">IF(E133="","",IFERROR(INDEX('Plano de controle'!$N$10:$N$29,MATCH(E133,'Plano de controle'!$B$10:$B$29,0))&amp;"",""))</f>
        <v/>
      </c>
      <c r="H133" s="21" t="str">
        <f aca="false">IF(E133="","",IFERROR(IF(ISNUMBER(INDEX('Plano de controle'!$F$10:$F$29,MATCH(E133,'Plano de controle'!$B$10:$B$29,0))),INDEX('Plano de controle'!$F$10:$F$29,MATCH(E133,'Plano de controle'!$B$10:$B$29,0)),""),""))</f>
        <v/>
      </c>
      <c r="I133" s="21" t="str">
        <f aca="false">IF(E133="","",IFERROR(IF(ISNUMBER(INDEX('Plano de controle'!$G$10:$G$29,MATCH(E133,'Plano de controle'!$B$10:$B$29,0))),INDEX('Plano de controle'!$G$10:$G$29,MATCH(E133,'Plano de controle'!$B$10:$B$29,0)),""),""))</f>
        <v/>
      </c>
      <c r="J133" s="12"/>
      <c r="K133" s="11"/>
      <c r="L133" s="22" t="str">
        <f aca="false">IF(OR(E133="",F133=""),"",IF(AND(H133="",I133=""),IF(K133="","Falta o resultado",IF(K133="Sim","Dentro","Fora")),IF(J133="","Falta o valor",IF(AND(OR(H133="",J133&gt;=H133),OR(I133="",J133&lt;=I133)),"Dentro","Fora"))))</f>
        <v/>
      </c>
      <c r="M133" s="5"/>
      <c r="N133" s="5"/>
      <c r="O133" s="13" t="str">
        <f aca="false">IF(E133="",IF(COUNTA(C133:D133,J133:K133,M133)&gt;0,"Falta o controle",""),IF(F133="","Controle sem plano",IF(C133="","Falta a data",IF(D133="","Falta o lote ou o pedido",IF(LEFT(L133,5)="Falta",L133,IF(AND(L133="Fora",M133=""),"Fora sem reação registrada",IF(N133="","Falta quem mediu","OK")))))))</f>
        <v/>
      </c>
    </row>
    <row r="134" customFormat="false" ht="21.75" hidden="false" customHeight="true" outlineLevel="0" collapsed="false">
      <c r="B134" s="10" t="n">
        <v>128</v>
      </c>
      <c r="C134" s="20"/>
      <c r="D134" s="5"/>
      <c r="E134" s="11"/>
      <c r="F134" s="17" t="str">
        <f aca="false">IF(E134="","",IFERROR(INDEX('Plano de controle'!$D$10:$D$29,MATCH(E134,'Plano de controle'!$B$10:$B$29,0))&amp;"",""))</f>
        <v/>
      </c>
      <c r="G134" s="13" t="str">
        <f aca="false">IF(E134="","",IFERROR(INDEX('Plano de controle'!$N$10:$N$29,MATCH(E134,'Plano de controle'!$B$10:$B$29,0))&amp;"",""))</f>
        <v/>
      </c>
      <c r="H134" s="21" t="str">
        <f aca="false">IF(E134="","",IFERROR(IF(ISNUMBER(INDEX('Plano de controle'!$F$10:$F$29,MATCH(E134,'Plano de controle'!$B$10:$B$29,0))),INDEX('Plano de controle'!$F$10:$F$29,MATCH(E134,'Plano de controle'!$B$10:$B$29,0)),""),""))</f>
        <v/>
      </c>
      <c r="I134" s="21" t="str">
        <f aca="false">IF(E134="","",IFERROR(IF(ISNUMBER(INDEX('Plano de controle'!$G$10:$G$29,MATCH(E134,'Plano de controle'!$B$10:$B$29,0))),INDEX('Plano de controle'!$G$10:$G$29,MATCH(E134,'Plano de controle'!$B$10:$B$29,0)),""),""))</f>
        <v/>
      </c>
      <c r="J134" s="12"/>
      <c r="K134" s="11"/>
      <c r="L134" s="22" t="str">
        <f aca="false">IF(OR(E134="",F134=""),"",IF(AND(H134="",I134=""),IF(K134="","Falta o resultado",IF(K134="Sim","Dentro","Fora")),IF(J134="","Falta o valor",IF(AND(OR(H134="",J134&gt;=H134),OR(I134="",J134&lt;=I134)),"Dentro","Fora"))))</f>
        <v/>
      </c>
      <c r="M134" s="5"/>
      <c r="N134" s="5"/>
      <c r="O134" s="13" t="str">
        <f aca="false">IF(E134="",IF(COUNTA(C134:D134,J134:K134,M134)&gt;0,"Falta o controle",""),IF(F134="","Controle sem plano",IF(C134="","Falta a data",IF(D134="","Falta o lote ou o pedido",IF(LEFT(L134,5)="Falta",L134,IF(AND(L134="Fora",M134=""),"Fora sem reação registrada",IF(N134="","Falta quem mediu","OK")))))))</f>
        <v/>
      </c>
    </row>
    <row r="135" customFormat="false" ht="21.75" hidden="false" customHeight="true" outlineLevel="0" collapsed="false">
      <c r="B135" s="10" t="n">
        <v>129</v>
      </c>
      <c r="C135" s="20"/>
      <c r="D135" s="5"/>
      <c r="E135" s="11"/>
      <c r="F135" s="17" t="str">
        <f aca="false">IF(E135="","",IFERROR(INDEX('Plano de controle'!$D$10:$D$29,MATCH(E135,'Plano de controle'!$B$10:$B$29,0))&amp;"",""))</f>
        <v/>
      </c>
      <c r="G135" s="13" t="str">
        <f aca="false">IF(E135="","",IFERROR(INDEX('Plano de controle'!$N$10:$N$29,MATCH(E135,'Plano de controle'!$B$10:$B$29,0))&amp;"",""))</f>
        <v/>
      </c>
      <c r="H135" s="21" t="str">
        <f aca="false">IF(E135="","",IFERROR(IF(ISNUMBER(INDEX('Plano de controle'!$F$10:$F$29,MATCH(E135,'Plano de controle'!$B$10:$B$29,0))),INDEX('Plano de controle'!$F$10:$F$29,MATCH(E135,'Plano de controle'!$B$10:$B$29,0)),""),""))</f>
        <v/>
      </c>
      <c r="I135" s="21" t="str">
        <f aca="false">IF(E135="","",IFERROR(IF(ISNUMBER(INDEX('Plano de controle'!$G$10:$G$29,MATCH(E135,'Plano de controle'!$B$10:$B$29,0))),INDEX('Plano de controle'!$G$10:$G$29,MATCH(E135,'Plano de controle'!$B$10:$B$29,0)),""),""))</f>
        <v/>
      </c>
      <c r="J135" s="12"/>
      <c r="K135" s="11"/>
      <c r="L135" s="22" t="str">
        <f aca="false">IF(OR(E135="",F135=""),"",IF(AND(H135="",I135=""),IF(K135="","Falta o resultado",IF(K135="Sim","Dentro","Fora")),IF(J135="","Falta o valor",IF(AND(OR(H135="",J135&gt;=H135),OR(I135="",J135&lt;=I135)),"Dentro","Fora"))))</f>
        <v/>
      </c>
      <c r="M135" s="5"/>
      <c r="N135" s="5"/>
      <c r="O135" s="13" t="str">
        <f aca="false">IF(E135="",IF(COUNTA(C135:D135,J135:K135,M135)&gt;0,"Falta o controle",""),IF(F135="","Controle sem plano",IF(C135="","Falta a data",IF(D135="","Falta o lote ou o pedido",IF(LEFT(L135,5)="Falta",L135,IF(AND(L135="Fora",M135=""),"Fora sem reação registrada",IF(N135="","Falta quem mediu","OK")))))))</f>
        <v/>
      </c>
    </row>
    <row r="136" customFormat="false" ht="21.75" hidden="false" customHeight="true" outlineLevel="0" collapsed="false">
      <c r="B136" s="10" t="n">
        <v>130</v>
      </c>
      <c r="C136" s="20"/>
      <c r="D136" s="5"/>
      <c r="E136" s="11"/>
      <c r="F136" s="17" t="str">
        <f aca="false">IF(E136="","",IFERROR(INDEX('Plano de controle'!$D$10:$D$29,MATCH(E136,'Plano de controle'!$B$10:$B$29,0))&amp;"",""))</f>
        <v/>
      </c>
      <c r="G136" s="13" t="str">
        <f aca="false">IF(E136="","",IFERROR(INDEX('Plano de controle'!$N$10:$N$29,MATCH(E136,'Plano de controle'!$B$10:$B$29,0))&amp;"",""))</f>
        <v/>
      </c>
      <c r="H136" s="21" t="str">
        <f aca="false">IF(E136="","",IFERROR(IF(ISNUMBER(INDEX('Plano de controle'!$F$10:$F$29,MATCH(E136,'Plano de controle'!$B$10:$B$29,0))),INDEX('Plano de controle'!$F$10:$F$29,MATCH(E136,'Plano de controle'!$B$10:$B$29,0)),""),""))</f>
        <v/>
      </c>
      <c r="I136" s="21" t="str">
        <f aca="false">IF(E136="","",IFERROR(IF(ISNUMBER(INDEX('Plano de controle'!$G$10:$G$29,MATCH(E136,'Plano de controle'!$B$10:$B$29,0))),INDEX('Plano de controle'!$G$10:$G$29,MATCH(E136,'Plano de controle'!$B$10:$B$29,0)),""),""))</f>
        <v/>
      </c>
      <c r="J136" s="12"/>
      <c r="K136" s="11"/>
      <c r="L136" s="22" t="str">
        <f aca="false">IF(OR(E136="",F136=""),"",IF(AND(H136="",I136=""),IF(K136="","Falta o resultado",IF(K136="Sim","Dentro","Fora")),IF(J136="","Falta o valor",IF(AND(OR(H136="",J136&gt;=H136),OR(I136="",J136&lt;=I136)),"Dentro","Fora"))))</f>
        <v/>
      </c>
      <c r="M136" s="5"/>
      <c r="N136" s="5"/>
      <c r="O136" s="13" t="str">
        <f aca="false">IF(E136="",IF(COUNTA(C136:D136,J136:K136,M136)&gt;0,"Falta o controle",""),IF(F136="","Controle sem plano",IF(C136="","Falta a data",IF(D136="","Falta o lote ou o pedido",IF(LEFT(L136,5)="Falta",L136,IF(AND(L136="Fora",M136=""),"Fora sem reação registrada",IF(N136="","Falta quem mediu","OK")))))))</f>
        <v/>
      </c>
    </row>
    <row r="137" customFormat="false" ht="21.75" hidden="false" customHeight="true" outlineLevel="0" collapsed="false">
      <c r="B137" s="10" t="n">
        <v>131</v>
      </c>
      <c r="C137" s="20"/>
      <c r="D137" s="5"/>
      <c r="E137" s="11"/>
      <c r="F137" s="17" t="str">
        <f aca="false">IF(E137="","",IFERROR(INDEX('Plano de controle'!$D$10:$D$29,MATCH(E137,'Plano de controle'!$B$10:$B$29,0))&amp;"",""))</f>
        <v/>
      </c>
      <c r="G137" s="13" t="str">
        <f aca="false">IF(E137="","",IFERROR(INDEX('Plano de controle'!$N$10:$N$29,MATCH(E137,'Plano de controle'!$B$10:$B$29,0))&amp;"",""))</f>
        <v/>
      </c>
      <c r="H137" s="21" t="str">
        <f aca="false">IF(E137="","",IFERROR(IF(ISNUMBER(INDEX('Plano de controle'!$F$10:$F$29,MATCH(E137,'Plano de controle'!$B$10:$B$29,0))),INDEX('Plano de controle'!$F$10:$F$29,MATCH(E137,'Plano de controle'!$B$10:$B$29,0)),""),""))</f>
        <v/>
      </c>
      <c r="I137" s="21" t="str">
        <f aca="false">IF(E137="","",IFERROR(IF(ISNUMBER(INDEX('Plano de controle'!$G$10:$G$29,MATCH(E137,'Plano de controle'!$B$10:$B$29,0))),INDEX('Plano de controle'!$G$10:$G$29,MATCH(E137,'Plano de controle'!$B$10:$B$29,0)),""),""))</f>
        <v/>
      </c>
      <c r="J137" s="12"/>
      <c r="K137" s="11"/>
      <c r="L137" s="22" t="str">
        <f aca="false">IF(OR(E137="",F137=""),"",IF(AND(H137="",I137=""),IF(K137="","Falta o resultado",IF(K137="Sim","Dentro","Fora")),IF(J137="","Falta o valor",IF(AND(OR(H137="",J137&gt;=H137),OR(I137="",J137&lt;=I137)),"Dentro","Fora"))))</f>
        <v/>
      </c>
      <c r="M137" s="5"/>
      <c r="N137" s="5"/>
      <c r="O137" s="13" t="str">
        <f aca="false">IF(E137="",IF(COUNTA(C137:D137,J137:K137,M137)&gt;0,"Falta o controle",""),IF(F137="","Controle sem plano",IF(C137="","Falta a data",IF(D137="","Falta o lote ou o pedido",IF(LEFT(L137,5)="Falta",L137,IF(AND(L137="Fora",M137=""),"Fora sem reação registrada",IF(N137="","Falta quem mediu","OK")))))))</f>
        <v/>
      </c>
    </row>
    <row r="138" customFormat="false" ht="21.75" hidden="false" customHeight="true" outlineLevel="0" collapsed="false">
      <c r="B138" s="10" t="n">
        <v>132</v>
      </c>
      <c r="C138" s="20"/>
      <c r="D138" s="5"/>
      <c r="E138" s="11"/>
      <c r="F138" s="17" t="str">
        <f aca="false">IF(E138="","",IFERROR(INDEX('Plano de controle'!$D$10:$D$29,MATCH(E138,'Plano de controle'!$B$10:$B$29,0))&amp;"",""))</f>
        <v/>
      </c>
      <c r="G138" s="13" t="str">
        <f aca="false">IF(E138="","",IFERROR(INDEX('Plano de controle'!$N$10:$N$29,MATCH(E138,'Plano de controle'!$B$10:$B$29,0))&amp;"",""))</f>
        <v/>
      </c>
      <c r="H138" s="21" t="str">
        <f aca="false">IF(E138="","",IFERROR(IF(ISNUMBER(INDEX('Plano de controle'!$F$10:$F$29,MATCH(E138,'Plano de controle'!$B$10:$B$29,0))),INDEX('Plano de controle'!$F$10:$F$29,MATCH(E138,'Plano de controle'!$B$10:$B$29,0)),""),""))</f>
        <v/>
      </c>
      <c r="I138" s="21" t="str">
        <f aca="false">IF(E138="","",IFERROR(IF(ISNUMBER(INDEX('Plano de controle'!$G$10:$G$29,MATCH(E138,'Plano de controle'!$B$10:$B$29,0))),INDEX('Plano de controle'!$G$10:$G$29,MATCH(E138,'Plano de controle'!$B$10:$B$29,0)),""),""))</f>
        <v/>
      </c>
      <c r="J138" s="12"/>
      <c r="K138" s="11"/>
      <c r="L138" s="22" t="str">
        <f aca="false">IF(OR(E138="",F138=""),"",IF(AND(H138="",I138=""),IF(K138="","Falta o resultado",IF(K138="Sim","Dentro","Fora")),IF(J138="","Falta o valor",IF(AND(OR(H138="",J138&gt;=H138),OR(I138="",J138&lt;=I138)),"Dentro","Fora"))))</f>
        <v/>
      </c>
      <c r="M138" s="5"/>
      <c r="N138" s="5"/>
      <c r="O138" s="13" t="str">
        <f aca="false">IF(E138="",IF(COUNTA(C138:D138,J138:K138,M138)&gt;0,"Falta o controle",""),IF(F138="","Controle sem plano",IF(C138="","Falta a data",IF(D138="","Falta o lote ou o pedido",IF(LEFT(L138,5)="Falta",L138,IF(AND(L138="Fora",M138=""),"Fora sem reação registrada",IF(N138="","Falta quem mediu","OK")))))))</f>
        <v/>
      </c>
    </row>
    <row r="139" customFormat="false" ht="21.75" hidden="false" customHeight="true" outlineLevel="0" collapsed="false">
      <c r="B139" s="10" t="n">
        <v>133</v>
      </c>
      <c r="C139" s="20"/>
      <c r="D139" s="5"/>
      <c r="E139" s="11"/>
      <c r="F139" s="17" t="str">
        <f aca="false">IF(E139="","",IFERROR(INDEX('Plano de controle'!$D$10:$D$29,MATCH(E139,'Plano de controle'!$B$10:$B$29,0))&amp;"",""))</f>
        <v/>
      </c>
      <c r="G139" s="13" t="str">
        <f aca="false">IF(E139="","",IFERROR(INDEX('Plano de controle'!$N$10:$N$29,MATCH(E139,'Plano de controle'!$B$10:$B$29,0))&amp;"",""))</f>
        <v/>
      </c>
      <c r="H139" s="21" t="str">
        <f aca="false">IF(E139="","",IFERROR(IF(ISNUMBER(INDEX('Plano de controle'!$F$10:$F$29,MATCH(E139,'Plano de controle'!$B$10:$B$29,0))),INDEX('Plano de controle'!$F$10:$F$29,MATCH(E139,'Plano de controle'!$B$10:$B$29,0)),""),""))</f>
        <v/>
      </c>
      <c r="I139" s="21" t="str">
        <f aca="false">IF(E139="","",IFERROR(IF(ISNUMBER(INDEX('Plano de controle'!$G$10:$G$29,MATCH(E139,'Plano de controle'!$B$10:$B$29,0))),INDEX('Plano de controle'!$G$10:$G$29,MATCH(E139,'Plano de controle'!$B$10:$B$29,0)),""),""))</f>
        <v/>
      </c>
      <c r="J139" s="12"/>
      <c r="K139" s="11"/>
      <c r="L139" s="22" t="str">
        <f aca="false">IF(OR(E139="",F139=""),"",IF(AND(H139="",I139=""),IF(K139="","Falta o resultado",IF(K139="Sim","Dentro","Fora")),IF(J139="","Falta o valor",IF(AND(OR(H139="",J139&gt;=H139),OR(I139="",J139&lt;=I139)),"Dentro","Fora"))))</f>
        <v/>
      </c>
      <c r="M139" s="5"/>
      <c r="N139" s="5"/>
      <c r="O139" s="13" t="str">
        <f aca="false">IF(E139="",IF(COUNTA(C139:D139,J139:K139,M139)&gt;0,"Falta o controle",""),IF(F139="","Controle sem plano",IF(C139="","Falta a data",IF(D139="","Falta o lote ou o pedido",IF(LEFT(L139,5)="Falta",L139,IF(AND(L139="Fora",M139=""),"Fora sem reação registrada",IF(N139="","Falta quem mediu","OK")))))))</f>
        <v/>
      </c>
    </row>
    <row r="140" customFormat="false" ht="21.75" hidden="false" customHeight="true" outlineLevel="0" collapsed="false">
      <c r="B140" s="10" t="n">
        <v>134</v>
      </c>
      <c r="C140" s="20"/>
      <c r="D140" s="5"/>
      <c r="E140" s="11"/>
      <c r="F140" s="17" t="str">
        <f aca="false">IF(E140="","",IFERROR(INDEX('Plano de controle'!$D$10:$D$29,MATCH(E140,'Plano de controle'!$B$10:$B$29,0))&amp;"",""))</f>
        <v/>
      </c>
      <c r="G140" s="13" t="str">
        <f aca="false">IF(E140="","",IFERROR(INDEX('Plano de controle'!$N$10:$N$29,MATCH(E140,'Plano de controle'!$B$10:$B$29,0))&amp;"",""))</f>
        <v/>
      </c>
      <c r="H140" s="21" t="str">
        <f aca="false">IF(E140="","",IFERROR(IF(ISNUMBER(INDEX('Plano de controle'!$F$10:$F$29,MATCH(E140,'Plano de controle'!$B$10:$B$29,0))),INDEX('Plano de controle'!$F$10:$F$29,MATCH(E140,'Plano de controle'!$B$10:$B$29,0)),""),""))</f>
        <v/>
      </c>
      <c r="I140" s="21" t="str">
        <f aca="false">IF(E140="","",IFERROR(IF(ISNUMBER(INDEX('Plano de controle'!$G$10:$G$29,MATCH(E140,'Plano de controle'!$B$10:$B$29,0))),INDEX('Plano de controle'!$G$10:$G$29,MATCH(E140,'Plano de controle'!$B$10:$B$29,0)),""),""))</f>
        <v/>
      </c>
      <c r="J140" s="12"/>
      <c r="K140" s="11"/>
      <c r="L140" s="22" t="str">
        <f aca="false">IF(OR(E140="",F140=""),"",IF(AND(H140="",I140=""),IF(K140="","Falta o resultado",IF(K140="Sim","Dentro","Fora")),IF(J140="","Falta o valor",IF(AND(OR(H140="",J140&gt;=H140),OR(I140="",J140&lt;=I140)),"Dentro","Fora"))))</f>
        <v/>
      </c>
      <c r="M140" s="5"/>
      <c r="N140" s="5"/>
      <c r="O140" s="13" t="str">
        <f aca="false">IF(E140="",IF(COUNTA(C140:D140,J140:K140,M140)&gt;0,"Falta o controle",""),IF(F140="","Controle sem plano",IF(C140="","Falta a data",IF(D140="","Falta o lote ou o pedido",IF(LEFT(L140,5)="Falta",L140,IF(AND(L140="Fora",M140=""),"Fora sem reação registrada",IF(N140="","Falta quem mediu","OK")))))))</f>
        <v/>
      </c>
    </row>
    <row r="141" customFormat="false" ht="21.75" hidden="false" customHeight="true" outlineLevel="0" collapsed="false">
      <c r="B141" s="10" t="n">
        <v>135</v>
      </c>
      <c r="C141" s="20"/>
      <c r="D141" s="5"/>
      <c r="E141" s="11"/>
      <c r="F141" s="17" t="str">
        <f aca="false">IF(E141="","",IFERROR(INDEX('Plano de controle'!$D$10:$D$29,MATCH(E141,'Plano de controle'!$B$10:$B$29,0))&amp;"",""))</f>
        <v/>
      </c>
      <c r="G141" s="13" t="str">
        <f aca="false">IF(E141="","",IFERROR(INDEX('Plano de controle'!$N$10:$N$29,MATCH(E141,'Plano de controle'!$B$10:$B$29,0))&amp;"",""))</f>
        <v/>
      </c>
      <c r="H141" s="21" t="str">
        <f aca="false">IF(E141="","",IFERROR(IF(ISNUMBER(INDEX('Plano de controle'!$F$10:$F$29,MATCH(E141,'Plano de controle'!$B$10:$B$29,0))),INDEX('Plano de controle'!$F$10:$F$29,MATCH(E141,'Plano de controle'!$B$10:$B$29,0)),""),""))</f>
        <v/>
      </c>
      <c r="I141" s="21" t="str">
        <f aca="false">IF(E141="","",IFERROR(IF(ISNUMBER(INDEX('Plano de controle'!$G$10:$G$29,MATCH(E141,'Plano de controle'!$B$10:$B$29,0))),INDEX('Plano de controle'!$G$10:$G$29,MATCH(E141,'Plano de controle'!$B$10:$B$29,0)),""),""))</f>
        <v/>
      </c>
      <c r="J141" s="12"/>
      <c r="K141" s="11"/>
      <c r="L141" s="22" t="str">
        <f aca="false">IF(OR(E141="",F141=""),"",IF(AND(H141="",I141=""),IF(K141="","Falta o resultado",IF(K141="Sim","Dentro","Fora")),IF(J141="","Falta o valor",IF(AND(OR(H141="",J141&gt;=H141),OR(I141="",J141&lt;=I141)),"Dentro","Fora"))))</f>
        <v/>
      </c>
      <c r="M141" s="5"/>
      <c r="N141" s="5"/>
      <c r="O141" s="13" t="str">
        <f aca="false">IF(E141="",IF(COUNTA(C141:D141,J141:K141,M141)&gt;0,"Falta o controle",""),IF(F141="","Controle sem plano",IF(C141="","Falta a data",IF(D141="","Falta o lote ou o pedido",IF(LEFT(L141,5)="Falta",L141,IF(AND(L141="Fora",M141=""),"Fora sem reação registrada",IF(N141="","Falta quem mediu","OK")))))))</f>
        <v/>
      </c>
    </row>
    <row r="142" customFormat="false" ht="21.75" hidden="false" customHeight="true" outlineLevel="0" collapsed="false">
      <c r="B142" s="10" t="n">
        <v>136</v>
      </c>
      <c r="C142" s="20"/>
      <c r="D142" s="5"/>
      <c r="E142" s="11"/>
      <c r="F142" s="17" t="str">
        <f aca="false">IF(E142="","",IFERROR(INDEX('Plano de controle'!$D$10:$D$29,MATCH(E142,'Plano de controle'!$B$10:$B$29,0))&amp;"",""))</f>
        <v/>
      </c>
      <c r="G142" s="13" t="str">
        <f aca="false">IF(E142="","",IFERROR(INDEX('Plano de controle'!$N$10:$N$29,MATCH(E142,'Plano de controle'!$B$10:$B$29,0))&amp;"",""))</f>
        <v/>
      </c>
      <c r="H142" s="21" t="str">
        <f aca="false">IF(E142="","",IFERROR(IF(ISNUMBER(INDEX('Plano de controle'!$F$10:$F$29,MATCH(E142,'Plano de controle'!$B$10:$B$29,0))),INDEX('Plano de controle'!$F$10:$F$29,MATCH(E142,'Plano de controle'!$B$10:$B$29,0)),""),""))</f>
        <v/>
      </c>
      <c r="I142" s="21" t="str">
        <f aca="false">IF(E142="","",IFERROR(IF(ISNUMBER(INDEX('Plano de controle'!$G$10:$G$29,MATCH(E142,'Plano de controle'!$B$10:$B$29,0))),INDEX('Plano de controle'!$G$10:$G$29,MATCH(E142,'Plano de controle'!$B$10:$B$29,0)),""),""))</f>
        <v/>
      </c>
      <c r="J142" s="12"/>
      <c r="K142" s="11"/>
      <c r="L142" s="22" t="str">
        <f aca="false">IF(OR(E142="",F142=""),"",IF(AND(H142="",I142=""),IF(K142="","Falta o resultado",IF(K142="Sim","Dentro","Fora")),IF(J142="","Falta o valor",IF(AND(OR(H142="",J142&gt;=H142),OR(I142="",J142&lt;=I142)),"Dentro","Fora"))))</f>
        <v/>
      </c>
      <c r="M142" s="5"/>
      <c r="N142" s="5"/>
      <c r="O142" s="13" t="str">
        <f aca="false">IF(E142="",IF(COUNTA(C142:D142,J142:K142,M142)&gt;0,"Falta o controle",""),IF(F142="","Controle sem plano",IF(C142="","Falta a data",IF(D142="","Falta o lote ou o pedido",IF(LEFT(L142,5)="Falta",L142,IF(AND(L142="Fora",M142=""),"Fora sem reação registrada",IF(N142="","Falta quem mediu","OK")))))))</f>
        <v/>
      </c>
    </row>
    <row r="143" customFormat="false" ht="21.75" hidden="false" customHeight="true" outlineLevel="0" collapsed="false">
      <c r="B143" s="10" t="n">
        <v>137</v>
      </c>
      <c r="C143" s="20"/>
      <c r="D143" s="5"/>
      <c r="E143" s="11"/>
      <c r="F143" s="17" t="str">
        <f aca="false">IF(E143="","",IFERROR(INDEX('Plano de controle'!$D$10:$D$29,MATCH(E143,'Plano de controle'!$B$10:$B$29,0))&amp;"",""))</f>
        <v/>
      </c>
      <c r="G143" s="13" t="str">
        <f aca="false">IF(E143="","",IFERROR(INDEX('Plano de controle'!$N$10:$N$29,MATCH(E143,'Plano de controle'!$B$10:$B$29,0))&amp;"",""))</f>
        <v/>
      </c>
      <c r="H143" s="21" t="str">
        <f aca="false">IF(E143="","",IFERROR(IF(ISNUMBER(INDEX('Plano de controle'!$F$10:$F$29,MATCH(E143,'Plano de controle'!$B$10:$B$29,0))),INDEX('Plano de controle'!$F$10:$F$29,MATCH(E143,'Plano de controle'!$B$10:$B$29,0)),""),""))</f>
        <v/>
      </c>
      <c r="I143" s="21" t="str">
        <f aca="false">IF(E143="","",IFERROR(IF(ISNUMBER(INDEX('Plano de controle'!$G$10:$G$29,MATCH(E143,'Plano de controle'!$B$10:$B$29,0))),INDEX('Plano de controle'!$G$10:$G$29,MATCH(E143,'Plano de controle'!$B$10:$B$29,0)),""),""))</f>
        <v/>
      </c>
      <c r="J143" s="12"/>
      <c r="K143" s="11"/>
      <c r="L143" s="22" t="str">
        <f aca="false">IF(OR(E143="",F143=""),"",IF(AND(H143="",I143=""),IF(K143="","Falta o resultado",IF(K143="Sim","Dentro","Fora")),IF(J143="","Falta o valor",IF(AND(OR(H143="",J143&gt;=H143),OR(I143="",J143&lt;=I143)),"Dentro","Fora"))))</f>
        <v/>
      </c>
      <c r="M143" s="5"/>
      <c r="N143" s="5"/>
      <c r="O143" s="13" t="str">
        <f aca="false">IF(E143="",IF(COUNTA(C143:D143,J143:K143,M143)&gt;0,"Falta o controle",""),IF(F143="","Controle sem plano",IF(C143="","Falta a data",IF(D143="","Falta o lote ou o pedido",IF(LEFT(L143,5)="Falta",L143,IF(AND(L143="Fora",M143=""),"Fora sem reação registrada",IF(N143="","Falta quem mediu","OK")))))))</f>
        <v/>
      </c>
    </row>
    <row r="144" customFormat="false" ht="21.75" hidden="false" customHeight="true" outlineLevel="0" collapsed="false">
      <c r="B144" s="10" t="n">
        <v>138</v>
      </c>
      <c r="C144" s="20"/>
      <c r="D144" s="5"/>
      <c r="E144" s="11"/>
      <c r="F144" s="17" t="str">
        <f aca="false">IF(E144="","",IFERROR(INDEX('Plano de controle'!$D$10:$D$29,MATCH(E144,'Plano de controle'!$B$10:$B$29,0))&amp;"",""))</f>
        <v/>
      </c>
      <c r="G144" s="13" t="str">
        <f aca="false">IF(E144="","",IFERROR(INDEX('Plano de controle'!$N$10:$N$29,MATCH(E144,'Plano de controle'!$B$10:$B$29,0))&amp;"",""))</f>
        <v/>
      </c>
      <c r="H144" s="21" t="str">
        <f aca="false">IF(E144="","",IFERROR(IF(ISNUMBER(INDEX('Plano de controle'!$F$10:$F$29,MATCH(E144,'Plano de controle'!$B$10:$B$29,0))),INDEX('Plano de controle'!$F$10:$F$29,MATCH(E144,'Plano de controle'!$B$10:$B$29,0)),""),""))</f>
        <v/>
      </c>
      <c r="I144" s="21" t="str">
        <f aca="false">IF(E144="","",IFERROR(IF(ISNUMBER(INDEX('Plano de controle'!$G$10:$G$29,MATCH(E144,'Plano de controle'!$B$10:$B$29,0))),INDEX('Plano de controle'!$G$10:$G$29,MATCH(E144,'Plano de controle'!$B$10:$B$29,0)),""),""))</f>
        <v/>
      </c>
      <c r="J144" s="12"/>
      <c r="K144" s="11"/>
      <c r="L144" s="22" t="str">
        <f aca="false">IF(OR(E144="",F144=""),"",IF(AND(H144="",I144=""),IF(K144="","Falta o resultado",IF(K144="Sim","Dentro","Fora")),IF(J144="","Falta o valor",IF(AND(OR(H144="",J144&gt;=H144),OR(I144="",J144&lt;=I144)),"Dentro","Fora"))))</f>
        <v/>
      </c>
      <c r="M144" s="5"/>
      <c r="N144" s="5"/>
      <c r="O144" s="13" t="str">
        <f aca="false">IF(E144="",IF(COUNTA(C144:D144,J144:K144,M144)&gt;0,"Falta o controle",""),IF(F144="","Controle sem plano",IF(C144="","Falta a data",IF(D144="","Falta o lote ou o pedido",IF(LEFT(L144,5)="Falta",L144,IF(AND(L144="Fora",M144=""),"Fora sem reação registrada",IF(N144="","Falta quem mediu","OK")))))))</f>
        <v/>
      </c>
    </row>
    <row r="145" customFormat="false" ht="21.75" hidden="false" customHeight="true" outlineLevel="0" collapsed="false">
      <c r="B145" s="10" t="n">
        <v>139</v>
      </c>
      <c r="C145" s="20"/>
      <c r="D145" s="5"/>
      <c r="E145" s="11"/>
      <c r="F145" s="17" t="str">
        <f aca="false">IF(E145="","",IFERROR(INDEX('Plano de controle'!$D$10:$D$29,MATCH(E145,'Plano de controle'!$B$10:$B$29,0))&amp;"",""))</f>
        <v/>
      </c>
      <c r="G145" s="13" t="str">
        <f aca="false">IF(E145="","",IFERROR(INDEX('Plano de controle'!$N$10:$N$29,MATCH(E145,'Plano de controle'!$B$10:$B$29,0))&amp;"",""))</f>
        <v/>
      </c>
      <c r="H145" s="21" t="str">
        <f aca="false">IF(E145="","",IFERROR(IF(ISNUMBER(INDEX('Plano de controle'!$F$10:$F$29,MATCH(E145,'Plano de controle'!$B$10:$B$29,0))),INDEX('Plano de controle'!$F$10:$F$29,MATCH(E145,'Plano de controle'!$B$10:$B$29,0)),""),""))</f>
        <v/>
      </c>
      <c r="I145" s="21" t="str">
        <f aca="false">IF(E145="","",IFERROR(IF(ISNUMBER(INDEX('Plano de controle'!$G$10:$G$29,MATCH(E145,'Plano de controle'!$B$10:$B$29,0))),INDEX('Plano de controle'!$G$10:$G$29,MATCH(E145,'Plano de controle'!$B$10:$B$29,0)),""),""))</f>
        <v/>
      </c>
      <c r="J145" s="12"/>
      <c r="K145" s="11"/>
      <c r="L145" s="22" t="str">
        <f aca="false">IF(OR(E145="",F145=""),"",IF(AND(H145="",I145=""),IF(K145="","Falta o resultado",IF(K145="Sim","Dentro","Fora")),IF(J145="","Falta o valor",IF(AND(OR(H145="",J145&gt;=H145),OR(I145="",J145&lt;=I145)),"Dentro","Fora"))))</f>
        <v/>
      </c>
      <c r="M145" s="5"/>
      <c r="N145" s="5"/>
      <c r="O145" s="13" t="str">
        <f aca="false">IF(E145="",IF(COUNTA(C145:D145,J145:K145,M145)&gt;0,"Falta o controle",""),IF(F145="","Controle sem plano",IF(C145="","Falta a data",IF(D145="","Falta o lote ou o pedido",IF(LEFT(L145,5)="Falta",L145,IF(AND(L145="Fora",M145=""),"Fora sem reação registrada",IF(N145="","Falta quem mediu","OK")))))))</f>
        <v/>
      </c>
    </row>
    <row r="146" customFormat="false" ht="21.75" hidden="false" customHeight="true" outlineLevel="0" collapsed="false">
      <c r="B146" s="10" t="n">
        <v>140</v>
      </c>
      <c r="C146" s="20"/>
      <c r="D146" s="5"/>
      <c r="E146" s="11"/>
      <c r="F146" s="17" t="str">
        <f aca="false">IF(E146="","",IFERROR(INDEX('Plano de controle'!$D$10:$D$29,MATCH(E146,'Plano de controle'!$B$10:$B$29,0))&amp;"",""))</f>
        <v/>
      </c>
      <c r="G146" s="13" t="str">
        <f aca="false">IF(E146="","",IFERROR(INDEX('Plano de controle'!$N$10:$N$29,MATCH(E146,'Plano de controle'!$B$10:$B$29,0))&amp;"",""))</f>
        <v/>
      </c>
      <c r="H146" s="21" t="str">
        <f aca="false">IF(E146="","",IFERROR(IF(ISNUMBER(INDEX('Plano de controle'!$F$10:$F$29,MATCH(E146,'Plano de controle'!$B$10:$B$29,0))),INDEX('Plano de controle'!$F$10:$F$29,MATCH(E146,'Plano de controle'!$B$10:$B$29,0)),""),""))</f>
        <v/>
      </c>
      <c r="I146" s="21" t="str">
        <f aca="false">IF(E146="","",IFERROR(IF(ISNUMBER(INDEX('Plano de controle'!$G$10:$G$29,MATCH(E146,'Plano de controle'!$B$10:$B$29,0))),INDEX('Plano de controle'!$G$10:$G$29,MATCH(E146,'Plano de controle'!$B$10:$B$29,0)),""),""))</f>
        <v/>
      </c>
      <c r="J146" s="12"/>
      <c r="K146" s="11"/>
      <c r="L146" s="22" t="str">
        <f aca="false">IF(OR(E146="",F146=""),"",IF(AND(H146="",I146=""),IF(K146="","Falta o resultado",IF(K146="Sim","Dentro","Fora")),IF(J146="","Falta o valor",IF(AND(OR(H146="",J146&gt;=H146),OR(I146="",J146&lt;=I146)),"Dentro","Fora"))))</f>
        <v/>
      </c>
      <c r="M146" s="5"/>
      <c r="N146" s="5"/>
      <c r="O146" s="13" t="str">
        <f aca="false">IF(E146="",IF(COUNTA(C146:D146,J146:K146,M146)&gt;0,"Falta o controle",""),IF(F146="","Controle sem plano",IF(C146="","Falta a data",IF(D146="","Falta o lote ou o pedido",IF(LEFT(L146,5)="Falta",L146,IF(AND(L146="Fora",M146=""),"Fora sem reação registrada",IF(N146="","Falta quem mediu","OK")))))))</f>
        <v/>
      </c>
    </row>
    <row r="147" customFormat="false" ht="21.75" hidden="false" customHeight="true" outlineLevel="0" collapsed="false">
      <c r="B147" s="10" t="n">
        <v>141</v>
      </c>
      <c r="C147" s="20"/>
      <c r="D147" s="5"/>
      <c r="E147" s="11"/>
      <c r="F147" s="17" t="str">
        <f aca="false">IF(E147="","",IFERROR(INDEX('Plano de controle'!$D$10:$D$29,MATCH(E147,'Plano de controle'!$B$10:$B$29,0))&amp;"",""))</f>
        <v/>
      </c>
      <c r="G147" s="13" t="str">
        <f aca="false">IF(E147="","",IFERROR(INDEX('Plano de controle'!$N$10:$N$29,MATCH(E147,'Plano de controle'!$B$10:$B$29,0))&amp;"",""))</f>
        <v/>
      </c>
      <c r="H147" s="21" t="str">
        <f aca="false">IF(E147="","",IFERROR(IF(ISNUMBER(INDEX('Plano de controle'!$F$10:$F$29,MATCH(E147,'Plano de controle'!$B$10:$B$29,0))),INDEX('Plano de controle'!$F$10:$F$29,MATCH(E147,'Plano de controle'!$B$10:$B$29,0)),""),""))</f>
        <v/>
      </c>
      <c r="I147" s="21" t="str">
        <f aca="false">IF(E147="","",IFERROR(IF(ISNUMBER(INDEX('Plano de controle'!$G$10:$G$29,MATCH(E147,'Plano de controle'!$B$10:$B$29,0))),INDEX('Plano de controle'!$G$10:$G$29,MATCH(E147,'Plano de controle'!$B$10:$B$29,0)),""),""))</f>
        <v/>
      </c>
      <c r="J147" s="12"/>
      <c r="K147" s="11"/>
      <c r="L147" s="22" t="str">
        <f aca="false">IF(OR(E147="",F147=""),"",IF(AND(H147="",I147=""),IF(K147="","Falta o resultado",IF(K147="Sim","Dentro","Fora")),IF(J147="","Falta o valor",IF(AND(OR(H147="",J147&gt;=H147),OR(I147="",J147&lt;=I147)),"Dentro","Fora"))))</f>
        <v/>
      </c>
      <c r="M147" s="5"/>
      <c r="N147" s="5"/>
      <c r="O147" s="13" t="str">
        <f aca="false">IF(E147="",IF(COUNTA(C147:D147,J147:K147,M147)&gt;0,"Falta o controle",""),IF(F147="","Controle sem plano",IF(C147="","Falta a data",IF(D147="","Falta o lote ou o pedido",IF(LEFT(L147,5)="Falta",L147,IF(AND(L147="Fora",M147=""),"Fora sem reação registrada",IF(N147="","Falta quem mediu","OK")))))))</f>
        <v/>
      </c>
    </row>
    <row r="148" customFormat="false" ht="21.75" hidden="false" customHeight="true" outlineLevel="0" collapsed="false">
      <c r="B148" s="10" t="n">
        <v>142</v>
      </c>
      <c r="C148" s="20"/>
      <c r="D148" s="5"/>
      <c r="E148" s="11"/>
      <c r="F148" s="17" t="str">
        <f aca="false">IF(E148="","",IFERROR(INDEX('Plano de controle'!$D$10:$D$29,MATCH(E148,'Plano de controle'!$B$10:$B$29,0))&amp;"",""))</f>
        <v/>
      </c>
      <c r="G148" s="13" t="str">
        <f aca="false">IF(E148="","",IFERROR(INDEX('Plano de controle'!$N$10:$N$29,MATCH(E148,'Plano de controle'!$B$10:$B$29,0))&amp;"",""))</f>
        <v/>
      </c>
      <c r="H148" s="21" t="str">
        <f aca="false">IF(E148="","",IFERROR(IF(ISNUMBER(INDEX('Plano de controle'!$F$10:$F$29,MATCH(E148,'Plano de controle'!$B$10:$B$29,0))),INDEX('Plano de controle'!$F$10:$F$29,MATCH(E148,'Plano de controle'!$B$10:$B$29,0)),""),""))</f>
        <v/>
      </c>
      <c r="I148" s="21" t="str">
        <f aca="false">IF(E148="","",IFERROR(IF(ISNUMBER(INDEX('Plano de controle'!$G$10:$G$29,MATCH(E148,'Plano de controle'!$B$10:$B$29,0))),INDEX('Plano de controle'!$G$10:$G$29,MATCH(E148,'Plano de controle'!$B$10:$B$29,0)),""),""))</f>
        <v/>
      </c>
      <c r="J148" s="12"/>
      <c r="K148" s="11"/>
      <c r="L148" s="22" t="str">
        <f aca="false">IF(OR(E148="",F148=""),"",IF(AND(H148="",I148=""),IF(K148="","Falta o resultado",IF(K148="Sim","Dentro","Fora")),IF(J148="","Falta o valor",IF(AND(OR(H148="",J148&gt;=H148),OR(I148="",J148&lt;=I148)),"Dentro","Fora"))))</f>
        <v/>
      </c>
      <c r="M148" s="5"/>
      <c r="N148" s="5"/>
      <c r="O148" s="13" t="str">
        <f aca="false">IF(E148="",IF(COUNTA(C148:D148,J148:K148,M148)&gt;0,"Falta o controle",""),IF(F148="","Controle sem plano",IF(C148="","Falta a data",IF(D148="","Falta o lote ou o pedido",IF(LEFT(L148,5)="Falta",L148,IF(AND(L148="Fora",M148=""),"Fora sem reação registrada",IF(N148="","Falta quem mediu","OK")))))))</f>
        <v/>
      </c>
    </row>
    <row r="149" customFormat="false" ht="21.75" hidden="false" customHeight="true" outlineLevel="0" collapsed="false">
      <c r="B149" s="10" t="n">
        <v>143</v>
      </c>
      <c r="C149" s="20"/>
      <c r="D149" s="5"/>
      <c r="E149" s="11"/>
      <c r="F149" s="17" t="str">
        <f aca="false">IF(E149="","",IFERROR(INDEX('Plano de controle'!$D$10:$D$29,MATCH(E149,'Plano de controle'!$B$10:$B$29,0))&amp;"",""))</f>
        <v/>
      </c>
      <c r="G149" s="13" t="str">
        <f aca="false">IF(E149="","",IFERROR(INDEX('Plano de controle'!$N$10:$N$29,MATCH(E149,'Plano de controle'!$B$10:$B$29,0))&amp;"",""))</f>
        <v/>
      </c>
      <c r="H149" s="21" t="str">
        <f aca="false">IF(E149="","",IFERROR(IF(ISNUMBER(INDEX('Plano de controle'!$F$10:$F$29,MATCH(E149,'Plano de controle'!$B$10:$B$29,0))),INDEX('Plano de controle'!$F$10:$F$29,MATCH(E149,'Plano de controle'!$B$10:$B$29,0)),""),""))</f>
        <v/>
      </c>
      <c r="I149" s="21" t="str">
        <f aca="false">IF(E149="","",IFERROR(IF(ISNUMBER(INDEX('Plano de controle'!$G$10:$G$29,MATCH(E149,'Plano de controle'!$B$10:$B$29,0))),INDEX('Plano de controle'!$G$10:$G$29,MATCH(E149,'Plano de controle'!$B$10:$B$29,0)),""),""))</f>
        <v/>
      </c>
      <c r="J149" s="12"/>
      <c r="K149" s="11"/>
      <c r="L149" s="22" t="str">
        <f aca="false">IF(OR(E149="",F149=""),"",IF(AND(H149="",I149=""),IF(K149="","Falta o resultado",IF(K149="Sim","Dentro","Fora")),IF(J149="","Falta o valor",IF(AND(OR(H149="",J149&gt;=H149),OR(I149="",J149&lt;=I149)),"Dentro","Fora"))))</f>
        <v/>
      </c>
      <c r="M149" s="5"/>
      <c r="N149" s="5"/>
      <c r="O149" s="13" t="str">
        <f aca="false">IF(E149="",IF(COUNTA(C149:D149,J149:K149,M149)&gt;0,"Falta o controle",""),IF(F149="","Controle sem plano",IF(C149="","Falta a data",IF(D149="","Falta o lote ou o pedido",IF(LEFT(L149,5)="Falta",L149,IF(AND(L149="Fora",M149=""),"Fora sem reação registrada",IF(N149="","Falta quem mediu","OK")))))))</f>
        <v/>
      </c>
    </row>
    <row r="150" customFormat="false" ht="21.75" hidden="false" customHeight="true" outlineLevel="0" collapsed="false">
      <c r="B150" s="10" t="n">
        <v>144</v>
      </c>
      <c r="C150" s="20"/>
      <c r="D150" s="5"/>
      <c r="E150" s="11"/>
      <c r="F150" s="17" t="str">
        <f aca="false">IF(E150="","",IFERROR(INDEX('Plano de controle'!$D$10:$D$29,MATCH(E150,'Plano de controle'!$B$10:$B$29,0))&amp;"",""))</f>
        <v/>
      </c>
      <c r="G150" s="13" t="str">
        <f aca="false">IF(E150="","",IFERROR(INDEX('Plano de controle'!$N$10:$N$29,MATCH(E150,'Plano de controle'!$B$10:$B$29,0))&amp;"",""))</f>
        <v/>
      </c>
      <c r="H150" s="21" t="str">
        <f aca="false">IF(E150="","",IFERROR(IF(ISNUMBER(INDEX('Plano de controle'!$F$10:$F$29,MATCH(E150,'Plano de controle'!$B$10:$B$29,0))),INDEX('Plano de controle'!$F$10:$F$29,MATCH(E150,'Plano de controle'!$B$10:$B$29,0)),""),""))</f>
        <v/>
      </c>
      <c r="I150" s="21" t="str">
        <f aca="false">IF(E150="","",IFERROR(IF(ISNUMBER(INDEX('Plano de controle'!$G$10:$G$29,MATCH(E150,'Plano de controle'!$B$10:$B$29,0))),INDEX('Plano de controle'!$G$10:$G$29,MATCH(E150,'Plano de controle'!$B$10:$B$29,0)),""),""))</f>
        <v/>
      </c>
      <c r="J150" s="12"/>
      <c r="K150" s="11"/>
      <c r="L150" s="22" t="str">
        <f aca="false">IF(OR(E150="",F150=""),"",IF(AND(H150="",I150=""),IF(K150="","Falta o resultado",IF(K150="Sim","Dentro","Fora")),IF(J150="","Falta o valor",IF(AND(OR(H150="",J150&gt;=H150),OR(I150="",J150&lt;=I150)),"Dentro","Fora"))))</f>
        <v/>
      </c>
      <c r="M150" s="5"/>
      <c r="N150" s="5"/>
      <c r="O150" s="13" t="str">
        <f aca="false">IF(E150="",IF(COUNTA(C150:D150,J150:K150,M150)&gt;0,"Falta o controle",""),IF(F150="","Controle sem plano",IF(C150="","Falta a data",IF(D150="","Falta o lote ou o pedido",IF(LEFT(L150,5)="Falta",L150,IF(AND(L150="Fora",M150=""),"Fora sem reação registrada",IF(N150="","Falta quem mediu","OK")))))))</f>
        <v/>
      </c>
    </row>
    <row r="151" customFormat="false" ht="21.75" hidden="false" customHeight="true" outlineLevel="0" collapsed="false">
      <c r="B151" s="10" t="n">
        <v>145</v>
      </c>
      <c r="C151" s="20"/>
      <c r="D151" s="5"/>
      <c r="E151" s="11"/>
      <c r="F151" s="17" t="str">
        <f aca="false">IF(E151="","",IFERROR(INDEX('Plano de controle'!$D$10:$D$29,MATCH(E151,'Plano de controle'!$B$10:$B$29,0))&amp;"",""))</f>
        <v/>
      </c>
      <c r="G151" s="13" t="str">
        <f aca="false">IF(E151="","",IFERROR(INDEX('Plano de controle'!$N$10:$N$29,MATCH(E151,'Plano de controle'!$B$10:$B$29,0))&amp;"",""))</f>
        <v/>
      </c>
      <c r="H151" s="21" t="str">
        <f aca="false">IF(E151="","",IFERROR(IF(ISNUMBER(INDEX('Plano de controle'!$F$10:$F$29,MATCH(E151,'Plano de controle'!$B$10:$B$29,0))),INDEX('Plano de controle'!$F$10:$F$29,MATCH(E151,'Plano de controle'!$B$10:$B$29,0)),""),""))</f>
        <v/>
      </c>
      <c r="I151" s="21" t="str">
        <f aca="false">IF(E151="","",IFERROR(IF(ISNUMBER(INDEX('Plano de controle'!$G$10:$G$29,MATCH(E151,'Plano de controle'!$B$10:$B$29,0))),INDEX('Plano de controle'!$G$10:$G$29,MATCH(E151,'Plano de controle'!$B$10:$B$29,0)),""),""))</f>
        <v/>
      </c>
      <c r="J151" s="12"/>
      <c r="K151" s="11"/>
      <c r="L151" s="22" t="str">
        <f aca="false">IF(OR(E151="",F151=""),"",IF(AND(H151="",I151=""),IF(K151="","Falta o resultado",IF(K151="Sim","Dentro","Fora")),IF(J151="","Falta o valor",IF(AND(OR(H151="",J151&gt;=H151),OR(I151="",J151&lt;=I151)),"Dentro","Fora"))))</f>
        <v/>
      </c>
      <c r="M151" s="5"/>
      <c r="N151" s="5"/>
      <c r="O151" s="13" t="str">
        <f aca="false">IF(E151="",IF(COUNTA(C151:D151,J151:K151,M151)&gt;0,"Falta o controle",""),IF(F151="","Controle sem plano",IF(C151="","Falta a data",IF(D151="","Falta o lote ou o pedido",IF(LEFT(L151,5)="Falta",L151,IF(AND(L151="Fora",M151=""),"Fora sem reação registrada",IF(N151="","Falta quem mediu","OK")))))))</f>
        <v/>
      </c>
    </row>
    <row r="152" customFormat="false" ht="21.75" hidden="false" customHeight="true" outlineLevel="0" collapsed="false">
      <c r="B152" s="10" t="n">
        <v>146</v>
      </c>
      <c r="C152" s="20"/>
      <c r="D152" s="5"/>
      <c r="E152" s="11"/>
      <c r="F152" s="17" t="str">
        <f aca="false">IF(E152="","",IFERROR(INDEX('Plano de controle'!$D$10:$D$29,MATCH(E152,'Plano de controle'!$B$10:$B$29,0))&amp;"",""))</f>
        <v/>
      </c>
      <c r="G152" s="13" t="str">
        <f aca="false">IF(E152="","",IFERROR(INDEX('Plano de controle'!$N$10:$N$29,MATCH(E152,'Plano de controle'!$B$10:$B$29,0))&amp;"",""))</f>
        <v/>
      </c>
      <c r="H152" s="21" t="str">
        <f aca="false">IF(E152="","",IFERROR(IF(ISNUMBER(INDEX('Plano de controle'!$F$10:$F$29,MATCH(E152,'Plano de controle'!$B$10:$B$29,0))),INDEX('Plano de controle'!$F$10:$F$29,MATCH(E152,'Plano de controle'!$B$10:$B$29,0)),""),""))</f>
        <v/>
      </c>
      <c r="I152" s="21" t="str">
        <f aca="false">IF(E152="","",IFERROR(IF(ISNUMBER(INDEX('Plano de controle'!$G$10:$G$29,MATCH(E152,'Plano de controle'!$B$10:$B$29,0))),INDEX('Plano de controle'!$G$10:$G$29,MATCH(E152,'Plano de controle'!$B$10:$B$29,0)),""),""))</f>
        <v/>
      </c>
      <c r="J152" s="12"/>
      <c r="K152" s="11"/>
      <c r="L152" s="22" t="str">
        <f aca="false">IF(OR(E152="",F152=""),"",IF(AND(H152="",I152=""),IF(K152="","Falta o resultado",IF(K152="Sim","Dentro","Fora")),IF(J152="","Falta o valor",IF(AND(OR(H152="",J152&gt;=H152),OR(I152="",J152&lt;=I152)),"Dentro","Fora"))))</f>
        <v/>
      </c>
      <c r="M152" s="5"/>
      <c r="N152" s="5"/>
      <c r="O152" s="13" t="str">
        <f aca="false">IF(E152="",IF(COUNTA(C152:D152,J152:K152,M152)&gt;0,"Falta o controle",""),IF(F152="","Controle sem plano",IF(C152="","Falta a data",IF(D152="","Falta o lote ou o pedido",IF(LEFT(L152,5)="Falta",L152,IF(AND(L152="Fora",M152=""),"Fora sem reação registrada",IF(N152="","Falta quem mediu","OK")))))))</f>
        <v/>
      </c>
    </row>
    <row r="153" customFormat="false" ht="21.75" hidden="false" customHeight="true" outlineLevel="0" collapsed="false">
      <c r="B153" s="10" t="n">
        <v>147</v>
      </c>
      <c r="C153" s="20"/>
      <c r="D153" s="5"/>
      <c r="E153" s="11"/>
      <c r="F153" s="17" t="str">
        <f aca="false">IF(E153="","",IFERROR(INDEX('Plano de controle'!$D$10:$D$29,MATCH(E153,'Plano de controle'!$B$10:$B$29,0))&amp;"",""))</f>
        <v/>
      </c>
      <c r="G153" s="13" t="str">
        <f aca="false">IF(E153="","",IFERROR(INDEX('Plano de controle'!$N$10:$N$29,MATCH(E153,'Plano de controle'!$B$10:$B$29,0))&amp;"",""))</f>
        <v/>
      </c>
      <c r="H153" s="21" t="str">
        <f aca="false">IF(E153="","",IFERROR(IF(ISNUMBER(INDEX('Plano de controle'!$F$10:$F$29,MATCH(E153,'Plano de controle'!$B$10:$B$29,0))),INDEX('Plano de controle'!$F$10:$F$29,MATCH(E153,'Plano de controle'!$B$10:$B$29,0)),""),""))</f>
        <v/>
      </c>
      <c r="I153" s="21" t="str">
        <f aca="false">IF(E153="","",IFERROR(IF(ISNUMBER(INDEX('Plano de controle'!$G$10:$G$29,MATCH(E153,'Plano de controle'!$B$10:$B$29,0))),INDEX('Plano de controle'!$G$10:$G$29,MATCH(E153,'Plano de controle'!$B$10:$B$29,0)),""),""))</f>
        <v/>
      </c>
      <c r="J153" s="12"/>
      <c r="K153" s="11"/>
      <c r="L153" s="22" t="str">
        <f aca="false">IF(OR(E153="",F153=""),"",IF(AND(H153="",I153=""),IF(K153="","Falta o resultado",IF(K153="Sim","Dentro","Fora")),IF(J153="","Falta o valor",IF(AND(OR(H153="",J153&gt;=H153),OR(I153="",J153&lt;=I153)),"Dentro","Fora"))))</f>
        <v/>
      </c>
      <c r="M153" s="5"/>
      <c r="N153" s="5"/>
      <c r="O153" s="13" t="str">
        <f aca="false">IF(E153="",IF(COUNTA(C153:D153,J153:K153,M153)&gt;0,"Falta o controle",""),IF(F153="","Controle sem plano",IF(C153="","Falta a data",IF(D153="","Falta o lote ou o pedido",IF(LEFT(L153,5)="Falta",L153,IF(AND(L153="Fora",M153=""),"Fora sem reação registrada",IF(N153="","Falta quem mediu","OK")))))))</f>
        <v/>
      </c>
    </row>
    <row r="154" customFormat="false" ht="21.75" hidden="false" customHeight="true" outlineLevel="0" collapsed="false">
      <c r="B154" s="10" t="n">
        <v>148</v>
      </c>
      <c r="C154" s="20"/>
      <c r="D154" s="5"/>
      <c r="E154" s="11"/>
      <c r="F154" s="17" t="str">
        <f aca="false">IF(E154="","",IFERROR(INDEX('Plano de controle'!$D$10:$D$29,MATCH(E154,'Plano de controle'!$B$10:$B$29,0))&amp;"",""))</f>
        <v/>
      </c>
      <c r="G154" s="13" t="str">
        <f aca="false">IF(E154="","",IFERROR(INDEX('Plano de controle'!$N$10:$N$29,MATCH(E154,'Plano de controle'!$B$10:$B$29,0))&amp;"",""))</f>
        <v/>
      </c>
      <c r="H154" s="21" t="str">
        <f aca="false">IF(E154="","",IFERROR(IF(ISNUMBER(INDEX('Plano de controle'!$F$10:$F$29,MATCH(E154,'Plano de controle'!$B$10:$B$29,0))),INDEX('Plano de controle'!$F$10:$F$29,MATCH(E154,'Plano de controle'!$B$10:$B$29,0)),""),""))</f>
        <v/>
      </c>
      <c r="I154" s="21" t="str">
        <f aca="false">IF(E154="","",IFERROR(IF(ISNUMBER(INDEX('Plano de controle'!$G$10:$G$29,MATCH(E154,'Plano de controle'!$B$10:$B$29,0))),INDEX('Plano de controle'!$G$10:$G$29,MATCH(E154,'Plano de controle'!$B$10:$B$29,0)),""),""))</f>
        <v/>
      </c>
      <c r="J154" s="12"/>
      <c r="K154" s="11"/>
      <c r="L154" s="22" t="str">
        <f aca="false">IF(OR(E154="",F154=""),"",IF(AND(H154="",I154=""),IF(K154="","Falta o resultado",IF(K154="Sim","Dentro","Fora")),IF(J154="","Falta o valor",IF(AND(OR(H154="",J154&gt;=H154),OR(I154="",J154&lt;=I154)),"Dentro","Fora"))))</f>
        <v/>
      </c>
      <c r="M154" s="5"/>
      <c r="N154" s="5"/>
      <c r="O154" s="13" t="str">
        <f aca="false">IF(E154="",IF(COUNTA(C154:D154,J154:K154,M154)&gt;0,"Falta o controle",""),IF(F154="","Controle sem plano",IF(C154="","Falta a data",IF(D154="","Falta o lote ou o pedido",IF(LEFT(L154,5)="Falta",L154,IF(AND(L154="Fora",M154=""),"Fora sem reação registrada",IF(N154="","Falta quem mediu","OK")))))))</f>
        <v/>
      </c>
    </row>
    <row r="155" customFormat="false" ht="21.75" hidden="false" customHeight="true" outlineLevel="0" collapsed="false">
      <c r="B155" s="10" t="n">
        <v>149</v>
      </c>
      <c r="C155" s="20"/>
      <c r="D155" s="5"/>
      <c r="E155" s="11"/>
      <c r="F155" s="17" t="str">
        <f aca="false">IF(E155="","",IFERROR(INDEX('Plano de controle'!$D$10:$D$29,MATCH(E155,'Plano de controle'!$B$10:$B$29,0))&amp;"",""))</f>
        <v/>
      </c>
      <c r="G155" s="13" t="str">
        <f aca="false">IF(E155="","",IFERROR(INDEX('Plano de controle'!$N$10:$N$29,MATCH(E155,'Plano de controle'!$B$10:$B$29,0))&amp;"",""))</f>
        <v/>
      </c>
      <c r="H155" s="21" t="str">
        <f aca="false">IF(E155="","",IFERROR(IF(ISNUMBER(INDEX('Plano de controle'!$F$10:$F$29,MATCH(E155,'Plano de controle'!$B$10:$B$29,0))),INDEX('Plano de controle'!$F$10:$F$29,MATCH(E155,'Plano de controle'!$B$10:$B$29,0)),""),""))</f>
        <v/>
      </c>
      <c r="I155" s="21" t="str">
        <f aca="false">IF(E155="","",IFERROR(IF(ISNUMBER(INDEX('Plano de controle'!$G$10:$G$29,MATCH(E155,'Plano de controle'!$B$10:$B$29,0))),INDEX('Plano de controle'!$G$10:$G$29,MATCH(E155,'Plano de controle'!$B$10:$B$29,0)),""),""))</f>
        <v/>
      </c>
      <c r="J155" s="12"/>
      <c r="K155" s="11"/>
      <c r="L155" s="22" t="str">
        <f aca="false">IF(OR(E155="",F155=""),"",IF(AND(H155="",I155=""),IF(K155="","Falta o resultado",IF(K155="Sim","Dentro","Fora")),IF(J155="","Falta o valor",IF(AND(OR(H155="",J155&gt;=H155),OR(I155="",J155&lt;=I155)),"Dentro","Fora"))))</f>
        <v/>
      </c>
      <c r="M155" s="5"/>
      <c r="N155" s="5"/>
      <c r="O155" s="13" t="str">
        <f aca="false">IF(E155="",IF(COUNTA(C155:D155,J155:K155,M155)&gt;0,"Falta o controle",""),IF(F155="","Controle sem plano",IF(C155="","Falta a data",IF(D155="","Falta o lote ou o pedido",IF(LEFT(L155,5)="Falta",L155,IF(AND(L155="Fora",M155=""),"Fora sem reação registrada",IF(N155="","Falta quem mediu","OK")))))))</f>
        <v/>
      </c>
    </row>
    <row r="156" customFormat="false" ht="21.75" hidden="false" customHeight="true" outlineLevel="0" collapsed="false">
      <c r="B156" s="10" t="n">
        <v>150</v>
      </c>
      <c r="C156" s="20"/>
      <c r="D156" s="5"/>
      <c r="E156" s="11"/>
      <c r="F156" s="17" t="str">
        <f aca="false">IF(E156="","",IFERROR(INDEX('Plano de controle'!$D$10:$D$29,MATCH(E156,'Plano de controle'!$B$10:$B$29,0))&amp;"",""))</f>
        <v/>
      </c>
      <c r="G156" s="13" t="str">
        <f aca="false">IF(E156="","",IFERROR(INDEX('Plano de controle'!$N$10:$N$29,MATCH(E156,'Plano de controle'!$B$10:$B$29,0))&amp;"",""))</f>
        <v/>
      </c>
      <c r="H156" s="21" t="str">
        <f aca="false">IF(E156="","",IFERROR(IF(ISNUMBER(INDEX('Plano de controle'!$F$10:$F$29,MATCH(E156,'Plano de controle'!$B$10:$B$29,0))),INDEX('Plano de controle'!$F$10:$F$29,MATCH(E156,'Plano de controle'!$B$10:$B$29,0)),""),""))</f>
        <v/>
      </c>
      <c r="I156" s="21" t="str">
        <f aca="false">IF(E156="","",IFERROR(IF(ISNUMBER(INDEX('Plano de controle'!$G$10:$G$29,MATCH(E156,'Plano de controle'!$B$10:$B$29,0))),INDEX('Plano de controle'!$G$10:$G$29,MATCH(E156,'Plano de controle'!$B$10:$B$29,0)),""),""))</f>
        <v/>
      </c>
      <c r="J156" s="12"/>
      <c r="K156" s="11"/>
      <c r="L156" s="22" t="str">
        <f aca="false">IF(OR(E156="",F156=""),"",IF(AND(H156="",I156=""),IF(K156="","Falta o resultado",IF(K156="Sim","Dentro","Fora")),IF(J156="","Falta o valor",IF(AND(OR(H156="",J156&gt;=H156),OR(I156="",J156&lt;=I156)),"Dentro","Fora"))))</f>
        <v/>
      </c>
      <c r="M156" s="5"/>
      <c r="N156" s="5"/>
      <c r="O156" s="13" t="str">
        <f aca="false">IF(E156="",IF(COUNTA(C156:D156,J156:K156,M156)&gt;0,"Falta o controle",""),IF(F156="","Controle sem plano",IF(C156="","Falta a data",IF(D156="","Falta o lote ou o pedido",IF(LEFT(L156,5)="Falta",L156,IF(AND(L156="Fora",M156=""),"Fora sem reação registrada",IF(N156="","Falta quem mediu","OK")))))))</f>
        <v/>
      </c>
    </row>
    <row r="158" customFormat="false" ht="21.75" hidden="false" customHeight="true" outlineLevel="0" collapsed="false">
      <c r="B158" s="14" t="s">
        <v>116</v>
      </c>
      <c r="C158" s="14"/>
      <c r="D158" s="14"/>
      <c r="E158" s="14"/>
      <c r="F158" s="14"/>
      <c r="G158" s="14"/>
    </row>
    <row r="159" customFormat="false" ht="21.75" hidden="false" customHeight="true" outlineLevel="0" collapsed="false">
      <c r="B159" s="15" t="s">
        <v>146</v>
      </c>
      <c r="C159" s="15"/>
      <c r="D159" s="15"/>
      <c r="E159" s="16" t="n">
        <f aca="false">COUNTA(E7:E156)</f>
        <v>0</v>
      </c>
      <c r="F159" s="16"/>
      <c r="G159" s="16"/>
    </row>
    <row r="160" customFormat="false" ht="21.75" hidden="false" customHeight="true" outlineLevel="0" collapsed="false">
      <c r="B160" s="15" t="s">
        <v>147</v>
      </c>
      <c r="C160" s="15"/>
      <c r="D160" s="15"/>
      <c r="E160" s="16" t="n">
        <f aca="false">COUNTIF(L7:L156,"Dentro")</f>
        <v>0</v>
      </c>
      <c r="F160" s="16"/>
      <c r="G160" s="16"/>
    </row>
    <row r="161" customFormat="false" ht="21.75" hidden="false" customHeight="true" outlineLevel="0" collapsed="false">
      <c r="B161" s="15" t="s">
        <v>148</v>
      </c>
      <c r="C161" s="15"/>
      <c r="D161" s="15"/>
      <c r="E161" s="16" t="n">
        <f aca="false">COUNTIF(L7:L156,"Fora")</f>
        <v>0</v>
      </c>
      <c r="F161" s="16"/>
      <c r="G161" s="16"/>
    </row>
    <row r="162" customFormat="false" ht="21.75" hidden="false" customHeight="true" outlineLevel="0" collapsed="false">
      <c r="B162" s="15" t="s">
        <v>20</v>
      </c>
      <c r="C162" s="15"/>
      <c r="D162" s="15"/>
      <c r="E162" s="16" t="n">
        <f aca="false">COUNTIF(O7:O156,"Fora sem reação registrada")</f>
        <v>0</v>
      </c>
      <c r="F162" s="16"/>
      <c r="G162" s="16"/>
    </row>
    <row r="163" customFormat="false" ht="21.75" hidden="false" customHeight="true" outlineLevel="0" collapsed="false">
      <c r="B163" s="15" t="s">
        <v>120</v>
      </c>
      <c r="C163" s="15"/>
      <c r="D163" s="15"/>
      <c r="E163" s="17" t="str">
        <f aca="false">IF(E159=0,"Lance as verificações",IF(E162&gt;0,"Há resultado fora do critério sem reação registrada",IF(COUNTIF(O7:O156,"&lt;&gt;OK")-COUNTBLANK(O7:O156)&gt;0,"Há registro a rever: veja a coluna Conferência","OK")))</f>
        <v>Lance as verificações</v>
      </c>
      <c r="F163" s="17"/>
      <c r="G163" s="17"/>
    </row>
  </sheetData>
  <mergeCells count="13">
    <mergeCell ref="B1:O1"/>
    <mergeCell ref="B2:O2"/>
    <mergeCell ref="B158:G158"/>
    <mergeCell ref="B159:D159"/>
    <mergeCell ref="E159:G159"/>
    <mergeCell ref="B160:D160"/>
    <mergeCell ref="E160:G160"/>
    <mergeCell ref="B161:D161"/>
    <mergeCell ref="E161:G161"/>
    <mergeCell ref="B162:D162"/>
    <mergeCell ref="E162:G162"/>
    <mergeCell ref="B163:D163"/>
    <mergeCell ref="E163:G163"/>
  </mergeCells>
  <conditionalFormatting sqref="L7:L156">
    <cfRule type="expression" priority="2" aboveAverage="0" equalAverage="0" bottom="0" percent="0" rank="0" text="" dxfId="2">
      <formula>L7="Dentro"</formula>
    </cfRule>
    <cfRule type="expression" priority="3" aboveAverage="0" equalAverage="0" bottom="0" percent="0" rank="0" text="" dxfId="3">
      <formula>L7="Fora"</formula>
    </cfRule>
    <cfRule type="expression" priority="4" aboveAverage="0" equalAverage="0" bottom="0" percent="0" rank="0" text="" dxfId="1">
      <formula>LEN(L7)&gt;0</formula>
    </cfRule>
  </conditionalFormatting>
  <conditionalFormatting sqref="O7:O156">
    <cfRule type="expression" priority="5" aboveAverage="0" equalAverage="0" bottom="0" percent="0" rank="0" text="" dxfId="0">
      <formula>O7="OK"</formula>
    </cfRule>
    <cfRule type="expression" priority="6" aboveAverage="0" equalAverage="0" bottom="0" percent="0" rank="0" text="" dxfId="4">
      <formula>O7="Fora sem reação registrada"</formula>
    </cfRule>
    <cfRule type="expression" priority="7" aboveAverage="0" equalAverage="0" bottom="0" percent="0" rank="0" text="" dxfId="1">
      <formula>LEN(O7)&gt;0</formula>
    </cfRule>
  </conditionalFormatting>
  <conditionalFormatting sqref="E163:G163">
    <cfRule type="expression" priority="8" aboveAverage="0" equalAverage="0" bottom="0" percent="0" rank="0" text="" dxfId="0">
      <formula>OR(E163="OK")</formula>
    </cfRule>
    <cfRule type="expression" priority="9" aboveAverage="0" equalAverage="0" bottom="0" percent="0" rank="0" text="" dxfId="1">
      <formula>AND(LEN(E163)&gt;0,NOT(OR(E163="OK")))</formula>
    </cfRule>
  </conditionalFormatting>
  <dataValidations count="4">
    <dataValidation allowBlank="true" error="Digite uma data no formato dia/mês/ano." errorStyle="stop" errorTitle="Data inválida" operator="greaterThanOrEqual" showDropDown="false" showErrorMessage="true" showInputMessage="false" sqref="C7:C156" type="date">
      <formula1>36526</formula1>
      <formula2>0</formula2>
    </dataValidation>
    <dataValidation allowBlank="true" error="Escolha uma das opções da lista." errorStyle="stop" errorTitle="Valor inválido" operator="between" prompt="Código do controle, da aba Plano de controle" promptTitle="Opções" showDropDown="false" showErrorMessage="true" showInputMessage="true" sqref="E7:E156" type="list">
      <formula1>"K1,K2,K3,K4,K5,K6,K7,K8,K9,K10,K11,K12,K13,K14,K15,K16,K17,K18,K19,K20"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J7:J156" type="decimal">
      <formula1>-1000000000</formula1>
      <formula2>1000000000</formula2>
    </dataValidation>
    <dataValidation allowBlank="true" error="Escolha uma das opções da lista." errorStyle="stop" errorTitle="Valor inválido" operator="between" prompt="Só para controle por atributo: o resultado está conforme?" promptTitle="Opções" showDropDown="false" showErrorMessage="true" showInputMessage="true" sqref="K7:K156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5" min="4" style="0" width="34"/>
    <col collapsed="false" customWidth="true" hidden="false" outlineLevel="0" max="6" min="6" style="0" width="30"/>
    <col collapsed="false" customWidth="true" hidden="false" outlineLevel="0" max="7" min="7" style="0" width="34"/>
    <col collapsed="false" customWidth="true" hidden="false" outlineLevel="0" max="8" min="8" style="0" width="24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149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150</v>
      </c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B4" s="23" t="s">
        <v>151</v>
      </c>
      <c r="C4" s="23"/>
      <c r="D4" s="23"/>
      <c r="E4" s="23"/>
      <c r="F4" s="23"/>
      <c r="G4" s="23"/>
      <c r="H4" s="23"/>
    </row>
    <row r="5" customFormat="false" ht="33" hidden="false" customHeight="true" outlineLevel="0" collapsed="false">
      <c r="B5" s="8" t="s">
        <v>71</v>
      </c>
      <c r="C5" s="8" t="s">
        <v>72</v>
      </c>
      <c r="D5" s="8" t="s">
        <v>152</v>
      </c>
      <c r="E5" s="8" t="s">
        <v>153</v>
      </c>
      <c r="F5" s="8" t="s">
        <v>154</v>
      </c>
      <c r="G5" s="8" t="s">
        <v>155</v>
      </c>
      <c r="H5" s="8" t="s">
        <v>83</v>
      </c>
    </row>
    <row r="6" customFormat="false" ht="30" hidden="false" customHeight="true" outlineLevel="0" collapsed="false">
      <c r="B6" s="9"/>
      <c r="C6" s="9" t="s">
        <v>156</v>
      </c>
      <c r="D6" s="9" t="s">
        <v>157</v>
      </c>
      <c r="E6" s="9" t="s">
        <v>158</v>
      </c>
      <c r="F6" s="9" t="s">
        <v>159</v>
      </c>
      <c r="G6" s="9" t="s">
        <v>160</v>
      </c>
      <c r="H6" s="9" t="s">
        <v>95</v>
      </c>
    </row>
    <row r="7" customFormat="false" ht="30" hidden="false" customHeight="true" outlineLevel="0" collapsed="false">
      <c r="B7" s="10" t="n">
        <v>1</v>
      </c>
      <c r="C7" s="5"/>
      <c r="D7" s="5"/>
      <c r="E7" s="5"/>
      <c r="F7" s="5"/>
      <c r="G7" s="5"/>
      <c r="H7" s="13" t="str">
        <f aca="false">IF(C7="",IF(COUNTA(D7:G7)&gt;0,"Falta a etapa",""),IF(D7="","Falta a identificação",IF(E7="","Falta a situação","OK")))</f>
        <v/>
      </c>
    </row>
    <row r="8" customFormat="false" ht="30" hidden="false" customHeight="true" outlineLevel="0" collapsed="false">
      <c r="B8" s="10" t="n">
        <v>2</v>
      </c>
      <c r="C8" s="5"/>
      <c r="D8" s="5"/>
      <c r="E8" s="5"/>
      <c r="F8" s="5"/>
      <c r="G8" s="5"/>
      <c r="H8" s="13" t="str">
        <f aca="false">IF(C8="",IF(COUNTA(D8:G8)&gt;0,"Falta a etapa",""),IF(D8="","Falta a identificação",IF(E8="","Falta a situação","OK")))</f>
        <v/>
      </c>
    </row>
    <row r="9" customFormat="false" ht="30" hidden="false" customHeight="true" outlineLevel="0" collapsed="false">
      <c r="B9" s="10" t="n">
        <v>3</v>
      </c>
      <c r="C9" s="5"/>
      <c r="D9" s="5"/>
      <c r="E9" s="5"/>
      <c r="F9" s="5"/>
      <c r="G9" s="5"/>
      <c r="H9" s="13" t="str">
        <f aca="false">IF(C9="",IF(COUNTA(D9:G9)&gt;0,"Falta a etapa",""),IF(D9="","Falta a identificação",IF(E9="","Falta a situação","OK")))</f>
        <v/>
      </c>
    </row>
    <row r="10" customFormat="false" ht="30" hidden="false" customHeight="true" outlineLevel="0" collapsed="false">
      <c r="B10" s="10" t="n">
        <v>4</v>
      </c>
      <c r="C10" s="5"/>
      <c r="D10" s="5"/>
      <c r="E10" s="5"/>
      <c r="F10" s="5"/>
      <c r="G10" s="5"/>
      <c r="H10" s="13" t="str">
        <f aca="false">IF(C10="",IF(COUNTA(D10:G10)&gt;0,"Falta a etapa",""),IF(D10="","Falta a identificação",IF(E10="","Falta a situação","OK")))</f>
        <v/>
      </c>
    </row>
    <row r="11" customFormat="false" ht="30" hidden="false" customHeight="true" outlineLevel="0" collapsed="false">
      <c r="B11" s="10" t="n">
        <v>5</v>
      </c>
      <c r="C11" s="5"/>
      <c r="D11" s="5"/>
      <c r="E11" s="5"/>
      <c r="F11" s="5"/>
      <c r="G11" s="5"/>
      <c r="H11" s="13" t="str">
        <f aca="false">IF(C11="",IF(COUNTA(D11:G11)&gt;0,"Falta a etapa",""),IF(D11="","Falta a identificação",IF(E11="","Falta a situação","OK")))</f>
        <v/>
      </c>
    </row>
    <row r="12" customFormat="false" ht="30" hidden="false" customHeight="true" outlineLevel="0" collapsed="false">
      <c r="B12" s="10" t="n">
        <v>6</v>
      </c>
      <c r="C12" s="5"/>
      <c r="D12" s="5"/>
      <c r="E12" s="5"/>
      <c r="F12" s="5"/>
      <c r="G12" s="5"/>
      <c r="H12" s="13" t="str">
        <f aca="false">IF(C12="",IF(COUNTA(D12:G12)&gt;0,"Falta a etapa",""),IF(D12="","Falta a identificação",IF(E12="","Falta a situação","OK")))</f>
        <v/>
      </c>
    </row>
    <row r="13" customFormat="false" ht="30" hidden="false" customHeight="true" outlineLevel="0" collapsed="false">
      <c r="B13" s="10" t="n">
        <v>7</v>
      </c>
      <c r="C13" s="5"/>
      <c r="D13" s="5"/>
      <c r="E13" s="5"/>
      <c r="F13" s="5"/>
      <c r="G13" s="5"/>
      <c r="H13" s="13" t="str">
        <f aca="false">IF(C13="",IF(COUNTA(D13:G13)&gt;0,"Falta a etapa",""),IF(D13="","Falta a identificação",IF(E13="","Falta a situação","OK")))</f>
        <v/>
      </c>
    </row>
    <row r="14" customFormat="false" ht="30" hidden="false" customHeight="true" outlineLevel="0" collapsed="false">
      <c r="B14" s="10" t="n">
        <v>8</v>
      </c>
      <c r="C14" s="5"/>
      <c r="D14" s="5"/>
      <c r="E14" s="5"/>
      <c r="F14" s="5"/>
      <c r="G14" s="5"/>
      <c r="H14" s="13" t="str">
        <f aca="false">IF(C14="",IF(COUNTA(D14:G14)&gt;0,"Falta a etapa",""),IF(D14="","Falta a identificação",IF(E14="","Falta a situação","OK")))</f>
        <v/>
      </c>
    </row>
    <row r="15" customFormat="false" ht="30" hidden="false" customHeight="true" outlineLevel="0" collapsed="false">
      <c r="B15" s="10" t="n">
        <v>9</v>
      </c>
      <c r="C15" s="5"/>
      <c r="D15" s="5"/>
      <c r="E15" s="5"/>
      <c r="F15" s="5"/>
      <c r="G15" s="5"/>
      <c r="H15" s="13" t="str">
        <f aca="false">IF(C15="",IF(COUNTA(D15:G15)&gt;0,"Falta a etapa",""),IF(D15="","Falta a identificação",IF(E15="","Falta a situação","OK")))</f>
        <v/>
      </c>
    </row>
    <row r="16" customFormat="false" ht="30" hidden="false" customHeight="true" outlineLevel="0" collapsed="false">
      <c r="B16" s="10" t="n">
        <v>10</v>
      </c>
      <c r="C16" s="5"/>
      <c r="D16" s="5"/>
      <c r="E16" s="5"/>
      <c r="F16" s="5"/>
      <c r="G16" s="5"/>
      <c r="H16" s="13" t="str">
        <f aca="false">IF(C16="",IF(COUNTA(D16:G16)&gt;0,"Falta a etapa",""),IF(D16="","Falta a identificação",IF(E16="","Falta a situação","OK")))</f>
        <v/>
      </c>
    </row>
    <row r="18" customFormat="false" ht="21.75" hidden="false" customHeight="true" outlineLevel="0" collapsed="false">
      <c r="B18" s="23" t="s">
        <v>161</v>
      </c>
      <c r="C18" s="23"/>
      <c r="D18" s="23"/>
      <c r="E18" s="23"/>
      <c r="F18" s="23"/>
      <c r="G18" s="23"/>
      <c r="H18" s="23"/>
    </row>
    <row r="19" customFormat="false" ht="33" hidden="false" customHeight="true" outlineLevel="0" collapsed="false">
      <c r="B19" s="8" t="s">
        <v>71</v>
      </c>
      <c r="C19" s="8" t="s">
        <v>162</v>
      </c>
      <c r="D19" s="8" t="s">
        <v>163</v>
      </c>
      <c r="E19" s="8" t="s">
        <v>164</v>
      </c>
      <c r="F19" s="8" t="s">
        <v>165</v>
      </c>
      <c r="G19" s="8" t="s">
        <v>166</v>
      </c>
      <c r="H19" s="8" t="s">
        <v>83</v>
      </c>
    </row>
    <row r="20" customFormat="false" ht="30" hidden="false" customHeight="true" outlineLevel="0" collapsed="false">
      <c r="B20" s="9"/>
      <c r="C20" s="9" t="s">
        <v>167</v>
      </c>
      <c r="D20" s="9" t="s">
        <v>86</v>
      </c>
      <c r="E20" s="9" t="s">
        <v>168</v>
      </c>
      <c r="F20" s="9" t="s">
        <v>169</v>
      </c>
      <c r="G20" s="9" t="s">
        <v>170</v>
      </c>
      <c r="H20" s="9" t="s">
        <v>95</v>
      </c>
    </row>
    <row r="21" customFormat="false" ht="30" hidden="false" customHeight="true" outlineLevel="0" collapsed="false">
      <c r="B21" s="10" t="n">
        <v>1</v>
      </c>
      <c r="C21" s="5"/>
      <c r="D21" s="11"/>
      <c r="E21" s="5"/>
      <c r="F21" s="5"/>
      <c r="G21" s="5"/>
      <c r="H21" s="13" t="str">
        <f aca="false">IF(C21="",IF(COUNTA(D21:G21)&gt;0,"Falta o item",""),IF(D21="","Falta o dono",IF(E21="","Falta a identificação",IF(F21="","Falta o cuidado","OK"))))</f>
        <v/>
      </c>
    </row>
    <row r="22" customFormat="false" ht="30" hidden="false" customHeight="true" outlineLevel="0" collapsed="false">
      <c r="B22" s="10" t="n">
        <v>2</v>
      </c>
      <c r="C22" s="5"/>
      <c r="D22" s="11"/>
      <c r="E22" s="5"/>
      <c r="F22" s="5"/>
      <c r="G22" s="5"/>
      <c r="H22" s="13" t="str">
        <f aca="false">IF(C22="",IF(COUNTA(D22:G22)&gt;0,"Falta o item",""),IF(D22="","Falta o dono",IF(E22="","Falta a identificação",IF(F22="","Falta o cuidado","OK"))))</f>
        <v/>
      </c>
    </row>
    <row r="23" customFormat="false" ht="30" hidden="false" customHeight="true" outlineLevel="0" collapsed="false">
      <c r="B23" s="10" t="n">
        <v>3</v>
      </c>
      <c r="C23" s="5"/>
      <c r="D23" s="11"/>
      <c r="E23" s="5"/>
      <c r="F23" s="5"/>
      <c r="G23" s="5"/>
      <c r="H23" s="13" t="str">
        <f aca="false">IF(C23="",IF(COUNTA(D23:G23)&gt;0,"Falta o item",""),IF(D23="","Falta o dono",IF(E23="","Falta a identificação",IF(F23="","Falta o cuidado","OK"))))</f>
        <v/>
      </c>
    </row>
    <row r="24" customFormat="false" ht="30" hidden="false" customHeight="true" outlineLevel="0" collapsed="false">
      <c r="B24" s="10" t="n">
        <v>4</v>
      </c>
      <c r="C24" s="5"/>
      <c r="D24" s="11"/>
      <c r="E24" s="5"/>
      <c r="F24" s="5"/>
      <c r="G24" s="5"/>
      <c r="H24" s="13" t="str">
        <f aca="false">IF(C24="",IF(COUNTA(D24:G24)&gt;0,"Falta o item",""),IF(D24="","Falta o dono",IF(E24="","Falta a identificação",IF(F24="","Falta o cuidado","OK"))))</f>
        <v/>
      </c>
    </row>
    <row r="25" customFormat="false" ht="30" hidden="false" customHeight="true" outlineLevel="0" collapsed="false">
      <c r="B25" s="10" t="n">
        <v>5</v>
      </c>
      <c r="C25" s="5"/>
      <c r="D25" s="11"/>
      <c r="E25" s="5"/>
      <c r="F25" s="5"/>
      <c r="G25" s="5"/>
      <c r="H25" s="13" t="str">
        <f aca="false">IF(C25="",IF(COUNTA(D25:G25)&gt;0,"Falta o item",""),IF(D25="","Falta o dono",IF(E25="","Falta a identificação",IF(F25="","Falta o cuidado","OK"))))</f>
        <v/>
      </c>
    </row>
    <row r="26" customFormat="false" ht="30" hidden="false" customHeight="true" outlineLevel="0" collapsed="false">
      <c r="B26" s="10" t="n">
        <v>6</v>
      </c>
      <c r="C26" s="5"/>
      <c r="D26" s="11"/>
      <c r="E26" s="5"/>
      <c r="F26" s="5"/>
      <c r="G26" s="5"/>
      <c r="H26" s="13" t="str">
        <f aca="false">IF(C26="",IF(COUNTA(D26:G26)&gt;0,"Falta o item",""),IF(D26="","Falta o dono",IF(E26="","Falta a identificação",IF(F26="","Falta o cuidado","OK"))))</f>
        <v/>
      </c>
    </row>
    <row r="27" customFormat="false" ht="30" hidden="false" customHeight="true" outlineLevel="0" collapsed="false">
      <c r="B27" s="10" t="n">
        <v>7</v>
      </c>
      <c r="C27" s="5"/>
      <c r="D27" s="11"/>
      <c r="E27" s="5"/>
      <c r="F27" s="5"/>
      <c r="G27" s="5"/>
      <c r="H27" s="13" t="str">
        <f aca="false">IF(C27="",IF(COUNTA(D27:G27)&gt;0,"Falta o item",""),IF(D27="","Falta o dono",IF(E27="","Falta a identificação",IF(F27="","Falta o cuidado","OK"))))</f>
        <v/>
      </c>
    </row>
    <row r="28" customFormat="false" ht="30" hidden="false" customHeight="true" outlineLevel="0" collapsed="false">
      <c r="B28" s="10" t="n">
        <v>8</v>
      </c>
      <c r="C28" s="5"/>
      <c r="D28" s="11"/>
      <c r="E28" s="5"/>
      <c r="F28" s="5"/>
      <c r="G28" s="5"/>
      <c r="H28" s="13" t="str">
        <f aca="false">IF(C28="",IF(COUNTA(D28:G28)&gt;0,"Falta o item",""),IF(D28="","Falta o dono",IF(E28="","Falta a identificação",IF(F28="","Falta o cuidado","OK"))))</f>
        <v/>
      </c>
    </row>
    <row r="30" customFormat="false" ht="21.75" hidden="false" customHeight="true" outlineLevel="0" collapsed="false">
      <c r="B30" s="14" t="s">
        <v>116</v>
      </c>
      <c r="C30" s="14"/>
      <c r="D30" s="14"/>
      <c r="E30" s="14"/>
      <c r="F30" s="14"/>
      <c r="G30" s="14"/>
      <c r="H30" s="14"/>
    </row>
    <row r="31" customFormat="false" ht="21.75" hidden="false" customHeight="true" outlineLevel="0" collapsed="false">
      <c r="B31" s="15" t="s">
        <v>171</v>
      </c>
      <c r="C31" s="15"/>
      <c r="D31" s="16" t="n">
        <f aca="false">COUNTA(C7:C16)</f>
        <v>0</v>
      </c>
      <c r="E31" s="16"/>
      <c r="F31" s="16"/>
      <c r="G31" s="16"/>
      <c r="H31" s="16"/>
    </row>
    <row r="32" customFormat="false" ht="21.75" hidden="false" customHeight="true" outlineLevel="0" collapsed="false">
      <c r="B32" s="15" t="s">
        <v>172</v>
      </c>
      <c r="C32" s="15"/>
      <c r="D32" s="16" t="n">
        <f aca="false">COUNTA(C21:C28)</f>
        <v>0</v>
      </c>
      <c r="E32" s="16"/>
      <c r="F32" s="16"/>
      <c r="G32" s="16"/>
      <c r="H32" s="16"/>
    </row>
    <row r="33" customFormat="false" ht="21.75" hidden="false" customHeight="true" outlineLevel="0" collapsed="false">
      <c r="B33" s="15" t="s">
        <v>173</v>
      </c>
      <c r="C33" s="15"/>
      <c r="D33" s="16" t="n">
        <f aca="false">COUNTA(G21:G28)</f>
        <v>0</v>
      </c>
      <c r="E33" s="16"/>
      <c r="F33" s="16"/>
      <c r="G33" s="16"/>
      <c r="H33" s="16"/>
    </row>
    <row r="34" customFormat="false" ht="21.75" hidden="false" customHeight="true" outlineLevel="0" collapsed="false">
      <c r="B34" s="15" t="s">
        <v>120</v>
      </c>
      <c r="C34" s="15"/>
      <c r="D34" s="17" t="str">
        <f aca="false">IF(D31=0,"Descreva as etapas",IF(COUNTIF(H7:H16,"&lt;&gt;OK")-COUNTBLANK(H7:H16)+COUNTIF(H21:H28,"&lt;&gt;OK")-COUNTBLANK(H21:H28)&gt;0,"Há linha a rever: veja a coluna Conferência",IF(D32=0,"Nenhum item de terceiros: confirme se é isso mesmo","OK")))</f>
        <v>Descreva as etapas</v>
      </c>
      <c r="E34" s="17"/>
      <c r="F34" s="17"/>
      <c r="G34" s="17"/>
      <c r="H34" s="17"/>
    </row>
  </sheetData>
  <mergeCells count="13">
    <mergeCell ref="B1:H1"/>
    <mergeCell ref="B2:H2"/>
    <mergeCell ref="B4:H4"/>
    <mergeCell ref="B18:H18"/>
    <mergeCell ref="B30:H30"/>
    <mergeCell ref="B31:C31"/>
    <mergeCell ref="D31:H31"/>
    <mergeCell ref="B32:C32"/>
    <mergeCell ref="D32:H32"/>
    <mergeCell ref="B33:C33"/>
    <mergeCell ref="D33:H33"/>
    <mergeCell ref="B34:C34"/>
    <mergeCell ref="D34:H34"/>
  </mergeCells>
  <conditionalFormatting sqref="H7:H16">
    <cfRule type="expression" priority="2" aboveAverage="0" equalAverage="0" bottom="0" percent="0" rank="0" text="" dxfId="0">
      <formula>OR(H7="OK")</formula>
    </cfRule>
    <cfRule type="expression" priority="3" aboveAverage="0" equalAverage="0" bottom="0" percent="0" rank="0" text="" dxfId="1">
      <formula>AND(LEN(H7)&gt;0,NOT(OR(H7="OK")))</formula>
    </cfRule>
  </conditionalFormatting>
  <conditionalFormatting sqref="H21:H28">
    <cfRule type="expression" priority="4" aboveAverage="0" equalAverage="0" bottom="0" percent="0" rank="0" text="" dxfId="0">
      <formula>OR(H21="OK")</formula>
    </cfRule>
    <cfRule type="expression" priority="5" aboveAverage="0" equalAverage="0" bottom="0" percent="0" rank="0" text="" dxfId="1">
      <formula>AND(LEN(H21)&gt;0,NOT(OR(H21="OK")))</formula>
    </cfRule>
  </conditionalFormatting>
  <conditionalFormatting sqref="D34:H34">
    <cfRule type="expression" priority="6" aboveAverage="0" equalAverage="0" bottom="0" percent="0" rank="0" text="" dxfId="0">
      <formula>OR(D34="OK",D34="Nenhum item de terceiros: confirme se é isso mesmo")</formula>
    </cfRule>
    <cfRule type="expression" priority="7" aboveAverage="0" equalAverage="0" bottom="0" percent="0" rank="0" text="" dxfId="1">
      <formula>AND(LEN(D34)&gt;0,NOT(OR(D34="OK",D34="Nenhum item de terceiros: confirme se é isso mesmo")))</formula>
    </cfRule>
  </conditionalFormatting>
  <dataValidations count="1">
    <dataValidation allowBlank="true" error="Escolha uma das opções da lista." errorStyle="stop" errorTitle="Valor inválido" operator="between" prompt="A quem o item pertence" promptTitle="Opções" showDropDown="false" showErrorMessage="true" showInputMessage="true" sqref="D21:D28" type="list">
      <formula1>"Cliente,Fornecedor"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36"/>
    <col collapsed="false" customWidth="true" hidden="false" outlineLevel="0" max="7" min="7" style="0" width="20"/>
    <col collapsed="false" customWidth="true" hidden="false" outlineLevel="0" max="8" min="8" style="0" width="36"/>
    <col collapsed="false" customWidth="true" hidden="false" outlineLevel="0" max="9" min="9" style="0" width="24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174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175</v>
      </c>
      <c r="C2" s="2"/>
      <c r="D2" s="2"/>
      <c r="E2" s="2"/>
      <c r="F2" s="2"/>
      <c r="G2" s="2"/>
      <c r="H2" s="2"/>
      <c r="I2" s="2"/>
    </row>
    <row r="4" customFormat="false" ht="33" hidden="false" customHeight="true" outlineLevel="0" collapsed="false">
      <c r="B4" s="8" t="s">
        <v>71</v>
      </c>
      <c r="C4" s="8" t="s">
        <v>123</v>
      </c>
      <c r="D4" s="8" t="s">
        <v>176</v>
      </c>
      <c r="E4" s="8" t="s">
        <v>177</v>
      </c>
      <c r="F4" s="8" t="s">
        <v>178</v>
      </c>
      <c r="G4" s="8" t="s">
        <v>179</v>
      </c>
      <c r="H4" s="8" t="s">
        <v>180</v>
      </c>
      <c r="I4" s="8" t="s">
        <v>83</v>
      </c>
    </row>
    <row r="5" customFormat="false" ht="30" hidden="false" customHeight="true" outlineLevel="0" collapsed="false">
      <c r="B5" s="9"/>
      <c r="C5" s="9" t="s">
        <v>123</v>
      </c>
      <c r="D5" s="9" t="s">
        <v>181</v>
      </c>
      <c r="E5" s="9" t="s">
        <v>182</v>
      </c>
      <c r="F5" s="9" t="s">
        <v>183</v>
      </c>
      <c r="G5" s="9" t="s">
        <v>91</v>
      </c>
      <c r="H5" s="9" t="s">
        <v>184</v>
      </c>
      <c r="I5" s="9" t="s">
        <v>95</v>
      </c>
    </row>
    <row r="6" customFormat="false" ht="30" hidden="false" customHeight="true" outlineLevel="0" collapsed="false">
      <c r="B6" s="9" t="s">
        <v>139</v>
      </c>
      <c r="C6" s="18" t="n">
        <v>46448</v>
      </c>
      <c r="D6" s="19" t="s">
        <v>185</v>
      </c>
      <c r="E6" s="19" t="s">
        <v>186</v>
      </c>
      <c r="F6" s="19" t="s">
        <v>187</v>
      </c>
      <c r="G6" s="19" t="s">
        <v>188</v>
      </c>
      <c r="H6" s="19" t="s">
        <v>189</v>
      </c>
      <c r="I6" s="9" t="s">
        <v>145</v>
      </c>
    </row>
    <row r="7" customFormat="false" ht="30" hidden="false" customHeight="true" outlineLevel="0" collapsed="false">
      <c r="B7" s="10" t="n">
        <v>1</v>
      </c>
      <c r="C7" s="20"/>
      <c r="D7" s="5"/>
      <c r="E7" s="5"/>
      <c r="F7" s="5"/>
      <c r="G7" s="5"/>
      <c r="H7" s="5"/>
      <c r="I7" s="13" t="str">
        <f aca="false">IF(D7="",IF(COUNTA(C7,E7:H7)&gt;0,"Falta o que mudou",""),IF(C7="","Falta a data",IF(F7="","Falta a análise",IF(G7="","Falta quem autorizou","OK"))))</f>
        <v/>
      </c>
    </row>
    <row r="8" customFormat="false" ht="30" hidden="false" customHeight="true" outlineLevel="0" collapsed="false">
      <c r="B8" s="10" t="n">
        <v>2</v>
      </c>
      <c r="C8" s="20"/>
      <c r="D8" s="5"/>
      <c r="E8" s="5"/>
      <c r="F8" s="5"/>
      <c r="G8" s="5"/>
      <c r="H8" s="5"/>
      <c r="I8" s="13" t="str">
        <f aca="false">IF(D8="",IF(COUNTA(C8,E8:H8)&gt;0,"Falta o que mudou",""),IF(C8="","Falta a data",IF(F8="","Falta a análise",IF(G8="","Falta quem autorizou","OK"))))</f>
        <v/>
      </c>
    </row>
    <row r="9" customFormat="false" ht="30" hidden="false" customHeight="true" outlineLevel="0" collapsed="false">
      <c r="B9" s="10" t="n">
        <v>3</v>
      </c>
      <c r="C9" s="20"/>
      <c r="D9" s="5"/>
      <c r="E9" s="5"/>
      <c r="F9" s="5"/>
      <c r="G9" s="5"/>
      <c r="H9" s="5"/>
      <c r="I9" s="13" t="str">
        <f aca="false">IF(D9="",IF(COUNTA(C9,E9:H9)&gt;0,"Falta o que mudou",""),IF(C9="","Falta a data",IF(F9="","Falta a análise",IF(G9="","Falta quem autorizou","OK"))))</f>
        <v/>
      </c>
    </row>
    <row r="10" customFormat="false" ht="30" hidden="false" customHeight="true" outlineLevel="0" collapsed="false">
      <c r="B10" s="10" t="n">
        <v>4</v>
      </c>
      <c r="C10" s="20"/>
      <c r="D10" s="5"/>
      <c r="E10" s="5"/>
      <c r="F10" s="5"/>
      <c r="G10" s="5"/>
      <c r="H10" s="5"/>
      <c r="I10" s="13" t="str">
        <f aca="false">IF(D10="",IF(COUNTA(C10,E10:H10)&gt;0,"Falta o que mudou",""),IF(C10="","Falta a data",IF(F10="","Falta a análise",IF(G10="","Falta quem autorizou","OK"))))</f>
        <v/>
      </c>
    </row>
    <row r="11" customFormat="false" ht="30" hidden="false" customHeight="true" outlineLevel="0" collapsed="false">
      <c r="B11" s="10" t="n">
        <v>5</v>
      </c>
      <c r="C11" s="20"/>
      <c r="D11" s="5"/>
      <c r="E11" s="5"/>
      <c r="F11" s="5"/>
      <c r="G11" s="5"/>
      <c r="H11" s="5"/>
      <c r="I11" s="13" t="str">
        <f aca="false">IF(D11="",IF(COUNTA(C11,E11:H11)&gt;0,"Falta o que mudou",""),IF(C11="","Falta a data",IF(F11="","Falta a análise",IF(G11="","Falta quem autorizou","OK"))))</f>
        <v/>
      </c>
    </row>
    <row r="12" customFormat="false" ht="30" hidden="false" customHeight="true" outlineLevel="0" collapsed="false">
      <c r="B12" s="10" t="n">
        <v>6</v>
      </c>
      <c r="C12" s="20"/>
      <c r="D12" s="5"/>
      <c r="E12" s="5"/>
      <c r="F12" s="5"/>
      <c r="G12" s="5"/>
      <c r="H12" s="5"/>
      <c r="I12" s="13" t="str">
        <f aca="false">IF(D12="",IF(COUNTA(C12,E12:H12)&gt;0,"Falta o que mudou",""),IF(C12="","Falta a data",IF(F12="","Falta a análise",IF(G12="","Falta quem autorizou","OK"))))</f>
        <v/>
      </c>
    </row>
    <row r="13" customFormat="false" ht="30" hidden="false" customHeight="true" outlineLevel="0" collapsed="false">
      <c r="B13" s="10" t="n">
        <v>7</v>
      </c>
      <c r="C13" s="20"/>
      <c r="D13" s="5"/>
      <c r="E13" s="5"/>
      <c r="F13" s="5"/>
      <c r="G13" s="5"/>
      <c r="H13" s="5"/>
      <c r="I13" s="13" t="str">
        <f aca="false">IF(D13="",IF(COUNTA(C13,E13:H13)&gt;0,"Falta o que mudou",""),IF(C13="","Falta a data",IF(F13="","Falta a análise",IF(G13="","Falta quem autorizou","OK"))))</f>
        <v/>
      </c>
    </row>
    <row r="14" customFormat="false" ht="30" hidden="false" customHeight="true" outlineLevel="0" collapsed="false">
      <c r="B14" s="10" t="n">
        <v>8</v>
      </c>
      <c r="C14" s="20"/>
      <c r="D14" s="5"/>
      <c r="E14" s="5"/>
      <c r="F14" s="5"/>
      <c r="G14" s="5"/>
      <c r="H14" s="5"/>
      <c r="I14" s="13" t="str">
        <f aca="false">IF(D14="",IF(COUNTA(C14,E14:H14)&gt;0,"Falta o que mudou",""),IF(C14="","Falta a data",IF(F14="","Falta a análise",IF(G14="","Falta quem autorizou","OK"))))</f>
        <v/>
      </c>
    </row>
    <row r="15" customFormat="false" ht="30" hidden="false" customHeight="true" outlineLevel="0" collapsed="false">
      <c r="B15" s="10" t="n">
        <v>9</v>
      </c>
      <c r="C15" s="20"/>
      <c r="D15" s="5"/>
      <c r="E15" s="5"/>
      <c r="F15" s="5"/>
      <c r="G15" s="5"/>
      <c r="H15" s="5"/>
      <c r="I15" s="13" t="str">
        <f aca="false">IF(D15="",IF(COUNTA(C15,E15:H15)&gt;0,"Falta o que mudou",""),IF(C15="","Falta a data",IF(F15="","Falta a análise",IF(G15="","Falta quem autorizou","OK"))))</f>
        <v/>
      </c>
    </row>
    <row r="16" customFormat="false" ht="30" hidden="false" customHeight="true" outlineLevel="0" collapsed="false">
      <c r="B16" s="10" t="n">
        <v>10</v>
      </c>
      <c r="C16" s="20"/>
      <c r="D16" s="5"/>
      <c r="E16" s="5"/>
      <c r="F16" s="5"/>
      <c r="G16" s="5"/>
      <c r="H16" s="5"/>
      <c r="I16" s="13" t="str">
        <f aca="false">IF(D16="",IF(COUNTA(C16,E16:H16)&gt;0,"Falta o que mudou",""),IF(C16="","Falta a data",IF(F16="","Falta a análise",IF(G16="","Falta quem autorizou","OK"))))</f>
        <v/>
      </c>
    </row>
    <row r="17" customFormat="false" ht="30" hidden="false" customHeight="true" outlineLevel="0" collapsed="false">
      <c r="B17" s="10" t="n">
        <v>11</v>
      </c>
      <c r="C17" s="20"/>
      <c r="D17" s="5"/>
      <c r="E17" s="5"/>
      <c r="F17" s="5"/>
      <c r="G17" s="5"/>
      <c r="H17" s="5"/>
      <c r="I17" s="13" t="str">
        <f aca="false">IF(D17="",IF(COUNTA(C17,E17:H17)&gt;0,"Falta o que mudou",""),IF(C17="","Falta a data",IF(F17="","Falta a análise",IF(G17="","Falta quem autorizou","OK"))))</f>
        <v/>
      </c>
    </row>
    <row r="18" customFormat="false" ht="30" hidden="false" customHeight="true" outlineLevel="0" collapsed="false">
      <c r="B18" s="10" t="n">
        <v>12</v>
      </c>
      <c r="C18" s="20"/>
      <c r="D18" s="5"/>
      <c r="E18" s="5"/>
      <c r="F18" s="5"/>
      <c r="G18" s="5"/>
      <c r="H18" s="5"/>
      <c r="I18" s="13" t="str">
        <f aca="false">IF(D18="",IF(COUNTA(C18,E18:H18)&gt;0,"Falta o que mudou",""),IF(C18="","Falta a data",IF(F18="","Falta a análise",IF(G18="","Falta quem autorizou","OK"))))</f>
        <v/>
      </c>
    </row>
    <row r="20" customFormat="false" ht="21.75" hidden="false" customHeight="true" outlineLevel="0" collapsed="false">
      <c r="B20" s="14" t="s">
        <v>116</v>
      </c>
      <c r="C20" s="14"/>
      <c r="D20" s="14"/>
      <c r="E20" s="14"/>
      <c r="F20" s="14"/>
      <c r="G20" s="14"/>
      <c r="H20" s="14"/>
      <c r="I20" s="14"/>
    </row>
    <row r="21" customFormat="false" ht="21.75" hidden="false" customHeight="true" outlineLevel="0" collapsed="false">
      <c r="B21" s="15" t="s">
        <v>190</v>
      </c>
      <c r="C21" s="15"/>
      <c r="D21" s="15"/>
      <c r="E21" s="16" t="n">
        <f aca="false">COUNTA(D7:D18)</f>
        <v>0</v>
      </c>
      <c r="F21" s="16"/>
      <c r="G21" s="16"/>
      <c r="H21" s="16"/>
      <c r="I21" s="16"/>
    </row>
    <row r="22" customFormat="false" ht="21.75" hidden="false" customHeight="true" outlineLevel="0" collapsed="false">
      <c r="B22" s="15" t="s">
        <v>191</v>
      </c>
      <c r="C22" s="15"/>
      <c r="D22" s="15"/>
      <c r="E22" s="16" t="n">
        <f aca="false">COUNTIF(I7:I18,"OK")</f>
        <v>0</v>
      </c>
      <c r="F22" s="16"/>
      <c r="G22" s="16"/>
      <c r="H22" s="16"/>
      <c r="I22" s="16"/>
    </row>
    <row r="23" customFormat="false" ht="21.75" hidden="false" customHeight="true" outlineLevel="0" collapsed="false">
      <c r="B23" s="15" t="s">
        <v>120</v>
      </c>
      <c r="C23" s="15"/>
      <c r="D23" s="15"/>
      <c r="E23" s="17" t="str">
        <f aca="false">IF(E21=0,"Nenhuma mudança registrada: confirme se o processo não mudou",IF(E22&lt;E21,"Há mudança sem análise ou sem autorização","OK"))</f>
        <v>Nenhuma mudança registrada: confirme se o processo não mudou</v>
      </c>
      <c r="F23" s="17"/>
      <c r="G23" s="17"/>
      <c r="H23" s="17"/>
      <c r="I23" s="17"/>
    </row>
  </sheetData>
  <mergeCells count="9">
    <mergeCell ref="B1:I1"/>
    <mergeCell ref="B2:I2"/>
    <mergeCell ref="B20:I20"/>
    <mergeCell ref="B21:D21"/>
    <mergeCell ref="E21:I21"/>
    <mergeCell ref="B22:D22"/>
    <mergeCell ref="E22:I22"/>
    <mergeCell ref="B23:D23"/>
    <mergeCell ref="E23:I23"/>
  </mergeCells>
  <conditionalFormatting sqref="I7:I18">
    <cfRule type="expression" priority="2" aboveAverage="0" equalAverage="0" bottom="0" percent="0" rank="0" text="" dxfId="0">
      <formula>OR(I7="OK")</formula>
    </cfRule>
    <cfRule type="expression" priority="3" aboveAverage="0" equalAverage="0" bottom="0" percent="0" rank="0" text="" dxfId="1">
      <formula>AND(LEN(I7)&gt;0,NOT(OR(I7="OK")))</formula>
    </cfRule>
  </conditionalFormatting>
  <conditionalFormatting sqref="E23:I23">
    <cfRule type="expression" priority="4" aboveAverage="0" equalAverage="0" bottom="0" percent="0" rank="0" text="" dxfId="0">
      <formula>OR(E23="OK",E23="Nenhuma mudança registrada: confirme se o processo não mudou")</formula>
    </cfRule>
    <cfRule type="expression" priority="5" aboveAverage="0" equalAverage="0" bottom="0" percent="0" rank="0" text="" dxfId="1">
      <formula>AND(LEN(E23)&gt;0,NOT(OR(E23="OK",E23="Nenhuma mudança registrada: confirme se o processo não mudou")))</formula>
    </cfRule>
  </conditionalFormatting>
  <dataValidations count="1">
    <dataValidation allowBlank="true" error="Digite uma data no formato dia/mês/ano." errorStyle="stop" errorTitle="Data inválida" operator="greaterThanOrEqual" showDropDown="false" showErrorMessage="true" showInputMessage="false" sqref="C7:C18" type="date">
      <formula1>36526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192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193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4" t="s">
        <v>68</v>
      </c>
      <c r="C4" s="4"/>
      <c r="D4" s="24" t="str">
        <f aca="false">IF('Plano de controle'!D4="","",'Plano de controle'!D4)</f>
        <v/>
      </c>
      <c r="E4" s="24"/>
      <c r="F4" s="24"/>
      <c r="G4" s="24"/>
      <c r="H4" s="24"/>
      <c r="I4" s="24"/>
    </row>
    <row r="6" customFormat="false" ht="21.75" hidden="false" customHeight="true" outlineLevel="0" collapsed="false">
      <c r="B6" s="8" t="s">
        <v>194</v>
      </c>
      <c r="C6" s="8"/>
      <c r="D6" s="8" t="s">
        <v>195</v>
      </c>
      <c r="E6" s="8" t="s">
        <v>196</v>
      </c>
      <c r="F6" s="8"/>
      <c r="G6" s="8"/>
      <c r="H6" s="8"/>
      <c r="I6" s="8"/>
    </row>
    <row r="7" customFormat="false" ht="21.75" hidden="false" customHeight="true" outlineLevel="0" collapsed="false">
      <c r="B7" s="4" t="s">
        <v>197</v>
      </c>
      <c r="C7" s="4"/>
      <c r="D7" s="25" t="n">
        <f aca="false">COUNTA('Plano de controle'!D10:D29)</f>
        <v>0</v>
      </c>
      <c r="E7" s="26" t="s">
        <v>198</v>
      </c>
      <c r="F7" s="26"/>
      <c r="G7" s="26"/>
      <c r="H7" s="26"/>
      <c r="I7" s="26"/>
    </row>
    <row r="8" customFormat="false" ht="21.75" hidden="false" customHeight="true" outlineLevel="0" collapsed="false">
      <c r="B8" s="4" t="s">
        <v>146</v>
      </c>
      <c r="C8" s="4"/>
      <c r="D8" s="25" t="n">
        <f aca="false">COUNTA(Registros!E7:E156)</f>
        <v>0</v>
      </c>
      <c r="E8" s="26" t="s">
        <v>199</v>
      </c>
      <c r="F8" s="26"/>
      <c r="G8" s="26"/>
      <c r="H8" s="26"/>
      <c r="I8" s="26"/>
    </row>
    <row r="9" customFormat="false" ht="21.75" hidden="false" customHeight="true" outlineLevel="0" collapsed="false">
      <c r="B9" s="4" t="s">
        <v>147</v>
      </c>
      <c r="C9" s="4"/>
      <c r="D9" s="27" t="str">
        <f aca="false">IF(COUNTIF(Registros!L7:L156,"Dentro")+COUNTIF(Registros!L7:L156,"Fora")=0,"",COUNTIF(Registros!L7:L156,"Dentro")/(COUNTIF(Registros!L7:L156,"Dentro")+COUNTIF(Registros!L7:L156,"Fora")))</f>
        <v/>
      </c>
      <c r="E9" s="26" t="s">
        <v>200</v>
      </c>
      <c r="F9" s="26"/>
      <c r="G9" s="26"/>
      <c r="H9" s="26"/>
      <c r="I9" s="26"/>
    </row>
    <row r="10" customFormat="false" ht="21.75" hidden="false" customHeight="true" outlineLevel="0" collapsed="false">
      <c r="B10" s="4" t="s">
        <v>148</v>
      </c>
      <c r="C10" s="4"/>
      <c r="D10" s="25" t="n">
        <f aca="false">COUNTIF(Registros!L7:L156,"Fora")</f>
        <v>0</v>
      </c>
      <c r="E10" s="26" t="s">
        <v>201</v>
      </c>
      <c r="F10" s="26"/>
      <c r="G10" s="26"/>
      <c r="H10" s="26"/>
      <c r="I10" s="26"/>
    </row>
    <row r="11" customFormat="false" ht="21.75" hidden="false" customHeight="true" outlineLevel="0" collapsed="false">
      <c r="B11" s="4" t="s">
        <v>20</v>
      </c>
      <c r="C11" s="4"/>
      <c r="D11" s="25" t="n">
        <f aca="false">COUNTIF(Registros!O7:O156,"Fora sem reação registrada")</f>
        <v>0</v>
      </c>
      <c r="E11" s="26" t="s">
        <v>202</v>
      </c>
      <c r="F11" s="26"/>
      <c r="G11" s="26"/>
      <c r="H11" s="26"/>
      <c r="I11" s="26"/>
    </row>
    <row r="12" customFormat="false" ht="21.75" hidden="false" customHeight="true" outlineLevel="0" collapsed="false">
      <c r="B12" s="4" t="s">
        <v>203</v>
      </c>
      <c r="C12" s="4"/>
      <c r="D12" s="25" t="n">
        <f aca="false">COUNTIF(I18:I37,"Sem registro")</f>
        <v>0</v>
      </c>
      <c r="E12" s="26" t="s">
        <v>204</v>
      </c>
      <c r="F12" s="26"/>
      <c r="G12" s="26"/>
      <c r="H12" s="26"/>
      <c r="I12" s="26"/>
    </row>
    <row r="13" customFormat="false" ht="21.75" hidden="false" customHeight="true" outlineLevel="0" collapsed="false">
      <c r="B13" s="4" t="s">
        <v>205</v>
      </c>
      <c r="C13" s="4"/>
      <c r="D13" s="25" t="n">
        <f aca="false">COUNTIF(I18:I37,"Desvio repetido: analisar a causa")</f>
        <v>0</v>
      </c>
      <c r="E13" s="26" t="s">
        <v>206</v>
      </c>
      <c r="F13" s="26"/>
      <c r="G13" s="26"/>
      <c r="H13" s="26"/>
      <c r="I13" s="26"/>
    </row>
    <row r="14" customFormat="false" ht="21.75" hidden="false" customHeight="true" outlineLevel="0" collapsed="false">
      <c r="B14" s="4" t="s">
        <v>207</v>
      </c>
      <c r="C14" s="4"/>
      <c r="D14" s="25" t="str">
        <f aca="false">COUNTA(Mudanças!D7:D18)&amp;" registradas, "&amp;(COUNTA(Mudanças!D7:D18)-COUNTIF(Mudanças!I7:I18,"OK"))&amp;" a rever"</f>
        <v>0 registradas, 0 a rever</v>
      </c>
      <c r="E14" s="26" t="s">
        <v>208</v>
      </c>
      <c r="F14" s="26"/>
      <c r="G14" s="26"/>
      <c r="H14" s="26"/>
      <c r="I14" s="26"/>
    </row>
    <row r="16" customFormat="false" ht="21.75" hidden="false" customHeight="true" outlineLevel="0" collapsed="false">
      <c r="B16" s="14" t="s">
        <v>209</v>
      </c>
      <c r="C16" s="14"/>
      <c r="D16" s="14"/>
      <c r="E16" s="14"/>
      <c r="F16" s="14"/>
      <c r="G16" s="14"/>
      <c r="H16" s="14"/>
      <c r="I16" s="14"/>
    </row>
    <row r="17" customFormat="false" ht="33" hidden="false" customHeight="true" outlineLevel="0" collapsed="false">
      <c r="B17" s="8" t="s">
        <v>71</v>
      </c>
      <c r="C17" s="8" t="s">
        <v>126</v>
      </c>
      <c r="D17" s="8" t="s">
        <v>14</v>
      </c>
      <c r="E17" s="8" t="s">
        <v>210</v>
      </c>
      <c r="F17" s="8" t="s">
        <v>18</v>
      </c>
      <c r="G17" s="8" t="s">
        <v>211</v>
      </c>
      <c r="H17" s="8" t="s">
        <v>16</v>
      </c>
      <c r="I17" s="8" t="s">
        <v>131</v>
      </c>
    </row>
    <row r="18" customFormat="false" ht="24" hidden="false" customHeight="true" outlineLevel="0" collapsed="false">
      <c r="B18" s="10" t="s">
        <v>96</v>
      </c>
      <c r="C18" s="17" t="str">
        <f aca="false">IF('Plano de controle'!D10="","",'Plano de controle'!D10)</f>
        <v/>
      </c>
      <c r="D18" s="13" t="str">
        <f aca="false">IF(C18="","",'Plano de controle'!N10)</f>
        <v/>
      </c>
      <c r="E18" s="28" t="str">
        <f aca="false">IF(C18="","",COUNTIF(Registros!E7:E156,B18))</f>
        <v/>
      </c>
      <c r="F18" s="25" t="str">
        <f aca="false">IF(C18="","",SUMPRODUCT((Registros!E7:E156=B18)*(Registros!L7:L156="Fora")))</f>
        <v/>
      </c>
      <c r="G18" s="28" t="str">
        <f aca="false">IF(C18="","",SUMPRODUCT((Registros!E7:E156=B18)*(Registros!O7:O156="Fora sem reação registrada")))</f>
        <v/>
      </c>
      <c r="H18" s="29" t="str">
        <f aca="false">IF(OR(C18="",N(E18)=0),"",1-F18/E18)</f>
        <v/>
      </c>
      <c r="I18" s="17" t="str">
        <f aca="false">IF(C18="","",IF(E18=0,"Sem registro",IF(G18&gt;0,"Fora sem reação: cobrar",IF(F18&gt;1,"Desvio repetido: analisar a causa",IF(F18=1,"Um desvio, com reação","Dentro do critério")))))</f>
        <v/>
      </c>
    </row>
    <row r="19" customFormat="false" ht="24" hidden="false" customHeight="true" outlineLevel="0" collapsed="false">
      <c r="B19" s="10" t="s">
        <v>97</v>
      </c>
      <c r="C19" s="17" t="str">
        <f aca="false">IF('Plano de controle'!D11="","",'Plano de controle'!D11)</f>
        <v/>
      </c>
      <c r="D19" s="13" t="str">
        <f aca="false">IF(C19="","",'Plano de controle'!N11)</f>
        <v/>
      </c>
      <c r="E19" s="28" t="str">
        <f aca="false">IF(C19="","",COUNTIF(Registros!E7:E156,B19))</f>
        <v/>
      </c>
      <c r="F19" s="25" t="str">
        <f aca="false">IF(C19="","",SUMPRODUCT((Registros!E7:E156=B19)*(Registros!L7:L156="Fora")))</f>
        <v/>
      </c>
      <c r="G19" s="28" t="str">
        <f aca="false">IF(C19="","",SUMPRODUCT((Registros!E7:E156=B19)*(Registros!O7:O156="Fora sem reação registrada")))</f>
        <v/>
      </c>
      <c r="H19" s="29" t="str">
        <f aca="false">IF(OR(C19="",N(E19)=0),"",1-F19/E19)</f>
        <v/>
      </c>
      <c r="I19" s="17" t="str">
        <f aca="false">IF(C19="","",IF(E19=0,"Sem registro",IF(G19&gt;0,"Fora sem reação: cobrar",IF(F19&gt;1,"Desvio repetido: analisar a causa",IF(F19=1,"Um desvio, com reação","Dentro do critério")))))</f>
        <v/>
      </c>
    </row>
    <row r="20" customFormat="false" ht="24" hidden="false" customHeight="true" outlineLevel="0" collapsed="false">
      <c r="B20" s="10" t="s">
        <v>98</v>
      </c>
      <c r="C20" s="17" t="str">
        <f aca="false">IF('Plano de controle'!D12="","",'Plano de controle'!D12)</f>
        <v/>
      </c>
      <c r="D20" s="13" t="str">
        <f aca="false">IF(C20="","",'Plano de controle'!N12)</f>
        <v/>
      </c>
      <c r="E20" s="28" t="str">
        <f aca="false">IF(C20="","",COUNTIF(Registros!E7:E156,B20))</f>
        <v/>
      </c>
      <c r="F20" s="25" t="str">
        <f aca="false">IF(C20="","",SUMPRODUCT((Registros!E7:E156=B20)*(Registros!L7:L156="Fora")))</f>
        <v/>
      </c>
      <c r="G20" s="28" t="str">
        <f aca="false">IF(C20="","",SUMPRODUCT((Registros!E7:E156=B20)*(Registros!O7:O156="Fora sem reação registrada")))</f>
        <v/>
      </c>
      <c r="H20" s="29" t="str">
        <f aca="false">IF(OR(C20="",N(E20)=0),"",1-F20/E20)</f>
        <v/>
      </c>
      <c r="I20" s="17" t="str">
        <f aca="false">IF(C20="","",IF(E20=0,"Sem registro",IF(G20&gt;0,"Fora sem reação: cobrar",IF(F20&gt;1,"Desvio repetido: analisar a causa",IF(F20=1,"Um desvio, com reação","Dentro do critério")))))</f>
        <v/>
      </c>
    </row>
    <row r="21" customFormat="false" ht="24" hidden="false" customHeight="true" outlineLevel="0" collapsed="false">
      <c r="B21" s="10" t="s">
        <v>99</v>
      </c>
      <c r="C21" s="17" t="str">
        <f aca="false">IF('Plano de controle'!D13="","",'Plano de controle'!D13)</f>
        <v/>
      </c>
      <c r="D21" s="13" t="str">
        <f aca="false">IF(C21="","",'Plano de controle'!N13)</f>
        <v/>
      </c>
      <c r="E21" s="28" t="str">
        <f aca="false">IF(C21="","",COUNTIF(Registros!E7:E156,B21))</f>
        <v/>
      </c>
      <c r="F21" s="25" t="str">
        <f aca="false">IF(C21="","",SUMPRODUCT((Registros!E7:E156=B21)*(Registros!L7:L156="Fora")))</f>
        <v/>
      </c>
      <c r="G21" s="28" t="str">
        <f aca="false">IF(C21="","",SUMPRODUCT((Registros!E7:E156=B21)*(Registros!O7:O156="Fora sem reação registrada")))</f>
        <v/>
      </c>
      <c r="H21" s="29" t="str">
        <f aca="false">IF(OR(C21="",N(E21)=0),"",1-F21/E21)</f>
        <v/>
      </c>
      <c r="I21" s="17" t="str">
        <f aca="false">IF(C21="","",IF(E21=0,"Sem registro",IF(G21&gt;0,"Fora sem reação: cobrar",IF(F21&gt;1,"Desvio repetido: analisar a causa",IF(F21=1,"Um desvio, com reação","Dentro do critério")))))</f>
        <v/>
      </c>
    </row>
    <row r="22" customFormat="false" ht="24" hidden="false" customHeight="true" outlineLevel="0" collapsed="false">
      <c r="B22" s="10" t="s">
        <v>100</v>
      </c>
      <c r="C22" s="17" t="str">
        <f aca="false">IF('Plano de controle'!D14="","",'Plano de controle'!D14)</f>
        <v/>
      </c>
      <c r="D22" s="13" t="str">
        <f aca="false">IF(C22="","",'Plano de controle'!N14)</f>
        <v/>
      </c>
      <c r="E22" s="28" t="str">
        <f aca="false">IF(C22="","",COUNTIF(Registros!E7:E156,B22))</f>
        <v/>
      </c>
      <c r="F22" s="25" t="str">
        <f aca="false">IF(C22="","",SUMPRODUCT((Registros!E7:E156=B22)*(Registros!L7:L156="Fora")))</f>
        <v/>
      </c>
      <c r="G22" s="28" t="str">
        <f aca="false">IF(C22="","",SUMPRODUCT((Registros!E7:E156=B22)*(Registros!O7:O156="Fora sem reação registrada")))</f>
        <v/>
      </c>
      <c r="H22" s="29" t="str">
        <f aca="false">IF(OR(C22="",N(E22)=0),"",1-F22/E22)</f>
        <v/>
      </c>
      <c r="I22" s="17" t="str">
        <f aca="false">IF(C22="","",IF(E22=0,"Sem registro",IF(G22&gt;0,"Fora sem reação: cobrar",IF(F22&gt;1,"Desvio repetido: analisar a causa",IF(F22=1,"Um desvio, com reação","Dentro do critério")))))</f>
        <v/>
      </c>
    </row>
    <row r="23" customFormat="false" ht="24" hidden="false" customHeight="true" outlineLevel="0" collapsed="false">
      <c r="B23" s="10" t="s">
        <v>101</v>
      </c>
      <c r="C23" s="17" t="str">
        <f aca="false">IF('Plano de controle'!D15="","",'Plano de controle'!D15)</f>
        <v/>
      </c>
      <c r="D23" s="13" t="str">
        <f aca="false">IF(C23="","",'Plano de controle'!N15)</f>
        <v/>
      </c>
      <c r="E23" s="28" t="str">
        <f aca="false">IF(C23="","",COUNTIF(Registros!E7:E156,B23))</f>
        <v/>
      </c>
      <c r="F23" s="25" t="str">
        <f aca="false">IF(C23="","",SUMPRODUCT((Registros!E7:E156=B23)*(Registros!L7:L156="Fora")))</f>
        <v/>
      </c>
      <c r="G23" s="28" t="str">
        <f aca="false">IF(C23="","",SUMPRODUCT((Registros!E7:E156=B23)*(Registros!O7:O156="Fora sem reação registrada")))</f>
        <v/>
      </c>
      <c r="H23" s="29" t="str">
        <f aca="false">IF(OR(C23="",N(E23)=0),"",1-F23/E23)</f>
        <v/>
      </c>
      <c r="I23" s="17" t="str">
        <f aca="false">IF(C23="","",IF(E23=0,"Sem registro",IF(G23&gt;0,"Fora sem reação: cobrar",IF(F23&gt;1,"Desvio repetido: analisar a causa",IF(F23=1,"Um desvio, com reação","Dentro do critério")))))</f>
        <v/>
      </c>
    </row>
    <row r="24" customFormat="false" ht="24" hidden="false" customHeight="true" outlineLevel="0" collapsed="false">
      <c r="B24" s="10" t="s">
        <v>102</v>
      </c>
      <c r="C24" s="17" t="str">
        <f aca="false">IF('Plano de controle'!D16="","",'Plano de controle'!D16)</f>
        <v/>
      </c>
      <c r="D24" s="13" t="str">
        <f aca="false">IF(C24="","",'Plano de controle'!N16)</f>
        <v/>
      </c>
      <c r="E24" s="28" t="str">
        <f aca="false">IF(C24="","",COUNTIF(Registros!E7:E156,B24))</f>
        <v/>
      </c>
      <c r="F24" s="25" t="str">
        <f aca="false">IF(C24="","",SUMPRODUCT((Registros!E7:E156=B24)*(Registros!L7:L156="Fora")))</f>
        <v/>
      </c>
      <c r="G24" s="28" t="str">
        <f aca="false">IF(C24="","",SUMPRODUCT((Registros!E7:E156=B24)*(Registros!O7:O156="Fora sem reação registrada")))</f>
        <v/>
      </c>
      <c r="H24" s="29" t="str">
        <f aca="false">IF(OR(C24="",N(E24)=0),"",1-F24/E24)</f>
        <v/>
      </c>
      <c r="I24" s="17" t="str">
        <f aca="false">IF(C24="","",IF(E24=0,"Sem registro",IF(G24&gt;0,"Fora sem reação: cobrar",IF(F24&gt;1,"Desvio repetido: analisar a causa",IF(F24=1,"Um desvio, com reação","Dentro do critério")))))</f>
        <v/>
      </c>
    </row>
    <row r="25" customFormat="false" ht="24" hidden="false" customHeight="true" outlineLevel="0" collapsed="false">
      <c r="B25" s="10" t="s">
        <v>103</v>
      </c>
      <c r="C25" s="17" t="str">
        <f aca="false">IF('Plano de controle'!D17="","",'Plano de controle'!D17)</f>
        <v/>
      </c>
      <c r="D25" s="13" t="str">
        <f aca="false">IF(C25="","",'Plano de controle'!N17)</f>
        <v/>
      </c>
      <c r="E25" s="28" t="str">
        <f aca="false">IF(C25="","",COUNTIF(Registros!E7:E156,B25))</f>
        <v/>
      </c>
      <c r="F25" s="25" t="str">
        <f aca="false">IF(C25="","",SUMPRODUCT((Registros!E7:E156=B25)*(Registros!L7:L156="Fora")))</f>
        <v/>
      </c>
      <c r="G25" s="28" t="str">
        <f aca="false">IF(C25="","",SUMPRODUCT((Registros!E7:E156=B25)*(Registros!O7:O156="Fora sem reação registrada")))</f>
        <v/>
      </c>
      <c r="H25" s="29" t="str">
        <f aca="false">IF(OR(C25="",N(E25)=0),"",1-F25/E25)</f>
        <v/>
      </c>
      <c r="I25" s="17" t="str">
        <f aca="false">IF(C25="","",IF(E25=0,"Sem registro",IF(G25&gt;0,"Fora sem reação: cobrar",IF(F25&gt;1,"Desvio repetido: analisar a causa",IF(F25=1,"Um desvio, com reação","Dentro do critério")))))</f>
        <v/>
      </c>
    </row>
    <row r="26" customFormat="false" ht="24" hidden="false" customHeight="true" outlineLevel="0" collapsed="false">
      <c r="B26" s="10" t="s">
        <v>104</v>
      </c>
      <c r="C26" s="17" t="str">
        <f aca="false">IF('Plano de controle'!D18="","",'Plano de controle'!D18)</f>
        <v/>
      </c>
      <c r="D26" s="13" t="str">
        <f aca="false">IF(C26="","",'Plano de controle'!N18)</f>
        <v/>
      </c>
      <c r="E26" s="28" t="str">
        <f aca="false">IF(C26="","",COUNTIF(Registros!E7:E156,B26))</f>
        <v/>
      </c>
      <c r="F26" s="25" t="str">
        <f aca="false">IF(C26="","",SUMPRODUCT((Registros!E7:E156=B26)*(Registros!L7:L156="Fora")))</f>
        <v/>
      </c>
      <c r="G26" s="28" t="str">
        <f aca="false">IF(C26="","",SUMPRODUCT((Registros!E7:E156=B26)*(Registros!O7:O156="Fora sem reação registrada")))</f>
        <v/>
      </c>
      <c r="H26" s="29" t="str">
        <f aca="false">IF(OR(C26="",N(E26)=0),"",1-F26/E26)</f>
        <v/>
      </c>
      <c r="I26" s="17" t="str">
        <f aca="false">IF(C26="","",IF(E26=0,"Sem registro",IF(G26&gt;0,"Fora sem reação: cobrar",IF(F26&gt;1,"Desvio repetido: analisar a causa",IF(F26=1,"Um desvio, com reação","Dentro do critério")))))</f>
        <v/>
      </c>
    </row>
    <row r="27" customFormat="false" ht="24" hidden="false" customHeight="true" outlineLevel="0" collapsed="false">
      <c r="B27" s="10" t="s">
        <v>105</v>
      </c>
      <c r="C27" s="17" t="str">
        <f aca="false">IF('Plano de controle'!D19="","",'Plano de controle'!D19)</f>
        <v/>
      </c>
      <c r="D27" s="13" t="str">
        <f aca="false">IF(C27="","",'Plano de controle'!N19)</f>
        <v/>
      </c>
      <c r="E27" s="28" t="str">
        <f aca="false">IF(C27="","",COUNTIF(Registros!E7:E156,B27))</f>
        <v/>
      </c>
      <c r="F27" s="25" t="str">
        <f aca="false">IF(C27="","",SUMPRODUCT((Registros!E7:E156=B27)*(Registros!L7:L156="Fora")))</f>
        <v/>
      </c>
      <c r="G27" s="28" t="str">
        <f aca="false">IF(C27="","",SUMPRODUCT((Registros!E7:E156=B27)*(Registros!O7:O156="Fora sem reação registrada")))</f>
        <v/>
      </c>
      <c r="H27" s="29" t="str">
        <f aca="false">IF(OR(C27="",N(E27)=0),"",1-F27/E27)</f>
        <v/>
      </c>
      <c r="I27" s="17" t="str">
        <f aca="false">IF(C27="","",IF(E27=0,"Sem registro",IF(G27&gt;0,"Fora sem reação: cobrar",IF(F27&gt;1,"Desvio repetido: analisar a causa",IF(F27=1,"Um desvio, com reação","Dentro do critério")))))</f>
        <v/>
      </c>
    </row>
    <row r="28" customFormat="false" ht="24" hidden="false" customHeight="true" outlineLevel="0" collapsed="false">
      <c r="B28" s="10" t="s">
        <v>106</v>
      </c>
      <c r="C28" s="17" t="str">
        <f aca="false">IF('Plano de controle'!D20="","",'Plano de controle'!D20)</f>
        <v/>
      </c>
      <c r="D28" s="13" t="str">
        <f aca="false">IF(C28="","",'Plano de controle'!N20)</f>
        <v/>
      </c>
      <c r="E28" s="28" t="str">
        <f aca="false">IF(C28="","",COUNTIF(Registros!E7:E156,B28))</f>
        <v/>
      </c>
      <c r="F28" s="25" t="str">
        <f aca="false">IF(C28="","",SUMPRODUCT((Registros!E7:E156=B28)*(Registros!L7:L156="Fora")))</f>
        <v/>
      </c>
      <c r="G28" s="28" t="str">
        <f aca="false">IF(C28="","",SUMPRODUCT((Registros!E7:E156=B28)*(Registros!O7:O156="Fora sem reação registrada")))</f>
        <v/>
      </c>
      <c r="H28" s="29" t="str">
        <f aca="false">IF(OR(C28="",N(E28)=0),"",1-F28/E28)</f>
        <v/>
      </c>
      <c r="I28" s="17" t="str">
        <f aca="false">IF(C28="","",IF(E28=0,"Sem registro",IF(G28&gt;0,"Fora sem reação: cobrar",IF(F28&gt;1,"Desvio repetido: analisar a causa",IF(F28=1,"Um desvio, com reação","Dentro do critério")))))</f>
        <v/>
      </c>
    </row>
    <row r="29" customFormat="false" ht="24" hidden="false" customHeight="true" outlineLevel="0" collapsed="false">
      <c r="B29" s="10" t="s">
        <v>107</v>
      </c>
      <c r="C29" s="17" t="str">
        <f aca="false">IF('Plano de controle'!D21="","",'Plano de controle'!D21)</f>
        <v/>
      </c>
      <c r="D29" s="13" t="str">
        <f aca="false">IF(C29="","",'Plano de controle'!N21)</f>
        <v/>
      </c>
      <c r="E29" s="28" t="str">
        <f aca="false">IF(C29="","",COUNTIF(Registros!E7:E156,B29))</f>
        <v/>
      </c>
      <c r="F29" s="25" t="str">
        <f aca="false">IF(C29="","",SUMPRODUCT((Registros!E7:E156=B29)*(Registros!L7:L156="Fora")))</f>
        <v/>
      </c>
      <c r="G29" s="28" t="str">
        <f aca="false">IF(C29="","",SUMPRODUCT((Registros!E7:E156=B29)*(Registros!O7:O156="Fora sem reação registrada")))</f>
        <v/>
      </c>
      <c r="H29" s="29" t="str">
        <f aca="false">IF(OR(C29="",N(E29)=0),"",1-F29/E29)</f>
        <v/>
      </c>
      <c r="I29" s="17" t="str">
        <f aca="false">IF(C29="","",IF(E29=0,"Sem registro",IF(G29&gt;0,"Fora sem reação: cobrar",IF(F29&gt;1,"Desvio repetido: analisar a causa",IF(F29=1,"Um desvio, com reação","Dentro do critério")))))</f>
        <v/>
      </c>
    </row>
    <row r="30" customFormat="false" ht="24" hidden="false" customHeight="true" outlineLevel="0" collapsed="false">
      <c r="B30" s="10" t="s">
        <v>108</v>
      </c>
      <c r="C30" s="17" t="str">
        <f aca="false">IF('Plano de controle'!D22="","",'Plano de controle'!D22)</f>
        <v/>
      </c>
      <c r="D30" s="13" t="str">
        <f aca="false">IF(C30="","",'Plano de controle'!N22)</f>
        <v/>
      </c>
      <c r="E30" s="28" t="str">
        <f aca="false">IF(C30="","",COUNTIF(Registros!E7:E156,B30))</f>
        <v/>
      </c>
      <c r="F30" s="25" t="str">
        <f aca="false">IF(C30="","",SUMPRODUCT((Registros!E7:E156=B30)*(Registros!L7:L156="Fora")))</f>
        <v/>
      </c>
      <c r="G30" s="28" t="str">
        <f aca="false">IF(C30="","",SUMPRODUCT((Registros!E7:E156=B30)*(Registros!O7:O156="Fora sem reação registrada")))</f>
        <v/>
      </c>
      <c r="H30" s="29" t="str">
        <f aca="false">IF(OR(C30="",N(E30)=0),"",1-F30/E30)</f>
        <v/>
      </c>
      <c r="I30" s="17" t="str">
        <f aca="false">IF(C30="","",IF(E30=0,"Sem registro",IF(G30&gt;0,"Fora sem reação: cobrar",IF(F30&gt;1,"Desvio repetido: analisar a causa",IF(F30=1,"Um desvio, com reação","Dentro do critério")))))</f>
        <v/>
      </c>
    </row>
    <row r="31" customFormat="false" ht="24" hidden="false" customHeight="true" outlineLevel="0" collapsed="false">
      <c r="B31" s="10" t="s">
        <v>109</v>
      </c>
      <c r="C31" s="17" t="str">
        <f aca="false">IF('Plano de controle'!D23="","",'Plano de controle'!D23)</f>
        <v/>
      </c>
      <c r="D31" s="13" t="str">
        <f aca="false">IF(C31="","",'Plano de controle'!N23)</f>
        <v/>
      </c>
      <c r="E31" s="28" t="str">
        <f aca="false">IF(C31="","",COUNTIF(Registros!E7:E156,B31))</f>
        <v/>
      </c>
      <c r="F31" s="25" t="str">
        <f aca="false">IF(C31="","",SUMPRODUCT((Registros!E7:E156=B31)*(Registros!L7:L156="Fora")))</f>
        <v/>
      </c>
      <c r="G31" s="28" t="str">
        <f aca="false">IF(C31="","",SUMPRODUCT((Registros!E7:E156=B31)*(Registros!O7:O156="Fora sem reação registrada")))</f>
        <v/>
      </c>
      <c r="H31" s="29" t="str">
        <f aca="false">IF(OR(C31="",N(E31)=0),"",1-F31/E31)</f>
        <v/>
      </c>
      <c r="I31" s="17" t="str">
        <f aca="false">IF(C31="","",IF(E31=0,"Sem registro",IF(G31&gt;0,"Fora sem reação: cobrar",IF(F31&gt;1,"Desvio repetido: analisar a causa",IF(F31=1,"Um desvio, com reação","Dentro do critério")))))</f>
        <v/>
      </c>
    </row>
    <row r="32" customFormat="false" ht="24" hidden="false" customHeight="true" outlineLevel="0" collapsed="false">
      <c r="B32" s="10" t="s">
        <v>110</v>
      </c>
      <c r="C32" s="17" t="str">
        <f aca="false">IF('Plano de controle'!D24="","",'Plano de controle'!D24)</f>
        <v/>
      </c>
      <c r="D32" s="13" t="str">
        <f aca="false">IF(C32="","",'Plano de controle'!N24)</f>
        <v/>
      </c>
      <c r="E32" s="28" t="str">
        <f aca="false">IF(C32="","",COUNTIF(Registros!E7:E156,B32))</f>
        <v/>
      </c>
      <c r="F32" s="25" t="str">
        <f aca="false">IF(C32="","",SUMPRODUCT((Registros!E7:E156=B32)*(Registros!L7:L156="Fora")))</f>
        <v/>
      </c>
      <c r="G32" s="28" t="str">
        <f aca="false">IF(C32="","",SUMPRODUCT((Registros!E7:E156=B32)*(Registros!O7:O156="Fora sem reação registrada")))</f>
        <v/>
      </c>
      <c r="H32" s="29" t="str">
        <f aca="false">IF(OR(C32="",N(E32)=0),"",1-F32/E32)</f>
        <v/>
      </c>
      <c r="I32" s="17" t="str">
        <f aca="false">IF(C32="","",IF(E32=0,"Sem registro",IF(G32&gt;0,"Fora sem reação: cobrar",IF(F32&gt;1,"Desvio repetido: analisar a causa",IF(F32=1,"Um desvio, com reação","Dentro do critério")))))</f>
        <v/>
      </c>
    </row>
    <row r="33" customFormat="false" ht="24" hidden="false" customHeight="true" outlineLevel="0" collapsed="false">
      <c r="B33" s="10" t="s">
        <v>111</v>
      </c>
      <c r="C33" s="17" t="str">
        <f aca="false">IF('Plano de controle'!D25="","",'Plano de controle'!D25)</f>
        <v/>
      </c>
      <c r="D33" s="13" t="str">
        <f aca="false">IF(C33="","",'Plano de controle'!N25)</f>
        <v/>
      </c>
      <c r="E33" s="28" t="str">
        <f aca="false">IF(C33="","",COUNTIF(Registros!E7:E156,B33))</f>
        <v/>
      </c>
      <c r="F33" s="25" t="str">
        <f aca="false">IF(C33="","",SUMPRODUCT((Registros!E7:E156=B33)*(Registros!L7:L156="Fora")))</f>
        <v/>
      </c>
      <c r="G33" s="28" t="str">
        <f aca="false">IF(C33="","",SUMPRODUCT((Registros!E7:E156=B33)*(Registros!O7:O156="Fora sem reação registrada")))</f>
        <v/>
      </c>
      <c r="H33" s="29" t="str">
        <f aca="false">IF(OR(C33="",N(E33)=0),"",1-F33/E33)</f>
        <v/>
      </c>
      <c r="I33" s="17" t="str">
        <f aca="false">IF(C33="","",IF(E33=0,"Sem registro",IF(G33&gt;0,"Fora sem reação: cobrar",IF(F33&gt;1,"Desvio repetido: analisar a causa",IF(F33=1,"Um desvio, com reação","Dentro do critério")))))</f>
        <v/>
      </c>
    </row>
    <row r="34" customFormat="false" ht="24" hidden="false" customHeight="true" outlineLevel="0" collapsed="false">
      <c r="B34" s="10" t="s">
        <v>112</v>
      </c>
      <c r="C34" s="17" t="str">
        <f aca="false">IF('Plano de controle'!D26="","",'Plano de controle'!D26)</f>
        <v/>
      </c>
      <c r="D34" s="13" t="str">
        <f aca="false">IF(C34="","",'Plano de controle'!N26)</f>
        <v/>
      </c>
      <c r="E34" s="28" t="str">
        <f aca="false">IF(C34="","",COUNTIF(Registros!E7:E156,B34))</f>
        <v/>
      </c>
      <c r="F34" s="25" t="str">
        <f aca="false">IF(C34="","",SUMPRODUCT((Registros!E7:E156=B34)*(Registros!L7:L156="Fora")))</f>
        <v/>
      </c>
      <c r="G34" s="28" t="str">
        <f aca="false">IF(C34="","",SUMPRODUCT((Registros!E7:E156=B34)*(Registros!O7:O156="Fora sem reação registrada")))</f>
        <v/>
      </c>
      <c r="H34" s="29" t="str">
        <f aca="false">IF(OR(C34="",N(E34)=0),"",1-F34/E34)</f>
        <v/>
      </c>
      <c r="I34" s="17" t="str">
        <f aca="false">IF(C34="","",IF(E34=0,"Sem registro",IF(G34&gt;0,"Fora sem reação: cobrar",IF(F34&gt;1,"Desvio repetido: analisar a causa",IF(F34=1,"Um desvio, com reação","Dentro do critério")))))</f>
        <v/>
      </c>
    </row>
    <row r="35" customFormat="false" ht="24" hidden="false" customHeight="true" outlineLevel="0" collapsed="false">
      <c r="B35" s="10" t="s">
        <v>113</v>
      </c>
      <c r="C35" s="17" t="str">
        <f aca="false">IF('Plano de controle'!D27="","",'Plano de controle'!D27)</f>
        <v/>
      </c>
      <c r="D35" s="13" t="str">
        <f aca="false">IF(C35="","",'Plano de controle'!N27)</f>
        <v/>
      </c>
      <c r="E35" s="28" t="str">
        <f aca="false">IF(C35="","",COUNTIF(Registros!E7:E156,B35))</f>
        <v/>
      </c>
      <c r="F35" s="25" t="str">
        <f aca="false">IF(C35="","",SUMPRODUCT((Registros!E7:E156=B35)*(Registros!L7:L156="Fora")))</f>
        <v/>
      </c>
      <c r="G35" s="28" t="str">
        <f aca="false">IF(C35="","",SUMPRODUCT((Registros!E7:E156=B35)*(Registros!O7:O156="Fora sem reação registrada")))</f>
        <v/>
      </c>
      <c r="H35" s="29" t="str">
        <f aca="false">IF(OR(C35="",N(E35)=0),"",1-F35/E35)</f>
        <v/>
      </c>
      <c r="I35" s="17" t="str">
        <f aca="false">IF(C35="","",IF(E35=0,"Sem registro",IF(G35&gt;0,"Fora sem reação: cobrar",IF(F35&gt;1,"Desvio repetido: analisar a causa",IF(F35=1,"Um desvio, com reação","Dentro do critério")))))</f>
        <v/>
      </c>
    </row>
    <row r="36" customFormat="false" ht="24" hidden="false" customHeight="true" outlineLevel="0" collapsed="false">
      <c r="B36" s="10" t="s">
        <v>114</v>
      </c>
      <c r="C36" s="17" t="str">
        <f aca="false">IF('Plano de controle'!D28="","",'Plano de controle'!D28)</f>
        <v/>
      </c>
      <c r="D36" s="13" t="str">
        <f aca="false">IF(C36="","",'Plano de controle'!N28)</f>
        <v/>
      </c>
      <c r="E36" s="28" t="str">
        <f aca="false">IF(C36="","",COUNTIF(Registros!E7:E156,B36))</f>
        <v/>
      </c>
      <c r="F36" s="25" t="str">
        <f aca="false">IF(C36="","",SUMPRODUCT((Registros!E7:E156=B36)*(Registros!L7:L156="Fora")))</f>
        <v/>
      </c>
      <c r="G36" s="28" t="str">
        <f aca="false">IF(C36="","",SUMPRODUCT((Registros!E7:E156=B36)*(Registros!O7:O156="Fora sem reação registrada")))</f>
        <v/>
      </c>
      <c r="H36" s="29" t="str">
        <f aca="false">IF(OR(C36="",N(E36)=0),"",1-F36/E36)</f>
        <v/>
      </c>
      <c r="I36" s="17" t="str">
        <f aca="false">IF(C36="","",IF(E36=0,"Sem registro",IF(G36&gt;0,"Fora sem reação: cobrar",IF(F36&gt;1,"Desvio repetido: analisar a causa",IF(F36=1,"Um desvio, com reação","Dentro do critério")))))</f>
        <v/>
      </c>
    </row>
    <row r="37" customFormat="false" ht="24" hidden="false" customHeight="true" outlineLevel="0" collapsed="false">
      <c r="B37" s="10" t="s">
        <v>115</v>
      </c>
      <c r="C37" s="17" t="str">
        <f aca="false">IF('Plano de controle'!D29="","",'Plano de controle'!D29)</f>
        <v/>
      </c>
      <c r="D37" s="13" t="str">
        <f aca="false">IF(C37="","",'Plano de controle'!N29)</f>
        <v/>
      </c>
      <c r="E37" s="28" t="str">
        <f aca="false">IF(C37="","",COUNTIF(Registros!E7:E156,B37))</f>
        <v/>
      </c>
      <c r="F37" s="25" t="str">
        <f aca="false">IF(C37="","",SUMPRODUCT((Registros!E7:E156=B37)*(Registros!L7:L156="Fora")))</f>
        <v/>
      </c>
      <c r="G37" s="28" t="str">
        <f aca="false">IF(C37="","",SUMPRODUCT((Registros!E7:E156=B37)*(Registros!O7:O156="Fora sem reação registrada")))</f>
        <v/>
      </c>
      <c r="H37" s="29" t="str">
        <f aca="false">IF(OR(C37="",N(E37)=0),"",1-F37/E37)</f>
        <v/>
      </c>
      <c r="I37" s="17" t="str">
        <f aca="false">IF(C37="","",IF(E37=0,"Sem registro",IF(G37&gt;0,"Fora sem reação: cobrar",IF(F37&gt;1,"Desvio repetido: analisar a causa",IF(F37=1,"Um desvio, com reação","Dentro do critério")))))</f>
        <v/>
      </c>
    </row>
    <row r="39" customFormat="false" ht="21.75" hidden="false" customHeight="true" outlineLevel="0" collapsed="false">
      <c r="B39" s="14" t="s">
        <v>116</v>
      </c>
      <c r="C39" s="14"/>
      <c r="D39" s="14"/>
      <c r="E39" s="14"/>
      <c r="F39" s="14"/>
      <c r="G39" s="14"/>
      <c r="H39" s="14"/>
      <c r="I39" s="14"/>
    </row>
    <row r="40" customFormat="false" ht="21.75" hidden="false" customHeight="true" outlineLevel="0" collapsed="false">
      <c r="B40" s="15" t="s">
        <v>120</v>
      </c>
      <c r="C40" s="15"/>
      <c r="D40" s="17" t="str">
        <f aca="false">IF(D7=0,"Escreva os controles na aba Plano de controle",IF(D8=0,"Lance as verificações na aba Registros",IF(D11&gt;0,"Há resultado fora do critério sem reação registrada",IF(D12&gt;0,"Há controle sem registro",IF(D13&gt;0,"Há desvio que se repete: abra a análise de causa",IF(COUNTA(Mudanças!D7:D18)&gt;COUNTIF(Mudanças!I7:I18,"OK"),"Há mudança sem análise ou sem autorização","OK"))))))</f>
        <v>Escreva os controles na aba Plano de controle</v>
      </c>
      <c r="E40" s="17"/>
      <c r="F40" s="17"/>
      <c r="G40" s="17"/>
      <c r="H40" s="17"/>
      <c r="I40" s="17"/>
    </row>
  </sheetData>
  <mergeCells count="26">
    <mergeCell ref="B1:I1"/>
    <mergeCell ref="B2:I2"/>
    <mergeCell ref="B4:C4"/>
    <mergeCell ref="D4:I4"/>
    <mergeCell ref="B6:C6"/>
    <mergeCell ref="E6:I6"/>
    <mergeCell ref="B7:C7"/>
    <mergeCell ref="E7:I7"/>
    <mergeCell ref="B8:C8"/>
    <mergeCell ref="E8:I8"/>
    <mergeCell ref="B9:C9"/>
    <mergeCell ref="E9:I9"/>
    <mergeCell ref="B10:C10"/>
    <mergeCell ref="E10:I10"/>
    <mergeCell ref="B11:C11"/>
    <mergeCell ref="E11:I11"/>
    <mergeCell ref="B12:C12"/>
    <mergeCell ref="E12:I12"/>
    <mergeCell ref="B13:C13"/>
    <mergeCell ref="E13:I13"/>
    <mergeCell ref="B14:C14"/>
    <mergeCell ref="E14:I14"/>
    <mergeCell ref="B16:I16"/>
    <mergeCell ref="B39:I39"/>
    <mergeCell ref="B40:C40"/>
    <mergeCell ref="D40:I40"/>
  </mergeCells>
  <conditionalFormatting sqref="I18:I37">
    <cfRule type="expression" priority="2" aboveAverage="0" equalAverage="0" bottom="0" percent="0" rank="0" text="" dxfId="0">
      <formula>I18="Dentro do critério"</formula>
    </cfRule>
    <cfRule type="expression" priority="3" aboveAverage="0" equalAverage="0" bottom="0" percent="0" rank="0" text="" dxfId="2">
      <formula>I18="Um desvio, com reação"</formula>
    </cfRule>
    <cfRule type="expression" priority="4" aboveAverage="0" equalAverage="0" bottom="0" percent="0" rank="0" text="" dxfId="4">
      <formula>I18="Fora sem reação: cobrar"</formula>
    </cfRule>
    <cfRule type="expression" priority="5" aboveAverage="0" equalAverage="0" bottom="0" percent="0" rank="0" text="" dxfId="4">
      <formula>I18="Sem registro"</formula>
    </cfRule>
    <cfRule type="expression" priority="6" aboveAverage="0" equalAverage="0" bottom="0" percent="0" rank="0" text="" dxfId="1">
      <formula>LEN(I18)&gt;0</formula>
    </cfRule>
  </conditionalFormatting>
  <conditionalFormatting sqref="D40:I40">
    <cfRule type="expression" priority="7" aboveAverage="0" equalAverage="0" bottom="0" percent="0" rank="0" text="" dxfId="0">
      <formula>OR(D40="OK")</formula>
    </cfRule>
    <cfRule type="expression" priority="8" aboveAverage="0" equalAverage="0" bottom="0" percent="0" rank="0" text="" dxfId="1">
      <formula>AND(LEN(D40)&gt;0,NOT(OR(D40="OK")))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212</v>
      </c>
      <c r="C1" s="1"/>
      <c r="D1" s="1"/>
      <c r="E1" s="1"/>
    </row>
    <row r="2" customFormat="false" ht="19.5" hidden="false" customHeight="true" outlineLevel="0" collapsed="false">
      <c r="B2" s="2" t="s">
        <v>213</v>
      </c>
      <c r="C2" s="2"/>
      <c r="D2" s="2"/>
      <c r="E2" s="2"/>
    </row>
    <row r="4" customFormat="false" ht="21.75" hidden="false" customHeight="true" outlineLevel="0" collapsed="false">
      <c r="B4" s="8" t="s">
        <v>71</v>
      </c>
      <c r="C4" s="8" t="s">
        <v>214</v>
      </c>
      <c r="D4" s="8" t="s">
        <v>215</v>
      </c>
      <c r="E4" s="8" t="s">
        <v>216</v>
      </c>
    </row>
    <row r="5" customFormat="false" ht="30" hidden="false" customHeight="true" outlineLevel="0" collapsed="false">
      <c r="B5" s="10" t="n">
        <v>1</v>
      </c>
      <c r="C5" s="6" t="s">
        <v>217</v>
      </c>
      <c r="D5" s="11"/>
      <c r="E5" s="5"/>
    </row>
    <row r="6" customFormat="false" ht="30" hidden="false" customHeight="true" outlineLevel="0" collapsed="false">
      <c r="B6" s="10" t="n">
        <v>2</v>
      </c>
      <c r="C6" s="6" t="s">
        <v>218</v>
      </c>
      <c r="D6" s="11"/>
      <c r="E6" s="5"/>
    </row>
    <row r="7" customFormat="false" ht="30" hidden="false" customHeight="true" outlineLevel="0" collapsed="false">
      <c r="B7" s="10" t="n">
        <v>3</v>
      </c>
      <c r="C7" s="6" t="s">
        <v>219</v>
      </c>
      <c r="D7" s="11"/>
      <c r="E7" s="5"/>
    </row>
    <row r="8" customFormat="false" ht="30" hidden="false" customHeight="true" outlineLevel="0" collapsed="false">
      <c r="B8" s="10" t="n">
        <v>4</v>
      </c>
      <c r="C8" s="6" t="s">
        <v>220</v>
      </c>
      <c r="D8" s="11"/>
      <c r="E8" s="5"/>
    </row>
    <row r="9" customFormat="false" ht="30" hidden="false" customHeight="true" outlineLevel="0" collapsed="false">
      <c r="B9" s="10" t="n">
        <v>5</v>
      </c>
      <c r="C9" s="6" t="s">
        <v>221</v>
      </c>
      <c r="D9" s="11"/>
      <c r="E9" s="5"/>
    </row>
    <row r="10" customFormat="false" ht="30" hidden="false" customHeight="true" outlineLevel="0" collapsed="false">
      <c r="B10" s="10" t="n">
        <v>6</v>
      </c>
      <c r="C10" s="6" t="s">
        <v>222</v>
      </c>
      <c r="D10" s="11"/>
      <c r="E10" s="5"/>
    </row>
    <row r="11" customFormat="false" ht="30" hidden="false" customHeight="true" outlineLevel="0" collapsed="false">
      <c r="B11" s="10" t="n">
        <v>7</v>
      </c>
      <c r="C11" s="6" t="s">
        <v>223</v>
      </c>
      <c r="D11" s="11"/>
      <c r="E11" s="5"/>
    </row>
    <row r="12" customFormat="false" ht="30" hidden="false" customHeight="true" outlineLevel="0" collapsed="false">
      <c r="B12" s="10" t="n">
        <v>8</v>
      </c>
      <c r="C12" s="6" t="s">
        <v>224</v>
      </c>
      <c r="D12" s="11"/>
      <c r="E12" s="5"/>
    </row>
    <row r="13" customFormat="false" ht="30" hidden="false" customHeight="true" outlineLevel="0" collapsed="false">
      <c r="B13" s="10" t="n">
        <v>9</v>
      </c>
      <c r="C13" s="6" t="s">
        <v>225</v>
      </c>
      <c r="D13" s="11"/>
      <c r="E13" s="5"/>
    </row>
    <row r="14" customFormat="false" ht="30" hidden="false" customHeight="true" outlineLevel="0" collapsed="false">
      <c r="B14" s="10" t="n">
        <v>10</v>
      </c>
      <c r="C14" s="6" t="s">
        <v>226</v>
      </c>
      <c r="D14" s="11"/>
      <c r="E14" s="5"/>
    </row>
    <row r="15" customFormat="false" ht="30" hidden="false" customHeight="true" outlineLevel="0" collapsed="false">
      <c r="B15" s="10" t="n">
        <v>11</v>
      </c>
      <c r="C15" s="6" t="s">
        <v>227</v>
      </c>
      <c r="D15" s="11"/>
      <c r="E15" s="5"/>
    </row>
    <row r="16" customFormat="false" ht="30" hidden="false" customHeight="true" outlineLevel="0" collapsed="false">
      <c r="B16" s="10" t="n">
        <v>12</v>
      </c>
      <c r="C16" s="6" t="s">
        <v>228</v>
      </c>
      <c r="D16" s="11"/>
      <c r="E16" s="5"/>
    </row>
    <row r="18" customFormat="false" ht="21.75" hidden="false" customHeight="true" outlineLevel="0" collapsed="false">
      <c r="B18" s="14" t="s">
        <v>116</v>
      </c>
      <c r="C18" s="14"/>
      <c r="D18" s="14"/>
      <c r="E18" s="14"/>
    </row>
    <row r="19" customFormat="false" ht="19.5" hidden="false" customHeight="true" outlineLevel="0" collapsed="false">
      <c r="B19" s="15" t="s">
        <v>229</v>
      </c>
      <c r="C19" s="15"/>
      <c r="D19" s="25" t="n">
        <f aca="false">COUNTIF(D5:D16,"Sim")</f>
        <v>0</v>
      </c>
    </row>
    <row r="20" customFormat="false" ht="19.5" hidden="false" customHeight="true" outlineLevel="0" collapsed="false">
      <c r="B20" s="15" t="s">
        <v>230</v>
      </c>
      <c r="C20" s="15"/>
      <c r="D20" s="25" t="n">
        <f aca="false">COUNTIF(D5:D16,"Parcial")</f>
        <v>0</v>
      </c>
    </row>
    <row r="21" customFormat="false" ht="19.5" hidden="false" customHeight="true" outlineLevel="0" collapsed="false">
      <c r="B21" s="15" t="s">
        <v>231</v>
      </c>
      <c r="C21" s="15"/>
      <c r="D21" s="25" t="n">
        <f aca="false">COUNTIF(D5:D16,"Não")</f>
        <v>0</v>
      </c>
    </row>
    <row r="22" customFormat="false" ht="19.5" hidden="false" customHeight="true" outlineLevel="0" collapsed="false">
      <c r="B22" s="15" t="s">
        <v>232</v>
      </c>
      <c r="C22" s="15"/>
      <c r="D22" s="25" t="n">
        <f aca="false">COUNTBLANK(D5:D16)</f>
        <v>12</v>
      </c>
    </row>
    <row r="23" customFormat="false" ht="19.5" hidden="false" customHeight="true" outlineLevel="0" collapsed="false">
      <c r="B23" s="15" t="s">
        <v>233</v>
      </c>
      <c r="C23" s="15"/>
      <c r="D23" s="27" t="n">
        <f aca="false">D19/ROWS(D5:D16)</f>
        <v>0</v>
      </c>
    </row>
    <row r="24" customFormat="false" ht="19.5" hidden="false" customHeight="true" outlineLevel="0" collapsed="false">
      <c r="B24" s="15" t="s">
        <v>234</v>
      </c>
      <c r="C24" s="15"/>
      <c r="D24" s="25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4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L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26"/>
    <col collapsed="false" customWidth="true" hidden="false" outlineLevel="0" max="11" min="10" style="0" width="18"/>
    <col collapsed="false" customWidth="true" hidden="false" outlineLevel="0" max="12" min="12" style="0" width="30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235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236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B4" s="4" t="s">
        <v>237</v>
      </c>
      <c r="C4" s="4"/>
      <c r="D4" s="30" t="s">
        <v>238</v>
      </c>
      <c r="E4" s="30"/>
      <c r="F4" s="30"/>
      <c r="G4" s="30"/>
      <c r="H4" s="30"/>
      <c r="I4" s="30"/>
      <c r="J4" s="30"/>
      <c r="K4" s="30"/>
      <c r="L4" s="30"/>
    </row>
    <row r="5" customFormat="false" ht="19.5" hidden="false" customHeight="true" outlineLevel="0" collapsed="false">
      <c r="B5" s="4" t="s">
        <v>239</v>
      </c>
      <c r="C5" s="4"/>
      <c r="D5" s="30" t="s">
        <v>240</v>
      </c>
      <c r="E5" s="30"/>
      <c r="F5" s="30"/>
      <c r="G5" s="30"/>
      <c r="H5" s="30"/>
      <c r="I5" s="30"/>
      <c r="J5" s="30"/>
      <c r="K5" s="30"/>
      <c r="L5" s="30"/>
    </row>
    <row r="6" customFormat="false" ht="19.5" hidden="false" customHeight="true" outlineLevel="0" collapsed="false">
      <c r="B6" s="4" t="s">
        <v>69</v>
      </c>
      <c r="C6" s="4"/>
      <c r="D6" s="30" t="s">
        <v>241</v>
      </c>
      <c r="E6" s="30"/>
      <c r="F6" s="30"/>
      <c r="G6" s="30"/>
      <c r="H6" s="30"/>
      <c r="I6" s="30"/>
      <c r="J6" s="30"/>
      <c r="K6" s="30"/>
      <c r="L6" s="30"/>
    </row>
    <row r="7" customFormat="false" ht="19.5" hidden="false" customHeight="true" outlineLevel="0" collapsed="false">
      <c r="B7" s="4" t="s">
        <v>42</v>
      </c>
      <c r="C7" s="4"/>
      <c r="D7" s="30" t="s">
        <v>242</v>
      </c>
      <c r="E7" s="30"/>
      <c r="F7" s="30"/>
      <c r="G7" s="30"/>
      <c r="H7" s="30"/>
      <c r="I7" s="30"/>
      <c r="J7" s="30"/>
      <c r="K7" s="30"/>
      <c r="L7" s="30"/>
    </row>
    <row r="8" customFormat="false" ht="19.5" hidden="false" customHeight="true" outlineLevel="0" collapsed="false">
      <c r="B8" s="4" t="s">
        <v>44</v>
      </c>
      <c r="C8" s="4"/>
      <c r="D8" s="30" t="s">
        <v>243</v>
      </c>
      <c r="E8" s="30"/>
      <c r="F8" s="30"/>
      <c r="G8" s="30"/>
      <c r="H8" s="30"/>
      <c r="I8" s="30"/>
      <c r="J8" s="30"/>
      <c r="K8" s="30"/>
      <c r="L8" s="30"/>
    </row>
    <row r="9" customFormat="false" ht="19.5" hidden="false" customHeight="true" outlineLevel="0" collapsed="false">
      <c r="B9" s="4" t="s">
        <v>244</v>
      </c>
      <c r="C9" s="4"/>
      <c r="D9" s="30" t="s">
        <v>245</v>
      </c>
      <c r="E9" s="30"/>
      <c r="F9" s="30"/>
      <c r="G9" s="30"/>
      <c r="H9" s="30"/>
      <c r="I9" s="30"/>
      <c r="J9" s="30"/>
      <c r="K9" s="30"/>
      <c r="L9" s="30"/>
    </row>
    <row r="11" customFormat="false" ht="21.75" hidden="false" customHeight="true" outlineLevel="0" collapsed="false">
      <c r="B11" s="31" t="s">
        <v>42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customFormat="false" ht="30" hidden="false" customHeight="true" outlineLevel="0" collapsed="false">
      <c r="B12" s="25" t="s">
        <v>71</v>
      </c>
      <c r="C12" s="25" t="s">
        <v>72</v>
      </c>
      <c r="D12" s="25" t="s">
        <v>73</v>
      </c>
      <c r="E12" s="25" t="s">
        <v>74</v>
      </c>
      <c r="F12" s="25" t="s">
        <v>127</v>
      </c>
      <c r="G12" s="25" t="s">
        <v>128</v>
      </c>
      <c r="H12" s="25" t="s">
        <v>77</v>
      </c>
      <c r="I12" s="25" t="s">
        <v>78</v>
      </c>
      <c r="J12" s="25" t="s">
        <v>79</v>
      </c>
      <c r="K12" s="25" t="s">
        <v>246</v>
      </c>
      <c r="L12" s="25" t="s">
        <v>82</v>
      </c>
    </row>
    <row r="13" customFormat="false" ht="66.75" hidden="false" customHeight="true" outlineLevel="0" collapsed="false">
      <c r="B13" s="10" t="s">
        <v>96</v>
      </c>
      <c r="C13" s="7" t="s">
        <v>247</v>
      </c>
      <c r="D13" s="32" t="s">
        <v>141</v>
      </c>
      <c r="E13" s="33" t="s">
        <v>239</v>
      </c>
      <c r="F13" s="34" t="n">
        <v>0</v>
      </c>
      <c r="G13" s="34" t="n">
        <v>5</v>
      </c>
      <c r="H13" s="33" t="s">
        <v>248</v>
      </c>
      <c r="I13" s="7" t="s">
        <v>249</v>
      </c>
      <c r="J13" s="7" t="s">
        <v>250</v>
      </c>
      <c r="K13" s="7" t="s">
        <v>251</v>
      </c>
      <c r="L13" s="7" t="s">
        <v>252</v>
      </c>
    </row>
    <row r="14" customFormat="false" ht="42.75" hidden="false" customHeight="true" outlineLevel="0" collapsed="false">
      <c r="B14" s="10" t="s">
        <v>97</v>
      </c>
      <c r="C14" s="7" t="s">
        <v>253</v>
      </c>
      <c r="D14" s="32" t="s">
        <v>254</v>
      </c>
      <c r="E14" s="33" t="s">
        <v>255</v>
      </c>
      <c r="F14" s="34" t="n">
        <v>380</v>
      </c>
      <c r="G14" s="34" t="n">
        <v>420</v>
      </c>
      <c r="H14" s="33" t="s">
        <v>256</v>
      </c>
      <c r="I14" s="7" t="s">
        <v>257</v>
      </c>
      <c r="J14" s="7" t="s">
        <v>258</v>
      </c>
      <c r="K14" s="7" t="s">
        <v>259</v>
      </c>
      <c r="L14" s="7" t="s">
        <v>260</v>
      </c>
    </row>
    <row r="15" customFormat="false" ht="42.75" hidden="false" customHeight="true" outlineLevel="0" collapsed="false">
      <c r="B15" s="10" t="s">
        <v>98</v>
      </c>
      <c r="C15" s="7" t="s">
        <v>261</v>
      </c>
      <c r="D15" s="32" t="s">
        <v>262</v>
      </c>
      <c r="E15" s="33" t="s">
        <v>239</v>
      </c>
      <c r="F15" s="34"/>
      <c r="G15" s="34"/>
      <c r="H15" s="33" t="s">
        <v>263</v>
      </c>
      <c r="I15" s="7" t="s">
        <v>264</v>
      </c>
      <c r="J15" s="7" t="s">
        <v>265</v>
      </c>
      <c r="K15" s="7" t="s">
        <v>266</v>
      </c>
      <c r="L15" s="7" t="s">
        <v>267</v>
      </c>
    </row>
    <row r="16" customFormat="false" ht="42.75" hidden="false" customHeight="true" outlineLevel="0" collapsed="false">
      <c r="B16" s="10" t="s">
        <v>99</v>
      </c>
      <c r="C16" s="7" t="s">
        <v>268</v>
      </c>
      <c r="D16" s="32" t="s">
        <v>269</v>
      </c>
      <c r="E16" s="33" t="s">
        <v>239</v>
      </c>
      <c r="F16" s="34" t="n">
        <v>280</v>
      </c>
      <c r="G16" s="34" t="n">
        <v>320</v>
      </c>
      <c r="H16" s="33" t="s">
        <v>248</v>
      </c>
      <c r="I16" s="7" t="s">
        <v>270</v>
      </c>
      <c r="J16" s="7" t="s">
        <v>271</v>
      </c>
      <c r="K16" s="7" t="s">
        <v>272</v>
      </c>
      <c r="L16" s="7" t="s">
        <v>273</v>
      </c>
    </row>
    <row r="17" customFormat="false" ht="42.75" hidden="false" customHeight="true" outlineLevel="0" collapsed="false">
      <c r="B17" s="10" t="s">
        <v>100</v>
      </c>
      <c r="C17" s="7" t="s">
        <v>274</v>
      </c>
      <c r="D17" s="32" t="s">
        <v>275</v>
      </c>
      <c r="E17" s="33" t="s">
        <v>255</v>
      </c>
      <c r="F17" s="34" t="n">
        <v>20</v>
      </c>
      <c r="G17" s="34"/>
      <c r="H17" s="33" t="s">
        <v>276</v>
      </c>
      <c r="I17" s="7" t="s">
        <v>277</v>
      </c>
      <c r="J17" s="7" t="s">
        <v>278</v>
      </c>
      <c r="K17" s="7" t="s">
        <v>279</v>
      </c>
      <c r="L17" s="7" t="s">
        <v>280</v>
      </c>
    </row>
    <row r="18" customFormat="false" ht="42.75" hidden="false" customHeight="true" outlineLevel="0" collapsed="false">
      <c r="B18" s="10" t="s">
        <v>101</v>
      </c>
      <c r="C18" s="7" t="s">
        <v>281</v>
      </c>
      <c r="D18" s="32" t="s">
        <v>282</v>
      </c>
      <c r="E18" s="33" t="s">
        <v>239</v>
      </c>
      <c r="F18" s="34"/>
      <c r="G18" s="34" t="n">
        <v>10</v>
      </c>
      <c r="H18" s="33" t="s">
        <v>283</v>
      </c>
      <c r="I18" s="7" t="s">
        <v>284</v>
      </c>
      <c r="J18" s="7" t="s">
        <v>285</v>
      </c>
      <c r="K18" s="7" t="s">
        <v>286</v>
      </c>
      <c r="L18" s="7" t="s">
        <v>287</v>
      </c>
    </row>
    <row r="19" customFormat="false" ht="42.75" hidden="false" customHeight="true" outlineLevel="0" collapsed="false">
      <c r="B19" s="10" t="s">
        <v>102</v>
      </c>
      <c r="C19" s="7" t="s">
        <v>281</v>
      </c>
      <c r="D19" s="32" t="s">
        <v>288</v>
      </c>
      <c r="E19" s="33" t="s">
        <v>255</v>
      </c>
      <c r="F19" s="34" t="n">
        <v>65</v>
      </c>
      <c r="G19" s="34"/>
      <c r="H19" s="33" t="s">
        <v>248</v>
      </c>
      <c r="I19" s="7" t="s">
        <v>289</v>
      </c>
      <c r="J19" s="7" t="s">
        <v>290</v>
      </c>
      <c r="K19" s="7" t="s">
        <v>291</v>
      </c>
      <c r="L19" s="7" t="s">
        <v>292</v>
      </c>
    </row>
    <row r="21" customFormat="false" ht="21.75" hidden="false" customHeight="true" outlineLevel="0" collapsed="false">
      <c r="B21" s="23" t="s">
        <v>293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customFormat="false" ht="30" hidden="false" customHeight="true" outlineLevel="0" collapsed="false">
      <c r="B22" s="25" t="s">
        <v>71</v>
      </c>
      <c r="C22" s="35" t="s">
        <v>126</v>
      </c>
      <c r="D22" s="35"/>
      <c r="E22" s="25" t="s">
        <v>210</v>
      </c>
      <c r="F22" s="25" t="s">
        <v>18</v>
      </c>
      <c r="G22" s="35" t="s">
        <v>211</v>
      </c>
      <c r="H22" s="35"/>
      <c r="I22" s="25" t="s">
        <v>147</v>
      </c>
      <c r="J22" s="35" t="s">
        <v>131</v>
      </c>
      <c r="K22" s="35"/>
      <c r="L22" s="35"/>
    </row>
    <row r="23" customFormat="false" ht="21.75" hidden="false" customHeight="true" outlineLevel="0" collapsed="false">
      <c r="B23" s="10" t="s">
        <v>96</v>
      </c>
      <c r="C23" s="7" t="s">
        <v>141</v>
      </c>
      <c r="D23" s="7"/>
      <c r="E23" s="28" t="n">
        <f aca="false">COUNTIF($E$33:$E$88,B23)</f>
        <v>14</v>
      </c>
      <c r="F23" s="25" t="n">
        <f aca="false">SUMPRODUCT(($E$33:$E$88=B23)*($I$33:$I$88="Fora"))</f>
        <v>1</v>
      </c>
      <c r="G23" s="36" t="n">
        <f aca="false">SUMPRODUCT(($E$33:$E$88=B23)*($I$33:$I$88="Fora")*($J$33:$J$88=""))</f>
        <v>0</v>
      </c>
      <c r="H23" s="36"/>
      <c r="I23" s="29" t="n">
        <f aca="false">IF(E23=0,"",1-F23/E23)</f>
        <v>0.928571428571429</v>
      </c>
      <c r="J23" s="17" t="str">
        <f aca="false">IF(E23=0,"Sem registro",IF(G23&gt;0,"Fora sem reação: cobrar",IF(F23&gt;1,"Desvio repetido: analisar a causa",IF(F23=1,"Um desvio, com reação","Dentro do critério"))))</f>
        <v>Um desvio, com reação</v>
      </c>
      <c r="K23" s="17"/>
      <c r="L23" s="17"/>
    </row>
    <row r="24" customFormat="false" ht="21.75" hidden="false" customHeight="true" outlineLevel="0" collapsed="false">
      <c r="B24" s="10" t="s">
        <v>97</v>
      </c>
      <c r="C24" s="7" t="s">
        <v>254</v>
      </c>
      <c r="D24" s="7"/>
      <c r="E24" s="28" t="n">
        <f aca="false">COUNTIF($E$33:$E$88,B24)</f>
        <v>7</v>
      </c>
      <c r="F24" s="25" t="n">
        <f aca="false">SUMPRODUCT(($E$33:$E$88=B24)*($I$33:$I$88="Fora"))</f>
        <v>0</v>
      </c>
      <c r="G24" s="36" t="n">
        <f aca="false">SUMPRODUCT(($E$33:$E$88=B24)*($I$33:$I$88="Fora")*($J$33:$J$88=""))</f>
        <v>0</v>
      </c>
      <c r="H24" s="36"/>
      <c r="I24" s="29" t="n">
        <f aca="false">IF(E24=0,"",1-F24/E24)</f>
        <v>1</v>
      </c>
      <c r="J24" s="17" t="str">
        <f aca="false">IF(E24=0,"Sem registro",IF(G24&gt;0,"Fora sem reação: cobrar",IF(F24&gt;1,"Desvio repetido: analisar a causa",IF(F24=1,"Um desvio, com reação","Dentro do critério"))))</f>
        <v>Dentro do critério</v>
      </c>
      <c r="K24" s="17"/>
      <c r="L24" s="17"/>
    </row>
    <row r="25" customFormat="false" ht="21.75" hidden="false" customHeight="true" outlineLevel="0" collapsed="false">
      <c r="B25" s="10" t="s">
        <v>98</v>
      </c>
      <c r="C25" s="7" t="s">
        <v>262</v>
      </c>
      <c r="D25" s="7"/>
      <c r="E25" s="28" t="n">
        <f aca="false">COUNTIF($E$33:$E$88,B25)</f>
        <v>7</v>
      </c>
      <c r="F25" s="25" t="n">
        <f aca="false">SUMPRODUCT(($E$33:$E$88=B25)*($I$33:$I$88="Fora"))</f>
        <v>0</v>
      </c>
      <c r="G25" s="36" t="n">
        <f aca="false">SUMPRODUCT(($E$33:$E$88=B25)*($I$33:$I$88="Fora")*($J$33:$J$88=""))</f>
        <v>0</v>
      </c>
      <c r="H25" s="36"/>
      <c r="I25" s="29" t="n">
        <f aca="false">IF(E25=0,"",1-F25/E25)</f>
        <v>1</v>
      </c>
      <c r="J25" s="17" t="str">
        <f aca="false">IF(E25=0,"Sem registro",IF(G25&gt;0,"Fora sem reação: cobrar",IF(F25&gt;1,"Desvio repetido: analisar a causa",IF(F25=1,"Um desvio, com reação","Dentro do critério"))))</f>
        <v>Dentro do critério</v>
      </c>
      <c r="K25" s="17"/>
      <c r="L25" s="17"/>
    </row>
    <row r="26" customFormat="false" ht="21.75" hidden="false" customHeight="true" outlineLevel="0" collapsed="false">
      <c r="B26" s="10" t="s">
        <v>99</v>
      </c>
      <c r="C26" s="7" t="s">
        <v>269</v>
      </c>
      <c r="D26" s="7"/>
      <c r="E26" s="28" t="n">
        <f aca="false">COUNTIF($E$33:$E$88,B26)</f>
        <v>7</v>
      </c>
      <c r="F26" s="25" t="n">
        <f aca="false">SUMPRODUCT(($E$33:$E$88=B26)*($I$33:$I$88="Fora"))</f>
        <v>1</v>
      </c>
      <c r="G26" s="36" t="n">
        <f aca="false">SUMPRODUCT(($E$33:$E$88=B26)*($I$33:$I$88="Fora")*($J$33:$J$88=""))</f>
        <v>0</v>
      </c>
      <c r="H26" s="36"/>
      <c r="I26" s="29" t="n">
        <f aca="false">IF(E26=0,"",1-F26/E26)</f>
        <v>0.857142857142857</v>
      </c>
      <c r="J26" s="17" t="str">
        <f aca="false">IF(E26=0,"Sem registro",IF(G26&gt;0,"Fora sem reação: cobrar",IF(F26&gt;1,"Desvio repetido: analisar a causa",IF(F26=1,"Um desvio, com reação","Dentro do critério"))))</f>
        <v>Um desvio, com reação</v>
      </c>
      <c r="K26" s="17"/>
      <c r="L26" s="17"/>
    </row>
    <row r="27" customFormat="false" ht="21.75" hidden="false" customHeight="true" outlineLevel="0" collapsed="false">
      <c r="B27" s="10" t="s">
        <v>100</v>
      </c>
      <c r="C27" s="7" t="s">
        <v>275</v>
      </c>
      <c r="D27" s="7"/>
      <c r="E27" s="28" t="n">
        <f aca="false">COUNTIF($E$33:$E$88,B27)</f>
        <v>7</v>
      </c>
      <c r="F27" s="25" t="n">
        <f aca="false">SUMPRODUCT(($E$33:$E$88=B27)*($I$33:$I$88="Fora"))</f>
        <v>1</v>
      </c>
      <c r="G27" s="36" t="n">
        <f aca="false">SUMPRODUCT(($E$33:$E$88=B27)*($I$33:$I$88="Fora")*($J$33:$J$88=""))</f>
        <v>0</v>
      </c>
      <c r="H27" s="36"/>
      <c r="I27" s="29" t="n">
        <f aca="false">IF(E27=0,"",1-F27/E27)</f>
        <v>0.857142857142857</v>
      </c>
      <c r="J27" s="17" t="str">
        <f aca="false">IF(E27=0,"Sem registro",IF(G27&gt;0,"Fora sem reação: cobrar",IF(F27&gt;1,"Desvio repetido: analisar a causa",IF(F27=1,"Um desvio, com reação","Dentro do critério"))))</f>
        <v>Um desvio, com reação</v>
      </c>
      <c r="K27" s="17"/>
      <c r="L27" s="17"/>
    </row>
    <row r="28" customFormat="false" ht="21.75" hidden="false" customHeight="true" outlineLevel="0" collapsed="false">
      <c r="B28" s="10" t="s">
        <v>101</v>
      </c>
      <c r="C28" s="7" t="s">
        <v>282</v>
      </c>
      <c r="D28" s="7"/>
      <c r="E28" s="28" t="n">
        <f aca="false">COUNTIF($E$33:$E$88,B28)</f>
        <v>7</v>
      </c>
      <c r="F28" s="25" t="n">
        <f aca="false">SUMPRODUCT(($E$33:$E$88=B28)*($I$33:$I$88="Fora"))</f>
        <v>2</v>
      </c>
      <c r="G28" s="36" t="n">
        <f aca="false">SUMPRODUCT(($E$33:$E$88=B28)*($I$33:$I$88="Fora")*($J$33:$J$88=""))</f>
        <v>0</v>
      </c>
      <c r="H28" s="36"/>
      <c r="I28" s="29" t="n">
        <f aca="false">IF(E28=0,"",1-F28/E28)</f>
        <v>0.714285714285714</v>
      </c>
      <c r="J28" s="17" t="str">
        <f aca="false">IF(E28=0,"Sem registro",IF(G28&gt;0,"Fora sem reação: cobrar",IF(F28&gt;1,"Desvio repetido: analisar a causa",IF(F28=1,"Um desvio, com reação","Dentro do critério"))))</f>
        <v>Desvio repetido: analisar a causa</v>
      </c>
      <c r="K28" s="17"/>
      <c r="L28" s="17"/>
    </row>
    <row r="29" customFormat="false" ht="21.75" hidden="false" customHeight="true" outlineLevel="0" collapsed="false">
      <c r="B29" s="10" t="s">
        <v>102</v>
      </c>
      <c r="C29" s="7" t="s">
        <v>288</v>
      </c>
      <c r="D29" s="7"/>
      <c r="E29" s="28" t="n">
        <f aca="false">COUNTIF($E$33:$E$88,B29)</f>
        <v>7</v>
      </c>
      <c r="F29" s="25" t="n">
        <f aca="false">SUMPRODUCT(($E$33:$E$88=B29)*($I$33:$I$88="Fora"))</f>
        <v>1</v>
      </c>
      <c r="G29" s="36" t="n">
        <f aca="false">SUMPRODUCT(($E$33:$E$88=B29)*($I$33:$I$88="Fora")*($J$33:$J$88=""))</f>
        <v>1</v>
      </c>
      <c r="H29" s="36"/>
      <c r="I29" s="29" t="n">
        <f aca="false">IF(E29=0,"",1-F29/E29)</f>
        <v>0.857142857142857</v>
      </c>
      <c r="J29" s="17" t="str">
        <f aca="false">IF(E29=0,"Sem registro",IF(G29&gt;0,"Fora sem reação: cobrar",IF(F29&gt;1,"Desvio repetido: analisar a causa",IF(F29=1,"Um desvio, com reação","Dentro do critério"))))</f>
        <v>Fora sem reação: cobrar</v>
      </c>
      <c r="K29" s="17"/>
      <c r="L29" s="17"/>
    </row>
    <row r="31" customFormat="false" ht="21.75" hidden="false" customHeight="true" outlineLevel="0" collapsed="false">
      <c r="B31" s="37" t="s">
        <v>44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</row>
    <row r="32" customFormat="false" ht="30" hidden="false" customHeight="true" outlineLevel="0" collapsed="false">
      <c r="B32" s="25" t="s">
        <v>123</v>
      </c>
      <c r="C32" s="25" t="s">
        <v>124</v>
      </c>
      <c r="D32" s="25" t="s">
        <v>126</v>
      </c>
      <c r="E32" s="25" t="s">
        <v>125</v>
      </c>
      <c r="F32" s="25" t="s">
        <v>127</v>
      </c>
      <c r="G32" s="25" t="s">
        <v>128</v>
      </c>
      <c r="H32" s="25" t="s">
        <v>195</v>
      </c>
      <c r="I32" s="25" t="s">
        <v>131</v>
      </c>
      <c r="J32" s="35" t="s">
        <v>132</v>
      </c>
      <c r="K32" s="35"/>
      <c r="L32" s="35"/>
    </row>
    <row r="33" customFormat="false" ht="19.5" hidden="false" customHeight="true" outlineLevel="0" collapsed="false">
      <c r="B33" s="38" t="n">
        <v>46454</v>
      </c>
      <c r="C33" s="7" t="s">
        <v>294</v>
      </c>
      <c r="D33" s="39" t="s">
        <v>141</v>
      </c>
      <c r="E33" s="33" t="s">
        <v>96</v>
      </c>
      <c r="F33" s="21" t="n">
        <f aca="false">IFERROR(IF(ISNUMBER(INDEX($F$13:$F$19,MATCH(E33,$B$13:$B$19,0))),INDEX($F$13:$F$19,MATCH(E33,$B$13:$B$19,0)),""),"")</f>
        <v>0</v>
      </c>
      <c r="G33" s="21" t="n">
        <f aca="false">IFERROR(IF(ISNUMBER(INDEX($G$13:$G$19,MATCH(E33,$B$13:$B$19,0))),INDEX($G$13:$G$19,MATCH(E33,$B$13:$B$19,0)),""),"")</f>
        <v>5</v>
      </c>
      <c r="H33" s="34" t="n">
        <v>3.2</v>
      </c>
      <c r="I33" s="22" t="str">
        <f aca="false">IF(AND(F33="",G33=""),IF(H33="","Falta o resultado",IF(H33="Sim","Dentro","Fora")),IF(H33="","Falta o valor",IF(AND(OR(F33="",H33&gt;=F33),OR(G33="",H33&lt;=G33)),"Dentro","Fora")))</f>
        <v>Dentro</v>
      </c>
      <c r="J33" s="7"/>
      <c r="K33" s="7"/>
      <c r="L33" s="7"/>
    </row>
    <row r="34" customFormat="false" ht="19.5" hidden="false" customHeight="true" outlineLevel="0" collapsed="false">
      <c r="B34" s="38" t="n">
        <v>46454</v>
      </c>
      <c r="C34" s="7" t="s">
        <v>140</v>
      </c>
      <c r="D34" s="39" t="s">
        <v>141</v>
      </c>
      <c r="E34" s="33" t="s">
        <v>96</v>
      </c>
      <c r="F34" s="21" t="n">
        <f aca="false">IFERROR(IF(ISNUMBER(INDEX($F$13:$F$19,MATCH(E34,$B$13:$B$19,0))),INDEX($F$13:$F$19,MATCH(E34,$B$13:$B$19,0)),""),"")</f>
        <v>0</v>
      </c>
      <c r="G34" s="21" t="n">
        <f aca="false">IFERROR(IF(ISNUMBER(INDEX($G$13:$G$19,MATCH(E34,$B$13:$B$19,0))),INDEX($G$13:$G$19,MATCH(E34,$B$13:$B$19,0)),""),"")</f>
        <v>5</v>
      </c>
      <c r="H34" s="34" t="n">
        <v>3.5</v>
      </c>
      <c r="I34" s="22" t="str">
        <f aca="false">IF(AND(F34="",G34=""),IF(H34="","Falta o resultado",IF(H34="Sim","Dentro","Fora")),IF(H34="","Falta o valor",IF(AND(OR(F34="",H34&gt;=F34),OR(G34="",H34&lt;=G34)),"Dentro","Fora")))</f>
        <v>Dentro</v>
      </c>
      <c r="J34" s="7"/>
      <c r="K34" s="7"/>
      <c r="L34" s="7"/>
    </row>
    <row r="35" customFormat="false" ht="19.5" hidden="false" customHeight="true" outlineLevel="0" collapsed="false">
      <c r="B35" s="38" t="n">
        <v>46454</v>
      </c>
      <c r="C35" s="7" t="s">
        <v>295</v>
      </c>
      <c r="D35" s="39" t="s">
        <v>254</v>
      </c>
      <c r="E35" s="33" t="s">
        <v>97</v>
      </c>
      <c r="F35" s="21" t="n">
        <f aca="false">IFERROR(IF(ISNUMBER(INDEX($F$13:$F$19,MATCH(E35,$B$13:$B$19,0))),INDEX($F$13:$F$19,MATCH(E35,$B$13:$B$19,0)),""),"")</f>
        <v>380</v>
      </c>
      <c r="G35" s="21" t="n">
        <f aca="false">IFERROR(IF(ISNUMBER(INDEX($G$13:$G$19,MATCH(E35,$B$13:$B$19,0))),INDEX($G$13:$G$19,MATCH(E35,$B$13:$B$19,0)),""),"")</f>
        <v>420</v>
      </c>
      <c r="H35" s="34" t="n">
        <v>402</v>
      </c>
      <c r="I35" s="22" t="str">
        <f aca="false">IF(AND(F35="",G35=""),IF(H35="","Falta o resultado",IF(H35="Sim","Dentro","Fora")),IF(H35="","Falta o valor",IF(AND(OR(F35="",H35&gt;=F35),OR(G35="",H35&lt;=G35)),"Dentro","Fora")))</f>
        <v>Dentro</v>
      </c>
      <c r="J35" s="7"/>
      <c r="K35" s="7"/>
      <c r="L35" s="7"/>
    </row>
    <row r="36" customFormat="false" ht="19.5" hidden="false" customHeight="true" outlineLevel="0" collapsed="false">
      <c r="B36" s="38" t="n">
        <v>46454</v>
      </c>
      <c r="C36" s="7" t="s">
        <v>296</v>
      </c>
      <c r="D36" s="39" t="s">
        <v>262</v>
      </c>
      <c r="E36" s="33" t="s">
        <v>98</v>
      </c>
      <c r="F36" s="21" t="str">
        <f aca="false">IFERROR(IF(ISNUMBER(INDEX($F$13:$F$19,MATCH(E36,$B$13:$B$19,0))),INDEX($F$13:$F$19,MATCH(E36,$B$13:$B$19,0)),""),"")</f>
        <v/>
      </c>
      <c r="G36" s="21" t="str">
        <f aca="false">IFERROR(IF(ISNUMBER(INDEX($G$13:$G$19,MATCH(E36,$B$13:$B$19,0))),INDEX($G$13:$G$19,MATCH(E36,$B$13:$B$19,0)),""),"")</f>
        <v/>
      </c>
      <c r="H36" s="34" t="s">
        <v>297</v>
      </c>
      <c r="I36" s="22" t="str">
        <f aca="false">IF(AND(F36="",G36=""),IF(H36="","Falta o resultado",IF(H36="Sim","Dentro","Fora")),IF(H36="","Falta o valor",IF(AND(OR(F36="",H36&gt;=F36),OR(G36="",H36&lt;=G36)),"Dentro","Fora")))</f>
        <v>Dentro</v>
      </c>
      <c r="J36" s="7"/>
      <c r="K36" s="7"/>
      <c r="L36" s="7"/>
    </row>
    <row r="37" customFormat="false" ht="19.5" hidden="false" customHeight="true" outlineLevel="0" collapsed="false">
      <c r="B37" s="38" t="n">
        <v>46454</v>
      </c>
      <c r="C37" s="7" t="s">
        <v>298</v>
      </c>
      <c r="D37" s="39" t="s">
        <v>269</v>
      </c>
      <c r="E37" s="33" t="s">
        <v>99</v>
      </c>
      <c r="F37" s="21" t="n">
        <f aca="false">IFERROR(IF(ISNUMBER(INDEX($F$13:$F$19,MATCH(E37,$B$13:$B$19,0))),INDEX($F$13:$F$19,MATCH(E37,$B$13:$B$19,0)),""),"")</f>
        <v>280</v>
      </c>
      <c r="G37" s="21" t="n">
        <f aca="false">IFERROR(IF(ISNUMBER(INDEX($G$13:$G$19,MATCH(E37,$B$13:$B$19,0))),INDEX($G$13:$G$19,MATCH(E37,$B$13:$B$19,0)),""),"")</f>
        <v>320</v>
      </c>
      <c r="H37" s="34" t="n">
        <v>301</v>
      </c>
      <c r="I37" s="22" t="str">
        <f aca="false">IF(AND(F37="",G37=""),IF(H37="","Falta o resultado",IF(H37="Sim","Dentro","Fora")),IF(H37="","Falta o valor",IF(AND(OR(F37="",H37&gt;=F37),OR(G37="",H37&lt;=G37)),"Dentro","Fora")))</f>
        <v>Dentro</v>
      </c>
      <c r="J37" s="7"/>
      <c r="K37" s="7"/>
      <c r="L37" s="7"/>
    </row>
    <row r="38" customFormat="false" ht="19.5" hidden="false" customHeight="true" outlineLevel="0" collapsed="false">
      <c r="B38" s="38" t="n">
        <v>46454</v>
      </c>
      <c r="C38" s="7" t="s">
        <v>298</v>
      </c>
      <c r="D38" s="39" t="s">
        <v>275</v>
      </c>
      <c r="E38" s="33" t="s">
        <v>100</v>
      </c>
      <c r="F38" s="21" t="n">
        <f aca="false">IFERROR(IF(ISNUMBER(INDEX($F$13:$F$19,MATCH(E38,$B$13:$B$19,0))),INDEX($F$13:$F$19,MATCH(E38,$B$13:$B$19,0)),""),"")</f>
        <v>20</v>
      </c>
      <c r="G38" s="21" t="str">
        <f aca="false">IFERROR(IF(ISNUMBER(INDEX($G$13:$G$19,MATCH(E38,$B$13:$B$19,0))),INDEX($G$13:$G$19,MATCH(E38,$B$13:$B$19,0)),""),"")</f>
        <v/>
      </c>
      <c r="H38" s="34" t="n">
        <v>20</v>
      </c>
      <c r="I38" s="22" t="str">
        <f aca="false">IF(AND(F38="",G38=""),IF(H38="","Falta o resultado",IF(H38="Sim","Dentro","Fora")),IF(H38="","Falta o valor",IF(AND(OR(F38="",H38&gt;=F38),OR(G38="",H38&lt;=G38)),"Dentro","Fora")))</f>
        <v>Dentro</v>
      </c>
      <c r="J38" s="7"/>
      <c r="K38" s="7"/>
      <c r="L38" s="7"/>
    </row>
    <row r="39" customFormat="false" ht="19.5" hidden="false" customHeight="true" outlineLevel="0" collapsed="false">
      <c r="B39" s="38" t="n">
        <v>46454</v>
      </c>
      <c r="C39" s="7" t="s">
        <v>298</v>
      </c>
      <c r="D39" s="39" t="s">
        <v>282</v>
      </c>
      <c r="E39" s="33" t="s">
        <v>101</v>
      </c>
      <c r="F39" s="21" t="str">
        <f aca="false">IFERROR(IF(ISNUMBER(INDEX($F$13:$F$19,MATCH(E39,$B$13:$B$19,0))),INDEX($F$13:$F$19,MATCH(E39,$B$13:$B$19,0)),""),"")</f>
        <v/>
      </c>
      <c r="G39" s="21" t="n">
        <f aca="false">IFERROR(IF(ISNUMBER(INDEX($G$13:$G$19,MATCH(E39,$B$13:$B$19,0))),INDEX($G$13:$G$19,MATCH(E39,$B$13:$B$19,0)),""),"")</f>
        <v>10</v>
      </c>
      <c r="H39" s="34" t="n">
        <v>7</v>
      </c>
      <c r="I39" s="22" t="str">
        <f aca="false">IF(AND(F39="",G39=""),IF(H39="","Falta o resultado",IF(H39="Sim","Dentro","Fora")),IF(H39="","Falta o valor",IF(AND(OR(F39="",H39&gt;=F39),OR(G39="",H39&lt;=G39)),"Dentro","Fora")))</f>
        <v>Dentro</v>
      </c>
      <c r="J39" s="7"/>
      <c r="K39" s="7"/>
      <c r="L39" s="7"/>
    </row>
    <row r="40" customFormat="false" ht="19.5" hidden="false" customHeight="true" outlineLevel="0" collapsed="false">
      <c r="B40" s="38" t="n">
        <v>46454</v>
      </c>
      <c r="C40" s="7" t="s">
        <v>298</v>
      </c>
      <c r="D40" s="39" t="s">
        <v>288</v>
      </c>
      <c r="E40" s="33" t="s">
        <v>102</v>
      </c>
      <c r="F40" s="21" t="n">
        <f aca="false">IFERROR(IF(ISNUMBER(INDEX($F$13:$F$19,MATCH(E40,$B$13:$B$19,0))),INDEX($F$13:$F$19,MATCH(E40,$B$13:$B$19,0)),""),"")</f>
        <v>65</v>
      </c>
      <c r="G40" s="21" t="str">
        <f aca="false">IFERROR(IF(ISNUMBER(INDEX($G$13:$G$19,MATCH(E40,$B$13:$B$19,0))),INDEX($G$13:$G$19,MATCH(E40,$B$13:$B$19,0)),""),"")</f>
        <v/>
      </c>
      <c r="H40" s="34" t="n">
        <v>71</v>
      </c>
      <c r="I40" s="22" t="str">
        <f aca="false">IF(AND(F40="",G40=""),IF(H40="","Falta o resultado",IF(H40="Sim","Dentro","Fora")),IF(H40="","Falta o valor",IF(AND(OR(F40="",H40&gt;=F40),OR(G40="",H40&lt;=G40)),"Dentro","Fora")))</f>
        <v>Dentro</v>
      </c>
      <c r="J40" s="7"/>
      <c r="K40" s="7"/>
      <c r="L40" s="7"/>
    </row>
    <row r="41" customFormat="false" ht="19.5" hidden="false" customHeight="true" outlineLevel="0" collapsed="false">
      <c r="B41" s="38" t="n">
        <v>46455</v>
      </c>
      <c r="C41" s="7" t="s">
        <v>294</v>
      </c>
      <c r="D41" s="39" t="s">
        <v>141</v>
      </c>
      <c r="E41" s="33" t="s">
        <v>96</v>
      </c>
      <c r="F41" s="21" t="n">
        <f aca="false">IFERROR(IF(ISNUMBER(INDEX($F$13:$F$19,MATCH(E41,$B$13:$B$19,0))),INDEX($F$13:$F$19,MATCH(E41,$B$13:$B$19,0)),""),"")</f>
        <v>0</v>
      </c>
      <c r="G41" s="21" t="n">
        <f aca="false">IFERROR(IF(ISNUMBER(INDEX($G$13:$G$19,MATCH(E41,$B$13:$B$19,0))),INDEX($G$13:$G$19,MATCH(E41,$B$13:$B$19,0)),""),"")</f>
        <v>5</v>
      </c>
      <c r="H41" s="34" t="n">
        <v>3</v>
      </c>
      <c r="I41" s="22" t="str">
        <f aca="false">IF(AND(F41="",G41=""),IF(H41="","Falta o resultado",IF(H41="Sim","Dentro","Fora")),IF(H41="","Falta o valor",IF(AND(OR(F41="",H41&gt;=F41),OR(G41="",H41&lt;=G41)),"Dentro","Fora")))</f>
        <v>Dentro</v>
      </c>
      <c r="J41" s="7"/>
      <c r="K41" s="7"/>
      <c r="L41" s="7"/>
    </row>
    <row r="42" customFormat="false" ht="19.5" hidden="false" customHeight="true" outlineLevel="0" collapsed="false">
      <c r="B42" s="38" t="n">
        <v>46455</v>
      </c>
      <c r="C42" s="7" t="s">
        <v>140</v>
      </c>
      <c r="D42" s="39" t="s">
        <v>141</v>
      </c>
      <c r="E42" s="33" t="s">
        <v>96</v>
      </c>
      <c r="F42" s="21" t="n">
        <f aca="false">IFERROR(IF(ISNUMBER(INDEX($F$13:$F$19,MATCH(E42,$B$13:$B$19,0))),INDEX($F$13:$F$19,MATCH(E42,$B$13:$B$19,0)),""),"")</f>
        <v>0</v>
      </c>
      <c r="G42" s="21" t="n">
        <f aca="false">IFERROR(IF(ISNUMBER(INDEX($G$13:$G$19,MATCH(E42,$B$13:$B$19,0))),INDEX($G$13:$G$19,MATCH(E42,$B$13:$B$19,0)),""),"")</f>
        <v>5</v>
      </c>
      <c r="H42" s="34" t="n">
        <v>3.4</v>
      </c>
      <c r="I42" s="22" t="str">
        <f aca="false">IF(AND(F42="",G42=""),IF(H42="","Falta o resultado",IF(H42="Sim","Dentro","Fora")),IF(H42="","Falta o valor",IF(AND(OR(F42="",H42&gt;=F42),OR(G42="",H42&lt;=G42)),"Dentro","Fora")))</f>
        <v>Dentro</v>
      </c>
      <c r="J42" s="7"/>
      <c r="K42" s="7"/>
      <c r="L42" s="7"/>
    </row>
    <row r="43" customFormat="false" ht="19.5" hidden="false" customHeight="true" outlineLevel="0" collapsed="false">
      <c r="B43" s="38" t="n">
        <v>46455</v>
      </c>
      <c r="C43" s="7" t="s">
        <v>299</v>
      </c>
      <c r="D43" s="39" t="s">
        <v>254</v>
      </c>
      <c r="E43" s="33" t="s">
        <v>97</v>
      </c>
      <c r="F43" s="21" t="n">
        <f aca="false">IFERROR(IF(ISNUMBER(INDEX($F$13:$F$19,MATCH(E43,$B$13:$B$19,0))),INDEX($F$13:$F$19,MATCH(E43,$B$13:$B$19,0)),""),"")</f>
        <v>380</v>
      </c>
      <c r="G43" s="21" t="n">
        <f aca="false">IFERROR(IF(ISNUMBER(INDEX($G$13:$G$19,MATCH(E43,$B$13:$B$19,0))),INDEX($G$13:$G$19,MATCH(E43,$B$13:$B$19,0)),""),"")</f>
        <v>420</v>
      </c>
      <c r="H43" s="34" t="n">
        <v>398</v>
      </c>
      <c r="I43" s="22" t="str">
        <f aca="false">IF(AND(F43="",G43=""),IF(H43="","Falta o resultado",IF(H43="Sim","Dentro","Fora")),IF(H43="","Falta o valor",IF(AND(OR(F43="",H43&gt;=F43),OR(G43="",H43&lt;=G43)),"Dentro","Fora")))</f>
        <v>Dentro</v>
      </c>
      <c r="J43" s="7"/>
      <c r="K43" s="7"/>
      <c r="L43" s="7"/>
    </row>
    <row r="44" customFormat="false" ht="19.5" hidden="false" customHeight="true" outlineLevel="0" collapsed="false">
      <c r="B44" s="38" t="n">
        <v>46455</v>
      </c>
      <c r="C44" s="7" t="s">
        <v>300</v>
      </c>
      <c r="D44" s="39" t="s">
        <v>262</v>
      </c>
      <c r="E44" s="33" t="s">
        <v>98</v>
      </c>
      <c r="F44" s="21" t="str">
        <f aca="false">IFERROR(IF(ISNUMBER(INDEX($F$13:$F$19,MATCH(E44,$B$13:$B$19,0))),INDEX($F$13:$F$19,MATCH(E44,$B$13:$B$19,0)),""),"")</f>
        <v/>
      </c>
      <c r="G44" s="21" t="str">
        <f aca="false">IFERROR(IF(ISNUMBER(INDEX($G$13:$G$19,MATCH(E44,$B$13:$B$19,0))),INDEX($G$13:$G$19,MATCH(E44,$B$13:$B$19,0)),""),"")</f>
        <v/>
      </c>
      <c r="H44" s="34" t="s">
        <v>297</v>
      </c>
      <c r="I44" s="22" t="str">
        <f aca="false">IF(AND(F44="",G44=""),IF(H44="","Falta o resultado",IF(H44="Sim","Dentro","Fora")),IF(H44="","Falta o valor",IF(AND(OR(F44="",H44&gt;=F44),OR(G44="",H44&lt;=G44)),"Dentro","Fora")))</f>
        <v>Dentro</v>
      </c>
      <c r="J44" s="7"/>
      <c r="K44" s="7"/>
      <c r="L44" s="7"/>
    </row>
    <row r="45" customFormat="false" ht="19.5" hidden="false" customHeight="true" outlineLevel="0" collapsed="false">
      <c r="B45" s="38" t="n">
        <v>46455</v>
      </c>
      <c r="C45" s="7" t="s">
        <v>301</v>
      </c>
      <c r="D45" s="39" t="s">
        <v>269</v>
      </c>
      <c r="E45" s="33" t="s">
        <v>99</v>
      </c>
      <c r="F45" s="21" t="n">
        <f aca="false">IFERROR(IF(ISNUMBER(INDEX($F$13:$F$19,MATCH(E45,$B$13:$B$19,0))),INDEX($F$13:$F$19,MATCH(E45,$B$13:$B$19,0)),""),"")</f>
        <v>280</v>
      </c>
      <c r="G45" s="21" t="n">
        <f aca="false">IFERROR(IF(ISNUMBER(INDEX($G$13:$G$19,MATCH(E45,$B$13:$B$19,0))),INDEX($G$13:$G$19,MATCH(E45,$B$13:$B$19,0)),""),"")</f>
        <v>320</v>
      </c>
      <c r="H45" s="34" t="n">
        <v>296</v>
      </c>
      <c r="I45" s="22" t="str">
        <f aca="false">IF(AND(F45="",G45=""),IF(H45="","Falta o resultado",IF(H45="Sim","Dentro","Fora")),IF(H45="","Falta o valor",IF(AND(OR(F45="",H45&gt;=F45),OR(G45="",H45&lt;=G45)),"Dentro","Fora")))</f>
        <v>Dentro</v>
      </c>
      <c r="J45" s="7"/>
      <c r="K45" s="7"/>
      <c r="L45" s="7"/>
    </row>
    <row r="46" customFormat="false" ht="19.5" hidden="false" customHeight="true" outlineLevel="0" collapsed="false">
      <c r="B46" s="38" t="n">
        <v>46455</v>
      </c>
      <c r="C46" s="7" t="s">
        <v>301</v>
      </c>
      <c r="D46" s="39" t="s">
        <v>275</v>
      </c>
      <c r="E46" s="33" t="s">
        <v>100</v>
      </c>
      <c r="F46" s="21" t="n">
        <f aca="false">IFERROR(IF(ISNUMBER(INDEX($F$13:$F$19,MATCH(E46,$B$13:$B$19,0))),INDEX($F$13:$F$19,MATCH(E46,$B$13:$B$19,0)),""),"")</f>
        <v>20</v>
      </c>
      <c r="G46" s="21" t="str">
        <f aca="false">IFERROR(IF(ISNUMBER(INDEX($G$13:$G$19,MATCH(E46,$B$13:$B$19,0))),INDEX($G$13:$G$19,MATCH(E46,$B$13:$B$19,0)),""),"")</f>
        <v/>
      </c>
      <c r="H46" s="34" t="n">
        <v>20</v>
      </c>
      <c r="I46" s="22" t="str">
        <f aca="false">IF(AND(F46="",G46=""),IF(H46="","Falta o resultado",IF(H46="Sim","Dentro","Fora")),IF(H46="","Falta o valor",IF(AND(OR(F46="",H46&gt;=F46),OR(G46="",H46&lt;=G46)),"Dentro","Fora")))</f>
        <v>Dentro</v>
      </c>
      <c r="J46" s="7"/>
      <c r="K46" s="7"/>
      <c r="L46" s="7"/>
    </row>
    <row r="47" customFormat="false" ht="19.5" hidden="false" customHeight="true" outlineLevel="0" collapsed="false">
      <c r="B47" s="38" t="n">
        <v>46455</v>
      </c>
      <c r="C47" s="7" t="s">
        <v>301</v>
      </c>
      <c r="D47" s="39" t="s">
        <v>282</v>
      </c>
      <c r="E47" s="33" t="s">
        <v>101</v>
      </c>
      <c r="F47" s="21" t="str">
        <f aca="false">IFERROR(IF(ISNUMBER(INDEX($F$13:$F$19,MATCH(E47,$B$13:$B$19,0))),INDEX($F$13:$F$19,MATCH(E47,$B$13:$B$19,0)),""),"")</f>
        <v/>
      </c>
      <c r="G47" s="21" t="n">
        <f aca="false">IFERROR(IF(ISNUMBER(INDEX($G$13:$G$19,MATCH(E47,$B$13:$B$19,0))),INDEX($G$13:$G$19,MATCH(E47,$B$13:$B$19,0)),""),"")</f>
        <v>10</v>
      </c>
      <c r="H47" s="34" t="n">
        <v>6</v>
      </c>
      <c r="I47" s="22" t="str">
        <f aca="false">IF(AND(F47="",G47=""),IF(H47="","Falta o resultado",IF(H47="Sim","Dentro","Fora")),IF(H47="","Falta o valor",IF(AND(OR(F47="",H47&gt;=F47),OR(G47="",H47&lt;=G47)),"Dentro","Fora")))</f>
        <v>Dentro</v>
      </c>
      <c r="J47" s="7"/>
      <c r="K47" s="7"/>
      <c r="L47" s="7"/>
    </row>
    <row r="48" customFormat="false" ht="19.5" hidden="false" customHeight="true" outlineLevel="0" collapsed="false">
      <c r="B48" s="38" t="n">
        <v>46455</v>
      </c>
      <c r="C48" s="7" t="s">
        <v>301</v>
      </c>
      <c r="D48" s="39" t="s">
        <v>288</v>
      </c>
      <c r="E48" s="33" t="s">
        <v>102</v>
      </c>
      <c r="F48" s="21" t="n">
        <f aca="false">IFERROR(IF(ISNUMBER(INDEX($F$13:$F$19,MATCH(E48,$B$13:$B$19,0))),INDEX($F$13:$F$19,MATCH(E48,$B$13:$B$19,0)),""),"")</f>
        <v>65</v>
      </c>
      <c r="G48" s="21" t="str">
        <f aca="false">IFERROR(IF(ISNUMBER(INDEX($G$13:$G$19,MATCH(E48,$B$13:$B$19,0))),INDEX($G$13:$G$19,MATCH(E48,$B$13:$B$19,0)),""),"")</f>
        <v/>
      </c>
      <c r="H48" s="34" t="n">
        <v>69</v>
      </c>
      <c r="I48" s="22" t="str">
        <f aca="false">IF(AND(F48="",G48=""),IF(H48="","Falta o resultado",IF(H48="Sim","Dentro","Fora")),IF(H48="","Falta o valor",IF(AND(OR(F48="",H48&gt;=F48),OR(G48="",H48&lt;=G48)),"Dentro","Fora")))</f>
        <v>Dentro</v>
      </c>
      <c r="J48" s="7"/>
      <c r="K48" s="7"/>
      <c r="L48" s="7"/>
    </row>
    <row r="49" customFormat="false" ht="19.5" hidden="false" customHeight="true" outlineLevel="0" collapsed="false">
      <c r="B49" s="38" t="n">
        <v>46456</v>
      </c>
      <c r="C49" s="7" t="s">
        <v>294</v>
      </c>
      <c r="D49" s="39" t="s">
        <v>141</v>
      </c>
      <c r="E49" s="33" t="s">
        <v>96</v>
      </c>
      <c r="F49" s="21" t="n">
        <f aca="false">IFERROR(IF(ISNUMBER(INDEX($F$13:$F$19,MATCH(E49,$B$13:$B$19,0))),INDEX($F$13:$F$19,MATCH(E49,$B$13:$B$19,0)),""),"")</f>
        <v>0</v>
      </c>
      <c r="G49" s="21" t="n">
        <f aca="false">IFERROR(IF(ISNUMBER(INDEX($G$13:$G$19,MATCH(E49,$B$13:$B$19,0))),INDEX($G$13:$G$19,MATCH(E49,$B$13:$B$19,0)),""),"")</f>
        <v>5</v>
      </c>
      <c r="H49" s="34" t="n">
        <v>3.6</v>
      </c>
      <c r="I49" s="22" t="str">
        <f aca="false">IF(AND(F49="",G49=""),IF(H49="","Falta o resultado",IF(H49="Sim","Dentro","Fora")),IF(H49="","Falta o valor",IF(AND(OR(F49="",H49&gt;=F49),OR(G49="",H49&lt;=G49)),"Dentro","Fora")))</f>
        <v>Dentro</v>
      </c>
      <c r="J49" s="7"/>
      <c r="K49" s="7"/>
      <c r="L49" s="7"/>
    </row>
    <row r="50" customFormat="false" ht="19.5" hidden="false" customHeight="true" outlineLevel="0" collapsed="false">
      <c r="B50" s="38" t="n">
        <v>46456</v>
      </c>
      <c r="C50" s="7" t="s">
        <v>140</v>
      </c>
      <c r="D50" s="39" t="s">
        <v>141</v>
      </c>
      <c r="E50" s="33" t="s">
        <v>96</v>
      </c>
      <c r="F50" s="21" t="n">
        <f aca="false">IFERROR(IF(ISNUMBER(INDEX($F$13:$F$19,MATCH(E50,$B$13:$B$19,0))),INDEX($F$13:$F$19,MATCH(E50,$B$13:$B$19,0)),""),"")</f>
        <v>0</v>
      </c>
      <c r="G50" s="21" t="n">
        <f aca="false">IFERROR(IF(ISNUMBER(INDEX($G$13:$G$19,MATCH(E50,$B$13:$B$19,0))),INDEX($G$13:$G$19,MATCH(E50,$B$13:$B$19,0)),""),"")</f>
        <v>5</v>
      </c>
      <c r="H50" s="34" t="n">
        <v>3.8</v>
      </c>
      <c r="I50" s="22" t="str">
        <f aca="false">IF(AND(F50="",G50=""),IF(H50="","Falta o resultado",IF(H50="Sim","Dentro","Fora")),IF(H50="","Falta o valor",IF(AND(OR(F50="",H50&gt;=F50),OR(G50="",H50&lt;=G50)),"Dentro","Fora")))</f>
        <v>Dentro</v>
      </c>
      <c r="J50" s="7"/>
      <c r="K50" s="7"/>
      <c r="L50" s="7"/>
    </row>
    <row r="51" customFormat="false" ht="19.5" hidden="false" customHeight="true" outlineLevel="0" collapsed="false">
      <c r="B51" s="38" t="n">
        <v>46456</v>
      </c>
      <c r="C51" s="7" t="s">
        <v>302</v>
      </c>
      <c r="D51" s="39" t="s">
        <v>254</v>
      </c>
      <c r="E51" s="33" t="s">
        <v>97</v>
      </c>
      <c r="F51" s="21" t="n">
        <f aca="false">IFERROR(IF(ISNUMBER(INDEX($F$13:$F$19,MATCH(E51,$B$13:$B$19,0))),INDEX($F$13:$F$19,MATCH(E51,$B$13:$B$19,0)),""),"")</f>
        <v>380</v>
      </c>
      <c r="G51" s="21" t="n">
        <f aca="false">IFERROR(IF(ISNUMBER(INDEX($G$13:$G$19,MATCH(E51,$B$13:$B$19,0))),INDEX($G$13:$G$19,MATCH(E51,$B$13:$B$19,0)),""),"")</f>
        <v>420</v>
      </c>
      <c r="H51" s="34" t="n">
        <v>405</v>
      </c>
      <c r="I51" s="22" t="str">
        <f aca="false">IF(AND(F51="",G51=""),IF(H51="","Falta o resultado",IF(H51="Sim","Dentro","Fora")),IF(H51="","Falta o valor",IF(AND(OR(F51="",H51&gt;=F51),OR(G51="",H51&lt;=G51)),"Dentro","Fora")))</f>
        <v>Dentro</v>
      </c>
      <c r="J51" s="7"/>
      <c r="K51" s="7"/>
      <c r="L51" s="7"/>
    </row>
    <row r="52" customFormat="false" ht="19.5" hidden="false" customHeight="true" outlineLevel="0" collapsed="false">
      <c r="B52" s="38" t="n">
        <v>46456</v>
      </c>
      <c r="C52" s="7" t="s">
        <v>303</v>
      </c>
      <c r="D52" s="39" t="s">
        <v>262</v>
      </c>
      <c r="E52" s="33" t="s">
        <v>98</v>
      </c>
      <c r="F52" s="21" t="str">
        <f aca="false">IFERROR(IF(ISNUMBER(INDEX($F$13:$F$19,MATCH(E52,$B$13:$B$19,0))),INDEX($F$13:$F$19,MATCH(E52,$B$13:$B$19,0)),""),"")</f>
        <v/>
      </c>
      <c r="G52" s="21" t="str">
        <f aca="false">IFERROR(IF(ISNUMBER(INDEX($G$13:$G$19,MATCH(E52,$B$13:$B$19,0))),INDEX($G$13:$G$19,MATCH(E52,$B$13:$B$19,0)),""),"")</f>
        <v/>
      </c>
      <c r="H52" s="34" t="s">
        <v>297</v>
      </c>
      <c r="I52" s="22" t="str">
        <f aca="false">IF(AND(F52="",G52=""),IF(H52="","Falta o resultado",IF(H52="Sim","Dentro","Fora")),IF(H52="","Falta o valor",IF(AND(OR(F52="",H52&gt;=F52),OR(G52="",H52&lt;=G52)),"Dentro","Fora")))</f>
        <v>Dentro</v>
      </c>
      <c r="J52" s="7"/>
      <c r="K52" s="7"/>
      <c r="L52" s="7"/>
    </row>
    <row r="53" customFormat="false" ht="19.5" hidden="false" customHeight="true" outlineLevel="0" collapsed="false">
      <c r="B53" s="38" t="n">
        <v>46456</v>
      </c>
      <c r="C53" s="7" t="s">
        <v>304</v>
      </c>
      <c r="D53" s="39" t="s">
        <v>269</v>
      </c>
      <c r="E53" s="33" t="s">
        <v>99</v>
      </c>
      <c r="F53" s="21" t="n">
        <f aca="false">IFERROR(IF(ISNUMBER(INDEX($F$13:$F$19,MATCH(E53,$B$13:$B$19,0))),INDEX($F$13:$F$19,MATCH(E53,$B$13:$B$19,0)),""),"")</f>
        <v>280</v>
      </c>
      <c r="G53" s="21" t="n">
        <f aca="false">IFERROR(IF(ISNUMBER(INDEX($G$13:$G$19,MATCH(E53,$B$13:$B$19,0))),INDEX($G$13:$G$19,MATCH(E53,$B$13:$B$19,0)),""),"")</f>
        <v>320</v>
      </c>
      <c r="H53" s="34" t="n">
        <v>305</v>
      </c>
      <c r="I53" s="22" t="str">
        <f aca="false">IF(AND(F53="",G53=""),IF(H53="","Falta o resultado",IF(H53="Sim","Dentro","Fora")),IF(H53="","Falta o valor",IF(AND(OR(F53="",H53&gt;=F53),OR(G53="",H53&lt;=G53)),"Dentro","Fora")))</f>
        <v>Dentro</v>
      </c>
      <c r="J53" s="7"/>
      <c r="K53" s="7"/>
      <c r="L53" s="7"/>
    </row>
    <row r="54" customFormat="false" ht="19.5" hidden="false" customHeight="true" outlineLevel="0" collapsed="false">
      <c r="B54" s="38" t="n">
        <v>46456</v>
      </c>
      <c r="C54" s="7" t="s">
        <v>304</v>
      </c>
      <c r="D54" s="39" t="s">
        <v>275</v>
      </c>
      <c r="E54" s="33" t="s">
        <v>100</v>
      </c>
      <c r="F54" s="21" t="n">
        <f aca="false">IFERROR(IF(ISNUMBER(INDEX($F$13:$F$19,MATCH(E54,$B$13:$B$19,0))),INDEX($F$13:$F$19,MATCH(E54,$B$13:$B$19,0)),""),"")</f>
        <v>20</v>
      </c>
      <c r="G54" s="21" t="str">
        <f aca="false">IFERROR(IF(ISNUMBER(INDEX($G$13:$G$19,MATCH(E54,$B$13:$B$19,0))),INDEX($G$13:$G$19,MATCH(E54,$B$13:$B$19,0)),""),"")</f>
        <v/>
      </c>
      <c r="H54" s="34" t="n">
        <v>20</v>
      </c>
      <c r="I54" s="22" t="str">
        <f aca="false">IF(AND(F54="",G54=""),IF(H54="","Falta o resultado",IF(H54="Sim","Dentro","Fora")),IF(H54="","Falta o valor",IF(AND(OR(F54="",H54&gt;=F54),OR(G54="",H54&lt;=G54)),"Dentro","Fora")))</f>
        <v>Dentro</v>
      </c>
      <c r="J54" s="7"/>
      <c r="K54" s="7"/>
      <c r="L54" s="7"/>
    </row>
    <row r="55" customFormat="false" ht="19.5" hidden="false" customHeight="true" outlineLevel="0" collapsed="false">
      <c r="B55" s="38" t="n">
        <v>46456</v>
      </c>
      <c r="C55" s="7" t="s">
        <v>304</v>
      </c>
      <c r="D55" s="39" t="s">
        <v>282</v>
      </c>
      <c r="E55" s="33" t="s">
        <v>101</v>
      </c>
      <c r="F55" s="21" t="str">
        <f aca="false">IFERROR(IF(ISNUMBER(INDEX($F$13:$F$19,MATCH(E55,$B$13:$B$19,0))),INDEX($F$13:$F$19,MATCH(E55,$B$13:$B$19,0)),""),"")</f>
        <v/>
      </c>
      <c r="G55" s="21" t="n">
        <f aca="false">IFERROR(IF(ISNUMBER(INDEX($G$13:$G$19,MATCH(E55,$B$13:$B$19,0))),INDEX($G$13:$G$19,MATCH(E55,$B$13:$B$19,0)),""),"")</f>
        <v>10</v>
      </c>
      <c r="H55" s="34" t="n">
        <v>8</v>
      </c>
      <c r="I55" s="22" t="str">
        <f aca="false">IF(AND(F55="",G55=""),IF(H55="","Falta o resultado",IF(H55="Sim","Dentro","Fora")),IF(H55="","Falta o valor",IF(AND(OR(F55="",H55&gt;=F55),OR(G55="",H55&lt;=G55)),"Dentro","Fora")))</f>
        <v>Dentro</v>
      </c>
      <c r="J55" s="7"/>
      <c r="K55" s="7"/>
      <c r="L55" s="7"/>
    </row>
    <row r="56" customFormat="false" ht="19.5" hidden="false" customHeight="true" outlineLevel="0" collapsed="false">
      <c r="B56" s="38" t="n">
        <v>46456</v>
      </c>
      <c r="C56" s="7" t="s">
        <v>304</v>
      </c>
      <c r="D56" s="39" t="s">
        <v>288</v>
      </c>
      <c r="E56" s="33" t="s">
        <v>102</v>
      </c>
      <c r="F56" s="21" t="n">
        <f aca="false">IFERROR(IF(ISNUMBER(INDEX($F$13:$F$19,MATCH(E56,$B$13:$B$19,0))),INDEX($F$13:$F$19,MATCH(E56,$B$13:$B$19,0)),""),"")</f>
        <v>65</v>
      </c>
      <c r="G56" s="21" t="str">
        <f aca="false">IFERROR(IF(ISNUMBER(INDEX($G$13:$G$19,MATCH(E56,$B$13:$B$19,0))),INDEX($G$13:$G$19,MATCH(E56,$B$13:$B$19,0)),""),"")</f>
        <v/>
      </c>
      <c r="H56" s="34" t="n">
        <v>72</v>
      </c>
      <c r="I56" s="22" t="str">
        <f aca="false">IF(AND(F56="",G56=""),IF(H56="","Falta o resultado",IF(H56="Sim","Dentro","Fora")),IF(H56="","Falta o valor",IF(AND(OR(F56="",H56&gt;=F56),OR(G56="",H56&lt;=G56)),"Dentro","Fora")))</f>
        <v>Dentro</v>
      </c>
      <c r="J56" s="7"/>
      <c r="K56" s="7"/>
      <c r="L56" s="7"/>
    </row>
    <row r="57" customFormat="false" ht="19.5" hidden="false" customHeight="true" outlineLevel="0" collapsed="false">
      <c r="B57" s="38" t="n">
        <v>46457</v>
      </c>
      <c r="C57" s="7" t="s">
        <v>294</v>
      </c>
      <c r="D57" s="39" t="s">
        <v>141</v>
      </c>
      <c r="E57" s="33" t="s">
        <v>96</v>
      </c>
      <c r="F57" s="21" t="n">
        <f aca="false">IFERROR(IF(ISNUMBER(INDEX($F$13:$F$19,MATCH(E57,$B$13:$B$19,0))),INDEX($F$13:$F$19,MATCH(E57,$B$13:$B$19,0)),""),"")</f>
        <v>0</v>
      </c>
      <c r="G57" s="21" t="n">
        <f aca="false">IFERROR(IF(ISNUMBER(INDEX($G$13:$G$19,MATCH(E57,$B$13:$B$19,0))),INDEX($G$13:$G$19,MATCH(E57,$B$13:$B$19,0)),""),"")</f>
        <v>5</v>
      </c>
      <c r="H57" s="34" t="n">
        <v>4.1</v>
      </c>
      <c r="I57" s="22" t="str">
        <f aca="false">IF(AND(F57="",G57=""),IF(H57="","Falta o resultado",IF(H57="Sim","Dentro","Fora")),IF(H57="","Falta o valor",IF(AND(OR(F57="",H57&gt;=F57),OR(G57="",H57&lt;=G57)),"Dentro","Fora")))</f>
        <v>Dentro</v>
      </c>
      <c r="J57" s="7"/>
      <c r="K57" s="7"/>
      <c r="L57" s="7"/>
    </row>
    <row r="58" customFormat="false" ht="30.75" hidden="false" customHeight="true" outlineLevel="0" collapsed="false">
      <c r="B58" s="38" t="n">
        <v>46457</v>
      </c>
      <c r="C58" s="7" t="s">
        <v>140</v>
      </c>
      <c r="D58" s="39" t="s">
        <v>141</v>
      </c>
      <c r="E58" s="33" t="s">
        <v>96</v>
      </c>
      <c r="F58" s="21" t="n">
        <f aca="false">IFERROR(IF(ISNUMBER(INDEX($F$13:$F$19,MATCH(E58,$B$13:$B$19,0))),INDEX($F$13:$F$19,MATCH(E58,$B$13:$B$19,0)),""),"")</f>
        <v>0</v>
      </c>
      <c r="G58" s="21" t="n">
        <f aca="false">IFERROR(IF(ISNUMBER(INDEX($G$13:$G$19,MATCH(E58,$B$13:$B$19,0))),INDEX($G$13:$G$19,MATCH(E58,$B$13:$B$19,0)),""),"")</f>
        <v>5</v>
      </c>
      <c r="H58" s="34" t="n">
        <v>7</v>
      </c>
      <c r="I58" s="22" t="str">
        <f aca="false">IF(AND(F58="",G58=""),IF(H58="","Falta o resultado",IF(H58="Sim","Dentro","Fora")),IF(H58="","Falta o valor",IF(AND(OR(F58="",H58&gt;=F58),OR(G58="",H58&lt;=G58)),"Dentro","Fora")))</f>
        <v>Fora</v>
      </c>
      <c r="J58" s="7" t="s">
        <v>305</v>
      </c>
      <c r="K58" s="7"/>
      <c r="L58" s="7"/>
    </row>
    <row r="59" customFormat="false" ht="19.5" hidden="false" customHeight="true" outlineLevel="0" collapsed="false">
      <c r="B59" s="38" t="n">
        <v>46457</v>
      </c>
      <c r="C59" s="7" t="s">
        <v>306</v>
      </c>
      <c r="D59" s="39" t="s">
        <v>254</v>
      </c>
      <c r="E59" s="33" t="s">
        <v>97</v>
      </c>
      <c r="F59" s="21" t="n">
        <f aca="false">IFERROR(IF(ISNUMBER(INDEX($F$13:$F$19,MATCH(E59,$B$13:$B$19,0))),INDEX($F$13:$F$19,MATCH(E59,$B$13:$B$19,0)),""),"")</f>
        <v>380</v>
      </c>
      <c r="G59" s="21" t="n">
        <f aca="false">IFERROR(IF(ISNUMBER(INDEX($G$13:$G$19,MATCH(E59,$B$13:$B$19,0))),INDEX($G$13:$G$19,MATCH(E59,$B$13:$B$19,0)),""),"")</f>
        <v>420</v>
      </c>
      <c r="H59" s="34" t="n">
        <v>396</v>
      </c>
      <c r="I59" s="22" t="str">
        <f aca="false">IF(AND(F59="",G59=""),IF(H59="","Falta o resultado",IF(H59="Sim","Dentro","Fora")),IF(H59="","Falta o valor",IF(AND(OR(F59="",H59&gt;=F59),OR(G59="",H59&lt;=G59)),"Dentro","Fora")))</f>
        <v>Dentro</v>
      </c>
      <c r="J59" s="7"/>
      <c r="K59" s="7"/>
      <c r="L59" s="7"/>
    </row>
    <row r="60" customFormat="false" ht="19.5" hidden="false" customHeight="true" outlineLevel="0" collapsed="false">
      <c r="B60" s="38" t="n">
        <v>46457</v>
      </c>
      <c r="C60" s="7" t="s">
        <v>307</v>
      </c>
      <c r="D60" s="39" t="s">
        <v>262</v>
      </c>
      <c r="E60" s="33" t="s">
        <v>98</v>
      </c>
      <c r="F60" s="21" t="str">
        <f aca="false">IFERROR(IF(ISNUMBER(INDEX($F$13:$F$19,MATCH(E60,$B$13:$B$19,0))),INDEX($F$13:$F$19,MATCH(E60,$B$13:$B$19,0)),""),"")</f>
        <v/>
      </c>
      <c r="G60" s="21" t="str">
        <f aca="false">IFERROR(IF(ISNUMBER(INDEX($G$13:$G$19,MATCH(E60,$B$13:$B$19,0))),INDEX($G$13:$G$19,MATCH(E60,$B$13:$B$19,0)),""),"")</f>
        <v/>
      </c>
      <c r="H60" s="34" t="s">
        <v>297</v>
      </c>
      <c r="I60" s="22" t="str">
        <f aca="false">IF(AND(F60="",G60=""),IF(H60="","Falta o resultado",IF(H60="Sim","Dentro","Fora")),IF(H60="","Falta o valor",IF(AND(OR(F60="",H60&gt;=F60),OR(G60="",H60&lt;=G60)),"Dentro","Fora")))</f>
        <v>Dentro</v>
      </c>
      <c r="J60" s="7"/>
      <c r="K60" s="7"/>
      <c r="L60" s="7"/>
    </row>
    <row r="61" customFormat="false" ht="19.5" hidden="false" customHeight="true" outlineLevel="0" collapsed="false">
      <c r="B61" s="38" t="n">
        <v>46457</v>
      </c>
      <c r="C61" s="7" t="s">
        <v>308</v>
      </c>
      <c r="D61" s="39" t="s">
        <v>269</v>
      </c>
      <c r="E61" s="33" t="s">
        <v>99</v>
      </c>
      <c r="F61" s="21" t="n">
        <f aca="false">IFERROR(IF(ISNUMBER(INDEX($F$13:$F$19,MATCH(E61,$B$13:$B$19,0))),INDEX($F$13:$F$19,MATCH(E61,$B$13:$B$19,0)),""),"")</f>
        <v>280</v>
      </c>
      <c r="G61" s="21" t="n">
        <f aca="false">IFERROR(IF(ISNUMBER(INDEX($G$13:$G$19,MATCH(E61,$B$13:$B$19,0))),INDEX($G$13:$G$19,MATCH(E61,$B$13:$B$19,0)),""),"")</f>
        <v>320</v>
      </c>
      <c r="H61" s="34" t="n">
        <v>299</v>
      </c>
      <c r="I61" s="22" t="str">
        <f aca="false">IF(AND(F61="",G61=""),IF(H61="","Falta o resultado",IF(H61="Sim","Dentro","Fora")),IF(H61="","Falta o valor",IF(AND(OR(F61="",H61&gt;=F61),OR(G61="",H61&lt;=G61)),"Dentro","Fora")))</f>
        <v>Dentro</v>
      </c>
      <c r="J61" s="7"/>
      <c r="K61" s="7"/>
      <c r="L61" s="7"/>
    </row>
    <row r="62" customFormat="false" ht="19.5" hidden="false" customHeight="true" outlineLevel="0" collapsed="false">
      <c r="B62" s="38" t="n">
        <v>46457</v>
      </c>
      <c r="C62" s="7" t="s">
        <v>308</v>
      </c>
      <c r="D62" s="39" t="s">
        <v>275</v>
      </c>
      <c r="E62" s="33" t="s">
        <v>100</v>
      </c>
      <c r="F62" s="21" t="n">
        <f aca="false">IFERROR(IF(ISNUMBER(INDEX($F$13:$F$19,MATCH(E62,$B$13:$B$19,0))),INDEX($F$13:$F$19,MATCH(E62,$B$13:$B$19,0)),""),"")</f>
        <v>20</v>
      </c>
      <c r="G62" s="21" t="str">
        <f aca="false">IFERROR(IF(ISNUMBER(INDEX($G$13:$G$19,MATCH(E62,$B$13:$B$19,0))),INDEX($G$13:$G$19,MATCH(E62,$B$13:$B$19,0)),""),"")</f>
        <v/>
      </c>
      <c r="H62" s="34" t="n">
        <v>20</v>
      </c>
      <c r="I62" s="22" t="str">
        <f aca="false">IF(AND(F62="",G62=""),IF(H62="","Falta o resultado",IF(H62="Sim","Dentro","Fora")),IF(H62="","Falta o valor",IF(AND(OR(F62="",H62&gt;=F62),OR(G62="",H62&lt;=G62)),"Dentro","Fora")))</f>
        <v>Dentro</v>
      </c>
      <c r="J62" s="7"/>
      <c r="K62" s="7"/>
      <c r="L62" s="7"/>
    </row>
    <row r="63" customFormat="false" ht="19.5" hidden="false" customHeight="true" outlineLevel="0" collapsed="false">
      <c r="B63" s="38" t="n">
        <v>46457</v>
      </c>
      <c r="C63" s="7" t="s">
        <v>308</v>
      </c>
      <c r="D63" s="39" t="s">
        <v>282</v>
      </c>
      <c r="E63" s="33" t="s">
        <v>101</v>
      </c>
      <c r="F63" s="21" t="str">
        <f aca="false">IFERROR(IF(ISNUMBER(INDEX($F$13:$F$19,MATCH(E63,$B$13:$B$19,0))),INDEX($F$13:$F$19,MATCH(E63,$B$13:$B$19,0)),""),"")</f>
        <v/>
      </c>
      <c r="G63" s="21" t="n">
        <f aca="false">IFERROR(IF(ISNUMBER(INDEX($G$13:$G$19,MATCH(E63,$B$13:$B$19,0))),INDEX($G$13:$G$19,MATCH(E63,$B$13:$B$19,0)),""),"")</f>
        <v>10</v>
      </c>
      <c r="H63" s="34" t="n">
        <v>9</v>
      </c>
      <c r="I63" s="22" t="str">
        <f aca="false">IF(AND(F63="",G63=""),IF(H63="","Falta o resultado",IF(H63="Sim","Dentro","Fora")),IF(H63="","Falta o valor",IF(AND(OR(F63="",H63&gt;=F63),OR(G63="",H63&lt;=G63)),"Dentro","Fora")))</f>
        <v>Dentro</v>
      </c>
      <c r="J63" s="7"/>
      <c r="K63" s="7"/>
      <c r="L63" s="7"/>
    </row>
    <row r="64" customFormat="false" ht="19.5" hidden="false" customHeight="true" outlineLevel="0" collapsed="false">
      <c r="B64" s="38" t="n">
        <v>46457</v>
      </c>
      <c r="C64" s="7" t="s">
        <v>308</v>
      </c>
      <c r="D64" s="39" t="s">
        <v>288</v>
      </c>
      <c r="E64" s="33" t="s">
        <v>102</v>
      </c>
      <c r="F64" s="21" t="n">
        <f aca="false">IFERROR(IF(ISNUMBER(INDEX($F$13:$F$19,MATCH(E64,$B$13:$B$19,0))),INDEX($F$13:$F$19,MATCH(E64,$B$13:$B$19,0)),""),"")</f>
        <v>65</v>
      </c>
      <c r="G64" s="21" t="str">
        <f aca="false">IFERROR(IF(ISNUMBER(INDEX($G$13:$G$19,MATCH(E64,$B$13:$B$19,0))),INDEX($G$13:$G$19,MATCH(E64,$B$13:$B$19,0)),""),"")</f>
        <v/>
      </c>
      <c r="H64" s="34" t="n">
        <v>68</v>
      </c>
      <c r="I64" s="22" t="str">
        <f aca="false">IF(AND(F64="",G64=""),IF(H64="","Falta o resultado",IF(H64="Sim","Dentro","Fora")),IF(H64="","Falta o valor",IF(AND(OR(F64="",H64&gt;=F64),OR(G64="",H64&lt;=G64)),"Dentro","Fora")))</f>
        <v>Dentro</v>
      </c>
      <c r="J64" s="7"/>
      <c r="K64" s="7"/>
      <c r="L64" s="7"/>
    </row>
    <row r="65" customFormat="false" ht="19.5" hidden="false" customHeight="true" outlineLevel="0" collapsed="false">
      <c r="B65" s="38" t="n">
        <v>46458</v>
      </c>
      <c r="C65" s="7" t="s">
        <v>294</v>
      </c>
      <c r="D65" s="39" t="s">
        <v>141</v>
      </c>
      <c r="E65" s="33" t="s">
        <v>96</v>
      </c>
      <c r="F65" s="21" t="n">
        <f aca="false">IFERROR(IF(ISNUMBER(INDEX($F$13:$F$19,MATCH(E65,$B$13:$B$19,0))),INDEX($F$13:$F$19,MATCH(E65,$B$13:$B$19,0)),""),"")</f>
        <v>0</v>
      </c>
      <c r="G65" s="21" t="n">
        <f aca="false">IFERROR(IF(ISNUMBER(INDEX($G$13:$G$19,MATCH(E65,$B$13:$B$19,0))),INDEX($G$13:$G$19,MATCH(E65,$B$13:$B$19,0)),""),"")</f>
        <v>5</v>
      </c>
      <c r="H65" s="34" t="n">
        <v>3.3</v>
      </c>
      <c r="I65" s="22" t="str">
        <f aca="false">IF(AND(F65="",G65=""),IF(H65="","Falta o resultado",IF(H65="Sim","Dentro","Fora")),IF(H65="","Falta o valor",IF(AND(OR(F65="",H65&gt;=F65),OR(G65="",H65&lt;=G65)),"Dentro","Fora")))</f>
        <v>Dentro</v>
      </c>
      <c r="J65" s="7"/>
      <c r="K65" s="7"/>
      <c r="L65" s="7"/>
    </row>
    <row r="66" customFormat="false" ht="19.5" hidden="false" customHeight="true" outlineLevel="0" collapsed="false">
      <c r="B66" s="38" t="n">
        <v>46458</v>
      </c>
      <c r="C66" s="7" t="s">
        <v>140</v>
      </c>
      <c r="D66" s="39" t="s">
        <v>141</v>
      </c>
      <c r="E66" s="33" t="s">
        <v>96</v>
      </c>
      <c r="F66" s="21" t="n">
        <f aca="false">IFERROR(IF(ISNUMBER(INDEX($F$13:$F$19,MATCH(E66,$B$13:$B$19,0))),INDEX($F$13:$F$19,MATCH(E66,$B$13:$B$19,0)),""),"")</f>
        <v>0</v>
      </c>
      <c r="G66" s="21" t="n">
        <f aca="false">IFERROR(IF(ISNUMBER(INDEX($G$13:$G$19,MATCH(E66,$B$13:$B$19,0))),INDEX($G$13:$G$19,MATCH(E66,$B$13:$B$19,0)),""),"")</f>
        <v>5</v>
      </c>
      <c r="H66" s="34" t="n">
        <v>3.1</v>
      </c>
      <c r="I66" s="22" t="str">
        <f aca="false">IF(AND(F66="",G66=""),IF(H66="","Falta o resultado",IF(H66="Sim","Dentro","Fora")),IF(H66="","Falta o valor",IF(AND(OR(F66="",H66&gt;=F66),OR(G66="",H66&lt;=G66)),"Dentro","Fora")))</f>
        <v>Dentro</v>
      </c>
      <c r="J66" s="7"/>
      <c r="K66" s="7"/>
      <c r="L66" s="7"/>
    </row>
    <row r="67" customFormat="false" ht="19.5" hidden="false" customHeight="true" outlineLevel="0" collapsed="false">
      <c r="B67" s="38" t="n">
        <v>46458</v>
      </c>
      <c r="C67" s="7" t="s">
        <v>309</v>
      </c>
      <c r="D67" s="39" t="s">
        <v>254</v>
      </c>
      <c r="E67" s="33" t="s">
        <v>97</v>
      </c>
      <c r="F67" s="21" t="n">
        <f aca="false">IFERROR(IF(ISNUMBER(INDEX($F$13:$F$19,MATCH(E67,$B$13:$B$19,0))),INDEX($F$13:$F$19,MATCH(E67,$B$13:$B$19,0)),""),"")</f>
        <v>380</v>
      </c>
      <c r="G67" s="21" t="n">
        <f aca="false">IFERROR(IF(ISNUMBER(INDEX($G$13:$G$19,MATCH(E67,$B$13:$B$19,0))),INDEX($G$13:$G$19,MATCH(E67,$B$13:$B$19,0)),""),"")</f>
        <v>420</v>
      </c>
      <c r="H67" s="34" t="n">
        <v>410</v>
      </c>
      <c r="I67" s="22" t="str">
        <f aca="false">IF(AND(F67="",G67=""),IF(H67="","Falta o resultado",IF(H67="Sim","Dentro","Fora")),IF(H67="","Falta o valor",IF(AND(OR(F67="",H67&gt;=F67),OR(G67="",H67&lt;=G67)),"Dentro","Fora")))</f>
        <v>Dentro</v>
      </c>
      <c r="J67" s="7"/>
      <c r="K67" s="7"/>
      <c r="L67" s="7"/>
    </row>
    <row r="68" customFormat="false" ht="19.5" hidden="false" customHeight="true" outlineLevel="0" collapsed="false">
      <c r="B68" s="38" t="n">
        <v>46458</v>
      </c>
      <c r="C68" s="7" t="s">
        <v>310</v>
      </c>
      <c r="D68" s="39" t="s">
        <v>262</v>
      </c>
      <c r="E68" s="33" t="s">
        <v>98</v>
      </c>
      <c r="F68" s="21" t="str">
        <f aca="false">IFERROR(IF(ISNUMBER(INDEX($F$13:$F$19,MATCH(E68,$B$13:$B$19,0))),INDEX($F$13:$F$19,MATCH(E68,$B$13:$B$19,0)),""),"")</f>
        <v/>
      </c>
      <c r="G68" s="21" t="str">
        <f aca="false">IFERROR(IF(ISNUMBER(INDEX($G$13:$G$19,MATCH(E68,$B$13:$B$19,0))),INDEX($G$13:$G$19,MATCH(E68,$B$13:$B$19,0)),""),"")</f>
        <v/>
      </c>
      <c r="H68" s="34" t="s">
        <v>297</v>
      </c>
      <c r="I68" s="22" t="str">
        <f aca="false">IF(AND(F68="",G68=""),IF(H68="","Falta o resultado",IF(H68="Sim","Dentro","Fora")),IF(H68="","Falta o valor",IF(AND(OR(F68="",H68&gt;=F68),OR(G68="",H68&lt;=G68)),"Dentro","Fora")))</f>
        <v>Dentro</v>
      </c>
      <c r="J68" s="7"/>
      <c r="K68" s="7"/>
      <c r="L68" s="7"/>
    </row>
    <row r="69" customFormat="false" ht="19.5" hidden="false" customHeight="true" outlineLevel="0" collapsed="false">
      <c r="B69" s="38" t="n">
        <v>46458</v>
      </c>
      <c r="C69" s="7" t="s">
        <v>311</v>
      </c>
      <c r="D69" s="39" t="s">
        <v>269</v>
      </c>
      <c r="E69" s="33" t="s">
        <v>99</v>
      </c>
      <c r="F69" s="21" t="n">
        <f aca="false">IFERROR(IF(ISNUMBER(INDEX($F$13:$F$19,MATCH(E69,$B$13:$B$19,0))),INDEX($F$13:$F$19,MATCH(E69,$B$13:$B$19,0)),""),"")</f>
        <v>280</v>
      </c>
      <c r="G69" s="21" t="n">
        <f aca="false">IFERROR(IF(ISNUMBER(INDEX($G$13:$G$19,MATCH(E69,$B$13:$B$19,0))),INDEX($G$13:$G$19,MATCH(E69,$B$13:$B$19,0)),""),"")</f>
        <v>320</v>
      </c>
      <c r="H69" s="34" t="n">
        <v>310</v>
      </c>
      <c r="I69" s="22" t="str">
        <f aca="false">IF(AND(F69="",G69=""),IF(H69="","Falta o resultado",IF(H69="Sim","Dentro","Fora")),IF(H69="","Falta o valor",IF(AND(OR(F69="",H69&gt;=F69),OR(G69="",H69&lt;=G69)),"Dentro","Fora")))</f>
        <v>Dentro</v>
      </c>
      <c r="J69" s="7"/>
      <c r="K69" s="7"/>
      <c r="L69" s="7"/>
    </row>
    <row r="70" customFormat="false" ht="19.5" hidden="false" customHeight="true" outlineLevel="0" collapsed="false">
      <c r="B70" s="38" t="n">
        <v>46458</v>
      </c>
      <c r="C70" s="7" t="s">
        <v>311</v>
      </c>
      <c r="D70" s="39" t="s">
        <v>275</v>
      </c>
      <c r="E70" s="33" t="s">
        <v>100</v>
      </c>
      <c r="F70" s="21" t="n">
        <f aca="false">IFERROR(IF(ISNUMBER(INDEX($F$13:$F$19,MATCH(E70,$B$13:$B$19,0))),INDEX($F$13:$F$19,MATCH(E70,$B$13:$B$19,0)),""),"")</f>
        <v>20</v>
      </c>
      <c r="G70" s="21" t="str">
        <f aca="false">IFERROR(IF(ISNUMBER(INDEX($G$13:$G$19,MATCH(E70,$B$13:$B$19,0))),INDEX($G$13:$G$19,MATCH(E70,$B$13:$B$19,0)),""),"")</f>
        <v/>
      </c>
      <c r="H70" s="34" t="n">
        <v>19</v>
      </c>
      <c r="I70" s="22" t="str">
        <f aca="false">IF(AND(F70="",G70=""),IF(H70="","Falta o resultado",IF(H70="Sim","Dentro","Fora")),IF(H70="","Falta o valor",IF(AND(OR(F70="",H70&gt;=F70),OR(G70="",H70&lt;=G70)),"Dentro","Fora")))</f>
        <v>Fora</v>
      </c>
      <c r="J70" s="7" t="s">
        <v>312</v>
      </c>
      <c r="K70" s="7"/>
      <c r="L70" s="7"/>
    </row>
    <row r="71" customFormat="false" ht="19.5" hidden="false" customHeight="true" outlineLevel="0" collapsed="false">
      <c r="B71" s="38" t="n">
        <v>46458</v>
      </c>
      <c r="C71" s="7" t="s">
        <v>311</v>
      </c>
      <c r="D71" s="39" t="s">
        <v>282</v>
      </c>
      <c r="E71" s="33" t="s">
        <v>101</v>
      </c>
      <c r="F71" s="21" t="str">
        <f aca="false">IFERROR(IF(ISNUMBER(INDEX($F$13:$F$19,MATCH(E71,$B$13:$B$19,0))),INDEX($F$13:$F$19,MATCH(E71,$B$13:$B$19,0)),""),"")</f>
        <v/>
      </c>
      <c r="G71" s="21" t="n">
        <f aca="false">IFERROR(IF(ISNUMBER(INDEX($G$13:$G$19,MATCH(E71,$B$13:$B$19,0))),INDEX($G$13:$G$19,MATCH(E71,$B$13:$B$19,0)),""),"")</f>
        <v>10</v>
      </c>
      <c r="H71" s="34" t="n">
        <v>12</v>
      </c>
      <c r="I71" s="22" t="str">
        <f aca="false">IF(AND(F71="",G71=""),IF(H71="","Falta o resultado",IF(H71="Sim","Dentro","Fora")),IF(H71="","Falta o valor",IF(AND(OR(F71="",H71&gt;=F71),OR(G71="",H71&lt;=G71)),"Dentro","Fora")))</f>
        <v>Fora</v>
      </c>
      <c r="J71" s="7" t="s">
        <v>313</v>
      </c>
      <c r="K71" s="7"/>
      <c r="L71" s="7"/>
    </row>
    <row r="72" customFormat="false" ht="19.5" hidden="false" customHeight="true" outlineLevel="0" collapsed="false">
      <c r="B72" s="38" t="n">
        <v>46458</v>
      </c>
      <c r="C72" s="7" t="s">
        <v>311</v>
      </c>
      <c r="D72" s="39" t="s">
        <v>288</v>
      </c>
      <c r="E72" s="33" t="s">
        <v>102</v>
      </c>
      <c r="F72" s="21" t="n">
        <f aca="false">IFERROR(IF(ISNUMBER(INDEX($F$13:$F$19,MATCH(E72,$B$13:$B$19,0))),INDEX($F$13:$F$19,MATCH(E72,$B$13:$B$19,0)),""),"")</f>
        <v>65</v>
      </c>
      <c r="G72" s="21" t="str">
        <f aca="false">IFERROR(IF(ISNUMBER(INDEX($G$13:$G$19,MATCH(E72,$B$13:$B$19,0))),INDEX($G$13:$G$19,MATCH(E72,$B$13:$B$19,0)),""),"")</f>
        <v/>
      </c>
      <c r="H72" s="34" t="n">
        <v>66</v>
      </c>
      <c r="I72" s="22" t="str">
        <f aca="false">IF(AND(F72="",G72=""),IF(H72="","Falta o resultado",IF(H72="Sim","Dentro","Fora")),IF(H72="","Falta o valor",IF(AND(OR(F72="",H72&gt;=F72),OR(G72="",H72&lt;=G72)),"Dentro","Fora")))</f>
        <v>Dentro</v>
      </c>
      <c r="J72" s="7"/>
      <c r="K72" s="7"/>
      <c r="L72" s="7"/>
    </row>
    <row r="73" customFormat="false" ht="19.5" hidden="false" customHeight="true" outlineLevel="0" collapsed="false">
      <c r="B73" s="38" t="n">
        <v>46459</v>
      </c>
      <c r="C73" s="7" t="s">
        <v>294</v>
      </c>
      <c r="D73" s="39" t="s">
        <v>141</v>
      </c>
      <c r="E73" s="33" t="s">
        <v>96</v>
      </c>
      <c r="F73" s="21" t="n">
        <f aca="false">IFERROR(IF(ISNUMBER(INDEX($F$13:$F$19,MATCH(E73,$B$13:$B$19,0))),INDEX($F$13:$F$19,MATCH(E73,$B$13:$B$19,0)),""),"")</f>
        <v>0</v>
      </c>
      <c r="G73" s="21" t="n">
        <f aca="false">IFERROR(IF(ISNUMBER(INDEX($G$13:$G$19,MATCH(E73,$B$13:$B$19,0))),INDEX($G$13:$G$19,MATCH(E73,$B$13:$B$19,0)),""),"")</f>
        <v>5</v>
      </c>
      <c r="H73" s="34" t="n">
        <v>2.9</v>
      </c>
      <c r="I73" s="22" t="str">
        <f aca="false">IF(AND(F73="",G73=""),IF(H73="","Falta o resultado",IF(H73="Sim","Dentro","Fora")),IF(H73="","Falta o valor",IF(AND(OR(F73="",H73&gt;=F73),OR(G73="",H73&lt;=G73)),"Dentro","Fora")))</f>
        <v>Dentro</v>
      </c>
      <c r="J73" s="7"/>
      <c r="K73" s="7"/>
      <c r="L73" s="7"/>
    </row>
    <row r="74" customFormat="false" ht="19.5" hidden="false" customHeight="true" outlineLevel="0" collapsed="false">
      <c r="B74" s="38" t="n">
        <v>46459</v>
      </c>
      <c r="C74" s="7" t="s">
        <v>140</v>
      </c>
      <c r="D74" s="39" t="s">
        <v>141</v>
      </c>
      <c r="E74" s="33" t="s">
        <v>96</v>
      </c>
      <c r="F74" s="21" t="n">
        <f aca="false">IFERROR(IF(ISNUMBER(INDEX($F$13:$F$19,MATCH(E74,$B$13:$B$19,0))),INDEX($F$13:$F$19,MATCH(E74,$B$13:$B$19,0)),""),"")</f>
        <v>0</v>
      </c>
      <c r="G74" s="21" t="n">
        <f aca="false">IFERROR(IF(ISNUMBER(INDEX($G$13:$G$19,MATCH(E74,$B$13:$B$19,0))),INDEX($G$13:$G$19,MATCH(E74,$B$13:$B$19,0)),""),"")</f>
        <v>5</v>
      </c>
      <c r="H74" s="34" t="n">
        <v>3.4</v>
      </c>
      <c r="I74" s="22" t="str">
        <f aca="false">IF(AND(F74="",G74=""),IF(H74="","Falta o resultado",IF(H74="Sim","Dentro","Fora")),IF(H74="","Falta o valor",IF(AND(OR(F74="",H74&gt;=F74),OR(G74="",H74&lt;=G74)),"Dentro","Fora")))</f>
        <v>Dentro</v>
      </c>
      <c r="J74" s="7"/>
      <c r="K74" s="7"/>
      <c r="L74" s="7"/>
    </row>
    <row r="75" customFormat="false" ht="19.5" hidden="false" customHeight="true" outlineLevel="0" collapsed="false">
      <c r="B75" s="38" t="n">
        <v>46459</v>
      </c>
      <c r="C75" s="7" t="s">
        <v>314</v>
      </c>
      <c r="D75" s="39" t="s">
        <v>254</v>
      </c>
      <c r="E75" s="33" t="s">
        <v>97</v>
      </c>
      <c r="F75" s="21" t="n">
        <f aca="false">IFERROR(IF(ISNUMBER(INDEX($F$13:$F$19,MATCH(E75,$B$13:$B$19,0))),INDEX($F$13:$F$19,MATCH(E75,$B$13:$B$19,0)),""),"")</f>
        <v>380</v>
      </c>
      <c r="G75" s="21" t="n">
        <f aca="false">IFERROR(IF(ISNUMBER(INDEX($G$13:$G$19,MATCH(E75,$B$13:$B$19,0))),INDEX($G$13:$G$19,MATCH(E75,$B$13:$B$19,0)),""),"")</f>
        <v>420</v>
      </c>
      <c r="H75" s="34" t="n">
        <v>401</v>
      </c>
      <c r="I75" s="22" t="str">
        <f aca="false">IF(AND(F75="",G75=""),IF(H75="","Falta o resultado",IF(H75="Sim","Dentro","Fora")),IF(H75="","Falta o valor",IF(AND(OR(F75="",H75&gt;=F75),OR(G75="",H75&lt;=G75)),"Dentro","Fora")))</f>
        <v>Dentro</v>
      </c>
      <c r="J75" s="7"/>
      <c r="K75" s="7"/>
      <c r="L75" s="7"/>
    </row>
    <row r="76" customFormat="false" ht="19.5" hidden="false" customHeight="true" outlineLevel="0" collapsed="false">
      <c r="B76" s="38" t="n">
        <v>46459</v>
      </c>
      <c r="C76" s="7" t="s">
        <v>315</v>
      </c>
      <c r="D76" s="39" t="s">
        <v>262</v>
      </c>
      <c r="E76" s="33" t="s">
        <v>98</v>
      </c>
      <c r="F76" s="21" t="str">
        <f aca="false">IFERROR(IF(ISNUMBER(INDEX($F$13:$F$19,MATCH(E76,$B$13:$B$19,0))),INDEX($F$13:$F$19,MATCH(E76,$B$13:$B$19,0)),""),"")</f>
        <v/>
      </c>
      <c r="G76" s="21" t="str">
        <f aca="false">IFERROR(IF(ISNUMBER(INDEX($G$13:$G$19,MATCH(E76,$B$13:$B$19,0))),INDEX($G$13:$G$19,MATCH(E76,$B$13:$B$19,0)),""),"")</f>
        <v/>
      </c>
      <c r="H76" s="34" t="s">
        <v>297</v>
      </c>
      <c r="I76" s="22" t="str">
        <f aca="false">IF(AND(F76="",G76=""),IF(H76="","Falta o resultado",IF(H76="Sim","Dentro","Fora")),IF(H76="","Falta o valor",IF(AND(OR(F76="",H76&gt;=F76),OR(G76="",H76&lt;=G76)),"Dentro","Fora")))</f>
        <v>Dentro</v>
      </c>
      <c r="J76" s="7"/>
      <c r="K76" s="7"/>
      <c r="L76" s="7"/>
    </row>
    <row r="77" customFormat="false" ht="19.5" hidden="false" customHeight="true" outlineLevel="0" collapsed="false">
      <c r="B77" s="38" t="n">
        <v>46459</v>
      </c>
      <c r="C77" s="7" t="s">
        <v>316</v>
      </c>
      <c r="D77" s="39" t="s">
        <v>269</v>
      </c>
      <c r="E77" s="33" t="s">
        <v>99</v>
      </c>
      <c r="F77" s="21" t="n">
        <f aca="false">IFERROR(IF(ISNUMBER(INDEX($F$13:$F$19,MATCH(E77,$B$13:$B$19,0))),INDEX($F$13:$F$19,MATCH(E77,$B$13:$B$19,0)),""),"")</f>
        <v>280</v>
      </c>
      <c r="G77" s="21" t="n">
        <f aca="false">IFERROR(IF(ISNUMBER(INDEX($G$13:$G$19,MATCH(E77,$B$13:$B$19,0))),INDEX($G$13:$G$19,MATCH(E77,$B$13:$B$19,0)),""),"")</f>
        <v>320</v>
      </c>
      <c r="H77" s="34" t="n">
        <v>268</v>
      </c>
      <c r="I77" s="22" t="str">
        <f aca="false">IF(AND(F77="",G77=""),IF(H77="","Falta o resultado",IF(H77="Sim","Dentro","Fora")),IF(H77="","Falta o valor",IF(AND(OR(F77="",H77&gt;=F77),OR(G77="",H77&lt;=G77)),"Dentro","Fora")))</f>
        <v>Fora</v>
      </c>
      <c r="J77" s="7" t="s">
        <v>317</v>
      </c>
      <c r="K77" s="7"/>
      <c r="L77" s="7"/>
    </row>
    <row r="78" customFormat="false" ht="19.5" hidden="false" customHeight="true" outlineLevel="0" collapsed="false">
      <c r="B78" s="38" t="n">
        <v>46459</v>
      </c>
      <c r="C78" s="7" t="s">
        <v>316</v>
      </c>
      <c r="D78" s="39" t="s">
        <v>275</v>
      </c>
      <c r="E78" s="33" t="s">
        <v>100</v>
      </c>
      <c r="F78" s="21" t="n">
        <f aca="false">IFERROR(IF(ISNUMBER(INDEX($F$13:$F$19,MATCH(E78,$B$13:$B$19,0))),INDEX($F$13:$F$19,MATCH(E78,$B$13:$B$19,0)),""),"")</f>
        <v>20</v>
      </c>
      <c r="G78" s="21" t="str">
        <f aca="false">IFERROR(IF(ISNUMBER(INDEX($G$13:$G$19,MATCH(E78,$B$13:$B$19,0))),INDEX($G$13:$G$19,MATCH(E78,$B$13:$B$19,0)),""),"")</f>
        <v/>
      </c>
      <c r="H78" s="34" t="n">
        <v>20</v>
      </c>
      <c r="I78" s="22" t="str">
        <f aca="false">IF(AND(F78="",G78=""),IF(H78="","Falta o resultado",IF(H78="Sim","Dentro","Fora")),IF(H78="","Falta o valor",IF(AND(OR(F78="",H78&gt;=F78),OR(G78="",H78&lt;=G78)),"Dentro","Fora")))</f>
        <v>Dentro</v>
      </c>
      <c r="J78" s="7"/>
      <c r="K78" s="7"/>
      <c r="L78" s="7"/>
    </row>
    <row r="79" customFormat="false" ht="19.5" hidden="false" customHeight="true" outlineLevel="0" collapsed="false">
      <c r="B79" s="38" t="n">
        <v>46459</v>
      </c>
      <c r="C79" s="7" t="s">
        <v>316</v>
      </c>
      <c r="D79" s="39" t="s">
        <v>282</v>
      </c>
      <c r="E79" s="33" t="s">
        <v>101</v>
      </c>
      <c r="F79" s="21" t="str">
        <f aca="false">IFERROR(IF(ISNUMBER(INDEX($F$13:$F$19,MATCH(E79,$B$13:$B$19,0))),INDEX($F$13:$F$19,MATCH(E79,$B$13:$B$19,0)),""),"")</f>
        <v/>
      </c>
      <c r="G79" s="21" t="n">
        <f aca="false">IFERROR(IF(ISNUMBER(INDEX($G$13:$G$19,MATCH(E79,$B$13:$B$19,0))),INDEX($G$13:$G$19,MATCH(E79,$B$13:$B$19,0)),""),"")</f>
        <v>10</v>
      </c>
      <c r="H79" s="34" t="n">
        <v>14</v>
      </c>
      <c r="I79" s="22" t="str">
        <f aca="false">IF(AND(F79="",G79=""),IF(H79="","Falta o resultado",IF(H79="Sim","Dentro","Fora")),IF(H79="","Falta o valor",IF(AND(OR(F79="",H79&gt;=F79),OR(G79="",H79&lt;=G79)),"Dentro","Fora")))</f>
        <v>Fora</v>
      </c>
      <c r="J79" s="7" t="s">
        <v>318</v>
      </c>
      <c r="K79" s="7"/>
      <c r="L79" s="7"/>
    </row>
    <row r="80" customFormat="false" ht="19.5" hidden="false" customHeight="true" outlineLevel="0" collapsed="false">
      <c r="B80" s="38" t="n">
        <v>46459</v>
      </c>
      <c r="C80" s="7" t="s">
        <v>316</v>
      </c>
      <c r="D80" s="39" t="s">
        <v>288</v>
      </c>
      <c r="E80" s="33" t="s">
        <v>102</v>
      </c>
      <c r="F80" s="21" t="n">
        <f aca="false">IFERROR(IF(ISNUMBER(INDEX($F$13:$F$19,MATCH(E80,$B$13:$B$19,0))),INDEX($F$13:$F$19,MATCH(E80,$B$13:$B$19,0)),""),"")</f>
        <v>65</v>
      </c>
      <c r="G80" s="21" t="str">
        <f aca="false">IFERROR(IF(ISNUMBER(INDEX($G$13:$G$19,MATCH(E80,$B$13:$B$19,0))),INDEX($G$13:$G$19,MATCH(E80,$B$13:$B$19,0)),""),"")</f>
        <v/>
      </c>
      <c r="H80" s="34" t="n">
        <v>62</v>
      </c>
      <c r="I80" s="22" t="str">
        <f aca="false">IF(AND(F80="",G80=""),IF(H80="","Falta o resultado",IF(H80="Sim","Dentro","Fora")),IF(H80="","Falta o valor",IF(AND(OR(F80="",H80&gt;=F80),OR(G80="",H80&lt;=G80)),"Dentro","Fora")))</f>
        <v>Fora</v>
      </c>
      <c r="J80" s="7"/>
      <c r="K80" s="7"/>
      <c r="L80" s="7"/>
    </row>
    <row r="81" customFormat="false" ht="19.5" hidden="false" customHeight="true" outlineLevel="0" collapsed="false">
      <c r="B81" s="38" t="n">
        <v>46460</v>
      </c>
      <c r="C81" s="7" t="s">
        <v>294</v>
      </c>
      <c r="D81" s="39" t="s">
        <v>141</v>
      </c>
      <c r="E81" s="33" t="s">
        <v>96</v>
      </c>
      <c r="F81" s="21" t="n">
        <f aca="false">IFERROR(IF(ISNUMBER(INDEX($F$13:$F$19,MATCH(E81,$B$13:$B$19,0))),INDEX($F$13:$F$19,MATCH(E81,$B$13:$B$19,0)),""),"")</f>
        <v>0</v>
      </c>
      <c r="G81" s="21" t="n">
        <f aca="false">IFERROR(IF(ISNUMBER(INDEX($G$13:$G$19,MATCH(E81,$B$13:$B$19,0))),INDEX($G$13:$G$19,MATCH(E81,$B$13:$B$19,0)),""),"")</f>
        <v>5</v>
      </c>
      <c r="H81" s="34" t="n">
        <v>3.2</v>
      </c>
      <c r="I81" s="22" t="str">
        <f aca="false">IF(AND(F81="",G81=""),IF(H81="","Falta o resultado",IF(H81="Sim","Dentro","Fora")),IF(H81="","Falta o valor",IF(AND(OR(F81="",H81&gt;=F81),OR(G81="",H81&lt;=G81)),"Dentro","Fora")))</f>
        <v>Dentro</v>
      </c>
      <c r="J81" s="7"/>
      <c r="K81" s="7"/>
      <c r="L81" s="7"/>
    </row>
    <row r="82" customFormat="false" ht="19.5" hidden="false" customHeight="true" outlineLevel="0" collapsed="false">
      <c r="B82" s="38" t="n">
        <v>46460</v>
      </c>
      <c r="C82" s="7" t="s">
        <v>140</v>
      </c>
      <c r="D82" s="39" t="s">
        <v>141</v>
      </c>
      <c r="E82" s="33" t="s">
        <v>96</v>
      </c>
      <c r="F82" s="21" t="n">
        <f aca="false">IFERROR(IF(ISNUMBER(INDEX($F$13:$F$19,MATCH(E82,$B$13:$B$19,0))),INDEX($F$13:$F$19,MATCH(E82,$B$13:$B$19,0)),""),"")</f>
        <v>0</v>
      </c>
      <c r="G82" s="21" t="n">
        <f aca="false">IFERROR(IF(ISNUMBER(INDEX($G$13:$G$19,MATCH(E82,$B$13:$B$19,0))),INDEX($G$13:$G$19,MATCH(E82,$B$13:$B$19,0)),""),"")</f>
        <v>5</v>
      </c>
      <c r="H82" s="34" t="n">
        <v>3.6</v>
      </c>
      <c r="I82" s="22" t="str">
        <f aca="false">IF(AND(F82="",G82=""),IF(H82="","Falta o resultado",IF(H82="Sim","Dentro","Fora")),IF(H82="","Falta o valor",IF(AND(OR(F82="",H82&gt;=F82),OR(G82="",H82&lt;=G82)),"Dentro","Fora")))</f>
        <v>Dentro</v>
      </c>
      <c r="J82" s="7"/>
      <c r="K82" s="7"/>
      <c r="L82" s="7"/>
    </row>
    <row r="83" customFormat="false" ht="19.5" hidden="false" customHeight="true" outlineLevel="0" collapsed="false">
      <c r="B83" s="38" t="n">
        <v>46460</v>
      </c>
      <c r="C83" s="7" t="s">
        <v>319</v>
      </c>
      <c r="D83" s="39" t="s">
        <v>254</v>
      </c>
      <c r="E83" s="33" t="s">
        <v>97</v>
      </c>
      <c r="F83" s="21" t="n">
        <f aca="false">IFERROR(IF(ISNUMBER(INDEX($F$13:$F$19,MATCH(E83,$B$13:$B$19,0))),INDEX($F$13:$F$19,MATCH(E83,$B$13:$B$19,0)),""),"")</f>
        <v>380</v>
      </c>
      <c r="G83" s="21" t="n">
        <f aca="false">IFERROR(IF(ISNUMBER(INDEX($G$13:$G$19,MATCH(E83,$B$13:$B$19,0))),INDEX($G$13:$G$19,MATCH(E83,$B$13:$B$19,0)),""),"")</f>
        <v>420</v>
      </c>
      <c r="H83" s="34" t="n">
        <v>399</v>
      </c>
      <c r="I83" s="22" t="str">
        <f aca="false">IF(AND(F83="",G83=""),IF(H83="","Falta o resultado",IF(H83="Sim","Dentro","Fora")),IF(H83="","Falta o valor",IF(AND(OR(F83="",H83&gt;=F83),OR(G83="",H83&lt;=G83)),"Dentro","Fora")))</f>
        <v>Dentro</v>
      </c>
      <c r="J83" s="7"/>
      <c r="K83" s="7"/>
      <c r="L83" s="7"/>
    </row>
    <row r="84" customFormat="false" ht="19.5" hidden="false" customHeight="true" outlineLevel="0" collapsed="false">
      <c r="B84" s="38" t="n">
        <v>46460</v>
      </c>
      <c r="C84" s="7" t="s">
        <v>320</v>
      </c>
      <c r="D84" s="39" t="s">
        <v>262</v>
      </c>
      <c r="E84" s="33" t="s">
        <v>98</v>
      </c>
      <c r="F84" s="21" t="str">
        <f aca="false">IFERROR(IF(ISNUMBER(INDEX($F$13:$F$19,MATCH(E84,$B$13:$B$19,0))),INDEX($F$13:$F$19,MATCH(E84,$B$13:$B$19,0)),""),"")</f>
        <v/>
      </c>
      <c r="G84" s="21" t="str">
        <f aca="false">IFERROR(IF(ISNUMBER(INDEX($G$13:$G$19,MATCH(E84,$B$13:$B$19,0))),INDEX($G$13:$G$19,MATCH(E84,$B$13:$B$19,0)),""),"")</f>
        <v/>
      </c>
      <c r="H84" s="34" t="s">
        <v>297</v>
      </c>
      <c r="I84" s="22" t="str">
        <f aca="false">IF(AND(F84="",G84=""),IF(H84="","Falta o resultado",IF(H84="Sim","Dentro","Fora")),IF(H84="","Falta o valor",IF(AND(OR(F84="",H84&gt;=F84),OR(G84="",H84&lt;=G84)),"Dentro","Fora")))</f>
        <v>Dentro</v>
      </c>
      <c r="J84" s="7"/>
      <c r="K84" s="7"/>
      <c r="L84" s="7"/>
    </row>
    <row r="85" customFormat="false" ht="19.5" hidden="false" customHeight="true" outlineLevel="0" collapsed="false">
      <c r="B85" s="38" t="n">
        <v>46460</v>
      </c>
      <c r="C85" s="7" t="s">
        <v>321</v>
      </c>
      <c r="D85" s="39" t="s">
        <v>269</v>
      </c>
      <c r="E85" s="33" t="s">
        <v>99</v>
      </c>
      <c r="F85" s="21" t="n">
        <f aca="false">IFERROR(IF(ISNUMBER(INDEX($F$13:$F$19,MATCH(E85,$B$13:$B$19,0))),INDEX($F$13:$F$19,MATCH(E85,$B$13:$B$19,0)),""),"")</f>
        <v>280</v>
      </c>
      <c r="G85" s="21" t="n">
        <f aca="false">IFERROR(IF(ISNUMBER(INDEX($G$13:$G$19,MATCH(E85,$B$13:$B$19,0))),INDEX($G$13:$G$19,MATCH(E85,$B$13:$B$19,0)),""),"")</f>
        <v>320</v>
      </c>
      <c r="H85" s="34" t="n">
        <v>302</v>
      </c>
      <c r="I85" s="22" t="str">
        <f aca="false">IF(AND(F85="",G85=""),IF(H85="","Falta o resultado",IF(H85="Sim","Dentro","Fora")),IF(H85="","Falta o valor",IF(AND(OR(F85="",H85&gt;=F85),OR(G85="",H85&lt;=G85)),"Dentro","Fora")))</f>
        <v>Dentro</v>
      </c>
      <c r="J85" s="7"/>
      <c r="K85" s="7"/>
      <c r="L85" s="7"/>
    </row>
    <row r="86" customFormat="false" ht="19.5" hidden="false" customHeight="true" outlineLevel="0" collapsed="false">
      <c r="B86" s="38" t="n">
        <v>46460</v>
      </c>
      <c r="C86" s="7" t="s">
        <v>321</v>
      </c>
      <c r="D86" s="39" t="s">
        <v>275</v>
      </c>
      <c r="E86" s="33" t="s">
        <v>100</v>
      </c>
      <c r="F86" s="21" t="n">
        <f aca="false">IFERROR(IF(ISNUMBER(INDEX($F$13:$F$19,MATCH(E86,$B$13:$B$19,0))),INDEX($F$13:$F$19,MATCH(E86,$B$13:$B$19,0)),""),"")</f>
        <v>20</v>
      </c>
      <c r="G86" s="21" t="str">
        <f aca="false">IFERROR(IF(ISNUMBER(INDEX($G$13:$G$19,MATCH(E86,$B$13:$B$19,0))),INDEX($G$13:$G$19,MATCH(E86,$B$13:$B$19,0)),""),"")</f>
        <v/>
      </c>
      <c r="H86" s="34" t="n">
        <v>20</v>
      </c>
      <c r="I86" s="22" t="str">
        <f aca="false">IF(AND(F86="",G86=""),IF(H86="","Falta o resultado",IF(H86="Sim","Dentro","Fora")),IF(H86="","Falta o valor",IF(AND(OR(F86="",H86&gt;=F86),OR(G86="",H86&lt;=G86)),"Dentro","Fora")))</f>
        <v>Dentro</v>
      </c>
      <c r="J86" s="7"/>
      <c r="K86" s="7"/>
      <c r="L86" s="7"/>
    </row>
    <row r="87" customFormat="false" ht="19.5" hidden="false" customHeight="true" outlineLevel="0" collapsed="false">
      <c r="B87" s="38" t="n">
        <v>46460</v>
      </c>
      <c r="C87" s="7" t="s">
        <v>321</v>
      </c>
      <c r="D87" s="39" t="s">
        <v>282</v>
      </c>
      <c r="E87" s="33" t="s">
        <v>101</v>
      </c>
      <c r="F87" s="21" t="str">
        <f aca="false">IFERROR(IF(ISNUMBER(INDEX($F$13:$F$19,MATCH(E87,$B$13:$B$19,0))),INDEX($F$13:$F$19,MATCH(E87,$B$13:$B$19,0)),""),"")</f>
        <v/>
      </c>
      <c r="G87" s="21" t="n">
        <f aca="false">IFERROR(IF(ISNUMBER(INDEX($G$13:$G$19,MATCH(E87,$B$13:$B$19,0))),INDEX($G$13:$G$19,MATCH(E87,$B$13:$B$19,0)),""),"")</f>
        <v>10</v>
      </c>
      <c r="H87" s="34" t="n">
        <v>8</v>
      </c>
      <c r="I87" s="22" t="str">
        <f aca="false">IF(AND(F87="",G87=""),IF(H87="","Falta o resultado",IF(H87="Sim","Dentro","Fora")),IF(H87="","Falta o valor",IF(AND(OR(F87="",H87&gt;=F87),OR(G87="",H87&lt;=G87)),"Dentro","Fora")))</f>
        <v>Dentro</v>
      </c>
      <c r="J87" s="7"/>
      <c r="K87" s="7"/>
      <c r="L87" s="7"/>
    </row>
    <row r="88" customFormat="false" ht="19.5" hidden="false" customHeight="true" outlineLevel="0" collapsed="false">
      <c r="B88" s="38" t="n">
        <v>46460</v>
      </c>
      <c r="C88" s="7" t="s">
        <v>321</v>
      </c>
      <c r="D88" s="39" t="s">
        <v>288</v>
      </c>
      <c r="E88" s="33" t="s">
        <v>102</v>
      </c>
      <c r="F88" s="21" t="n">
        <f aca="false">IFERROR(IF(ISNUMBER(INDEX($F$13:$F$19,MATCH(E88,$B$13:$B$19,0))),INDEX($F$13:$F$19,MATCH(E88,$B$13:$B$19,0)),""),"")</f>
        <v>65</v>
      </c>
      <c r="G88" s="21" t="str">
        <f aca="false">IFERROR(IF(ISNUMBER(INDEX($G$13:$G$19,MATCH(E88,$B$13:$B$19,0))),INDEX($G$13:$G$19,MATCH(E88,$B$13:$B$19,0)),""),"")</f>
        <v/>
      </c>
      <c r="H88" s="34" t="n">
        <v>70</v>
      </c>
      <c r="I88" s="22" t="str">
        <f aca="false">IF(AND(F88="",G88=""),IF(H88="","Falta o resultado",IF(H88="Sim","Dentro","Fora")),IF(H88="","Falta o valor",IF(AND(OR(F88="",H88&gt;=F88),OR(G88="",H88&lt;=G88)),"Dentro","Fora")))</f>
        <v>Dentro</v>
      </c>
      <c r="J88" s="7"/>
      <c r="K88" s="7"/>
      <c r="L88" s="7"/>
    </row>
    <row r="90" customFormat="false" ht="21.75" hidden="false" customHeight="true" outlineLevel="0" collapsed="false">
      <c r="B90" s="23" t="s">
        <v>322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customFormat="false" ht="30" hidden="false" customHeight="true" outlineLevel="0" collapsed="false">
      <c r="B91" s="25" t="s">
        <v>71</v>
      </c>
      <c r="C91" s="25" t="s">
        <v>72</v>
      </c>
      <c r="D91" s="25" t="s">
        <v>152</v>
      </c>
      <c r="E91" s="35" t="s">
        <v>153</v>
      </c>
      <c r="F91" s="35"/>
      <c r="G91" s="35"/>
      <c r="H91" s="35"/>
      <c r="I91" s="35" t="s">
        <v>154</v>
      </c>
      <c r="J91" s="35"/>
      <c r="K91" s="35" t="s">
        <v>155</v>
      </c>
      <c r="L91" s="35"/>
    </row>
    <row r="92" customFormat="false" ht="30.75" hidden="false" customHeight="true" outlineLevel="0" collapsed="false">
      <c r="B92" s="10" t="n">
        <v>1</v>
      </c>
      <c r="C92" s="32" t="s">
        <v>247</v>
      </c>
      <c r="D92" s="7" t="s">
        <v>323</v>
      </c>
      <c r="E92" s="7" t="s">
        <v>324</v>
      </c>
      <c r="F92" s="7"/>
      <c r="G92" s="7"/>
      <c r="H92" s="7"/>
      <c r="I92" s="7" t="s">
        <v>325</v>
      </c>
      <c r="J92" s="7"/>
      <c r="K92" s="7" t="s">
        <v>326</v>
      </c>
      <c r="L92" s="7"/>
    </row>
    <row r="93" customFormat="false" ht="30.75" hidden="false" customHeight="true" outlineLevel="0" collapsed="false">
      <c r="B93" s="10" t="n">
        <v>2</v>
      </c>
      <c r="C93" s="32" t="s">
        <v>253</v>
      </c>
      <c r="D93" s="7" t="s">
        <v>327</v>
      </c>
      <c r="E93" s="7" t="s">
        <v>328</v>
      </c>
      <c r="F93" s="7"/>
      <c r="G93" s="7"/>
      <c r="H93" s="7"/>
      <c r="I93" s="7" t="s">
        <v>329</v>
      </c>
      <c r="J93" s="7"/>
      <c r="K93" s="7" t="s">
        <v>330</v>
      </c>
      <c r="L93" s="7"/>
    </row>
    <row r="94" customFormat="false" ht="30.75" hidden="false" customHeight="true" outlineLevel="0" collapsed="false">
      <c r="B94" s="10" t="n">
        <v>3</v>
      </c>
      <c r="C94" s="32" t="s">
        <v>331</v>
      </c>
      <c r="D94" s="7" t="s">
        <v>332</v>
      </c>
      <c r="E94" s="7" t="s">
        <v>333</v>
      </c>
      <c r="F94" s="7"/>
      <c r="G94" s="7"/>
      <c r="H94" s="7"/>
      <c r="I94" s="7" t="s">
        <v>334</v>
      </c>
      <c r="J94" s="7"/>
      <c r="K94" s="7" t="s">
        <v>335</v>
      </c>
      <c r="L94" s="7"/>
    </row>
    <row r="95" customFormat="false" ht="30.75" hidden="false" customHeight="true" outlineLevel="0" collapsed="false">
      <c r="B95" s="10" t="n">
        <v>4</v>
      </c>
      <c r="C95" s="32" t="s">
        <v>274</v>
      </c>
      <c r="D95" s="7" t="s">
        <v>336</v>
      </c>
      <c r="E95" s="7" t="s">
        <v>337</v>
      </c>
      <c r="F95" s="7"/>
      <c r="G95" s="7"/>
      <c r="H95" s="7"/>
      <c r="I95" s="7" t="s">
        <v>338</v>
      </c>
      <c r="J95" s="7"/>
      <c r="K95" s="7" t="s">
        <v>339</v>
      </c>
      <c r="L95" s="7"/>
    </row>
    <row r="96" customFormat="false" ht="30.75" hidden="false" customHeight="true" outlineLevel="0" collapsed="false">
      <c r="B96" s="10" t="n">
        <v>5</v>
      </c>
      <c r="C96" s="32" t="s">
        <v>340</v>
      </c>
      <c r="D96" s="7" t="s">
        <v>341</v>
      </c>
      <c r="E96" s="7" t="s">
        <v>342</v>
      </c>
      <c r="F96" s="7"/>
      <c r="G96" s="7"/>
      <c r="H96" s="7"/>
      <c r="I96" s="7" t="s">
        <v>343</v>
      </c>
      <c r="J96" s="7"/>
      <c r="K96" s="7" t="s">
        <v>344</v>
      </c>
      <c r="L96" s="7"/>
    </row>
    <row r="98" customFormat="false" ht="21.75" hidden="false" customHeight="true" outlineLevel="0" collapsed="false">
      <c r="B98" s="23" t="s">
        <v>161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customFormat="false" ht="30" hidden="false" customHeight="true" outlineLevel="0" collapsed="false">
      <c r="B99" s="25" t="s">
        <v>71</v>
      </c>
      <c r="C99" s="25" t="s">
        <v>162</v>
      </c>
      <c r="D99" s="25" t="s">
        <v>164</v>
      </c>
      <c r="E99" s="35" t="s">
        <v>163</v>
      </c>
      <c r="F99" s="35"/>
      <c r="G99" s="35" t="s">
        <v>165</v>
      </c>
      <c r="H99" s="35"/>
      <c r="I99" s="35"/>
      <c r="J99" s="35" t="s">
        <v>166</v>
      </c>
      <c r="K99" s="35"/>
      <c r="L99" s="35"/>
    </row>
    <row r="100" customFormat="false" ht="30.75" hidden="false" customHeight="true" outlineLevel="0" collapsed="false">
      <c r="B100" s="10" t="n">
        <v>1</v>
      </c>
      <c r="C100" s="32" t="s">
        <v>345</v>
      </c>
      <c r="D100" s="7" t="s">
        <v>346</v>
      </c>
      <c r="E100" s="33" t="s">
        <v>347</v>
      </c>
      <c r="F100" s="33"/>
      <c r="G100" s="7" t="s">
        <v>348</v>
      </c>
      <c r="H100" s="7"/>
      <c r="I100" s="7"/>
      <c r="J100" s="7"/>
      <c r="K100" s="7"/>
      <c r="L100" s="7"/>
    </row>
    <row r="101" customFormat="false" ht="30.75" hidden="false" customHeight="true" outlineLevel="0" collapsed="false">
      <c r="B101" s="10" t="n">
        <v>2</v>
      </c>
      <c r="C101" s="32" t="s">
        <v>349</v>
      </c>
      <c r="D101" s="7" t="s">
        <v>350</v>
      </c>
      <c r="E101" s="33" t="s">
        <v>351</v>
      </c>
      <c r="F101" s="33"/>
      <c r="G101" s="7" t="s">
        <v>352</v>
      </c>
      <c r="H101" s="7"/>
      <c r="I101" s="7"/>
      <c r="J101" s="7" t="s">
        <v>353</v>
      </c>
      <c r="K101" s="7"/>
      <c r="L101" s="7"/>
    </row>
    <row r="103" customFormat="false" ht="21.75" hidden="false" customHeight="true" outlineLevel="0" collapsed="false">
      <c r="B103" s="40" t="s">
        <v>48</v>
      </c>
      <c r="C103" s="40"/>
      <c r="D103" s="40"/>
      <c r="E103" s="40"/>
      <c r="F103" s="40"/>
      <c r="G103" s="40"/>
      <c r="H103" s="40"/>
      <c r="I103" s="40"/>
      <c r="J103" s="40"/>
      <c r="K103" s="40"/>
      <c r="L103" s="40"/>
    </row>
    <row r="104" customFormat="false" ht="30" hidden="false" customHeight="true" outlineLevel="0" collapsed="false">
      <c r="B104" s="25" t="s">
        <v>123</v>
      </c>
      <c r="C104" s="25" t="s">
        <v>176</v>
      </c>
      <c r="D104" s="25" t="s">
        <v>177</v>
      </c>
      <c r="E104" s="35" t="s">
        <v>178</v>
      </c>
      <c r="F104" s="35"/>
      <c r="G104" s="35"/>
      <c r="H104" s="35"/>
      <c r="I104" s="25" t="s">
        <v>179</v>
      </c>
      <c r="J104" s="35" t="s">
        <v>180</v>
      </c>
      <c r="K104" s="35"/>
      <c r="L104" s="25" t="s">
        <v>83</v>
      </c>
    </row>
    <row r="105" customFormat="false" ht="30.75" hidden="false" customHeight="true" outlineLevel="0" collapsed="false">
      <c r="B105" s="38" t="n">
        <v>46448</v>
      </c>
      <c r="C105" s="32" t="s">
        <v>185</v>
      </c>
      <c r="D105" s="7" t="s">
        <v>186</v>
      </c>
      <c r="E105" s="7" t="s">
        <v>187</v>
      </c>
      <c r="F105" s="7"/>
      <c r="G105" s="7"/>
      <c r="H105" s="7"/>
      <c r="I105" s="7" t="s">
        <v>188</v>
      </c>
      <c r="J105" s="7" t="s">
        <v>354</v>
      </c>
      <c r="K105" s="7"/>
      <c r="L105" s="13" t="str">
        <f aca="false">IF(E105="","Falta a análise",IF(I105="","Falta quem autorizou","OK"))</f>
        <v>OK</v>
      </c>
    </row>
    <row r="106" customFormat="false" ht="42.75" hidden="false" customHeight="true" outlineLevel="0" collapsed="false">
      <c r="B106" s="38" t="n">
        <v>46458</v>
      </c>
      <c r="C106" s="32" t="s">
        <v>355</v>
      </c>
      <c r="D106" s="7" t="s">
        <v>356</v>
      </c>
      <c r="E106" s="7"/>
      <c r="F106" s="7"/>
      <c r="G106" s="7"/>
      <c r="H106" s="7"/>
      <c r="I106" s="7"/>
      <c r="J106" s="7"/>
      <c r="K106" s="7"/>
      <c r="L106" s="13" t="str">
        <f aca="false">IF(E106="","Falta a análise",IF(I106="","Falta quem autorizou","OK"))</f>
        <v>Falta a análise</v>
      </c>
    </row>
    <row r="107" customFormat="false" ht="42.75" hidden="false" customHeight="true" outlineLevel="0" collapsed="false">
      <c r="B107" s="38" t="n">
        <v>46472</v>
      </c>
      <c r="C107" s="32" t="s">
        <v>357</v>
      </c>
      <c r="D107" s="7" t="s">
        <v>358</v>
      </c>
      <c r="E107" s="7" t="s">
        <v>359</v>
      </c>
      <c r="F107" s="7"/>
      <c r="G107" s="7"/>
      <c r="H107" s="7"/>
      <c r="I107" s="7" t="s">
        <v>360</v>
      </c>
      <c r="J107" s="7" t="s">
        <v>361</v>
      </c>
      <c r="K107" s="7"/>
      <c r="L107" s="13" t="str">
        <f aca="false">IF(E107="","Falta a análise",IF(I107="","Falta quem autorizou","OK"))</f>
        <v>OK</v>
      </c>
    </row>
    <row r="109" customFormat="false" ht="21.75" hidden="false" customHeight="true" outlineLevel="0" collapsed="false">
      <c r="B109" s="14" t="s">
        <v>116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</row>
    <row r="110" customFormat="false" ht="21.75" hidden="false" customHeight="true" outlineLevel="0" collapsed="false">
      <c r="B110" s="15" t="s">
        <v>197</v>
      </c>
      <c r="C110" s="15"/>
      <c r="D110" s="15"/>
      <c r="E110" s="16" t="n">
        <f aca="false">COUNTA(D13:D19)</f>
        <v>7</v>
      </c>
      <c r="F110" s="16"/>
      <c r="G110" s="16"/>
      <c r="H110" s="16"/>
      <c r="I110" s="16"/>
      <c r="J110" s="16"/>
      <c r="K110" s="16"/>
      <c r="L110" s="16"/>
    </row>
    <row r="111" customFormat="false" ht="21.75" hidden="false" customHeight="true" outlineLevel="0" collapsed="false">
      <c r="B111" s="15" t="s">
        <v>362</v>
      </c>
      <c r="C111" s="15"/>
      <c r="D111" s="15"/>
      <c r="E111" s="16" t="str">
        <f aca="false">COUNTA(E33:E88)&amp;" lançadas, "&amp;COUNTIF(I33:I88,"Fora")&amp;" fora do critério"</f>
        <v>56 lançadas, 6 fora do critério</v>
      </c>
      <c r="F111" s="16"/>
      <c r="G111" s="16"/>
      <c r="H111" s="16"/>
      <c r="I111" s="16"/>
      <c r="J111" s="16"/>
      <c r="K111" s="16"/>
      <c r="L111" s="16"/>
    </row>
    <row r="112" customFormat="false" ht="21.75" hidden="false" customHeight="true" outlineLevel="0" collapsed="false">
      <c r="B112" s="15" t="s">
        <v>147</v>
      </c>
      <c r="C112" s="15"/>
      <c r="D112" s="15"/>
      <c r="E112" s="41" t="n">
        <f aca="false">COUNTIF(I33:I88,"Dentro")/COUNTA(E33:E88)</f>
        <v>0.892857142857143</v>
      </c>
      <c r="F112" s="41"/>
      <c r="G112" s="41"/>
      <c r="H112" s="41"/>
      <c r="I112" s="41"/>
      <c r="J112" s="41"/>
      <c r="K112" s="41"/>
      <c r="L112" s="41"/>
    </row>
    <row r="113" customFormat="false" ht="21.75" hidden="false" customHeight="true" outlineLevel="0" collapsed="false">
      <c r="B113" s="15" t="s">
        <v>20</v>
      </c>
      <c r="C113" s="15"/>
      <c r="D113" s="15"/>
      <c r="E113" s="16" t="n">
        <f aca="false">SUM(G23:G29)</f>
        <v>1</v>
      </c>
      <c r="F113" s="16"/>
      <c r="G113" s="16"/>
      <c r="H113" s="16"/>
      <c r="I113" s="16"/>
      <c r="J113" s="16"/>
      <c r="K113" s="16"/>
      <c r="L113" s="16"/>
    </row>
    <row r="114" customFormat="false" ht="21.75" hidden="false" customHeight="true" outlineLevel="0" collapsed="false">
      <c r="B114" s="15" t="s">
        <v>363</v>
      </c>
      <c r="C114" s="15"/>
      <c r="D114" s="15"/>
      <c r="E114" s="16" t="n">
        <f aca="false">COUNTA(J100:J101)</f>
        <v>1</v>
      </c>
      <c r="F114" s="16"/>
      <c r="G114" s="16"/>
      <c r="H114" s="16"/>
      <c r="I114" s="16"/>
      <c r="J114" s="16"/>
      <c r="K114" s="16"/>
      <c r="L114" s="16"/>
    </row>
    <row r="115" customFormat="false" ht="21.75" hidden="false" customHeight="true" outlineLevel="0" collapsed="false">
      <c r="B115" s="15" t="s">
        <v>207</v>
      </c>
      <c r="C115" s="15"/>
      <c r="D115" s="15"/>
      <c r="E115" s="16" t="str">
        <f aca="false">COUNTA(C105:C107)&amp;" registradas, "&amp;(COUNTA(C105:C107)-COUNTIF(L105:L107,"OK"))&amp;" a rever"</f>
        <v>3 registradas, 1 a rever</v>
      </c>
      <c r="F115" s="16"/>
      <c r="G115" s="16"/>
      <c r="H115" s="16"/>
      <c r="I115" s="16"/>
      <c r="J115" s="16"/>
      <c r="K115" s="16"/>
      <c r="L115" s="16"/>
    </row>
  </sheetData>
  <mergeCells count="149">
    <mergeCell ref="B1:L1"/>
    <mergeCell ref="B2:L2"/>
    <mergeCell ref="B4:C4"/>
    <mergeCell ref="D4:L4"/>
    <mergeCell ref="B5:C5"/>
    <mergeCell ref="D5:L5"/>
    <mergeCell ref="B6:C6"/>
    <mergeCell ref="D6:L6"/>
    <mergeCell ref="B7:C7"/>
    <mergeCell ref="D7:L7"/>
    <mergeCell ref="B8:C8"/>
    <mergeCell ref="D8:L8"/>
    <mergeCell ref="B9:C9"/>
    <mergeCell ref="D9:L9"/>
    <mergeCell ref="B11:L11"/>
    <mergeCell ref="B21:L21"/>
    <mergeCell ref="C22:D22"/>
    <mergeCell ref="G22:H22"/>
    <mergeCell ref="J22:L22"/>
    <mergeCell ref="C23:D23"/>
    <mergeCell ref="G23:H23"/>
    <mergeCell ref="J23:L23"/>
    <mergeCell ref="C24:D24"/>
    <mergeCell ref="G24:H24"/>
    <mergeCell ref="J24:L24"/>
    <mergeCell ref="C25:D25"/>
    <mergeCell ref="G25:H25"/>
    <mergeCell ref="J25:L25"/>
    <mergeCell ref="C26:D26"/>
    <mergeCell ref="G26:H26"/>
    <mergeCell ref="J26:L26"/>
    <mergeCell ref="C27:D27"/>
    <mergeCell ref="G27:H27"/>
    <mergeCell ref="J27:L27"/>
    <mergeCell ref="C28:D28"/>
    <mergeCell ref="G28:H28"/>
    <mergeCell ref="J28:L28"/>
    <mergeCell ref="C29:D29"/>
    <mergeCell ref="G29:H29"/>
    <mergeCell ref="J29:L29"/>
    <mergeCell ref="B31:L31"/>
    <mergeCell ref="J32:L32"/>
    <mergeCell ref="J33:L33"/>
    <mergeCell ref="J34:L34"/>
    <mergeCell ref="J35:L35"/>
    <mergeCell ref="J36:L36"/>
    <mergeCell ref="J37:L37"/>
    <mergeCell ref="J38:L38"/>
    <mergeCell ref="J39:L39"/>
    <mergeCell ref="J40:L40"/>
    <mergeCell ref="J41:L41"/>
    <mergeCell ref="J42:L42"/>
    <mergeCell ref="J43:L43"/>
    <mergeCell ref="J44:L44"/>
    <mergeCell ref="J45:L45"/>
    <mergeCell ref="J46:L46"/>
    <mergeCell ref="J47:L47"/>
    <mergeCell ref="J48:L48"/>
    <mergeCell ref="J49:L49"/>
    <mergeCell ref="J50:L50"/>
    <mergeCell ref="J51:L51"/>
    <mergeCell ref="J52:L52"/>
    <mergeCell ref="J53:L53"/>
    <mergeCell ref="J54:L54"/>
    <mergeCell ref="J55:L55"/>
    <mergeCell ref="J56:L56"/>
    <mergeCell ref="J57:L57"/>
    <mergeCell ref="J58:L58"/>
    <mergeCell ref="J59:L59"/>
    <mergeCell ref="J60:L60"/>
    <mergeCell ref="J61:L61"/>
    <mergeCell ref="J62:L62"/>
    <mergeCell ref="J63:L63"/>
    <mergeCell ref="J64:L64"/>
    <mergeCell ref="J65:L65"/>
    <mergeCell ref="J66:L66"/>
    <mergeCell ref="J67:L67"/>
    <mergeCell ref="J68:L68"/>
    <mergeCell ref="J69:L69"/>
    <mergeCell ref="J70:L70"/>
    <mergeCell ref="J71:L71"/>
    <mergeCell ref="J72:L72"/>
    <mergeCell ref="J73:L73"/>
    <mergeCell ref="J74:L74"/>
    <mergeCell ref="J75:L75"/>
    <mergeCell ref="J76:L76"/>
    <mergeCell ref="J77:L77"/>
    <mergeCell ref="J78:L78"/>
    <mergeCell ref="J79:L79"/>
    <mergeCell ref="J80:L80"/>
    <mergeCell ref="J81:L81"/>
    <mergeCell ref="J82:L82"/>
    <mergeCell ref="J83:L83"/>
    <mergeCell ref="J84:L84"/>
    <mergeCell ref="J85:L85"/>
    <mergeCell ref="J86:L86"/>
    <mergeCell ref="J87:L87"/>
    <mergeCell ref="J88:L88"/>
    <mergeCell ref="B90:L90"/>
    <mergeCell ref="E91:H91"/>
    <mergeCell ref="I91:J91"/>
    <mergeCell ref="K91:L91"/>
    <mergeCell ref="E92:H92"/>
    <mergeCell ref="I92:J92"/>
    <mergeCell ref="K92:L92"/>
    <mergeCell ref="E93:H93"/>
    <mergeCell ref="I93:J93"/>
    <mergeCell ref="K93:L93"/>
    <mergeCell ref="E94:H94"/>
    <mergeCell ref="I94:J94"/>
    <mergeCell ref="K94:L94"/>
    <mergeCell ref="E95:H95"/>
    <mergeCell ref="I95:J95"/>
    <mergeCell ref="K95:L95"/>
    <mergeCell ref="E96:H96"/>
    <mergeCell ref="I96:J96"/>
    <mergeCell ref="K96:L96"/>
    <mergeCell ref="B98:L98"/>
    <mergeCell ref="E99:F99"/>
    <mergeCell ref="G99:I99"/>
    <mergeCell ref="J99:L99"/>
    <mergeCell ref="E100:F100"/>
    <mergeCell ref="G100:I100"/>
    <mergeCell ref="J100:L100"/>
    <mergeCell ref="E101:F101"/>
    <mergeCell ref="G101:I101"/>
    <mergeCell ref="J101:L101"/>
    <mergeCell ref="B103:L103"/>
    <mergeCell ref="E104:H104"/>
    <mergeCell ref="J104:K104"/>
    <mergeCell ref="E105:H105"/>
    <mergeCell ref="J105:K105"/>
    <mergeCell ref="E106:H106"/>
    <mergeCell ref="J106:K106"/>
    <mergeCell ref="E107:H107"/>
    <mergeCell ref="J107:K107"/>
    <mergeCell ref="B109:L109"/>
    <mergeCell ref="B110:D110"/>
    <mergeCell ref="E110:L110"/>
    <mergeCell ref="B111:D111"/>
    <mergeCell ref="E111:L111"/>
    <mergeCell ref="B112:D112"/>
    <mergeCell ref="E112:L112"/>
    <mergeCell ref="B113:D113"/>
    <mergeCell ref="E113:L113"/>
    <mergeCell ref="B114:D114"/>
    <mergeCell ref="E114:L114"/>
    <mergeCell ref="B115:D115"/>
    <mergeCell ref="E115:L115"/>
  </mergeCells>
  <conditionalFormatting sqref="J23:L29">
    <cfRule type="expression" priority="2" aboveAverage="0" equalAverage="0" bottom="0" percent="0" rank="0" text="" dxfId="0">
      <formula>$J23="Dentro do critério"</formula>
    </cfRule>
    <cfRule type="expression" priority="3" aboveAverage="0" equalAverage="0" bottom="0" percent="0" rank="0" text="" dxfId="2">
      <formula>$J23="Um desvio, com reação"</formula>
    </cfRule>
    <cfRule type="expression" priority="4" aboveAverage="0" equalAverage="0" bottom="0" percent="0" rank="0" text="" dxfId="4">
      <formula>$J23="Fora sem reação: cobrar"</formula>
    </cfRule>
    <cfRule type="expression" priority="5" aboveAverage="0" equalAverage="0" bottom="0" percent="0" rank="0" text="" dxfId="4">
      <formula>$J23="Sem registro"</formula>
    </cfRule>
    <cfRule type="expression" priority="6" aboveAverage="0" equalAverage="0" bottom="0" percent="0" rank="0" text="" dxfId="1">
      <formula>LEN($J23)&gt;0</formula>
    </cfRule>
  </conditionalFormatting>
  <conditionalFormatting sqref="I33:I88">
    <cfRule type="expression" priority="7" aboveAverage="0" equalAverage="0" bottom="0" percent="0" rank="0" text="" dxfId="2">
      <formula>I33="Dentro"</formula>
    </cfRule>
    <cfRule type="expression" priority="8" aboveAverage="0" equalAverage="0" bottom="0" percent="0" rank="0" text="" dxfId="3">
      <formula>I33="Fora"</formula>
    </cfRule>
  </conditionalFormatting>
  <conditionalFormatting sqref="L105:L107">
    <cfRule type="expression" priority="9" aboveAverage="0" equalAverage="0" bottom="0" percent="0" rank="0" text="" dxfId="0">
      <formula>OR(L105="OK")</formula>
    </cfRule>
    <cfRule type="expression" priority="10" aboveAverage="0" equalAverage="0" bottom="0" percent="0" rank="0" text="" dxfId="1">
      <formula>AND(LEN(L105)&gt;0,NOT(OR(L105="OK")))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20" man="true" max="16383" min="0"/>
    <brk id="89" man="true" max="16383" min="0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L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26"/>
    <col collapsed="false" customWidth="true" hidden="false" outlineLevel="0" max="11" min="10" style="0" width="18"/>
    <col collapsed="false" customWidth="true" hidden="false" outlineLevel="0" max="12" min="12" style="0" width="30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235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236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B4" s="4" t="s">
        <v>237</v>
      </c>
      <c r="C4" s="4"/>
      <c r="D4" s="30" t="s">
        <v>364</v>
      </c>
      <c r="E4" s="30"/>
      <c r="F4" s="30"/>
      <c r="G4" s="30"/>
      <c r="H4" s="30"/>
      <c r="I4" s="30"/>
      <c r="J4" s="30"/>
      <c r="K4" s="30"/>
      <c r="L4" s="30"/>
    </row>
    <row r="5" customFormat="false" ht="19.5" hidden="false" customHeight="true" outlineLevel="0" collapsed="false">
      <c r="B5" s="4" t="s">
        <v>239</v>
      </c>
      <c r="C5" s="4"/>
      <c r="D5" s="30" t="s">
        <v>365</v>
      </c>
      <c r="E5" s="30"/>
      <c r="F5" s="30"/>
      <c r="G5" s="30"/>
      <c r="H5" s="30"/>
      <c r="I5" s="30"/>
      <c r="J5" s="30"/>
      <c r="K5" s="30"/>
      <c r="L5" s="30"/>
    </row>
    <row r="6" customFormat="false" ht="19.5" hidden="false" customHeight="true" outlineLevel="0" collapsed="false">
      <c r="B6" s="4" t="s">
        <v>69</v>
      </c>
      <c r="C6" s="4"/>
      <c r="D6" s="30" t="s">
        <v>366</v>
      </c>
      <c r="E6" s="30"/>
      <c r="F6" s="30"/>
      <c r="G6" s="30"/>
      <c r="H6" s="30"/>
      <c r="I6" s="30"/>
      <c r="J6" s="30"/>
      <c r="K6" s="30"/>
      <c r="L6" s="30"/>
    </row>
    <row r="7" customFormat="false" ht="19.5" hidden="false" customHeight="true" outlineLevel="0" collapsed="false">
      <c r="B7" s="4" t="s">
        <v>42</v>
      </c>
      <c r="C7" s="4"/>
      <c r="D7" s="30" t="s">
        <v>367</v>
      </c>
      <c r="E7" s="30"/>
      <c r="F7" s="30"/>
      <c r="G7" s="30"/>
      <c r="H7" s="30"/>
      <c r="I7" s="30"/>
      <c r="J7" s="30"/>
      <c r="K7" s="30"/>
      <c r="L7" s="30"/>
    </row>
    <row r="8" customFormat="false" ht="19.5" hidden="false" customHeight="true" outlineLevel="0" collapsed="false">
      <c r="B8" s="4" t="s">
        <v>44</v>
      </c>
      <c r="C8" s="4"/>
      <c r="D8" s="30" t="s">
        <v>368</v>
      </c>
      <c r="E8" s="30"/>
      <c r="F8" s="30"/>
      <c r="G8" s="30"/>
      <c r="H8" s="30"/>
      <c r="I8" s="30"/>
      <c r="J8" s="30"/>
      <c r="K8" s="30"/>
      <c r="L8" s="30"/>
    </row>
    <row r="9" customFormat="false" ht="19.5" hidden="false" customHeight="true" outlineLevel="0" collapsed="false">
      <c r="B9" s="4" t="s">
        <v>244</v>
      </c>
      <c r="C9" s="4"/>
      <c r="D9" s="30" t="s">
        <v>369</v>
      </c>
      <c r="E9" s="30"/>
      <c r="F9" s="30"/>
      <c r="G9" s="30"/>
      <c r="H9" s="30"/>
      <c r="I9" s="30"/>
      <c r="J9" s="30"/>
      <c r="K9" s="30"/>
      <c r="L9" s="30"/>
    </row>
    <row r="11" customFormat="false" ht="21.75" hidden="false" customHeight="true" outlineLevel="0" collapsed="false">
      <c r="B11" s="31" t="s">
        <v>42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customFormat="false" ht="30" hidden="false" customHeight="true" outlineLevel="0" collapsed="false">
      <c r="B12" s="25" t="s">
        <v>71</v>
      </c>
      <c r="C12" s="25" t="s">
        <v>72</v>
      </c>
      <c r="D12" s="25" t="s">
        <v>73</v>
      </c>
      <c r="E12" s="25" t="s">
        <v>74</v>
      </c>
      <c r="F12" s="25" t="s">
        <v>127</v>
      </c>
      <c r="G12" s="25" t="s">
        <v>128</v>
      </c>
      <c r="H12" s="25" t="s">
        <v>77</v>
      </c>
      <c r="I12" s="25" t="s">
        <v>78</v>
      </c>
      <c r="J12" s="25" t="s">
        <v>79</v>
      </c>
      <c r="K12" s="25" t="s">
        <v>246</v>
      </c>
      <c r="L12" s="25" t="s">
        <v>82</v>
      </c>
    </row>
    <row r="13" customFormat="false" ht="42.75" hidden="false" customHeight="true" outlineLevel="0" collapsed="false">
      <c r="B13" s="10" t="s">
        <v>96</v>
      </c>
      <c r="C13" s="7" t="s">
        <v>370</v>
      </c>
      <c r="D13" s="32" t="s">
        <v>371</v>
      </c>
      <c r="E13" s="33" t="s">
        <v>255</v>
      </c>
      <c r="F13" s="34" t="n">
        <v>1.8</v>
      </c>
      <c r="G13" s="34" t="n">
        <v>2.2</v>
      </c>
      <c r="H13" s="33" t="s">
        <v>372</v>
      </c>
      <c r="I13" s="7" t="s">
        <v>373</v>
      </c>
      <c r="J13" s="7" t="s">
        <v>374</v>
      </c>
      <c r="K13" s="7" t="s">
        <v>375</v>
      </c>
      <c r="L13" s="7" t="s">
        <v>376</v>
      </c>
    </row>
    <row r="14" customFormat="false" ht="30.75" hidden="false" customHeight="true" outlineLevel="0" collapsed="false">
      <c r="B14" s="10" t="s">
        <v>97</v>
      </c>
      <c r="C14" s="7" t="s">
        <v>377</v>
      </c>
      <c r="D14" s="32" t="s">
        <v>378</v>
      </c>
      <c r="E14" s="33" t="s">
        <v>239</v>
      </c>
      <c r="F14" s="34" t="n">
        <v>185</v>
      </c>
      <c r="G14" s="34" t="n">
        <v>195</v>
      </c>
      <c r="H14" s="33" t="s">
        <v>248</v>
      </c>
      <c r="I14" s="7" t="s">
        <v>379</v>
      </c>
      <c r="J14" s="7" t="s">
        <v>380</v>
      </c>
      <c r="K14" s="7" t="s">
        <v>381</v>
      </c>
      <c r="L14" s="7" t="s">
        <v>382</v>
      </c>
    </row>
    <row r="15" customFormat="false" ht="54.75" hidden="false" customHeight="true" outlineLevel="0" collapsed="false">
      <c r="B15" s="10" t="s">
        <v>98</v>
      </c>
      <c r="C15" s="7" t="s">
        <v>377</v>
      </c>
      <c r="D15" s="32" t="s">
        <v>383</v>
      </c>
      <c r="E15" s="33" t="s">
        <v>255</v>
      </c>
      <c r="F15" s="34" t="n">
        <v>38</v>
      </c>
      <c r="G15" s="34" t="n">
        <v>42</v>
      </c>
      <c r="H15" s="33" t="s">
        <v>384</v>
      </c>
      <c r="I15" s="7" t="s">
        <v>385</v>
      </c>
      <c r="J15" s="7" t="s">
        <v>386</v>
      </c>
      <c r="K15" s="7" t="s">
        <v>381</v>
      </c>
      <c r="L15" s="7" t="s">
        <v>387</v>
      </c>
    </row>
    <row r="16" customFormat="false" ht="30.75" hidden="false" customHeight="true" outlineLevel="0" collapsed="false">
      <c r="B16" s="10" t="s">
        <v>99</v>
      </c>
      <c r="C16" s="7" t="s">
        <v>377</v>
      </c>
      <c r="D16" s="32" t="s">
        <v>388</v>
      </c>
      <c r="E16" s="33" t="s">
        <v>255</v>
      </c>
      <c r="F16" s="34" t="n">
        <v>598</v>
      </c>
      <c r="G16" s="34" t="n">
        <v>602</v>
      </c>
      <c r="H16" s="33" t="s">
        <v>389</v>
      </c>
      <c r="I16" s="7" t="s">
        <v>390</v>
      </c>
      <c r="J16" s="7" t="s">
        <v>386</v>
      </c>
      <c r="K16" s="7" t="s">
        <v>381</v>
      </c>
      <c r="L16" s="7" t="s">
        <v>391</v>
      </c>
    </row>
    <row r="17" customFormat="false" ht="42.75" hidden="false" customHeight="true" outlineLevel="0" collapsed="false">
      <c r="B17" s="10" t="s">
        <v>100</v>
      </c>
      <c r="C17" s="7" t="s">
        <v>392</v>
      </c>
      <c r="D17" s="32" t="s">
        <v>393</v>
      </c>
      <c r="E17" s="33" t="s">
        <v>255</v>
      </c>
      <c r="F17" s="34"/>
      <c r="G17" s="34"/>
      <c r="H17" s="33" t="s">
        <v>263</v>
      </c>
      <c r="I17" s="7" t="s">
        <v>394</v>
      </c>
      <c r="J17" s="7" t="s">
        <v>386</v>
      </c>
      <c r="K17" s="7" t="s">
        <v>381</v>
      </c>
      <c r="L17" s="7" t="s">
        <v>395</v>
      </c>
    </row>
    <row r="18" customFormat="false" ht="30.75" hidden="false" customHeight="true" outlineLevel="0" collapsed="false">
      <c r="B18" s="10" t="s">
        <v>101</v>
      </c>
      <c r="C18" s="7" t="s">
        <v>396</v>
      </c>
      <c r="D18" s="32" t="s">
        <v>397</v>
      </c>
      <c r="E18" s="33" t="s">
        <v>255</v>
      </c>
      <c r="F18" s="34" t="n">
        <v>12</v>
      </c>
      <c r="G18" s="34"/>
      <c r="H18" s="33" t="s">
        <v>398</v>
      </c>
      <c r="I18" s="7" t="s">
        <v>399</v>
      </c>
      <c r="J18" s="7" t="s">
        <v>400</v>
      </c>
      <c r="K18" s="7" t="s">
        <v>401</v>
      </c>
      <c r="L18" s="7" t="s">
        <v>402</v>
      </c>
    </row>
    <row r="19" customFormat="false" ht="42.75" hidden="false" customHeight="true" outlineLevel="0" collapsed="false">
      <c r="B19" s="10" t="s">
        <v>102</v>
      </c>
      <c r="C19" s="7" t="s">
        <v>403</v>
      </c>
      <c r="D19" s="32" t="s">
        <v>404</v>
      </c>
      <c r="E19" s="33" t="s">
        <v>255</v>
      </c>
      <c r="F19" s="34"/>
      <c r="G19" s="34"/>
      <c r="H19" s="33" t="s">
        <v>263</v>
      </c>
      <c r="I19" s="7" t="s">
        <v>405</v>
      </c>
      <c r="J19" s="7" t="s">
        <v>386</v>
      </c>
      <c r="K19" s="7" t="s">
        <v>406</v>
      </c>
      <c r="L19" s="7" t="s">
        <v>407</v>
      </c>
    </row>
    <row r="21" customFormat="false" ht="21.75" hidden="false" customHeight="true" outlineLevel="0" collapsed="false">
      <c r="B21" s="23" t="s">
        <v>293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customFormat="false" ht="30" hidden="false" customHeight="true" outlineLevel="0" collapsed="false">
      <c r="B22" s="25" t="s">
        <v>71</v>
      </c>
      <c r="C22" s="35" t="s">
        <v>126</v>
      </c>
      <c r="D22" s="35"/>
      <c r="E22" s="25" t="s">
        <v>210</v>
      </c>
      <c r="F22" s="25" t="s">
        <v>18</v>
      </c>
      <c r="G22" s="35" t="s">
        <v>211</v>
      </c>
      <c r="H22" s="35"/>
      <c r="I22" s="25" t="s">
        <v>147</v>
      </c>
      <c r="J22" s="35" t="s">
        <v>131</v>
      </c>
      <c r="K22" s="35"/>
      <c r="L22" s="35"/>
    </row>
    <row r="23" customFormat="false" ht="21.75" hidden="false" customHeight="true" outlineLevel="0" collapsed="false">
      <c r="B23" s="10" t="s">
        <v>96</v>
      </c>
      <c r="C23" s="7" t="s">
        <v>371</v>
      </c>
      <c r="D23" s="7"/>
      <c r="E23" s="28" t="n">
        <f aca="false">COUNTIF($E$33:$E$72,B23)</f>
        <v>5</v>
      </c>
      <c r="F23" s="25" t="n">
        <f aca="false">SUMPRODUCT(($E$33:$E$72=B23)*($I$33:$I$72="Fora"))</f>
        <v>0</v>
      </c>
      <c r="G23" s="36" t="n">
        <f aca="false">SUMPRODUCT(($E$33:$E$72=B23)*($I$33:$I$72="Fora")*($J$33:$J$72=""))</f>
        <v>0</v>
      </c>
      <c r="H23" s="36"/>
      <c r="I23" s="29" t="n">
        <f aca="false">IF(E23=0,"",1-F23/E23)</f>
        <v>1</v>
      </c>
      <c r="J23" s="17" t="str">
        <f aca="false">IF(E23=0,"Sem registro",IF(G23&gt;0,"Fora sem reação: cobrar",IF(F23&gt;1,"Desvio repetido: analisar a causa",IF(F23=1,"Um desvio, com reação","Dentro do critério"))))</f>
        <v>Dentro do critério</v>
      </c>
      <c r="K23" s="17"/>
      <c r="L23" s="17"/>
    </row>
    <row r="24" customFormat="false" ht="21.75" hidden="false" customHeight="true" outlineLevel="0" collapsed="false">
      <c r="B24" s="10" t="s">
        <v>97</v>
      </c>
      <c r="C24" s="7" t="s">
        <v>378</v>
      </c>
      <c r="D24" s="7"/>
      <c r="E24" s="28" t="n">
        <f aca="false">COUNTIF($E$33:$E$72,B24)</f>
        <v>5</v>
      </c>
      <c r="F24" s="25" t="n">
        <f aca="false">SUMPRODUCT(($E$33:$E$72=B24)*($I$33:$I$72="Fora"))</f>
        <v>1</v>
      </c>
      <c r="G24" s="36" t="n">
        <f aca="false">SUMPRODUCT(($E$33:$E$72=B24)*($I$33:$I$72="Fora")*($J$33:$J$72=""))</f>
        <v>0</v>
      </c>
      <c r="H24" s="36"/>
      <c r="I24" s="29" t="n">
        <f aca="false">IF(E24=0,"",1-F24/E24)</f>
        <v>0.8</v>
      </c>
      <c r="J24" s="17" t="str">
        <f aca="false">IF(E24=0,"Sem registro",IF(G24&gt;0,"Fora sem reação: cobrar",IF(F24&gt;1,"Desvio repetido: analisar a causa",IF(F24=1,"Um desvio, com reação","Dentro do critério"))))</f>
        <v>Um desvio, com reação</v>
      </c>
      <c r="K24" s="17"/>
      <c r="L24" s="17"/>
    </row>
    <row r="25" customFormat="false" ht="21.75" hidden="false" customHeight="true" outlineLevel="0" collapsed="false">
      <c r="B25" s="10" t="s">
        <v>98</v>
      </c>
      <c r="C25" s="7" t="s">
        <v>383</v>
      </c>
      <c r="D25" s="7"/>
      <c r="E25" s="28" t="n">
        <f aca="false">COUNTIF($E$33:$E$72,B25)</f>
        <v>10</v>
      </c>
      <c r="F25" s="25" t="n">
        <f aca="false">SUMPRODUCT(($E$33:$E$72=B25)*($I$33:$I$72="Fora"))</f>
        <v>2</v>
      </c>
      <c r="G25" s="36" t="n">
        <f aca="false">SUMPRODUCT(($E$33:$E$72=B25)*($I$33:$I$72="Fora")*($J$33:$J$72=""))</f>
        <v>0</v>
      </c>
      <c r="H25" s="36"/>
      <c r="I25" s="29" t="n">
        <f aca="false">IF(E25=0,"",1-F25/E25)</f>
        <v>0.8</v>
      </c>
      <c r="J25" s="17" t="str">
        <f aca="false">IF(E25=0,"Sem registro",IF(G25&gt;0,"Fora sem reação: cobrar",IF(F25&gt;1,"Desvio repetido: analisar a causa",IF(F25=1,"Um desvio, com reação","Dentro do critério"))))</f>
        <v>Desvio repetido: analisar a causa</v>
      </c>
      <c r="K25" s="17"/>
      <c r="L25" s="17"/>
    </row>
    <row r="26" customFormat="false" ht="21.75" hidden="false" customHeight="true" outlineLevel="0" collapsed="false">
      <c r="B26" s="10" t="s">
        <v>99</v>
      </c>
      <c r="C26" s="7" t="s">
        <v>388</v>
      </c>
      <c r="D26" s="7"/>
      <c r="E26" s="28" t="n">
        <f aca="false">COUNTIF($E$33:$E$72,B26)</f>
        <v>5</v>
      </c>
      <c r="F26" s="25" t="n">
        <f aca="false">SUMPRODUCT(($E$33:$E$72=B26)*($I$33:$I$72="Fora"))</f>
        <v>0</v>
      </c>
      <c r="G26" s="36" t="n">
        <f aca="false">SUMPRODUCT(($E$33:$E$72=B26)*($I$33:$I$72="Fora")*($J$33:$J$72=""))</f>
        <v>0</v>
      </c>
      <c r="H26" s="36"/>
      <c r="I26" s="29" t="n">
        <f aca="false">IF(E26=0,"",1-F26/E26)</f>
        <v>1</v>
      </c>
      <c r="J26" s="17" t="str">
        <f aca="false">IF(E26=0,"Sem registro",IF(G26&gt;0,"Fora sem reação: cobrar",IF(F26&gt;1,"Desvio repetido: analisar a causa",IF(F26=1,"Um desvio, com reação","Dentro do critério"))))</f>
        <v>Dentro do critério</v>
      </c>
      <c r="K26" s="17"/>
      <c r="L26" s="17"/>
    </row>
    <row r="27" customFormat="false" ht="21.75" hidden="false" customHeight="true" outlineLevel="0" collapsed="false">
      <c r="B27" s="10" t="s">
        <v>100</v>
      </c>
      <c r="C27" s="7" t="s">
        <v>393</v>
      </c>
      <c r="D27" s="7"/>
      <c r="E27" s="28" t="n">
        <f aca="false">COUNTIF($E$33:$E$72,B27)</f>
        <v>5</v>
      </c>
      <c r="F27" s="25" t="n">
        <f aca="false">SUMPRODUCT(($E$33:$E$72=B27)*($I$33:$I$72="Fora"))</f>
        <v>1</v>
      </c>
      <c r="G27" s="36" t="n">
        <f aca="false">SUMPRODUCT(($E$33:$E$72=B27)*($I$33:$I$72="Fora")*($J$33:$J$72=""))</f>
        <v>0</v>
      </c>
      <c r="H27" s="36"/>
      <c r="I27" s="29" t="n">
        <f aca="false">IF(E27=0,"",1-F27/E27)</f>
        <v>0.8</v>
      </c>
      <c r="J27" s="17" t="str">
        <f aca="false">IF(E27=0,"Sem registro",IF(G27&gt;0,"Fora sem reação: cobrar",IF(F27&gt;1,"Desvio repetido: analisar a causa",IF(F27=1,"Um desvio, com reação","Dentro do critério"))))</f>
        <v>Um desvio, com reação</v>
      </c>
      <c r="K27" s="17"/>
      <c r="L27" s="17"/>
    </row>
    <row r="28" customFormat="false" ht="21.75" hidden="false" customHeight="true" outlineLevel="0" collapsed="false">
      <c r="B28" s="10" t="s">
        <v>101</v>
      </c>
      <c r="C28" s="7" t="s">
        <v>397</v>
      </c>
      <c r="D28" s="7"/>
      <c r="E28" s="28" t="n">
        <f aca="false">COUNTIF($E$33:$E$72,B28)</f>
        <v>5</v>
      </c>
      <c r="F28" s="25" t="n">
        <f aca="false">SUMPRODUCT(($E$33:$E$72=B28)*($I$33:$I$72="Fora"))</f>
        <v>0</v>
      </c>
      <c r="G28" s="36" t="n">
        <f aca="false">SUMPRODUCT(($E$33:$E$72=B28)*($I$33:$I$72="Fora")*($J$33:$J$72=""))</f>
        <v>0</v>
      </c>
      <c r="H28" s="36"/>
      <c r="I28" s="29" t="n">
        <f aca="false">IF(E28=0,"",1-F28/E28)</f>
        <v>1</v>
      </c>
      <c r="J28" s="17" t="str">
        <f aca="false">IF(E28=0,"Sem registro",IF(G28&gt;0,"Fora sem reação: cobrar",IF(F28&gt;1,"Desvio repetido: analisar a causa",IF(F28=1,"Um desvio, com reação","Dentro do critério"))))</f>
        <v>Dentro do critério</v>
      </c>
      <c r="K28" s="17"/>
      <c r="L28" s="17"/>
    </row>
    <row r="29" customFormat="false" ht="21.75" hidden="false" customHeight="true" outlineLevel="0" collapsed="false">
      <c r="B29" s="10" t="s">
        <v>102</v>
      </c>
      <c r="C29" s="7" t="s">
        <v>404</v>
      </c>
      <c r="D29" s="7"/>
      <c r="E29" s="28" t="n">
        <f aca="false">COUNTIF($E$33:$E$72,B29)</f>
        <v>5</v>
      </c>
      <c r="F29" s="25" t="n">
        <f aca="false">SUMPRODUCT(($E$33:$E$72=B29)*($I$33:$I$72="Fora"))</f>
        <v>1</v>
      </c>
      <c r="G29" s="36" t="n">
        <f aca="false">SUMPRODUCT(($E$33:$E$72=B29)*($I$33:$I$72="Fora")*($J$33:$J$72=""))</f>
        <v>1</v>
      </c>
      <c r="H29" s="36"/>
      <c r="I29" s="29" t="n">
        <f aca="false">IF(E29=0,"",1-F29/E29)</f>
        <v>0.8</v>
      </c>
      <c r="J29" s="17" t="str">
        <f aca="false">IF(E29=0,"Sem registro",IF(G29&gt;0,"Fora sem reação: cobrar",IF(F29&gt;1,"Desvio repetido: analisar a causa",IF(F29=1,"Um desvio, com reação","Dentro do critério"))))</f>
        <v>Fora sem reação: cobrar</v>
      </c>
      <c r="K29" s="17"/>
      <c r="L29" s="17"/>
    </row>
    <row r="31" customFormat="false" ht="21.75" hidden="false" customHeight="true" outlineLevel="0" collapsed="false">
      <c r="B31" s="37" t="s">
        <v>44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</row>
    <row r="32" customFormat="false" ht="30" hidden="false" customHeight="true" outlineLevel="0" collapsed="false">
      <c r="B32" s="25" t="s">
        <v>123</v>
      </c>
      <c r="C32" s="25" t="s">
        <v>124</v>
      </c>
      <c r="D32" s="25" t="s">
        <v>126</v>
      </c>
      <c r="E32" s="25" t="s">
        <v>125</v>
      </c>
      <c r="F32" s="25" t="s">
        <v>127</v>
      </c>
      <c r="G32" s="25" t="s">
        <v>128</v>
      </c>
      <c r="H32" s="25" t="s">
        <v>195</v>
      </c>
      <c r="I32" s="25" t="s">
        <v>131</v>
      </c>
      <c r="J32" s="35" t="s">
        <v>132</v>
      </c>
      <c r="K32" s="35"/>
      <c r="L32" s="35"/>
    </row>
    <row r="33" customFormat="false" ht="19.5" hidden="false" customHeight="true" outlineLevel="0" collapsed="false">
      <c r="B33" s="38" t="n">
        <v>46517</v>
      </c>
      <c r="C33" s="7" t="s">
        <v>408</v>
      </c>
      <c r="D33" s="39" t="s">
        <v>371</v>
      </c>
      <c r="E33" s="33" t="s">
        <v>96</v>
      </c>
      <c r="F33" s="21" t="n">
        <f aca="false">IFERROR(IF(ISNUMBER(INDEX($F$13:$F$19,MATCH(E33,$B$13:$B$19,0))),INDEX($F$13:$F$19,MATCH(E33,$B$13:$B$19,0)),""),"")</f>
        <v>1.8</v>
      </c>
      <c r="G33" s="21" t="n">
        <f aca="false">IFERROR(IF(ISNUMBER(INDEX($G$13:$G$19,MATCH(E33,$B$13:$B$19,0))),INDEX($G$13:$G$19,MATCH(E33,$B$13:$B$19,0)),""),"")</f>
        <v>2.2</v>
      </c>
      <c r="H33" s="34" t="n">
        <v>2</v>
      </c>
      <c r="I33" s="22" t="str">
        <f aca="false">IF(AND(F33="",G33=""),IF(H33="","Falta o resultado",IF(H33="Sim","Dentro","Fora")),IF(H33="","Falta o valor",IF(AND(OR(F33="",H33&gt;=F33),OR(G33="",H33&lt;=G33)),"Dentro","Fora")))</f>
        <v>Dentro</v>
      </c>
      <c r="J33" s="7"/>
      <c r="K33" s="7"/>
      <c r="L33" s="7"/>
    </row>
    <row r="34" customFormat="false" ht="19.5" hidden="false" customHeight="true" outlineLevel="0" collapsed="false">
      <c r="B34" s="38" t="n">
        <v>46517</v>
      </c>
      <c r="C34" s="7" t="s">
        <v>408</v>
      </c>
      <c r="D34" s="39" t="s">
        <v>378</v>
      </c>
      <c r="E34" s="33" t="s">
        <v>97</v>
      </c>
      <c r="F34" s="21" t="n">
        <f aca="false">IFERROR(IF(ISNUMBER(INDEX($F$13:$F$19,MATCH(E34,$B$13:$B$19,0))),INDEX($F$13:$F$19,MATCH(E34,$B$13:$B$19,0)),""),"")</f>
        <v>185</v>
      </c>
      <c r="G34" s="21" t="n">
        <f aca="false">IFERROR(IF(ISNUMBER(INDEX($G$13:$G$19,MATCH(E34,$B$13:$B$19,0))),INDEX($G$13:$G$19,MATCH(E34,$B$13:$B$19,0)),""),"")</f>
        <v>195</v>
      </c>
      <c r="H34" s="34" t="n">
        <v>190</v>
      </c>
      <c r="I34" s="22" t="str">
        <f aca="false">IF(AND(F34="",G34=""),IF(H34="","Falta o resultado",IF(H34="Sim","Dentro","Fora")),IF(H34="","Falta o valor",IF(AND(OR(F34="",H34&gt;=F34),OR(G34="",H34&lt;=G34)),"Dentro","Fora")))</f>
        <v>Dentro</v>
      </c>
      <c r="J34" s="7"/>
      <c r="K34" s="7"/>
      <c r="L34" s="7"/>
    </row>
    <row r="35" customFormat="false" ht="19.5" hidden="false" customHeight="true" outlineLevel="0" collapsed="false">
      <c r="B35" s="38" t="n">
        <v>46517</v>
      </c>
      <c r="C35" s="7" t="s">
        <v>409</v>
      </c>
      <c r="D35" s="39" t="s">
        <v>383</v>
      </c>
      <c r="E35" s="33" t="s">
        <v>98</v>
      </c>
      <c r="F35" s="21" t="n">
        <f aca="false">IFERROR(IF(ISNUMBER(INDEX($F$13:$F$19,MATCH(E35,$B$13:$B$19,0))),INDEX($F$13:$F$19,MATCH(E35,$B$13:$B$19,0)),""),"")</f>
        <v>38</v>
      </c>
      <c r="G35" s="21" t="n">
        <f aca="false">IFERROR(IF(ISNUMBER(INDEX($G$13:$G$19,MATCH(E35,$B$13:$B$19,0))),INDEX($G$13:$G$19,MATCH(E35,$B$13:$B$19,0)),""),"")</f>
        <v>42</v>
      </c>
      <c r="H35" s="34" t="n">
        <v>40.1</v>
      </c>
      <c r="I35" s="22" t="str">
        <f aca="false">IF(AND(F35="",G35=""),IF(H35="","Falta o resultado",IF(H35="Sim","Dentro","Fora")),IF(H35="","Falta o valor",IF(AND(OR(F35="",H35&gt;=F35),OR(G35="",H35&lt;=G35)),"Dentro","Fora")))</f>
        <v>Dentro</v>
      </c>
      <c r="J35" s="7"/>
      <c r="K35" s="7"/>
      <c r="L35" s="7"/>
    </row>
    <row r="36" customFormat="false" ht="19.5" hidden="false" customHeight="true" outlineLevel="0" collapsed="false">
      <c r="B36" s="38" t="n">
        <v>46517</v>
      </c>
      <c r="C36" s="7" t="s">
        <v>410</v>
      </c>
      <c r="D36" s="39" t="s">
        <v>383</v>
      </c>
      <c r="E36" s="33" t="s">
        <v>98</v>
      </c>
      <c r="F36" s="21" t="n">
        <f aca="false">IFERROR(IF(ISNUMBER(INDEX($F$13:$F$19,MATCH(E36,$B$13:$B$19,0))),INDEX($F$13:$F$19,MATCH(E36,$B$13:$B$19,0)),""),"")</f>
        <v>38</v>
      </c>
      <c r="G36" s="21" t="n">
        <f aca="false">IFERROR(IF(ISNUMBER(INDEX($G$13:$G$19,MATCH(E36,$B$13:$B$19,0))),INDEX($G$13:$G$19,MATCH(E36,$B$13:$B$19,0)),""),"")</f>
        <v>42</v>
      </c>
      <c r="H36" s="34" t="n">
        <v>39.6</v>
      </c>
      <c r="I36" s="22" t="str">
        <f aca="false">IF(AND(F36="",G36=""),IF(H36="","Falta o resultado",IF(H36="Sim","Dentro","Fora")),IF(H36="","Falta o valor",IF(AND(OR(F36="",H36&gt;=F36),OR(G36="",H36&lt;=G36)),"Dentro","Fora")))</f>
        <v>Dentro</v>
      </c>
      <c r="J36" s="7"/>
      <c r="K36" s="7"/>
      <c r="L36" s="7"/>
    </row>
    <row r="37" customFormat="false" ht="19.5" hidden="false" customHeight="true" outlineLevel="0" collapsed="false">
      <c r="B37" s="38" t="n">
        <v>46517</v>
      </c>
      <c r="C37" s="7" t="s">
        <v>408</v>
      </c>
      <c r="D37" s="39" t="s">
        <v>388</v>
      </c>
      <c r="E37" s="33" t="s">
        <v>99</v>
      </c>
      <c r="F37" s="21" t="n">
        <f aca="false">IFERROR(IF(ISNUMBER(INDEX($F$13:$F$19,MATCH(E37,$B$13:$B$19,0))),INDEX($F$13:$F$19,MATCH(E37,$B$13:$B$19,0)),""),"")</f>
        <v>598</v>
      </c>
      <c r="G37" s="21" t="n">
        <f aca="false">IFERROR(IF(ISNUMBER(INDEX($G$13:$G$19,MATCH(E37,$B$13:$B$19,0))),INDEX($G$13:$G$19,MATCH(E37,$B$13:$B$19,0)),""),"")</f>
        <v>602</v>
      </c>
      <c r="H37" s="34" t="n">
        <v>600</v>
      </c>
      <c r="I37" s="22" t="str">
        <f aca="false">IF(AND(F37="",G37=""),IF(H37="","Falta o resultado",IF(H37="Sim","Dentro","Fora")),IF(H37="","Falta o valor",IF(AND(OR(F37="",H37&gt;=F37),OR(G37="",H37&lt;=G37)),"Dentro","Fora")))</f>
        <v>Dentro</v>
      </c>
      <c r="J37" s="7"/>
      <c r="K37" s="7"/>
      <c r="L37" s="7"/>
    </row>
    <row r="38" customFormat="false" ht="19.5" hidden="false" customHeight="true" outlineLevel="0" collapsed="false">
      <c r="B38" s="38" t="n">
        <v>46517</v>
      </c>
      <c r="C38" s="7" t="s">
        <v>408</v>
      </c>
      <c r="D38" s="39" t="s">
        <v>393</v>
      </c>
      <c r="E38" s="33" t="s">
        <v>100</v>
      </c>
      <c r="F38" s="21" t="str">
        <f aca="false">IFERROR(IF(ISNUMBER(INDEX($F$13:$F$19,MATCH(E38,$B$13:$B$19,0))),INDEX($F$13:$F$19,MATCH(E38,$B$13:$B$19,0)),""),"")</f>
        <v/>
      </c>
      <c r="G38" s="21" t="str">
        <f aca="false">IFERROR(IF(ISNUMBER(INDEX($G$13:$G$19,MATCH(E38,$B$13:$B$19,0))),INDEX($G$13:$G$19,MATCH(E38,$B$13:$B$19,0)),""),"")</f>
        <v/>
      </c>
      <c r="H38" s="34" t="s">
        <v>297</v>
      </c>
      <c r="I38" s="22" t="str">
        <f aca="false">IF(AND(F38="",G38=""),IF(H38="","Falta o resultado",IF(H38="Sim","Dentro","Fora")),IF(H38="","Falta o valor",IF(AND(OR(F38="",H38&gt;=F38),OR(G38="",H38&lt;=G38)),"Dentro","Fora")))</f>
        <v>Dentro</v>
      </c>
      <c r="J38" s="7"/>
      <c r="K38" s="7"/>
      <c r="L38" s="7"/>
    </row>
    <row r="39" customFormat="false" ht="19.5" hidden="false" customHeight="true" outlineLevel="0" collapsed="false">
      <c r="B39" s="38" t="n">
        <v>46517</v>
      </c>
      <c r="C39" s="7" t="s">
        <v>408</v>
      </c>
      <c r="D39" s="39" t="s">
        <v>397</v>
      </c>
      <c r="E39" s="33" t="s">
        <v>101</v>
      </c>
      <c r="F39" s="21" t="n">
        <f aca="false">IFERROR(IF(ISNUMBER(INDEX($F$13:$F$19,MATCH(E39,$B$13:$B$19,0))),INDEX($F$13:$F$19,MATCH(E39,$B$13:$B$19,0)),""),"")</f>
        <v>12</v>
      </c>
      <c r="G39" s="21" t="str">
        <f aca="false">IFERROR(IF(ISNUMBER(INDEX($G$13:$G$19,MATCH(E39,$B$13:$B$19,0))),INDEX($G$13:$G$19,MATCH(E39,$B$13:$B$19,0)),""),"")</f>
        <v/>
      </c>
      <c r="H39" s="34" t="n">
        <v>14.2</v>
      </c>
      <c r="I39" s="22" t="str">
        <f aca="false">IF(AND(F39="",G39=""),IF(H39="","Falta o resultado",IF(H39="Sim","Dentro","Fora")),IF(H39="","Falta o valor",IF(AND(OR(F39="",H39&gt;=F39),OR(G39="",H39&lt;=G39)),"Dentro","Fora")))</f>
        <v>Dentro</v>
      </c>
      <c r="J39" s="7"/>
      <c r="K39" s="7"/>
      <c r="L39" s="7"/>
    </row>
    <row r="40" customFormat="false" ht="19.5" hidden="false" customHeight="true" outlineLevel="0" collapsed="false">
      <c r="B40" s="38" t="n">
        <v>46517</v>
      </c>
      <c r="C40" s="7" t="s">
        <v>408</v>
      </c>
      <c r="D40" s="39" t="s">
        <v>404</v>
      </c>
      <c r="E40" s="33" t="s">
        <v>102</v>
      </c>
      <c r="F40" s="21" t="str">
        <f aca="false">IFERROR(IF(ISNUMBER(INDEX($F$13:$F$19,MATCH(E40,$B$13:$B$19,0))),INDEX($F$13:$F$19,MATCH(E40,$B$13:$B$19,0)),""),"")</f>
        <v/>
      </c>
      <c r="G40" s="21" t="str">
        <f aca="false">IFERROR(IF(ISNUMBER(INDEX($G$13:$G$19,MATCH(E40,$B$13:$B$19,0))),INDEX($G$13:$G$19,MATCH(E40,$B$13:$B$19,0)),""),"")</f>
        <v/>
      </c>
      <c r="H40" s="34" t="s">
        <v>297</v>
      </c>
      <c r="I40" s="22" t="str">
        <f aca="false">IF(AND(F40="",G40=""),IF(H40="","Falta o resultado",IF(H40="Sim","Dentro","Fora")),IF(H40="","Falta o valor",IF(AND(OR(F40="",H40&gt;=F40),OR(G40="",H40&lt;=G40)),"Dentro","Fora")))</f>
        <v>Dentro</v>
      </c>
      <c r="J40" s="7"/>
      <c r="K40" s="7"/>
      <c r="L40" s="7"/>
    </row>
    <row r="41" customFormat="false" ht="19.5" hidden="false" customHeight="true" outlineLevel="0" collapsed="false">
      <c r="B41" s="38" t="n">
        <v>46518</v>
      </c>
      <c r="C41" s="7" t="s">
        <v>411</v>
      </c>
      <c r="D41" s="39" t="s">
        <v>371</v>
      </c>
      <c r="E41" s="33" t="s">
        <v>96</v>
      </c>
      <c r="F41" s="21" t="n">
        <f aca="false">IFERROR(IF(ISNUMBER(INDEX($F$13:$F$19,MATCH(E41,$B$13:$B$19,0))),INDEX($F$13:$F$19,MATCH(E41,$B$13:$B$19,0)),""),"")</f>
        <v>1.8</v>
      </c>
      <c r="G41" s="21" t="n">
        <f aca="false">IFERROR(IF(ISNUMBER(INDEX($G$13:$G$19,MATCH(E41,$B$13:$B$19,0))),INDEX($G$13:$G$19,MATCH(E41,$B$13:$B$19,0)),""),"")</f>
        <v>2.2</v>
      </c>
      <c r="H41" s="34" t="n">
        <v>2</v>
      </c>
      <c r="I41" s="22" t="str">
        <f aca="false">IF(AND(F41="",G41=""),IF(H41="","Falta o resultado",IF(H41="Sim","Dentro","Fora")),IF(H41="","Falta o valor",IF(AND(OR(F41="",H41&gt;=F41),OR(G41="",H41&lt;=G41)),"Dentro","Fora")))</f>
        <v>Dentro</v>
      </c>
      <c r="J41" s="7"/>
      <c r="K41" s="7"/>
      <c r="L41" s="7"/>
    </row>
    <row r="42" customFormat="false" ht="19.5" hidden="false" customHeight="true" outlineLevel="0" collapsed="false">
      <c r="B42" s="38" t="n">
        <v>46518</v>
      </c>
      <c r="C42" s="7" t="s">
        <v>411</v>
      </c>
      <c r="D42" s="39" t="s">
        <v>378</v>
      </c>
      <c r="E42" s="33" t="s">
        <v>97</v>
      </c>
      <c r="F42" s="21" t="n">
        <f aca="false">IFERROR(IF(ISNUMBER(INDEX($F$13:$F$19,MATCH(E42,$B$13:$B$19,0))),INDEX($F$13:$F$19,MATCH(E42,$B$13:$B$19,0)),""),"")</f>
        <v>185</v>
      </c>
      <c r="G42" s="21" t="n">
        <f aca="false">IFERROR(IF(ISNUMBER(INDEX($G$13:$G$19,MATCH(E42,$B$13:$B$19,0))),INDEX($G$13:$G$19,MATCH(E42,$B$13:$B$19,0)),""),"")</f>
        <v>195</v>
      </c>
      <c r="H42" s="34" t="n">
        <v>189</v>
      </c>
      <c r="I42" s="22" t="str">
        <f aca="false">IF(AND(F42="",G42=""),IF(H42="","Falta o resultado",IF(H42="Sim","Dentro","Fora")),IF(H42="","Falta o valor",IF(AND(OR(F42="",H42&gt;=F42),OR(G42="",H42&lt;=G42)),"Dentro","Fora")))</f>
        <v>Dentro</v>
      </c>
      <c r="J42" s="7"/>
      <c r="K42" s="7"/>
      <c r="L42" s="7"/>
    </row>
    <row r="43" customFormat="false" ht="19.5" hidden="false" customHeight="true" outlineLevel="0" collapsed="false">
      <c r="B43" s="38" t="n">
        <v>46518</v>
      </c>
      <c r="C43" s="7" t="s">
        <v>412</v>
      </c>
      <c r="D43" s="39" t="s">
        <v>383</v>
      </c>
      <c r="E43" s="33" t="s">
        <v>98</v>
      </c>
      <c r="F43" s="21" t="n">
        <f aca="false">IFERROR(IF(ISNUMBER(INDEX($F$13:$F$19,MATCH(E43,$B$13:$B$19,0))),INDEX($F$13:$F$19,MATCH(E43,$B$13:$B$19,0)),""),"")</f>
        <v>38</v>
      </c>
      <c r="G43" s="21" t="n">
        <f aca="false">IFERROR(IF(ISNUMBER(INDEX($G$13:$G$19,MATCH(E43,$B$13:$B$19,0))),INDEX($G$13:$G$19,MATCH(E43,$B$13:$B$19,0)),""),"")</f>
        <v>42</v>
      </c>
      <c r="H43" s="34" t="n">
        <v>40.8</v>
      </c>
      <c r="I43" s="22" t="str">
        <f aca="false">IF(AND(F43="",G43=""),IF(H43="","Falta o resultado",IF(H43="Sim","Dentro","Fora")),IF(H43="","Falta o valor",IF(AND(OR(F43="",H43&gt;=F43),OR(G43="",H43&lt;=G43)),"Dentro","Fora")))</f>
        <v>Dentro</v>
      </c>
      <c r="J43" s="7"/>
      <c r="K43" s="7"/>
      <c r="L43" s="7"/>
    </row>
    <row r="44" customFormat="false" ht="19.5" hidden="false" customHeight="true" outlineLevel="0" collapsed="false">
      <c r="B44" s="38" t="n">
        <v>46518</v>
      </c>
      <c r="C44" s="7" t="s">
        <v>413</v>
      </c>
      <c r="D44" s="39" t="s">
        <v>383</v>
      </c>
      <c r="E44" s="33" t="s">
        <v>98</v>
      </c>
      <c r="F44" s="21" t="n">
        <f aca="false">IFERROR(IF(ISNUMBER(INDEX($F$13:$F$19,MATCH(E44,$B$13:$B$19,0))),INDEX($F$13:$F$19,MATCH(E44,$B$13:$B$19,0)),""),"")</f>
        <v>38</v>
      </c>
      <c r="G44" s="21" t="n">
        <f aca="false">IFERROR(IF(ISNUMBER(INDEX($G$13:$G$19,MATCH(E44,$B$13:$B$19,0))),INDEX($G$13:$G$19,MATCH(E44,$B$13:$B$19,0)),""),"")</f>
        <v>42</v>
      </c>
      <c r="H44" s="34" t="n">
        <v>41.5</v>
      </c>
      <c r="I44" s="22" t="str">
        <f aca="false">IF(AND(F44="",G44=""),IF(H44="","Falta o resultado",IF(H44="Sim","Dentro","Fora")),IF(H44="","Falta o valor",IF(AND(OR(F44="",H44&gt;=F44),OR(G44="",H44&lt;=G44)),"Dentro","Fora")))</f>
        <v>Dentro</v>
      </c>
      <c r="J44" s="7"/>
      <c r="K44" s="7"/>
      <c r="L44" s="7"/>
    </row>
    <row r="45" customFormat="false" ht="19.5" hidden="false" customHeight="true" outlineLevel="0" collapsed="false">
      <c r="B45" s="38" t="n">
        <v>46518</v>
      </c>
      <c r="C45" s="7" t="s">
        <v>411</v>
      </c>
      <c r="D45" s="39" t="s">
        <v>388</v>
      </c>
      <c r="E45" s="33" t="s">
        <v>99</v>
      </c>
      <c r="F45" s="21" t="n">
        <f aca="false">IFERROR(IF(ISNUMBER(INDEX($F$13:$F$19,MATCH(E45,$B$13:$B$19,0))),INDEX($F$13:$F$19,MATCH(E45,$B$13:$B$19,0)),""),"")</f>
        <v>598</v>
      </c>
      <c r="G45" s="21" t="n">
        <f aca="false">IFERROR(IF(ISNUMBER(INDEX($G$13:$G$19,MATCH(E45,$B$13:$B$19,0))),INDEX($G$13:$G$19,MATCH(E45,$B$13:$B$19,0)),""),"")</f>
        <v>602</v>
      </c>
      <c r="H45" s="34" t="n">
        <v>601</v>
      </c>
      <c r="I45" s="22" t="str">
        <f aca="false">IF(AND(F45="",G45=""),IF(H45="","Falta o resultado",IF(H45="Sim","Dentro","Fora")),IF(H45="","Falta o valor",IF(AND(OR(F45="",H45&gt;=F45),OR(G45="",H45&lt;=G45)),"Dentro","Fora")))</f>
        <v>Dentro</v>
      </c>
      <c r="J45" s="7"/>
      <c r="K45" s="7"/>
      <c r="L45" s="7"/>
    </row>
    <row r="46" customFormat="false" ht="19.5" hidden="false" customHeight="true" outlineLevel="0" collapsed="false">
      <c r="B46" s="38" t="n">
        <v>46518</v>
      </c>
      <c r="C46" s="7" t="s">
        <v>411</v>
      </c>
      <c r="D46" s="39" t="s">
        <v>393</v>
      </c>
      <c r="E46" s="33" t="s">
        <v>100</v>
      </c>
      <c r="F46" s="21" t="str">
        <f aca="false">IFERROR(IF(ISNUMBER(INDEX($F$13:$F$19,MATCH(E46,$B$13:$B$19,0))),INDEX($F$13:$F$19,MATCH(E46,$B$13:$B$19,0)),""),"")</f>
        <v/>
      </c>
      <c r="G46" s="21" t="str">
        <f aca="false">IFERROR(IF(ISNUMBER(INDEX($G$13:$G$19,MATCH(E46,$B$13:$B$19,0))),INDEX($G$13:$G$19,MATCH(E46,$B$13:$B$19,0)),""),"")</f>
        <v/>
      </c>
      <c r="H46" s="34" t="s">
        <v>414</v>
      </c>
      <c r="I46" s="22" t="str">
        <f aca="false">IF(AND(F46="",G46=""),IF(H46="","Falta o resultado",IF(H46="Sim","Dentro","Fora")),IF(H46="","Falta o valor",IF(AND(OR(F46="",H46&gt;=F46),OR(G46="",H46&lt;=G46)),"Dentro","Fora")))</f>
        <v>Fora</v>
      </c>
      <c r="J46" s="7" t="s">
        <v>415</v>
      </c>
      <c r="K46" s="7"/>
      <c r="L46" s="7"/>
    </row>
    <row r="47" customFormat="false" ht="19.5" hidden="false" customHeight="true" outlineLevel="0" collapsed="false">
      <c r="B47" s="38" t="n">
        <v>46518</v>
      </c>
      <c r="C47" s="7" t="s">
        <v>411</v>
      </c>
      <c r="D47" s="39" t="s">
        <v>397</v>
      </c>
      <c r="E47" s="33" t="s">
        <v>101</v>
      </c>
      <c r="F47" s="21" t="n">
        <f aca="false">IFERROR(IF(ISNUMBER(INDEX($F$13:$F$19,MATCH(E47,$B$13:$B$19,0))),INDEX($F$13:$F$19,MATCH(E47,$B$13:$B$19,0)),""),"")</f>
        <v>12</v>
      </c>
      <c r="G47" s="21" t="str">
        <f aca="false">IFERROR(IF(ISNUMBER(INDEX($G$13:$G$19,MATCH(E47,$B$13:$B$19,0))),INDEX($G$13:$G$19,MATCH(E47,$B$13:$B$19,0)),""),"")</f>
        <v/>
      </c>
      <c r="H47" s="34" t="n">
        <v>13.8</v>
      </c>
      <c r="I47" s="22" t="str">
        <f aca="false">IF(AND(F47="",G47=""),IF(H47="","Falta o resultado",IF(H47="Sim","Dentro","Fora")),IF(H47="","Falta o valor",IF(AND(OR(F47="",H47&gt;=F47),OR(G47="",H47&lt;=G47)),"Dentro","Fora")))</f>
        <v>Dentro</v>
      </c>
      <c r="J47" s="7"/>
      <c r="K47" s="7"/>
      <c r="L47" s="7"/>
    </row>
    <row r="48" customFormat="false" ht="19.5" hidden="false" customHeight="true" outlineLevel="0" collapsed="false">
      <c r="B48" s="38" t="n">
        <v>46518</v>
      </c>
      <c r="C48" s="7" t="s">
        <v>411</v>
      </c>
      <c r="D48" s="39" t="s">
        <v>404</v>
      </c>
      <c r="E48" s="33" t="s">
        <v>102</v>
      </c>
      <c r="F48" s="21" t="str">
        <f aca="false">IFERROR(IF(ISNUMBER(INDEX($F$13:$F$19,MATCH(E48,$B$13:$B$19,0))),INDEX($F$13:$F$19,MATCH(E48,$B$13:$B$19,0)),""),"")</f>
        <v/>
      </c>
      <c r="G48" s="21" t="str">
        <f aca="false">IFERROR(IF(ISNUMBER(INDEX($G$13:$G$19,MATCH(E48,$B$13:$B$19,0))),INDEX($G$13:$G$19,MATCH(E48,$B$13:$B$19,0)),""),"")</f>
        <v/>
      </c>
      <c r="H48" s="34" t="s">
        <v>297</v>
      </c>
      <c r="I48" s="22" t="str">
        <f aca="false">IF(AND(F48="",G48=""),IF(H48="","Falta o resultado",IF(H48="Sim","Dentro","Fora")),IF(H48="","Falta o valor",IF(AND(OR(F48="",H48&gt;=F48),OR(G48="",H48&lt;=G48)),"Dentro","Fora")))</f>
        <v>Dentro</v>
      </c>
      <c r="J48" s="7"/>
      <c r="K48" s="7"/>
      <c r="L48" s="7"/>
    </row>
    <row r="49" customFormat="false" ht="19.5" hidden="false" customHeight="true" outlineLevel="0" collapsed="false">
      <c r="B49" s="38" t="n">
        <v>46519</v>
      </c>
      <c r="C49" s="7" t="s">
        <v>416</v>
      </c>
      <c r="D49" s="39" t="s">
        <v>371</v>
      </c>
      <c r="E49" s="33" t="s">
        <v>96</v>
      </c>
      <c r="F49" s="21" t="n">
        <f aca="false">IFERROR(IF(ISNUMBER(INDEX($F$13:$F$19,MATCH(E49,$B$13:$B$19,0))),INDEX($F$13:$F$19,MATCH(E49,$B$13:$B$19,0)),""),"")</f>
        <v>1.8</v>
      </c>
      <c r="G49" s="21" t="n">
        <f aca="false">IFERROR(IF(ISNUMBER(INDEX($G$13:$G$19,MATCH(E49,$B$13:$B$19,0))),INDEX($G$13:$G$19,MATCH(E49,$B$13:$B$19,0)),""),"")</f>
        <v>2.2</v>
      </c>
      <c r="H49" s="34" t="n">
        <v>1.9</v>
      </c>
      <c r="I49" s="22" t="str">
        <f aca="false">IF(AND(F49="",G49=""),IF(H49="","Falta o resultado",IF(H49="Sim","Dentro","Fora")),IF(H49="","Falta o valor",IF(AND(OR(F49="",H49&gt;=F49),OR(G49="",H49&lt;=G49)),"Dentro","Fora")))</f>
        <v>Dentro</v>
      </c>
      <c r="J49" s="7"/>
      <c r="K49" s="7"/>
      <c r="L49" s="7"/>
    </row>
    <row r="50" customFormat="false" ht="30.75" hidden="false" customHeight="true" outlineLevel="0" collapsed="false">
      <c r="B50" s="38" t="n">
        <v>46519</v>
      </c>
      <c r="C50" s="7" t="s">
        <v>416</v>
      </c>
      <c r="D50" s="39" t="s">
        <v>378</v>
      </c>
      <c r="E50" s="33" t="s">
        <v>97</v>
      </c>
      <c r="F50" s="21" t="n">
        <f aca="false">IFERROR(IF(ISNUMBER(INDEX($F$13:$F$19,MATCH(E50,$B$13:$B$19,0))),INDEX($F$13:$F$19,MATCH(E50,$B$13:$B$19,0)),""),"")</f>
        <v>185</v>
      </c>
      <c r="G50" s="21" t="n">
        <f aca="false">IFERROR(IF(ISNUMBER(INDEX($G$13:$G$19,MATCH(E50,$B$13:$B$19,0))),INDEX($G$13:$G$19,MATCH(E50,$B$13:$B$19,0)),""),"")</f>
        <v>195</v>
      </c>
      <c r="H50" s="34" t="n">
        <v>196</v>
      </c>
      <c r="I50" s="22" t="str">
        <f aca="false">IF(AND(F50="",G50=""),IF(H50="","Falta o resultado",IF(H50="Sim","Dentro","Fora")),IF(H50="","Falta o valor",IF(AND(OR(F50="",H50&gt;=F50),OR(G50="",H50&lt;=G50)),"Dentro","Fora")))</f>
        <v>Fora</v>
      </c>
      <c r="J50" s="7" t="s">
        <v>417</v>
      </c>
      <c r="K50" s="7"/>
      <c r="L50" s="7"/>
    </row>
    <row r="51" customFormat="false" ht="30.75" hidden="false" customHeight="true" outlineLevel="0" collapsed="false">
      <c r="B51" s="38" t="n">
        <v>46519</v>
      </c>
      <c r="C51" s="7" t="s">
        <v>418</v>
      </c>
      <c r="D51" s="39" t="s">
        <v>383</v>
      </c>
      <c r="E51" s="33" t="s">
        <v>98</v>
      </c>
      <c r="F51" s="21" t="n">
        <f aca="false">IFERROR(IF(ISNUMBER(INDEX($F$13:$F$19,MATCH(E51,$B$13:$B$19,0))),INDEX($F$13:$F$19,MATCH(E51,$B$13:$B$19,0)),""),"")</f>
        <v>38</v>
      </c>
      <c r="G51" s="21" t="n">
        <f aca="false">IFERROR(IF(ISNUMBER(INDEX($G$13:$G$19,MATCH(E51,$B$13:$B$19,0))),INDEX($G$13:$G$19,MATCH(E51,$B$13:$B$19,0)),""),"")</f>
        <v>42</v>
      </c>
      <c r="H51" s="34" t="n">
        <v>42.6</v>
      </c>
      <c r="I51" s="22" t="str">
        <f aca="false">IF(AND(F51="",G51=""),IF(H51="","Falta o resultado",IF(H51="Sim","Dentro","Fora")),IF(H51="","Falta o valor",IF(AND(OR(F51="",H51&gt;=F51),OR(G51="",H51&lt;=G51)),"Dentro","Fora")))</f>
        <v>Fora</v>
      </c>
      <c r="J51" s="7" t="s">
        <v>419</v>
      </c>
      <c r="K51" s="7"/>
      <c r="L51" s="7"/>
    </row>
    <row r="52" customFormat="false" ht="19.5" hidden="false" customHeight="true" outlineLevel="0" collapsed="false">
      <c r="B52" s="38" t="n">
        <v>46519</v>
      </c>
      <c r="C52" s="7" t="s">
        <v>420</v>
      </c>
      <c r="D52" s="39" t="s">
        <v>383</v>
      </c>
      <c r="E52" s="33" t="s">
        <v>98</v>
      </c>
      <c r="F52" s="21" t="n">
        <f aca="false">IFERROR(IF(ISNUMBER(INDEX($F$13:$F$19,MATCH(E52,$B$13:$B$19,0))),INDEX($F$13:$F$19,MATCH(E52,$B$13:$B$19,0)),""),"")</f>
        <v>38</v>
      </c>
      <c r="G52" s="21" t="n">
        <f aca="false">IFERROR(IF(ISNUMBER(INDEX($G$13:$G$19,MATCH(E52,$B$13:$B$19,0))),INDEX($G$13:$G$19,MATCH(E52,$B$13:$B$19,0)),""),"")</f>
        <v>42</v>
      </c>
      <c r="H52" s="34" t="n">
        <v>41.9</v>
      </c>
      <c r="I52" s="22" t="str">
        <f aca="false">IF(AND(F52="",G52=""),IF(H52="","Falta o resultado",IF(H52="Sim","Dentro","Fora")),IF(H52="","Falta o valor",IF(AND(OR(F52="",H52&gt;=F52),OR(G52="",H52&lt;=G52)),"Dentro","Fora")))</f>
        <v>Dentro</v>
      </c>
      <c r="J52" s="7"/>
      <c r="K52" s="7"/>
      <c r="L52" s="7"/>
    </row>
    <row r="53" customFormat="false" ht="19.5" hidden="false" customHeight="true" outlineLevel="0" collapsed="false">
      <c r="B53" s="38" t="n">
        <v>46519</v>
      </c>
      <c r="C53" s="7" t="s">
        <v>416</v>
      </c>
      <c r="D53" s="39" t="s">
        <v>388</v>
      </c>
      <c r="E53" s="33" t="s">
        <v>99</v>
      </c>
      <c r="F53" s="21" t="n">
        <f aca="false">IFERROR(IF(ISNUMBER(INDEX($F$13:$F$19,MATCH(E53,$B$13:$B$19,0))),INDEX($F$13:$F$19,MATCH(E53,$B$13:$B$19,0)),""),"")</f>
        <v>598</v>
      </c>
      <c r="G53" s="21" t="n">
        <f aca="false">IFERROR(IF(ISNUMBER(INDEX($G$13:$G$19,MATCH(E53,$B$13:$B$19,0))),INDEX($G$13:$G$19,MATCH(E53,$B$13:$B$19,0)),""),"")</f>
        <v>602</v>
      </c>
      <c r="H53" s="34" t="n">
        <v>599</v>
      </c>
      <c r="I53" s="22" t="str">
        <f aca="false">IF(AND(F53="",G53=""),IF(H53="","Falta o resultado",IF(H53="Sim","Dentro","Fora")),IF(H53="","Falta o valor",IF(AND(OR(F53="",H53&gt;=F53),OR(G53="",H53&lt;=G53)),"Dentro","Fora")))</f>
        <v>Dentro</v>
      </c>
      <c r="J53" s="7"/>
      <c r="K53" s="7"/>
      <c r="L53" s="7"/>
    </row>
    <row r="54" customFormat="false" ht="19.5" hidden="false" customHeight="true" outlineLevel="0" collapsed="false">
      <c r="B54" s="38" t="n">
        <v>46519</v>
      </c>
      <c r="C54" s="7" t="s">
        <v>416</v>
      </c>
      <c r="D54" s="39" t="s">
        <v>393</v>
      </c>
      <c r="E54" s="33" t="s">
        <v>100</v>
      </c>
      <c r="F54" s="21" t="str">
        <f aca="false">IFERROR(IF(ISNUMBER(INDEX($F$13:$F$19,MATCH(E54,$B$13:$B$19,0))),INDEX($F$13:$F$19,MATCH(E54,$B$13:$B$19,0)),""),"")</f>
        <v/>
      </c>
      <c r="G54" s="21" t="str">
        <f aca="false">IFERROR(IF(ISNUMBER(INDEX($G$13:$G$19,MATCH(E54,$B$13:$B$19,0))),INDEX($G$13:$G$19,MATCH(E54,$B$13:$B$19,0)),""),"")</f>
        <v/>
      </c>
      <c r="H54" s="34" t="s">
        <v>297</v>
      </c>
      <c r="I54" s="22" t="str">
        <f aca="false">IF(AND(F54="",G54=""),IF(H54="","Falta o resultado",IF(H54="Sim","Dentro","Fora")),IF(H54="","Falta o valor",IF(AND(OR(F54="",H54&gt;=F54),OR(G54="",H54&lt;=G54)),"Dentro","Fora")))</f>
        <v>Dentro</v>
      </c>
      <c r="J54" s="7"/>
      <c r="K54" s="7"/>
      <c r="L54" s="7"/>
    </row>
    <row r="55" customFormat="false" ht="19.5" hidden="false" customHeight="true" outlineLevel="0" collapsed="false">
      <c r="B55" s="38" t="n">
        <v>46519</v>
      </c>
      <c r="C55" s="7" t="s">
        <v>416</v>
      </c>
      <c r="D55" s="39" t="s">
        <v>397</v>
      </c>
      <c r="E55" s="33" t="s">
        <v>101</v>
      </c>
      <c r="F55" s="21" t="n">
        <f aca="false">IFERROR(IF(ISNUMBER(INDEX($F$13:$F$19,MATCH(E55,$B$13:$B$19,0))),INDEX($F$13:$F$19,MATCH(E55,$B$13:$B$19,0)),""),"")</f>
        <v>12</v>
      </c>
      <c r="G55" s="21" t="str">
        <f aca="false">IFERROR(IF(ISNUMBER(INDEX($G$13:$G$19,MATCH(E55,$B$13:$B$19,0))),INDEX($G$13:$G$19,MATCH(E55,$B$13:$B$19,0)),""),"")</f>
        <v/>
      </c>
      <c r="H55" s="34" t="n">
        <v>13.1</v>
      </c>
      <c r="I55" s="22" t="str">
        <f aca="false">IF(AND(F55="",G55=""),IF(H55="","Falta o resultado",IF(H55="Sim","Dentro","Fora")),IF(H55="","Falta o valor",IF(AND(OR(F55="",H55&gt;=F55),OR(G55="",H55&lt;=G55)),"Dentro","Fora")))</f>
        <v>Dentro</v>
      </c>
      <c r="J55" s="7"/>
      <c r="K55" s="7"/>
      <c r="L55" s="7"/>
    </row>
    <row r="56" customFormat="false" ht="19.5" hidden="false" customHeight="true" outlineLevel="0" collapsed="false">
      <c r="B56" s="38" t="n">
        <v>46519</v>
      </c>
      <c r="C56" s="7" t="s">
        <v>416</v>
      </c>
      <c r="D56" s="39" t="s">
        <v>404</v>
      </c>
      <c r="E56" s="33" t="s">
        <v>102</v>
      </c>
      <c r="F56" s="21" t="str">
        <f aca="false">IFERROR(IF(ISNUMBER(INDEX($F$13:$F$19,MATCH(E56,$B$13:$B$19,0))),INDEX($F$13:$F$19,MATCH(E56,$B$13:$B$19,0)),""),"")</f>
        <v/>
      </c>
      <c r="G56" s="21" t="str">
        <f aca="false">IFERROR(IF(ISNUMBER(INDEX($G$13:$G$19,MATCH(E56,$B$13:$B$19,0))),INDEX($G$13:$G$19,MATCH(E56,$B$13:$B$19,0)),""),"")</f>
        <v/>
      </c>
      <c r="H56" s="34" t="s">
        <v>297</v>
      </c>
      <c r="I56" s="22" t="str">
        <f aca="false">IF(AND(F56="",G56=""),IF(H56="","Falta o resultado",IF(H56="Sim","Dentro","Fora")),IF(H56="","Falta o valor",IF(AND(OR(F56="",H56&gt;=F56),OR(G56="",H56&lt;=G56)),"Dentro","Fora")))</f>
        <v>Dentro</v>
      </c>
      <c r="J56" s="7"/>
      <c r="K56" s="7"/>
      <c r="L56" s="7"/>
    </row>
    <row r="57" customFormat="false" ht="19.5" hidden="false" customHeight="true" outlineLevel="0" collapsed="false">
      <c r="B57" s="38" t="n">
        <v>46520</v>
      </c>
      <c r="C57" s="7" t="s">
        <v>421</v>
      </c>
      <c r="D57" s="39" t="s">
        <v>371</v>
      </c>
      <c r="E57" s="33" t="s">
        <v>96</v>
      </c>
      <c r="F57" s="21" t="n">
        <f aca="false">IFERROR(IF(ISNUMBER(INDEX($F$13:$F$19,MATCH(E57,$B$13:$B$19,0))),INDEX($F$13:$F$19,MATCH(E57,$B$13:$B$19,0)),""),"")</f>
        <v>1.8</v>
      </c>
      <c r="G57" s="21" t="n">
        <f aca="false">IFERROR(IF(ISNUMBER(INDEX($G$13:$G$19,MATCH(E57,$B$13:$B$19,0))),INDEX($G$13:$G$19,MATCH(E57,$B$13:$B$19,0)),""),"")</f>
        <v>2.2</v>
      </c>
      <c r="H57" s="34" t="n">
        <v>2</v>
      </c>
      <c r="I57" s="22" t="str">
        <f aca="false">IF(AND(F57="",G57=""),IF(H57="","Falta o resultado",IF(H57="Sim","Dentro","Fora")),IF(H57="","Falta o valor",IF(AND(OR(F57="",H57&gt;=F57),OR(G57="",H57&lt;=G57)),"Dentro","Fora")))</f>
        <v>Dentro</v>
      </c>
      <c r="J57" s="7"/>
      <c r="K57" s="7"/>
      <c r="L57" s="7"/>
    </row>
    <row r="58" customFormat="false" ht="19.5" hidden="false" customHeight="true" outlineLevel="0" collapsed="false">
      <c r="B58" s="38" t="n">
        <v>46520</v>
      </c>
      <c r="C58" s="7" t="s">
        <v>421</v>
      </c>
      <c r="D58" s="39" t="s">
        <v>378</v>
      </c>
      <c r="E58" s="33" t="s">
        <v>97</v>
      </c>
      <c r="F58" s="21" t="n">
        <f aca="false">IFERROR(IF(ISNUMBER(INDEX($F$13:$F$19,MATCH(E58,$B$13:$B$19,0))),INDEX($F$13:$F$19,MATCH(E58,$B$13:$B$19,0)),""),"")</f>
        <v>185</v>
      </c>
      <c r="G58" s="21" t="n">
        <f aca="false">IFERROR(IF(ISNUMBER(INDEX($G$13:$G$19,MATCH(E58,$B$13:$B$19,0))),INDEX($G$13:$G$19,MATCH(E58,$B$13:$B$19,0)),""),"")</f>
        <v>195</v>
      </c>
      <c r="H58" s="34" t="n">
        <v>192</v>
      </c>
      <c r="I58" s="22" t="str">
        <f aca="false">IF(AND(F58="",G58=""),IF(H58="","Falta o resultado",IF(H58="Sim","Dentro","Fora")),IF(H58="","Falta o valor",IF(AND(OR(F58="",H58&gt;=F58),OR(G58="",H58&lt;=G58)),"Dentro","Fora")))</f>
        <v>Dentro</v>
      </c>
      <c r="J58" s="7"/>
      <c r="K58" s="7"/>
      <c r="L58" s="7"/>
    </row>
    <row r="59" customFormat="false" ht="19.5" hidden="false" customHeight="true" outlineLevel="0" collapsed="false">
      <c r="B59" s="38" t="n">
        <v>46520</v>
      </c>
      <c r="C59" s="7" t="s">
        <v>422</v>
      </c>
      <c r="D59" s="39" t="s">
        <v>383</v>
      </c>
      <c r="E59" s="33" t="s">
        <v>98</v>
      </c>
      <c r="F59" s="21" t="n">
        <f aca="false">IFERROR(IF(ISNUMBER(INDEX($F$13:$F$19,MATCH(E59,$B$13:$B$19,0))),INDEX($F$13:$F$19,MATCH(E59,$B$13:$B$19,0)),""),"")</f>
        <v>38</v>
      </c>
      <c r="G59" s="21" t="n">
        <f aca="false">IFERROR(IF(ISNUMBER(INDEX($G$13:$G$19,MATCH(E59,$B$13:$B$19,0))),INDEX($G$13:$G$19,MATCH(E59,$B$13:$B$19,0)),""),"")</f>
        <v>42</v>
      </c>
      <c r="H59" s="34" t="n">
        <v>39.8</v>
      </c>
      <c r="I59" s="22" t="str">
        <f aca="false">IF(AND(F59="",G59=""),IF(H59="","Falta o resultado",IF(H59="Sim","Dentro","Fora")),IF(H59="","Falta o valor",IF(AND(OR(F59="",H59&gt;=F59),OR(G59="",H59&lt;=G59)),"Dentro","Fora")))</f>
        <v>Dentro</v>
      </c>
      <c r="J59" s="7"/>
      <c r="K59" s="7"/>
      <c r="L59" s="7"/>
    </row>
    <row r="60" customFormat="false" ht="19.5" hidden="false" customHeight="true" outlineLevel="0" collapsed="false">
      <c r="B60" s="38" t="n">
        <v>46520</v>
      </c>
      <c r="C60" s="7" t="s">
        <v>423</v>
      </c>
      <c r="D60" s="39" t="s">
        <v>383</v>
      </c>
      <c r="E60" s="33" t="s">
        <v>98</v>
      </c>
      <c r="F60" s="21" t="n">
        <f aca="false">IFERROR(IF(ISNUMBER(INDEX($F$13:$F$19,MATCH(E60,$B$13:$B$19,0))),INDEX($F$13:$F$19,MATCH(E60,$B$13:$B$19,0)),""),"")</f>
        <v>38</v>
      </c>
      <c r="G60" s="21" t="n">
        <f aca="false">IFERROR(IF(ISNUMBER(INDEX($G$13:$G$19,MATCH(E60,$B$13:$B$19,0))),INDEX($G$13:$G$19,MATCH(E60,$B$13:$B$19,0)),""),"")</f>
        <v>42</v>
      </c>
      <c r="H60" s="34" t="n">
        <v>40.2</v>
      </c>
      <c r="I60" s="22" t="str">
        <f aca="false">IF(AND(F60="",G60=""),IF(H60="","Falta o resultado",IF(H60="Sim","Dentro","Fora")),IF(H60="","Falta o valor",IF(AND(OR(F60="",H60&gt;=F60),OR(G60="",H60&lt;=G60)),"Dentro","Fora")))</f>
        <v>Dentro</v>
      </c>
      <c r="J60" s="7"/>
      <c r="K60" s="7"/>
      <c r="L60" s="7"/>
    </row>
    <row r="61" customFormat="false" ht="19.5" hidden="false" customHeight="true" outlineLevel="0" collapsed="false">
      <c r="B61" s="38" t="n">
        <v>46520</v>
      </c>
      <c r="C61" s="7" t="s">
        <v>421</v>
      </c>
      <c r="D61" s="39" t="s">
        <v>388</v>
      </c>
      <c r="E61" s="33" t="s">
        <v>99</v>
      </c>
      <c r="F61" s="21" t="n">
        <f aca="false">IFERROR(IF(ISNUMBER(INDEX($F$13:$F$19,MATCH(E61,$B$13:$B$19,0))),INDEX($F$13:$F$19,MATCH(E61,$B$13:$B$19,0)),""),"")</f>
        <v>598</v>
      </c>
      <c r="G61" s="21" t="n">
        <f aca="false">IFERROR(IF(ISNUMBER(INDEX($G$13:$G$19,MATCH(E61,$B$13:$B$19,0))),INDEX($G$13:$G$19,MATCH(E61,$B$13:$B$19,0)),""),"")</f>
        <v>602</v>
      </c>
      <c r="H61" s="34" t="n">
        <v>600</v>
      </c>
      <c r="I61" s="22" t="str">
        <f aca="false">IF(AND(F61="",G61=""),IF(H61="","Falta o resultado",IF(H61="Sim","Dentro","Fora")),IF(H61="","Falta o valor",IF(AND(OR(F61="",H61&gt;=F61),OR(G61="",H61&lt;=G61)),"Dentro","Fora")))</f>
        <v>Dentro</v>
      </c>
      <c r="J61" s="7"/>
      <c r="K61" s="7"/>
      <c r="L61" s="7"/>
    </row>
    <row r="62" customFormat="false" ht="19.5" hidden="false" customHeight="true" outlineLevel="0" collapsed="false">
      <c r="B62" s="38" t="n">
        <v>46520</v>
      </c>
      <c r="C62" s="7" t="s">
        <v>421</v>
      </c>
      <c r="D62" s="39" t="s">
        <v>393</v>
      </c>
      <c r="E62" s="33" t="s">
        <v>100</v>
      </c>
      <c r="F62" s="21" t="str">
        <f aca="false">IFERROR(IF(ISNUMBER(INDEX($F$13:$F$19,MATCH(E62,$B$13:$B$19,0))),INDEX($F$13:$F$19,MATCH(E62,$B$13:$B$19,0)),""),"")</f>
        <v/>
      </c>
      <c r="G62" s="21" t="str">
        <f aca="false">IFERROR(IF(ISNUMBER(INDEX($G$13:$G$19,MATCH(E62,$B$13:$B$19,0))),INDEX($G$13:$G$19,MATCH(E62,$B$13:$B$19,0)),""),"")</f>
        <v/>
      </c>
      <c r="H62" s="34" t="s">
        <v>297</v>
      </c>
      <c r="I62" s="22" t="str">
        <f aca="false">IF(AND(F62="",G62=""),IF(H62="","Falta o resultado",IF(H62="Sim","Dentro","Fora")),IF(H62="","Falta o valor",IF(AND(OR(F62="",H62&gt;=F62),OR(G62="",H62&lt;=G62)),"Dentro","Fora")))</f>
        <v>Dentro</v>
      </c>
      <c r="J62" s="7"/>
      <c r="K62" s="7"/>
      <c r="L62" s="7"/>
    </row>
    <row r="63" customFormat="false" ht="19.5" hidden="false" customHeight="true" outlineLevel="0" collapsed="false">
      <c r="B63" s="38" t="n">
        <v>46520</v>
      </c>
      <c r="C63" s="7" t="s">
        <v>421</v>
      </c>
      <c r="D63" s="39" t="s">
        <v>397</v>
      </c>
      <c r="E63" s="33" t="s">
        <v>101</v>
      </c>
      <c r="F63" s="21" t="n">
        <f aca="false">IFERROR(IF(ISNUMBER(INDEX($F$13:$F$19,MATCH(E63,$B$13:$B$19,0))),INDEX($F$13:$F$19,MATCH(E63,$B$13:$B$19,0)),""),"")</f>
        <v>12</v>
      </c>
      <c r="G63" s="21" t="str">
        <f aca="false">IFERROR(IF(ISNUMBER(INDEX($G$13:$G$19,MATCH(E63,$B$13:$B$19,0))),INDEX($G$13:$G$19,MATCH(E63,$B$13:$B$19,0)),""),"")</f>
        <v/>
      </c>
      <c r="H63" s="34" t="n">
        <v>14</v>
      </c>
      <c r="I63" s="22" t="str">
        <f aca="false">IF(AND(F63="",G63=""),IF(H63="","Falta o resultado",IF(H63="Sim","Dentro","Fora")),IF(H63="","Falta o valor",IF(AND(OR(F63="",H63&gt;=F63),OR(G63="",H63&lt;=G63)),"Dentro","Fora")))</f>
        <v>Dentro</v>
      </c>
      <c r="J63" s="7"/>
      <c r="K63" s="7"/>
      <c r="L63" s="7"/>
    </row>
    <row r="64" customFormat="false" ht="19.5" hidden="false" customHeight="true" outlineLevel="0" collapsed="false">
      <c r="B64" s="38" t="n">
        <v>46520</v>
      </c>
      <c r="C64" s="7" t="s">
        <v>421</v>
      </c>
      <c r="D64" s="39" t="s">
        <v>404</v>
      </c>
      <c r="E64" s="33" t="s">
        <v>102</v>
      </c>
      <c r="F64" s="21" t="str">
        <f aca="false">IFERROR(IF(ISNUMBER(INDEX($F$13:$F$19,MATCH(E64,$B$13:$B$19,0))),INDEX($F$13:$F$19,MATCH(E64,$B$13:$B$19,0)),""),"")</f>
        <v/>
      </c>
      <c r="G64" s="21" t="str">
        <f aca="false">IFERROR(IF(ISNUMBER(INDEX($G$13:$G$19,MATCH(E64,$B$13:$B$19,0))),INDEX($G$13:$G$19,MATCH(E64,$B$13:$B$19,0)),""),"")</f>
        <v/>
      </c>
      <c r="H64" s="34" t="s">
        <v>414</v>
      </c>
      <c r="I64" s="22" t="str">
        <f aca="false">IF(AND(F64="",G64=""),IF(H64="","Falta o resultado",IF(H64="Sim","Dentro","Fora")),IF(H64="","Falta o valor",IF(AND(OR(F64="",H64&gt;=F64),OR(G64="",H64&lt;=G64)),"Dentro","Fora")))</f>
        <v>Fora</v>
      </c>
      <c r="J64" s="7"/>
      <c r="K64" s="7"/>
      <c r="L64" s="7"/>
    </row>
    <row r="65" customFormat="false" ht="19.5" hidden="false" customHeight="true" outlineLevel="0" collapsed="false">
      <c r="B65" s="38" t="n">
        <v>46521</v>
      </c>
      <c r="C65" s="7" t="s">
        <v>424</v>
      </c>
      <c r="D65" s="39" t="s">
        <v>371</v>
      </c>
      <c r="E65" s="33" t="s">
        <v>96</v>
      </c>
      <c r="F65" s="21" t="n">
        <f aca="false">IFERROR(IF(ISNUMBER(INDEX($F$13:$F$19,MATCH(E65,$B$13:$B$19,0))),INDEX($F$13:$F$19,MATCH(E65,$B$13:$B$19,0)),""),"")</f>
        <v>1.8</v>
      </c>
      <c r="G65" s="21" t="n">
        <f aca="false">IFERROR(IF(ISNUMBER(INDEX($G$13:$G$19,MATCH(E65,$B$13:$B$19,0))),INDEX($G$13:$G$19,MATCH(E65,$B$13:$B$19,0)),""),"")</f>
        <v>2.2</v>
      </c>
      <c r="H65" s="34" t="n">
        <v>2.2</v>
      </c>
      <c r="I65" s="22" t="str">
        <f aca="false">IF(AND(F65="",G65=""),IF(H65="","Falta o resultado",IF(H65="Sim","Dentro","Fora")),IF(H65="","Falta o valor",IF(AND(OR(F65="",H65&gt;=F65),OR(G65="",H65&lt;=G65)),"Dentro","Fora")))</f>
        <v>Dentro</v>
      </c>
      <c r="J65" s="7"/>
      <c r="K65" s="7"/>
      <c r="L65" s="7"/>
    </row>
    <row r="66" customFormat="false" ht="19.5" hidden="false" customHeight="true" outlineLevel="0" collapsed="false">
      <c r="B66" s="38" t="n">
        <v>46521</v>
      </c>
      <c r="C66" s="7" t="s">
        <v>424</v>
      </c>
      <c r="D66" s="39" t="s">
        <v>378</v>
      </c>
      <c r="E66" s="33" t="s">
        <v>97</v>
      </c>
      <c r="F66" s="21" t="n">
        <f aca="false">IFERROR(IF(ISNUMBER(INDEX($F$13:$F$19,MATCH(E66,$B$13:$B$19,0))),INDEX($F$13:$F$19,MATCH(E66,$B$13:$B$19,0)),""),"")</f>
        <v>185</v>
      </c>
      <c r="G66" s="21" t="n">
        <f aca="false">IFERROR(IF(ISNUMBER(INDEX($G$13:$G$19,MATCH(E66,$B$13:$B$19,0))),INDEX($G$13:$G$19,MATCH(E66,$B$13:$B$19,0)),""),"")</f>
        <v>195</v>
      </c>
      <c r="H66" s="34" t="n">
        <v>191</v>
      </c>
      <c r="I66" s="22" t="str">
        <f aca="false">IF(AND(F66="",G66=""),IF(H66="","Falta o resultado",IF(H66="Sim","Dentro","Fora")),IF(H66="","Falta o valor",IF(AND(OR(F66="",H66&gt;=F66),OR(G66="",H66&lt;=G66)),"Dentro","Fora")))</f>
        <v>Dentro</v>
      </c>
      <c r="J66" s="7"/>
      <c r="K66" s="7"/>
      <c r="L66" s="7"/>
    </row>
    <row r="67" customFormat="false" ht="30.75" hidden="false" customHeight="true" outlineLevel="0" collapsed="false">
      <c r="B67" s="38" t="n">
        <v>46521</v>
      </c>
      <c r="C67" s="7" t="s">
        <v>425</v>
      </c>
      <c r="D67" s="39" t="s">
        <v>383</v>
      </c>
      <c r="E67" s="33" t="s">
        <v>98</v>
      </c>
      <c r="F67" s="21" t="n">
        <f aca="false">IFERROR(IF(ISNUMBER(INDEX($F$13:$F$19,MATCH(E67,$B$13:$B$19,0))),INDEX($F$13:$F$19,MATCH(E67,$B$13:$B$19,0)),""),"")</f>
        <v>38</v>
      </c>
      <c r="G67" s="21" t="n">
        <f aca="false">IFERROR(IF(ISNUMBER(INDEX($G$13:$G$19,MATCH(E67,$B$13:$B$19,0))),INDEX($G$13:$G$19,MATCH(E67,$B$13:$B$19,0)),""),"")</f>
        <v>42</v>
      </c>
      <c r="H67" s="34" t="n">
        <v>37.4</v>
      </c>
      <c r="I67" s="22" t="str">
        <f aca="false">IF(AND(F67="",G67=""),IF(H67="","Falta o resultado",IF(H67="Sim","Dentro","Fora")),IF(H67="","Falta o valor",IF(AND(OR(F67="",H67&gt;=F67),OR(G67="",H67&lt;=G67)),"Dentro","Fora")))</f>
        <v>Fora</v>
      </c>
      <c r="J67" s="7" t="s">
        <v>426</v>
      </c>
      <c r="K67" s="7"/>
      <c r="L67" s="7"/>
    </row>
    <row r="68" customFormat="false" ht="19.5" hidden="false" customHeight="true" outlineLevel="0" collapsed="false">
      <c r="B68" s="38" t="n">
        <v>46521</v>
      </c>
      <c r="C68" s="7" t="s">
        <v>427</v>
      </c>
      <c r="D68" s="39" t="s">
        <v>383</v>
      </c>
      <c r="E68" s="33" t="s">
        <v>98</v>
      </c>
      <c r="F68" s="21" t="n">
        <f aca="false">IFERROR(IF(ISNUMBER(INDEX($F$13:$F$19,MATCH(E68,$B$13:$B$19,0))),INDEX($F$13:$F$19,MATCH(E68,$B$13:$B$19,0)),""),"")</f>
        <v>38</v>
      </c>
      <c r="G68" s="21" t="n">
        <f aca="false">IFERROR(IF(ISNUMBER(INDEX($G$13:$G$19,MATCH(E68,$B$13:$B$19,0))),INDEX($G$13:$G$19,MATCH(E68,$B$13:$B$19,0)),""),"")</f>
        <v>42</v>
      </c>
      <c r="H68" s="34" t="n">
        <v>39.1</v>
      </c>
      <c r="I68" s="22" t="str">
        <f aca="false">IF(AND(F68="",G68=""),IF(H68="","Falta o resultado",IF(H68="Sim","Dentro","Fora")),IF(H68="","Falta o valor",IF(AND(OR(F68="",H68&gt;=F68),OR(G68="",H68&lt;=G68)),"Dentro","Fora")))</f>
        <v>Dentro</v>
      </c>
      <c r="J68" s="7"/>
      <c r="K68" s="7"/>
      <c r="L68" s="7"/>
    </row>
    <row r="69" customFormat="false" ht="19.5" hidden="false" customHeight="true" outlineLevel="0" collapsed="false">
      <c r="B69" s="38" t="n">
        <v>46521</v>
      </c>
      <c r="C69" s="7" t="s">
        <v>424</v>
      </c>
      <c r="D69" s="39" t="s">
        <v>388</v>
      </c>
      <c r="E69" s="33" t="s">
        <v>99</v>
      </c>
      <c r="F69" s="21" t="n">
        <f aca="false">IFERROR(IF(ISNUMBER(INDEX($F$13:$F$19,MATCH(E69,$B$13:$B$19,0))),INDEX($F$13:$F$19,MATCH(E69,$B$13:$B$19,0)),""),"")</f>
        <v>598</v>
      </c>
      <c r="G69" s="21" t="n">
        <f aca="false">IFERROR(IF(ISNUMBER(INDEX($G$13:$G$19,MATCH(E69,$B$13:$B$19,0))),INDEX($G$13:$G$19,MATCH(E69,$B$13:$B$19,0)),""),"")</f>
        <v>602</v>
      </c>
      <c r="H69" s="34" t="n">
        <v>600</v>
      </c>
      <c r="I69" s="22" t="str">
        <f aca="false">IF(AND(F69="",G69=""),IF(H69="","Falta o resultado",IF(H69="Sim","Dentro","Fora")),IF(H69="","Falta o valor",IF(AND(OR(F69="",H69&gt;=F69),OR(G69="",H69&lt;=G69)),"Dentro","Fora")))</f>
        <v>Dentro</v>
      </c>
      <c r="J69" s="7"/>
      <c r="K69" s="7"/>
      <c r="L69" s="7"/>
    </row>
    <row r="70" customFormat="false" ht="19.5" hidden="false" customHeight="true" outlineLevel="0" collapsed="false">
      <c r="B70" s="38" t="n">
        <v>46521</v>
      </c>
      <c r="C70" s="7" t="s">
        <v>424</v>
      </c>
      <c r="D70" s="39" t="s">
        <v>393</v>
      </c>
      <c r="E70" s="33" t="s">
        <v>100</v>
      </c>
      <c r="F70" s="21" t="str">
        <f aca="false">IFERROR(IF(ISNUMBER(INDEX($F$13:$F$19,MATCH(E70,$B$13:$B$19,0))),INDEX($F$13:$F$19,MATCH(E70,$B$13:$B$19,0)),""),"")</f>
        <v/>
      </c>
      <c r="G70" s="21" t="str">
        <f aca="false">IFERROR(IF(ISNUMBER(INDEX($G$13:$G$19,MATCH(E70,$B$13:$B$19,0))),INDEX($G$13:$G$19,MATCH(E70,$B$13:$B$19,0)),""),"")</f>
        <v/>
      </c>
      <c r="H70" s="34" t="s">
        <v>297</v>
      </c>
      <c r="I70" s="22" t="str">
        <f aca="false">IF(AND(F70="",G70=""),IF(H70="","Falta o resultado",IF(H70="Sim","Dentro","Fora")),IF(H70="","Falta o valor",IF(AND(OR(F70="",H70&gt;=F70),OR(G70="",H70&lt;=G70)),"Dentro","Fora")))</f>
        <v>Dentro</v>
      </c>
      <c r="J70" s="7"/>
      <c r="K70" s="7"/>
      <c r="L70" s="7"/>
    </row>
    <row r="71" customFormat="false" ht="19.5" hidden="false" customHeight="true" outlineLevel="0" collapsed="false">
      <c r="B71" s="38" t="n">
        <v>46521</v>
      </c>
      <c r="C71" s="7" t="s">
        <v>424</v>
      </c>
      <c r="D71" s="39" t="s">
        <v>397</v>
      </c>
      <c r="E71" s="33" t="s">
        <v>101</v>
      </c>
      <c r="F71" s="21" t="n">
        <f aca="false">IFERROR(IF(ISNUMBER(INDEX($F$13:$F$19,MATCH(E71,$B$13:$B$19,0))),INDEX($F$13:$F$19,MATCH(E71,$B$13:$B$19,0)),""),"")</f>
        <v>12</v>
      </c>
      <c r="G71" s="21" t="str">
        <f aca="false">IFERROR(IF(ISNUMBER(INDEX($G$13:$G$19,MATCH(E71,$B$13:$B$19,0))),INDEX($G$13:$G$19,MATCH(E71,$B$13:$B$19,0)),""),"")</f>
        <v/>
      </c>
      <c r="H71" s="34" t="n">
        <v>12.4</v>
      </c>
      <c r="I71" s="22" t="str">
        <f aca="false">IF(AND(F71="",G71=""),IF(H71="","Falta o resultado",IF(H71="Sim","Dentro","Fora")),IF(H71="","Falta o valor",IF(AND(OR(F71="",H71&gt;=F71),OR(G71="",H71&lt;=G71)),"Dentro","Fora")))</f>
        <v>Dentro</v>
      </c>
      <c r="J71" s="7"/>
      <c r="K71" s="7"/>
      <c r="L71" s="7"/>
    </row>
    <row r="72" customFormat="false" ht="19.5" hidden="false" customHeight="true" outlineLevel="0" collapsed="false">
      <c r="B72" s="38" t="n">
        <v>46521</v>
      </c>
      <c r="C72" s="7" t="s">
        <v>424</v>
      </c>
      <c r="D72" s="39" t="s">
        <v>404</v>
      </c>
      <c r="E72" s="33" t="s">
        <v>102</v>
      </c>
      <c r="F72" s="21" t="str">
        <f aca="false">IFERROR(IF(ISNUMBER(INDEX($F$13:$F$19,MATCH(E72,$B$13:$B$19,0))),INDEX($F$13:$F$19,MATCH(E72,$B$13:$B$19,0)),""),"")</f>
        <v/>
      </c>
      <c r="G72" s="21" t="str">
        <f aca="false">IFERROR(IF(ISNUMBER(INDEX($G$13:$G$19,MATCH(E72,$B$13:$B$19,0))),INDEX($G$13:$G$19,MATCH(E72,$B$13:$B$19,0)),""),"")</f>
        <v/>
      </c>
      <c r="H72" s="34" t="s">
        <v>297</v>
      </c>
      <c r="I72" s="22" t="str">
        <f aca="false">IF(AND(F72="",G72=""),IF(H72="","Falta o resultado",IF(H72="Sim","Dentro","Fora")),IF(H72="","Falta o valor",IF(AND(OR(F72="",H72&gt;=F72),OR(G72="",H72&lt;=G72)),"Dentro","Fora")))</f>
        <v>Dentro</v>
      </c>
      <c r="J72" s="7"/>
      <c r="K72" s="7"/>
      <c r="L72" s="7"/>
    </row>
    <row r="74" customFormat="false" ht="21.75" hidden="false" customHeight="true" outlineLevel="0" collapsed="false">
      <c r="B74" s="23" t="s">
        <v>322</v>
      </c>
      <c r="C74" s="23"/>
      <c r="D74" s="23"/>
      <c r="E74" s="23"/>
      <c r="F74" s="23"/>
      <c r="G74" s="23"/>
      <c r="H74" s="23"/>
      <c r="I74" s="23"/>
      <c r="J74" s="23"/>
      <c r="K74" s="23"/>
      <c r="L74" s="23"/>
    </row>
    <row r="75" customFormat="false" ht="30" hidden="false" customHeight="true" outlineLevel="0" collapsed="false">
      <c r="B75" s="25" t="s">
        <v>71</v>
      </c>
      <c r="C75" s="25" t="s">
        <v>72</v>
      </c>
      <c r="D75" s="25" t="s">
        <v>152</v>
      </c>
      <c r="E75" s="35" t="s">
        <v>153</v>
      </c>
      <c r="F75" s="35"/>
      <c r="G75" s="35"/>
      <c r="H75" s="35"/>
      <c r="I75" s="35" t="s">
        <v>154</v>
      </c>
      <c r="J75" s="35"/>
      <c r="K75" s="35" t="s">
        <v>155</v>
      </c>
      <c r="L75" s="35"/>
    </row>
    <row r="76" customFormat="false" ht="30.75" hidden="false" customHeight="true" outlineLevel="0" collapsed="false">
      <c r="B76" s="10" t="n">
        <v>1</v>
      </c>
      <c r="C76" s="32" t="s">
        <v>370</v>
      </c>
      <c r="D76" s="7" t="s">
        <v>428</v>
      </c>
      <c r="E76" s="7" t="s">
        <v>429</v>
      </c>
      <c r="F76" s="7"/>
      <c r="G76" s="7"/>
      <c r="H76" s="7"/>
      <c r="I76" s="7" t="s">
        <v>430</v>
      </c>
      <c r="J76" s="7"/>
      <c r="K76" s="7" t="s">
        <v>431</v>
      </c>
      <c r="L76" s="7"/>
    </row>
    <row r="77" customFormat="false" ht="42.75" hidden="false" customHeight="true" outlineLevel="0" collapsed="false">
      <c r="B77" s="10" t="n">
        <v>2</v>
      </c>
      <c r="C77" s="32" t="s">
        <v>377</v>
      </c>
      <c r="D77" s="7" t="s">
        <v>432</v>
      </c>
      <c r="E77" s="7" t="s">
        <v>433</v>
      </c>
      <c r="F77" s="7"/>
      <c r="G77" s="7"/>
      <c r="H77" s="7"/>
      <c r="I77" s="7" t="s">
        <v>434</v>
      </c>
      <c r="J77" s="7"/>
      <c r="K77" s="7" t="s">
        <v>435</v>
      </c>
      <c r="L77" s="7"/>
    </row>
    <row r="78" customFormat="false" ht="30.75" hidden="false" customHeight="true" outlineLevel="0" collapsed="false">
      <c r="B78" s="10" t="n">
        <v>3</v>
      </c>
      <c r="C78" s="32" t="s">
        <v>392</v>
      </c>
      <c r="D78" s="7" t="s">
        <v>436</v>
      </c>
      <c r="E78" s="7" t="s">
        <v>437</v>
      </c>
      <c r="F78" s="7"/>
      <c r="G78" s="7"/>
      <c r="H78" s="7"/>
      <c r="I78" s="7" t="s">
        <v>438</v>
      </c>
      <c r="J78" s="7"/>
      <c r="K78" s="7" t="s">
        <v>439</v>
      </c>
      <c r="L78" s="7"/>
    </row>
    <row r="79" customFormat="false" ht="21.75" hidden="false" customHeight="true" outlineLevel="0" collapsed="false">
      <c r="B79" s="10" t="n">
        <v>4</v>
      </c>
      <c r="C79" s="32" t="s">
        <v>396</v>
      </c>
      <c r="D79" s="7" t="s">
        <v>440</v>
      </c>
      <c r="E79" s="7" t="s">
        <v>441</v>
      </c>
      <c r="F79" s="7"/>
      <c r="G79" s="7"/>
      <c r="H79" s="7"/>
      <c r="I79" s="7" t="s">
        <v>442</v>
      </c>
      <c r="J79" s="7"/>
      <c r="K79" s="7" t="s">
        <v>443</v>
      </c>
      <c r="L79" s="7"/>
    </row>
    <row r="80" customFormat="false" ht="30.75" hidden="false" customHeight="true" outlineLevel="0" collapsed="false">
      <c r="B80" s="10" t="n">
        <v>5</v>
      </c>
      <c r="C80" s="32" t="s">
        <v>444</v>
      </c>
      <c r="D80" s="7" t="s">
        <v>445</v>
      </c>
      <c r="E80" s="7" t="s">
        <v>446</v>
      </c>
      <c r="F80" s="7"/>
      <c r="G80" s="7"/>
      <c r="H80" s="7"/>
      <c r="I80" s="7" t="s">
        <v>447</v>
      </c>
      <c r="J80" s="7"/>
      <c r="K80" s="7" t="s">
        <v>448</v>
      </c>
      <c r="L80" s="7"/>
    </row>
    <row r="82" customFormat="false" ht="21.75" hidden="false" customHeight="true" outlineLevel="0" collapsed="false">
      <c r="B82" s="23" t="s">
        <v>161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</row>
    <row r="83" customFormat="false" ht="30" hidden="false" customHeight="true" outlineLevel="0" collapsed="false">
      <c r="B83" s="25" t="s">
        <v>71</v>
      </c>
      <c r="C83" s="25" t="s">
        <v>162</v>
      </c>
      <c r="D83" s="25" t="s">
        <v>164</v>
      </c>
      <c r="E83" s="35" t="s">
        <v>163</v>
      </c>
      <c r="F83" s="35"/>
      <c r="G83" s="35" t="s">
        <v>165</v>
      </c>
      <c r="H83" s="35"/>
      <c r="I83" s="35"/>
      <c r="J83" s="35" t="s">
        <v>166</v>
      </c>
      <c r="K83" s="35"/>
      <c r="L83" s="35"/>
    </row>
    <row r="84" customFormat="false" ht="30.75" hidden="false" customHeight="true" outlineLevel="0" collapsed="false">
      <c r="B84" s="10" t="n">
        <v>1</v>
      </c>
      <c r="C84" s="32" t="s">
        <v>449</v>
      </c>
      <c r="D84" s="7" t="s">
        <v>450</v>
      </c>
      <c r="E84" s="33" t="s">
        <v>347</v>
      </c>
      <c r="F84" s="33"/>
      <c r="G84" s="7" t="s">
        <v>451</v>
      </c>
      <c r="H84" s="7"/>
      <c r="I84" s="7"/>
      <c r="J84" s="7" t="s">
        <v>452</v>
      </c>
      <c r="K84" s="7"/>
      <c r="L84" s="7"/>
    </row>
    <row r="85" customFormat="false" ht="30.75" hidden="false" customHeight="true" outlineLevel="0" collapsed="false">
      <c r="B85" s="10" t="n">
        <v>2</v>
      </c>
      <c r="C85" s="32" t="s">
        <v>453</v>
      </c>
      <c r="D85" s="7" t="s">
        <v>454</v>
      </c>
      <c r="E85" s="33" t="s">
        <v>347</v>
      </c>
      <c r="F85" s="33"/>
      <c r="G85" s="7" t="s">
        <v>455</v>
      </c>
      <c r="H85" s="7"/>
      <c r="I85" s="7"/>
      <c r="J85" s="7"/>
      <c r="K85" s="7"/>
      <c r="L85" s="7"/>
    </row>
    <row r="86" customFormat="false" ht="30.75" hidden="false" customHeight="true" outlineLevel="0" collapsed="false">
      <c r="B86" s="10" t="n">
        <v>3</v>
      </c>
      <c r="C86" s="32" t="s">
        <v>456</v>
      </c>
      <c r="D86" s="7" t="s">
        <v>457</v>
      </c>
      <c r="E86" s="33" t="s">
        <v>351</v>
      </c>
      <c r="F86" s="33"/>
      <c r="G86" s="7" t="s">
        <v>458</v>
      </c>
      <c r="H86" s="7"/>
      <c r="I86" s="7"/>
      <c r="J86" s="7"/>
      <c r="K86" s="7"/>
      <c r="L86" s="7"/>
    </row>
    <row r="88" customFormat="false" ht="21.75" hidden="false" customHeight="true" outlineLevel="0" collapsed="false">
      <c r="B88" s="40" t="s">
        <v>48</v>
      </c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30" hidden="false" customHeight="true" outlineLevel="0" collapsed="false">
      <c r="B89" s="25" t="s">
        <v>123</v>
      </c>
      <c r="C89" s="25" t="s">
        <v>176</v>
      </c>
      <c r="D89" s="25" t="s">
        <v>177</v>
      </c>
      <c r="E89" s="35" t="s">
        <v>178</v>
      </c>
      <c r="F89" s="35"/>
      <c r="G89" s="35"/>
      <c r="H89" s="35"/>
      <c r="I89" s="25" t="s">
        <v>179</v>
      </c>
      <c r="J89" s="35" t="s">
        <v>180</v>
      </c>
      <c r="K89" s="35"/>
      <c r="L89" s="25" t="s">
        <v>83</v>
      </c>
    </row>
    <row r="90" customFormat="false" ht="30.75" hidden="false" customHeight="true" outlineLevel="0" collapsed="false">
      <c r="B90" s="38" t="n">
        <v>46510</v>
      </c>
      <c r="C90" s="32" t="s">
        <v>459</v>
      </c>
      <c r="D90" s="7" t="s">
        <v>460</v>
      </c>
      <c r="E90" s="7"/>
      <c r="F90" s="7"/>
      <c r="G90" s="7"/>
      <c r="H90" s="7"/>
      <c r="I90" s="7" t="s">
        <v>461</v>
      </c>
      <c r="J90" s="7"/>
      <c r="K90" s="7"/>
      <c r="L90" s="13" t="str">
        <f aca="false">IF(E90="","Falta a análise",IF(I90="","Falta quem autorizou","OK"))</f>
        <v>Falta a análise</v>
      </c>
    </row>
    <row r="91" customFormat="false" ht="30.75" hidden="false" customHeight="true" outlineLevel="0" collapsed="false">
      <c r="B91" s="38" t="n">
        <v>46521</v>
      </c>
      <c r="C91" s="32" t="s">
        <v>462</v>
      </c>
      <c r="D91" s="7" t="s">
        <v>463</v>
      </c>
      <c r="E91" s="7" t="s">
        <v>464</v>
      </c>
      <c r="F91" s="7"/>
      <c r="G91" s="7"/>
      <c r="H91" s="7"/>
      <c r="I91" s="7" t="s">
        <v>465</v>
      </c>
      <c r="J91" s="7" t="s">
        <v>466</v>
      </c>
      <c r="K91" s="7"/>
      <c r="L91" s="13" t="str">
        <f aca="false">IF(E91="","Falta a análise",IF(I91="","Falta quem autorizou","OK"))</f>
        <v>OK</v>
      </c>
    </row>
    <row r="93" customFormat="false" ht="21.75" hidden="false" customHeight="true" outlineLevel="0" collapsed="false">
      <c r="B93" s="14" t="s">
        <v>116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</row>
    <row r="94" customFormat="false" ht="21.75" hidden="false" customHeight="true" outlineLevel="0" collapsed="false">
      <c r="B94" s="15" t="s">
        <v>197</v>
      </c>
      <c r="C94" s="15"/>
      <c r="D94" s="15"/>
      <c r="E94" s="16" t="n">
        <f aca="false">COUNTA(D13:D19)</f>
        <v>7</v>
      </c>
      <c r="F94" s="16"/>
      <c r="G94" s="16"/>
      <c r="H94" s="16"/>
      <c r="I94" s="16"/>
      <c r="J94" s="16"/>
      <c r="K94" s="16"/>
      <c r="L94" s="16"/>
    </row>
    <row r="95" customFormat="false" ht="21.75" hidden="false" customHeight="true" outlineLevel="0" collapsed="false">
      <c r="B95" s="15" t="s">
        <v>362</v>
      </c>
      <c r="C95" s="15"/>
      <c r="D95" s="15"/>
      <c r="E95" s="16" t="str">
        <f aca="false">COUNTA(E33:E72)&amp;" lançadas, "&amp;COUNTIF(I33:I72,"Fora")&amp;" fora do critério"</f>
        <v>40 lançadas, 5 fora do critério</v>
      </c>
      <c r="F95" s="16"/>
      <c r="G95" s="16"/>
      <c r="H95" s="16"/>
      <c r="I95" s="16"/>
      <c r="J95" s="16"/>
      <c r="K95" s="16"/>
      <c r="L95" s="16"/>
    </row>
    <row r="96" customFormat="false" ht="21.75" hidden="false" customHeight="true" outlineLevel="0" collapsed="false">
      <c r="B96" s="15" t="s">
        <v>147</v>
      </c>
      <c r="C96" s="15"/>
      <c r="D96" s="15"/>
      <c r="E96" s="41" t="n">
        <f aca="false">COUNTIF(I33:I72,"Dentro")/COUNTA(E33:E72)</f>
        <v>0.875</v>
      </c>
      <c r="F96" s="41"/>
      <c r="G96" s="41"/>
      <c r="H96" s="41"/>
      <c r="I96" s="41"/>
      <c r="J96" s="41"/>
      <c r="K96" s="41"/>
      <c r="L96" s="41"/>
    </row>
    <row r="97" customFormat="false" ht="21.75" hidden="false" customHeight="true" outlineLevel="0" collapsed="false">
      <c r="B97" s="15" t="s">
        <v>20</v>
      </c>
      <c r="C97" s="15"/>
      <c r="D97" s="15"/>
      <c r="E97" s="16" t="n">
        <f aca="false">SUM(G23:G29)</f>
        <v>1</v>
      </c>
      <c r="F97" s="16"/>
      <c r="G97" s="16"/>
      <c r="H97" s="16"/>
      <c r="I97" s="16"/>
      <c r="J97" s="16"/>
      <c r="K97" s="16"/>
      <c r="L97" s="16"/>
    </row>
    <row r="98" customFormat="false" ht="21.75" hidden="false" customHeight="true" outlineLevel="0" collapsed="false">
      <c r="B98" s="15" t="s">
        <v>363</v>
      </c>
      <c r="C98" s="15"/>
      <c r="D98" s="15"/>
      <c r="E98" s="16" t="n">
        <f aca="false">COUNTA(J84:J86)</f>
        <v>1</v>
      </c>
      <c r="F98" s="16"/>
      <c r="G98" s="16"/>
      <c r="H98" s="16"/>
      <c r="I98" s="16"/>
      <c r="J98" s="16"/>
      <c r="K98" s="16"/>
      <c r="L98" s="16"/>
    </row>
    <row r="99" customFormat="false" ht="21.75" hidden="false" customHeight="true" outlineLevel="0" collapsed="false">
      <c r="B99" s="15" t="s">
        <v>207</v>
      </c>
      <c r="C99" s="15"/>
      <c r="D99" s="15"/>
      <c r="E99" s="16" t="str">
        <f aca="false">COUNTA(C90:C91)&amp;" registradas, "&amp;(COUNTA(C90:C91)-COUNTIF(L90:L91,"OK"))&amp;" a rever"</f>
        <v>2 registradas, 1 a rever</v>
      </c>
      <c r="F99" s="16"/>
      <c r="G99" s="16"/>
      <c r="H99" s="16"/>
      <c r="I99" s="16"/>
      <c r="J99" s="16"/>
      <c r="K99" s="16"/>
      <c r="L99" s="16"/>
    </row>
  </sheetData>
  <mergeCells count="134">
    <mergeCell ref="B1:L1"/>
    <mergeCell ref="B2:L2"/>
    <mergeCell ref="B4:C4"/>
    <mergeCell ref="D4:L4"/>
    <mergeCell ref="B5:C5"/>
    <mergeCell ref="D5:L5"/>
    <mergeCell ref="B6:C6"/>
    <mergeCell ref="D6:L6"/>
    <mergeCell ref="B7:C7"/>
    <mergeCell ref="D7:L7"/>
    <mergeCell ref="B8:C8"/>
    <mergeCell ref="D8:L8"/>
    <mergeCell ref="B9:C9"/>
    <mergeCell ref="D9:L9"/>
    <mergeCell ref="B11:L11"/>
    <mergeCell ref="B21:L21"/>
    <mergeCell ref="C22:D22"/>
    <mergeCell ref="G22:H22"/>
    <mergeCell ref="J22:L22"/>
    <mergeCell ref="C23:D23"/>
    <mergeCell ref="G23:H23"/>
    <mergeCell ref="J23:L23"/>
    <mergeCell ref="C24:D24"/>
    <mergeCell ref="G24:H24"/>
    <mergeCell ref="J24:L24"/>
    <mergeCell ref="C25:D25"/>
    <mergeCell ref="G25:H25"/>
    <mergeCell ref="J25:L25"/>
    <mergeCell ref="C26:D26"/>
    <mergeCell ref="G26:H26"/>
    <mergeCell ref="J26:L26"/>
    <mergeCell ref="C27:D27"/>
    <mergeCell ref="G27:H27"/>
    <mergeCell ref="J27:L27"/>
    <mergeCell ref="C28:D28"/>
    <mergeCell ref="G28:H28"/>
    <mergeCell ref="J28:L28"/>
    <mergeCell ref="C29:D29"/>
    <mergeCell ref="G29:H29"/>
    <mergeCell ref="J29:L29"/>
    <mergeCell ref="B31:L31"/>
    <mergeCell ref="J32:L32"/>
    <mergeCell ref="J33:L33"/>
    <mergeCell ref="J34:L34"/>
    <mergeCell ref="J35:L35"/>
    <mergeCell ref="J36:L36"/>
    <mergeCell ref="J37:L37"/>
    <mergeCell ref="J38:L38"/>
    <mergeCell ref="J39:L39"/>
    <mergeCell ref="J40:L40"/>
    <mergeCell ref="J41:L41"/>
    <mergeCell ref="J42:L42"/>
    <mergeCell ref="J43:L43"/>
    <mergeCell ref="J44:L44"/>
    <mergeCell ref="J45:L45"/>
    <mergeCell ref="J46:L46"/>
    <mergeCell ref="J47:L47"/>
    <mergeCell ref="J48:L48"/>
    <mergeCell ref="J49:L49"/>
    <mergeCell ref="J50:L50"/>
    <mergeCell ref="J51:L51"/>
    <mergeCell ref="J52:L52"/>
    <mergeCell ref="J53:L53"/>
    <mergeCell ref="J54:L54"/>
    <mergeCell ref="J55:L55"/>
    <mergeCell ref="J56:L56"/>
    <mergeCell ref="J57:L57"/>
    <mergeCell ref="J58:L58"/>
    <mergeCell ref="J59:L59"/>
    <mergeCell ref="J60:L60"/>
    <mergeCell ref="J61:L61"/>
    <mergeCell ref="J62:L62"/>
    <mergeCell ref="J63:L63"/>
    <mergeCell ref="J64:L64"/>
    <mergeCell ref="J65:L65"/>
    <mergeCell ref="J66:L66"/>
    <mergeCell ref="J67:L67"/>
    <mergeCell ref="J68:L68"/>
    <mergeCell ref="J69:L69"/>
    <mergeCell ref="J70:L70"/>
    <mergeCell ref="J71:L71"/>
    <mergeCell ref="J72:L72"/>
    <mergeCell ref="B74:L74"/>
    <mergeCell ref="E75:H75"/>
    <mergeCell ref="I75:J75"/>
    <mergeCell ref="K75:L75"/>
    <mergeCell ref="E76:H76"/>
    <mergeCell ref="I76:J76"/>
    <mergeCell ref="K76:L76"/>
    <mergeCell ref="E77:H77"/>
    <mergeCell ref="I77:J77"/>
    <mergeCell ref="K77:L77"/>
    <mergeCell ref="E78:H78"/>
    <mergeCell ref="I78:J78"/>
    <mergeCell ref="K78:L78"/>
    <mergeCell ref="E79:H79"/>
    <mergeCell ref="I79:J79"/>
    <mergeCell ref="K79:L79"/>
    <mergeCell ref="E80:H80"/>
    <mergeCell ref="I80:J80"/>
    <mergeCell ref="K80:L80"/>
    <mergeCell ref="B82:L82"/>
    <mergeCell ref="E83:F83"/>
    <mergeCell ref="G83:I83"/>
    <mergeCell ref="J83:L83"/>
    <mergeCell ref="E84:F84"/>
    <mergeCell ref="G84:I84"/>
    <mergeCell ref="J84:L84"/>
    <mergeCell ref="E85:F85"/>
    <mergeCell ref="G85:I85"/>
    <mergeCell ref="J85:L85"/>
    <mergeCell ref="E86:F86"/>
    <mergeCell ref="G86:I86"/>
    <mergeCell ref="J86:L86"/>
    <mergeCell ref="B88:L88"/>
    <mergeCell ref="E89:H89"/>
    <mergeCell ref="J89:K89"/>
    <mergeCell ref="E90:H90"/>
    <mergeCell ref="J90:K90"/>
    <mergeCell ref="E91:H91"/>
    <mergeCell ref="J91:K91"/>
    <mergeCell ref="B93:L93"/>
    <mergeCell ref="B94:D94"/>
    <mergeCell ref="E94:L94"/>
    <mergeCell ref="B95:D95"/>
    <mergeCell ref="E95:L95"/>
    <mergeCell ref="B96:D96"/>
    <mergeCell ref="E96:L96"/>
    <mergeCell ref="B97:D97"/>
    <mergeCell ref="E97:L97"/>
    <mergeCell ref="B98:D98"/>
    <mergeCell ref="E98:L98"/>
    <mergeCell ref="B99:D99"/>
    <mergeCell ref="E99:L99"/>
  </mergeCells>
  <conditionalFormatting sqref="J23:L29">
    <cfRule type="expression" priority="2" aboveAverage="0" equalAverage="0" bottom="0" percent="0" rank="0" text="" dxfId="0">
      <formula>$J23="Dentro do critério"</formula>
    </cfRule>
    <cfRule type="expression" priority="3" aboveAverage="0" equalAverage="0" bottom="0" percent="0" rank="0" text="" dxfId="2">
      <formula>$J23="Um desvio, com reação"</formula>
    </cfRule>
    <cfRule type="expression" priority="4" aboveAverage="0" equalAverage="0" bottom="0" percent="0" rank="0" text="" dxfId="4">
      <formula>$J23="Fora sem reação: cobrar"</formula>
    </cfRule>
    <cfRule type="expression" priority="5" aboveAverage="0" equalAverage="0" bottom="0" percent="0" rank="0" text="" dxfId="4">
      <formula>$J23="Sem registro"</formula>
    </cfRule>
    <cfRule type="expression" priority="6" aboveAverage="0" equalAverage="0" bottom="0" percent="0" rank="0" text="" dxfId="1">
      <formula>LEN($J23)&gt;0</formula>
    </cfRule>
  </conditionalFormatting>
  <conditionalFormatting sqref="I33:I72">
    <cfRule type="expression" priority="7" aboveAverage="0" equalAverage="0" bottom="0" percent="0" rank="0" text="" dxfId="2">
      <formula>I33="Dentro"</formula>
    </cfRule>
    <cfRule type="expression" priority="8" aboveAverage="0" equalAverage="0" bottom="0" percent="0" rank="0" text="" dxfId="3">
      <formula>I33="Fora"</formula>
    </cfRule>
  </conditionalFormatting>
  <conditionalFormatting sqref="L90:L91">
    <cfRule type="expression" priority="9" aboveAverage="0" equalAverage="0" bottom="0" percent="0" rank="0" text="" dxfId="0">
      <formula>OR(L90="OK")</formula>
    </cfRule>
    <cfRule type="expression" priority="10" aboveAverage="0" equalAverage="0" bottom="0" percent="0" rank="0" text="" dxfId="1">
      <formula>AND(LEN(L90)&gt;0,NOT(OR(L90="OK")))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20" man="true" max="16383" min="0"/>
    <brk id="73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2026-10-01T12:11:35Z</dcterms:created>
  <dc:creator>Modelo Produção</dc:creator>
  <dc:description/>
  <dc:language>pt-BR</dc:language>
  <cp:lastModifiedBy/>
  <dcterms:modified xsi:type="dcterms:W3CDTF">2026-10-01T12:11:36Z</dcterms:modified>
  <cp:revision>0</cp:revision>
  <dc:subject/>
  <dc:title>Controle de produção e de serviço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