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artes" sheetId="2" state="visible" r:id="rId4"/>
    <sheet name="Requisitos" sheetId="3" state="visible" r:id="rId5"/>
    <sheet name="Matriz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Pizzaria'!$B$1:$L$49</definedName>
    <definedName function="false" hidden="false" localSheetId="7" name="_xlnm.Print_Area" vbProcedure="false">'Exemplo 2 - Indústria'!$B$1:$L$50</definedName>
    <definedName function="false" hidden="false" localSheetId="0" name="_xlnm.Print_Area" vbProcedure="false">Instruções!$B$1:$C$41</definedName>
    <definedName function="false" hidden="false" localSheetId="3" name="_xlnm.Print_Area" vbProcedure="false">Matriz!$B$1:$H$26</definedName>
    <definedName function="false" hidden="false" localSheetId="4" name="_xlnm.Print_Area" vbProcedure="false">Painel!$B$1:$K$56</definedName>
    <definedName function="false" hidden="false" localSheetId="1" name="_xlnm.Print_Area" vbProcedure="false">Partes!$B$1:$M$28</definedName>
    <definedName function="false" hidden="false" localSheetId="2" name="_xlnm.Print_Area" vbProcedure="false">Requisitos!$B$1:$M$54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8" authorId="0">
      <text>
        <r>
          <rPr>
            <sz val="10"/>
            <rFont val="Arial"/>
            <family val="2"/>
          </rPr>
          <t xml:space="preserve">Escreva o nome concreto: “Vigilância sanitária”, e não “Governo”. Agrupe as partes que esperam a mesma coisa.</t>
        </r>
      </text>
    </comment>
    <comment ref="F8" authorId="0">
      <text>
        <r>
          <rPr>
            <sz val="10"/>
            <rFont val="Arial"/>
            <family val="2"/>
          </rPr>
          <t xml:space="preserve">O quanto a parte pode ajudar ou parar a operação. 5: pode parar ou tirar a maior parte da receita. 1: sem efeito prático.</t>
        </r>
      </text>
    </comment>
    <comment ref="G8" authorId="0">
      <text>
        <r>
          <rPr>
            <sz val="10"/>
            <rFont val="Arial"/>
            <family val="2"/>
          </rPr>
          <t xml:space="preserve">O quanto a parte acompanha e cobra. 5: acompanha todos os dias. 1: não acompanha.</t>
        </r>
      </text>
    </comment>
    <comment ref="H8" authorId="0">
      <text>
        <r>
          <rPr>
            <sz val="10"/>
            <rFont val="Arial"/>
            <family val="2"/>
          </rPr>
          <t xml:space="preserve">Com “Sim”, a parte é pertinente mesmo com notas baixas, e precisa de requisito na aba Requisitos.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Escreva de modo que dê para saber se foi atendido: “Receber o pedido em até 40 minutos”, e não “Qualidade”.</t>
        </r>
      </text>
    </comment>
    <comment ref="F4" authorId="0">
      <text>
        <r>
          <rPr>
            <sz val="10"/>
            <rFont val="Arial"/>
            <family val="2"/>
          </rPr>
          <t xml:space="preserve">Requisito legal ou contratual é sempre “Sim”. A expectativa pode ser “Não”, com a justificativa na coluna ao lado.</t>
        </r>
      </text>
    </comment>
    <comment ref="H4" authorId="0">
      <text>
        <r>
          <rPr>
            <sz val="10"/>
            <rFont val="Arial"/>
            <family val="2"/>
          </rPr>
          <t xml:space="preserve">A fonte e a frequência: “Entregas em até 40 minutos, todo mês”, “Controle de vencimentos, todo mês”.</t>
        </r>
      </text>
    </comment>
  </commentList>
</comments>
</file>

<file path=xl/sharedStrings.xml><?xml version="1.0" encoding="utf-8"?>
<sst xmlns="http://schemas.openxmlformats.org/spreadsheetml/2006/main" count="787" uniqueCount="397">
  <si>
    <t xml:space="preserve">Partes interessadas — Como usar esta planilha</t>
  </si>
  <si>
    <t xml:space="preserve">Modelo para listar as partes interessadas, avaliar a influência e o interesse, registrar os requisitos e acompanhar o atendimento.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</si>
  <si>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</si>
  <si>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</si>
  <si>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</si>
  <si>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</si>
  <si>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estratégias, conferências,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</si>
  <si>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</si>
  <si>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</si>
  <si>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</si>
  <si>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Grupo, requisito legal, parte, tipo, adotado, situação e status aceitam apenas as opções da lista. As notas aceitam números de 1 a 5.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</si>
  <si>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</si>
  <si>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</si>
  <si>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</si>
  <si>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Notas</t>
  </si>
  <si>
    <t xml:space="preserve">Influência: o quanto a parte pode ajudar ou parar a operação. Interesse: o quanto ela acompanha e cobra. De 1 a 5. Nota 4 ou 5 conta como alta.</t>
  </si>
  <si>
    <t xml:space="preserve">Estratégia</t>
  </si>
  <si>
    <t xml:space="preserve">Influência alta e interesse alto: gerir de perto. Influência alta e interesse baixo: manter satisfeito. Influência baixa e interesse alto: manter informado. As duas baixas: monitorar.</t>
  </si>
  <si>
    <t xml:space="preserve">Pertinente</t>
  </si>
  <si>
    <t xml:space="preserve">É pertinente ao sistema a parte que fica fora do quadrante de monitorar, e a que tem requisito legal. Toda parte pertinente pede pelo menos um requisito.</t>
  </si>
  <si>
    <t xml:space="preserve">Tipo do requisito</t>
  </si>
  <si>
    <t xml:space="preserve">Legal: vem de lei, regulamento ou licença. Contratual: vem de contrato, pedido ou promessa. Expectativa: a organização decide se adota.</t>
  </si>
  <si>
    <t xml:space="preserve">Atendimento</t>
  </si>
  <si>
    <t xml:space="preserve">Pontos dos requisitos adotados: 1 para atende, 0,5 para atende em parte, 0 para não atende. Atendimento = pontos ÷ requisitos adotados.</t>
  </si>
  <si>
    <t xml:space="preserve">Ações</t>
  </si>
  <si>
    <t xml:space="preserve">Todo requisito adotado que não atende por completo pede ação, responsável e prazo. A ação vencida é a que tem prazo anterior à data da análise.</t>
  </si>
  <si>
    <t xml:space="preserve">Ordem recomendada de preenchimento</t>
  </si>
  <si>
    <t xml:space="preserve">Passo 1</t>
  </si>
  <si>
    <t xml:space="preserve">Aba Partes: liste as partes, grupo por grupo, e escreva por que cada uma importa. Dê as notas e marque as que têm requisito legal.</t>
  </si>
  <si>
    <t xml:space="preserve">Passo 2</t>
  </si>
  <si>
    <t xml:space="preserve">Aba Partes: para cada parte pertinente, escreva o canal de relacionamento e quem cuida dele.</t>
  </si>
  <si>
    <t xml:space="preserve">Passo 3</t>
  </si>
  <si>
    <t xml:space="preserve">Aba Requisitos: escreva o que cada parte pertinente espera, com o tipo. Decida se cada expectativa é adotada.</t>
  </si>
  <si>
    <t xml:space="preserve">Passo 4</t>
  </si>
  <si>
    <t xml:space="preserve">Aba Requisitos: ligue cada requisito adotado a um processo e a uma forma de monitorar. Avalie a situação e defina as ações.</t>
  </si>
  <si>
    <t xml:space="preserve">Passo 5</t>
  </si>
  <si>
    <t xml:space="preserve">Abas Matriz e Painel: leia quem está em cada quadrante e que parte é atendida pior.</t>
  </si>
  <si>
    <t xml:space="preserve">Passo 6</t>
  </si>
  <si>
    <t xml:space="preserve">Aba Checklist: valide a análise.</t>
  </si>
  <si>
    <t xml:space="preserve">Abas da planilha</t>
  </si>
  <si>
    <t xml:space="preserve">Partes</t>
  </si>
  <si>
    <t xml:space="preserve">Até 12 partes interessadas, com grupo, motivo, notas, canal e quem cuida. Calcula a estratégia e a pertinência.</t>
  </si>
  <si>
    <t xml:space="preserve">Requisitos</t>
  </si>
  <si>
    <t xml:space="preserve">Até 40 requisitos, com tipo, decisão, processo, monitoramento, situação e ação. Confere cada linha.</t>
  </si>
  <si>
    <t xml:space="preserve">Matriz</t>
  </si>
  <si>
    <t xml:space="preserve">A grade de influência e interesse, com a contagem de partes, e as partes de cada estratégia.</t>
  </si>
  <si>
    <t xml:space="preserve">Painel</t>
  </si>
  <si>
    <t xml:space="preserve">Os indicadores gerais, os requisitos e o atendimento de cada parte, e o gráfico.</t>
  </si>
  <si>
    <t xml:space="preserve">Checklist</t>
  </si>
  <si>
    <t xml:space="preserve">Doze verificações de qualidade da análise, com percentual de conclusão.</t>
  </si>
  <si>
    <t xml:space="preserve">Exemplo 1 - Pizzaria</t>
  </si>
  <si>
    <t xml:space="preserve">As onze partes e os dezesseis requisitos da loja.</t>
  </si>
  <si>
    <t xml:space="preserve">Exemplo 2 - Indústria</t>
  </si>
  <si>
    <t xml:space="preserve">As doze partes e os dezesseis requisitos da fábrica.</t>
  </si>
  <si>
    <t xml:space="preserve">Regras e premissas do modelo</t>
  </si>
  <si>
    <t xml:space="preserve">Nome da parte</t>
  </si>
  <si>
    <t xml:space="preserve">Na aba Requisitos, a parte é escolhida na lista da aba Partes. Se o nome mudar na aba Partes, escolha de novo na aba Requisitos.</t>
  </si>
  <si>
    <t xml:space="preserve">Partes parecidas</t>
  </si>
  <si>
    <t xml:space="preserve">O modelo aceita 12 partes. Agrupe as que esperam a mesma coisa: “clientes de alimentos”, e não um cliente por linha.</t>
  </si>
  <si>
    <t xml:space="preserve">Expectativa recusada</t>
  </si>
  <si>
    <t xml:space="preserve">Registre também a expectativa que não foi adotada, com o motivo na coluna “Como atende, ou por que não adota”.</t>
  </si>
  <si>
    <t xml:space="preserve">Exemplos</t>
  </si>
  <si>
    <t xml:space="preserve">Os dados das abas de exemplo são ilustrativos, criados para este material.</t>
  </si>
  <si>
    <t xml:space="preserve">Partes interessadas</t>
  </si>
  <si>
    <t xml:space="preserve">Liste quem afeta a organização e quem é afetado por ela. A estratégia e a pertinência saem das notas.</t>
  </si>
  <si>
    <t xml:space="preserve">Organização</t>
  </si>
  <si>
    <t xml:space="preserve">Data e responsáveis pela análise</t>
  </si>
  <si>
    <t xml:space="preserve">Escopo: o que a análise cobre</t>
  </si>
  <si>
    <t xml:space="preserve">#</t>
  </si>
  <si>
    <t xml:space="preserve">Parte interessada</t>
  </si>
  <si>
    <t xml:space="preserve">Grupo</t>
  </si>
  <si>
    <t xml:space="preserve">Por que importa</t>
  </si>
  <si>
    <t xml:space="preserve">Influência</t>
  </si>
  <si>
    <t xml:space="preserve">Interesse</t>
  </si>
  <si>
    <t xml:space="preserve">Requisito legal?</t>
  </si>
  <si>
    <t xml:space="preserve">Relacionamento: canal e frequência</t>
  </si>
  <si>
    <t xml:space="preserve">Quem cuida</t>
  </si>
  <si>
    <t xml:space="preserve">Conferência</t>
  </si>
  <si>
    <t xml:space="preserve">Chave: não altere</t>
  </si>
  <si>
    <t xml:space="preserve">Nome concreto</t>
  </si>
  <si>
    <t xml:space="preserve">Escolha na lista</t>
  </si>
  <si>
    <t xml:space="preserve">Como afeta, ou como é afetada</t>
  </si>
  <si>
    <t xml:space="preserve">1 a 5</t>
  </si>
  <si>
    <t xml:space="preserve">Sim ou Não</t>
  </si>
  <si>
    <t xml:space="preserve">Calculada</t>
  </si>
  <si>
    <t xml:space="preserve">Para as partes pertinentes</t>
  </si>
  <si>
    <t xml:space="preserve">Função</t>
  </si>
  <si>
    <t xml:space="preserve">Ex.</t>
  </si>
  <si>
    <t xml:space="preserve">Vigilância sanitária</t>
  </si>
  <si>
    <t xml:space="preserve">Regulador</t>
  </si>
  <si>
    <t xml:space="preserve">Licencia e fiscaliza. Pode interditar a loja.</t>
  </si>
  <si>
    <t xml:space="preserve">Sim</t>
  </si>
  <si>
    <t xml:space="preserve">Manter satisfeito</t>
  </si>
  <si>
    <t xml:space="preserve">Renovação anual da licença e visitas de fiscalização.</t>
  </si>
  <si>
    <t xml:space="preserve">Gerente da loja</t>
  </si>
  <si>
    <t xml:space="preserve">OK</t>
  </si>
  <si>
    <t xml:space="preserve">Resumo automático</t>
  </si>
  <si>
    <t xml:space="preserve">Partes listadas</t>
  </si>
  <si>
    <t xml:space="preserve">Partes pertinentes ao sistema</t>
  </si>
  <si>
    <t xml:space="preserve">Por estratégia</t>
  </si>
  <si>
    <t xml:space="preserve">Aviso</t>
  </si>
  <si>
    <t xml:space="preserve">Requisitos das partes interessadas</t>
  </si>
  <si>
    <t xml:space="preserve">Uma linha por necessidade ou expectativa. O que é legal ou contratual entra sempre. A expectativa entra por decisão.</t>
  </si>
  <si>
    <t xml:space="preserve">O que espera</t>
  </si>
  <si>
    <t xml:space="preserve">Tipo</t>
  </si>
  <si>
    <t xml:space="preserve">Adotado?</t>
  </si>
  <si>
    <t xml:space="preserve">Como atende, ou por que não adota</t>
  </si>
  <si>
    <t xml:space="preserve">Como se monitora</t>
  </si>
  <si>
    <t xml:space="preserve">Situação</t>
  </si>
  <si>
    <t xml:space="preserve">Ação</t>
  </si>
  <si>
    <t xml:space="preserve">Responsável</t>
  </si>
  <si>
    <t xml:space="preserve">Prazo</t>
  </si>
  <si>
    <t xml:space="preserve">Da lista da aba Partes</t>
  </si>
  <si>
    <t xml:space="preserve">Com verbo e critério</t>
  </si>
  <si>
    <t xml:space="preserve">Processo ou documento, ou a justificativa</t>
  </si>
  <si>
    <t xml:space="preserve">Fonte e frequência</t>
  </si>
  <si>
    <t xml:space="preserve">Se não atende por completo</t>
  </si>
  <si>
    <t xml:space="preserve">Data</t>
  </si>
  <si>
    <t xml:space="preserve">Manter a licença sanitária válida.</t>
  </si>
  <si>
    <t xml:space="preserve">Legal</t>
  </si>
  <si>
    <t xml:space="preserve">Renovação protocolada em 09/10/2026.</t>
  </si>
  <si>
    <t xml:space="preserve">Controle de vencimentos das licenças, todo mês.</t>
  </si>
  <si>
    <t xml:space="preserve">Atende em parte</t>
  </si>
  <si>
    <t xml:space="preserve">Acompanhar o protocolo até a emissão da licença.</t>
  </si>
  <si>
    <t xml:space="preserve">Requisitos levantados</t>
  </si>
  <si>
    <t xml:space="preserve">Requisitos adotados</t>
  </si>
  <si>
    <t xml:space="preserve">Expectativas não adotadas</t>
  </si>
  <si>
    <t xml:space="preserve">Atendimento dos requisitos adotados</t>
  </si>
  <si>
    <t xml:space="preserve">Ações abertas</t>
  </si>
  <si>
    <t xml:space="preserve">Matriz de influência e interesse</t>
  </si>
  <si>
    <t xml:space="preserve">Quantas partes há em cada célula. A cor mostra a estratégia. Tudo vem da aba Partes.</t>
  </si>
  <si>
    <t xml:space="preserve">INTERESSE →</t>
  </si>
  <si>
    <t xml:space="preserve">INFLUÊNCIA ↓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</si>
  <si>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</si>
  <si>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</si>
  <si>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</si>
  <si>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</si>
  <si>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</si>
  <si>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Alta</t>
  </si>
  <si>
    <t xml:space="preserve">Baixa</t>
  </si>
  <si>
    <t xml:space="preserve">Baixo</t>
  </si>
  <si>
    <t xml:space="preserve">Alto</t>
  </si>
  <si>
    <t xml:space="preserve">As partes de cada estratégia</t>
  </si>
  <si>
    <t xml:space="preserve">Quem são</t>
  </si>
  <si>
    <t xml:space="preserve">Gerir de perto</t>
  </si>
  <si>
    <t xml:space="preserve">Manter informado</t>
  </si>
  <si>
    <t xml:space="preserve">Monitorar</t>
  </si>
  <si>
    <t xml:space="preserve">O que fazer em cada estratégia</t>
  </si>
  <si>
    <t xml:space="preserve">Influência alta e interesse alto. Reunir, combinar os requisitos e acompanhar de perto.</t>
  </si>
  <si>
    <t xml:space="preserve">Influência alta e interesse baixo. Cumprir o que exige, sem surpresas. Contato pontual.</t>
  </si>
  <si>
    <t xml:space="preserve">Influência baixa e interesse alto. Contar o que muda e ouvir. Pode virar aliada ou reclamante.</t>
  </si>
  <si>
    <t xml:space="preserve">Influência baixa e interesse baixo. Listar e rever uma vez por ano. Sem requisito no sistema.</t>
  </si>
  <si>
    <t xml:space="preserve">Painel das partes interessadas</t>
  </si>
  <si>
    <t xml:space="preserve">Os indicadores gerais e o atendimento de cada parte. Informe só a data da análise.</t>
  </si>
  <si>
    <t xml:space="preserve">Data da análise</t>
  </si>
  <si>
    <t xml:space="preserve">Usada para contar as ações vencidas.</t>
  </si>
  <si>
    <t xml:space="preserve">Indicador</t>
  </si>
  <si>
    <t xml:space="preserve">Resultado</t>
  </si>
  <si>
    <t xml:space="preserve">Como se lê</t>
  </si>
  <si>
    <t xml:space="preserve">Todas as partes da aba Partes.</t>
  </si>
  <si>
    <t xml:space="preserve">Fora do quadrante de monitorar, ou com requisito legal.</t>
  </si>
  <si>
    <t xml:space="preserve">Partes pertinentes sem requisito</t>
  </si>
  <si>
    <t xml:space="preserve">Deve ser zero: toda parte pertinente pede um requisito.</t>
  </si>
  <si>
    <t xml:space="preserve">Legais, contratuais e expectativas adotadas.</t>
  </si>
  <si>
    <t xml:space="preserve">Atendimento geral</t>
  </si>
  <si>
    <t xml:space="preserve">Atende vale 1, atende em parte vale 0,5.</t>
  </si>
  <si>
    <t xml:space="preserve">Requisitos legais atendidos por completo</t>
  </si>
  <si>
    <t xml:space="preserve">O legal em parte tem prazo correndo: acompanhe de perto.</t>
  </si>
  <si>
    <t xml:space="preserve">Requisitos adotados que não atendem por completo.</t>
  </si>
  <si>
    <t xml:space="preserve">Ações vencidas</t>
  </si>
  <si>
    <t xml:space="preserve">Prazo anterior à data da análise.</t>
  </si>
  <si>
    <t xml:space="preserve">Requisitos e atendimento por parte</t>
  </si>
  <si>
    <t xml:space="preserve">Atende</t>
  </si>
  <si>
    <t xml:space="preserve">Em parte</t>
  </si>
  <si>
    <t xml:space="preserve">Não atende</t>
  </si>
  <si>
    <t xml:space="preserve">Leitura</t>
  </si>
  <si>
    <t xml:space="preserve">Parte com o menor atendimento</t>
  </si>
  <si>
    <t xml:space="preserve">Checklist das partes interessadas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</si>
  <si>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</si>
  <si>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</si>
  <si>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</si>
  <si>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</si>
  <si>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A lista cobre os grupos: clientes, colaboradores, fornecedores e parceiros, reguladores, proprietários e sociedade.</t>
  </si>
  <si>
    <t xml:space="preserve">Cada parte tem nota de influência e de interesse, dada pela equipe, com o motivo escrito.</t>
  </si>
  <si>
    <t xml:space="preserve">As partes pertinentes ao sistema estão separadas das que são só monitoradas.</t>
  </si>
  <si>
    <t xml:space="preserve">Cada parte pertinente tem pelo menos um requisito escrito, com verbo e critério.</t>
  </si>
  <si>
    <t xml:space="preserve">Os requisitos legais e contratuais estão identificados e foram todos adotados.</t>
  </si>
  <si>
    <t xml:space="preserve">Cada expectativa tem decisão registrada: adotada, ou não adotada, com a justificativa.</t>
  </si>
  <si>
    <t xml:space="preserve">Cada requisito adotado está ligado a um processo ou a um documento que o atende.</t>
  </si>
  <si>
    <t xml:space="preserve">Cada requisito adotado tem uma forma de monitoramento, com fonte e frequência.</t>
  </si>
  <si>
    <t xml:space="preserve">A situação de cada requisito está avaliada, e o que não atende tem ação, responsável e prazo.</t>
  </si>
  <si>
    <t xml:space="preserve">Cada parte pertinente tem um canal de relacionamento e alguém que cuida dele.</t>
  </si>
  <si>
    <t xml:space="preserve">A lista alimentou a Matriz SWOT, a Matriz de riscos e o escopo do sistema.</t>
  </si>
  <si>
    <t xml:space="preserve">A lista tem data de revisão, e o resultado vai à análise crítica pela direção.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</si>
  <si>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</si>
  <si>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</si>
  <si>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</si>
  <si>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</si>
  <si>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</si>
  <si>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as abas Partes e Requisitos para a sua organização.</t>
  </si>
  <si>
    <t xml:space="preserve">Pizzaria (loja com salão e delivery)</t>
  </si>
  <si>
    <t xml:space="preserve">Data e responsáveis</t>
  </si>
  <si>
    <t xml:space="preserve">23/10/2026. Gerente da loja, com os três líderes.</t>
  </si>
  <si>
    <t xml:space="preserve">Escopo</t>
  </si>
  <si>
    <t xml:space="preserve">A loja inteira: salão, produção e delivery.</t>
  </si>
  <si>
    <t xml:space="preserve">Origem</t>
  </si>
  <si>
    <t xml:space="preserve">Diagnóstico da ISO 9001 de 02/10/2026, requisito 4.2: incluir entregadores e fornecedores, com o que cada um espera.</t>
  </si>
  <si>
    <t xml:space="preserve">Revisão</t>
  </si>
  <si>
    <t xml:space="preserve">Uma vez por ano, em outubro, e sempre que uma parte mudar de posição.</t>
  </si>
  <si>
    <t xml:space="preserve">Clientes</t>
  </si>
  <si>
    <t xml:space="preserve">Compram, avaliam no aplicativo e decidem se voltam.</t>
  </si>
  <si>
    <t xml:space="preserve">Pedidos, reclamações e avaliações do aplicativo, todos os dias.</t>
  </si>
  <si>
    <t xml:space="preserve">Atendente líder</t>
  </si>
  <si>
    <t xml:space="preserve">Cliente</t>
  </si>
  <si>
    <t xml:space="preserve">Não</t>
  </si>
  <si>
    <t xml:space="preserve">Sócios</t>
  </si>
  <si>
    <t xml:space="preserve">Definem o investimento e esperam resultado.</t>
  </si>
  <si>
    <t xml:space="preserve">Reunião mensal de resultados.</t>
  </si>
  <si>
    <t xml:space="preserve">Proprietário ou investidor</t>
  </si>
  <si>
    <t xml:space="preserve">Equipe da loja</t>
  </si>
  <si>
    <t xml:space="preserve">Produz, atende e embala. Sem ela não há pedido certo.</t>
  </si>
  <si>
    <t xml:space="preserve">Reunião semanal e quadro de avisos.</t>
  </si>
  <si>
    <t xml:space="preserve">Colaborador</t>
  </si>
  <si>
    <t xml:space="preserve">Entregadores</t>
  </si>
  <si>
    <t xml:space="preserve">Levam o pedido ao cliente. São a loja na porta de quem comprou.</t>
  </si>
  <si>
    <t xml:space="preserve">Conversa no início do turno e grupo de mensagens.</t>
  </si>
  <si>
    <t xml:space="preserve">Líder da expedição</t>
  </si>
  <si>
    <t xml:space="preserve">Fornecedor ou parceiro</t>
  </si>
  <si>
    <t xml:space="preserve">Prefeitura e Corpo de Bombeiros</t>
  </si>
  <si>
    <t xml:space="preserve">Emitem o alvará e o auto de vistoria.</t>
  </si>
  <si>
    <t xml:space="preserve">Renovações, nas datas de vencimento.</t>
  </si>
  <si>
    <t xml:space="preserve">Aplicativo de delivery</t>
  </si>
  <si>
    <t xml:space="preserve">Traz mais da metade dos pedidos e define a taxa e as regras.</t>
  </si>
  <si>
    <t xml:space="preserve">Painel do parceiro, toda semana.</t>
  </si>
  <si>
    <t xml:space="preserve">Fornecedores de insumos</t>
  </si>
  <si>
    <t xml:space="preserve">Entregam queijo, farinha e embalagens. A falta para a produção.</t>
  </si>
  <si>
    <t xml:space="preserve">Pedido semanal e avaliação a cada semestre.</t>
  </si>
  <si>
    <t xml:space="preserve">Pizzaiolo líder</t>
  </si>
  <si>
    <t xml:space="preserve">Vizinhos da loja</t>
  </si>
  <si>
    <t xml:space="preserve">Convivem com o movimento, o ruído e as motos.</t>
  </si>
  <si>
    <t xml:space="preserve">Conversa direta e telefone da gerência na porta.</t>
  </si>
  <si>
    <t xml:space="preserve">Sociedade</t>
  </si>
  <si>
    <t xml:space="preserve">Portarias dos condomínios atendidos</t>
  </si>
  <si>
    <t xml:space="preserve">Recebem o entregador e definem como o pedido sobe.</t>
  </si>
  <si>
    <t xml:space="preserve">—</t>
  </si>
  <si>
    <t xml:space="preserve">Concorrentes do bairro</t>
  </si>
  <si>
    <t xml:space="preserve">Disputam o mesmo cliente. Não têm requisito sobre a loja.</t>
  </si>
  <si>
    <t xml:space="preserve">Outro</t>
  </si>
  <si>
    <t xml:space="preserve">Receber o pedido em até 40 minutos.</t>
  </si>
  <si>
    <t xml:space="preserve">Contratual</t>
  </si>
  <si>
    <t xml:space="preserve">Processo de delivery, com escala reforçada no pico e agrupamento por zona.</t>
  </si>
  <si>
    <t xml:space="preserve">Entregas em até 40 minutos, todo mês.</t>
  </si>
  <si>
    <t xml:space="preserve">Receber a pizza quente e o pedido certo, na primeira vez.</t>
  </si>
  <si>
    <t xml:space="preserve">Expectativa</t>
  </si>
  <si>
    <t xml:space="preserve">Conferência do pedido antes de embalar, com etiqueta rubricada.</t>
  </si>
  <si>
    <t xml:space="preserve">Pedidos refeitos por erro, todo mês.</t>
  </si>
  <si>
    <t xml:space="preserve">Analisar a alta dos pedidos refeitos desde a troca do sistema de pedidos.</t>
  </si>
  <si>
    <t xml:space="preserve">Ter um canal para reclamar e receber resposta.</t>
  </si>
  <si>
    <t xml:space="preserve">Registro de reclamações do site, do aplicativo e do telefone.</t>
  </si>
  <si>
    <t xml:space="preserve">Reclamações por 100 pedidos, todo mês.</t>
  </si>
  <si>
    <t xml:space="preserve">Medir a satisfação, e não só a reclamação: propor a pesquisa na análise crítica.</t>
  </si>
  <si>
    <t xml:space="preserve">Recuperar a margem do delivery, que caiu com a taxa do aplicativo.</t>
  </si>
  <si>
    <t xml:space="preserve">Ciclo PDCA da margem do delivery, aberto em 09/10/2026.</t>
  </si>
  <si>
    <t xml:space="preserve">Margem do delivery, todo mês, na reunião de resultados.</t>
  </si>
  <si>
    <t xml:space="preserve">Concluir o ciclo PDCA e levar o resultado aos sócios.</t>
  </si>
  <si>
    <t xml:space="preserve">Salário em dia, registro e condições seguras de trabalho.</t>
  </si>
  <si>
    <t xml:space="preserve">Folha de pagamento e rotina de segurança da cozinha.</t>
  </si>
  <si>
    <t xml:space="preserve">Conferência da folha, todo mês, e inspeção de segurança, a cada trimestre.</t>
  </si>
  <si>
    <t xml:space="preserve">Saber o que se espera da função e ser treinada para ela.</t>
  </si>
  <si>
    <t xml:space="preserve">Instruções de trabalho nos postos e treinamento na admissão.</t>
  </si>
  <si>
    <t xml:space="preserve">Registros de treinamento, a cada admissão.</t>
  </si>
  <si>
    <t xml:space="preserve">Montar a matriz de competências da loja.</t>
  </si>
  <si>
    <t xml:space="preserve">Receber por entrega, no dia combinado.</t>
  </si>
  <si>
    <t xml:space="preserve">Fechamento semanal das entregas.</t>
  </si>
  <si>
    <t xml:space="preserve">Conferência do fechamento, toda segunda-feira.</t>
  </si>
  <si>
    <t xml:space="preserve">Sair com o pedido pronto, a rota agrupada e o endereço completo.</t>
  </si>
  <si>
    <t xml:space="preserve">Instrução da expedição e campo de complemento obrigatório.</t>
  </si>
  <si>
    <t xml:space="preserve">Atrasos por motivo, na folha de verificação.</t>
  </si>
  <si>
    <t xml:space="preserve">Conhecer a escala com antecedência.</t>
  </si>
  <si>
    <t xml:space="preserve">Escala avisada na véspera, pelo grupo de mensagens.</t>
  </si>
  <si>
    <t xml:space="preserve">Saídas de entregadores, a cada trimestre.</t>
  </si>
  <si>
    <t xml:space="preserve">Publicar a escala da semana toda sexta-feira.</t>
  </si>
  <si>
    <t xml:space="preserve">Cumprir as boas práticas de manipulação: temperatura, higiene e controle de pragas.</t>
  </si>
  <si>
    <t xml:space="preserve">Manual de boas práticas e registro de temperatura, duas vezes por turno.</t>
  </si>
  <si>
    <t xml:space="preserve">Registros de temperatura, conferidos toda semana.</t>
  </si>
  <si>
    <t xml:space="preserve">Manter o alvará de funcionamento e o auto de vistoria válidos.</t>
  </si>
  <si>
    <t xml:space="preserve">Documentos afixados na loja, com vencimento em 2027.</t>
  </si>
  <si>
    <t xml:space="preserve">Aceitar o pedido em até 3 minutos e manter a nota mínima da loja.</t>
  </si>
  <si>
    <t xml:space="preserve">Tela de pedidos no balcão, com alerta sonoro.</t>
  </si>
  <si>
    <t xml:space="preserve">Receber o pedido da semana até quarta-feira e o pagamento no prazo.</t>
  </si>
  <si>
    <t xml:space="preserve">Rotina de compras do pizzaiolo líder.</t>
  </si>
  <si>
    <t xml:space="preserve">Pedidos fora do dia e pagamentos em atraso, todo mês.</t>
  </si>
  <si>
    <t xml:space="preserve">Motos desligadas na espera e fora da calçada.</t>
  </si>
  <si>
    <t xml:space="preserve">Área de espera marcada no recuo da loja.</t>
  </si>
  <si>
    <t xml:space="preserve">Reclamações de vizinhos, registradas pela gerência.</t>
  </si>
  <si>
    <t xml:space="preserve">Encerrar as entregas às 22h.</t>
  </si>
  <si>
    <t xml:space="preserve">O alvará permite funcionar até a meia-noite, e um terço dos pedidos de sexta e de sábado entra depois das 22h. A loja adotou o requisito do ruído.</t>
  </si>
  <si>
    <t xml:space="preserve">Partes listadas e pertinentes</t>
  </si>
  <si>
    <t xml:space="preserve">Partes em gerir de perto</t>
  </si>
  <si>
    <t xml:space="preserve">Requisitos levantados e adotados</t>
  </si>
  <si>
    <t xml:space="preserve">Indústria de embalagens plásticas</t>
  </si>
  <si>
    <t xml:space="preserve">20/01/2027. Coordenador da Qualidade, com os gerentes e a direção.</t>
  </si>
  <si>
    <t xml:space="preserve">A fábrica inteira: extrusão, impressão, corte e expedição.</t>
  </si>
  <si>
    <t xml:space="preserve">Revisão anual, em preparação para a análise crítica de 18/02/2027.</t>
  </si>
  <si>
    <t xml:space="preserve">Uma vez por ano, em janeiro, antes da análise crítica.</t>
  </si>
  <si>
    <t xml:space="preserve">Clientes de alimentos</t>
  </si>
  <si>
    <t xml:space="preserve">Compram a maior parte do volume e respondem pela embalagem perante o consumidor.</t>
  </si>
  <si>
    <t xml:space="preserve">Visitas do comercial, pesquisa anual e reclamações.</t>
  </si>
  <si>
    <t xml:space="preserve">Gerente comercial</t>
  </si>
  <si>
    <t xml:space="preserve">Clientes de cosméticos e industriais</t>
  </si>
  <si>
    <t xml:space="preserve">Exigem impressão no padrão e pedem embalagem com material reciclado.</t>
  </si>
  <si>
    <t xml:space="preserve">Direção e acionistas</t>
  </si>
  <si>
    <t xml:space="preserve">Aprovam os recursos e definem a estratégia.</t>
  </si>
  <si>
    <t xml:space="preserve">Análise crítica a cada semestre e reunião mensal de resultados.</t>
  </si>
  <si>
    <t xml:space="preserve">Coordenador da Qualidade</t>
  </si>
  <si>
    <t xml:space="preserve">Colaboradores</t>
  </si>
  <si>
    <t xml:space="preserve">Operam as extrusoras e a impressão. A segurança deles é obrigação legal.</t>
  </si>
  <si>
    <t xml:space="preserve">Reunião de turno, mural e pesquisa de clima anual.</t>
  </si>
  <si>
    <t xml:space="preserve">RH</t>
  </si>
  <si>
    <t xml:space="preserve">Autoridade sanitária</t>
  </si>
  <si>
    <t xml:space="preserve">Regula os materiais que entram em contato com alimentos.</t>
  </si>
  <si>
    <t xml:space="preserve">Acompanhamento das normas, a cada trimestre.</t>
  </si>
  <si>
    <t xml:space="preserve">Órgão ambiental</t>
  </si>
  <si>
    <t xml:space="preserve">Emite a licença de operação e fiscaliza os resíduos.</t>
  </si>
  <si>
    <t xml:space="preserve">Renovação da licença e relatórios anuais.</t>
  </si>
  <si>
    <t xml:space="preserve">Gerente industrial</t>
  </si>
  <si>
    <t xml:space="preserve">Fornecedores de resina</t>
  </si>
  <si>
    <t xml:space="preserve">A resina de polietileno tem fornecedor único.</t>
  </si>
  <si>
    <t xml:space="preserve">Previsão trimestral e avaliação a cada semestre.</t>
  </si>
  <si>
    <t xml:space="preserve">Gerente de Suprimentos</t>
  </si>
  <si>
    <t xml:space="preserve">Organismo de certificação</t>
  </si>
  <si>
    <t xml:space="preserve">Fará a auditoria de certificação, que dois grandes clientes passaram a exigir.</t>
  </si>
  <si>
    <t xml:space="preserve">Contratação prevista para 2027 e contato do Coordenador da Qualidade.</t>
  </si>
  <si>
    <t xml:space="preserve">Transportadoras</t>
  </si>
  <si>
    <t xml:space="preserve">Levam o produto ao cliente. O atraso delas é atraso da fábrica.</t>
  </si>
  <si>
    <t xml:space="preserve">Agendamento diário e reunião a cada semestre.</t>
  </si>
  <si>
    <t xml:space="preserve">Comunidade vizinha</t>
  </si>
  <si>
    <t xml:space="preserve">Convive com o tráfego de caminhões e com o ruído do turno da noite.</t>
  </si>
  <si>
    <t xml:space="preserve">Telefone da portaria e reunião anual com a associação do bairro.</t>
  </si>
  <si>
    <t xml:space="preserve">Sindicato da categoria</t>
  </si>
  <si>
    <t xml:space="preserve">Negocia o acordo coletivo uma vez por ano.</t>
  </si>
  <si>
    <t xml:space="preserve">Bancos e seguradora</t>
  </si>
  <si>
    <t xml:space="preserve">Financiam e seguram o patrimônio. Não têm requisito sobre o produto.</t>
  </si>
  <si>
    <t xml:space="preserve">Filme com espessura e dimensões dentro da especificação, em todas as bobinas.</t>
  </si>
  <si>
    <t xml:space="preserve">Plano de inspeção da extrusão. Inspeção de 100% das bobinas do cliente A desde outubro.</t>
  </si>
  <si>
    <t xml:space="preserve">Reclamações por motivo e refugo por defeito, todo mês.</t>
  </si>
  <si>
    <t xml:space="preserve">Levar a compra do medidor de espessura em linha à análise crítica.</t>
  </si>
  <si>
    <t xml:space="preserve">Declaração de conformidade para contato com alimentos, a cada lote.</t>
  </si>
  <si>
    <t xml:space="preserve">Laudo emitido pela Qualidade na liberação do lote.</t>
  </si>
  <si>
    <t xml:space="preserve">Auditoria interna da liberação, a cada semestre.</t>
  </si>
  <si>
    <t xml:space="preserve">Entrega na data confirmada.</t>
  </si>
  <si>
    <t xml:space="preserve">Programação da produção e agendamento com as transportadoras.</t>
  </si>
  <si>
    <t xml:space="preserve">Entregas no prazo, todo mês, e nota de prazo na pesquisa anual.</t>
  </si>
  <si>
    <t xml:space="preserve">Rever a programação do segmento de alimentos, que deu nota 7,8 ao prazo.</t>
  </si>
  <si>
    <t xml:space="preserve">Resposta a reclamação em até 2 dias úteis, com análise de causa.</t>
  </si>
  <si>
    <t xml:space="preserve">Tratamento de reclamações, com registro de não conformidade.</t>
  </si>
  <si>
    <t xml:space="preserve">Prazo de resposta, todo mês.</t>
  </si>
  <si>
    <t xml:space="preserve">Impressão dentro do padrão de cor aprovado.</t>
  </si>
  <si>
    <t xml:space="preserve">Padrão de cor assinado pelo cliente, no posto da impressora.</t>
  </si>
  <si>
    <t xml:space="preserve">Reclamações por motivo, todo mês.</t>
  </si>
  <si>
    <t xml:space="preserve">Embalagem com 30% de resina reciclada até 2028.</t>
  </si>
  <si>
    <t xml:space="preserve">Ainda não há produto com resina reciclada.</t>
  </si>
  <si>
    <t xml:space="preserve">Projetos de desenvolvimento, a cada trimestre.</t>
  </si>
  <si>
    <t xml:space="preserve">Abrir o projeto de resina reciclada, com fornecedor homologado.</t>
  </si>
  <si>
    <t xml:space="preserve">Gerente de engenharia</t>
  </si>
  <si>
    <t xml:space="preserve">Refugo abaixo de 3% e certificação ISO 9001 obtida.</t>
  </si>
  <si>
    <t xml:space="preserve">Refugo de 2,6% em 2026, com o ciclo PDCA. A certificação ainda é um projeto.</t>
  </si>
  <si>
    <t xml:space="preserve">Painel de indicadores, todo mês.</t>
  </si>
  <si>
    <t xml:space="preserve">Contratar a auditoria de certificação.</t>
  </si>
  <si>
    <t xml:space="preserve">Diretor geral</t>
  </si>
  <si>
    <t xml:space="preserve">Máquinas com proteção e treinamento de segurança em dia.</t>
  </si>
  <si>
    <t xml:space="preserve">Programa de segurança e inspeção das proteções.</t>
  </si>
  <si>
    <t xml:space="preserve">Inspeção mensal e registros de treinamento.</t>
  </si>
  <si>
    <t xml:space="preserve">Saber o que falta aprender para a função e ter um plano de treinamento.</t>
  </si>
  <si>
    <t xml:space="preserve">Matriz de competências de Suprimentos em montagem. As outras áreas não têm.</t>
  </si>
  <si>
    <t xml:space="preserve">Cobertura da matriz, a cada semestre.</t>
  </si>
  <si>
    <t xml:space="preserve">Estender a matriz de competências à Produção.</t>
  </si>
  <si>
    <t xml:space="preserve">Usar só materiais permitidos para contato com alimentos.</t>
  </si>
  <si>
    <t xml:space="preserve">Especificação das resinas e laudos do fornecedor, conferidos no recebimento.</t>
  </si>
  <si>
    <t xml:space="preserve">Laudos de migração, uma vez por ano.</t>
  </si>
  <si>
    <t xml:space="preserve">Licença de operação válida e resíduos com destinação comprovada.</t>
  </si>
  <si>
    <t xml:space="preserve">Licença válida até 2028 e manifestos de resíduos arquivados.</t>
  </si>
  <si>
    <t xml:space="preserve">Controle de vencimentos e manifestos, todo mês.</t>
  </si>
  <si>
    <t xml:space="preserve">Previsão de compra do trimestre e pagamento no prazo.</t>
  </si>
  <si>
    <t xml:space="preserve">Previsão enviada por Suprimentos no início de cada trimestre.</t>
  </si>
  <si>
    <t xml:space="preserve">Avaliação de fornecedores, a cada semestre.</t>
  </si>
  <si>
    <t xml:space="preserve">Sistema pronto para a auditoria de certificação, com as não conformidades tratadas no prazo.</t>
  </si>
  <si>
    <t xml:space="preserve">Programa de auditorias e controle das não conformidades.</t>
  </si>
  <si>
    <t xml:space="preserve">Situação das não conformidades, todo mês.</t>
  </si>
  <si>
    <t xml:space="preserve">Carga pronta e conferida no horário agendado.</t>
  </si>
  <si>
    <t xml:space="preserve">Agendamento da expedição.</t>
  </si>
  <si>
    <t xml:space="preserve">Tempo de espera do caminhão, todo mês.</t>
  </si>
  <si>
    <t xml:space="preserve">Caminhões fora do horário de entrada e de saída da escola.</t>
  </si>
  <si>
    <t xml:space="preserve">Janela de carga e descarga definida na portaria.</t>
  </si>
  <si>
    <t xml:space="preserve">Reclamações da comunidade, registradas pela portaria.</t>
  </si>
  <si>
    <t xml:space="preserve">Encerrar o turno da noite.</t>
  </si>
  <si>
    <t xml:space="preserve">A fábrica opera dentro do limite de ruído da licença, medido todo ano, e o turno da noite responde por um terço da produção.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</si>
</sst>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"/>
    <numFmt numFmtId="167" formatCode="0%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8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b val="true"/>
      <sz val="16"/>
      <color rgb="FF16242E"/>
      <name val="Arial"/>
      <family val="0"/>
      <charset val="1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5B6B76"/>
        <bgColor rgb="FF808080"/>
      </patternFill>
    </fill>
    <fill>
      <patternFill patternType="solid">
        <fgColor rgb="FFF6E8CF"/>
        <bgColor rgb="FFFBEBC8"/>
      </patternFill>
    </fill>
    <fill>
      <patternFill patternType="solid">
        <fgColor rgb="FFDCE8F3"/>
        <bgColor rgb="FFD9EEEB"/>
      </patternFill>
    </fill>
    <fill>
      <patternFill patternType="solid">
        <fgColor rgb="FFD9EEEB"/>
        <bgColor rgb="FFD8EFDD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2A6FB0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CE8F3"/>
        </patternFill>
      </fill>
    </dxf>
    <dxf>
      <fill>
        <patternFill>
          <bgColor rgb="FFF6E8CF"/>
        </patternFill>
      </fill>
    </dxf>
    <dxf>
      <fill>
        <patternFill>
          <bgColor rgb="FFD9EEEB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FF8080"/>
      <rgbColor rgb="FF2A6FB0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3"/>
      <rgbColor rgb="FFD8EFDD"/>
      <rgbColor rgb="FFFBEBC8"/>
      <rgbColor rgb="FFD3DBE0"/>
      <rgbColor rgb="FFF6E8CF"/>
      <rgbColor rgb="FFEEF1F3"/>
      <rgbColor rgb="FFF6D9D7"/>
      <rgbColor rgb="FF3366FF"/>
      <rgbColor rgb="FF33CCCC"/>
      <rgbColor rgb="FF99CC00"/>
      <rgbColor rgb="FFFFCC00"/>
      <rgbColor rgb="FFD19A2E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"Atende"</c:f>
              <c:strCache>
                <c:ptCount val="1"/>
                <c:pt idx="0">
                  <c:v>Atende</c:v>
                </c:pt>
              </c:strCache>
            </c:strRef>
          </c:tx>
          <c:spPr>
            <a:solidFill>
              <a:srgbClr val="2a6fb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Painel!$C$18:$C$29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Painel!$G$18:$G$29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"Atende em parte"</c:f>
              <c:strCache>
                <c:ptCount val="1"/>
                <c:pt idx="0">
                  <c:v>Atende em parte</c:v>
                </c:pt>
              </c:strCache>
            </c:strRef>
          </c:tx>
          <c:spPr>
            <a:solidFill>
              <a:srgbClr val="d19a2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Painel!$C$18:$C$29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Painel!$H$18:$H$29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2"/>
          <c:tx>
            <c:strRef>
              <c:f>"Não atende"</c:f>
              <c:strCache>
                <c:ptCount val="1"/>
                <c:pt idx="0">
                  <c:v>Não atende</c:v>
                </c:pt>
              </c:strCache>
            </c:strRef>
          </c:tx>
          <c:spPr>
            <a:solidFill>
              <a:srgbClr val="b0413e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lang="pt-BR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Painel!$C$18:$C$29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Painel!$I$18:$I$29</c:f>
              <c:numCache>
                <c:formatCode>General</c:formatCode>
                <c:ptCount val="12"/>
              </c:numCache>
            </c:numRef>
          </c:val>
        </c:ser>
        <c:gapWidth val="50"/>
        <c:overlap val="100"/>
        <c:axId val="65762679"/>
        <c:axId val="12736261"/>
      </c:barChart>
      <c:catAx>
        <c:axId val="657626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36261"/>
        <c:crosses val="autoZero"/>
        <c:auto val="1"/>
        <c:lblAlgn val="ctr"/>
        <c:lblOffset val="100"/>
        <c:noMultiLvlLbl val="0"/>
      </c:catAx>
      <c:valAx>
        <c:axId val="127362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62679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lang="pt-B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10</xdr:col>
      <xdr:colOff>111240</xdr:colOff>
      <xdr:row>52</xdr:row>
      <xdr:rowOff>170640</xdr:rowOff>
    </xdr:to>
    <xdr:graphicFrame>
      <xdr:nvGraphicFramePr>
        <xdr:cNvPr id="0" name="Chart 1"/>
        <xdr:cNvGraphicFramePr/>
      </xdr:nvGraphicFramePr>
      <xdr:xfrm>
        <a:off x="141120" y="92012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31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31.5" hidden="false" customHeight="true" outlineLevel="0" collapsed="false">
      <c r="B16" s="4" t="s">
        <v>22</v>
      </c>
      <c r="C16" s="7" t="s">
        <v>23</v>
      </c>
    </row>
    <row r="17" customFormat="false" ht="31.5" hidden="false" customHeight="true" outlineLevel="0" collapsed="false">
      <c r="B17" s="4" t="s">
        <v>24</v>
      </c>
      <c r="C17" s="7" t="s">
        <v>25</v>
      </c>
    </row>
    <row r="19" customFormat="false" ht="21.75" hidden="false" customHeight="true" outlineLevel="0" collapsed="false">
      <c r="B19" s="3" t="s">
        <v>26</v>
      </c>
      <c r="C19" s="3"/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7" customFormat="false" ht="21.75" hidden="false" customHeight="true" outlineLevel="0" collapsed="false">
      <c r="B27" s="3" t="s">
        <v>39</v>
      </c>
      <c r="C27" s="3"/>
    </row>
    <row r="28" customFormat="false" ht="31.5" hidden="false" customHeight="true" outlineLevel="0" collapsed="false">
      <c r="B28" s="4" t="s">
        <v>40</v>
      </c>
      <c r="C28" s="7" t="s">
        <v>41</v>
      </c>
    </row>
    <row r="29" customFormat="false" ht="31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6" customFormat="false" ht="21.75" hidden="false" customHeight="true" outlineLevel="0" collapsed="false">
      <c r="B36" s="3" t="s">
        <v>54</v>
      </c>
      <c r="C36" s="3"/>
    </row>
    <row r="37" customFormat="false" ht="31.5" hidden="false" customHeight="true" outlineLevel="0" collapsed="false">
      <c r="B37" s="4" t="s">
        <v>55</v>
      </c>
      <c r="C37" s="7" t="s">
        <v>56</v>
      </c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</sheetData>
  <mergeCells count="7">
    <mergeCell ref="B1:C1"/>
    <mergeCell ref="B2:C2"/>
    <mergeCell ref="B4:C4"/>
    <mergeCell ref="B11:C11"/>
    <mergeCell ref="B19:C19"/>
    <mergeCell ref="B27:C27"/>
    <mergeCell ref="B36:C3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8" min="6" style="0" width="11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36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2"/>
    <col collapsed="false" customWidth="true" hidden="false" outlineLevel="0" max="15" min="15" style="0" width="24"/>
  </cols>
  <sheetData>
    <row r="1" customFormat="false" ht="31.5" hidden="false" customHeight="true" outlineLevel="0" collapsed="false">
      <c r="B1" s="1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65</v>
      </c>
      <c r="C4" s="4"/>
      <c r="D4" s="4"/>
      <c r="E4" s="5"/>
      <c r="F4" s="5"/>
      <c r="G4" s="5"/>
      <c r="H4" s="5"/>
      <c r="I4" s="5"/>
      <c r="J4" s="5"/>
      <c r="K4" s="5"/>
      <c r="L4" s="5"/>
      <c r="M4" s="5"/>
    </row>
    <row r="5" customFormat="false" ht="21.75" hidden="false" customHeight="true" outlineLevel="0" collapsed="false">
      <c r="B5" s="4" t="s">
        <v>66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</row>
    <row r="6" customFormat="false" ht="21.75" hidden="false" customHeight="true" outlineLevel="0" collapsed="false">
      <c r="B6" s="4" t="s">
        <v>67</v>
      </c>
      <c r="C6" s="4"/>
      <c r="D6" s="4"/>
      <c r="E6" s="5"/>
      <c r="F6" s="5"/>
      <c r="G6" s="5"/>
      <c r="H6" s="5"/>
      <c r="I6" s="5"/>
      <c r="J6" s="5"/>
      <c r="K6" s="5"/>
      <c r="L6" s="5"/>
      <c r="M6" s="5"/>
    </row>
    <row r="8" customFormat="false" ht="33" hidden="false" customHeight="true" outlineLevel="0" collapsed="false">
      <c r="B8" s="8" t="s">
        <v>68</v>
      </c>
      <c r="C8" s="8" t="s">
        <v>69</v>
      </c>
      <c r="D8" s="8" t="s">
        <v>70</v>
      </c>
      <c r="E8" s="8" t="s">
        <v>71</v>
      </c>
      <c r="F8" s="8" t="s">
        <v>72</v>
      </c>
      <c r="G8" s="8" t="s">
        <v>73</v>
      </c>
      <c r="H8" s="8" t="s">
        <v>74</v>
      </c>
      <c r="I8" s="8" t="s">
        <v>16</v>
      </c>
      <c r="J8" s="8" t="s">
        <v>18</v>
      </c>
      <c r="K8" s="8" t="s">
        <v>75</v>
      </c>
      <c r="L8" s="8" t="s">
        <v>76</v>
      </c>
      <c r="M8" s="8" t="s">
        <v>77</v>
      </c>
      <c r="O8" s="9" t="s">
        <v>78</v>
      </c>
    </row>
    <row r="9" customFormat="false" ht="30" hidden="false" customHeight="true" outlineLevel="0" collapsed="false">
      <c r="B9" s="10"/>
      <c r="C9" s="10" t="s">
        <v>79</v>
      </c>
      <c r="D9" s="10" t="s">
        <v>80</v>
      </c>
      <c r="E9" s="10" t="s">
        <v>81</v>
      </c>
      <c r="F9" s="10" t="s">
        <v>82</v>
      </c>
      <c r="G9" s="10" t="s">
        <v>82</v>
      </c>
      <c r="H9" s="10" t="s">
        <v>83</v>
      </c>
      <c r="I9" s="10" t="s">
        <v>84</v>
      </c>
      <c r="J9" s="10" t="s">
        <v>84</v>
      </c>
      <c r="K9" s="10" t="s">
        <v>85</v>
      </c>
      <c r="L9" s="10" t="s">
        <v>86</v>
      </c>
      <c r="M9" s="10" t="s">
        <v>84</v>
      </c>
      <c r="O9" s="10"/>
    </row>
    <row r="10" customFormat="false" ht="27" hidden="false" customHeight="true" outlineLevel="0" collapsed="false">
      <c r="B10" s="10" t="s">
        <v>87</v>
      </c>
      <c r="C10" s="11" t="s">
        <v>88</v>
      </c>
      <c r="D10" s="11" t="s">
        <v>89</v>
      </c>
      <c r="E10" s="11" t="s">
        <v>90</v>
      </c>
      <c r="F10" s="10" t="n">
        <v>5</v>
      </c>
      <c r="G10" s="10" t="n">
        <v>2</v>
      </c>
      <c r="H10" s="10" t="s">
        <v>91</v>
      </c>
      <c r="I10" s="10" t="s">
        <v>92</v>
      </c>
      <c r="J10" s="10" t="s">
        <v>91</v>
      </c>
      <c r="K10" s="11" t="s">
        <v>93</v>
      </c>
      <c r="L10" s="11" t="s">
        <v>94</v>
      </c>
      <c r="M10" s="10" t="s">
        <v>95</v>
      </c>
      <c r="O10" s="11"/>
    </row>
    <row r="11" customFormat="false" ht="30" hidden="false" customHeight="true" outlineLevel="0" collapsed="false">
      <c r="B11" s="12" t="n">
        <v>1</v>
      </c>
      <c r="C11" s="5"/>
      <c r="D11" s="5"/>
      <c r="E11" s="5"/>
      <c r="F11" s="13"/>
      <c r="G11" s="13"/>
      <c r="H11" s="13"/>
      <c r="I11" s="14" t="str">
        <f aca="false">IF(OR(F11="",G11=""),"",IF(F11&gt;=4,IF(G11&gt;=4,"Gerir de perto","Manter satisfeito"),IF(G11&gt;=4,"Manter informado","Monitorar")))</f>
        <v/>
      </c>
      <c r="J11" s="15" t="str">
        <f aca="false">IF(I11="","",IF(OR(I11&lt;&gt;"Monitorar",H11="Sim"),"Sim","Não"))</f>
        <v/>
      </c>
      <c r="K11" s="5"/>
      <c r="L11" s="5"/>
      <c r="M11" s="14" t="str">
        <f aca="false">IF(C11="","",IF(COUNTIF(C$11:C$22,C11)&gt;1,"Parte repetida",IF(OR(F11="",G11=""),"Faltam as notas",IF(E11="","Falta o motivo",IF(J11&lt;&gt;"Sim","OK",IF(K11="","Falta o canal de relacionamento",IF(COUNTIF(Requisitos!C$7:C$46,C11)=0,"Parte pertinente sem requisito","OK")))))))</f>
        <v/>
      </c>
      <c r="O11" s="16" t="str">
        <f aca="false">IF(OR(C11="",I11=""),"",I11&amp;"|"&amp;COUNTIFS(I$11:I11,I11,C$11:C11,"&lt;&gt;"))</f>
        <v/>
      </c>
    </row>
    <row r="12" customFormat="false" ht="30" hidden="false" customHeight="true" outlineLevel="0" collapsed="false">
      <c r="B12" s="12" t="n">
        <v>2</v>
      </c>
      <c r="C12" s="5"/>
      <c r="D12" s="5"/>
      <c r="E12" s="5"/>
      <c r="F12" s="13"/>
      <c r="G12" s="13"/>
      <c r="H12" s="13"/>
      <c r="I12" s="14" t="str">
        <f aca="false">IF(OR(F12="",G12=""),"",IF(F12&gt;=4,IF(G12&gt;=4,"Gerir de perto","Manter satisfeito"),IF(G12&gt;=4,"Manter informado","Monitorar")))</f>
        <v/>
      </c>
      <c r="J12" s="15" t="str">
        <f aca="false">IF(I12="","",IF(OR(I12&lt;&gt;"Monitorar",H12="Sim"),"Sim","Não"))</f>
        <v/>
      </c>
      <c r="K12" s="5"/>
      <c r="L12" s="5"/>
      <c r="M12" s="14" t="str">
        <f aca="false">IF(C12="","",IF(COUNTIF(C$11:C$22,C12)&gt;1,"Parte repetida",IF(OR(F12="",G12=""),"Faltam as notas",IF(E12="","Falta o motivo",IF(J12&lt;&gt;"Sim","OK",IF(K12="","Falta o canal de relacionamento",IF(COUNTIF(Requisitos!C$7:C$46,C12)=0,"Parte pertinente sem requisito","OK")))))))</f>
        <v/>
      </c>
      <c r="O12" s="16" t="str">
        <f aca="false">IF(OR(C12="",I12=""),"",I12&amp;"|"&amp;COUNTIFS(I$11:I12,I12,C$11:C12,"&lt;&gt;"))</f>
        <v/>
      </c>
    </row>
    <row r="13" customFormat="false" ht="30" hidden="false" customHeight="true" outlineLevel="0" collapsed="false">
      <c r="B13" s="12" t="n">
        <v>3</v>
      </c>
      <c r="C13" s="5"/>
      <c r="D13" s="5"/>
      <c r="E13" s="5"/>
      <c r="F13" s="13"/>
      <c r="G13" s="13"/>
      <c r="H13" s="13"/>
      <c r="I13" s="14" t="str">
        <f aca="false">IF(OR(F13="",G13=""),"",IF(F13&gt;=4,IF(G13&gt;=4,"Gerir de perto","Manter satisfeito"),IF(G13&gt;=4,"Manter informado","Monitorar")))</f>
        <v/>
      </c>
      <c r="J13" s="15" t="str">
        <f aca="false">IF(I13="","",IF(OR(I13&lt;&gt;"Monitorar",H13="Sim"),"Sim","Não"))</f>
        <v/>
      </c>
      <c r="K13" s="5"/>
      <c r="L13" s="5"/>
      <c r="M13" s="14" t="str">
        <f aca="false">IF(C13="","",IF(COUNTIF(C$11:C$22,C13)&gt;1,"Parte repetida",IF(OR(F13="",G13=""),"Faltam as notas",IF(E13="","Falta o motivo",IF(J13&lt;&gt;"Sim","OK",IF(K13="","Falta o canal de relacionamento",IF(COUNTIF(Requisitos!C$7:C$46,C13)=0,"Parte pertinente sem requisito","OK")))))))</f>
        <v/>
      </c>
      <c r="O13" s="16" t="str">
        <f aca="false">IF(OR(C13="",I13=""),"",I13&amp;"|"&amp;COUNTIFS(I$11:I13,I13,C$11:C13,"&lt;&gt;"))</f>
        <v/>
      </c>
    </row>
    <row r="14" customFormat="false" ht="30" hidden="false" customHeight="true" outlineLevel="0" collapsed="false">
      <c r="B14" s="12" t="n">
        <v>4</v>
      </c>
      <c r="C14" s="5"/>
      <c r="D14" s="5"/>
      <c r="E14" s="5"/>
      <c r="F14" s="13"/>
      <c r="G14" s="13"/>
      <c r="H14" s="13"/>
      <c r="I14" s="14" t="str">
        <f aca="false">IF(OR(F14="",G14=""),"",IF(F14&gt;=4,IF(G14&gt;=4,"Gerir de perto","Manter satisfeito"),IF(G14&gt;=4,"Manter informado","Monitorar")))</f>
        <v/>
      </c>
      <c r="J14" s="15" t="str">
        <f aca="false">IF(I14="","",IF(OR(I14&lt;&gt;"Monitorar",H14="Sim"),"Sim","Não"))</f>
        <v/>
      </c>
      <c r="K14" s="5"/>
      <c r="L14" s="5"/>
      <c r="M14" s="14" t="str">
        <f aca="false">IF(C14="","",IF(COUNTIF(C$11:C$22,C14)&gt;1,"Parte repetida",IF(OR(F14="",G14=""),"Faltam as notas",IF(E14="","Falta o motivo",IF(J14&lt;&gt;"Sim","OK",IF(K14="","Falta o canal de relacionamento",IF(COUNTIF(Requisitos!C$7:C$46,C14)=0,"Parte pertinente sem requisito","OK")))))))</f>
        <v/>
      </c>
      <c r="O14" s="16" t="str">
        <f aca="false">IF(OR(C14="",I14=""),"",I14&amp;"|"&amp;COUNTIFS(I$11:I14,I14,C$11:C14,"&lt;&gt;"))</f>
        <v/>
      </c>
    </row>
    <row r="15" customFormat="false" ht="30" hidden="false" customHeight="true" outlineLevel="0" collapsed="false">
      <c r="B15" s="12" t="n">
        <v>5</v>
      </c>
      <c r="C15" s="5"/>
      <c r="D15" s="5"/>
      <c r="E15" s="5"/>
      <c r="F15" s="13"/>
      <c r="G15" s="13"/>
      <c r="H15" s="13"/>
      <c r="I15" s="14" t="str">
        <f aca="false">IF(OR(F15="",G15=""),"",IF(F15&gt;=4,IF(G15&gt;=4,"Gerir de perto","Manter satisfeito"),IF(G15&gt;=4,"Manter informado","Monitorar")))</f>
        <v/>
      </c>
      <c r="J15" s="15" t="str">
        <f aca="false">IF(I15="","",IF(OR(I15&lt;&gt;"Monitorar",H15="Sim"),"Sim","Não"))</f>
        <v/>
      </c>
      <c r="K15" s="5"/>
      <c r="L15" s="5"/>
      <c r="M15" s="14" t="str">
        <f aca="false">IF(C15="","",IF(COUNTIF(C$11:C$22,C15)&gt;1,"Parte repetida",IF(OR(F15="",G15=""),"Faltam as notas",IF(E15="","Falta o motivo",IF(J15&lt;&gt;"Sim","OK",IF(K15="","Falta o canal de relacionamento",IF(COUNTIF(Requisitos!C$7:C$46,C15)=0,"Parte pertinente sem requisito","OK")))))))</f>
        <v/>
      </c>
      <c r="O15" s="16" t="str">
        <f aca="false">IF(OR(C15="",I15=""),"",I15&amp;"|"&amp;COUNTIFS(I$11:I15,I15,C$11:C15,"&lt;&gt;"))</f>
        <v/>
      </c>
    </row>
    <row r="16" customFormat="false" ht="30" hidden="false" customHeight="true" outlineLevel="0" collapsed="false">
      <c r="B16" s="12" t="n">
        <v>6</v>
      </c>
      <c r="C16" s="5"/>
      <c r="D16" s="5"/>
      <c r="E16" s="5"/>
      <c r="F16" s="13"/>
      <c r="G16" s="13"/>
      <c r="H16" s="13"/>
      <c r="I16" s="14" t="str">
        <f aca="false">IF(OR(F16="",G16=""),"",IF(F16&gt;=4,IF(G16&gt;=4,"Gerir de perto","Manter satisfeito"),IF(G16&gt;=4,"Manter informado","Monitorar")))</f>
        <v/>
      </c>
      <c r="J16" s="15" t="str">
        <f aca="false">IF(I16="","",IF(OR(I16&lt;&gt;"Monitorar",H16="Sim"),"Sim","Não"))</f>
        <v/>
      </c>
      <c r="K16" s="5"/>
      <c r="L16" s="5"/>
      <c r="M16" s="14" t="str">
        <f aca="false">IF(C16="","",IF(COUNTIF(C$11:C$22,C16)&gt;1,"Parte repetida",IF(OR(F16="",G16=""),"Faltam as notas",IF(E16="","Falta o motivo",IF(J16&lt;&gt;"Sim","OK",IF(K16="","Falta o canal de relacionamento",IF(COUNTIF(Requisitos!C$7:C$46,C16)=0,"Parte pertinente sem requisito","OK")))))))</f>
        <v/>
      </c>
      <c r="O16" s="16" t="str">
        <f aca="false">IF(OR(C16="",I16=""),"",I16&amp;"|"&amp;COUNTIFS(I$11:I16,I16,C$11:C16,"&lt;&gt;"))</f>
        <v/>
      </c>
    </row>
    <row r="17" customFormat="false" ht="30" hidden="false" customHeight="true" outlineLevel="0" collapsed="false">
      <c r="B17" s="12" t="n">
        <v>7</v>
      </c>
      <c r="C17" s="5"/>
      <c r="D17" s="5"/>
      <c r="E17" s="5"/>
      <c r="F17" s="13"/>
      <c r="G17" s="13"/>
      <c r="H17" s="13"/>
      <c r="I17" s="14" t="str">
        <f aca="false">IF(OR(F17="",G17=""),"",IF(F17&gt;=4,IF(G17&gt;=4,"Gerir de perto","Manter satisfeito"),IF(G17&gt;=4,"Manter informado","Monitorar")))</f>
        <v/>
      </c>
      <c r="J17" s="15" t="str">
        <f aca="false">IF(I17="","",IF(OR(I17&lt;&gt;"Monitorar",H17="Sim"),"Sim","Não"))</f>
        <v/>
      </c>
      <c r="K17" s="5"/>
      <c r="L17" s="5"/>
      <c r="M17" s="14" t="str">
        <f aca="false">IF(C17="","",IF(COUNTIF(C$11:C$22,C17)&gt;1,"Parte repetida",IF(OR(F17="",G17=""),"Faltam as notas",IF(E17="","Falta o motivo",IF(J17&lt;&gt;"Sim","OK",IF(K17="","Falta o canal de relacionamento",IF(COUNTIF(Requisitos!C$7:C$46,C17)=0,"Parte pertinente sem requisito","OK")))))))</f>
        <v/>
      </c>
      <c r="O17" s="16" t="str">
        <f aca="false">IF(OR(C17="",I17=""),"",I17&amp;"|"&amp;COUNTIFS(I$11:I17,I17,C$11:C17,"&lt;&gt;"))</f>
        <v/>
      </c>
    </row>
    <row r="18" customFormat="false" ht="30" hidden="false" customHeight="true" outlineLevel="0" collapsed="false">
      <c r="B18" s="12" t="n">
        <v>8</v>
      </c>
      <c r="C18" s="5"/>
      <c r="D18" s="5"/>
      <c r="E18" s="5"/>
      <c r="F18" s="13"/>
      <c r="G18" s="13"/>
      <c r="H18" s="13"/>
      <c r="I18" s="14" t="str">
        <f aca="false">IF(OR(F18="",G18=""),"",IF(F18&gt;=4,IF(G18&gt;=4,"Gerir de perto","Manter satisfeito"),IF(G18&gt;=4,"Manter informado","Monitorar")))</f>
        <v/>
      </c>
      <c r="J18" s="15" t="str">
        <f aca="false">IF(I18="","",IF(OR(I18&lt;&gt;"Monitorar",H18="Sim"),"Sim","Não"))</f>
        <v/>
      </c>
      <c r="K18" s="5"/>
      <c r="L18" s="5"/>
      <c r="M18" s="14" t="str">
        <f aca="false">IF(C18="","",IF(COUNTIF(C$11:C$22,C18)&gt;1,"Parte repetida",IF(OR(F18="",G18=""),"Faltam as notas",IF(E18="","Falta o motivo",IF(J18&lt;&gt;"Sim","OK",IF(K18="","Falta o canal de relacionamento",IF(COUNTIF(Requisitos!C$7:C$46,C18)=0,"Parte pertinente sem requisito","OK")))))))</f>
        <v/>
      </c>
      <c r="O18" s="16" t="str">
        <f aca="false">IF(OR(C18="",I18=""),"",I18&amp;"|"&amp;COUNTIFS(I$11:I18,I18,C$11:C18,"&lt;&gt;"))</f>
        <v/>
      </c>
    </row>
    <row r="19" customFormat="false" ht="30" hidden="false" customHeight="true" outlineLevel="0" collapsed="false">
      <c r="B19" s="12" t="n">
        <v>9</v>
      </c>
      <c r="C19" s="5"/>
      <c r="D19" s="5"/>
      <c r="E19" s="5"/>
      <c r="F19" s="13"/>
      <c r="G19" s="13"/>
      <c r="H19" s="13"/>
      <c r="I19" s="14" t="str">
        <f aca="false">IF(OR(F19="",G19=""),"",IF(F19&gt;=4,IF(G19&gt;=4,"Gerir de perto","Manter satisfeito"),IF(G19&gt;=4,"Manter informado","Monitorar")))</f>
        <v/>
      </c>
      <c r="J19" s="15" t="str">
        <f aca="false">IF(I19="","",IF(OR(I19&lt;&gt;"Monitorar",H19="Sim"),"Sim","Não"))</f>
        <v/>
      </c>
      <c r="K19" s="5"/>
      <c r="L19" s="5"/>
      <c r="M19" s="14" t="str">
        <f aca="false">IF(C19="","",IF(COUNTIF(C$11:C$22,C19)&gt;1,"Parte repetida",IF(OR(F19="",G19=""),"Faltam as notas",IF(E19="","Falta o motivo",IF(J19&lt;&gt;"Sim","OK",IF(K19="","Falta o canal de relacionamento",IF(COUNTIF(Requisitos!C$7:C$46,C19)=0,"Parte pertinente sem requisito","OK")))))))</f>
        <v/>
      </c>
      <c r="O19" s="16" t="str">
        <f aca="false">IF(OR(C19="",I19=""),"",I19&amp;"|"&amp;COUNTIFS(I$11:I19,I19,C$11:C19,"&lt;&gt;"))</f>
        <v/>
      </c>
    </row>
    <row r="20" customFormat="false" ht="30" hidden="false" customHeight="true" outlineLevel="0" collapsed="false">
      <c r="B20" s="12" t="n">
        <v>10</v>
      </c>
      <c r="C20" s="5"/>
      <c r="D20" s="5"/>
      <c r="E20" s="5"/>
      <c r="F20" s="13"/>
      <c r="G20" s="13"/>
      <c r="H20" s="13"/>
      <c r="I20" s="14" t="str">
        <f aca="false">IF(OR(F20="",G20=""),"",IF(F20&gt;=4,IF(G20&gt;=4,"Gerir de perto","Manter satisfeito"),IF(G20&gt;=4,"Manter informado","Monitorar")))</f>
        <v/>
      </c>
      <c r="J20" s="15" t="str">
        <f aca="false">IF(I20="","",IF(OR(I20&lt;&gt;"Monitorar",H20="Sim"),"Sim","Não"))</f>
        <v/>
      </c>
      <c r="K20" s="5"/>
      <c r="L20" s="5"/>
      <c r="M20" s="14" t="str">
        <f aca="false">IF(C20="","",IF(COUNTIF(C$11:C$22,C20)&gt;1,"Parte repetida",IF(OR(F20="",G20=""),"Faltam as notas",IF(E20="","Falta o motivo",IF(J20&lt;&gt;"Sim","OK",IF(K20="","Falta o canal de relacionamento",IF(COUNTIF(Requisitos!C$7:C$46,C20)=0,"Parte pertinente sem requisito","OK")))))))</f>
        <v/>
      </c>
      <c r="O20" s="16" t="str">
        <f aca="false">IF(OR(C20="",I20=""),"",I20&amp;"|"&amp;COUNTIFS(I$11:I20,I20,C$11:C20,"&lt;&gt;"))</f>
        <v/>
      </c>
    </row>
    <row r="21" customFormat="false" ht="30" hidden="false" customHeight="true" outlineLevel="0" collapsed="false">
      <c r="B21" s="12" t="n">
        <v>11</v>
      </c>
      <c r="C21" s="5"/>
      <c r="D21" s="5"/>
      <c r="E21" s="5"/>
      <c r="F21" s="13"/>
      <c r="G21" s="13"/>
      <c r="H21" s="13"/>
      <c r="I21" s="14" t="str">
        <f aca="false">IF(OR(F21="",G21=""),"",IF(F21&gt;=4,IF(G21&gt;=4,"Gerir de perto","Manter satisfeito"),IF(G21&gt;=4,"Manter informado","Monitorar")))</f>
        <v/>
      </c>
      <c r="J21" s="15" t="str">
        <f aca="false">IF(I21="","",IF(OR(I21&lt;&gt;"Monitorar",H21="Sim"),"Sim","Não"))</f>
        <v/>
      </c>
      <c r="K21" s="5"/>
      <c r="L21" s="5"/>
      <c r="M21" s="14" t="str">
        <f aca="false">IF(C21="","",IF(COUNTIF(C$11:C$22,C21)&gt;1,"Parte repetida",IF(OR(F21="",G21=""),"Faltam as notas",IF(E21="","Falta o motivo",IF(J21&lt;&gt;"Sim","OK",IF(K21="","Falta o canal de relacionamento",IF(COUNTIF(Requisitos!C$7:C$46,C21)=0,"Parte pertinente sem requisito","OK")))))))</f>
        <v/>
      </c>
      <c r="O21" s="16" t="str">
        <f aca="false">IF(OR(C21="",I21=""),"",I21&amp;"|"&amp;COUNTIFS(I$11:I21,I21,C$11:C21,"&lt;&gt;"))</f>
        <v/>
      </c>
    </row>
    <row r="22" customFormat="false" ht="30" hidden="false" customHeight="true" outlineLevel="0" collapsed="false">
      <c r="B22" s="12" t="n">
        <v>12</v>
      </c>
      <c r="C22" s="5"/>
      <c r="D22" s="5"/>
      <c r="E22" s="5"/>
      <c r="F22" s="13"/>
      <c r="G22" s="13"/>
      <c r="H22" s="13"/>
      <c r="I22" s="14" t="str">
        <f aca="false">IF(OR(F22="",G22=""),"",IF(F22&gt;=4,IF(G22&gt;=4,"Gerir de perto","Manter satisfeito"),IF(G22&gt;=4,"Manter informado","Monitorar")))</f>
        <v/>
      </c>
      <c r="J22" s="15" t="str">
        <f aca="false">IF(I22="","",IF(OR(I22&lt;&gt;"Monitorar",H22="Sim"),"Sim","Não"))</f>
        <v/>
      </c>
      <c r="K22" s="5"/>
      <c r="L22" s="5"/>
      <c r="M22" s="14" t="str">
        <f aca="false">IF(C22="","",IF(COUNTIF(C$11:C$22,C22)&gt;1,"Parte repetida",IF(OR(F22="",G22=""),"Faltam as notas",IF(E22="","Falta o motivo",IF(J22&lt;&gt;"Sim","OK",IF(K22="","Falta o canal de relacionamento",IF(COUNTIF(Requisitos!C$7:C$46,C22)=0,"Parte pertinente sem requisito","OK")))))))</f>
        <v/>
      </c>
      <c r="O22" s="16" t="str">
        <f aca="false">IF(OR(C22="",I22=""),"",I22&amp;"|"&amp;COUNTIFS(I$11:I22,I22,C$11:C22,"&lt;&gt;"))</f>
        <v/>
      </c>
    </row>
    <row r="24" customFormat="false" ht="21.75" hidden="false" customHeight="true" outlineLevel="0" collapsed="false">
      <c r="B24" s="17" t="s">
        <v>96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customFormat="false" ht="21.75" hidden="false" customHeight="true" outlineLevel="0" collapsed="false">
      <c r="B25" s="18" t="s">
        <v>97</v>
      </c>
      <c r="C25" s="18"/>
      <c r="D25" s="18"/>
      <c r="E25" s="19" t="n">
        <f aca="false">COUNTA(C11:C22)</f>
        <v>0</v>
      </c>
      <c r="F25" s="19"/>
      <c r="G25" s="19"/>
      <c r="H25" s="19"/>
      <c r="I25" s="19"/>
      <c r="J25" s="19"/>
      <c r="K25" s="19"/>
      <c r="L25" s="19"/>
      <c r="M25" s="19"/>
    </row>
    <row r="26" customFormat="false" ht="21.75" hidden="false" customHeight="true" outlineLevel="0" collapsed="false">
      <c r="B26" s="18" t="s">
        <v>98</v>
      </c>
      <c r="C26" s="18"/>
      <c r="D26" s="18"/>
      <c r="E26" s="19" t="n">
        <f aca="false">COUNTIF(J11:J22,"Sim")</f>
        <v>0</v>
      </c>
      <c r="F26" s="19"/>
      <c r="G26" s="19"/>
      <c r="H26" s="19"/>
      <c r="I26" s="19"/>
      <c r="J26" s="19"/>
      <c r="K26" s="19"/>
      <c r="L26" s="19"/>
      <c r="M26" s="19"/>
    </row>
    <row r="27" customFormat="false" ht="21.75" hidden="false" customHeight="true" outlineLevel="0" collapsed="false">
      <c r="B27" s="18" t="s">
        <v>99</v>
      </c>
      <c r="C27" s="18"/>
      <c r="D27" s="18"/>
      <c r="E27" s="19" t="str">
        <f aca="false">IF(E25=0,"",COUNTIF(I11:I22,"Gerir de perto")&amp;" gerir de perto"&amp;", "&amp;COUNTIF(I11:I22,"Manter satisfeito")&amp;" manter satisfeito"&amp;", "&amp;COUNTIF(I11:I22,"Manter informado")&amp;" manter informado"&amp;", "&amp;COUNTIF(I11:I22,"Monitorar")&amp;" monitorar")</f>
        <v/>
      </c>
      <c r="F27" s="19"/>
      <c r="G27" s="19"/>
      <c r="H27" s="19"/>
      <c r="I27" s="19"/>
      <c r="J27" s="19"/>
      <c r="K27" s="19"/>
      <c r="L27" s="19"/>
      <c r="M27" s="19"/>
    </row>
    <row r="28" customFormat="false" ht="21.75" hidden="false" customHeight="true" outlineLevel="0" collapsed="false">
      <c r="B28" s="18" t="s">
        <v>100</v>
      </c>
      <c r="C28" s="18"/>
      <c r="D28" s="18"/>
      <c r="E28" s="20" t="str">
        <f aca="false">IF(E25=0,"Liste as partes interessadas",IF(COUNTIF(M11:M22,"OK")&lt;E25,"Há parte a rever: veja a coluna Conferência",IF(E25&lt;5,"Poucas partes: percorra os seis grupos","OK")))</f>
        <v>Liste as partes interessadas</v>
      </c>
      <c r="F28" s="20"/>
      <c r="G28" s="20"/>
      <c r="H28" s="20"/>
      <c r="I28" s="20"/>
      <c r="J28" s="20"/>
      <c r="K28" s="20"/>
      <c r="L28" s="20"/>
      <c r="M28" s="20"/>
    </row>
  </sheetData>
  <mergeCells count="17">
    <mergeCell ref="B1:M1"/>
    <mergeCell ref="B2:M2"/>
    <mergeCell ref="B4:D4"/>
    <mergeCell ref="E4:M4"/>
    <mergeCell ref="B5:D5"/>
    <mergeCell ref="E5:M5"/>
    <mergeCell ref="B6:D6"/>
    <mergeCell ref="E6:M6"/>
    <mergeCell ref="B24:M24"/>
    <mergeCell ref="B25:D25"/>
    <mergeCell ref="E25:M25"/>
    <mergeCell ref="B26:D26"/>
    <mergeCell ref="E26:M26"/>
    <mergeCell ref="B27:D27"/>
    <mergeCell ref="E27:M27"/>
    <mergeCell ref="B28:D28"/>
    <mergeCell ref="E28:M28"/>
  </mergeCells>
  <conditionalFormatting sqref="I11:I22">
    <cfRule type="expression" priority="2" aboveAverage="0" equalAverage="0" bottom="0" percent="0" rank="0" text="" dxfId="0">
      <formula>I11="Gerir de perto"</formula>
    </cfRule>
    <cfRule type="expression" priority="3" aboveAverage="0" equalAverage="0" bottom="0" percent="0" rank="0" text="" dxfId="1">
      <formula>I11="Manter satisfeito"</formula>
    </cfRule>
    <cfRule type="expression" priority="4" aboveAverage="0" equalAverage="0" bottom="0" percent="0" rank="0" text="" dxfId="2">
      <formula>I11="Manter informado"</formula>
    </cfRule>
  </conditionalFormatting>
  <conditionalFormatting sqref="M11:M22">
    <cfRule type="expression" priority="5" aboveAverage="0" equalAverage="0" bottom="0" percent="0" rank="0" text="" dxfId="3">
      <formula>OR(M11="OK")</formula>
    </cfRule>
    <cfRule type="expression" priority="6" aboveAverage="0" equalAverage="0" bottom="0" percent="0" rank="0" text="" dxfId="4">
      <formula>AND(LEN(M11)&gt;0,NOT(OR(M11="OK")))</formula>
    </cfRule>
  </conditionalFormatting>
  <conditionalFormatting sqref="E28:M28">
    <cfRule type="expression" priority="7" aboveAverage="0" equalAverage="0" bottom="0" percent="0" rank="0" text="" dxfId="3">
      <formula>OR(E28="OK")</formula>
    </cfRule>
    <cfRule type="expression" priority="8" aboveAverage="0" equalAverage="0" bottom="0" percent="0" rank="0" text="" dxfId="4">
      <formula>AND(LEN(E28)&gt;0,NOT(OR(E28="OK")))</formula>
    </cfRule>
  </conditionalFormatting>
  <dataValidations count="3">
    <dataValidation allowBlank="true" error="Escolha uma das opções da lista." errorStyle="stop" errorTitle="Valor inválido" operator="between" prompt="Grupo a que a parte pertence" promptTitle="Opções" showDropDown="false" showErrorMessage="true" showInputMessage="true" sqref="D11:D22" type="list">
      <formula1>"Cliente,Colaborador,Fornecedor ou parceiro,Regulador,Proprietário ou investidor,Sociedade,Outro"</formula1>
      <formula2>0</formula2>
    </dataValidation>
    <dataValidation allowBlank="true" error="Digite um número inteiro de 1 a 5." errorStyle="stop" errorTitle="Nota inválida" operator="between" prompt="De 1 a 5. Nota 4 ou 5 conta como alta." promptTitle="Nota" showDropDown="false" showErrorMessage="true" showInputMessage="true" sqref="F11:G22" type="whole">
      <formula1>1</formula1>
      <formula2>5</formula2>
    </dataValidation>
    <dataValidation allowBlank="true" error="Escolha uma das opções da lista." errorStyle="stop" errorTitle="Valor inválido" operator="between" prompt="A parte tem requisito de lei, de regulamento ou de licença?" promptTitle="Opções" showDropDown="false" showErrorMessage="true" showInputMessage="true" sqref="H11:H22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5"/>
    <col collapsed="false" customWidth="true" hidden="false" outlineLevel="0" max="10" min="10" style="0" width="3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8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101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" hidden="false" customHeight="true" outlineLevel="0" collapsed="false">
      <c r="B4" s="8" t="s">
        <v>68</v>
      </c>
      <c r="C4" s="8" t="s">
        <v>69</v>
      </c>
      <c r="D4" s="8" t="s">
        <v>103</v>
      </c>
      <c r="E4" s="8" t="s">
        <v>104</v>
      </c>
      <c r="F4" s="8" t="s">
        <v>105</v>
      </c>
      <c r="G4" s="8" t="s">
        <v>106</v>
      </c>
      <c r="H4" s="8" t="s">
        <v>107</v>
      </c>
      <c r="I4" s="8" t="s">
        <v>108</v>
      </c>
      <c r="J4" s="8" t="s">
        <v>109</v>
      </c>
      <c r="K4" s="8" t="s">
        <v>110</v>
      </c>
      <c r="L4" s="8" t="s">
        <v>111</v>
      </c>
      <c r="M4" s="8" t="s">
        <v>77</v>
      </c>
    </row>
    <row r="5" customFormat="false" ht="30" hidden="false" customHeight="true" outlineLevel="0" collapsed="false">
      <c r="B5" s="10"/>
      <c r="C5" s="10" t="s">
        <v>112</v>
      </c>
      <c r="D5" s="10" t="s">
        <v>113</v>
      </c>
      <c r="E5" s="10" t="s">
        <v>80</v>
      </c>
      <c r="F5" s="10" t="s">
        <v>83</v>
      </c>
      <c r="G5" s="10" t="s">
        <v>114</v>
      </c>
      <c r="H5" s="10" t="s">
        <v>115</v>
      </c>
      <c r="I5" s="10" t="s">
        <v>80</v>
      </c>
      <c r="J5" s="10" t="s">
        <v>116</v>
      </c>
      <c r="K5" s="10" t="s">
        <v>86</v>
      </c>
      <c r="L5" s="10" t="s">
        <v>117</v>
      </c>
      <c r="M5" s="10" t="s">
        <v>84</v>
      </c>
    </row>
    <row r="6" customFormat="false" ht="30" hidden="false" customHeight="true" outlineLevel="0" collapsed="false">
      <c r="B6" s="10" t="s">
        <v>87</v>
      </c>
      <c r="C6" s="11" t="s">
        <v>88</v>
      </c>
      <c r="D6" s="11" t="s">
        <v>118</v>
      </c>
      <c r="E6" s="10" t="s">
        <v>119</v>
      </c>
      <c r="F6" s="10" t="s">
        <v>91</v>
      </c>
      <c r="G6" s="11" t="s">
        <v>120</v>
      </c>
      <c r="H6" s="11" t="s">
        <v>121</v>
      </c>
      <c r="I6" s="10" t="s">
        <v>122</v>
      </c>
      <c r="J6" s="11" t="s">
        <v>123</v>
      </c>
      <c r="K6" s="11" t="s">
        <v>94</v>
      </c>
      <c r="L6" s="21" t="n">
        <v>46339</v>
      </c>
      <c r="M6" s="10" t="s">
        <v>95</v>
      </c>
    </row>
    <row r="7" customFormat="false" ht="30" hidden="false" customHeight="true" outlineLevel="0" collapsed="false">
      <c r="B7" s="12" t="n">
        <v>1</v>
      </c>
      <c r="C7" s="5"/>
      <c r="D7" s="5"/>
      <c r="E7" s="13"/>
      <c r="F7" s="13"/>
      <c r="G7" s="5"/>
      <c r="H7" s="5"/>
      <c r="I7" s="13"/>
      <c r="J7" s="5"/>
      <c r="K7" s="5"/>
      <c r="L7" s="22"/>
      <c r="M7" s="14" t="str">
        <f aca="false">IF(D7="","",IF(C7="","Falta a parte",IF(E7="","Falta o tipo",IF(F7="","Decida se é adotado",IF(AND(E7&lt;&gt;"Expectativa",F7="Não"),"Legal ou contratual não pode ser recusado",IF(F7="Não",IF(G7="","Falta a justificativa","Não adotado"),IF(G7="","Falta como atende",IF(H7="","Falta o monitoramento",IF(I7="","Falta a situação",IF(I7="Atende","OK",IF(J7="","Falta a ação",IF(OR(K7="",L7=""),"Ação sem responsável ou prazo","OK"))))))))))))</f>
        <v/>
      </c>
    </row>
    <row r="8" customFormat="false" ht="30" hidden="false" customHeight="true" outlineLevel="0" collapsed="false">
      <c r="B8" s="12" t="n">
        <v>2</v>
      </c>
      <c r="C8" s="5"/>
      <c r="D8" s="5"/>
      <c r="E8" s="13"/>
      <c r="F8" s="13"/>
      <c r="G8" s="5"/>
      <c r="H8" s="5"/>
      <c r="I8" s="13"/>
      <c r="J8" s="5"/>
      <c r="K8" s="5"/>
      <c r="L8" s="22"/>
      <c r="M8" s="14" t="str">
        <f aca="false">IF(D8="","",IF(C8="","Falta a parte",IF(E8="","Falta o tipo",IF(F8="","Decida se é adotado",IF(AND(E8&lt;&gt;"Expectativa",F8="Não"),"Legal ou contratual não pode ser recusado",IF(F8="Não",IF(G8="","Falta a justificativa","Não adotado"),IF(G8="","Falta como atende",IF(H8="","Falta o monitoramento",IF(I8="","Falta a situação",IF(I8="Atende","OK",IF(J8="","Falta a ação",IF(OR(K8="",L8=""),"Ação sem responsável ou prazo","OK"))))))))))))</f>
        <v/>
      </c>
    </row>
    <row r="9" customFormat="false" ht="30" hidden="false" customHeight="true" outlineLevel="0" collapsed="false">
      <c r="B9" s="12" t="n">
        <v>3</v>
      </c>
      <c r="C9" s="5"/>
      <c r="D9" s="5"/>
      <c r="E9" s="13"/>
      <c r="F9" s="13"/>
      <c r="G9" s="5"/>
      <c r="H9" s="5"/>
      <c r="I9" s="13"/>
      <c r="J9" s="5"/>
      <c r="K9" s="5"/>
      <c r="L9" s="22"/>
      <c r="M9" s="14" t="str">
        <f aca="false">IF(D9="","",IF(C9="","Falta a parte",IF(E9="","Falta o tipo",IF(F9="","Decida se é adotado",IF(AND(E9&lt;&gt;"Expectativa",F9="Não"),"Legal ou contratual não pode ser recusado",IF(F9="Não",IF(G9="","Falta a justificativa","Não adotado"),IF(G9="","Falta como atende",IF(H9="","Falta o monitoramento",IF(I9="","Falta a situação",IF(I9="Atende","OK",IF(J9="","Falta a ação",IF(OR(K9="",L9=""),"Ação sem responsável ou prazo","OK"))))))))))))</f>
        <v/>
      </c>
    </row>
    <row r="10" customFormat="false" ht="30" hidden="false" customHeight="true" outlineLevel="0" collapsed="false">
      <c r="B10" s="12" t="n">
        <v>4</v>
      </c>
      <c r="C10" s="5"/>
      <c r="D10" s="5"/>
      <c r="E10" s="13"/>
      <c r="F10" s="13"/>
      <c r="G10" s="5"/>
      <c r="H10" s="5"/>
      <c r="I10" s="13"/>
      <c r="J10" s="5"/>
      <c r="K10" s="5"/>
      <c r="L10" s="22"/>
      <c r="M10" s="14" t="str">
        <f aca="false">IF(D10="","",IF(C10="","Falta a parte",IF(E10="","Falta o tipo",IF(F10="","Decida se é adotado",IF(AND(E10&lt;&gt;"Expectativa",F10="Não"),"Legal ou contratual não pode ser recusado",IF(F10="Não",IF(G10="","Falta a justificativa","Não adotado"),IF(G10="","Falta como atende",IF(H10="","Falta o monitoramento",IF(I10="","Falta a situação",IF(I10="Atende","OK",IF(J10="","Falta a ação",IF(OR(K10="",L10=""),"Ação sem responsável ou prazo","OK"))))))))))))</f>
        <v/>
      </c>
    </row>
    <row r="11" customFormat="false" ht="30" hidden="false" customHeight="true" outlineLevel="0" collapsed="false">
      <c r="B11" s="12" t="n">
        <v>5</v>
      </c>
      <c r="C11" s="5"/>
      <c r="D11" s="5"/>
      <c r="E11" s="13"/>
      <c r="F11" s="13"/>
      <c r="G11" s="5"/>
      <c r="H11" s="5"/>
      <c r="I11" s="13"/>
      <c r="J11" s="5"/>
      <c r="K11" s="5"/>
      <c r="L11" s="22"/>
      <c r="M11" s="14" t="str">
        <f aca="false">IF(D11="","",IF(C11="","Falta a parte",IF(E11="","Falta o tipo",IF(F11="","Decida se é adotado",IF(AND(E11&lt;&gt;"Expectativa",F11="Não"),"Legal ou contratual não pode ser recusado",IF(F11="Não",IF(G11="","Falta a justificativa","Não adotado"),IF(G11="","Falta como atende",IF(H11="","Falta o monitoramento",IF(I11="","Falta a situação",IF(I11="Atende","OK",IF(J11="","Falta a ação",IF(OR(K11="",L11=""),"Ação sem responsável ou prazo","OK"))))))))))))</f>
        <v/>
      </c>
    </row>
    <row r="12" customFormat="false" ht="30" hidden="false" customHeight="true" outlineLevel="0" collapsed="false">
      <c r="B12" s="12" t="n">
        <v>6</v>
      </c>
      <c r="C12" s="5"/>
      <c r="D12" s="5"/>
      <c r="E12" s="13"/>
      <c r="F12" s="13"/>
      <c r="G12" s="5"/>
      <c r="H12" s="5"/>
      <c r="I12" s="13"/>
      <c r="J12" s="5"/>
      <c r="K12" s="5"/>
      <c r="L12" s="22"/>
      <c r="M12" s="14" t="str">
        <f aca="false">IF(D12="","",IF(C12="","Falta a parte",IF(E12="","Falta o tipo",IF(F12="","Decida se é adotado",IF(AND(E12&lt;&gt;"Expectativa",F12="Não"),"Legal ou contratual não pode ser recusado",IF(F12="Não",IF(G12="","Falta a justificativa","Não adotado"),IF(G12="","Falta como atende",IF(H12="","Falta o monitoramento",IF(I12="","Falta a situação",IF(I12="Atende","OK",IF(J12="","Falta a ação",IF(OR(K12="",L12=""),"Ação sem responsável ou prazo","OK"))))))))))))</f>
        <v/>
      </c>
    </row>
    <row r="13" customFormat="false" ht="30" hidden="false" customHeight="true" outlineLevel="0" collapsed="false">
      <c r="B13" s="12" t="n">
        <v>7</v>
      </c>
      <c r="C13" s="5"/>
      <c r="D13" s="5"/>
      <c r="E13" s="13"/>
      <c r="F13" s="13"/>
      <c r="G13" s="5"/>
      <c r="H13" s="5"/>
      <c r="I13" s="13"/>
      <c r="J13" s="5"/>
      <c r="K13" s="5"/>
      <c r="L13" s="22"/>
      <c r="M13" s="14" t="str">
        <f aca="false">IF(D13="","",IF(C13="","Falta a parte",IF(E13="","Falta o tipo",IF(F13="","Decida se é adotado",IF(AND(E13&lt;&gt;"Expectativa",F13="Não"),"Legal ou contratual não pode ser recusado",IF(F13="Não",IF(G13="","Falta a justificativa","Não adotado"),IF(G13="","Falta como atende",IF(H13="","Falta o monitoramento",IF(I13="","Falta a situação",IF(I13="Atende","OK",IF(J13="","Falta a ação",IF(OR(K13="",L13=""),"Ação sem responsável ou prazo","OK"))))))))))))</f>
        <v/>
      </c>
    </row>
    <row r="14" customFormat="false" ht="30" hidden="false" customHeight="true" outlineLevel="0" collapsed="false">
      <c r="B14" s="12" t="n">
        <v>8</v>
      </c>
      <c r="C14" s="5"/>
      <c r="D14" s="5"/>
      <c r="E14" s="13"/>
      <c r="F14" s="13"/>
      <c r="G14" s="5"/>
      <c r="H14" s="5"/>
      <c r="I14" s="13"/>
      <c r="J14" s="5"/>
      <c r="K14" s="5"/>
      <c r="L14" s="22"/>
      <c r="M14" s="14" t="str">
        <f aca="false">IF(D14="","",IF(C14="","Falta a parte",IF(E14="","Falta o tipo",IF(F14="","Decida se é adotado",IF(AND(E14&lt;&gt;"Expectativa",F14="Não"),"Legal ou contratual não pode ser recusado",IF(F14="Não",IF(G14="","Falta a justificativa","Não adotado"),IF(G14="","Falta como atende",IF(H14="","Falta o monitoramento",IF(I14="","Falta a situação",IF(I14="Atende","OK",IF(J14="","Falta a ação",IF(OR(K14="",L14=""),"Ação sem responsável ou prazo","OK"))))))))))))</f>
        <v/>
      </c>
    </row>
    <row r="15" customFormat="false" ht="30" hidden="false" customHeight="true" outlineLevel="0" collapsed="false">
      <c r="B15" s="12" t="n">
        <v>9</v>
      </c>
      <c r="C15" s="5"/>
      <c r="D15" s="5"/>
      <c r="E15" s="13"/>
      <c r="F15" s="13"/>
      <c r="G15" s="5"/>
      <c r="H15" s="5"/>
      <c r="I15" s="13"/>
      <c r="J15" s="5"/>
      <c r="K15" s="5"/>
      <c r="L15" s="22"/>
      <c r="M15" s="14" t="str">
        <f aca="false">IF(D15="","",IF(C15="","Falta a parte",IF(E15="","Falta o tipo",IF(F15="","Decida se é adotado",IF(AND(E15&lt;&gt;"Expectativa",F15="Não"),"Legal ou contratual não pode ser recusado",IF(F15="Não",IF(G15="","Falta a justificativa","Não adotado"),IF(G15="","Falta como atende",IF(H15="","Falta o monitoramento",IF(I15="","Falta a situação",IF(I15="Atende","OK",IF(J15="","Falta a ação",IF(OR(K15="",L15=""),"Ação sem responsável ou prazo","OK"))))))))))))</f>
        <v/>
      </c>
    </row>
    <row r="16" customFormat="false" ht="30" hidden="false" customHeight="true" outlineLevel="0" collapsed="false">
      <c r="B16" s="12" t="n">
        <v>10</v>
      </c>
      <c r="C16" s="5"/>
      <c r="D16" s="5"/>
      <c r="E16" s="13"/>
      <c r="F16" s="13"/>
      <c r="G16" s="5"/>
      <c r="H16" s="5"/>
      <c r="I16" s="13"/>
      <c r="J16" s="5"/>
      <c r="K16" s="5"/>
      <c r="L16" s="22"/>
      <c r="M16" s="14" t="str">
        <f aca="false">IF(D16="","",IF(C16="","Falta a parte",IF(E16="","Falta o tipo",IF(F16="","Decida se é adotado",IF(AND(E16&lt;&gt;"Expectativa",F16="Não"),"Legal ou contratual não pode ser recusado",IF(F16="Não",IF(G16="","Falta a justificativa","Não adotado"),IF(G16="","Falta como atende",IF(H16="","Falta o monitoramento",IF(I16="","Falta a situação",IF(I16="Atende","OK",IF(J16="","Falta a ação",IF(OR(K16="",L16=""),"Ação sem responsável ou prazo","OK"))))))))))))</f>
        <v/>
      </c>
    </row>
    <row r="17" customFormat="false" ht="30" hidden="false" customHeight="true" outlineLevel="0" collapsed="false">
      <c r="B17" s="12" t="n">
        <v>11</v>
      </c>
      <c r="C17" s="5"/>
      <c r="D17" s="5"/>
      <c r="E17" s="13"/>
      <c r="F17" s="13"/>
      <c r="G17" s="5"/>
      <c r="H17" s="5"/>
      <c r="I17" s="13"/>
      <c r="J17" s="5"/>
      <c r="K17" s="5"/>
      <c r="L17" s="22"/>
      <c r="M17" s="14" t="str">
        <f aca="false">IF(D17="","",IF(C17="","Falta a parte",IF(E17="","Falta o tipo",IF(F17="","Decida se é adotado",IF(AND(E17&lt;&gt;"Expectativa",F17="Não"),"Legal ou contratual não pode ser recusado",IF(F17="Não",IF(G17="","Falta a justificativa","Não adotado"),IF(G17="","Falta como atende",IF(H17="","Falta o monitoramento",IF(I17="","Falta a situação",IF(I17="Atende","OK",IF(J17="","Falta a ação",IF(OR(K17="",L17=""),"Ação sem responsável ou prazo","OK"))))))))))))</f>
        <v/>
      </c>
    </row>
    <row r="18" customFormat="false" ht="30" hidden="false" customHeight="true" outlineLevel="0" collapsed="false">
      <c r="B18" s="12" t="n">
        <v>12</v>
      </c>
      <c r="C18" s="5"/>
      <c r="D18" s="5"/>
      <c r="E18" s="13"/>
      <c r="F18" s="13"/>
      <c r="G18" s="5"/>
      <c r="H18" s="5"/>
      <c r="I18" s="13"/>
      <c r="J18" s="5"/>
      <c r="K18" s="5"/>
      <c r="L18" s="22"/>
      <c r="M18" s="14" t="str">
        <f aca="false">IF(D18="","",IF(C18="","Falta a parte",IF(E18="","Falta o tipo",IF(F18="","Decida se é adotado",IF(AND(E18&lt;&gt;"Expectativa",F18="Não"),"Legal ou contratual não pode ser recusado",IF(F18="Não",IF(G18="","Falta a justificativa","Não adotado"),IF(G18="","Falta como atende",IF(H18="","Falta o monitoramento",IF(I18="","Falta a situação",IF(I18="Atende","OK",IF(J18="","Falta a ação",IF(OR(K18="",L18=""),"Ação sem responsável ou prazo","OK"))))))))))))</f>
        <v/>
      </c>
    </row>
    <row r="19" customFormat="false" ht="30" hidden="false" customHeight="true" outlineLevel="0" collapsed="false">
      <c r="B19" s="12" t="n">
        <v>13</v>
      </c>
      <c r="C19" s="5"/>
      <c r="D19" s="5"/>
      <c r="E19" s="13"/>
      <c r="F19" s="13"/>
      <c r="G19" s="5"/>
      <c r="H19" s="5"/>
      <c r="I19" s="13"/>
      <c r="J19" s="5"/>
      <c r="K19" s="5"/>
      <c r="L19" s="22"/>
      <c r="M19" s="14" t="str">
        <f aca="false">IF(D19="","",IF(C19="","Falta a parte",IF(E19="","Falta o tipo",IF(F19="","Decida se é adotado",IF(AND(E19&lt;&gt;"Expectativa",F19="Não"),"Legal ou contratual não pode ser recusado",IF(F19="Não",IF(G19="","Falta a justificativa","Não adotado"),IF(G19="","Falta como atende",IF(H19="","Falta o monitoramento",IF(I19="","Falta a situação",IF(I19="Atende","OK",IF(J19="","Falta a ação",IF(OR(K19="",L19=""),"Ação sem responsável ou prazo","OK"))))))))))))</f>
        <v/>
      </c>
    </row>
    <row r="20" customFormat="false" ht="30" hidden="false" customHeight="true" outlineLevel="0" collapsed="false">
      <c r="B20" s="12" t="n">
        <v>14</v>
      </c>
      <c r="C20" s="5"/>
      <c r="D20" s="5"/>
      <c r="E20" s="13"/>
      <c r="F20" s="13"/>
      <c r="G20" s="5"/>
      <c r="H20" s="5"/>
      <c r="I20" s="13"/>
      <c r="J20" s="5"/>
      <c r="K20" s="5"/>
      <c r="L20" s="22"/>
      <c r="M20" s="14" t="str">
        <f aca="false">IF(D20="","",IF(C20="","Falta a parte",IF(E20="","Falta o tipo",IF(F20="","Decida se é adotado",IF(AND(E20&lt;&gt;"Expectativa",F20="Não"),"Legal ou contratual não pode ser recusado",IF(F20="Não",IF(G20="","Falta a justificativa","Não adotado"),IF(G20="","Falta como atende",IF(H20="","Falta o monitoramento",IF(I20="","Falta a situação",IF(I20="Atende","OK",IF(J20="","Falta a ação",IF(OR(K20="",L20=""),"Ação sem responsável ou prazo","OK"))))))))))))</f>
        <v/>
      </c>
    </row>
    <row r="21" customFormat="false" ht="30" hidden="false" customHeight="true" outlineLevel="0" collapsed="false">
      <c r="B21" s="12" t="n">
        <v>15</v>
      </c>
      <c r="C21" s="5"/>
      <c r="D21" s="5"/>
      <c r="E21" s="13"/>
      <c r="F21" s="13"/>
      <c r="G21" s="5"/>
      <c r="H21" s="5"/>
      <c r="I21" s="13"/>
      <c r="J21" s="5"/>
      <c r="K21" s="5"/>
      <c r="L21" s="22"/>
      <c r="M21" s="14" t="str">
        <f aca="false">IF(D21="","",IF(C21="","Falta a parte",IF(E21="","Falta o tipo",IF(F21="","Decida se é adotado",IF(AND(E21&lt;&gt;"Expectativa",F21="Não"),"Legal ou contratual não pode ser recusado",IF(F21="Não",IF(G21="","Falta a justificativa","Não adotado"),IF(G21="","Falta como atende",IF(H21="","Falta o monitoramento",IF(I21="","Falta a situação",IF(I21="Atende","OK",IF(J21="","Falta a ação",IF(OR(K21="",L21=""),"Ação sem responsável ou prazo","OK"))))))))))))</f>
        <v/>
      </c>
    </row>
    <row r="22" customFormat="false" ht="30" hidden="false" customHeight="true" outlineLevel="0" collapsed="false">
      <c r="B22" s="12" t="n">
        <v>16</v>
      </c>
      <c r="C22" s="5"/>
      <c r="D22" s="5"/>
      <c r="E22" s="13"/>
      <c r="F22" s="13"/>
      <c r="G22" s="5"/>
      <c r="H22" s="5"/>
      <c r="I22" s="13"/>
      <c r="J22" s="5"/>
      <c r="K22" s="5"/>
      <c r="L22" s="22"/>
      <c r="M22" s="14" t="str">
        <f aca="false">IF(D22="","",IF(C22="","Falta a parte",IF(E22="","Falta o tipo",IF(F22="","Decida se é adotado",IF(AND(E22&lt;&gt;"Expectativa",F22="Não"),"Legal ou contratual não pode ser recusado",IF(F22="Não",IF(G22="","Falta a justificativa","Não adotado"),IF(G22="","Falta como atende",IF(H22="","Falta o monitoramento",IF(I22="","Falta a situação",IF(I22="Atende","OK",IF(J22="","Falta a ação",IF(OR(K22="",L22=""),"Ação sem responsável ou prazo","OK"))))))))))))</f>
        <v/>
      </c>
    </row>
    <row r="23" customFormat="false" ht="30" hidden="false" customHeight="true" outlineLevel="0" collapsed="false">
      <c r="B23" s="12" t="n">
        <v>17</v>
      </c>
      <c r="C23" s="5"/>
      <c r="D23" s="5"/>
      <c r="E23" s="13"/>
      <c r="F23" s="13"/>
      <c r="G23" s="5"/>
      <c r="H23" s="5"/>
      <c r="I23" s="13"/>
      <c r="J23" s="5"/>
      <c r="K23" s="5"/>
      <c r="L23" s="22"/>
      <c r="M23" s="14" t="str">
        <f aca="false">IF(D23="","",IF(C23="","Falta a parte",IF(E23="","Falta o tipo",IF(F23="","Decida se é adotado",IF(AND(E23&lt;&gt;"Expectativa",F23="Não"),"Legal ou contratual não pode ser recusado",IF(F23="Não",IF(G23="","Falta a justificativa","Não adotado"),IF(G23="","Falta como atende",IF(H23="","Falta o monitoramento",IF(I23="","Falta a situação",IF(I23="Atende","OK",IF(J23="","Falta a ação",IF(OR(K23="",L23=""),"Ação sem responsável ou prazo","OK"))))))))))))</f>
        <v/>
      </c>
    </row>
    <row r="24" customFormat="false" ht="30" hidden="false" customHeight="true" outlineLevel="0" collapsed="false">
      <c r="B24" s="12" t="n">
        <v>18</v>
      </c>
      <c r="C24" s="5"/>
      <c r="D24" s="5"/>
      <c r="E24" s="13"/>
      <c r="F24" s="13"/>
      <c r="G24" s="5"/>
      <c r="H24" s="5"/>
      <c r="I24" s="13"/>
      <c r="J24" s="5"/>
      <c r="K24" s="5"/>
      <c r="L24" s="22"/>
      <c r="M24" s="14" t="str">
        <f aca="false">IF(D24="","",IF(C24="","Falta a parte",IF(E24="","Falta o tipo",IF(F24="","Decida se é adotado",IF(AND(E24&lt;&gt;"Expectativa",F24="Não"),"Legal ou contratual não pode ser recusado",IF(F24="Não",IF(G24="","Falta a justificativa","Não adotado"),IF(G24="","Falta como atende",IF(H24="","Falta o monitoramento",IF(I24="","Falta a situação",IF(I24="Atende","OK",IF(J24="","Falta a ação",IF(OR(K24="",L24=""),"Ação sem responsável ou prazo","OK"))))))))))))</f>
        <v/>
      </c>
    </row>
    <row r="25" customFormat="false" ht="30" hidden="false" customHeight="true" outlineLevel="0" collapsed="false">
      <c r="B25" s="12" t="n">
        <v>19</v>
      </c>
      <c r="C25" s="5"/>
      <c r="D25" s="5"/>
      <c r="E25" s="13"/>
      <c r="F25" s="13"/>
      <c r="G25" s="5"/>
      <c r="H25" s="5"/>
      <c r="I25" s="13"/>
      <c r="J25" s="5"/>
      <c r="K25" s="5"/>
      <c r="L25" s="22"/>
      <c r="M25" s="14" t="str">
        <f aca="false">IF(D25="","",IF(C25="","Falta a parte",IF(E25="","Falta o tipo",IF(F25="","Decida se é adotado",IF(AND(E25&lt;&gt;"Expectativa",F25="Não"),"Legal ou contratual não pode ser recusado",IF(F25="Não",IF(G25="","Falta a justificativa","Não adotado"),IF(G25="","Falta como atende",IF(H25="","Falta o monitoramento",IF(I25="","Falta a situação",IF(I25="Atende","OK",IF(J25="","Falta a ação",IF(OR(K25="",L25=""),"Ação sem responsável ou prazo","OK"))))))))))))</f>
        <v/>
      </c>
    </row>
    <row r="26" customFormat="false" ht="30" hidden="false" customHeight="true" outlineLevel="0" collapsed="false">
      <c r="B26" s="12" t="n">
        <v>20</v>
      </c>
      <c r="C26" s="5"/>
      <c r="D26" s="5"/>
      <c r="E26" s="13"/>
      <c r="F26" s="13"/>
      <c r="G26" s="5"/>
      <c r="H26" s="5"/>
      <c r="I26" s="13"/>
      <c r="J26" s="5"/>
      <c r="K26" s="5"/>
      <c r="L26" s="22"/>
      <c r="M26" s="14" t="str">
        <f aca="false">IF(D26="","",IF(C26="","Falta a parte",IF(E26="","Falta o tipo",IF(F26="","Decida se é adotado",IF(AND(E26&lt;&gt;"Expectativa",F26="Não"),"Legal ou contratual não pode ser recusado",IF(F26="Não",IF(G26="","Falta a justificativa","Não adotado"),IF(G26="","Falta como atende",IF(H26="","Falta o monitoramento",IF(I26="","Falta a situação",IF(I26="Atende","OK",IF(J26="","Falta a ação",IF(OR(K26="",L26=""),"Ação sem responsável ou prazo","OK"))))))))))))</f>
        <v/>
      </c>
    </row>
    <row r="27" customFormat="false" ht="30" hidden="false" customHeight="true" outlineLevel="0" collapsed="false">
      <c r="B27" s="12" t="n">
        <v>21</v>
      </c>
      <c r="C27" s="5"/>
      <c r="D27" s="5"/>
      <c r="E27" s="13"/>
      <c r="F27" s="13"/>
      <c r="G27" s="5"/>
      <c r="H27" s="5"/>
      <c r="I27" s="13"/>
      <c r="J27" s="5"/>
      <c r="K27" s="5"/>
      <c r="L27" s="22"/>
      <c r="M27" s="14" t="str">
        <f aca="false">IF(D27="","",IF(C27="","Falta a parte",IF(E27="","Falta o tipo",IF(F27="","Decida se é adotado",IF(AND(E27&lt;&gt;"Expectativa",F27="Não"),"Legal ou contratual não pode ser recusado",IF(F27="Não",IF(G27="","Falta a justificativa","Não adotado"),IF(G27="","Falta como atende",IF(H27="","Falta o monitoramento",IF(I27="","Falta a situação",IF(I27="Atende","OK",IF(J27="","Falta a ação",IF(OR(K27="",L27=""),"Ação sem responsável ou prazo","OK"))))))))))))</f>
        <v/>
      </c>
    </row>
    <row r="28" customFormat="false" ht="30" hidden="false" customHeight="true" outlineLevel="0" collapsed="false">
      <c r="B28" s="12" t="n">
        <v>22</v>
      </c>
      <c r="C28" s="5"/>
      <c r="D28" s="5"/>
      <c r="E28" s="13"/>
      <c r="F28" s="13"/>
      <c r="G28" s="5"/>
      <c r="H28" s="5"/>
      <c r="I28" s="13"/>
      <c r="J28" s="5"/>
      <c r="K28" s="5"/>
      <c r="L28" s="22"/>
      <c r="M28" s="14" t="str">
        <f aca="false">IF(D28="","",IF(C28="","Falta a parte",IF(E28="","Falta o tipo",IF(F28="","Decida se é adotado",IF(AND(E28&lt;&gt;"Expectativa",F28="Não"),"Legal ou contratual não pode ser recusado",IF(F28="Não",IF(G28="","Falta a justificativa","Não adotado"),IF(G28="","Falta como atende",IF(H28="","Falta o monitoramento",IF(I28="","Falta a situação",IF(I28="Atende","OK",IF(J28="","Falta a ação",IF(OR(K28="",L28=""),"Ação sem responsável ou prazo","OK"))))))))))))</f>
        <v/>
      </c>
    </row>
    <row r="29" customFormat="false" ht="30" hidden="false" customHeight="true" outlineLevel="0" collapsed="false">
      <c r="B29" s="12" t="n">
        <v>23</v>
      </c>
      <c r="C29" s="5"/>
      <c r="D29" s="5"/>
      <c r="E29" s="13"/>
      <c r="F29" s="13"/>
      <c r="G29" s="5"/>
      <c r="H29" s="5"/>
      <c r="I29" s="13"/>
      <c r="J29" s="5"/>
      <c r="K29" s="5"/>
      <c r="L29" s="22"/>
      <c r="M29" s="14" t="str">
        <f aca="false">IF(D29="","",IF(C29="","Falta a parte",IF(E29="","Falta o tipo",IF(F29="","Decida se é adotado",IF(AND(E29&lt;&gt;"Expectativa",F29="Não"),"Legal ou contratual não pode ser recusado",IF(F29="Não",IF(G29="","Falta a justificativa","Não adotado"),IF(G29="","Falta como atende",IF(H29="","Falta o monitoramento",IF(I29="","Falta a situação",IF(I29="Atende","OK",IF(J29="","Falta a ação",IF(OR(K29="",L29=""),"Ação sem responsável ou prazo","OK"))))))))))))</f>
        <v/>
      </c>
    </row>
    <row r="30" customFormat="false" ht="30" hidden="false" customHeight="true" outlineLevel="0" collapsed="false">
      <c r="B30" s="12" t="n">
        <v>24</v>
      </c>
      <c r="C30" s="5"/>
      <c r="D30" s="5"/>
      <c r="E30" s="13"/>
      <c r="F30" s="13"/>
      <c r="G30" s="5"/>
      <c r="H30" s="5"/>
      <c r="I30" s="13"/>
      <c r="J30" s="5"/>
      <c r="K30" s="5"/>
      <c r="L30" s="22"/>
      <c r="M30" s="14" t="str">
        <f aca="false">IF(D30="","",IF(C30="","Falta a parte",IF(E30="","Falta o tipo",IF(F30="","Decida se é adotado",IF(AND(E30&lt;&gt;"Expectativa",F30="Não"),"Legal ou contratual não pode ser recusado",IF(F30="Não",IF(G30="","Falta a justificativa","Não adotado"),IF(G30="","Falta como atende",IF(H30="","Falta o monitoramento",IF(I30="","Falta a situação",IF(I30="Atende","OK",IF(J30="","Falta a ação",IF(OR(K30="",L30=""),"Ação sem responsável ou prazo","OK"))))))))))))</f>
        <v/>
      </c>
    </row>
    <row r="31" customFormat="false" ht="30" hidden="false" customHeight="true" outlineLevel="0" collapsed="false">
      <c r="B31" s="12" t="n">
        <v>25</v>
      </c>
      <c r="C31" s="5"/>
      <c r="D31" s="5"/>
      <c r="E31" s="13"/>
      <c r="F31" s="13"/>
      <c r="G31" s="5"/>
      <c r="H31" s="5"/>
      <c r="I31" s="13"/>
      <c r="J31" s="5"/>
      <c r="K31" s="5"/>
      <c r="L31" s="22"/>
      <c r="M31" s="14" t="str">
        <f aca="false">IF(D31="","",IF(C31="","Falta a parte",IF(E31="","Falta o tipo",IF(F31="","Decida se é adotado",IF(AND(E31&lt;&gt;"Expectativa",F31="Não"),"Legal ou contratual não pode ser recusado",IF(F31="Não",IF(G31="","Falta a justificativa","Não adotado"),IF(G31="","Falta como atende",IF(H31="","Falta o monitoramento",IF(I31="","Falta a situação",IF(I31="Atende","OK",IF(J31="","Falta a ação",IF(OR(K31="",L31=""),"Ação sem responsável ou prazo","OK"))))))))))))</f>
        <v/>
      </c>
    </row>
    <row r="32" customFormat="false" ht="30" hidden="false" customHeight="true" outlineLevel="0" collapsed="false">
      <c r="B32" s="12" t="n">
        <v>26</v>
      </c>
      <c r="C32" s="5"/>
      <c r="D32" s="5"/>
      <c r="E32" s="13"/>
      <c r="F32" s="13"/>
      <c r="G32" s="5"/>
      <c r="H32" s="5"/>
      <c r="I32" s="13"/>
      <c r="J32" s="5"/>
      <c r="K32" s="5"/>
      <c r="L32" s="22"/>
      <c r="M32" s="14" t="str">
        <f aca="false">IF(D32="","",IF(C32="","Falta a parte",IF(E32="","Falta o tipo",IF(F32="","Decida se é adotado",IF(AND(E32&lt;&gt;"Expectativa",F32="Não"),"Legal ou contratual não pode ser recusado",IF(F32="Não",IF(G32="","Falta a justificativa","Não adotado"),IF(G32="","Falta como atende",IF(H32="","Falta o monitoramento",IF(I32="","Falta a situação",IF(I32="Atende","OK",IF(J32="","Falta a ação",IF(OR(K32="",L32=""),"Ação sem responsável ou prazo","OK"))))))))))))</f>
        <v/>
      </c>
    </row>
    <row r="33" customFormat="false" ht="30" hidden="false" customHeight="true" outlineLevel="0" collapsed="false">
      <c r="B33" s="12" t="n">
        <v>27</v>
      </c>
      <c r="C33" s="5"/>
      <c r="D33" s="5"/>
      <c r="E33" s="13"/>
      <c r="F33" s="13"/>
      <c r="G33" s="5"/>
      <c r="H33" s="5"/>
      <c r="I33" s="13"/>
      <c r="J33" s="5"/>
      <c r="K33" s="5"/>
      <c r="L33" s="22"/>
      <c r="M33" s="14" t="str">
        <f aca="false">IF(D33="","",IF(C33="","Falta a parte",IF(E33="","Falta o tipo",IF(F33="","Decida se é adotado",IF(AND(E33&lt;&gt;"Expectativa",F33="Não"),"Legal ou contratual não pode ser recusado",IF(F33="Não",IF(G33="","Falta a justificativa","Não adotado"),IF(G33="","Falta como atende",IF(H33="","Falta o monitoramento",IF(I33="","Falta a situação",IF(I33="Atende","OK",IF(J33="","Falta a ação",IF(OR(K33="",L33=""),"Ação sem responsável ou prazo","OK"))))))))))))</f>
        <v/>
      </c>
    </row>
    <row r="34" customFormat="false" ht="30" hidden="false" customHeight="true" outlineLevel="0" collapsed="false">
      <c r="B34" s="12" t="n">
        <v>28</v>
      </c>
      <c r="C34" s="5"/>
      <c r="D34" s="5"/>
      <c r="E34" s="13"/>
      <c r="F34" s="13"/>
      <c r="G34" s="5"/>
      <c r="H34" s="5"/>
      <c r="I34" s="13"/>
      <c r="J34" s="5"/>
      <c r="K34" s="5"/>
      <c r="L34" s="22"/>
      <c r="M34" s="14" t="str">
        <f aca="false">IF(D34="","",IF(C34="","Falta a parte",IF(E34="","Falta o tipo",IF(F34="","Decida se é adotado",IF(AND(E34&lt;&gt;"Expectativa",F34="Não"),"Legal ou contratual não pode ser recusado",IF(F34="Não",IF(G34="","Falta a justificativa","Não adotado"),IF(G34="","Falta como atende",IF(H34="","Falta o monitoramento",IF(I34="","Falta a situação",IF(I34="Atende","OK",IF(J34="","Falta a ação",IF(OR(K34="",L34=""),"Ação sem responsável ou prazo","OK"))))))))))))</f>
        <v/>
      </c>
    </row>
    <row r="35" customFormat="false" ht="30" hidden="false" customHeight="true" outlineLevel="0" collapsed="false">
      <c r="B35" s="12" t="n">
        <v>29</v>
      </c>
      <c r="C35" s="5"/>
      <c r="D35" s="5"/>
      <c r="E35" s="13"/>
      <c r="F35" s="13"/>
      <c r="G35" s="5"/>
      <c r="H35" s="5"/>
      <c r="I35" s="13"/>
      <c r="J35" s="5"/>
      <c r="K35" s="5"/>
      <c r="L35" s="22"/>
      <c r="M35" s="14" t="str">
        <f aca="false">IF(D35="","",IF(C35="","Falta a parte",IF(E35="","Falta o tipo",IF(F35="","Decida se é adotado",IF(AND(E35&lt;&gt;"Expectativa",F35="Não"),"Legal ou contratual não pode ser recusado",IF(F35="Não",IF(G35="","Falta a justificativa","Não adotado"),IF(G35="","Falta como atende",IF(H35="","Falta o monitoramento",IF(I35="","Falta a situação",IF(I35="Atende","OK",IF(J35="","Falta a ação",IF(OR(K35="",L35=""),"Ação sem responsável ou prazo","OK"))))))))))))</f>
        <v/>
      </c>
    </row>
    <row r="36" customFormat="false" ht="30" hidden="false" customHeight="true" outlineLevel="0" collapsed="false">
      <c r="B36" s="12" t="n">
        <v>30</v>
      </c>
      <c r="C36" s="5"/>
      <c r="D36" s="5"/>
      <c r="E36" s="13"/>
      <c r="F36" s="13"/>
      <c r="G36" s="5"/>
      <c r="H36" s="5"/>
      <c r="I36" s="13"/>
      <c r="J36" s="5"/>
      <c r="K36" s="5"/>
      <c r="L36" s="22"/>
      <c r="M36" s="14" t="str">
        <f aca="false">IF(D36="","",IF(C36="","Falta a parte",IF(E36="","Falta o tipo",IF(F36="","Decida se é adotado",IF(AND(E36&lt;&gt;"Expectativa",F36="Não"),"Legal ou contratual não pode ser recusado",IF(F36="Não",IF(G36="","Falta a justificativa","Não adotado"),IF(G36="","Falta como atende",IF(H36="","Falta o monitoramento",IF(I36="","Falta a situação",IF(I36="Atende","OK",IF(J36="","Falta a ação",IF(OR(K36="",L36=""),"Ação sem responsável ou prazo","OK"))))))))))))</f>
        <v/>
      </c>
    </row>
    <row r="37" customFormat="false" ht="30" hidden="false" customHeight="true" outlineLevel="0" collapsed="false">
      <c r="B37" s="12" t="n">
        <v>31</v>
      </c>
      <c r="C37" s="5"/>
      <c r="D37" s="5"/>
      <c r="E37" s="13"/>
      <c r="F37" s="13"/>
      <c r="G37" s="5"/>
      <c r="H37" s="5"/>
      <c r="I37" s="13"/>
      <c r="J37" s="5"/>
      <c r="K37" s="5"/>
      <c r="L37" s="22"/>
      <c r="M37" s="14" t="str">
        <f aca="false">IF(D37="","",IF(C37="","Falta a parte",IF(E37="","Falta o tipo",IF(F37="","Decida se é adotado",IF(AND(E37&lt;&gt;"Expectativa",F37="Não"),"Legal ou contratual não pode ser recusado",IF(F37="Não",IF(G37="","Falta a justificativa","Não adotado"),IF(G37="","Falta como atende",IF(H37="","Falta o monitoramento",IF(I37="","Falta a situação",IF(I37="Atende","OK",IF(J37="","Falta a ação",IF(OR(K37="",L37=""),"Ação sem responsável ou prazo","OK"))))))))))))</f>
        <v/>
      </c>
    </row>
    <row r="38" customFormat="false" ht="30" hidden="false" customHeight="true" outlineLevel="0" collapsed="false">
      <c r="B38" s="12" t="n">
        <v>32</v>
      </c>
      <c r="C38" s="5"/>
      <c r="D38" s="5"/>
      <c r="E38" s="13"/>
      <c r="F38" s="13"/>
      <c r="G38" s="5"/>
      <c r="H38" s="5"/>
      <c r="I38" s="13"/>
      <c r="J38" s="5"/>
      <c r="K38" s="5"/>
      <c r="L38" s="22"/>
      <c r="M38" s="14" t="str">
        <f aca="false">IF(D38="","",IF(C38="","Falta a parte",IF(E38="","Falta o tipo",IF(F38="","Decida se é adotado",IF(AND(E38&lt;&gt;"Expectativa",F38="Não"),"Legal ou contratual não pode ser recusado",IF(F38="Não",IF(G38="","Falta a justificativa","Não adotado"),IF(G38="","Falta como atende",IF(H38="","Falta o monitoramento",IF(I38="","Falta a situação",IF(I38="Atende","OK",IF(J38="","Falta a ação",IF(OR(K38="",L38=""),"Ação sem responsável ou prazo","OK"))))))))))))</f>
        <v/>
      </c>
    </row>
    <row r="39" customFormat="false" ht="30" hidden="false" customHeight="true" outlineLevel="0" collapsed="false">
      <c r="B39" s="12" t="n">
        <v>33</v>
      </c>
      <c r="C39" s="5"/>
      <c r="D39" s="5"/>
      <c r="E39" s="13"/>
      <c r="F39" s="13"/>
      <c r="G39" s="5"/>
      <c r="H39" s="5"/>
      <c r="I39" s="13"/>
      <c r="J39" s="5"/>
      <c r="K39" s="5"/>
      <c r="L39" s="22"/>
      <c r="M39" s="14" t="str">
        <f aca="false">IF(D39="","",IF(C39="","Falta a parte",IF(E39="","Falta o tipo",IF(F39="","Decida se é adotado",IF(AND(E39&lt;&gt;"Expectativa",F39="Não"),"Legal ou contratual não pode ser recusado",IF(F39="Não",IF(G39="","Falta a justificativa","Não adotado"),IF(G39="","Falta como atende",IF(H39="","Falta o monitoramento",IF(I39="","Falta a situação",IF(I39="Atende","OK",IF(J39="","Falta a ação",IF(OR(K39="",L39=""),"Ação sem responsável ou prazo","OK"))))))))))))</f>
        <v/>
      </c>
    </row>
    <row r="40" customFormat="false" ht="30" hidden="false" customHeight="true" outlineLevel="0" collapsed="false">
      <c r="B40" s="12" t="n">
        <v>34</v>
      </c>
      <c r="C40" s="5"/>
      <c r="D40" s="5"/>
      <c r="E40" s="13"/>
      <c r="F40" s="13"/>
      <c r="G40" s="5"/>
      <c r="H40" s="5"/>
      <c r="I40" s="13"/>
      <c r="J40" s="5"/>
      <c r="K40" s="5"/>
      <c r="L40" s="22"/>
      <c r="M40" s="14" t="str">
        <f aca="false">IF(D40="","",IF(C40="","Falta a parte",IF(E40="","Falta o tipo",IF(F40="","Decida se é adotado",IF(AND(E40&lt;&gt;"Expectativa",F40="Não"),"Legal ou contratual não pode ser recusado",IF(F40="Não",IF(G40="","Falta a justificativa","Não adotado"),IF(G40="","Falta como atende",IF(H40="","Falta o monitoramento",IF(I40="","Falta a situação",IF(I40="Atende","OK",IF(J40="","Falta a ação",IF(OR(K40="",L40=""),"Ação sem responsável ou prazo","OK"))))))))))))</f>
        <v/>
      </c>
    </row>
    <row r="41" customFormat="false" ht="30" hidden="false" customHeight="true" outlineLevel="0" collapsed="false">
      <c r="B41" s="12" t="n">
        <v>35</v>
      </c>
      <c r="C41" s="5"/>
      <c r="D41" s="5"/>
      <c r="E41" s="13"/>
      <c r="F41" s="13"/>
      <c r="G41" s="5"/>
      <c r="H41" s="5"/>
      <c r="I41" s="13"/>
      <c r="J41" s="5"/>
      <c r="K41" s="5"/>
      <c r="L41" s="22"/>
      <c r="M41" s="14" t="str">
        <f aca="false">IF(D41="","",IF(C41="","Falta a parte",IF(E41="","Falta o tipo",IF(F41="","Decida se é adotado",IF(AND(E41&lt;&gt;"Expectativa",F41="Não"),"Legal ou contratual não pode ser recusado",IF(F41="Não",IF(G41="","Falta a justificativa","Não adotado"),IF(G41="","Falta como atende",IF(H41="","Falta o monitoramento",IF(I41="","Falta a situação",IF(I41="Atende","OK",IF(J41="","Falta a ação",IF(OR(K41="",L41=""),"Ação sem responsável ou prazo","OK"))))))))))))</f>
        <v/>
      </c>
    </row>
    <row r="42" customFormat="false" ht="30" hidden="false" customHeight="true" outlineLevel="0" collapsed="false">
      <c r="B42" s="12" t="n">
        <v>36</v>
      </c>
      <c r="C42" s="5"/>
      <c r="D42" s="5"/>
      <c r="E42" s="13"/>
      <c r="F42" s="13"/>
      <c r="G42" s="5"/>
      <c r="H42" s="5"/>
      <c r="I42" s="13"/>
      <c r="J42" s="5"/>
      <c r="K42" s="5"/>
      <c r="L42" s="22"/>
      <c r="M42" s="14" t="str">
        <f aca="false">IF(D42="","",IF(C42="","Falta a parte",IF(E42="","Falta o tipo",IF(F42="","Decida se é adotado",IF(AND(E42&lt;&gt;"Expectativa",F42="Não"),"Legal ou contratual não pode ser recusado",IF(F42="Não",IF(G42="","Falta a justificativa","Não adotado"),IF(G42="","Falta como atende",IF(H42="","Falta o monitoramento",IF(I42="","Falta a situação",IF(I42="Atende","OK",IF(J42="","Falta a ação",IF(OR(K42="",L42=""),"Ação sem responsável ou prazo","OK"))))))))))))</f>
        <v/>
      </c>
    </row>
    <row r="43" customFormat="false" ht="30" hidden="false" customHeight="true" outlineLevel="0" collapsed="false">
      <c r="B43" s="12" t="n">
        <v>37</v>
      </c>
      <c r="C43" s="5"/>
      <c r="D43" s="5"/>
      <c r="E43" s="13"/>
      <c r="F43" s="13"/>
      <c r="G43" s="5"/>
      <c r="H43" s="5"/>
      <c r="I43" s="13"/>
      <c r="J43" s="5"/>
      <c r="K43" s="5"/>
      <c r="L43" s="22"/>
      <c r="M43" s="14" t="str">
        <f aca="false">IF(D43="","",IF(C43="","Falta a parte",IF(E43="","Falta o tipo",IF(F43="","Decida se é adotado",IF(AND(E43&lt;&gt;"Expectativa",F43="Não"),"Legal ou contratual não pode ser recusado",IF(F43="Não",IF(G43="","Falta a justificativa","Não adotado"),IF(G43="","Falta como atende",IF(H43="","Falta o monitoramento",IF(I43="","Falta a situação",IF(I43="Atende","OK",IF(J43="","Falta a ação",IF(OR(K43="",L43=""),"Ação sem responsável ou prazo","OK"))))))))))))</f>
        <v/>
      </c>
    </row>
    <row r="44" customFormat="false" ht="30" hidden="false" customHeight="true" outlineLevel="0" collapsed="false">
      <c r="B44" s="12" t="n">
        <v>38</v>
      </c>
      <c r="C44" s="5"/>
      <c r="D44" s="5"/>
      <c r="E44" s="13"/>
      <c r="F44" s="13"/>
      <c r="G44" s="5"/>
      <c r="H44" s="5"/>
      <c r="I44" s="13"/>
      <c r="J44" s="5"/>
      <c r="K44" s="5"/>
      <c r="L44" s="22"/>
      <c r="M44" s="14" t="str">
        <f aca="false">IF(D44="","",IF(C44="","Falta a parte",IF(E44="","Falta o tipo",IF(F44="","Decida se é adotado",IF(AND(E44&lt;&gt;"Expectativa",F44="Não"),"Legal ou contratual não pode ser recusado",IF(F44="Não",IF(G44="","Falta a justificativa","Não adotado"),IF(G44="","Falta como atende",IF(H44="","Falta o monitoramento",IF(I44="","Falta a situação",IF(I44="Atende","OK",IF(J44="","Falta a ação",IF(OR(K44="",L44=""),"Ação sem responsável ou prazo","OK"))))))))))))</f>
        <v/>
      </c>
    </row>
    <row r="45" customFormat="false" ht="30" hidden="false" customHeight="true" outlineLevel="0" collapsed="false">
      <c r="B45" s="12" t="n">
        <v>39</v>
      </c>
      <c r="C45" s="5"/>
      <c r="D45" s="5"/>
      <c r="E45" s="13"/>
      <c r="F45" s="13"/>
      <c r="G45" s="5"/>
      <c r="H45" s="5"/>
      <c r="I45" s="13"/>
      <c r="J45" s="5"/>
      <c r="K45" s="5"/>
      <c r="L45" s="22"/>
      <c r="M45" s="14" t="str">
        <f aca="false">IF(D45="","",IF(C45="","Falta a parte",IF(E45="","Falta o tipo",IF(F45="","Decida se é adotado",IF(AND(E45&lt;&gt;"Expectativa",F45="Não"),"Legal ou contratual não pode ser recusado",IF(F45="Não",IF(G45="","Falta a justificativa","Não adotado"),IF(G45="","Falta como atende",IF(H45="","Falta o monitoramento",IF(I45="","Falta a situação",IF(I45="Atende","OK",IF(J45="","Falta a ação",IF(OR(K45="",L45=""),"Ação sem responsável ou prazo","OK"))))))))))))</f>
        <v/>
      </c>
    </row>
    <row r="46" customFormat="false" ht="30" hidden="false" customHeight="true" outlineLevel="0" collapsed="false">
      <c r="B46" s="12" t="n">
        <v>40</v>
      </c>
      <c r="C46" s="5"/>
      <c r="D46" s="5"/>
      <c r="E46" s="13"/>
      <c r="F46" s="13"/>
      <c r="G46" s="5"/>
      <c r="H46" s="5"/>
      <c r="I46" s="13"/>
      <c r="J46" s="5"/>
      <c r="K46" s="5"/>
      <c r="L46" s="22"/>
      <c r="M46" s="14" t="str">
        <f aca="false">IF(D46="","",IF(C46="","Falta a parte",IF(E46="","Falta o tipo",IF(F46="","Decida se é adotado",IF(AND(E46&lt;&gt;"Expectativa",F46="Não"),"Legal ou contratual não pode ser recusado",IF(F46="Não",IF(G46="","Falta a justificativa","Não adotado"),IF(G46="","Falta como atende",IF(H46="","Falta o monitoramento",IF(I46="","Falta a situação",IF(I46="Atende","OK",IF(J46="","Falta a ação",IF(OR(K46="",L46=""),"Ação sem responsável ou prazo","OK"))))))))))))</f>
        <v/>
      </c>
    </row>
    <row r="48" customFormat="false" ht="21.75" hidden="false" customHeight="true" outlineLevel="0" collapsed="false">
      <c r="B48" s="17" t="s">
        <v>96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customFormat="false" ht="21.75" hidden="false" customHeight="true" outlineLevel="0" collapsed="false">
      <c r="B49" s="18" t="s">
        <v>124</v>
      </c>
      <c r="C49" s="18"/>
      <c r="D49" s="18"/>
      <c r="E49" s="4" t="n">
        <f aca="false">COUNTA(D7:D46)</f>
        <v>0</v>
      </c>
      <c r="F49" s="4"/>
      <c r="G49" s="4"/>
    </row>
    <row r="50" customFormat="false" ht="21.75" hidden="false" customHeight="true" outlineLevel="0" collapsed="false">
      <c r="B50" s="18" t="s">
        <v>125</v>
      </c>
      <c r="C50" s="18"/>
      <c r="D50" s="18"/>
      <c r="E50" s="4" t="n">
        <f aca="false">COUNTIF(F7:F46,"Sim")</f>
        <v>0</v>
      </c>
      <c r="F50" s="4"/>
      <c r="G50" s="4"/>
    </row>
    <row r="51" customFormat="false" ht="21.75" hidden="false" customHeight="true" outlineLevel="0" collapsed="false">
      <c r="B51" s="18" t="s">
        <v>126</v>
      </c>
      <c r="C51" s="18"/>
      <c r="D51" s="18"/>
      <c r="E51" s="4" t="n">
        <f aca="false">COUNTIF(F7:F46,"Não")</f>
        <v>0</v>
      </c>
      <c r="F51" s="4"/>
      <c r="G51" s="4"/>
    </row>
    <row r="52" customFormat="false" ht="21.75" hidden="false" customHeight="true" outlineLevel="0" collapsed="false">
      <c r="B52" s="18" t="s">
        <v>127</v>
      </c>
      <c r="C52" s="18"/>
      <c r="D52" s="18"/>
      <c r="E52" s="23" t="str">
        <f aca="false">IF(COUNTIF(F7:F46,"Sim")=0,"",(COUNTIFS(F7:F46,"Sim",I7:I46,"Atende")+0.5*COUNTIFS(F7:F46,"Sim",I7:I46,"Atende em parte"))/COUNTIF(F7:F46,"Sim"))</f>
        <v/>
      </c>
      <c r="F52" s="23"/>
      <c r="G52" s="23"/>
    </row>
    <row r="53" customFormat="false" ht="21.75" hidden="false" customHeight="true" outlineLevel="0" collapsed="false">
      <c r="B53" s="18" t="s">
        <v>128</v>
      </c>
      <c r="C53" s="18"/>
      <c r="D53" s="18"/>
      <c r="E53" s="4" t="n">
        <f aca="false">COUNTIFS(F7:F46,"Sim",I7:I46,"Atende em parte")+COUNTIFS(F7:F46,"Sim",I7:I46,"Não atende")</f>
        <v>0</v>
      </c>
      <c r="F53" s="4"/>
      <c r="G53" s="4"/>
    </row>
    <row r="54" customFormat="false" ht="21.75" hidden="false" customHeight="true" outlineLevel="0" collapsed="false">
      <c r="B54" s="18" t="s">
        <v>100</v>
      </c>
      <c r="C54" s="18"/>
      <c r="D54" s="18"/>
      <c r="E54" s="20" t="str">
        <f aca="false">IF(E49=0,"Registre os requisitos",IF(COUNTIF(M7:M46,"OK")+COUNTIF(M7:M46,"Não adotado")&lt;E49,"Há requisito a rever: veja a coluna Conferência",IF(COUNTIFS(E7:E46,"Legal",I7:I46,"Não atende")&gt;0,"Há requisito legal não atendido",IF(COUNTIF(Partes!M11:M22,"Parte pertinente sem requisito")&gt;0,"Há parte pertinente sem requisito: veja a aba Partes","OK"))))</f>
        <v>Registre os requisitos</v>
      </c>
      <c r="F54" s="20"/>
      <c r="G54" s="20"/>
    </row>
  </sheetData>
  <mergeCells count="15">
    <mergeCell ref="B1:M1"/>
    <mergeCell ref="B2:M2"/>
    <mergeCell ref="B48:M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</mergeCells>
  <conditionalFormatting sqref="I7:I46">
    <cfRule type="expression" priority="2" aboveAverage="0" equalAverage="0" bottom="0" percent="0" rank="0" text="" dxfId="3">
      <formula>I7="Atende"</formula>
    </cfRule>
    <cfRule type="expression" priority="3" aboveAverage="0" equalAverage="0" bottom="0" percent="0" rank="0" text="" dxfId="4">
      <formula>I7="Atende em parte"</formula>
    </cfRule>
    <cfRule type="expression" priority="4" aboveAverage="0" equalAverage="0" bottom="0" percent="0" rank="0" text="" dxfId="5">
      <formula>I7="Não atende"</formula>
    </cfRule>
  </conditionalFormatting>
  <conditionalFormatting sqref="M7:M46">
    <cfRule type="expression" priority="5" aboveAverage="0" equalAverage="0" bottom="0" percent="0" rank="0" text="" dxfId="3">
      <formula>OR(M7="OK",M7="Não adotado")</formula>
    </cfRule>
    <cfRule type="expression" priority="6" aboveAverage="0" equalAverage="0" bottom="0" percent="0" rank="0" text="" dxfId="4">
      <formula>AND(LEN(M7)&gt;0,NOT(OR(M7="OK",M7="Não adotado")))</formula>
    </cfRule>
  </conditionalFormatting>
  <conditionalFormatting sqref="E54:G54">
    <cfRule type="expression" priority="7" aboveAverage="0" equalAverage="0" bottom="0" percent="0" rank="0" text="" dxfId="3">
      <formula>OR(E54="OK")</formula>
    </cfRule>
    <cfRule type="expression" priority="8" aboveAverage="0" equalAverage="0" bottom="0" percent="0" rank="0" text="" dxfId="4">
      <formula>AND(LEN(E54)&gt;0,NOT(OR(E54="OK")))</formula>
    </cfRule>
  </conditionalFormatting>
  <dataValidations count="5">
    <dataValidation allowBlank="true" error="Escolha uma parte cadastrada na aba Partes." errorStyle="stop" errorTitle="Parte inválida" operator="between" prompt="Escolha uma parte da lista da aba Partes." promptTitle="Parte" showDropDown="false" showErrorMessage="true" showInputMessage="true" sqref="C7:C46" type="list">
      <formula1>Partes!$C$11:$C$22</formula1>
      <formula2>0</formula2>
    </dataValidation>
    <dataValidation allowBlank="true" error="Escolha uma das opções da lista." errorStyle="stop" errorTitle="Valor inválido" operator="between" prompt="Legal, contratual ou expectativa" promptTitle="Opções" showDropDown="false" showErrorMessage="true" showInputMessage="true" sqref="E7:E46" type="list">
      <formula1>"Legal,Contratual,Expectativa"</formula1>
      <formula2>0</formula2>
    </dataValidation>
    <dataValidation allowBlank="true" error="Escolha uma das opções da lista." errorStyle="stop" errorTitle="Valor inválido" operator="between" prompt="A organização adota este requisito?" promptTitle="Opções" showDropDown="false" showErrorMessage="true" showInputMessage="true" sqref="F7:F46" type="list">
      <formula1>"Sim,Não"</formula1>
      <formula2>0</formula2>
    </dataValidation>
    <dataValidation allowBlank="true" error="Escolha uma das opções da lista." errorStyle="stop" errorTitle="Valor inválido" operator="between" prompt="Situação do requisito adotado" promptTitle="Opções" showDropDown="false" showErrorMessage="true" showInputMessage="true" sqref="I7:I46" type="list">
      <formula1>"Atende,Atende em parte,Não atende"</formula1>
      <formula2>0</formula2>
    </dataValidation>
    <dataValidation allowBlank="true" error="Digite uma data no formato dia/mês/ano." errorStyle="stop" errorTitle="Data inválida" operator="greaterThanOrEqual" showDropDown="false" showErrorMessage="true" showInputMessage="false" sqref="L7:L46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8" min="4" style="0" width="15"/>
    <col collapsed="false" customWidth="true" hidden="false" outlineLevel="0" max="9" min="9" style="0" width="2"/>
  </cols>
  <sheetData>
    <row r="1" customFormat="false" ht="31.5" hidden="false" customHeight="true" outlineLevel="0" collapsed="false">
      <c r="B1" s="1" t="s">
        <v>129</v>
      </c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B2" s="2" t="s">
        <v>130</v>
      </c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D4" s="24" t="s">
        <v>131</v>
      </c>
      <c r="E4" s="24"/>
      <c r="F4" s="24"/>
      <c r="G4" s="24"/>
      <c r="H4" s="24"/>
    </row>
    <row r="5" customFormat="false" ht="21.75" hidden="false" customHeight="true" outlineLevel="0" collapsed="false">
      <c r="B5" s="25" t="s">
        <v>132</v>
      </c>
      <c r="C5" s="25"/>
      <c r="D5" s="8" t="s">
        <v>133</v>
      </c>
      <c r="E5" s="8" t="s">
        <v>134</v>
      </c>
      <c r="F5" s="8" t="s">
        <v>135</v>
      </c>
      <c r="G5" s="8" t="s">
        <v>136</v>
      </c>
      <c r="H5" s="8" t="s">
        <v>137</v>
      </c>
    </row>
    <row r="6" customFormat="false" ht="42" hidden="false" customHeight="true" outlineLevel="0" collapsed="false">
      <c r="B6" s="26" t="s">
        <v>138</v>
      </c>
      <c r="C6" s="8" t="s">
        <v>137</v>
      </c>
      <c r="D6" s="27" t="str">
        <f aca="false">IF(COUNTIFS(Partes!$F$11:$F$22,5,Partes!$G$11:$G$22,1)=0,"",COUNTIFS(Partes!$F$11:$F$22,5,Partes!$G$11:$G$22,1))</f>
        <v/>
      </c>
      <c r="E6" s="27" t="str">
        <f aca="false">IF(COUNTIFS(Partes!$F$11:$F$22,5,Partes!$G$11:$G$22,2)=0,"",COUNTIFS(Partes!$F$11:$F$22,5,Partes!$G$11:$G$22,2))</f>
        <v/>
      </c>
      <c r="F6" s="27" t="str">
        <f aca="false">IF(COUNTIFS(Partes!$F$11:$F$22,5,Partes!$G$11:$G$22,3)=0,"",COUNTIFS(Partes!$F$11:$F$22,5,Partes!$G$11:$G$22,3))</f>
        <v/>
      </c>
      <c r="G6" s="28" t="str">
        <f aca="false">IF(COUNTIFS(Partes!$F$11:$F$22,5,Partes!$G$11:$G$22,4)=0,"",COUNTIFS(Partes!$F$11:$F$22,5,Partes!$G$11:$G$22,4))</f>
        <v/>
      </c>
      <c r="H6" s="28" t="str">
        <f aca="false">IF(COUNTIFS(Partes!$F$11:$F$22,5,Partes!$G$11:$G$22,5)=0,"",COUNTIFS(Partes!$F$11:$F$22,5,Partes!$G$11:$G$22,5))</f>
        <v/>
      </c>
    </row>
    <row r="7" customFormat="false" ht="42" hidden="false" customHeight="true" outlineLevel="0" collapsed="false">
      <c r="B7" s="26" t="s">
        <v>138</v>
      </c>
      <c r="C7" s="8" t="s">
        <v>136</v>
      </c>
      <c r="D7" s="27" t="str">
        <f aca="false">IF(COUNTIFS(Partes!$F$11:$F$22,4,Partes!$G$11:$G$22,1)=0,"",COUNTIFS(Partes!$F$11:$F$22,4,Partes!$G$11:$G$22,1))</f>
        <v/>
      </c>
      <c r="E7" s="27" t="str">
        <f aca="false">IF(COUNTIFS(Partes!$F$11:$F$22,4,Partes!$G$11:$G$22,2)=0,"",COUNTIFS(Partes!$F$11:$F$22,4,Partes!$G$11:$G$22,2))</f>
        <v/>
      </c>
      <c r="F7" s="27" t="str">
        <f aca="false">IF(COUNTIFS(Partes!$F$11:$F$22,4,Partes!$G$11:$G$22,3)=0,"",COUNTIFS(Partes!$F$11:$F$22,4,Partes!$G$11:$G$22,3))</f>
        <v/>
      </c>
      <c r="G7" s="28" t="str">
        <f aca="false">IF(COUNTIFS(Partes!$F$11:$F$22,4,Partes!$G$11:$G$22,4)=0,"",COUNTIFS(Partes!$F$11:$F$22,4,Partes!$G$11:$G$22,4))</f>
        <v/>
      </c>
      <c r="H7" s="28" t="str">
        <f aca="false">IF(COUNTIFS(Partes!$F$11:$F$22,4,Partes!$G$11:$G$22,5)=0,"",COUNTIFS(Partes!$F$11:$F$22,4,Partes!$G$11:$G$22,5))</f>
        <v/>
      </c>
    </row>
    <row r="8" customFormat="false" ht="42" hidden="false" customHeight="true" outlineLevel="0" collapsed="false">
      <c r="B8" s="26" t="s">
        <v>139</v>
      </c>
      <c r="C8" s="8" t="s">
        <v>135</v>
      </c>
      <c r="D8" s="29" t="str">
        <f aca="false">IF(COUNTIFS(Partes!$F$11:$F$22,3,Partes!$G$11:$G$22,1)=0,"",COUNTIFS(Partes!$F$11:$F$22,3,Partes!$G$11:$G$22,1))</f>
        <v/>
      </c>
      <c r="E8" s="29" t="str">
        <f aca="false">IF(COUNTIFS(Partes!$F$11:$F$22,3,Partes!$G$11:$G$22,2)=0,"",COUNTIFS(Partes!$F$11:$F$22,3,Partes!$G$11:$G$22,2))</f>
        <v/>
      </c>
      <c r="F8" s="29" t="str">
        <f aca="false">IF(COUNTIFS(Partes!$F$11:$F$22,3,Partes!$G$11:$G$22,3)=0,"",COUNTIFS(Partes!$F$11:$F$22,3,Partes!$G$11:$G$22,3))</f>
        <v/>
      </c>
      <c r="G8" s="30" t="str">
        <f aca="false">IF(COUNTIFS(Partes!$F$11:$F$22,3,Partes!$G$11:$G$22,4)=0,"",COUNTIFS(Partes!$F$11:$F$22,3,Partes!$G$11:$G$22,4))</f>
        <v/>
      </c>
      <c r="H8" s="30" t="str">
        <f aca="false">IF(COUNTIFS(Partes!$F$11:$F$22,3,Partes!$G$11:$G$22,5)=0,"",COUNTIFS(Partes!$F$11:$F$22,3,Partes!$G$11:$G$22,5))</f>
        <v/>
      </c>
    </row>
    <row r="9" customFormat="false" ht="42" hidden="false" customHeight="true" outlineLevel="0" collapsed="false">
      <c r="B9" s="26" t="s">
        <v>139</v>
      </c>
      <c r="C9" s="8" t="s">
        <v>134</v>
      </c>
      <c r="D9" s="29" t="str">
        <f aca="false">IF(COUNTIFS(Partes!$F$11:$F$22,2,Partes!$G$11:$G$22,1)=0,"",COUNTIFS(Partes!$F$11:$F$22,2,Partes!$G$11:$G$22,1))</f>
        <v/>
      </c>
      <c r="E9" s="29" t="str">
        <f aca="false">IF(COUNTIFS(Partes!$F$11:$F$22,2,Partes!$G$11:$G$22,2)=0,"",COUNTIFS(Partes!$F$11:$F$22,2,Partes!$G$11:$G$22,2))</f>
        <v/>
      </c>
      <c r="F9" s="29" t="str">
        <f aca="false">IF(COUNTIFS(Partes!$F$11:$F$22,2,Partes!$G$11:$G$22,3)=0,"",COUNTIFS(Partes!$F$11:$F$22,2,Partes!$G$11:$G$22,3))</f>
        <v/>
      </c>
      <c r="G9" s="30" t="str">
        <f aca="false">IF(COUNTIFS(Partes!$F$11:$F$22,2,Partes!$G$11:$G$22,4)=0,"",COUNTIFS(Partes!$F$11:$F$22,2,Partes!$G$11:$G$22,4))</f>
        <v/>
      </c>
      <c r="H9" s="30" t="str">
        <f aca="false">IF(COUNTIFS(Partes!$F$11:$F$22,2,Partes!$G$11:$G$22,5)=0,"",COUNTIFS(Partes!$F$11:$F$22,2,Partes!$G$11:$G$22,5))</f>
        <v/>
      </c>
    </row>
    <row r="10" customFormat="false" ht="42" hidden="false" customHeight="true" outlineLevel="0" collapsed="false">
      <c r="B10" s="26" t="s">
        <v>139</v>
      </c>
      <c r="C10" s="8" t="s">
        <v>133</v>
      </c>
      <c r="D10" s="29" t="str">
        <f aca="false">IF(COUNTIFS(Partes!$F$11:$F$22,1,Partes!$G$11:$G$22,1)=0,"",COUNTIFS(Partes!$F$11:$F$22,1,Partes!$G$11:$G$22,1))</f>
        <v/>
      </c>
      <c r="E10" s="29" t="str">
        <f aca="false">IF(COUNTIFS(Partes!$F$11:$F$22,1,Partes!$G$11:$G$22,2)=0,"",COUNTIFS(Partes!$F$11:$F$22,1,Partes!$G$11:$G$22,2))</f>
        <v/>
      </c>
      <c r="F10" s="29" t="str">
        <f aca="false">IF(COUNTIFS(Partes!$F$11:$F$22,1,Partes!$G$11:$G$22,3)=0,"",COUNTIFS(Partes!$F$11:$F$22,1,Partes!$G$11:$G$22,3))</f>
        <v/>
      </c>
      <c r="G10" s="30" t="str">
        <f aca="false">IF(COUNTIFS(Partes!$F$11:$F$22,1,Partes!$G$11:$G$22,4)=0,"",COUNTIFS(Partes!$F$11:$F$22,1,Partes!$G$11:$G$22,4))</f>
        <v/>
      </c>
      <c r="H10" s="30" t="str">
        <f aca="false">IF(COUNTIFS(Partes!$F$11:$F$22,1,Partes!$G$11:$G$22,5)=0,"",COUNTIFS(Partes!$F$11:$F$22,1,Partes!$G$11:$G$22,5))</f>
        <v/>
      </c>
    </row>
    <row r="11" customFormat="false" ht="18" hidden="false" customHeight="true" outlineLevel="0" collapsed="false">
      <c r="B11" s="6"/>
      <c r="C11" s="6"/>
      <c r="D11" s="26" t="s">
        <v>140</v>
      </c>
      <c r="E11" s="26" t="s">
        <v>140</v>
      </c>
      <c r="F11" s="26" t="s">
        <v>140</v>
      </c>
      <c r="G11" s="26" t="s">
        <v>141</v>
      </c>
      <c r="H11" s="26" t="s">
        <v>141</v>
      </c>
    </row>
    <row r="13" customFormat="false" ht="21.75" hidden="false" customHeight="true" outlineLevel="0" collapsed="false">
      <c r="B13" s="17" t="s">
        <v>142</v>
      </c>
      <c r="C13" s="17"/>
      <c r="D13" s="17"/>
      <c r="E13" s="17"/>
      <c r="F13" s="17"/>
      <c r="G13" s="17"/>
      <c r="H13" s="17"/>
    </row>
    <row r="14" customFormat="false" ht="21.75" hidden="false" customHeight="true" outlineLevel="0" collapsed="false">
      <c r="B14" s="31" t="s">
        <v>16</v>
      </c>
      <c r="C14" s="31"/>
      <c r="D14" s="31" t="s">
        <v>40</v>
      </c>
      <c r="E14" s="31" t="s">
        <v>143</v>
      </c>
      <c r="F14" s="31"/>
      <c r="G14" s="31"/>
      <c r="H14" s="31"/>
    </row>
    <row r="15" customFormat="false" ht="45" hidden="false" customHeight="true" outlineLevel="0" collapsed="false">
      <c r="B15" s="32" t="s">
        <v>144</v>
      </c>
      <c r="C15" s="32"/>
      <c r="D15" s="31" t="n">
        <f aca="false">COUNTIF(Partes!$I$11:$I$22,"Gerir de perto")</f>
        <v>0</v>
      </c>
      <c r="E15" s="20" t="str">
        <f aca="false">IFERROR(INDEX(Partes!$C$11:$C$22,MATCH("Gerir de perto|1",Partes!$O$11:$O$22,0)),"")&amp;IFERROR("; "&amp;INDEX(Partes!$C$11:$C$22,MATCH("Gerir de perto|2",Partes!$O$11:$O$22,0)),"")&amp;IFERROR("; "&amp;INDEX(Partes!$C$11:$C$22,MATCH("Gerir de perto|3",Partes!$O$11:$O$22,0)),"")&amp;IFERROR("; "&amp;INDEX(Partes!$C$11:$C$22,MATCH("Gerir de perto|4",Partes!$O$11:$O$22,0)),"")&amp;IFERROR("; "&amp;INDEX(Partes!$C$11:$C$22,MATCH("Gerir de perto|5",Partes!$O$11:$O$22,0)),"")&amp;IFERROR("; "&amp;INDEX(Partes!$C$11:$C$22,MATCH("Gerir de perto|6",Partes!$O$11:$O$22,0)),"")&amp;IFERROR("; "&amp;INDEX(Partes!$C$11:$C$22,MATCH("Gerir de perto|7",Partes!$O$11:$O$22,0)),"")&amp;IFERROR("; "&amp;INDEX(Partes!$C$11:$C$22,MATCH("Gerir de perto|8",Partes!$O$11:$O$22,0)),"")&amp;IFERROR("; "&amp;INDEX(Partes!$C$11:$C$22,MATCH("Gerir de perto|9",Partes!$O$11:$O$22,0)),"")&amp;IFERROR("; "&amp;INDEX(Partes!$C$11:$C$22,MATCH("Gerir de perto|10",Partes!$O$11:$O$22,0)),"")&amp;IFERROR("; "&amp;INDEX(Partes!$C$11:$C$22,MATCH("Gerir de perto|11",Partes!$O$11:$O$22,0)),"")&amp;IFERROR("; "&amp;INDEX(Partes!$C$11:$C$22,MATCH("Gerir de perto|12",Partes!$O$11:$O$22,0)),"")</f>
        <v/>
      </c>
      <c r="F15" s="20"/>
      <c r="G15" s="20"/>
      <c r="H15" s="20"/>
    </row>
    <row r="16" customFormat="false" ht="45" hidden="false" customHeight="true" outlineLevel="0" collapsed="false">
      <c r="B16" s="33" t="s">
        <v>92</v>
      </c>
      <c r="C16" s="33"/>
      <c r="D16" s="31" t="n">
        <f aca="false">COUNTIF(Partes!$I$11:$I$22,"Manter satisfeito")</f>
        <v>0</v>
      </c>
      <c r="E16" s="20" t="str">
        <f aca="false">IFERROR(INDEX(Partes!$C$11:$C$22,MATCH("Manter satisfeito|1",Partes!$O$11:$O$22,0)),"")&amp;IFERROR("; "&amp;INDEX(Partes!$C$11:$C$22,MATCH("Manter satisfeito|2",Partes!$O$11:$O$22,0)),"")&amp;IFERROR("; "&amp;INDEX(Partes!$C$11:$C$22,MATCH("Manter satisfeito|3",Partes!$O$11:$O$22,0)),"")&amp;IFERROR("; "&amp;INDEX(Partes!$C$11:$C$22,MATCH("Manter satisfeito|4",Partes!$O$11:$O$22,0)),"")&amp;IFERROR("; "&amp;INDEX(Partes!$C$11:$C$22,MATCH("Manter satisfeito|5",Partes!$O$11:$O$22,0)),"")&amp;IFERROR("; "&amp;INDEX(Partes!$C$11:$C$22,MATCH("Manter satisfeito|6",Partes!$O$11:$O$22,0)),"")&amp;IFERROR("; "&amp;INDEX(Partes!$C$11:$C$22,MATCH("Manter satisfeito|7",Partes!$O$11:$O$22,0)),"")&amp;IFERROR("; "&amp;INDEX(Partes!$C$11:$C$22,MATCH("Manter satisfeito|8",Partes!$O$11:$O$22,0)),"")&amp;IFERROR("; "&amp;INDEX(Partes!$C$11:$C$22,MATCH("Manter satisfeito|9",Partes!$O$11:$O$22,0)),"")&amp;IFERROR("; "&amp;INDEX(Partes!$C$11:$C$22,MATCH("Manter satisfeito|10",Partes!$O$11:$O$22,0)),"")&amp;IFERROR("; "&amp;INDEX(Partes!$C$11:$C$22,MATCH("Manter satisfeito|11",Partes!$O$11:$O$22,0)),"")&amp;IFERROR("; "&amp;INDEX(Partes!$C$11:$C$22,MATCH("Manter satisfeito|12",Partes!$O$11:$O$22,0)),"")</f>
        <v/>
      </c>
      <c r="F16" s="20"/>
      <c r="G16" s="20"/>
      <c r="H16" s="20"/>
    </row>
    <row r="17" customFormat="false" ht="45" hidden="false" customHeight="true" outlineLevel="0" collapsed="false">
      <c r="B17" s="34" t="s">
        <v>145</v>
      </c>
      <c r="C17" s="34"/>
      <c r="D17" s="31" t="n">
        <f aca="false">COUNTIF(Partes!$I$11:$I$22,"Manter informado")</f>
        <v>0</v>
      </c>
      <c r="E17" s="20" t="str">
        <f aca="false">IFERROR(INDEX(Partes!$C$11:$C$22,MATCH("Manter informado|1",Partes!$O$11:$O$22,0)),"")&amp;IFERROR("; "&amp;INDEX(Partes!$C$11:$C$22,MATCH("Manter informado|2",Partes!$O$11:$O$22,0)),"")&amp;IFERROR("; "&amp;INDEX(Partes!$C$11:$C$22,MATCH("Manter informado|3",Partes!$O$11:$O$22,0)),"")&amp;IFERROR("; "&amp;INDEX(Partes!$C$11:$C$22,MATCH("Manter informado|4",Partes!$O$11:$O$22,0)),"")&amp;IFERROR("; "&amp;INDEX(Partes!$C$11:$C$22,MATCH("Manter informado|5",Partes!$O$11:$O$22,0)),"")&amp;IFERROR("; "&amp;INDEX(Partes!$C$11:$C$22,MATCH("Manter informado|6",Partes!$O$11:$O$22,0)),"")&amp;IFERROR("; "&amp;INDEX(Partes!$C$11:$C$22,MATCH("Manter informado|7",Partes!$O$11:$O$22,0)),"")&amp;IFERROR("; "&amp;INDEX(Partes!$C$11:$C$22,MATCH("Manter informado|8",Partes!$O$11:$O$22,0)),"")&amp;IFERROR("; "&amp;INDEX(Partes!$C$11:$C$22,MATCH("Manter informado|9",Partes!$O$11:$O$22,0)),"")&amp;IFERROR("; "&amp;INDEX(Partes!$C$11:$C$22,MATCH("Manter informado|10",Partes!$O$11:$O$22,0)),"")&amp;IFERROR("; "&amp;INDEX(Partes!$C$11:$C$22,MATCH("Manter informado|11",Partes!$O$11:$O$22,0)),"")&amp;IFERROR("; "&amp;INDEX(Partes!$C$11:$C$22,MATCH("Manter informado|12",Partes!$O$11:$O$22,0)),"")</f>
        <v/>
      </c>
      <c r="F17" s="20"/>
      <c r="G17" s="20"/>
      <c r="H17" s="20"/>
    </row>
    <row r="18" customFormat="false" ht="45" hidden="false" customHeight="true" outlineLevel="0" collapsed="false">
      <c r="B18" s="4" t="s">
        <v>146</v>
      </c>
      <c r="C18" s="4"/>
      <c r="D18" s="31" t="n">
        <f aca="false">COUNTIF(Partes!$I$11:$I$22,"Monitorar")</f>
        <v>0</v>
      </c>
      <c r="E18" s="20" t="str">
        <f aca="false">IFERROR(INDEX(Partes!$C$11:$C$22,MATCH("Monitorar|1",Partes!$O$11:$O$22,0)),"")&amp;IFERROR("; "&amp;INDEX(Partes!$C$11:$C$22,MATCH("Monitorar|2",Partes!$O$11:$O$22,0)),"")&amp;IFERROR("; "&amp;INDEX(Partes!$C$11:$C$22,MATCH("Monitorar|3",Partes!$O$11:$O$22,0)),"")&amp;IFERROR("; "&amp;INDEX(Partes!$C$11:$C$22,MATCH("Monitorar|4",Partes!$O$11:$O$22,0)),"")&amp;IFERROR("; "&amp;INDEX(Partes!$C$11:$C$22,MATCH("Monitorar|5",Partes!$O$11:$O$22,0)),"")&amp;IFERROR("; "&amp;INDEX(Partes!$C$11:$C$22,MATCH("Monitorar|6",Partes!$O$11:$O$22,0)),"")&amp;IFERROR("; "&amp;INDEX(Partes!$C$11:$C$22,MATCH("Monitorar|7",Partes!$O$11:$O$22,0)),"")&amp;IFERROR("; "&amp;INDEX(Partes!$C$11:$C$22,MATCH("Monitorar|8",Partes!$O$11:$O$22,0)),"")&amp;IFERROR("; "&amp;INDEX(Partes!$C$11:$C$22,MATCH("Monitorar|9",Partes!$O$11:$O$22,0)),"")&amp;IFERROR("; "&amp;INDEX(Partes!$C$11:$C$22,MATCH("Monitorar|10",Partes!$O$11:$O$22,0)),"")&amp;IFERROR("; "&amp;INDEX(Partes!$C$11:$C$22,MATCH("Monitorar|11",Partes!$O$11:$O$22,0)),"")&amp;IFERROR("; "&amp;INDEX(Partes!$C$11:$C$22,MATCH("Monitorar|12",Partes!$O$11:$O$22,0)),"")</f>
        <v/>
      </c>
      <c r="F18" s="20"/>
      <c r="G18" s="20"/>
      <c r="H18" s="20"/>
    </row>
    <row r="20" customFormat="false" ht="21.75" hidden="false" customHeight="true" outlineLevel="0" collapsed="false">
      <c r="B20" s="17" t="s">
        <v>147</v>
      </c>
      <c r="C20" s="17"/>
      <c r="D20" s="17"/>
      <c r="E20" s="17"/>
      <c r="F20" s="17"/>
      <c r="G20" s="17"/>
      <c r="H20" s="17"/>
    </row>
    <row r="21" customFormat="false" ht="30" hidden="false" customHeight="true" outlineLevel="0" collapsed="false">
      <c r="B21" s="32" t="s">
        <v>144</v>
      </c>
      <c r="C21" s="32"/>
      <c r="D21" s="6" t="s">
        <v>148</v>
      </c>
      <c r="E21" s="6"/>
      <c r="F21" s="6"/>
      <c r="G21" s="6"/>
      <c r="H21" s="6"/>
    </row>
    <row r="22" customFormat="false" ht="30" hidden="false" customHeight="true" outlineLevel="0" collapsed="false">
      <c r="B22" s="33" t="s">
        <v>92</v>
      </c>
      <c r="C22" s="33"/>
      <c r="D22" s="6" t="s">
        <v>149</v>
      </c>
      <c r="E22" s="6"/>
      <c r="F22" s="6"/>
      <c r="G22" s="6"/>
      <c r="H22" s="6"/>
    </row>
    <row r="23" customFormat="false" ht="30" hidden="false" customHeight="true" outlineLevel="0" collapsed="false">
      <c r="B23" s="34" t="s">
        <v>145</v>
      </c>
      <c r="C23" s="34"/>
      <c r="D23" s="6" t="s">
        <v>150</v>
      </c>
      <c r="E23" s="6"/>
      <c r="F23" s="6"/>
      <c r="G23" s="6"/>
      <c r="H23" s="6"/>
    </row>
    <row r="24" customFormat="false" ht="30" hidden="false" customHeight="true" outlineLevel="0" collapsed="false">
      <c r="B24" s="4" t="s">
        <v>146</v>
      </c>
      <c r="C24" s="4"/>
      <c r="D24" s="6" t="s">
        <v>151</v>
      </c>
      <c r="E24" s="6"/>
      <c r="F24" s="6"/>
      <c r="G24" s="6"/>
      <c r="H24" s="6"/>
    </row>
    <row r="26" customFormat="false" ht="21.75" hidden="false" customHeight="true" outlineLevel="0" collapsed="false">
      <c r="B26" s="18" t="s">
        <v>100</v>
      </c>
      <c r="C26" s="18"/>
      <c r="D26" s="20" t="str">
        <f aca="false">IF(COUNT(Partes!F11:F22)=0,"Dê as notas na aba Partes",IF(D15&gt;COUNTA(Partes!C11:C22)/2,"Mais da metade das partes em gerir de perto: reveja as notas",IF(D18=0,"Nenhuma parte só monitorada: a lista pode estar incompleta","OK")))</f>
        <v>Dê as notas na aba Partes</v>
      </c>
      <c r="E26" s="20"/>
      <c r="F26" s="20"/>
      <c r="G26" s="20"/>
      <c r="H26" s="20"/>
    </row>
  </sheetData>
  <mergeCells count="27">
    <mergeCell ref="B1:H1"/>
    <mergeCell ref="B2:H2"/>
    <mergeCell ref="D4:H4"/>
    <mergeCell ref="B5:C5"/>
    <mergeCell ref="B11:C11"/>
    <mergeCell ref="B13:H13"/>
    <mergeCell ref="B14:C14"/>
    <mergeCell ref="E14:H14"/>
    <mergeCell ref="B15:C15"/>
    <mergeCell ref="E15:H15"/>
    <mergeCell ref="B16:C16"/>
    <mergeCell ref="E16:H16"/>
    <mergeCell ref="B17:C17"/>
    <mergeCell ref="E17:H17"/>
    <mergeCell ref="B18:C18"/>
    <mergeCell ref="E18:H18"/>
    <mergeCell ref="B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6:C26"/>
    <mergeCell ref="D26:H26"/>
  </mergeCells>
  <conditionalFormatting sqref="D26:H26">
    <cfRule type="expression" priority="2" aboveAverage="0" equalAverage="0" bottom="0" percent="0" rank="0" text="" dxfId="3">
      <formula>OR(D26="OK")</formula>
    </cfRule>
    <cfRule type="expression" priority="3" aboveAverage="0" equalAverage="0" bottom="0" percent="0" rank="0" text="" dxfId="4">
      <formula>AND(LEN(D26)&gt;0,NOT(OR(D26="OK")))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3"/>
    <col collapsed="false" customWidth="true" hidden="false" outlineLevel="0" max="11" min="11" style="0" width="28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152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153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B4" s="4" t="s">
        <v>154</v>
      </c>
      <c r="C4" s="4"/>
      <c r="D4" s="22"/>
      <c r="E4" s="11" t="s">
        <v>155</v>
      </c>
      <c r="F4" s="11"/>
      <c r="G4" s="11"/>
      <c r="H4" s="11"/>
      <c r="I4" s="11"/>
      <c r="J4" s="11"/>
      <c r="K4" s="11"/>
    </row>
    <row r="6" customFormat="false" ht="21.75" hidden="false" customHeight="true" outlineLevel="0" collapsed="false">
      <c r="B6" s="8" t="s">
        <v>156</v>
      </c>
      <c r="C6" s="8"/>
      <c r="D6" s="8" t="s">
        <v>157</v>
      </c>
      <c r="E6" s="8" t="s">
        <v>158</v>
      </c>
      <c r="F6" s="8"/>
      <c r="G6" s="8"/>
      <c r="H6" s="8"/>
      <c r="I6" s="8"/>
      <c r="J6" s="8"/>
      <c r="K6" s="8"/>
    </row>
    <row r="7" customFormat="false" ht="21.75" hidden="false" customHeight="true" outlineLevel="0" collapsed="false">
      <c r="B7" s="4" t="s">
        <v>97</v>
      </c>
      <c r="C7" s="4"/>
      <c r="D7" s="31" t="n">
        <f aca="false">COUNTA(Partes!C11:C22)</f>
        <v>0</v>
      </c>
      <c r="E7" s="35" t="s">
        <v>159</v>
      </c>
      <c r="F7" s="35"/>
      <c r="G7" s="35"/>
      <c r="H7" s="35"/>
      <c r="I7" s="35"/>
      <c r="J7" s="35"/>
      <c r="K7" s="35"/>
    </row>
    <row r="8" customFormat="false" ht="21.75" hidden="false" customHeight="true" outlineLevel="0" collapsed="false">
      <c r="B8" s="4" t="s">
        <v>98</v>
      </c>
      <c r="C8" s="4"/>
      <c r="D8" s="31" t="n">
        <f aca="false">COUNTIF(Partes!J11:J22,"Sim")</f>
        <v>0</v>
      </c>
      <c r="E8" s="35" t="s">
        <v>160</v>
      </c>
      <c r="F8" s="35"/>
      <c r="G8" s="35"/>
      <c r="H8" s="35"/>
      <c r="I8" s="35"/>
      <c r="J8" s="35"/>
      <c r="K8" s="35"/>
    </row>
    <row r="9" customFormat="false" ht="21.75" hidden="false" customHeight="true" outlineLevel="0" collapsed="false">
      <c r="B9" s="4" t="s">
        <v>161</v>
      </c>
      <c r="C9" s="4"/>
      <c r="D9" s="31" t="n">
        <f aca="false">COUNTIF(Partes!M11:M22,"Parte pertinente sem requisito")</f>
        <v>0</v>
      </c>
      <c r="E9" s="35" t="s">
        <v>162</v>
      </c>
      <c r="F9" s="35"/>
      <c r="G9" s="35"/>
      <c r="H9" s="35"/>
      <c r="I9" s="35"/>
      <c r="J9" s="35"/>
      <c r="K9" s="35"/>
    </row>
    <row r="10" customFormat="false" ht="21.75" hidden="false" customHeight="true" outlineLevel="0" collapsed="false">
      <c r="B10" s="4" t="s">
        <v>125</v>
      </c>
      <c r="C10" s="4"/>
      <c r="D10" s="31" t="n">
        <f aca="false">COUNTIF(Requisitos!F7:F46,"Sim")</f>
        <v>0</v>
      </c>
      <c r="E10" s="35" t="s">
        <v>163</v>
      </c>
      <c r="F10" s="35"/>
      <c r="G10" s="35"/>
      <c r="H10" s="35"/>
      <c r="I10" s="35"/>
      <c r="J10" s="35"/>
      <c r="K10" s="35"/>
    </row>
    <row r="11" customFormat="false" ht="21.75" hidden="false" customHeight="true" outlineLevel="0" collapsed="false">
      <c r="B11" s="4" t="s">
        <v>164</v>
      </c>
      <c r="C11" s="4"/>
      <c r="D11" s="36" t="str">
        <f aca="false">IF(Requisitos!E52="","",Requisitos!E52)</f>
        <v/>
      </c>
      <c r="E11" s="35" t="s">
        <v>165</v>
      </c>
      <c r="F11" s="35"/>
      <c r="G11" s="35"/>
      <c r="H11" s="35"/>
      <c r="I11" s="35"/>
      <c r="J11" s="35"/>
      <c r="K11" s="35"/>
    </row>
    <row r="12" customFormat="false" ht="21.75" hidden="false" customHeight="true" outlineLevel="0" collapsed="false">
      <c r="B12" s="4" t="s">
        <v>166</v>
      </c>
      <c r="C12" s="4"/>
      <c r="D12" s="31" t="str">
        <f aca="false">IF(COUNTIFS(Requisitos!E7:E46,"Legal",Requisitos!F7:F46,"Sim")=0,"",COUNTIFS(Requisitos!E7:E46,"Legal",Requisitos!F7:F46,"Sim",Requisitos!I7:I46,"Atende")&amp;" de "&amp;COUNTIFS(Requisitos!E7:E46,"Legal",Requisitos!F7:F46,"Sim"))</f>
        <v/>
      </c>
      <c r="E12" s="35" t="s">
        <v>167</v>
      </c>
      <c r="F12" s="35"/>
      <c r="G12" s="35"/>
      <c r="H12" s="35"/>
      <c r="I12" s="35"/>
      <c r="J12" s="35"/>
      <c r="K12" s="35"/>
    </row>
    <row r="13" customFormat="false" ht="21.75" hidden="false" customHeight="true" outlineLevel="0" collapsed="false">
      <c r="B13" s="4" t="s">
        <v>128</v>
      </c>
      <c r="C13" s="4"/>
      <c r="D13" s="31" t="n">
        <f aca="false">Requisitos!E53</f>
        <v>0</v>
      </c>
      <c r="E13" s="35" t="s">
        <v>168</v>
      </c>
      <c r="F13" s="35"/>
      <c r="G13" s="35"/>
      <c r="H13" s="35"/>
      <c r="I13" s="35"/>
      <c r="J13" s="35"/>
      <c r="K13" s="35"/>
    </row>
    <row r="14" customFormat="false" ht="21.75" hidden="false" customHeight="true" outlineLevel="0" collapsed="false">
      <c r="B14" s="4" t="s">
        <v>169</v>
      </c>
      <c r="C14" s="4"/>
      <c r="D14" s="31" t="str">
        <f aca="false">IF(D4="","",SUMPRODUCT((Requisitos!F7:F46="Sim")*((Requisitos!I7:I46="Atende em parte")+(Requisitos!I7:I46="Não atende"))*ISNUMBER(Requisitos!L7:L46)*(Requisitos!L7:L46&lt;D4)))</f>
        <v/>
      </c>
      <c r="E14" s="35" t="s">
        <v>170</v>
      </c>
      <c r="F14" s="35"/>
      <c r="G14" s="35"/>
      <c r="H14" s="35"/>
      <c r="I14" s="35"/>
      <c r="J14" s="35"/>
      <c r="K14" s="35"/>
    </row>
    <row r="16" customFormat="false" ht="21.75" hidden="false" customHeight="true" outlineLevel="0" collapsed="false">
      <c r="B16" s="17" t="s">
        <v>171</v>
      </c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33" hidden="false" customHeight="true" outlineLevel="0" collapsed="false">
      <c r="B17" s="8" t="s">
        <v>68</v>
      </c>
      <c r="C17" s="8" t="s">
        <v>69</v>
      </c>
      <c r="D17" s="8" t="s">
        <v>16</v>
      </c>
      <c r="E17" s="8" t="s">
        <v>18</v>
      </c>
      <c r="F17" s="8" t="s">
        <v>125</v>
      </c>
      <c r="G17" s="8" t="s">
        <v>172</v>
      </c>
      <c r="H17" s="8" t="s">
        <v>173</v>
      </c>
      <c r="I17" s="8" t="s">
        <v>174</v>
      </c>
      <c r="J17" s="8" t="s">
        <v>22</v>
      </c>
      <c r="K17" s="8" t="s">
        <v>175</v>
      </c>
    </row>
    <row r="18" customFormat="false" ht="21.75" hidden="false" customHeight="true" outlineLevel="0" collapsed="false">
      <c r="B18" s="12" t="n">
        <v>1</v>
      </c>
      <c r="C18" s="6" t="str">
        <f aca="false">IF(Partes!C11="","",Partes!C11)</f>
        <v/>
      </c>
      <c r="D18" s="14" t="str">
        <f aca="false">IF(C18="","",Partes!I11)</f>
        <v/>
      </c>
      <c r="E18" s="15" t="str">
        <f aca="false">IF(C18="","",Partes!J11)</f>
        <v/>
      </c>
      <c r="F18" s="15" t="str">
        <f aca="false">IF(C18="","",COUNTIFS(Requisitos!$C$7:$C$46,C18,Requisitos!$F$7:$F$46,"Sim"))</f>
        <v/>
      </c>
      <c r="G18" s="15" t="str">
        <f aca="false">IF(C18="","",COUNTIFS(Requisitos!$C$7:$C$46,C18,Requisitos!$F$7:$F$46,"Sim",Requisitos!$I$7:$I$46,"Atende"))</f>
        <v/>
      </c>
      <c r="H18" s="15" t="str">
        <f aca="false">IF(C18="","",COUNTIFS(Requisitos!$C$7:$C$46,C18,Requisitos!$F$7:$F$46,"Sim",Requisitos!$I$7:$I$46,"Atende em parte"))</f>
        <v/>
      </c>
      <c r="I18" s="15" t="str">
        <f aca="false">IF(C18="","",COUNTIFS(Requisitos!$C$7:$C$46,C18,Requisitos!$F$7:$F$46,"Sim",Requisitos!$I$7:$I$46,"Não atende"))</f>
        <v/>
      </c>
      <c r="J18" s="36" t="str">
        <f aca="false">IF(OR(C18="",N(F18)=0),"",(G18+0.5*H18)/F18)</f>
        <v/>
      </c>
      <c r="K18" s="14" t="str">
        <f aca="false">IF(C18="","",IF(E18&lt;&gt;"Sim","Só monitorada",IF(F18=0,"Sem requisito",IF(G18+H18+I18&lt;F18,"Falta avaliar a situação",IF(I18&gt;0,"Há requisito não atendido",IF(H18&gt;0,"Há pendência","Atendida"))))))</f>
        <v/>
      </c>
    </row>
    <row r="19" customFormat="false" ht="21.75" hidden="false" customHeight="true" outlineLevel="0" collapsed="false">
      <c r="B19" s="12" t="n">
        <v>2</v>
      </c>
      <c r="C19" s="6" t="str">
        <f aca="false">IF(Partes!C12="","",Partes!C12)</f>
        <v/>
      </c>
      <c r="D19" s="14" t="str">
        <f aca="false">IF(C19="","",Partes!I12)</f>
        <v/>
      </c>
      <c r="E19" s="15" t="str">
        <f aca="false">IF(C19="","",Partes!J12)</f>
        <v/>
      </c>
      <c r="F19" s="15" t="str">
        <f aca="false">IF(C19="","",COUNTIFS(Requisitos!$C$7:$C$46,C19,Requisitos!$F$7:$F$46,"Sim"))</f>
        <v/>
      </c>
      <c r="G19" s="15" t="str">
        <f aca="false">IF(C19="","",COUNTIFS(Requisitos!$C$7:$C$46,C19,Requisitos!$F$7:$F$46,"Sim",Requisitos!$I$7:$I$46,"Atende"))</f>
        <v/>
      </c>
      <c r="H19" s="15" t="str">
        <f aca="false">IF(C19="","",COUNTIFS(Requisitos!$C$7:$C$46,C19,Requisitos!$F$7:$F$46,"Sim",Requisitos!$I$7:$I$46,"Atende em parte"))</f>
        <v/>
      </c>
      <c r="I19" s="15" t="str">
        <f aca="false">IF(C19="","",COUNTIFS(Requisitos!$C$7:$C$46,C19,Requisitos!$F$7:$F$46,"Sim",Requisitos!$I$7:$I$46,"Não atende"))</f>
        <v/>
      </c>
      <c r="J19" s="36" t="str">
        <f aca="false">IF(OR(C19="",N(F19)=0),"",(G19+0.5*H19)/F19)</f>
        <v/>
      </c>
      <c r="K19" s="14" t="str">
        <f aca="false">IF(C19="","",IF(E19&lt;&gt;"Sim","Só monitorada",IF(F19=0,"Sem requisito",IF(G19+H19+I19&lt;F19,"Falta avaliar a situação",IF(I19&gt;0,"Há requisito não atendido",IF(H19&gt;0,"Há pendência","Atendida"))))))</f>
        <v/>
      </c>
    </row>
    <row r="20" customFormat="false" ht="21.75" hidden="false" customHeight="true" outlineLevel="0" collapsed="false">
      <c r="B20" s="12" t="n">
        <v>3</v>
      </c>
      <c r="C20" s="6" t="str">
        <f aca="false">IF(Partes!C13="","",Partes!C13)</f>
        <v/>
      </c>
      <c r="D20" s="14" t="str">
        <f aca="false">IF(C20="","",Partes!I13)</f>
        <v/>
      </c>
      <c r="E20" s="15" t="str">
        <f aca="false">IF(C20="","",Partes!J13)</f>
        <v/>
      </c>
      <c r="F20" s="15" t="str">
        <f aca="false">IF(C20="","",COUNTIFS(Requisitos!$C$7:$C$46,C20,Requisitos!$F$7:$F$46,"Sim"))</f>
        <v/>
      </c>
      <c r="G20" s="15" t="str">
        <f aca="false">IF(C20="","",COUNTIFS(Requisitos!$C$7:$C$46,C20,Requisitos!$F$7:$F$46,"Sim",Requisitos!$I$7:$I$46,"Atende"))</f>
        <v/>
      </c>
      <c r="H20" s="15" t="str">
        <f aca="false">IF(C20="","",COUNTIFS(Requisitos!$C$7:$C$46,C20,Requisitos!$F$7:$F$46,"Sim",Requisitos!$I$7:$I$46,"Atende em parte"))</f>
        <v/>
      </c>
      <c r="I20" s="15" t="str">
        <f aca="false">IF(C20="","",COUNTIFS(Requisitos!$C$7:$C$46,C20,Requisitos!$F$7:$F$46,"Sim",Requisitos!$I$7:$I$46,"Não atende"))</f>
        <v/>
      </c>
      <c r="J20" s="36" t="str">
        <f aca="false">IF(OR(C20="",N(F20)=0),"",(G20+0.5*H20)/F20)</f>
        <v/>
      </c>
      <c r="K20" s="14" t="str">
        <f aca="false">IF(C20="","",IF(E20&lt;&gt;"Sim","Só monitorada",IF(F20=0,"Sem requisito",IF(G20+H20+I20&lt;F20,"Falta avaliar a situação",IF(I20&gt;0,"Há requisito não atendido",IF(H20&gt;0,"Há pendência","Atendida"))))))</f>
        <v/>
      </c>
    </row>
    <row r="21" customFormat="false" ht="21.75" hidden="false" customHeight="true" outlineLevel="0" collapsed="false">
      <c r="B21" s="12" t="n">
        <v>4</v>
      </c>
      <c r="C21" s="6" t="str">
        <f aca="false">IF(Partes!C14="","",Partes!C14)</f>
        <v/>
      </c>
      <c r="D21" s="14" t="str">
        <f aca="false">IF(C21="","",Partes!I14)</f>
        <v/>
      </c>
      <c r="E21" s="15" t="str">
        <f aca="false">IF(C21="","",Partes!J14)</f>
        <v/>
      </c>
      <c r="F21" s="15" t="str">
        <f aca="false">IF(C21="","",COUNTIFS(Requisitos!$C$7:$C$46,C21,Requisitos!$F$7:$F$46,"Sim"))</f>
        <v/>
      </c>
      <c r="G21" s="15" t="str">
        <f aca="false">IF(C21="","",COUNTIFS(Requisitos!$C$7:$C$46,C21,Requisitos!$F$7:$F$46,"Sim",Requisitos!$I$7:$I$46,"Atende"))</f>
        <v/>
      </c>
      <c r="H21" s="15" t="str">
        <f aca="false">IF(C21="","",COUNTIFS(Requisitos!$C$7:$C$46,C21,Requisitos!$F$7:$F$46,"Sim",Requisitos!$I$7:$I$46,"Atende em parte"))</f>
        <v/>
      </c>
      <c r="I21" s="15" t="str">
        <f aca="false">IF(C21="","",COUNTIFS(Requisitos!$C$7:$C$46,C21,Requisitos!$F$7:$F$46,"Sim",Requisitos!$I$7:$I$46,"Não atende"))</f>
        <v/>
      </c>
      <c r="J21" s="36" t="str">
        <f aca="false">IF(OR(C21="",N(F21)=0),"",(G21+0.5*H21)/F21)</f>
        <v/>
      </c>
      <c r="K21" s="14" t="str">
        <f aca="false">IF(C21="","",IF(E21&lt;&gt;"Sim","Só monitorada",IF(F21=0,"Sem requisito",IF(G21+H21+I21&lt;F21,"Falta avaliar a situação",IF(I21&gt;0,"Há requisito não atendido",IF(H21&gt;0,"Há pendência","Atendida"))))))</f>
        <v/>
      </c>
    </row>
    <row r="22" customFormat="false" ht="21.75" hidden="false" customHeight="true" outlineLevel="0" collapsed="false">
      <c r="B22" s="12" t="n">
        <v>5</v>
      </c>
      <c r="C22" s="6" t="str">
        <f aca="false">IF(Partes!C15="","",Partes!C15)</f>
        <v/>
      </c>
      <c r="D22" s="14" t="str">
        <f aca="false">IF(C22="","",Partes!I15)</f>
        <v/>
      </c>
      <c r="E22" s="15" t="str">
        <f aca="false">IF(C22="","",Partes!J15)</f>
        <v/>
      </c>
      <c r="F22" s="15" t="str">
        <f aca="false">IF(C22="","",COUNTIFS(Requisitos!$C$7:$C$46,C22,Requisitos!$F$7:$F$46,"Sim"))</f>
        <v/>
      </c>
      <c r="G22" s="15" t="str">
        <f aca="false">IF(C22="","",COUNTIFS(Requisitos!$C$7:$C$46,C22,Requisitos!$F$7:$F$46,"Sim",Requisitos!$I$7:$I$46,"Atende"))</f>
        <v/>
      </c>
      <c r="H22" s="15" t="str">
        <f aca="false">IF(C22="","",COUNTIFS(Requisitos!$C$7:$C$46,C22,Requisitos!$F$7:$F$46,"Sim",Requisitos!$I$7:$I$46,"Atende em parte"))</f>
        <v/>
      </c>
      <c r="I22" s="15" t="str">
        <f aca="false">IF(C22="","",COUNTIFS(Requisitos!$C$7:$C$46,C22,Requisitos!$F$7:$F$46,"Sim",Requisitos!$I$7:$I$46,"Não atende"))</f>
        <v/>
      </c>
      <c r="J22" s="36" t="str">
        <f aca="false">IF(OR(C22="",N(F22)=0),"",(G22+0.5*H22)/F22)</f>
        <v/>
      </c>
      <c r="K22" s="14" t="str">
        <f aca="false">IF(C22="","",IF(E22&lt;&gt;"Sim","Só monitorada",IF(F22=0,"Sem requisito",IF(G22+H22+I22&lt;F22,"Falta avaliar a situação",IF(I22&gt;0,"Há requisito não atendido",IF(H22&gt;0,"Há pendência","Atendida"))))))</f>
        <v/>
      </c>
    </row>
    <row r="23" customFormat="false" ht="21.75" hidden="false" customHeight="true" outlineLevel="0" collapsed="false">
      <c r="B23" s="12" t="n">
        <v>6</v>
      </c>
      <c r="C23" s="6" t="str">
        <f aca="false">IF(Partes!C16="","",Partes!C16)</f>
        <v/>
      </c>
      <c r="D23" s="14" t="str">
        <f aca="false">IF(C23="","",Partes!I16)</f>
        <v/>
      </c>
      <c r="E23" s="15" t="str">
        <f aca="false">IF(C23="","",Partes!J16)</f>
        <v/>
      </c>
      <c r="F23" s="15" t="str">
        <f aca="false">IF(C23="","",COUNTIFS(Requisitos!$C$7:$C$46,C23,Requisitos!$F$7:$F$46,"Sim"))</f>
        <v/>
      </c>
      <c r="G23" s="15" t="str">
        <f aca="false">IF(C23="","",COUNTIFS(Requisitos!$C$7:$C$46,C23,Requisitos!$F$7:$F$46,"Sim",Requisitos!$I$7:$I$46,"Atende"))</f>
        <v/>
      </c>
      <c r="H23" s="15" t="str">
        <f aca="false">IF(C23="","",COUNTIFS(Requisitos!$C$7:$C$46,C23,Requisitos!$F$7:$F$46,"Sim",Requisitos!$I$7:$I$46,"Atende em parte"))</f>
        <v/>
      </c>
      <c r="I23" s="15" t="str">
        <f aca="false">IF(C23="","",COUNTIFS(Requisitos!$C$7:$C$46,C23,Requisitos!$F$7:$F$46,"Sim",Requisitos!$I$7:$I$46,"Não atende"))</f>
        <v/>
      </c>
      <c r="J23" s="36" t="str">
        <f aca="false">IF(OR(C23="",N(F23)=0),"",(G23+0.5*H23)/F23)</f>
        <v/>
      </c>
      <c r="K23" s="14" t="str">
        <f aca="false">IF(C23="","",IF(E23&lt;&gt;"Sim","Só monitorada",IF(F23=0,"Sem requisito",IF(G23+H23+I23&lt;F23,"Falta avaliar a situação",IF(I23&gt;0,"Há requisito não atendido",IF(H23&gt;0,"Há pendência","Atendida"))))))</f>
        <v/>
      </c>
    </row>
    <row r="24" customFormat="false" ht="21.75" hidden="false" customHeight="true" outlineLevel="0" collapsed="false">
      <c r="B24" s="12" t="n">
        <v>7</v>
      </c>
      <c r="C24" s="6" t="str">
        <f aca="false">IF(Partes!C17="","",Partes!C17)</f>
        <v/>
      </c>
      <c r="D24" s="14" t="str">
        <f aca="false">IF(C24="","",Partes!I17)</f>
        <v/>
      </c>
      <c r="E24" s="15" t="str">
        <f aca="false">IF(C24="","",Partes!J17)</f>
        <v/>
      </c>
      <c r="F24" s="15" t="str">
        <f aca="false">IF(C24="","",COUNTIFS(Requisitos!$C$7:$C$46,C24,Requisitos!$F$7:$F$46,"Sim"))</f>
        <v/>
      </c>
      <c r="G24" s="15" t="str">
        <f aca="false">IF(C24="","",COUNTIFS(Requisitos!$C$7:$C$46,C24,Requisitos!$F$7:$F$46,"Sim",Requisitos!$I$7:$I$46,"Atende"))</f>
        <v/>
      </c>
      <c r="H24" s="15" t="str">
        <f aca="false">IF(C24="","",COUNTIFS(Requisitos!$C$7:$C$46,C24,Requisitos!$F$7:$F$46,"Sim",Requisitos!$I$7:$I$46,"Atende em parte"))</f>
        <v/>
      </c>
      <c r="I24" s="15" t="str">
        <f aca="false">IF(C24="","",COUNTIFS(Requisitos!$C$7:$C$46,C24,Requisitos!$F$7:$F$46,"Sim",Requisitos!$I$7:$I$46,"Não atende"))</f>
        <v/>
      </c>
      <c r="J24" s="36" t="str">
        <f aca="false">IF(OR(C24="",N(F24)=0),"",(G24+0.5*H24)/F24)</f>
        <v/>
      </c>
      <c r="K24" s="14" t="str">
        <f aca="false">IF(C24="","",IF(E24&lt;&gt;"Sim","Só monitorada",IF(F24=0,"Sem requisito",IF(G24+H24+I24&lt;F24,"Falta avaliar a situação",IF(I24&gt;0,"Há requisito não atendido",IF(H24&gt;0,"Há pendência","Atendida"))))))</f>
        <v/>
      </c>
    </row>
    <row r="25" customFormat="false" ht="21.75" hidden="false" customHeight="true" outlineLevel="0" collapsed="false">
      <c r="B25" s="12" t="n">
        <v>8</v>
      </c>
      <c r="C25" s="6" t="str">
        <f aca="false">IF(Partes!C18="","",Partes!C18)</f>
        <v/>
      </c>
      <c r="D25" s="14" t="str">
        <f aca="false">IF(C25="","",Partes!I18)</f>
        <v/>
      </c>
      <c r="E25" s="15" t="str">
        <f aca="false">IF(C25="","",Partes!J18)</f>
        <v/>
      </c>
      <c r="F25" s="15" t="str">
        <f aca="false">IF(C25="","",COUNTIFS(Requisitos!$C$7:$C$46,C25,Requisitos!$F$7:$F$46,"Sim"))</f>
        <v/>
      </c>
      <c r="G25" s="15" t="str">
        <f aca="false">IF(C25="","",COUNTIFS(Requisitos!$C$7:$C$46,C25,Requisitos!$F$7:$F$46,"Sim",Requisitos!$I$7:$I$46,"Atende"))</f>
        <v/>
      </c>
      <c r="H25" s="15" t="str">
        <f aca="false">IF(C25="","",COUNTIFS(Requisitos!$C$7:$C$46,C25,Requisitos!$F$7:$F$46,"Sim",Requisitos!$I$7:$I$46,"Atende em parte"))</f>
        <v/>
      </c>
      <c r="I25" s="15" t="str">
        <f aca="false">IF(C25="","",COUNTIFS(Requisitos!$C$7:$C$46,C25,Requisitos!$F$7:$F$46,"Sim",Requisitos!$I$7:$I$46,"Não atende"))</f>
        <v/>
      </c>
      <c r="J25" s="36" t="str">
        <f aca="false">IF(OR(C25="",N(F25)=0),"",(G25+0.5*H25)/F25)</f>
        <v/>
      </c>
      <c r="K25" s="14" t="str">
        <f aca="false">IF(C25="","",IF(E25&lt;&gt;"Sim","Só monitorada",IF(F25=0,"Sem requisito",IF(G25+H25+I25&lt;F25,"Falta avaliar a situação",IF(I25&gt;0,"Há requisito não atendido",IF(H25&gt;0,"Há pendência","Atendida"))))))</f>
        <v/>
      </c>
    </row>
    <row r="26" customFormat="false" ht="21.75" hidden="false" customHeight="true" outlineLevel="0" collapsed="false">
      <c r="B26" s="12" t="n">
        <v>9</v>
      </c>
      <c r="C26" s="6" t="str">
        <f aca="false">IF(Partes!C19="","",Partes!C19)</f>
        <v/>
      </c>
      <c r="D26" s="14" t="str">
        <f aca="false">IF(C26="","",Partes!I19)</f>
        <v/>
      </c>
      <c r="E26" s="15" t="str">
        <f aca="false">IF(C26="","",Partes!J19)</f>
        <v/>
      </c>
      <c r="F26" s="15" t="str">
        <f aca="false">IF(C26="","",COUNTIFS(Requisitos!$C$7:$C$46,C26,Requisitos!$F$7:$F$46,"Sim"))</f>
        <v/>
      </c>
      <c r="G26" s="15" t="str">
        <f aca="false">IF(C26="","",COUNTIFS(Requisitos!$C$7:$C$46,C26,Requisitos!$F$7:$F$46,"Sim",Requisitos!$I$7:$I$46,"Atende"))</f>
        <v/>
      </c>
      <c r="H26" s="15" t="str">
        <f aca="false">IF(C26="","",COUNTIFS(Requisitos!$C$7:$C$46,C26,Requisitos!$F$7:$F$46,"Sim",Requisitos!$I$7:$I$46,"Atende em parte"))</f>
        <v/>
      </c>
      <c r="I26" s="15" t="str">
        <f aca="false">IF(C26="","",COUNTIFS(Requisitos!$C$7:$C$46,C26,Requisitos!$F$7:$F$46,"Sim",Requisitos!$I$7:$I$46,"Não atende"))</f>
        <v/>
      </c>
      <c r="J26" s="36" t="str">
        <f aca="false">IF(OR(C26="",N(F26)=0),"",(G26+0.5*H26)/F26)</f>
        <v/>
      </c>
      <c r="K26" s="14" t="str">
        <f aca="false">IF(C26="","",IF(E26&lt;&gt;"Sim","Só monitorada",IF(F26=0,"Sem requisito",IF(G26+H26+I26&lt;F26,"Falta avaliar a situação",IF(I26&gt;0,"Há requisito não atendido",IF(H26&gt;0,"Há pendência","Atendida"))))))</f>
        <v/>
      </c>
    </row>
    <row r="27" customFormat="false" ht="21.75" hidden="false" customHeight="true" outlineLevel="0" collapsed="false">
      <c r="B27" s="12" t="n">
        <v>10</v>
      </c>
      <c r="C27" s="6" t="str">
        <f aca="false">IF(Partes!C20="","",Partes!C20)</f>
        <v/>
      </c>
      <c r="D27" s="14" t="str">
        <f aca="false">IF(C27="","",Partes!I20)</f>
        <v/>
      </c>
      <c r="E27" s="15" t="str">
        <f aca="false">IF(C27="","",Partes!J20)</f>
        <v/>
      </c>
      <c r="F27" s="15" t="str">
        <f aca="false">IF(C27="","",COUNTIFS(Requisitos!$C$7:$C$46,C27,Requisitos!$F$7:$F$46,"Sim"))</f>
        <v/>
      </c>
      <c r="G27" s="15" t="str">
        <f aca="false">IF(C27="","",COUNTIFS(Requisitos!$C$7:$C$46,C27,Requisitos!$F$7:$F$46,"Sim",Requisitos!$I$7:$I$46,"Atende"))</f>
        <v/>
      </c>
      <c r="H27" s="15" t="str">
        <f aca="false">IF(C27="","",COUNTIFS(Requisitos!$C$7:$C$46,C27,Requisitos!$F$7:$F$46,"Sim",Requisitos!$I$7:$I$46,"Atende em parte"))</f>
        <v/>
      </c>
      <c r="I27" s="15" t="str">
        <f aca="false">IF(C27="","",COUNTIFS(Requisitos!$C$7:$C$46,C27,Requisitos!$F$7:$F$46,"Sim",Requisitos!$I$7:$I$46,"Não atende"))</f>
        <v/>
      </c>
      <c r="J27" s="36" t="str">
        <f aca="false">IF(OR(C27="",N(F27)=0),"",(G27+0.5*H27)/F27)</f>
        <v/>
      </c>
      <c r="K27" s="14" t="str">
        <f aca="false">IF(C27="","",IF(E27&lt;&gt;"Sim","Só monitorada",IF(F27=0,"Sem requisito",IF(G27+H27+I27&lt;F27,"Falta avaliar a situação",IF(I27&gt;0,"Há requisito não atendido",IF(H27&gt;0,"Há pendência","Atendida"))))))</f>
        <v/>
      </c>
    </row>
    <row r="28" customFormat="false" ht="21.75" hidden="false" customHeight="true" outlineLevel="0" collapsed="false">
      <c r="B28" s="12" t="n">
        <v>11</v>
      </c>
      <c r="C28" s="6" t="str">
        <f aca="false">IF(Partes!C21="","",Partes!C21)</f>
        <v/>
      </c>
      <c r="D28" s="14" t="str">
        <f aca="false">IF(C28="","",Partes!I21)</f>
        <v/>
      </c>
      <c r="E28" s="15" t="str">
        <f aca="false">IF(C28="","",Partes!J21)</f>
        <v/>
      </c>
      <c r="F28" s="15" t="str">
        <f aca="false">IF(C28="","",COUNTIFS(Requisitos!$C$7:$C$46,C28,Requisitos!$F$7:$F$46,"Sim"))</f>
        <v/>
      </c>
      <c r="G28" s="15" t="str">
        <f aca="false">IF(C28="","",COUNTIFS(Requisitos!$C$7:$C$46,C28,Requisitos!$F$7:$F$46,"Sim",Requisitos!$I$7:$I$46,"Atende"))</f>
        <v/>
      </c>
      <c r="H28" s="15" t="str">
        <f aca="false">IF(C28="","",COUNTIFS(Requisitos!$C$7:$C$46,C28,Requisitos!$F$7:$F$46,"Sim",Requisitos!$I$7:$I$46,"Atende em parte"))</f>
        <v/>
      </c>
      <c r="I28" s="15" t="str">
        <f aca="false">IF(C28="","",COUNTIFS(Requisitos!$C$7:$C$46,C28,Requisitos!$F$7:$F$46,"Sim",Requisitos!$I$7:$I$46,"Não atende"))</f>
        <v/>
      </c>
      <c r="J28" s="36" t="str">
        <f aca="false">IF(OR(C28="",N(F28)=0),"",(G28+0.5*H28)/F28)</f>
        <v/>
      </c>
      <c r="K28" s="14" t="str">
        <f aca="false">IF(C28="","",IF(E28&lt;&gt;"Sim","Só monitorada",IF(F28=0,"Sem requisito",IF(G28+H28+I28&lt;F28,"Falta avaliar a situação",IF(I28&gt;0,"Há requisito não atendido",IF(H28&gt;0,"Há pendência","Atendida"))))))</f>
        <v/>
      </c>
    </row>
    <row r="29" customFormat="false" ht="21.75" hidden="false" customHeight="true" outlineLevel="0" collapsed="false">
      <c r="B29" s="12" t="n">
        <v>12</v>
      </c>
      <c r="C29" s="6" t="str">
        <f aca="false">IF(Partes!C22="","",Partes!C22)</f>
        <v/>
      </c>
      <c r="D29" s="14" t="str">
        <f aca="false">IF(C29="","",Partes!I22)</f>
        <v/>
      </c>
      <c r="E29" s="15" t="str">
        <f aca="false">IF(C29="","",Partes!J22)</f>
        <v/>
      </c>
      <c r="F29" s="15" t="str">
        <f aca="false">IF(C29="","",COUNTIFS(Requisitos!$C$7:$C$46,C29,Requisitos!$F$7:$F$46,"Sim"))</f>
        <v/>
      </c>
      <c r="G29" s="15" t="str">
        <f aca="false">IF(C29="","",COUNTIFS(Requisitos!$C$7:$C$46,C29,Requisitos!$F$7:$F$46,"Sim",Requisitos!$I$7:$I$46,"Atende"))</f>
        <v/>
      </c>
      <c r="H29" s="15" t="str">
        <f aca="false">IF(C29="","",COUNTIFS(Requisitos!$C$7:$C$46,C29,Requisitos!$F$7:$F$46,"Sim",Requisitos!$I$7:$I$46,"Atende em parte"))</f>
        <v/>
      </c>
      <c r="I29" s="15" t="str">
        <f aca="false">IF(C29="","",COUNTIFS(Requisitos!$C$7:$C$46,C29,Requisitos!$F$7:$F$46,"Sim",Requisitos!$I$7:$I$46,"Não atende"))</f>
        <v/>
      </c>
      <c r="J29" s="36" t="str">
        <f aca="false">IF(OR(C29="",N(F29)=0),"",(G29+0.5*H29)/F29)</f>
        <v/>
      </c>
      <c r="K29" s="14" t="str">
        <f aca="false">IF(C29="","",IF(E29&lt;&gt;"Sim","Só monitorada",IF(F29=0,"Sem requisito",IF(G29+H29+I29&lt;F29,"Falta avaliar a situação",IF(I29&gt;0,"Há requisito não atendido",IF(H29&gt;0,"Há pendência","Atendida"))))))</f>
        <v/>
      </c>
    </row>
    <row r="31" customFormat="false" ht="21.75" hidden="false" customHeight="true" outlineLevel="0" collapsed="false">
      <c r="B31" s="17" t="s">
        <v>96</v>
      </c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21.75" hidden="false" customHeight="true" outlineLevel="0" collapsed="false">
      <c r="B32" s="18" t="s">
        <v>176</v>
      </c>
      <c r="C32" s="18"/>
      <c r="D32" s="19" t="str">
        <f aca="false">IF(COUNT(J18:J29)=0,"",INDEX(C18:C29,MATCH(MIN(J18:J29),J18:J29,0))&amp;" · "&amp;TEXT(MIN(J18:J29),"0%"))</f>
        <v/>
      </c>
      <c r="E32" s="19"/>
      <c r="F32" s="19"/>
      <c r="G32" s="19"/>
      <c r="H32" s="19"/>
      <c r="I32" s="19"/>
      <c r="J32" s="19"/>
      <c r="K32" s="19"/>
    </row>
    <row r="33" customFormat="false" ht="21.75" hidden="false" customHeight="true" outlineLevel="0" collapsed="false">
      <c r="B33" s="18" t="s">
        <v>100</v>
      </c>
      <c r="C33" s="18"/>
      <c r="D33" s="20" t="str">
        <f aca="false">IF(D7=0,"Liste as partes na aba Partes",IF(D10=0,"Registre os requisitos na aba Requisitos",IF(D9&gt;0,"Há parte pertinente sem requisito",IF(D4="","Informe a data da análise",IF(D14&gt;0,"Há ação vencida: veja a aba Requisitos",IF(COUNTIF(K18:K29,"Há requisito não atendido")&gt;0,"Há requisito não atendido: leve à direção","OK"))))))</f>
        <v>Liste as partes na aba Partes</v>
      </c>
      <c r="E33" s="20"/>
      <c r="F33" s="20"/>
      <c r="G33" s="20"/>
      <c r="H33" s="20"/>
      <c r="I33" s="20"/>
      <c r="J33" s="20"/>
      <c r="K33" s="20"/>
    </row>
  </sheetData>
  <mergeCells count="28">
    <mergeCell ref="B1:K1"/>
    <mergeCell ref="B2:K2"/>
    <mergeCell ref="B4:C4"/>
    <mergeCell ref="E4:K4"/>
    <mergeCell ref="B6:C6"/>
    <mergeCell ref="E6:K6"/>
    <mergeCell ref="B7:C7"/>
    <mergeCell ref="E7:K7"/>
    <mergeCell ref="B8:C8"/>
    <mergeCell ref="E8:K8"/>
    <mergeCell ref="B9:C9"/>
    <mergeCell ref="E9:K9"/>
    <mergeCell ref="B10:C10"/>
    <mergeCell ref="E10:K10"/>
    <mergeCell ref="B11:C11"/>
    <mergeCell ref="E11:K11"/>
    <mergeCell ref="B12:C12"/>
    <mergeCell ref="E12:K12"/>
    <mergeCell ref="B13:C13"/>
    <mergeCell ref="E13:K13"/>
    <mergeCell ref="B14:C14"/>
    <mergeCell ref="E14:K14"/>
    <mergeCell ref="B16:K16"/>
    <mergeCell ref="B31:K31"/>
    <mergeCell ref="B32:C32"/>
    <mergeCell ref="D32:K32"/>
    <mergeCell ref="B33:C33"/>
    <mergeCell ref="D33:K33"/>
  </mergeCells>
  <conditionalFormatting sqref="D18:D29">
    <cfRule type="expression" priority="2" aboveAverage="0" equalAverage="0" bottom="0" percent="0" rank="0" text="" dxfId="0">
      <formula>D18="Gerir de perto"</formula>
    </cfRule>
    <cfRule type="expression" priority="3" aboveAverage="0" equalAverage="0" bottom="0" percent="0" rank="0" text="" dxfId="1">
      <formula>D18="Manter satisfeito"</formula>
    </cfRule>
    <cfRule type="expression" priority="4" aboveAverage="0" equalAverage="0" bottom="0" percent="0" rank="0" text="" dxfId="2">
      <formula>D18="Manter informado"</formula>
    </cfRule>
  </conditionalFormatting>
  <conditionalFormatting sqref="K18:K29">
    <cfRule type="expression" priority="5" aboveAverage="0" equalAverage="0" bottom="0" percent="0" rank="0" text="" dxfId="3">
      <formula>K18="Atendida"</formula>
    </cfRule>
    <cfRule type="expression" priority="6" aboveAverage="0" equalAverage="0" bottom="0" percent="0" rank="0" text="" dxfId="4">
      <formula>K18="Há pendência"</formula>
    </cfRule>
    <cfRule type="expression" priority="7" aboveAverage="0" equalAverage="0" bottom="0" percent="0" rank="0" text="" dxfId="6">
      <formula>K18="Só monitorada"</formula>
    </cfRule>
    <cfRule type="expression" priority="8" aboveAverage="0" equalAverage="0" bottom="0" percent="0" rank="0" text="" dxfId="5">
      <formula>LEN(K18)&gt;0</formula>
    </cfRule>
  </conditionalFormatting>
  <conditionalFormatting sqref="D33:K33">
    <cfRule type="expression" priority="9" aboveAverage="0" equalAverage="0" bottom="0" percent="0" rank="0" text="" dxfId="3">
      <formula>OR(D33="OK")</formula>
    </cfRule>
    <cfRule type="expression" priority="10" aboveAverage="0" equalAverage="0" bottom="0" percent="0" rank="0" text="" dxfId="4">
      <formula>AND(LEN(D33)&gt;0,NOT(OR(D33="OK")))</formula>
    </cfRule>
  </conditionalFormatting>
  <dataValidations count="1">
    <dataValidation allowBlank="true" error="Digite uma data no formato dia/mês/ano." errorStyle="stop" errorTitle="Data inválida" operator="greaterThanOrEqual" showDropDown="false" showErrorMessage="true" showInputMessage="false" sqref="D4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177</v>
      </c>
      <c r="C1" s="1"/>
      <c r="D1" s="1"/>
      <c r="E1" s="1"/>
    </row>
    <row r="2" customFormat="false" ht="19.5" hidden="false" customHeight="true" outlineLevel="0" collapsed="false">
      <c r="B2" s="2" t="s">
        <v>178</v>
      </c>
      <c r="C2" s="2"/>
      <c r="D2" s="2"/>
      <c r="E2" s="2"/>
    </row>
    <row r="4" customFormat="false" ht="21.75" hidden="false" customHeight="true" outlineLevel="0" collapsed="false">
      <c r="B4" s="8" t="s">
        <v>68</v>
      </c>
      <c r="C4" s="8" t="s">
        <v>179</v>
      </c>
      <c r="D4" s="8" t="s">
        <v>180</v>
      </c>
      <c r="E4" s="8" t="s">
        <v>181</v>
      </c>
    </row>
    <row r="5" customFormat="false" ht="30" hidden="false" customHeight="true" outlineLevel="0" collapsed="false">
      <c r="B5" s="12" t="n">
        <v>1</v>
      </c>
      <c r="C5" s="6" t="s">
        <v>182</v>
      </c>
      <c r="D5" s="13"/>
      <c r="E5" s="5"/>
    </row>
    <row r="6" customFormat="false" ht="30" hidden="false" customHeight="true" outlineLevel="0" collapsed="false">
      <c r="B6" s="12" t="n">
        <v>2</v>
      </c>
      <c r="C6" s="6" t="s">
        <v>183</v>
      </c>
      <c r="D6" s="13"/>
      <c r="E6" s="5"/>
    </row>
    <row r="7" customFormat="false" ht="30" hidden="false" customHeight="true" outlineLevel="0" collapsed="false">
      <c r="B7" s="12" t="n">
        <v>3</v>
      </c>
      <c r="C7" s="6" t="s">
        <v>184</v>
      </c>
      <c r="D7" s="13"/>
      <c r="E7" s="5"/>
    </row>
    <row r="8" customFormat="false" ht="30" hidden="false" customHeight="true" outlineLevel="0" collapsed="false">
      <c r="B8" s="12" t="n">
        <v>4</v>
      </c>
      <c r="C8" s="6" t="s">
        <v>185</v>
      </c>
      <c r="D8" s="13"/>
      <c r="E8" s="5"/>
    </row>
    <row r="9" customFormat="false" ht="30" hidden="false" customHeight="true" outlineLevel="0" collapsed="false">
      <c r="B9" s="12" t="n">
        <v>5</v>
      </c>
      <c r="C9" s="6" t="s">
        <v>186</v>
      </c>
      <c r="D9" s="13"/>
      <c r="E9" s="5"/>
    </row>
    <row r="10" customFormat="false" ht="30" hidden="false" customHeight="true" outlineLevel="0" collapsed="false">
      <c r="B10" s="12" t="n">
        <v>6</v>
      </c>
      <c r="C10" s="6" t="s">
        <v>187</v>
      </c>
      <c r="D10" s="13"/>
      <c r="E10" s="5"/>
    </row>
    <row r="11" customFormat="false" ht="30" hidden="false" customHeight="true" outlineLevel="0" collapsed="false">
      <c r="B11" s="12" t="n">
        <v>7</v>
      </c>
      <c r="C11" s="6" t="s">
        <v>188</v>
      </c>
      <c r="D11" s="13"/>
      <c r="E11" s="5"/>
    </row>
    <row r="12" customFormat="false" ht="30" hidden="false" customHeight="true" outlineLevel="0" collapsed="false">
      <c r="B12" s="12" t="n">
        <v>8</v>
      </c>
      <c r="C12" s="6" t="s">
        <v>189</v>
      </c>
      <c r="D12" s="13"/>
      <c r="E12" s="5"/>
    </row>
    <row r="13" customFormat="false" ht="30" hidden="false" customHeight="true" outlineLevel="0" collapsed="false">
      <c r="B13" s="12" t="n">
        <v>9</v>
      </c>
      <c r="C13" s="6" t="s">
        <v>190</v>
      </c>
      <c r="D13" s="13"/>
      <c r="E13" s="5"/>
    </row>
    <row r="14" customFormat="false" ht="30" hidden="false" customHeight="true" outlineLevel="0" collapsed="false">
      <c r="B14" s="12" t="n">
        <v>10</v>
      </c>
      <c r="C14" s="6" t="s">
        <v>191</v>
      </c>
      <c r="D14" s="13"/>
      <c r="E14" s="5"/>
    </row>
    <row r="15" customFormat="false" ht="30" hidden="false" customHeight="true" outlineLevel="0" collapsed="false">
      <c r="B15" s="12" t="n">
        <v>11</v>
      </c>
      <c r="C15" s="6" t="s">
        <v>192</v>
      </c>
      <c r="D15" s="13"/>
      <c r="E15" s="5"/>
    </row>
    <row r="16" customFormat="false" ht="30" hidden="false" customHeight="true" outlineLevel="0" collapsed="false">
      <c r="B16" s="12" t="n">
        <v>12</v>
      </c>
      <c r="C16" s="6" t="s">
        <v>193</v>
      </c>
      <c r="D16" s="13"/>
      <c r="E16" s="5"/>
    </row>
    <row r="18" customFormat="false" ht="21.75" hidden="false" customHeight="true" outlineLevel="0" collapsed="false">
      <c r="B18" s="17" t="s">
        <v>96</v>
      </c>
      <c r="C18" s="17"/>
      <c r="D18" s="17"/>
      <c r="E18" s="17"/>
    </row>
    <row r="19" customFormat="false" ht="19.5" hidden="false" customHeight="true" outlineLevel="0" collapsed="false">
      <c r="B19" s="18" t="s">
        <v>194</v>
      </c>
      <c r="C19" s="18"/>
      <c r="D19" s="31" t="n">
        <f aca="false">COUNTIF(D5:D16,"Sim")</f>
        <v>0</v>
      </c>
    </row>
    <row r="20" customFormat="false" ht="19.5" hidden="false" customHeight="true" outlineLevel="0" collapsed="false">
      <c r="B20" s="18" t="s">
        <v>195</v>
      </c>
      <c r="C20" s="18"/>
      <c r="D20" s="31" t="n">
        <f aca="false">COUNTIF(D5:D16,"Parcial")</f>
        <v>0</v>
      </c>
    </row>
    <row r="21" customFormat="false" ht="19.5" hidden="false" customHeight="true" outlineLevel="0" collapsed="false">
      <c r="B21" s="18" t="s">
        <v>196</v>
      </c>
      <c r="C21" s="18"/>
      <c r="D21" s="31" t="n">
        <f aca="false">COUNTIF(D5:D16,"Não")</f>
        <v>0</v>
      </c>
    </row>
    <row r="22" customFormat="false" ht="19.5" hidden="false" customHeight="true" outlineLevel="0" collapsed="false">
      <c r="B22" s="18" t="s">
        <v>197</v>
      </c>
      <c r="C22" s="18"/>
      <c r="D22" s="31" t="n">
        <f aca="false">COUNTBLANK(D5:D16)</f>
        <v>12</v>
      </c>
    </row>
    <row r="23" customFormat="false" ht="19.5" hidden="false" customHeight="true" outlineLevel="0" collapsed="false">
      <c r="B23" s="18" t="s">
        <v>198</v>
      </c>
      <c r="C23" s="18"/>
      <c r="D23" s="36" t="n">
        <f aca="false">D19/ROWS(D5:D16)</f>
        <v>0</v>
      </c>
    </row>
    <row r="24" customFormat="false" ht="19.5" hidden="false" customHeight="true" outlineLevel="0" collapsed="false">
      <c r="B24" s="18" t="s">
        <v>108</v>
      </c>
      <c r="C24" s="18"/>
      <c r="D24" s="31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3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5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7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65</v>
      </c>
      <c r="C4" s="4"/>
      <c r="D4" s="37" t="s">
        <v>200</v>
      </c>
      <c r="E4" s="37"/>
      <c r="F4" s="37"/>
      <c r="G4" s="37"/>
      <c r="H4" s="37"/>
      <c r="I4" s="37"/>
      <c r="J4" s="37"/>
      <c r="K4" s="37"/>
      <c r="L4" s="37"/>
    </row>
    <row r="5" customFormat="false" ht="19.5" hidden="false" customHeight="true" outlineLevel="0" collapsed="false">
      <c r="B5" s="4" t="s">
        <v>201</v>
      </c>
      <c r="C5" s="4"/>
      <c r="D5" s="37" t="s">
        <v>202</v>
      </c>
      <c r="E5" s="37"/>
      <c r="F5" s="37"/>
      <c r="G5" s="37"/>
      <c r="H5" s="37"/>
      <c r="I5" s="37"/>
      <c r="J5" s="37"/>
      <c r="K5" s="37"/>
      <c r="L5" s="37"/>
    </row>
    <row r="6" customFormat="false" ht="19.5" hidden="false" customHeight="true" outlineLevel="0" collapsed="false">
      <c r="B6" s="4" t="s">
        <v>203</v>
      </c>
      <c r="C6" s="4"/>
      <c r="D6" s="37" t="s">
        <v>204</v>
      </c>
      <c r="E6" s="37"/>
      <c r="F6" s="37"/>
      <c r="G6" s="37"/>
      <c r="H6" s="37"/>
      <c r="I6" s="37"/>
      <c r="J6" s="37"/>
      <c r="K6" s="37"/>
      <c r="L6" s="37"/>
    </row>
    <row r="7" customFormat="false" ht="19.5" hidden="false" customHeight="true" outlineLevel="0" collapsed="false">
      <c r="B7" s="4" t="s">
        <v>205</v>
      </c>
      <c r="C7" s="4"/>
      <c r="D7" s="37" t="s">
        <v>206</v>
      </c>
      <c r="E7" s="37"/>
      <c r="F7" s="37"/>
      <c r="G7" s="37"/>
      <c r="H7" s="37"/>
      <c r="I7" s="37"/>
      <c r="J7" s="37"/>
      <c r="K7" s="37"/>
      <c r="L7" s="37"/>
    </row>
    <row r="8" customFormat="false" ht="19.5" hidden="false" customHeight="true" outlineLevel="0" collapsed="false">
      <c r="B8" s="4" t="s">
        <v>207</v>
      </c>
      <c r="C8" s="4"/>
      <c r="D8" s="37" t="s">
        <v>208</v>
      </c>
      <c r="E8" s="37"/>
      <c r="F8" s="37"/>
      <c r="G8" s="37"/>
      <c r="H8" s="37"/>
      <c r="I8" s="37"/>
      <c r="J8" s="37"/>
      <c r="K8" s="37"/>
      <c r="L8" s="37"/>
    </row>
    <row r="10" customFormat="false" ht="21.75" hidden="false" customHeight="true" outlineLevel="0" collapsed="false">
      <c r="B10" s="38" t="s">
        <v>63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customFormat="false" ht="30" hidden="false" customHeight="true" outlineLevel="0" collapsed="false">
      <c r="B11" s="31" t="s">
        <v>68</v>
      </c>
      <c r="C11" s="31" t="s">
        <v>69</v>
      </c>
      <c r="D11" s="31" t="s">
        <v>71</v>
      </c>
      <c r="E11" s="31" t="s">
        <v>72</v>
      </c>
      <c r="F11" s="31" t="s">
        <v>73</v>
      </c>
      <c r="G11" s="31" t="s">
        <v>75</v>
      </c>
      <c r="H11" s="31" t="s">
        <v>76</v>
      </c>
      <c r="I11" s="31" t="s">
        <v>16</v>
      </c>
      <c r="J11" s="31" t="s">
        <v>70</v>
      </c>
      <c r="K11" s="31" t="s">
        <v>74</v>
      </c>
      <c r="L11" s="31" t="s">
        <v>18</v>
      </c>
    </row>
    <row r="12" customFormat="false" ht="30.75" hidden="false" customHeight="true" outlineLevel="0" collapsed="false">
      <c r="B12" s="12" t="n">
        <v>1</v>
      </c>
      <c r="C12" s="39" t="s">
        <v>209</v>
      </c>
      <c r="D12" s="7" t="s">
        <v>210</v>
      </c>
      <c r="E12" s="40" t="n">
        <v>5</v>
      </c>
      <c r="F12" s="40" t="n">
        <v>5</v>
      </c>
      <c r="G12" s="7" t="s">
        <v>211</v>
      </c>
      <c r="H12" s="7" t="s">
        <v>212</v>
      </c>
      <c r="I12" s="14" t="str">
        <f aca="false">IF(E12&gt;=4,IF(F12&gt;=4,"Gerir de perto","Manter satisfeito"),IF(F12&gt;=4,"Manter informado","Monitorar"))</f>
        <v>Gerir de perto</v>
      </c>
      <c r="J12" s="7" t="s">
        <v>213</v>
      </c>
      <c r="K12" s="40" t="s">
        <v>214</v>
      </c>
      <c r="L12" s="15" t="str">
        <f aca="false">IF(OR(I12&lt;&gt;"Monitorar",K12="Sim"),"Sim","Não")</f>
        <v>Sim</v>
      </c>
    </row>
    <row r="13" customFormat="false" ht="30.75" hidden="false" customHeight="true" outlineLevel="0" collapsed="false">
      <c r="B13" s="12" t="n">
        <v>2</v>
      </c>
      <c r="C13" s="39" t="s">
        <v>215</v>
      </c>
      <c r="D13" s="7" t="s">
        <v>216</v>
      </c>
      <c r="E13" s="40" t="n">
        <v>5</v>
      </c>
      <c r="F13" s="40" t="n">
        <v>5</v>
      </c>
      <c r="G13" s="7" t="s">
        <v>217</v>
      </c>
      <c r="H13" s="7" t="s">
        <v>94</v>
      </c>
      <c r="I13" s="14" t="str">
        <f aca="false">IF(E13&gt;=4,IF(F13&gt;=4,"Gerir de perto","Manter satisfeito"),IF(F13&gt;=4,"Manter informado","Monitorar"))</f>
        <v>Gerir de perto</v>
      </c>
      <c r="J13" s="7" t="s">
        <v>218</v>
      </c>
      <c r="K13" s="40" t="s">
        <v>214</v>
      </c>
      <c r="L13" s="15" t="str">
        <f aca="false">IF(OR(I13&lt;&gt;"Monitorar",K13="Sim"),"Sim","Não")</f>
        <v>Sim</v>
      </c>
    </row>
    <row r="14" customFormat="false" ht="30.75" hidden="false" customHeight="true" outlineLevel="0" collapsed="false">
      <c r="B14" s="12" t="n">
        <v>3</v>
      </c>
      <c r="C14" s="39" t="s">
        <v>219</v>
      </c>
      <c r="D14" s="7" t="s">
        <v>220</v>
      </c>
      <c r="E14" s="40" t="n">
        <v>4</v>
      </c>
      <c r="F14" s="40" t="n">
        <v>5</v>
      </c>
      <c r="G14" s="7" t="s">
        <v>221</v>
      </c>
      <c r="H14" s="7" t="s">
        <v>94</v>
      </c>
      <c r="I14" s="14" t="str">
        <f aca="false">IF(E14&gt;=4,IF(F14&gt;=4,"Gerir de perto","Manter satisfeito"),IF(F14&gt;=4,"Manter informado","Monitorar"))</f>
        <v>Gerir de perto</v>
      </c>
      <c r="J14" s="7" t="s">
        <v>222</v>
      </c>
      <c r="K14" s="40" t="s">
        <v>91</v>
      </c>
      <c r="L14" s="15" t="str">
        <f aca="false">IF(OR(I14&lt;&gt;"Monitorar",K14="Sim"),"Sim","Não")</f>
        <v>Sim</v>
      </c>
    </row>
    <row r="15" customFormat="false" ht="30.75" hidden="false" customHeight="true" outlineLevel="0" collapsed="false">
      <c r="B15" s="12" t="n">
        <v>4</v>
      </c>
      <c r="C15" s="39" t="s">
        <v>223</v>
      </c>
      <c r="D15" s="7" t="s">
        <v>224</v>
      </c>
      <c r="E15" s="40" t="n">
        <v>4</v>
      </c>
      <c r="F15" s="40" t="n">
        <v>5</v>
      </c>
      <c r="G15" s="7" t="s">
        <v>225</v>
      </c>
      <c r="H15" s="7" t="s">
        <v>226</v>
      </c>
      <c r="I15" s="14" t="str">
        <f aca="false">IF(E15&gt;=4,IF(F15&gt;=4,"Gerir de perto","Manter satisfeito"),IF(F15&gt;=4,"Manter informado","Monitorar"))</f>
        <v>Gerir de perto</v>
      </c>
      <c r="J15" s="7" t="s">
        <v>227</v>
      </c>
      <c r="K15" s="40" t="s">
        <v>214</v>
      </c>
      <c r="L15" s="15" t="str">
        <f aca="false">IF(OR(I15&lt;&gt;"Monitorar",K15="Sim"),"Sim","Não")</f>
        <v>Sim</v>
      </c>
    </row>
    <row r="16" customFormat="false" ht="30.75" hidden="false" customHeight="true" outlineLevel="0" collapsed="false">
      <c r="B16" s="12" t="n">
        <v>5</v>
      </c>
      <c r="C16" s="39" t="s">
        <v>88</v>
      </c>
      <c r="D16" s="7" t="s">
        <v>90</v>
      </c>
      <c r="E16" s="40" t="n">
        <v>5</v>
      </c>
      <c r="F16" s="40" t="n">
        <v>2</v>
      </c>
      <c r="G16" s="7" t="s">
        <v>93</v>
      </c>
      <c r="H16" s="7" t="s">
        <v>94</v>
      </c>
      <c r="I16" s="14" t="str">
        <f aca="false">IF(E16&gt;=4,IF(F16&gt;=4,"Gerir de perto","Manter satisfeito"),IF(F16&gt;=4,"Manter informado","Monitorar"))</f>
        <v>Manter satisfeito</v>
      </c>
      <c r="J16" s="7" t="s">
        <v>89</v>
      </c>
      <c r="K16" s="40" t="s">
        <v>91</v>
      </c>
      <c r="L16" s="15" t="str">
        <f aca="false">IF(OR(I16&lt;&gt;"Monitorar",K16="Sim"),"Sim","Não")</f>
        <v>Sim</v>
      </c>
    </row>
    <row r="17" customFormat="false" ht="30.75" hidden="false" customHeight="true" outlineLevel="0" collapsed="false">
      <c r="B17" s="12" t="n">
        <v>6</v>
      </c>
      <c r="C17" s="39" t="s">
        <v>228</v>
      </c>
      <c r="D17" s="7" t="s">
        <v>229</v>
      </c>
      <c r="E17" s="40" t="n">
        <v>5</v>
      </c>
      <c r="F17" s="40" t="n">
        <v>1</v>
      </c>
      <c r="G17" s="7" t="s">
        <v>230</v>
      </c>
      <c r="H17" s="7" t="s">
        <v>94</v>
      </c>
      <c r="I17" s="14" t="str">
        <f aca="false">IF(E17&gt;=4,IF(F17&gt;=4,"Gerir de perto","Manter satisfeito"),IF(F17&gt;=4,"Manter informado","Monitorar"))</f>
        <v>Manter satisfeito</v>
      </c>
      <c r="J17" s="7" t="s">
        <v>89</v>
      </c>
      <c r="K17" s="40" t="s">
        <v>91</v>
      </c>
      <c r="L17" s="15" t="str">
        <f aca="false">IF(OR(I17&lt;&gt;"Monitorar",K17="Sim"),"Sim","Não")</f>
        <v>Sim</v>
      </c>
    </row>
    <row r="18" customFormat="false" ht="30.75" hidden="false" customHeight="true" outlineLevel="0" collapsed="false">
      <c r="B18" s="12" t="n">
        <v>7</v>
      </c>
      <c r="C18" s="39" t="s">
        <v>231</v>
      </c>
      <c r="D18" s="7" t="s">
        <v>232</v>
      </c>
      <c r="E18" s="40" t="n">
        <v>5</v>
      </c>
      <c r="F18" s="40" t="n">
        <v>2</v>
      </c>
      <c r="G18" s="7" t="s">
        <v>233</v>
      </c>
      <c r="H18" s="7" t="s">
        <v>94</v>
      </c>
      <c r="I18" s="14" t="str">
        <f aca="false">IF(E18&gt;=4,IF(F18&gt;=4,"Gerir de perto","Manter satisfeito"),IF(F18&gt;=4,"Manter informado","Monitorar"))</f>
        <v>Manter satisfeito</v>
      </c>
      <c r="J18" s="7" t="s">
        <v>227</v>
      </c>
      <c r="K18" s="40" t="s">
        <v>214</v>
      </c>
      <c r="L18" s="15" t="str">
        <f aca="false">IF(OR(I18&lt;&gt;"Monitorar",K18="Sim"),"Sim","Não")</f>
        <v>Sim</v>
      </c>
    </row>
    <row r="19" customFormat="false" ht="30.75" hidden="false" customHeight="true" outlineLevel="0" collapsed="false">
      <c r="B19" s="12" t="n">
        <v>8</v>
      </c>
      <c r="C19" s="39" t="s">
        <v>234</v>
      </c>
      <c r="D19" s="7" t="s">
        <v>235</v>
      </c>
      <c r="E19" s="40" t="n">
        <v>4</v>
      </c>
      <c r="F19" s="40" t="n">
        <v>3</v>
      </c>
      <c r="G19" s="7" t="s">
        <v>236</v>
      </c>
      <c r="H19" s="7" t="s">
        <v>237</v>
      </c>
      <c r="I19" s="14" t="str">
        <f aca="false">IF(E19&gt;=4,IF(F19&gt;=4,"Gerir de perto","Manter satisfeito"),IF(F19&gt;=4,"Manter informado","Monitorar"))</f>
        <v>Manter satisfeito</v>
      </c>
      <c r="J19" s="7" t="s">
        <v>227</v>
      </c>
      <c r="K19" s="40" t="s">
        <v>214</v>
      </c>
      <c r="L19" s="15" t="str">
        <f aca="false">IF(OR(I19&lt;&gt;"Monitorar",K19="Sim"),"Sim","Não")</f>
        <v>Sim</v>
      </c>
    </row>
    <row r="20" customFormat="false" ht="30.75" hidden="false" customHeight="true" outlineLevel="0" collapsed="false">
      <c r="B20" s="12" t="n">
        <v>9</v>
      </c>
      <c r="C20" s="39" t="s">
        <v>238</v>
      </c>
      <c r="D20" s="7" t="s">
        <v>239</v>
      </c>
      <c r="E20" s="40" t="n">
        <v>2</v>
      </c>
      <c r="F20" s="40" t="n">
        <v>4</v>
      </c>
      <c r="G20" s="7" t="s">
        <v>240</v>
      </c>
      <c r="H20" s="7" t="s">
        <v>94</v>
      </c>
      <c r="I20" s="14" t="str">
        <f aca="false">IF(E20&gt;=4,IF(F20&gt;=4,"Gerir de perto","Manter satisfeito"),IF(F20&gt;=4,"Manter informado","Monitorar"))</f>
        <v>Manter informado</v>
      </c>
      <c r="J20" s="7" t="s">
        <v>241</v>
      </c>
      <c r="K20" s="40" t="s">
        <v>214</v>
      </c>
      <c r="L20" s="15" t="str">
        <f aca="false">IF(OR(I20&lt;&gt;"Monitorar",K20="Sim"),"Sim","Não")</f>
        <v>Sim</v>
      </c>
    </row>
    <row r="21" customFormat="false" ht="30.75" hidden="false" customHeight="true" outlineLevel="0" collapsed="false">
      <c r="B21" s="12" t="n">
        <v>10</v>
      </c>
      <c r="C21" s="39" t="s">
        <v>242</v>
      </c>
      <c r="D21" s="7" t="s">
        <v>243</v>
      </c>
      <c r="E21" s="40" t="n">
        <v>3</v>
      </c>
      <c r="F21" s="40" t="n">
        <v>2</v>
      </c>
      <c r="G21" s="7" t="s">
        <v>244</v>
      </c>
      <c r="H21" s="7" t="s">
        <v>244</v>
      </c>
      <c r="I21" s="14" t="str">
        <f aca="false">IF(E21&gt;=4,IF(F21&gt;=4,"Gerir de perto","Manter satisfeito"),IF(F21&gt;=4,"Manter informado","Monitorar"))</f>
        <v>Monitorar</v>
      </c>
      <c r="J21" s="7" t="s">
        <v>241</v>
      </c>
      <c r="K21" s="40" t="s">
        <v>214</v>
      </c>
      <c r="L21" s="15" t="str">
        <f aca="false">IF(OR(I21&lt;&gt;"Monitorar",K21="Sim"),"Sim","Não")</f>
        <v>Não</v>
      </c>
    </row>
    <row r="22" customFormat="false" ht="30.75" hidden="false" customHeight="true" outlineLevel="0" collapsed="false">
      <c r="B22" s="12" t="n">
        <v>11</v>
      </c>
      <c r="C22" s="39" t="s">
        <v>245</v>
      </c>
      <c r="D22" s="7" t="s">
        <v>246</v>
      </c>
      <c r="E22" s="40" t="n">
        <v>2</v>
      </c>
      <c r="F22" s="40" t="n">
        <v>2</v>
      </c>
      <c r="G22" s="7" t="s">
        <v>244</v>
      </c>
      <c r="H22" s="7" t="s">
        <v>244</v>
      </c>
      <c r="I22" s="14" t="str">
        <f aca="false">IF(E22&gt;=4,IF(F22&gt;=4,"Gerir de perto","Manter satisfeito"),IF(F22&gt;=4,"Manter informado","Monitorar"))</f>
        <v>Monitorar</v>
      </c>
      <c r="J22" s="7" t="s">
        <v>247</v>
      </c>
      <c r="K22" s="40" t="s">
        <v>214</v>
      </c>
      <c r="L22" s="15" t="str">
        <f aca="false">IF(OR(I22&lt;&gt;"Monitorar",K22="Sim"),"Sim","Não")</f>
        <v>Não</v>
      </c>
    </row>
    <row r="24" customFormat="false" ht="21.75" hidden="false" customHeight="true" outlineLevel="0" collapsed="false">
      <c r="B24" s="41" t="s">
        <v>42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customFormat="false" ht="30" hidden="false" customHeight="true" outlineLevel="0" collapsed="false">
      <c r="B25" s="31" t="s">
        <v>68</v>
      </c>
      <c r="C25" s="31" t="s">
        <v>69</v>
      </c>
      <c r="D25" s="31" t="s">
        <v>103</v>
      </c>
      <c r="E25" s="31" t="s">
        <v>104</v>
      </c>
      <c r="F25" s="31" t="s">
        <v>105</v>
      </c>
      <c r="G25" s="31" t="s">
        <v>106</v>
      </c>
      <c r="H25" s="31" t="s">
        <v>107</v>
      </c>
      <c r="I25" s="31" t="s">
        <v>108</v>
      </c>
      <c r="J25" s="31" t="s">
        <v>109</v>
      </c>
      <c r="K25" s="31" t="s">
        <v>110</v>
      </c>
      <c r="L25" s="31" t="s">
        <v>111</v>
      </c>
    </row>
    <row r="26" customFormat="false" ht="30.75" hidden="false" customHeight="true" outlineLevel="0" collapsed="false">
      <c r="B26" s="12" t="n">
        <v>1</v>
      </c>
      <c r="C26" s="39" t="s">
        <v>209</v>
      </c>
      <c r="D26" s="7" t="s">
        <v>248</v>
      </c>
      <c r="E26" s="40" t="s">
        <v>249</v>
      </c>
      <c r="F26" s="40" t="s">
        <v>91</v>
      </c>
      <c r="G26" s="7" t="s">
        <v>250</v>
      </c>
      <c r="H26" s="7" t="s">
        <v>251</v>
      </c>
      <c r="I26" s="40" t="s">
        <v>172</v>
      </c>
      <c r="J26" s="7" t="s">
        <v>244</v>
      </c>
      <c r="K26" s="7" t="s">
        <v>244</v>
      </c>
      <c r="L26" s="42" t="s">
        <v>244</v>
      </c>
    </row>
    <row r="27" customFormat="false" ht="42.75" hidden="false" customHeight="true" outlineLevel="0" collapsed="false">
      <c r="B27" s="12" t="n">
        <v>2</v>
      </c>
      <c r="C27" s="39" t="s">
        <v>209</v>
      </c>
      <c r="D27" s="7" t="s">
        <v>252</v>
      </c>
      <c r="E27" s="40" t="s">
        <v>253</v>
      </c>
      <c r="F27" s="40" t="s">
        <v>91</v>
      </c>
      <c r="G27" s="7" t="s">
        <v>254</v>
      </c>
      <c r="H27" s="7" t="s">
        <v>255</v>
      </c>
      <c r="I27" s="40" t="s">
        <v>122</v>
      </c>
      <c r="J27" s="7" t="s">
        <v>256</v>
      </c>
      <c r="K27" s="7" t="s">
        <v>237</v>
      </c>
      <c r="L27" s="42" t="n">
        <v>46346</v>
      </c>
    </row>
    <row r="28" customFormat="false" ht="42.75" hidden="false" customHeight="true" outlineLevel="0" collapsed="false">
      <c r="B28" s="12" t="n">
        <v>3</v>
      </c>
      <c r="C28" s="39" t="s">
        <v>209</v>
      </c>
      <c r="D28" s="7" t="s">
        <v>257</v>
      </c>
      <c r="E28" s="40" t="s">
        <v>253</v>
      </c>
      <c r="F28" s="40" t="s">
        <v>91</v>
      </c>
      <c r="G28" s="7" t="s">
        <v>258</v>
      </c>
      <c r="H28" s="7" t="s">
        <v>259</v>
      </c>
      <c r="I28" s="40" t="s">
        <v>122</v>
      </c>
      <c r="J28" s="7" t="s">
        <v>260</v>
      </c>
      <c r="K28" s="7" t="s">
        <v>212</v>
      </c>
      <c r="L28" s="42" t="n">
        <v>46370</v>
      </c>
    </row>
    <row r="29" customFormat="false" ht="30.75" hidden="false" customHeight="true" outlineLevel="0" collapsed="false">
      <c r="B29" s="12" t="n">
        <v>4</v>
      </c>
      <c r="C29" s="39" t="s">
        <v>215</v>
      </c>
      <c r="D29" s="7" t="s">
        <v>261</v>
      </c>
      <c r="E29" s="40" t="s">
        <v>253</v>
      </c>
      <c r="F29" s="40" t="s">
        <v>91</v>
      </c>
      <c r="G29" s="7" t="s">
        <v>262</v>
      </c>
      <c r="H29" s="7" t="s">
        <v>263</v>
      </c>
      <c r="I29" s="40" t="s">
        <v>174</v>
      </c>
      <c r="J29" s="7" t="s">
        <v>264</v>
      </c>
      <c r="K29" s="7" t="s">
        <v>94</v>
      </c>
      <c r="L29" s="42" t="n">
        <v>46416</v>
      </c>
    </row>
    <row r="30" customFormat="false" ht="42.75" hidden="false" customHeight="true" outlineLevel="0" collapsed="false">
      <c r="B30" s="12" t="n">
        <v>5</v>
      </c>
      <c r="C30" s="39" t="s">
        <v>219</v>
      </c>
      <c r="D30" s="7" t="s">
        <v>265</v>
      </c>
      <c r="E30" s="40" t="s">
        <v>119</v>
      </c>
      <c r="F30" s="40" t="s">
        <v>91</v>
      </c>
      <c r="G30" s="7" t="s">
        <v>266</v>
      </c>
      <c r="H30" s="7" t="s">
        <v>267</v>
      </c>
      <c r="I30" s="40" t="s">
        <v>172</v>
      </c>
      <c r="J30" s="7" t="s">
        <v>244</v>
      </c>
      <c r="K30" s="7" t="s">
        <v>244</v>
      </c>
      <c r="L30" s="42" t="s">
        <v>244</v>
      </c>
    </row>
    <row r="31" customFormat="false" ht="30.75" hidden="false" customHeight="true" outlineLevel="0" collapsed="false">
      <c r="B31" s="12" t="n">
        <v>6</v>
      </c>
      <c r="C31" s="39" t="s">
        <v>219</v>
      </c>
      <c r="D31" s="7" t="s">
        <v>268</v>
      </c>
      <c r="E31" s="40" t="s">
        <v>253</v>
      </c>
      <c r="F31" s="40" t="s">
        <v>91</v>
      </c>
      <c r="G31" s="7" t="s">
        <v>269</v>
      </c>
      <c r="H31" s="7" t="s">
        <v>270</v>
      </c>
      <c r="I31" s="40" t="s">
        <v>122</v>
      </c>
      <c r="J31" s="7" t="s">
        <v>271</v>
      </c>
      <c r="K31" s="7" t="s">
        <v>94</v>
      </c>
      <c r="L31" s="42" t="n">
        <v>46430</v>
      </c>
    </row>
    <row r="32" customFormat="false" ht="30.75" hidden="false" customHeight="true" outlineLevel="0" collapsed="false">
      <c r="B32" s="12" t="n">
        <v>7</v>
      </c>
      <c r="C32" s="39" t="s">
        <v>223</v>
      </c>
      <c r="D32" s="7" t="s">
        <v>272</v>
      </c>
      <c r="E32" s="40" t="s">
        <v>249</v>
      </c>
      <c r="F32" s="40" t="s">
        <v>91</v>
      </c>
      <c r="G32" s="7" t="s">
        <v>273</v>
      </c>
      <c r="H32" s="7" t="s">
        <v>274</v>
      </c>
      <c r="I32" s="40" t="s">
        <v>172</v>
      </c>
      <c r="J32" s="7" t="s">
        <v>244</v>
      </c>
      <c r="K32" s="7" t="s">
        <v>244</v>
      </c>
      <c r="L32" s="42" t="s">
        <v>244</v>
      </c>
    </row>
    <row r="33" customFormat="false" ht="30.75" hidden="false" customHeight="true" outlineLevel="0" collapsed="false">
      <c r="B33" s="12" t="n">
        <v>8</v>
      </c>
      <c r="C33" s="39" t="s">
        <v>223</v>
      </c>
      <c r="D33" s="7" t="s">
        <v>275</v>
      </c>
      <c r="E33" s="40" t="s">
        <v>253</v>
      </c>
      <c r="F33" s="40" t="s">
        <v>91</v>
      </c>
      <c r="G33" s="7" t="s">
        <v>276</v>
      </c>
      <c r="H33" s="7" t="s">
        <v>277</v>
      </c>
      <c r="I33" s="40" t="s">
        <v>172</v>
      </c>
      <c r="J33" s="7" t="s">
        <v>244</v>
      </c>
      <c r="K33" s="7" t="s">
        <v>244</v>
      </c>
      <c r="L33" s="42" t="s">
        <v>244</v>
      </c>
    </row>
    <row r="34" customFormat="false" ht="30.75" hidden="false" customHeight="true" outlineLevel="0" collapsed="false">
      <c r="B34" s="12" t="n">
        <v>9</v>
      </c>
      <c r="C34" s="39" t="s">
        <v>223</v>
      </c>
      <c r="D34" s="7" t="s">
        <v>278</v>
      </c>
      <c r="E34" s="40" t="s">
        <v>253</v>
      </c>
      <c r="F34" s="40" t="s">
        <v>91</v>
      </c>
      <c r="G34" s="7" t="s">
        <v>279</v>
      </c>
      <c r="H34" s="7" t="s">
        <v>280</v>
      </c>
      <c r="I34" s="40" t="s">
        <v>122</v>
      </c>
      <c r="J34" s="7" t="s">
        <v>281</v>
      </c>
      <c r="K34" s="7" t="s">
        <v>226</v>
      </c>
      <c r="L34" s="42" t="n">
        <v>46332</v>
      </c>
    </row>
    <row r="35" customFormat="false" ht="30.75" hidden="false" customHeight="true" outlineLevel="0" collapsed="false">
      <c r="B35" s="12" t="n">
        <v>10</v>
      </c>
      <c r="C35" s="39" t="s">
        <v>88</v>
      </c>
      <c r="D35" s="7" t="s">
        <v>118</v>
      </c>
      <c r="E35" s="40" t="s">
        <v>119</v>
      </c>
      <c r="F35" s="40" t="s">
        <v>91</v>
      </c>
      <c r="G35" s="7" t="s">
        <v>120</v>
      </c>
      <c r="H35" s="7" t="s">
        <v>121</v>
      </c>
      <c r="I35" s="40" t="s">
        <v>122</v>
      </c>
      <c r="J35" s="7" t="s">
        <v>123</v>
      </c>
      <c r="K35" s="7" t="s">
        <v>94</v>
      </c>
      <c r="L35" s="42" t="n">
        <v>46339</v>
      </c>
    </row>
    <row r="36" customFormat="false" ht="42.75" hidden="false" customHeight="true" outlineLevel="0" collapsed="false">
      <c r="B36" s="12" t="n">
        <v>11</v>
      </c>
      <c r="C36" s="39" t="s">
        <v>88</v>
      </c>
      <c r="D36" s="7" t="s">
        <v>282</v>
      </c>
      <c r="E36" s="40" t="s">
        <v>119</v>
      </c>
      <c r="F36" s="40" t="s">
        <v>91</v>
      </c>
      <c r="G36" s="7" t="s">
        <v>283</v>
      </c>
      <c r="H36" s="7" t="s">
        <v>284</v>
      </c>
      <c r="I36" s="40" t="s">
        <v>172</v>
      </c>
      <c r="J36" s="7" t="s">
        <v>244</v>
      </c>
      <c r="K36" s="7" t="s">
        <v>244</v>
      </c>
      <c r="L36" s="42" t="s">
        <v>244</v>
      </c>
    </row>
    <row r="37" customFormat="false" ht="30.75" hidden="false" customHeight="true" outlineLevel="0" collapsed="false">
      <c r="B37" s="12" t="n">
        <v>12</v>
      </c>
      <c r="C37" s="39" t="s">
        <v>228</v>
      </c>
      <c r="D37" s="7" t="s">
        <v>285</v>
      </c>
      <c r="E37" s="40" t="s">
        <v>119</v>
      </c>
      <c r="F37" s="40" t="s">
        <v>91</v>
      </c>
      <c r="G37" s="7" t="s">
        <v>286</v>
      </c>
      <c r="H37" s="7" t="s">
        <v>121</v>
      </c>
      <c r="I37" s="40" t="s">
        <v>172</v>
      </c>
      <c r="J37" s="7" t="s">
        <v>244</v>
      </c>
      <c r="K37" s="7" t="s">
        <v>244</v>
      </c>
      <c r="L37" s="42" t="s">
        <v>244</v>
      </c>
    </row>
    <row r="38" customFormat="false" ht="30.75" hidden="false" customHeight="true" outlineLevel="0" collapsed="false">
      <c r="B38" s="12" t="n">
        <v>13</v>
      </c>
      <c r="C38" s="39" t="s">
        <v>231</v>
      </c>
      <c r="D38" s="7" t="s">
        <v>287</v>
      </c>
      <c r="E38" s="40" t="s">
        <v>249</v>
      </c>
      <c r="F38" s="40" t="s">
        <v>91</v>
      </c>
      <c r="G38" s="7" t="s">
        <v>288</v>
      </c>
      <c r="H38" s="7" t="s">
        <v>233</v>
      </c>
      <c r="I38" s="40" t="s">
        <v>172</v>
      </c>
      <c r="J38" s="7" t="s">
        <v>244</v>
      </c>
      <c r="K38" s="7" t="s">
        <v>244</v>
      </c>
      <c r="L38" s="42" t="s">
        <v>244</v>
      </c>
    </row>
    <row r="39" customFormat="false" ht="30.75" hidden="false" customHeight="true" outlineLevel="0" collapsed="false">
      <c r="B39" s="12" t="n">
        <v>14</v>
      </c>
      <c r="C39" s="39" t="s">
        <v>234</v>
      </c>
      <c r="D39" s="7" t="s">
        <v>289</v>
      </c>
      <c r="E39" s="40" t="s">
        <v>249</v>
      </c>
      <c r="F39" s="40" t="s">
        <v>91</v>
      </c>
      <c r="G39" s="7" t="s">
        <v>290</v>
      </c>
      <c r="H39" s="7" t="s">
        <v>291</v>
      </c>
      <c r="I39" s="40" t="s">
        <v>172</v>
      </c>
      <c r="J39" s="7" t="s">
        <v>244</v>
      </c>
      <c r="K39" s="7" t="s">
        <v>244</v>
      </c>
      <c r="L39" s="42" t="s">
        <v>244</v>
      </c>
    </row>
    <row r="40" customFormat="false" ht="30.75" hidden="false" customHeight="true" outlineLevel="0" collapsed="false">
      <c r="B40" s="12" t="n">
        <v>15</v>
      </c>
      <c r="C40" s="39" t="s">
        <v>238</v>
      </c>
      <c r="D40" s="7" t="s">
        <v>292</v>
      </c>
      <c r="E40" s="40" t="s">
        <v>253</v>
      </c>
      <c r="F40" s="40" t="s">
        <v>91</v>
      </c>
      <c r="G40" s="7" t="s">
        <v>293</v>
      </c>
      <c r="H40" s="7" t="s">
        <v>294</v>
      </c>
      <c r="I40" s="40" t="s">
        <v>172</v>
      </c>
      <c r="J40" s="7" t="s">
        <v>244</v>
      </c>
      <c r="K40" s="7" t="s">
        <v>244</v>
      </c>
      <c r="L40" s="42" t="s">
        <v>244</v>
      </c>
    </row>
    <row r="41" customFormat="false" ht="54.75" hidden="false" customHeight="true" outlineLevel="0" collapsed="false">
      <c r="B41" s="12" t="n">
        <v>16</v>
      </c>
      <c r="C41" s="39" t="s">
        <v>238</v>
      </c>
      <c r="D41" s="7" t="s">
        <v>295</v>
      </c>
      <c r="E41" s="40" t="s">
        <v>253</v>
      </c>
      <c r="F41" s="40" t="s">
        <v>214</v>
      </c>
      <c r="G41" s="7" t="s">
        <v>296</v>
      </c>
      <c r="H41" s="7" t="s">
        <v>244</v>
      </c>
      <c r="I41" s="40" t="s">
        <v>244</v>
      </c>
      <c r="J41" s="7" t="s">
        <v>244</v>
      </c>
      <c r="K41" s="7" t="s">
        <v>244</v>
      </c>
      <c r="L41" s="42" t="s">
        <v>244</v>
      </c>
    </row>
    <row r="43" customFormat="false" ht="21.75" hidden="false" customHeight="true" outlineLevel="0" collapsed="false">
      <c r="B43" s="17" t="s">
        <v>96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21.75" hidden="false" customHeight="true" outlineLevel="0" collapsed="false">
      <c r="B44" s="18" t="s">
        <v>297</v>
      </c>
      <c r="C44" s="18"/>
      <c r="D44" s="18"/>
      <c r="E44" s="4" t="str">
        <f aca="false">COUNTA(C12:C22)&amp;" listadas, "&amp;COUNTIF(L12:L22,"Sim")&amp;" pertinentes"</f>
        <v>11 listadas, 9 pertinentes</v>
      </c>
      <c r="F44" s="4"/>
      <c r="G44" s="4"/>
    </row>
    <row r="45" customFormat="false" ht="21.75" hidden="false" customHeight="true" outlineLevel="0" collapsed="false">
      <c r="B45" s="18" t="s">
        <v>298</v>
      </c>
      <c r="C45" s="18"/>
      <c r="D45" s="18"/>
      <c r="E45" s="4" t="n">
        <f aca="false">COUNTIF(I12:I22,"Gerir de perto")</f>
        <v>4</v>
      </c>
      <c r="F45" s="4"/>
      <c r="G45" s="4"/>
    </row>
    <row r="46" customFormat="false" ht="21.75" hidden="false" customHeight="true" outlineLevel="0" collapsed="false">
      <c r="B46" s="18" t="s">
        <v>299</v>
      </c>
      <c r="C46" s="18"/>
      <c r="D46" s="18"/>
      <c r="E46" s="4" t="str">
        <f aca="false">COUNTA(D26:D41)&amp;" levantados, "&amp;COUNTIF(F26:F41,"Sim")&amp;" adotados"</f>
        <v>16 levantados, 15 adotados</v>
      </c>
      <c r="F46" s="4"/>
      <c r="G46" s="4"/>
    </row>
    <row r="47" customFormat="false" ht="21.75" hidden="false" customHeight="true" outlineLevel="0" collapsed="false">
      <c r="B47" s="18" t="s">
        <v>127</v>
      </c>
      <c r="C47" s="18"/>
      <c r="D47" s="18"/>
      <c r="E47" s="23" t="n">
        <f aca="false">(COUNTIF(I26:I41,"Atende")+0.5*COUNTIF(I26:I41,"Atende em parte"))/COUNTIF(F26:F41,"Sim")</f>
        <v>0.766666666666667</v>
      </c>
      <c r="F47" s="23"/>
      <c r="G47" s="23"/>
    </row>
    <row r="48" customFormat="false" ht="21.75" hidden="false" customHeight="true" outlineLevel="0" collapsed="false">
      <c r="B48" s="18" t="s">
        <v>166</v>
      </c>
      <c r="C48" s="18"/>
      <c r="D48" s="18"/>
      <c r="E48" s="4" t="str">
        <f aca="false">COUNTIFS(E26:E41,"Legal",I26:I41,"Atende")&amp;" de "&amp;COUNTIF(E26:E41,"Legal")</f>
        <v>3 de 4</v>
      </c>
      <c r="F48" s="4"/>
      <c r="G48" s="4"/>
    </row>
    <row r="49" customFormat="false" ht="21.75" hidden="false" customHeight="true" outlineLevel="0" collapsed="false">
      <c r="B49" s="18" t="s">
        <v>128</v>
      </c>
      <c r="C49" s="18"/>
      <c r="D49" s="18"/>
      <c r="E49" s="4" t="n">
        <f aca="false">COUNTIF(I26:I41,"Atende em parte")+COUNTIF(I26:I41,"Não atende")</f>
        <v>6</v>
      </c>
      <c r="F49" s="4"/>
      <c r="G49" s="4"/>
    </row>
  </sheetData>
  <mergeCells count="27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10:L10"/>
    <mergeCell ref="B24:L24"/>
    <mergeCell ref="B43:L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</mergeCells>
  <conditionalFormatting sqref="I12:I22">
    <cfRule type="expression" priority="2" aboveAverage="0" equalAverage="0" bottom="0" percent="0" rank="0" text="" dxfId="0">
      <formula>I12="Gerir de perto"</formula>
    </cfRule>
    <cfRule type="expression" priority="3" aboveAverage="0" equalAverage="0" bottom="0" percent="0" rank="0" text="" dxfId="1">
      <formula>I12="Manter satisfeito"</formula>
    </cfRule>
    <cfRule type="expression" priority="4" aboveAverage="0" equalAverage="0" bottom="0" percent="0" rank="0" text="" dxfId="2">
      <formula>I12="Manter informado"</formula>
    </cfRule>
  </conditionalFormatting>
  <conditionalFormatting sqref="I26:I41">
    <cfRule type="expression" priority="5" aboveAverage="0" equalAverage="0" bottom="0" percent="0" rank="0" text="" dxfId="3">
      <formula>I26="Atende"</formula>
    </cfRule>
    <cfRule type="expression" priority="6" aboveAverage="0" equalAverage="0" bottom="0" percent="0" rank="0" text="" dxfId="4">
      <formula>I26="Atende em parte"</formula>
    </cfRule>
    <cfRule type="expression" priority="7" aboveAverage="0" equalAverage="0" bottom="0" percent="0" rank="0" text="" dxfId="5">
      <formula>I26="Não atende"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3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7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199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B4" s="4" t="s">
        <v>65</v>
      </c>
      <c r="C4" s="4"/>
      <c r="D4" s="37" t="s">
        <v>300</v>
      </c>
      <c r="E4" s="37"/>
      <c r="F4" s="37"/>
      <c r="G4" s="37"/>
      <c r="H4" s="37"/>
      <c r="I4" s="37"/>
      <c r="J4" s="37"/>
      <c r="K4" s="37"/>
      <c r="L4" s="37"/>
    </row>
    <row r="5" customFormat="false" ht="19.5" hidden="false" customHeight="true" outlineLevel="0" collapsed="false">
      <c r="B5" s="4" t="s">
        <v>201</v>
      </c>
      <c r="C5" s="4"/>
      <c r="D5" s="37" t="s">
        <v>301</v>
      </c>
      <c r="E5" s="37"/>
      <c r="F5" s="37"/>
      <c r="G5" s="37"/>
      <c r="H5" s="37"/>
      <c r="I5" s="37"/>
      <c r="J5" s="37"/>
      <c r="K5" s="37"/>
      <c r="L5" s="37"/>
    </row>
    <row r="6" customFormat="false" ht="19.5" hidden="false" customHeight="true" outlineLevel="0" collapsed="false">
      <c r="B6" s="4" t="s">
        <v>203</v>
      </c>
      <c r="C6" s="4"/>
      <c r="D6" s="37" t="s">
        <v>302</v>
      </c>
      <c r="E6" s="37"/>
      <c r="F6" s="37"/>
      <c r="G6" s="37"/>
      <c r="H6" s="37"/>
      <c r="I6" s="37"/>
      <c r="J6" s="37"/>
      <c r="K6" s="37"/>
      <c r="L6" s="37"/>
    </row>
    <row r="7" customFormat="false" ht="19.5" hidden="false" customHeight="true" outlineLevel="0" collapsed="false">
      <c r="B7" s="4" t="s">
        <v>205</v>
      </c>
      <c r="C7" s="4"/>
      <c r="D7" s="37" t="s">
        <v>303</v>
      </c>
      <c r="E7" s="37"/>
      <c r="F7" s="37"/>
      <c r="G7" s="37"/>
      <c r="H7" s="37"/>
      <c r="I7" s="37"/>
      <c r="J7" s="37"/>
      <c r="K7" s="37"/>
      <c r="L7" s="37"/>
    </row>
    <row r="8" customFormat="false" ht="19.5" hidden="false" customHeight="true" outlineLevel="0" collapsed="false">
      <c r="B8" s="4" t="s">
        <v>207</v>
      </c>
      <c r="C8" s="4"/>
      <c r="D8" s="37" t="s">
        <v>304</v>
      </c>
      <c r="E8" s="37"/>
      <c r="F8" s="37"/>
      <c r="G8" s="37"/>
      <c r="H8" s="37"/>
      <c r="I8" s="37"/>
      <c r="J8" s="37"/>
      <c r="K8" s="37"/>
      <c r="L8" s="37"/>
    </row>
    <row r="10" customFormat="false" ht="21.75" hidden="false" customHeight="true" outlineLevel="0" collapsed="false">
      <c r="B10" s="38" t="s">
        <v>63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customFormat="false" ht="30" hidden="false" customHeight="true" outlineLevel="0" collapsed="false">
      <c r="B11" s="31" t="s">
        <v>68</v>
      </c>
      <c r="C11" s="31" t="s">
        <v>69</v>
      </c>
      <c r="D11" s="31" t="s">
        <v>71</v>
      </c>
      <c r="E11" s="31" t="s">
        <v>72</v>
      </c>
      <c r="F11" s="31" t="s">
        <v>73</v>
      </c>
      <c r="G11" s="31" t="s">
        <v>75</v>
      </c>
      <c r="H11" s="31" t="s">
        <v>76</v>
      </c>
      <c r="I11" s="31" t="s">
        <v>16</v>
      </c>
      <c r="J11" s="31" t="s">
        <v>70</v>
      </c>
      <c r="K11" s="31" t="s">
        <v>74</v>
      </c>
      <c r="L11" s="31" t="s">
        <v>18</v>
      </c>
    </row>
    <row r="12" customFormat="false" ht="42.75" hidden="false" customHeight="true" outlineLevel="0" collapsed="false">
      <c r="B12" s="12" t="n">
        <v>1</v>
      </c>
      <c r="C12" s="39" t="s">
        <v>305</v>
      </c>
      <c r="D12" s="7" t="s">
        <v>306</v>
      </c>
      <c r="E12" s="40" t="n">
        <v>5</v>
      </c>
      <c r="F12" s="40" t="n">
        <v>5</v>
      </c>
      <c r="G12" s="7" t="s">
        <v>307</v>
      </c>
      <c r="H12" s="7" t="s">
        <v>308</v>
      </c>
      <c r="I12" s="14" t="str">
        <f aca="false">IF(E12&gt;=4,IF(F12&gt;=4,"Gerir de perto","Manter satisfeito"),IF(F12&gt;=4,"Manter informado","Monitorar"))</f>
        <v>Gerir de perto</v>
      </c>
      <c r="J12" s="7" t="s">
        <v>213</v>
      </c>
      <c r="K12" s="40" t="s">
        <v>214</v>
      </c>
      <c r="L12" s="15" t="str">
        <f aca="false">IF(OR(I12&lt;&gt;"Monitorar",K12="Sim"),"Sim","Não")</f>
        <v>Sim</v>
      </c>
    </row>
    <row r="13" customFormat="false" ht="30.75" hidden="false" customHeight="true" outlineLevel="0" collapsed="false">
      <c r="B13" s="12" t="n">
        <v>2</v>
      </c>
      <c r="C13" s="39" t="s">
        <v>309</v>
      </c>
      <c r="D13" s="7" t="s">
        <v>310</v>
      </c>
      <c r="E13" s="40" t="n">
        <v>4</v>
      </c>
      <c r="F13" s="40" t="n">
        <v>4</v>
      </c>
      <c r="G13" s="7" t="s">
        <v>307</v>
      </c>
      <c r="H13" s="7" t="s">
        <v>308</v>
      </c>
      <c r="I13" s="14" t="str">
        <f aca="false">IF(E13&gt;=4,IF(F13&gt;=4,"Gerir de perto","Manter satisfeito"),IF(F13&gt;=4,"Manter informado","Monitorar"))</f>
        <v>Gerir de perto</v>
      </c>
      <c r="J13" s="7" t="s">
        <v>213</v>
      </c>
      <c r="K13" s="40" t="s">
        <v>214</v>
      </c>
      <c r="L13" s="15" t="str">
        <f aca="false">IF(OR(I13&lt;&gt;"Monitorar",K13="Sim"),"Sim","Não")</f>
        <v>Sim</v>
      </c>
    </row>
    <row r="14" customFormat="false" ht="30.75" hidden="false" customHeight="true" outlineLevel="0" collapsed="false">
      <c r="B14" s="12" t="n">
        <v>3</v>
      </c>
      <c r="C14" s="39" t="s">
        <v>311</v>
      </c>
      <c r="D14" s="7" t="s">
        <v>312</v>
      </c>
      <c r="E14" s="40" t="n">
        <v>5</v>
      </c>
      <c r="F14" s="40" t="n">
        <v>5</v>
      </c>
      <c r="G14" s="7" t="s">
        <v>313</v>
      </c>
      <c r="H14" s="7" t="s">
        <v>314</v>
      </c>
      <c r="I14" s="14" t="str">
        <f aca="false">IF(E14&gt;=4,IF(F14&gt;=4,"Gerir de perto","Manter satisfeito"),IF(F14&gt;=4,"Manter informado","Monitorar"))</f>
        <v>Gerir de perto</v>
      </c>
      <c r="J14" s="7" t="s">
        <v>218</v>
      </c>
      <c r="K14" s="40" t="s">
        <v>214</v>
      </c>
      <c r="L14" s="15" t="str">
        <f aca="false">IF(OR(I14&lt;&gt;"Monitorar",K14="Sim"),"Sim","Não")</f>
        <v>Sim</v>
      </c>
    </row>
    <row r="15" customFormat="false" ht="30.75" hidden="false" customHeight="true" outlineLevel="0" collapsed="false">
      <c r="B15" s="12" t="n">
        <v>4</v>
      </c>
      <c r="C15" s="39" t="s">
        <v>315</v>
      </c>
      <c r="D15" s="7" t="s">
        <v>316</v>
      </c>
      <c r="E15" s="40" t="n">
        <v>4</v>
      </c>
      <c r="F15" s="40" t="n">
        <v>5</v>
      </c>
      <c r="G15" s="7" t="s">
        <v>317</v>
      </c>
      <c r="H15" s="7" t="s">
        <v>318</v>
      </c>
      <c r="I15" s="14" t="str">
        <f aca="false">IF(E15&gt;=4,IF(F15&gt;=4,"Gerir de perto","Manter satisfeito"),IF(F15&gt;=4,"Manter informado","Monitorar"))</f>
        <v>Gerir de perto</v>
      </c>
      <c r="J15" s="7" t="s">
        <v>222</v>
      </c>
      <c r="K15" s="40" t="s">
        <v>91</v>
      </c>
      <c r="L15" s="15" t="str">
        <f aca="false">IF(OR(I15&lt;&gt;"Monitorar",K15="Sim"),"Sim","Não")</f>
        <v>Sim</v>
      </c>
    </row>
    <row r="16" customFormat="false" ht="30.75" hidden="false" customHeight="true" outlineLevel="0" collapsed="false">
      <c r="B16" s="12" t="n">
        <v>5</v>
      </c>
      <c r="C16" s="39" t="s">
        <v>319</v>
      </c>
      <c r="D16" s="7" t="s">
        <v>320</v>
      </c>
      <c r="E16" s="40" t="n">
        <v>5</v>
      </c>
      <c r="F16" s="40" t="n">
        <v>2</v>
      </c>
      <c r="G16" s="7" t="s">
        <v>321</v>
      </c>
      <c r="H16" s="7" t="s">
        <v>314</v>
      </c>
      <c r="I16" s="14" t="str">
        <f aca="false">IF(E16&gt;=4,IF(F16&gt;=4,"Gerir de perto","Manter satisfeito"),IF(F16&gt;=4,"Manter informado","Monitorar"))</f>
        <v>Manter satisfeito</v>
      </c>
      <c r="J16" s="7" t="s">
        <v>89</v>
      </c>
      <c r="K16" s="40" t="s">
        <v>91</v>
      </c>
      <c r="L16" s="15" t="str">
        <f aca="false">IF(OR(I16&lt;&gt;"Monitorar",K16="Sim"),"Sim","Não")</f>
        <v>Sim</v>
      </c>
    </row>
    <row r="17" customFormat="false" ht="30.75" hidden="false" customHeight="true" outlineLevel="0" collapsed="false">
      <c r="B17" s="12" t="n">
        <v>6</v>
      </c>
      <c r="C17" s="39" t="s">
        <v>322</v>
      </c>
      <c r="D17" s="7" t="s">
        <v>323</v>
      </c>
      <c r="E17" s="40" t="n">
        <v>5</v>
      </c>
      <c r="F17" s="40" t="n">
        <v>2</v>
      </c>
      <c r="G17" s="7" t="s">
        <v>324</v>
      </c>
      <c r="H17" s="7" t="s">
        <v>325</v>
      </c>
      <c r="I17" s="14" t="str">
        <f aca="false">IF(E17&gt;=4,IF(F17&gt;=4,"Gerir de perto","Manter satisfeito"),IF(F17&gt;=4,"Manter informado","Monitorar"))</f>
        <v>Manter satisfeito</v>
      </c>
      <c r="J17" s="7" t="s">
        <v>89</v>
      </c>
      <c r="K17" s="40" t="s">
        <v>91</v>
      </c>
      <c r="L17" s="15" t="str">
        <f aca="false">IF(OR(I17&lt;&gt;"Monitorar",K17="Sim"),"Sim","Não")</f>
        <v>Sim</v>
      </c>
    </row>
    <row r="18" customFormat="false" ht="30.75" hidden="false" customHeight="true" outlineLevel="0" collapsed="false">
      <c r="B18" s="12" t="n">
        <v>7</v>
      </c>
      <c r="C18" s="39" t="s">
        <v>326</v>
      </c>
      <c r="D18" s="7" t="s">
        <v>327</v>
      </c>
      <c r="E18" s="40" t="n">
        <v>5</v>
      </c>
      <c r="F18" s="40" t="n">
        <v>3</v>
      </c>
      <c r="G18" s="7" t="s">
        <v>328</v>
      </c>
      <c r="H18" s="7" t="s">
        <v>329</v>
      </c>
      <c r="I18" s="14" t="str">
        <f aca="false">IF(E18&gt;=4,IF(F18&gt;=4,"Gerir de perto","Manter satisfeito"),IF(F18&gt;=4,"Manter informado","Monitorar"))</f>
        <v>Manter satisfeito</v>
      </c>
      <c r="J18" s="7" t="s">
        <v>227</v>
      </c>
      <c r="K18" s="40" t="s">
        <v>214</v>
      </c>
      <c r="L18" s="15" t="str">
        <f aca="false">IF(OR(I18&lt;&gt;"Monitorar",K18="Sim"),"Sim","Não")</f>
        <v>Sim</v>
      </c>
    </row>
    <row r="19" customFormat="false" ht="42.75" hidden="false" customHeight="true" outlineLevel="0" collapsed="false">
      <c r="B19" s="12" t="n">
        <v>8</v>
      </c>
      <c r="C19" s="39" t="s">
        <v>330</v>
      </c>
      <c r="D19" s="7" t="s">
        <v>331</v>
      </c>
      <c r="E19" s="40" t="n">
        <v>4</v>
      </c>
      <c r="F19" s="40" t="n">
        <v>3</v>
      </c>
      <c r="G19" s="7" t="s">
        <v>332</v>
      </c>
      <c r="H19" s="7" t="s">
        <v>314</v>
      </c>
      <c r="I19" s="14" t="str">
        <f aca="false">IF(E19&gt;=4,IF(F19&gt;=4,"Gerir de perto","Manter satisfeito"),IF(F19&gt;=4,"Manter informado","Monitorar"))</f>
        <v>Manter satisfeito</v>
      </c>
      <c r="J19" s="7" t="s">
        <v>227</v>
      </c>
      <c r="K19" s="40" t="s">
        <v>214</v>
      </c>
      <c r="L19" s="15" t="str">
        <f aca="false">IF(OR(I19&lt;&gt;"Monitorar",K19="Sim"),"Sim","Não")</f>
        <v>Sim</v>
      </c>
    </row>
    <row r="20" customFormat="false" ht="30.75" hidden="false" customHeight="true" outlineLevel="0" collapsed="false">
      <c r="B20" s="12" t="n">
        <v>9</v>
      </c>
      <c r="C20" s="39" t="s">
        <v>333</v>
      </c>
      <c r="D20" s="7" t="s">
        <v>334</v>
      </c>
      <c r="E20" s="40" t="n">
        <v>3</v>
      </c>
      <c r="F20" s="40" t="n">
        <v>4</v>
      </c>
      <c r="G20" s="7" t="s">
        <v>335</v>
      </c>
      <c r="H20" s="7" t="s">
        <v>226</v>
      </c>
      <c r="I20" s="14" t="str">
        <f aca="false">IF(E20&gt;=4,IF(F20&gt;=4,"Gerir de perto","Manter satisfeito"),IF(F20&gt;=4,"Manter informado","Monitorar"))</f>
        <v>Manter informado</v>
      </c>
      <c r="J20" s="7" t="s">
        <v>227</v>
      </c>
      <c r="K20" s="40" t="s">
        <v>214</v>
      </c>
      <c r="L20" s="15" t="str">
        <f aca="false">IF(OR(I20&lt;&gt;"Monitorar",K20="Sim"),"Sim","Não")</f>
        <v>Sim</v>
      </c>
    </row>
    <row r="21" customFormat="false" ht="30.75" hidden="false" customHeight="true" outlineLevel="0" collapsed="false">
      <c r="B21" s="12" t="n">
        <v>10</v>
      </c>
      <c r="C21" s="39" t="s">
        <v>336</v>
      </c>
      <c r="D21" s="7" t="s">
        <v>337</v>
      </c>
      <c r="E21" s="40" t="n">
        <v>2</v>
      </c>
      <c r="F21" s="40" t="n">
        <v>4</v>
      </c>
      <c r="G21" s="7" t="s">
        <v>338</v>
      </c>
      <c r="H21" s="7" t="s">
        <v>325</v>
      </c>
      <c r="I21" s="14" t="str">
        <f aca="false">IF(E21&gt;=4,IF(F21&gt;=4,"Gerir de perto","Manter satisfeito"),IF(F21&gt;=4,"Manter informado","Monitorar"))</f>
        <v>Manter informado</v>
      </c>
      <c r="J21" s="7" t="s">
        <v>241</v>
      </c>
      <c r="K21" s="40" t="s">
        <v>214</v>
      </c>
      <c r="L21" s="15" t="str">
        <f aca="false">IF(OR(I21&lt;&gt;"Monitorar",K21="Sim"),"Sim","Não")</f>
        <v>Sim</v>
      </c>
    </row>
    <row r="22" customFormat="false" ht="30.75" hidden="false" customHeight="true" outlineLevel="0" collapsed="false">
      <c r="B22" s="12" t="n">
        <v>11</v>
      </c>
      <c r="C22" s="39" t="s">
        <v>339</v>
      </c>
      <c r="D22" s="7" t="s">
        <v>340</v>
      </c>
      <c r="E22" s="40" t="n">
        <v>3</v>
      </c>
      <c r="F22" s="40" t="n">
        <v>3</v>
      </c>
      <c r="G22" s="7" t="s">
        <v>244</v>
      </c>
      <c r="H22" s="7" t="s">
        <v>244</v>
      </c>
      <c r="I22" s="14" t="str">
        <f aca="false">IF(E22&gt;=4,IF(F22&gt;=4,"Gerir de perto","Manter satisfeito"),IF(F22&gt;=4,"Manter informado","Monitorar"))</f>
        <v>Monitorar</v>
      </c>
      <c r="J22" s="7" t="s">
        <v>241</v>
      </c>
      <c r="K22" s="40" t="s">
        <v>214</v>
      </c>
      <c r="L22" s="15" t="str">
        <f aca="false">IF(OR(I22&lt;&gt;"Monitorar",K22="Sim"),"Sim","Não")</f>
        <v>Não</v>
      </c>
    </row>
    <row r="23" customFormat="false" ht="30.75" hidden="false" customHeight="true" outlineLevel="0" collapsed="false">
      <c r="B23" s="12" t="n">
        <v>12</v>
      </c>
      <c r="C23" s="39" t="s">
        <v>341</v>
      </c>
      <c r="D23" s="7" t="s">
        <v>342</v>
      </c>
      <c r="E23" s="40" t="n">
        <v>2</v>
      </c>
      <c r="F23" s="40" t="n">
        <v>2</v>
      </c>
      <c r="G23" s="7" t="s">
        <v>244</v>
      </c>
      <c r="H23" s="7" t="s">
        <v>244</v>
      </c>
      <c r="I23" s="14" t="str">
        <f aca="false">IF(E23&gt;=4,IF(F23&gt;=4,"Gerir de perto","Manter satisfeito"),IF(F23&gt;=4,"Manter informado","Monitorar"))</f>
        <v>Monitorar</v>
      </c>
      <c r="J23" s="7" t="s">
        <v>247</v>
      </c>
      <c r="K23" s="40" t="s">
        <v>214</v>
      </c>
      <c r="L23" s="15" t="str">
        <f aca="false">IF(OR(I23&lt;&gt;"Monitorar",K23="Sim"),"Sim","Não")</f>
        <v>Não</v>
      </c>
    </row>
    <row r="25" customFormat="false" ht="21.75" hidden="false" customHeight="true" outlineLevel="0" collapsed="false">
      <c r="B25" s="41" t="s">
        <v>42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</row>
    <row r="26" customFormat="false" ht="30" hidden="false" customHeight="true" outlineLevel="0" collapsed="false">
      <c r="B26" s="31" t="s">
        <v>68</v>
      </c>
      <c r="C26" s="31" t="s">
        <v>69</v>
      </c>
      <c r="D26" s="31" t="s">
        <v>103</v>
      </c>
      <c r="E26" s="31" t="s">
        <v>104</v>
      </c>
      <c r="F26" s="31" t="s">
        <v>105</v>
      </c>
      <c r="G26" s="31" t="s">
        <v>106</v>
      </c>
      <c r="H26" s="31" t="s">
        <v>107</v>
      </c>
      <c r="I26" s="31" t="s">
        <v>108</v>
      </c>
      <c r="J26" s="31" t="s">
        <v>109</v>
      </c>
      <c r="K26" s="31" t="s">
        <v>110</v>
      </c>
      <c r="L26" s="31" t="s">
        <v>111</v>
      </c>
    </row>
    <row r="27" customFormat="false" ht="42.75" hidden="false" customHeight="true" outlineLevel="0" collapsed="false">
      <c r="B27" s="12" t="n">
        <v>1</v>
      </c>
      <c r="C27" s="39" t="s">
        <v>305</v>
      </c>
      <c r="D27" s="7" t="s">
        <v>343</v>
      </c>
      <c r="E27" s="40" t="s">
        <v>249</v>
      </c>
      <c r="F27" s="40" t="s">
        <v>91</v>
      </c>
      <c r="G27" s="7" t="s">
        <v>344</v>
      </c>
      <c r="H27" s="7" t="s">
        <v>345</v>
      </c>
      <c r="I27" s="40" t="s">
        <v>122</v>
      </c>
      <c r="J27" s="7" t="s">
        <v>346</v>
      </c>
      <c r="K27" s="7" t="s">
        <v>325</v>
      </c>
      <c r="L27" s="42" t="n">
        <v>46436</v>
      </c>
    </row>
    <row r="28" customFormat="false" ht="30.75" hidden="false" customHeight="true" outlineLevel="0" collapsed="false">
      <c r="B28" s="12" t="n">
        <v>2</v>
      </c>
      <c r="C28" s="39" t="s">
        <v>305</v>
      </c>
      <c r="D28" s="7" t="s">
        <v>347</v>
      </c>
      <c r="E28" s="40" t="s">
        <v>249</v>
      </c>
      <c r="F28" s="40" t="s">
        <v>91</v>
      </c>
      <c r="G28" s="7" t="s">
        <v>348</v>
      </c>
      <c r="H28" s="7" t="s">
        <v>349</v>
      </c>
      <c r="I28" s="40" t="s">
        <v>172</v>
      </c>
      <c r="J28" s="7" t="s">
        <v>244</v>
      </c>
      <c r="K28" s="7" t="s">
        <v>244</v>
      </c>
      <c r="L28" s="42" t="s">
        <v>244</v>
      </c>
    </row>
    <row r="29" customFormat="false" ht="42.75" hidden="false" customHeight="true" outlineLevel="0" collapsed="false">
      <c r="B29" s="12" t="n">
        <v>3</v>
      </c>
      <c r="C29" s="39" t="s">
        <v>305</v>
      </c>
      <c r="D29" s="7" t="s">
        <v>350</v>
      </c>
      <c r="E29" s="40" t="s">
        <v>249</v>
      </c>
      <c r="F29" s="40" t="s">
        <v>91</v>
      </c>
      <c r="G29" s="7" t="s">
        <v>351</v>
      </c>
      <c r="H29" s="7" t="s">
        <v>352</v>
      </c>
      <c r="I29" s="40" t="s">
        <v>122</v>
      </c>
      <c r="J29" s="7" t="s">
        <v>353</v>
      </c>
      <c r="K29" s="7" t="s">
        <v>308</v>
      </c>
      <c r="L29" s="42" t="n">
        <v>46477</v>
      </c>
    </row>
    <row r="30" customFormat="false" ht="30.75" hidden="false" customHeight="true" outlineLevel="0" collapsed="false">
      <c r="B30" s="12" t="n">
        <v>4</v>
      </c>
      <c r="C30" s="39" t="s">
        <v>305</v>
      </c>
      <c r="D30" s="7" t="s">
        <v>354</v>
      </c>
      <c r="E30" s="40" t="s">
        <v>253</v>
      </c>
      <c r="F30" s="40" t="s">
        <v>91</v>
      </c>
      <c r="G30" s="7" t="s">
        <v>355</v>
      </c>
      <c r="H30" s="7" t="s">
        <v>356</v>
      </c>
      <c r="I30" s="40" t="s">
        <v>172</v>
      </c>
      <c r="J30" s="7" t="s">
        <v>244</v>
      </c>
      <c r="K30" s="7" t="s">
        <v>244</v>
      </c>
      <c r="L30" s="42" t="s">
        <v>244</v>
      </c>
    </row>
    <row r="31" customFormat="false" ht="30.75" hidden="false" customHeight="true" outlineLevel="0" collapsed="false">
      <c r="B31" s="12" t="n">
        <v>5</v>
      </c>
      <c r="C31" s="39" t="s">
        <v>309</v>
      </c>
      <c r="D31" s="7" t="s">
        <v>357</v>
      </c>
      <c r="E31" s="40" t="s">
        <v>249</v>
      </c>
      <c r="F31" s="40" t="s">
        <v>91</v>
      </c>
      <c r="G31" s="7" t="s">
        <v>358</v>
      </c>
      <c r="H31" s="7" t="s">
        <v>359</v>
      </c>
      <c r="I31" s="40" t="s">
        <v>172</v>
      </c>
      <c r="J31" s="7" t="s">
        <v>244</v>
      </c>
      <c r="K31" s="7" t="s">
        <v>244</v>
      </c>
      <c r="L31" s="42" t="s">
        <v>244</v>
      </c>
    </row>
    <row r="32" customFormat="false" ht="30.75" hidden="false" customHeight="true" outlineLevel="0" collapsed="false">
      <c r="B32" s="12" t="n">
        <v>6</v>
      </c>
      <c r="C32" s="39" t="s">
        <v>309</v>
      </c>
      <c r="D32" s="7" t="s">
        <v>360</v>
      </c>
      <c r="E32" s="40" t="s">
        <v>253</v>
      </c>
      <c r="F32" s="40" t="s">
        <v>91</v>
      </c>
      <c r="G32" s="7" t="s">
        <v>361</v>
      </c>
      <c r="H32" s="7" t="s">
        <v>362</v>
      </c>
      <c r="I32" s="40" t="s">
        <v>174</v>
      </c>
      <c r="J32" s="7" t="s">
        <v>363</v>
      </c>
      <c r="K32" s="7" t="s">
        <v>364</v>
      </c>
      <c r="L32" s="42" t="n">
        <v>46568</v>
      </c>
    </row>
    <row r="33" customFormat="false" ht="30.75" hidden="false" customHeight="true" outlineLevel="0" collapsed="false">
      <c r="B33" s="12" t="n">
        <v>7</v>
      </c>
      <c r="C33" s="39" t="s">
        <v>311</v>
      </c>
      <c r="D33" s="7" t="s">
        <v>365</v>
      </c>
      <c r="E33" s="40" t="s">
        <v>253</v>
      </c>
      <c r="F33" s="40" t="s">
        <v>91</v>
      </c>
      <c r="G33" s="7" t="s">
        <v>366</v>
      </c>
      <c r="H33" s="7" t="s">
        <v>367</v>
      </c>
      <c r="I33" s="40" t="s">
        <v>122</v>
      </c>
      <c r="J33" s="7" t="s">
        <v>368</v>
      </c>
      <c r="K33" s="7" t="s">
        <v>369</v>
      </c>
      <c r="L33" s="42" t="n">
        <v>46507</v>
      </c>
    </row>
    <row r="34" customFormat="false" ht="30.75" hidden="false" customHeight="true" outlineLevel="0" collapsed="false">
      <c r="B34" s="12" t="n">
        <v>8</v>
      </c>
      <c r="C34" s="39" t="s">
        <v>315</v>
      </c>
      <c r="D34" s="7" t="s">
        <v>370</v>
      </c>
      <c r="E34" s="40" t="s">
        <v>119</v>
      </c>
      <c r="F34" s="40" t="s">
        <v>91</v>
      </c>
      <c r="G34" s="7" t="s">
        <v>371</v>
      </c>
      <c r="H34" s="7" t="s">
        <v>372</v>
      </c>
      <c r="I34" s="40" t="s">
        <v>172</v>
      </c>
      <c r="J34" s="7" t="s">
        <v>244</v>
      </c>
      <c r="K34" s="7" t="s">
        <v>244</v>
      </c>
      <c r="L34" s="42" t="s">
        <v>244</v>
      </c>
    </row>
    <row r="35" customFormat="false" ht="30.75" hidden="false" customHeight="true" outlineLevel="0" collapsed="false">
      <c r="B35" s="12" t="n">
        <v>9</v>
      </c>
      <c r="C35" s="39" t="s">
        <v>315</v>
      </c>
      <c r="D35" s="7" t="s">
        <v>373</v>
      </c>
      <c r="E35" s="40" t="s">
        <v>253</v>
      </c>
      <c r="F35" s="40" t="s">
        <v>91</v>
      </c>
      <c r="G35" s="7" t="s">
        <v>374</v>
      </c>
      <c r="H35" s="7" t="s">
        <v>375</v>
      </c>
      <c r="I35" s="40" t="s">
        <v>122</v>
      </c>
      <c r="J35" s="7" t="s">
        <v>376</v>
      </c>
      <c r="K35" s="7" t="s">
        <v>318</v>
      </c>
      <c r="L35" s="42" t="n">
        <v>46535</v>
      </c>
    </row>
    <row r="36" customFormat="false" ht="30.75" hidden="false" customHeight="true" outlineLevel="0" collapsed="false">
      <c r="B36" s="12" t="n">
        <v>10</v>
      </c>
      <c r="C36" s="39" t="s">
        <v>319</v>
      </c>
      <c r="D36" s="7" t="s">
        <v>377</v>
      </c>
      <c r="E36" s="40" t="s">
        <v>119</v>
      </c>
      <c r="F36" s="40" t="s">
        <v>91</v>
      </c>
      <c r="G36" s="7" t="s">
        <v>378</v>
      </c>
      <c r="H36" s="7" t="s">
        <v>379</v>
      </c>
      <c r="I36" s="40" t="s">
        <v>172</v>
      </c>
      <c r="J36" s="7" t="s">
        <v>244</v>
      </c>
      <c r="K36" s="7" t="s">
        <v>244</v>
      </c>
      <c r="L36" s="42" t="s">
        <v>244</v>
      </c>
    </row>
    <row r="37" customFormat="false" ht="30.75" hidden="false" customHeight="true" outlineLevel="0" collapsed="false">
      <c r="B37" s="12" t="n">
        <v>11</v>
      </c>
      <c r="C37" s="39" t="s">
        <v>322</v>
      </c>
      <c r="D37" s="7" t="s">
        <v>380</v>
      </c>
      <c r="E37" s="40" t="s">
        <v>119</v>
      </c>
      <c r="F37" s="40" t="s">
        <v>91</v>
      </c>
      <c r="G37" s="7" t="s">
        <v>381</v>
      </c>
      <c r="H37" s="7" t="s">
        <v>382</v>
      </c>
      <c r="I37" s="40" t="s">
        <v>172</v>
      </c>
      <c r="J37" s="7" t="s">
        <v>244</v>
      </c>
      <c r="K37" s="7" t="s">
        <v>244</v>
      </c>
      <c r="L37" s="42" t="s">
        <v>244</v>
      </c>
    </row>
    <row r="38" customFormat="false" ht="30.75" hidden="false" customHeight="true" outlineLevel="0" collapsed="false">
      <c r="B38" s="12" t="n">
        <v>12</v>
      </c>
      <c r="C38" s="39" t="s">
        <v>326</v>
      </c>
      <c r="D38" s="7" t="s">
        <v>383</v>
      </c>
      <c r="E38" s="40" t="s">
        <v>249</v>
      </c>
      <c r="F38" s="40" t="s">
        <v>91</v>
      </c>
      <c r="G38" s="7" t="s">
        <v>384</v>
      </c>
      <c r="H38" s="7" t="s">
        <v>385</v>
      </c>
      <c r="I38" s="40" t="s">
        <v>172</v>
      </c>
      <c r="J38" s="7" t="s">
        <v>244</v>
      </c>
      <c r="K38" s="7" t="s">
        <v>244</v>
      </c>
      <c r="L38" s="42" t="s">
        <v>244</v>
      </c>
    </row>
    <row r="39" customFormat="false" ht="42.75" hidden="false" customHeight="true" outlineLevel="0" collapsed="false">
      <c r="B39" s="12" t="n">
        <v>13</v>
      </c>
      <c r="C39" s="39" t="s">
        <v>330</v>
      </c>
      <c r="D39" s="7" t="s">
        <v>386</v>
      </c>
      <c r="E39" s="40" t="s">
        <v>253</v>
      </c>
      <c r="F39" s="40" t="s">
        <v>91</v>
      </c>
      <c r="G39" s="7" t="s">
        <v>387</v>
      </c>
      <c r="H39" s="7" t="s">
        <v>388</v>
      </c>
      <c r="I39" s="40" t="s">
        <v>172</v>
      </c>
      <c r="J39" s="7" t="s">
        <v>244</v>
      </c>
      <c r="K39" s="7" t="s">
        <v>244</v>
      </c>
      <c r="L39" s="42" t="s">
        <v>244</v>
      </c>
    </row>
    <row r="40" customFormat="false" ht="30.75" hidden="false" customHeight="true" outlineLevel="0" collapsed="false">
      <c r="B40" s="12" t="n">
        <v>14</v>
      </c>
      <c r="C40" s="39" t="s">
        <v>333</v>
      </c>
      <c r="D40" s="7" t="s">
        <v>389</v>
      </c>
      <c r="E40" s="40" t="s">
        <v>249</v>
      </c>
      <c r="F40" s="40" t="s">
        <v>91</v>
      </c>
      <c r="G40" s="7" t="s">
        <v>390</v>
      </c>
      <c r="H40" s="7" t="s">
        <v>391</v>
      </c>
      <c r="I40" s="40" t="s">
        <v>172</v>
      </c>
      <c r="J40" s="7" t="s">
        <v>244</v>
      </c>
      <c r="K40" s="7" t="s">
        <v>244</v>
      </c>
      <c r="L40" s="42" t="s">
        <v>244</v>
      </c>
    </row>
    <row r="41" customFormat="false" ht="30.75" hidden="false" customHeight="true" outlineLevel="0" collapsed="false">
      <c r="B41" s="12" t="n">
        <v>15</v>
      </c>
      <c r="C41" s="39" t="s">
        <v>336</v>
      </c>
      <c r="D41" s="7" t="s">
        <v>392</v>
      </c>
      <c r="E41" s="40" t="s">
        <v>253</v>
      </c>
      <c r="F41" s="40" t="s">
        <v>91</v>
      </c>
      <c r="G41" s="7" t="s">
        <v>393</v>
      </c>
      <c r="H41" s="7" t="s">
        <v>394</v>
      </c>
      <c r="I41" s="40" t="s">
        <v>172</v>
      </c>
      <c r="J41" s="7" t="s">
        <v>244</v>
      </c>
      <c r="K41" s="7" t="s">
        <v>244</v>
      </c>
      <c r="L41" s="42" t="s">
        <v>244</v>
      </c>
    </row>
    <row r="42" customFormat="false" ht="54.75" hidden="false" customHeight="true" outlineLevel="0" collapsed="false">
      <c r="B42" s="12" t="n">
        <v>16</v>
      </c>
      <c r="C42" s="39" t="s">
        <v>336</v>
      </c>
      <c r="D42" s="7" t="s">
        <v>395</v>
      </c>
      <c r="E42" s="40" t="s">
        <v>253</v>
      </c>
      <c r="F42" s="40" t="s">
        <v>214</v>
      </c>
      <c r="G42" s="7" t="s">
        <v>396</v>
      </c>
      <c r="H42" s="7" t="s">
        <v>244</v>
      </c>
      <c r="I42" s="40" t="s">
        <v>244</v>
      </c>
      <c r="J42" s="7" t="s">
        <v>244</v>
      </c>
      <c r="K42" s="7" t="s">
        <v>244</v>
      </c>
      <c r="L42" s="42" t="s">
        <v>244</v>
      </c>
    </row>
    <row r="44" customFormat="false" ht="21.75" hidden="false" customHeight="true" outlineLevel="0" collapsed="false">
      <c r="B44" s="17" t="s">
        <v>96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customFormat="false" ht="21.75" hidden="false" customHeight="true" outlineLevel="0" collapsed="false">
      <c r="B45" s="18" t="s">
        <v>297</v>
      </c>
      <c r="C45" s="18"/>
      <c r="D45" s="18"/>
      <c r="E45" s="4" t="str">
        <f aca="false">COUNTA(C12:C23)&amp;" listadas, "&amp;COUNTIF(L12:L23,"Sim")&amp;" pertinentes"</f>
        <v>12 listadas, 10 pertinentes</v>
      </c>
      <c r="F45" s="4"/>
      <c r="G45" s="4"/>
    </row>
    <row r="46" customFormat="false" ht="21.75" hidden="false" customHeight="true" outlineLevel="0" collapsed="false">
      <c r="B46" s="18" t="s">
        <v>298</v>
      </c>
      <c r="C46" s="18"/>
      <c r="D46" s="18"/>
      <c r="E46" s="4" t="n">
        <f aca="false">COUNTIF(I12:I23,"Gerir de perto")</f>
        <v>4</v>
      </c>
      <c r="F46" s="4"/>
      <c r="G46" s="4"/>
    </row>
    <row r="47" customFormat="false" ht="21.75" hidden="false" customHeight="true" outlineLevel="0" collapsed="false">
      <c r="B47" s="18" t="s">
        <v>299</v>
      </c>
      <c r="C47" s="18"/>
      <c r="D47" s="18"/>
      <c r="E47" s="4" t="str">
        <f aca="false">COUNTA(D27:D42)&amp;" levantados, "&amp;COUNTIF(F27:F42,"Sim")&amp;" adotados"</f>
        <v>16 levantados, 15 adotados</v>
      </c>
      <c r="F47" s="4"/>
      <c r="G47" s="4"/>
    </row>
    <row r="48" customFormat="false" ht="21.75" hidden="false" customHeight="true" outlineLevel="0" collapsed="false">
      <c r="B48" s="18" t="s">
        <v>127</v>
      </c>
      <c r="C48" s="18"/>
      <c r="D48" s="18"/>
      <c r="E48" s="23" t="n">
        <f aca="false">(COUNTIF(I27:I42,"Atende")+0.5*COUNTIF(I27:I42,"Atende em parte"))/COUNTIF(F27:F42,"Sim")</f>
        <v>0.8</v>
      </c>
      <c r="F48" s="23"/>
      <c r="G48" s="23"/>
    </row>
    <row r="49" customFormat="false" ht="21.75" hidden="false" customHeight="true" outlineLevel="0" collapsed="false">
      <c r="B49" s="18" t="s">
        <v>166</v>
      </c>
      <c r="C49" s="18"/>
      <c r="D49" s="18"/>
      <c r="E49" s="4" t="str">
        <f aca="false">COUNTIFS(E27:E42,"Legal",I27:I42,"Atende")&amp;" de "&amp;COUNTIF(E27:E42,"Legal")</f>
        <v>3 de 3</v>
      </c>
      <c r="F49" s="4"/>
      <c r="G49" s="4"/>
    </row>
    <row r="50" customFormat="false" ht="21.75" hidden="false" customHeight="true" outlineLevel="0" collapsed="false">
      <c r="B50" s="18" t="s">
        <v>128</v>
      </c>
      <c r="C50" s="18"/>
      <c r="D50" s="18"/>
      <c r="E50" s="4" t="n">
        <f aca="false">COUNTIF(I27:I42,"Atende em parte")+COUNTIF(I27:I42,"Não atende")</f>
        <v>5</v>
      </c>
      <c r="F50" s="4"/>
      <c r="G50" s="4"/>
    </row>
  </sheetData>
  <mergeCells count="27">
    <mergeCell ref="B1:L1"/>
    <mergeCell ref="B2:L2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B10:L10"/>
    <mergeCell ref="B25:L25"/>
    <mergeCell ref="B44:L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</mergeCells>
  <conditionalFormatting sqref="I12:I23">
    <cfRule type="expression" priority="2" aboveAverage="0" equalAverage="0" bottom="0" percent="0" rank="0" text="" dxfId="0">
      <formula>I12="Gerir de perto"</formula>
    </cfRule>
    <cfRule type="expression" priority="3" aboveAverage="0" equalAverage="0" bottom="0" percent="0" rank="0" text="" dxfId="1">
      <formula>I12="Manter satisfeito"</formula>
    </cfRule>
    <cfRule type="expression" priority="4" aboveAverage="0" equalAverage="0" bottom="0" percent="0" rank="0" text="" dxfId="2">
      <formula>I12="Manter informado"</formula>
    </cfRule>
  </conditionalFormatting>
  <conditionalFormatting sqref="I27:I42">
    <cfRule type="expression" priority="5" aboveAverage="0" equalAverage="0" bottom="0" percent="0" rank="0" text="" dxfId="3">
      <formula>I27="Atende"</formula>
    </cfRule>
    <cfRule type="expression" priority="6" aboveAverage="0" equalAverage="0" bottom="0" percent="0" rank="0" text="" dxfId="4">
      <formula>I27="Atende em parte"</formula>
    </cfRule>
    <cfRule type="expression" priority="7" aboveAverage="0" equalAverage="0" bottom="0" percent="0" rank="0" text="" dxfId="5">
      <formula>I27="Não atende"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2026-10-05T00:56:49Z</dcterms:created>
  <dc:creator>Modelo Partes interessadas</dc:creator>
  <dc:description/>
  <dc:language>pt-BR</dc:language>
  <cp:lastModifiedBy/>
  <dcterms:modified xsi:type="dcterms:W3CDTF">2026-10-05T00:56:50Z</dcterms:modified>
  <cp:revision>0</cp:revision>
  <dc:subject/>
  <dc:title>Partes interessadas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