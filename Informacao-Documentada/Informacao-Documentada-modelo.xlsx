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3.vml" ContentType="application/vnd.openxmlformats-officedocument.vmlDrawing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4.vml" ContentType="application/vnd.openxmlformats-officedocument.vmlDrawing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1"/>
  </bookViews>
  <sheets>
    <sheet name="Instruções" sheetId="1" state="visible" r:id="rId3"/>
    <sheet name="Lista mestra" sheetId="2" state="visible" r:id="rId4"/>
    <sheet name="Registros" sheetId="3" state="visible" r:id="rId5"/>
    <sheet name="Externos" sheetId="4" state="visible" r:id="rId6"/>
    <sheet name="Alterações" sheetId="5" state="visible" r:id="rId7"/>
    <sheet name="Checklist" sheetId="6" state="visible" r:id="rId8"/>
    <sheet name="Exemplo 1 - Pizzaria" sheetId="7" state="visible" r:id="rId9"/>
    <sheet name="Exemplo 2 - Compras" sheetId="8" state="visible" r:id="rId10"/>
  </sheets>
  <definedNames>
    <definedName function="false" hidden="false" localSheetId="4" name="_xlnm.Print_Area" vbProcedure="false">Alterações!$B$1:$K$31</definedName>
    <definedName function="false" hidden="false" localSheetId="5" name="_xlnm.Print_Area" vbProcedure="false">Checklist!$B$1:$E$24</definedName>
    <definedName function="false" hidden="false" localSheetId="6" name="_xlnm.Print_Area" vbProcedure="false">'Exemplo 1 - Pizzaria'!$B$1:$O$57</definedName>
    <definedName function="false" hidden="false" localSheetId="7" name="_xlnm.Print_Area" vbProcedure="false">'Exemplo 2 - Compras'!$B$1:$O$50</definedName>
    <definedName function="false" hidden="false" localSheetId="3" name="_xlnm.Print_Area" vbProcedure="false">Externos!$B$1:$L$27</definedName>
    <definedName function="false" hidden="false" localSheetId="0" name="_xlnm.Print_Area" vbProcedure="false">Instruções!$B$1:$C$46</definedName>
    <definedName function="false" hidden="false" localSheetId="1" name="_xlnm.Print_Area" vbProcedure="false">'Lista mestra'!$B$1:$P$64</definedName>
    <definedName function="false" hidden="false" localSheetId="2" name="_xlnm.Print_Area" vbProcedure="false">Registros!$B$1:$L$32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C7" authorId="0">
      <text>
        <r>
          <rPr>
            <sz val="10"/>
            <rFont val="Arial"/>
            <family val="2"/>
          </rPr>
          <t xml:space="preserve">Tipo, processo e número de ordem: PR-SUP-01.
O código não muda com a revisão e nunca é reaproveitado.</t>
        </r>
      </text>
    </comment>
    <comment ref="E7" authorId="0">
      <text>
        <r>
          <rPr>
            <sz val="10"/>
            <rFont val="Arial"/>
            <family val="2"/>
          </rPr>
          <t xml:space="preserve">PO · Política
MP · Mapa e descrição de processo
PR · Procedimento
IT · Instrução de trabalho
ES · Especificação
FR · Formulário
DE · Documento externo</t>
        </r>
      </text>
    </comment>
    <comment ref="O7" authorId="0">
      <text>
        <r>
          <rPr>
            <sz val="10"/>
            <rFont val="Arial"/>
            <family val="2"/>
          </rPr>
          <t xml:space="preserve">Em revisão: a versão nova está sendo escrita, e a atual continua em vigor.
Obsoleto: não vale mais. Fica na lista para não reaproveitar o código.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I4" authorId="0">
      <text>
        <r>
          <rPr>
            <sz val="10"/>
            <rFont val="Arial"/>
            <family val="2"/>
          </rPr>
          <t xml:space="preserve">O maior entre o prazo legal, o do cliente e o do próprio uso.
Sem exigência, um ciclo de certificação: 36 meses.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G4" authorId="0">
      <text>
        <r>
          <rPr>
            <sz val="10"/>
            <rFont val="Arial"/>
            <family val="2"/>
          </rPr>
          <t xml:space="preserve">Como a organização fica sabendo que saiu uma versão nova: consulta ao site, aviso do cliente, assinatura de serviço.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Autor desconhecido</author>
  </authors>
  <commentList>
    <comment ref="J4" authorId="0">
      <text>
        <r>
          <rPr>
            <sz val="10"/>
            <rFont val="Arial"/>
            <family val="2"/>
          </rPr>
          <t xml:space="preserve">Roteiros, telas, formulários e treinamentos que dependem do documento alterado foram conferidos?
Escolha “Não há” quando o documento não tem ligados.</t>
        </r>
      </text>
    </comment>
  </commentList>
</comments>
</file>

<file path=xl/sharedStrings.xml><?xml version="1.0" encoding="utf-8"?>
<sst xmlns="http://schemas.openxmlformats.org/spreadsheetml/2006/main" count="746" uniqueCount="375">
  <si>
    <t xml:space="preserve">Informação documentada — Como usar esta planilha</t>
  </si>
  <si>
    <t xml:space="preserve">Modelo de lista mestra, tabela de retenção de registros, lista de documentos externos e histórico de alterações.</t>
  </si>
  <si>
    <t xml:space="preserve">Legenda: onde preencher</t>
  </si>
  <si>
    <t xml:space="preserve">Amarelo-claro</t>
  </si>
  <si>
    <t xml:space="preserve">Células de entrada. É aqui que você digita.</t>
  </si>
  <si>
    <t xml:space="preserve">Cinza</t>
  </si>
  <si>
    <t xml:space="preserve">Células calculadas ou fixas (rótulos, próxima revisão, situação, contagens, avisos). Não altere.</t>
  </si>
  <si>
    <t xml:space="preserve">Cinza em itálico</t>
  </si>
  <si>
    <t xml:space="preserve">Linha de exemplo (marcada com “Ex.”). Mostra o formato esperado e não entra nas contagens.</t>
  </si>
  <si>
    <t xml:space="preserve">Listas suspensas</t>
  </si>
  <si>
    <t xml:space="preserve">Colunas de tipo, meio, status e conferência aceitam apenas as opções da lista.</t>
  </si>
  <si>
    <t xml:space="preserve">Comentários</t>
  </si>
  <si>
    <t xml:space="preserve">Células com triângulo vermelho no canto trazem uma dica de preenchimento. Passe o mouse sobre elas.</t>
  </si>
  <si>
    <t xml:space="preserve">Os tipos de documento</t>
  </si>
  <si>
    <t xml:space="preserve">PO · Política</t>
  </si>
  <si>
    <t xml:space="preserve">Compromisso da direção, em uma página. Ex.: Política da qualidade, política de compras.</t>
  </si>
  <si>
    <t xml:space="preserve">MP · Mapa e descrição de processo</t>
  </si>
  <si>
    <t xml:space="preserve">Como os processos se ligam, e o que cada um precisa. Ex.: Mapa de processos, SIPOC, tartaruga.</t>
  </si>
  <si>
    <t xml:space="preserve">PR · Procedimento</t>
  </si>
  <si>
    <t xml:space="preserve">Como um processo é feito: quem faz o quê, em que ordem, com que critério. Ex.: PR-SUP-01, aquisição de materiais e serviços.</t>
  </si>
  <si>
    <t xml:space="preserve">IT · Instrução de trabalho</t>
  </si>
  <si>
    <t xml:space="preserve">Como uma atividade é feita, passo a passo, no posto de trabalho. Ex.: IT-EXP-01, expedição e agrupamento por zona.</t>
  </si>
  <si>
    <t xml:space="preserve">ES · Especificação</t>
  </si>
  <si>
    <t xml:space="preserve">O que o produto ou o serviço deve ser. Ex.: Cardápio com composição, ficha técnica do produto.</t>
  </si>
  <si>
    <t xml:space="preserve">FR · Formulário</t>
  </si>
  <si>
    <t xml:space="preserve">Modelo em branco, que vira registro quando preenchido. Ex.: Requisição de compra, ficha de alergênicos.</t>
  </si>
  <si>
    <t xml:space="preserve">DE · Documento externo</t>
  </si>
  <si>
    <t xml:space="preserve">Vem de fora e a organização precisa seguir. Ex.: Norma ISO 9001, desenho do cliente, manual do forno.</t>
  </si>
  <si>
    <t xml:space="preserve">Ordem recomendada de preenchimento</t>
  </si>
  <si>
    <t xml:space="preserve">Passo 1</t>
  </si>
  <si>
    <t xml:space="preserve">Aba Lista mestra: escreva a organização, a data de referência e o intervalo padrão de revisão.</t>
  </si>
  <si>
    <t xml:space="preserve">Passo 2</t>
  </si>
  <si>
    <t xml:space="preserve">Aba Lista mestra: cadastre cada documento, com código, tipo, processo, revisão, data, quem elaborou e quem aprovou.</t>
  </si>
  <si>
    <t xml:space="preserve">Passo 3</t>
  </si>
  <si>
    <t xml:space="preserve">Aba Lista mestra: leia a coluna Situação e trate o que falta.</t>
  </si>
  <si>
    <t xml:space="preserve">Passo 4</t>
  </si>
  <si>
    <t xml:space="preserve">Aba Registros: cadastre cada registro, com local de guarda, meio, prazo de retenção, acesso e disposição.</t>
  </si>
  <si>
    <t xml:space="preserve">Passo 5</t>
  </si>
  <si>
    <t xml:space="preserve">Aba Externos: liste as normas, as leis e os documentos de cliente, com o responsável e o intervalo de verificação.</t>
  </si>
  <si>
    <t xml:space="preserve">Passo 6</t>
  </si>
  <si>
    <t xml:space="preserve">Aba Alterações: a cada revisão de documento, registre o que mudou e confira os documentos ligados.</t>
  </si>
  <si>
    <t xml:space="preserve">Passo 7</t>
  </si>
  <si>
    <t xml:space="preserve">Aba Checklist: valide o controle de documentos.</t>
  </si>
  <si>
    <t xml:space="preserve">Abas da planilha</t>
  </si>
  <si>
    <t xml:space="preserve">Lista mestra</t>
  </si>
  <si>
    <t xml:space="preserve">Até 30 documentos, com a próxima revisão e a situação calculadas, contagem por situação e gráfico.</t>
  </si>
  <si>
    <t xml:space="preserve">Registros</t>
  </si>
  <si>
    <t xml:space="preserve">Até 20 registros, com a conferência dos campos de retenção.</t>
  </si>
  <si>
    <t xml:space="preserve">Externos</t>
  </si>
  <si>
    <t xml:space="preserve">Até 15 documentos de origem externa, com a próxima verificação e a situação calculadas.</t>
  </si>
  <si>
    <t xml:space="preserve">Alterações</t>
  </si>
  <si>
    <t xml:space="preserve">Histórico de até 20 alterações, com a conferência dos documentos ligados.</t>
  </si>
  <si>
    <t xml:space="preserve">Checklist</t>
  </si>
  <si>
    <t xml:space="preserve">Doze verificações de qualidade do controle de documentos, com percentual de conclusão.</t>
  </si>
  <si>
    <t xml:space="preserve">Exemplo 1 - Pizzaria</t>
  </si>
  <si>
    <t xml:space="preserve">A lista mestra e a tabela de retenção de uma loja, depois do levantamento.</t>
  </si>
  <si>
    <t xml:space="preserve">Exemplo 2 - Compras</t>
  </si>
  <si>
    <t xml:space="preserve">Os documentos e os registros do processo de aquisição de uma indústria.</t>
  </si>
  <si>
    <t xml:space="preserve">Regras e premissas do modelo</t>
  </si>
  <si>
    <t xml:space="preserve">Situação do documento</t>
  </si>
  <si>
    <t xml:space="preserve">Vigente: tem código, revisão, aprovação e a próxima revisão ainda não chegou. Revisão vencida: passou da data prevista. Falta o código, a revisão ou a aprovação: o documento está em uso, mas fora do controle. Em revisão e Obsoleto vêm da coluna Status.</t>
  </si>
  <si>
    <t xml:space="preserve">Próxima revisão</t>
  </si>
  <si>
    <t xml:space="preserve">É a data da revisão mais o intervalo, em meses. Sem intervalo na linha, vale o intervalo padrão da aba, de 24 meses.</t>
  </si>
  <si>
    <t xml:space="preserve">Data de referência</t>
  </si>
  <si>
    <t xml:space="preserve">A situação é calculada pela data de referência da aba Lista mestra. Se ela estiver em branco, a planilha usa a data de hoje.</t>
  </si>
  <si>
    <t xml:space="preserve">Documento obsoleto</t>
  </si>
  <si>
    <t xml:space="preserve">Continua na lista, marcado, para que ninguém reaproveite o código. Sai dos postos de trabalho.</t>
  </si>
  <si>
    <t xml:space="preserve">A retenção é contada em meses, a partir da data em que o registro é gerado. Doze meses valem um ano.</t>
  </si>
  <si>
    <t xml:space="preserve">Tipos e códigos</t>
  </si>
  <si>
    <t xml:space="preserve">Os tipos, as siglas e a regra de código são uma convenção deste modelo. A norma não os define.</t>
  </si>
  <si>
    <t xml:space="preserve">Exemplos</t>
  </si>
  <si>
    <t xml:space="preserve">Os dados das abas de exemplo são ilustrativos, criados para este material.</t>
  </si>
  <si>
    <t xml:space="preserve">Lista mestra de documentos</t>
  </si>
  <si>
    <t xml:space="preserve">Um documento por linha. A próxima revisão e a situação são calculadas. Os formulários em branco entram aqui; os preenchidos vão para a aba Registros.</t>
  </si>
  <si>
    <t xml:space="preserve">Organização</t>
  </si>
  <si>
    <t xml:space="preserve">Data em que a lista é conferida. Em branco, vale a data de hoje.</t>
  </si>
  <si>
    <t xml:space="preserve">Intervalo padrão de revisão, em meses</t>
  </si>
  <si>
    <t xml:space="preserve">Usado nas linhas sem intervalo próprio.</t>
  </si>
  <si>
    <t xml:space="preserve">#</t>
  </si>
  <si>
    <t xml:space="preserve">Código</t>
  </si>
  <si>
    <t xml:space="preserve">Título</t>
  </si>
  <si>
    <t xml:space="preserve">Tipo</t>
  </si>
  <si>
    <t xml:space="preserve">Processo</t>
  </si>
  <si>
    <t xml:space="preserve">Revisão</t>
  </si>
  <si>
    <t xml:space="preserve">Data da revisão</t>
  </si>
  <si>
    <t xml:space="preserve">Elaborou</t>
  </si>
  <si>
    <t xml:space="preserve">Aprovou</t>
  </si>
  <si>
    <t xml:space="preserve">Meio</t>
  </si>
  <si>
    <t xml:space="preserve">Local da versão em vigor</t>
  </si>
  <si>
    <t xml:space="preserve">Revisar a cada (meses)</t>
  </si>
  <si>
    <t xml:space="preserve">Status</t>
  </si>
  <si>
    <t xml:space="preserve">Situação</t>
  </si>
  <si>
    <t xml:space="preserve">Tipo-processo-nº</t>
  </si>
  <si>
    <t xml:space="preserve">Como está no cabeçalho</t>
  </si>
  <si>
    <t xml:space="preserve">Sigla</t>
  </si>
  <si>
    <t xml:space="preserve">Do mapa de processos</t>
  </si>
  <si>
    <t xml:space="preserve">Número ou data</t>
  </si>
  <si>
    <t xml:space="preserve">Da aprovação</t>
  </si>
  <si>
    <t xml:space="preserve">Nome ou cargo</t>
  </si>
  <si>
    <t xml:space="preserve">Escolha na lista</t>
  </si>
  <si>
    <t xml:space="preserve">Onde está a versão em vigor</t>
  </si>
  <si>
    <t xml:space="preserve">Em branco: padrão</t>
  </si>
  <si>
    <t xml:space="preserve">Calculada</t>
  </si>
  <si>
    <t xml:space="preserve">Resumo automático</t>
  </si>
  <si>
    <t xml:space="preserve">Documentos por situação</t>
  </si>
  <si>
    <t xml:space="preserve">Documentos cadastrados</t>
  </si>
  <si>
    <t xml:space="preserve">Vigente</t>
  </si>
  <si>
    <t xml:space="preserve">Em vigor, sem pendência</t>
  </si>
  <si>
    <t xml:space="preserve">Em revisão</t>
  </si>
  <si>
    <t xml:space="preserve">Percentual em vigor, sem os obsoletos</t>
  </si>
  <si>
    <t xml:space="preserve">Revisão vencida</t>
  </si>
  <si>
    <t xml:space="preserve">Com revisão vencida</t>
  </si>
  <si>
    <t xml:space="preserve">Falta o código</t>
  </si>
  <si>
    <t xml:space="preserve">Sem controle: falta código, revisão ou aprovação</t>
  </si>
  <si>
    <t xml:space="preserve">Falta a revisão</t>
  </si>
  <si>
    <t xml:space="preserve">Aviso</t>
  </si>
  <si>
    <t xml:space="preserve">Falta a aprovação</t>
  </si>
  <si>
    <t xml:space="preserve">Obsoleto</t>
  </si>
  <si>
    <t xml:space="preserve">Tabela de retenção de registros</t>
  </si>
  <si>
    <t xml:space="preserve">Um registro por linha: onde é gerado, onde fica guardado, por quanto tempo, quem pode ver e o que se faz no fim do prazo.</t>
  </si>
  <si>
    <t xml:space="preserve">Registro</t>
  </si>
  <si>
    <t xml:space="preserve">Formulário ou origem</t>
  </si>
  <si>
    <t xml:space="preserve">Gerado em</t>
  </si>
  <si>
    <t xml:space="preserve">Guardado em</t>
  </si>
  <si>
    <t xml:space="preserve">Retenção (meses)</t>
  </si>
  <si>
    <t xml:space="preserve">Acesso</t>
  </si>
  <si>
    <t xml:space="preserve">Disposição no fim do prazo</t>
  </si>
  <si>
    <t xml:space="preserve">Conferência</t>
  </si>
  <si>
    <t xml:space="preserve">O que prova</t>
  </si>
  <si>
    <t xml:space="preserve">Código do formulário ou sistema</t>
  </si>
  <si>
    <t xml:space="preserve">Posto ou sistema</t>
  </si>
  <si>
    <t xml:space="preserve">Pasta, armário ou sistema</t>
  </si>
  <si>
    <t xml:space="preserve">12 = um ano</t>
  </si>
  <si>
    <t xml:space="preserve">Quem pode ver</t>
  </si>
  <si>
    <t xml:space="preserve">Descarte ou arquivo</t>
  </si>
  <si>
    <t xml:space="preserve">Ex.</t>
  </si>
  <si>
    <t xml:space="preserve">Planilha de temperatura da câmara fria</t>
  </si>
  <si>
    <t xml:space="preserve">FR-02</t>
  </si>
  <si>
    <t xml:space="preserve">Comprar e armazenar insumos</t>
  </si>
  <si>
    <t xml:space="preserve">Câmara fria</t>
  </si>
  <si>
    <t xml:space="preserve">Pasta da cozinha</t>
  </si>
  <si>
    <t xml:space="preserve">Papel</t>
  </si>
  <si>
    <t xml:space="preserve">Pizzaiolo líder</t>
  </si>
  <si>
    <t xml:space="preserve">Picotar</t>
  </si>
  <si>
    <t xml:space="preserve">Completa</t>
  </si>
  <si>
    <t xml:space="preserve">Registros cadastrados</t>
  </si>
  <si>
    <t xml:space="preserve">Em papel, ou nos dois meios</t>
  </si>
  <si>
    <t xml:space="preserve">Maior prazo de retenção, em meses</t>
  </si>
  <si>
    <t xml:space="preserve">Documentos de origem externa</t>
  </si>
  <si>
    <t xml:space="preserve">Normas, leis, desenhos de cliente e manuais que a organização precisa seguir. A pergunta é: existe versão nova?</t>
  </si>
  <si>
    <t xml:space="preserve">Documento</t>
  </si>
  <si>
    <t xml:space="preserve">Origem</t>
  </si>
  <si>
    <t xml:space="preserve">Versão em uso</t>
  </si>
  <si>
    <t xml:space="preserve">Onde se aplica</t>
  </si>
  <si>
    <t xml:space="preserve">Como se sabe da atualização</t>
  </si>
  <si>
    <t xml:space="preserve">Responsável</t>
  </si>
  <si>
    <t xml:space="preserve">Verificado em</t>
  </si>
  <si>
    <t xml:space="preserve">Verificar a cada (meses)</t>
  </si>
  <si>
    <t xml:space="preserve">Próxima verificação</t>
  </si>
  <si>
    <t xml:space="preserve">Nome e assunto</t>
  </si>
  <si>
    <t xml:space="preserve">Quem publica</t>
  </si>
  <si>
    <t xml:space="preserve">Edição, revisão ou data</t>
  </si>
  <si>
    <t xml:space="preserve">Processos que usam</t>
  </si>
  <si>
    <t xml:space="preserve">Site, aviso, contrato</t>
  </si>
  <si>
    <t xml:space="preserve">Última conferência</t>
  </si>
  <si>
    <t xml:space="preserve">Desenhos e especificações do cliente</t>
  </si>
  <si>
    <t xml:space="preserve">Cada cliente</t>
  </si>
  <si>
    <t xml:space="preserve">Revisão informada no desenho</t>
  </si>
  <si>
    <t xml:space="preserve">Desenvolvimento e Produção</t>
  </si>
  <si>
    <t xml:space="preserve">O cliente envia a revisão nova</t>
  </si>
  <si>
    <t xml:space="preserve">Gerente de engenharia</t>
  </si>
  <si>
    <t xml:space="preserve">Verificado</t>
  </si>
  <si>
    <t xml:space="preserve">Documentos externos cadastrados</t>
  </si>
  <si>
    <t xml:space="preserve">Verificados no prazo</t>
  </si>
  <si>
    <t xml:space="preserve">Com verificação vencida</t>
  </si>
  <si>
    <t xml:space="preserve">Histórico de alterações</t>
  </si>
  <si>
    <t xml:space="preserve">Uma linha para cada revisão de documento: o que mudou, por quê, quem aprovou, e se os documentos ligados foram conferidos.</t>
  </si>
  <si>
    <t xml:space="preserve">Data</t>
  </si>
  <si>
    <t xml:space="preserve">Revisão nova</t>
  </si>
  <si>
    <t xml:space="preserve">O que mudou</t>
  </si>
  <si>
    <t xml:space="preserve">Motivo</t>
  </si>
  <si>
    <t xml:space="preserve">Solicitou</t>
  </si>
  <si>
    <t xml:space="preserve">Ligados conferidos?</t>
  </si>
  <si>
    <t xml:space="preserve">Da lista mestra</t>
  </si>
  <si>
    <t xml:space="preserve">Em uma ou duas frases</t>
  </si>
  <si>
    <t xml:space="preserve">Ação corretiva, mudança, revisão periódica</t>
  </si>
  <si>
    <t xml:space="preserve">PR-SUP-01</t>
  </si>
  <si>
    <t xml:space="preserve">6</t>
  </si>
  <si>
    <t xml:space="preserve">Cadastro do item antes da compra, devolução da requisição incompleta e prazo contado da requisição completa.</t>
  </si>
  <si>
    <t xml:space="preserve">RNC 2026-31</t>
  </si>
  <si>
    <t xml:space="preserve">Gerente de Suprimentos</t>
  </si>
  <si>
    <t xml:space="preserve">Diretor geral</t>
  </si>
  <si>
    <t xml:space="preserve">Sim</t>
  </si>
  <si>
    <t xml:space="preserve">Alterações registradas</t>
  </si>
  <si>
    <t xml:space="preserve">Com os documentos ligados conferidos</t>
  </si>
  <si>
    <t xml:space="preserve">Checklist do controle de documentos</t>
  </si>
  <si>
    <t xml:space="preserve">Escolha o status de cada item na lista suspensa (coluna em amarelo-claro).</t>
  </si>
  <si>
    <t xml:space="preserve">Item de verificação</t>
  </si>
  <si>
    <t xml:space="preserve">Observações</t>
  </si>
  <si>
    <t xml:space="preserve">A lista mestra existe e traz todos os documentos em uso, com código, revisão e data.</t>
  </si>
  <si>
    <t xml:space="preserve">Cada documento tem um responsável por elaborar e um por aprovar.</t>
  </si>
  <si>
    <t xml:space="preserve">A revisão em uso no posto de trabalho é a mesma da lista mestra.</t>
  </si>
  <si>
    <t xml:space="preserve">As versões antigas foram retiradas de circulação, ou estão marcadas como obsoletas.</t>
  </si>
  <si>
    <t xml:space="preserve">Cada documento tem data de revisão prevista, ou é revisto quando o processo muda.</t>
  </si>
  <si>
    <t xml:space="preserve">Quando um documento muda, os documentos ligados a ele são conferidos.</t>
  </si>
  <si>
    <t xml:space="preserve">Os formulários em uso são a versão em vigor.</t>
  </si>
  <si>
    <t xml:space="preserve">Cada registro tem prazo de retenção, local de guarda e forma de descarte definidos.</t>
  </si>
  <si>
    <t xml:space="preserve">Os registros em papel estão legíveis e protegidos de perda e de alteração.</t>
  </si>
  <si>
    <t xml:space="preserve">Os registros eletrônicos têm cópia de segurança e controle de acesso.</t>
  </si>
  <si>
    <t xml:space="preserve">Os documentos de origem externa estão listados, com a data da última verificação.</t>
  </si>
  <si>
    <t xml:space="preserve">A lista dos documentos e registros exigidos pela norma foi conferida.</t>
  </si>
  <si>
    <t xml:space="preserve">Itens atendidos (Sim)</t>
  </si>
  <si>
    <t xml:space="preserve">Itens parciais</t>
  </si>
  <si>
    <t xml:space="preserve">Itens não atendidos</t>
  </si>
  <si>
    <t xml:space="preserve">Itens sem resposta</t>
  </si>
  <si>
    <t xml:space="preserve">Percentual atendido</t>
  </si>
  <si>
    <t xml:space="preserve">Informação documentada</t>
  </si>
  <si>
    <t xml:space="preserve">Exemplo preenchido, para consulta. Use as abas Lista mestra, Registros, Externos e Alterações para os seus documentos.</t>
  </si>
  <si>
    <t xml:space="preserve">Pizzaria (loja com salão e delivery)</t>
  </si>
  <si>
    <t xml:space="preserve">Participantes</t>
  </si>
  <si>
    <t xml:space="preserve">Gerente da loja, com os líderes</t>
  </si>
  <si>
    <t xml:space="preserve">Regra de revisão</t>
  </si>
  <si>
    <t xml:space="preserve">Documentos revistos a cada 24 meses, ou quando o processo muda.</t>
  </si>
  <si>
    <t xml:space="preserve">Decisão da análise crítica de 14/12/2026 e lacuna do requisito 7.5 no diagnóstico de 02/10/2026.</t>
  </si>
  <si>
    <t xml:space="preserve">Local</t>
  </si>
  <si>
    <t xml:space="preserve">Meses</t>
  </si>
  <si>
    <t xml:space="preserve">Próxima</t>
  </si>
  <si>
    <t xml:space="preserve">IT-EXP-01</t>
  </si>
  <si>
    <t xml:space="preserve">Expedição e agrupamento por zona</t>
  </si>
  <si>
    <t xml:space="preserve">IT</t>
  </si>
  <si>
    <t xml:space="preserve">Entregar o pedido</t>
  </si>
  <si>
    <t xml:space="preserve">2</t>
  </si>
  <si>
    <t xml:space="preserve">Líder da expedição</t>
  </si>
  <si>
    <t xml:space="preserve">Gerente da loja</t>
  </si>
  <si>
    <t xml:space="preserve">Quadro da expedição</t>
  </si>
  <si>
    <t xml:space="preserve">IT-ATE-01</t>
  </si>
  <si>
    <t xml:space="preserve">Roteiro de atendimento por telefone e mensagens</t>
  </si>
  <si>
    <t xml:space="preserve">Registrar o pedido</t>
  </si>
  <si>
    <t xml:space="preserve">Atendente líder</t>
  </si>
  <si>
    <t xml:space="preserve">Balcão</t>
  </si>
  <si>
    <t xml:space="preserve">Escala padrão de entregadores</t>
  </si>
  <si>
    <t xml:space="preserve">IT-PRO-01</t>
  </si>
  <si>
    <t xml:space="preserve">Rotina de controle de temperatura</t>
  </si>
  <si>
    <t xml:space="preserve">1</t>
  </si>
  <si>
    <t xml:space="preserve">Porta da câmara fria</t>
  </si>
  <si>
    <t xml:space="preserve">Planilha de temperatura</t>
  </si>
  <si>
    <t xml:space="preserve">FR</t>
  </si>
  <si>
    <t xml:space="preserve">PR-GES-01</t>
  </si>
  <si>
    <t xml:space="preserve">Rotina de documentos</t>
  </si>
  <si>
    <t xml:space="preserve">PR</t>
  </si>
  <si>
    <t xml:space="preserve">Medir e melhorar</t>
  </si>
  <si>
    <t xml:space="preserve">3</t>
  </si>
  <si>
    <t xml:space="preserve">Dono da loja</t>
  </si>
  <si>
    <t xml:space="preserve">Eletrônico</t>
  </si>
  <si>
    <t xml:space="preserve">Pasta da gerência</t>
  </si>
  <si>
    <t xml:space="preserve">FR-06</t>
  </si>
  <si>
    <t xml:space="preserve">Registro de não conformidade</t>
  </si>
  <si>
    <t xml:space="preserve">Ambos</t>
  </si>
  <si>
    <t xml:space="preserve">Pasta da qualidade</t>
  </si>
  <si>
    <t xml:space="preserve">FR-09</t>
  </si>
  <si>
    <t xml:space="preserve">Relatório de auditoria interna</t>
  </si>
  <si>
    <t xml:space="preserve">FR-03</t>
  </si>
  <si>
    <t xml:space="preserve">Ficha de alergênicos</t>
  </si>
  <si>
    <t xml:space="preserve">Produzir e embalar</t>
  </si>
  <si>
    <t xml:space="preserve">Sistema de pedidos</t>
  </si>
  <si>
    <t xml:space="preserve">Receitas padrão</t>
  </si>
  <si>
    <t xml:space="preserve">Caderno do pizzaiolo</t>
  </si>
  <si>
    <t xml:space="preserve">Cardápio</t>
  </si>
  <si>
    <t xml:space="preserve">ES</t>
  </si>
  <si>
    <t xml:space="preserve">Atender no salão</t>
  </si>
  <si>
    <t xml:space="preserve">2026-2</t>
  </si>
  <si>
    <t xml:space="preserve">Mesas e site</t>
  </si>
  <si>
    <t xml:space="preserve">FR-04</t>
  </si>
  <si>
    <t xml:space="preserve">Planilha de descarte de insumos</t>
  </si>
  <si>
    <t xml:space="preserve">Planilha da gerência</t>
  </si>
  <si>
    <t xml:space="preserve">FR-05</t>
  </si>
  <si>
    <t xml:space="preserve">Ficha de treinamento</t>
  </si>
  <si>
    <t xml:space="preserve">Treinar a equipe</t>
  </si>
  <si>
    <t xml:space="preserve">Pasta de pessoal</t>
  </si>
  <si>
    <t xml:space="preserve">MP-01</t>
  </si>
  <si>
    <t xml:space="preserve">Mapa de processos</t>
  </si>
  <si>
    <t xml:space="preserve">MP</t>
  </si>
  <si>
    <t xml:space="preserve">Planejar e dirigir a loja</t>
  </si>
  <si>
    <t xml:space="preserve">MP-02</t>
  </si>
  <si>
    <t xml:space="preserve">Matriz de riscos do delivery</t>
  </si>
  <si>
    <t xml:space="preserve">FR-08</t>
  </si>
  <si>
    <t xml:space="preserve">Ata da análise crítica</t>
  </si>
  <si>
    <t xml:space="preserve">IT-CAI-01</t>
  </si>
  <si>
    <t xml:space="preserve">Fechamento de caixa</t>
  </si>
  <si>
    <t xml:space="preserve">Gaveta do caixa</t>
  </si>
  <si>
    <t xml:space="preserve">Em vigor, sem os obsoletos</t>
  </si>
  <si>
    <t xml:space="preserve">Disposição</t>
  </si>
  <si>
    <t xml:space="preserve">Pedido registrado</t>
  </si>
  <si>
    <t xml:space="preserve">Balcão e site</t>
  </si>
  <si>
    <t xml:space="preserve">Sistema, na nuvem</t>
  </si>
  <si>
    <t xml:space="preserve">Gerente e atendentes</t>
  </si>
  <si>
    <t xml:space="preserve">Exclusão pelo sistema</t>
  </si>
  <si>
    <t xml:space="preserve">Etiqueta de conferência do pedido</t>
  </si>
  <si>
    <t xml:space="preserve">Etiqueta do sistema</t>
  </si>
  <si>
    <t xml:space="preserve">Bancada de embalagem</t>
  </si>
  <si>
    <t xml:space="preserve">Caixa da expedição</t>
  </si>
  <si>
    <t xml:space="preserve">Descartar após 30 dias</t>
  </si>
  <si>
    <t xml:space="preserve">Ficha de treinamento preenchida</t>
  </si>
  <si>
    <t xml:space="preserve">Sala da gerência</t>
  </si>
  <si>
    <t xml:space="preserve">Registro de reclamações</t>
  </si>
  <si>
    <t xml:space="preserve">Planilha de reclamações</t>
  </si>
  <si>
    <t xml:space="preserve">Gerente e atendente líder</t>
  </si>
  <si>
    <t xml:space="preserve">Exclusão</t>
  </si>
  <si>
    <t xml:space="preserve">Picotar e excluir</t>
  </si>
  <si>
    <t xml:space="preserve">Gerente e dono</t>
  </si>
  <si>
    <t xml:space="preserve">Dono e gerente</t>
  </si>
  <si>
    <t xml:space="preserve">Documentos sem controle</t>
  </si>
  <si>
    <t xml:space="preserve">Documentos com a revisão vencida</t>
  </si>
  <si>
    <t xml:space="preserve">Indústria de embalagens plásticas · Suprimentos</t>
  </si>
  <si>
    <t xml:space="preserve">Gerente de Suprimentos, com o Coordenador da Qualidade</t>
  </si>
  <si>
    <t xml:space="preserve">Documentos revistos a cada 24 meses. Formulários e listas, a cada 12; a lista de fornecedores homologados, a cada 6, com a avaliação semestral. Registros retidos por 3 anos; os de compra, por 5, pelo prazo fiscal; os contratos, por 10.</t>
  </si>
  <si>
    <t xml:space="preserve">Preparação da auditoria de certificação, decidida na análise crítica de 18/02/2027.</t>
  </si>
  <si>
    <t xml:space="preserve">Aquisição de materiais e serviços</t>
  </si>
  <si>
    <t xml:space="preserve">Suprimentos</t>
  </si>
  <si>
    <t xml:space="preserve">Rede, pasta Qualidade</t>
  </si>
  <si>
    <t xml:space="preserve">PO-02</t>
  </si>
  <si>
    <t xml:space="preserve">Política de compras e alçadas</t>
  </si>
  <si>
    <t xml:space="preserve">PO</t>
  </si>
  <si>
    <t xml:space="preserve">PR-SUP-02</t>
  </si>
  <si>
    <t xml:space="preserve">Homologação e avaliação de fornecedores</t>
  </si>
  <si>
    <t xml:space="preserve">Comprador sênior</t>
  </si>
  <si>
    <t xml:space="preserve">PR-SUP-03</t>
  </si>
  <si>
    <t xml:space="preserve">Compras de urgência</t>
  </si>
  <si>
    <t xml:space="preserve">IT-REC-01</t>
  </si>
  <si>
    <t xml:space="preserve">Recebimento e conferência de materiais</t>
  </si>
  <si>
    <t xml:space="preserve">Recebimento</t>
  </si>
  <si>
    <t xml:space="preserve">Líder do Recebimento</t>
  </si>
  <si>
    <t xml:space="preserve">Quadro do almoxarifado</t>
  </si>
  <si>
    <t xml:space="preserve">FR-11</t>
  </si>
  <si>
    <t xml:space="preserve">Requisição de compra</t>
  </si>
  <si>
    <t xml:space="preserve">4</t>
  </si>
  <si>
    <t xml:space="preserve">Analista de sistemas</t>
  </si>
  <si>
    <t xml:space="preserve">Sistema de compras</t>
  </si>
  <si>
    <t xml:space="preserve">FR-12</t>
  </si>
  <si>
    <t xml:space="preserve">Avaliação de desempenho de fornecedor</t>
  </si>
  <si>
    <t xml:space="preserve">Rede, pasta Suprimentos</t>
  </si>
  <si>
    <t xml:space="preserve">FR-13</t>
  </si>
  <si>
    <t xml:space="preserve">Registro de devolução ao fornecedor</t>
  </si>
  <si>
    <t xml:space="preserve">Almoxarifado</t>
  </si>
  <si>
    <t xml:space="preserve">LS-01</t>
  </si>
  <si>
    <t xml:space="preserve">Lista de fornecedores homologados</t>
  </si>
  <si>
    <t xml:space="preserve">2027-02</t>
  </si>
  <si>
    <t xml:space="preserve">Cadastro de itens com especificação padrão</t>
  </si>
  <si>
    <t xml:space="preserve">Supervisor de manutenção</t>
  </si>
  <si>
    <t xml:space="preserve">Requisição de compra aprovada</t>
  </si>
  <si>
    <t xml:space="preserve">Compradores e requisitantes</t>
  </si>
  <si>
    <t xml:space="preserve">Arquivo morto do sistema</t>
  </si>
  <si>
    <t xml:space="preserve">Cotações e mapa comparativo</t>
  </si>
  <si>
    <t xml:space="preserve">Planilha de cotação</t>
  </si>
  <si>
    <t xml:space="preserve">Comprador</t>
  </si>
  <si>
    <t xml:space="preserve">Rede, pasta do pedido</t>
  </si>
  <si>
    <t xml:space="preserve">Compradores</t>
  </si>
  <si>
    <t xml:space="preserve">Pedido de compra emitido</t>
  </si>
  <si>
    <t xml:space="preserve">Compradores e Fiscal</t>
  </si>
  <si>
    <t xml:space="preserve">Registro de recebimento e conferência</t>
  </si>
  <si>
    <t xml:space="preserve">FR-14</t>
  </si>
  <si>
    <t xml:space="preserve">Pasta do almoxarifado e sistema</t>
  </si>
  <si>
    <t xml:space="preserve">Recebimento e Qualidade</t>
  </si>
  <si>
    <t xml:space="preserve">Suprimentos e Qualidade</t>
  </si>
  <si>
    <t xml:space="preserve">Dossiê de homologação</t>
  </si>
  <si>
    <t xml:space="preserve">PR-SUP-02, anexo A</t>
  </si>
  <si>
    <t xml:space="preserve">Rede, pasta Fornecedores</t>
  </si>
  <si>
    <t xml:space="preserve">Exclusão após o descredenciamento</t>
  </si>
  <si>
    <t xml:space="preserve">Registro de devolução</t>
  </si>
  <si>
    <t xml:space="preserve">Pasta do almoxarifado</t>
  </si>
  <si>
    <t xml:space="preserve">Contrato com fornecedor</t>
  </si>
  <si>
    <t xml:space="preserve">Modelo jurídico</t>
  </si>
  <si>
    <t xml:space="preserve">Cofre da diretoria</t>
  </si>
  <si>
    <t xml:space="preserve">Diretoria e Jurídico</t>
  </si>
  <si>
    <t xml:space="preserve">Picotar após o fim do contrato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</si>
</sst>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/mm/yyyy"/>
    <numFmt numFmtId="166" formatCode="@"/>
    <numFmt numFmtId="167" formatCode="General"/>
    <numFmt numFmtId="168" formatCode="0%"/>
    <numFmt numFmtId="169" formatCode="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5B6B76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16242E"/>
      <name val="Arial"/>
      <family val="0"/>
      <charset val="1"/>
    </font>
    <font>
      <sz val="10"/>
      <color rgb="FF16242E"/>
      <name val="Arial"/>
      <family val="0"/>
      <charset val="1"/>
    </font>
    <font>
      <i val="true"/>
      <sz val="9"/>
      <color rgb="FF5B6B7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5B6B76"/>
      <name val="Arial"/>
      <family val="0"/>
      <charset val="1"/>
    </font>
    <font>
      <sz val="9"/>
      <color rgb="FF16242E"/>
      <name val="Arial"/>
      <family val="0"/>
      <charset val="1"/>
    </font>
    <font>
      <sz val="10"/>
      <name val="Arial"/>
      <family val="2"/>
    </font>
    <font>
      <sz val="10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16242E"/>
        <bgColor rgb="FF003300"/>
      </patternFill>
    </fill>
    <fill>
      <patternFill patternType="solid">
        <fgColor rgb="FFEEF1F3"/>
        <bgColor rgb="FFDCE8F3"/>
      </patternFill>
    </fill>
    <fill>
      <patternFill patternType="solid">
        <fgColor rgb="FFFFF9DB"/>
        <bgColor rgb="FFFBEBC8"/>
      </patternFill>
    </fill>
    <fill>
      <patternFill patternType="solid">
        <fgColor rgb="FFFFFFFF"/>
        <bgColor rgb="FFFFF9DB"/>
      </patternFill>
    </fill>
    <fill>
      <patternFill patternType="solid">
        <fgColor rgb="FF2B5C8A"/>
        <bgColor rgb="FF1E7B73"/>
      </patternFill>
    </fill>
    <fill>
      <patternFill patternType="solid">
        <fgColor rgb="FFA96A12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2D8"/>
      </left>
      <right style="thin">
        <color rgb="FFC9D2D8"/>
      </right>
      <top style="thin">
        <color rgb="FFC9D2D8"/>
      </top>
      <bottom style="thin">
        <color rgb="FFC9D2D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3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9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8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6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6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D8EFDD"/>
        </patternFill>
      </fill>
    </dxf>
    <dxf>
      <fill>
        <patternFill>
          <bgColor rgb="FFDCE8F3"/>
        </patternFill>
      </fill>
    </dxf>
    <dxf>
      <fill>
        <patternFill>
          <bgColor rgb="FFFBEBC8"/>
        </patternFill>
      </fill>
    </dxf>
    <dxf>
      <fill>
        <patternFill>
          <bgColor rgb="FFEEF1F3"/>
        </patternFill>
      </fill>
    </dxf>
    <dxf>
      <fill>
        <patternFill>
          <bgColor rgb="FFF6D9D7"/>
        </patternFill>
      </fill>
    </dxf>
    <dxf>
      <font>
        <name val="Arial"/>
        <charset val="1"/>
        <family val="0"/>
        <strike val="1"/>
        <color rgb="FF5B6B76"/>
        <sz val="10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96A12"/>
      <rgbColor rgb="FF800080"/>
      <rgbColor rgb="FF1E7B73"/>
      <rgbColor rgb="FFD9D9D9"/>
      <rgbColor rgb="FF808080"/>
      <rgbColor rgb="FF9999FF"/>
      <rgbColor rgb="FF7A4A9A"/>
      <rgbColor rgb="FFFFF9DB"/>
      <rgbColor rgb="FFDCE8F3"/>
      <rgbColor rgb="FF660066"/>
      <rgbColor rgb="FFFF8080"/>
      <rgbColor rgb="FF0066CC"/>
      <rgbColor rgb="FFC9D2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1F3"/>
      <rgbColor rgb="FFD8EFDD"/>
      <rgbColor rgb="FFFBEBC8"/>
      <rgbColor rgb="FFD3DBE0"/>
      <rgbColor rgb="FFFF99CC"/>
      <rgbColor rgb="FFCC99FF"/>
      <rgbColor rgb="FFF6D9D7"/>
      <rgbColor rgb="FF3366FF"/>
      <rgbColor rgb="FF33CCCC"/>
      <rgbColor rgb="FF99CC00"/>
      <rgbColor rgb="FFFFCC00"/>
      <rgbColor rgb="FFFF9900"/>
      <rgbColor rgb="FFFF6600"/>
      <rgbColor rgb="FF5B6B76"/>
      <rgbColor rgb="FF969696"/>
      <rgbColor rgb="FF003366"/>
      <rgbColor rgb="FF339966"/>
      <rgbColor rgb="FF003300"/>
      <rgbColor rgb="FF333300"/>
      <rgbColor rgb="FF993300"/>
      <rgbColor rgb="FF993366"/>
      <rgbColor rgb="FF2B5C8A"/>
      <rgbColor rgb="FF1624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"Documentos"</c:f>
              <c:strCache>
                <c:ptCount val="1"/>
                <c:pt idx="0">
                  <c:v>Documentos</c:v>
                </c:pt>
              </c:strCache>
            </c:strRef>
          </c:tx>
          <c:spPr>
            <a:solidFill>
              <a:srgbClr val="2b5c8a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lang="pt-BR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'Lista mestra'!$H$41:$H$47</c:f>
              <c:strCache>
                <c:ptCount val="7"/>
                <c:pt idx="0">
                  <c:v>Vigente</c:v>
                </c:pt>
                <c:pt idx="1">
                  <c:v>Em revisão</c:v>
                </c:pt>
                <c:pt idx="2">
                  <c:v>Revisão vencida</c:v>
                </c:pt>
                <c:pt idx="3">
                  <c:v>Falta o código</c:v>
                </c:pt>
                <c:pt idx="4">
                  <c:v>Falta a revisão</c:v>
                </c:pt>
                <c:pt idx="5">
                  <c:v>Falta a aprovação</c:v>
                </c:pt>
                <c:pt idx="6">
                  <c:v>Obsoleto</c:v>
                </c:pt>
              </c:strCache>
            </c:strRef>
          </c:cat>
          <c:val>
            <c:numRef>
              <c:f>'Lista mestra'!$L$41:$L$47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gapWidth val="60"/>
        <c:overlap val="0"/>
        <c:axId val="16980400"/>
        <c:axId val="91942106"/>
      </c:barChart>
      <c:catAx>
        <c:axId val="1698040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3dbe0"/>
            </a:solidFill>
            <a:round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1942106"/>
        <c:crosses val="autoZero"/>
        <c:auto val="1"/>
        <c:lblAlgn val="ctr"/>
        <c:lblOffset val="100"/>
        <c:noMultiLvlLbl val="0"/>
      </c:catAx>
      <c:valAx>
        <c:axId val="91942106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d3dbe0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6980400"/>
        <c:crosses val="autoZero"/>
        <c:crossBetween val="between"/>
        <c:majorUnit val="1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"Documentos"</c:f>
              <c:strCache>
                <c:ptCount val="1"/>
                <c:pt idx="0">
                  <c:v>Documentos</c:v>
                </c:pt>
              </c:strCache>
            </c:strRef>
          </c:tx>
          <c:spPr>
            <a:solidFill>
              <a:srgbClr val="2b5c8a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lang="pt-BR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'Exemplo 1 - Pizzaria'!$B$31:$B$37</c:f>
              <c:strCache>
                <c:ptCount val="7"/>
                <c:pt idx="0">
                  <c:v>Vigente</c:v>
                </c:pt>
                <c:pt idx="1">
                  <c:v>Em revisão</c:v>
                </c:pt>
                <c:pt idx="2">
                  <c:v>Revisão vencida</c:v>
                </c:pt>
                <c:pt idx="3">
                  <c:v>Falta o código</c:v>
                </c:pt>
                <c:pt idx="4">
                  <c:v>Falta a revisão</c:v>
                </c:pt>
                <c:pt idx="5">
                  <c:v>Falta a aprovação</c:v>
                </c:pt>
                <c:pt idx="6">
                  <c:v>Obsoleto</c:v>
                </c:pt>
              </c:strCache>
            </c:strRef>
          </c:cat>
          <c:val>
            <c:numRef>
              <c:f>'Exemplo 1 - Pizzaria'!$E$31:$E$37</c:f>
              <c:numCache>
                <c:formatCode>General</c:formatCode>
                <c:ptCount val="7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3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</c:ser>
        <c:gapWidth val="60"/>
        <c:overlap val="0"/>
        <c:axId val="28604350"/>
        <c:axId val="90221398"/>
      </c:barChart>
      <c:catAx>
        <c:axId val="28604350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3dbe0"/>
            </a:solidFill>
            <a:round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0221398"/>
        <c:crosses val="autoZero"/>
        <c:auto val="1"/>
        <c:lblAlgn val="ctr"/>
        <c:lblOffset val="100"/>
        <c:noMultiLvlLbl val="0"/>
      </c:catAx>
      <c:valAx>
        <c:axId val="90221398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d3dbe0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604350"/>
        <c:crosses val="autoZero"/>
        <c:crossBetween val="between"/>
        <c:majorUnit val="1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barChart>
        <c:barDir val="bar"/>
        <c:grouping val="clustered"/>
        <c:varyColors val="0"/>
        <c:ser>
          <c:idx val="0"/>
          <c:order val="0"/>
          <c:tx>
            <c:strRef>
              <c:f>"Documentos"</c:f>
              <c:strCache>
                <c:ptCount val="1"/>
                <c:pt idx="0">
                  <c:v>Documentos</c:v>
                </c:pt>
              </c:strCache>
            </c:strRef>
          </c:tx>
          <c:spPr>
            <a:solidFill>
              <a:srgbClr val="2b5c8a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lang="pt-BR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'Exemplo 2 - Compras'!$B$24:$B$30</c:f>
              <c:strCache>
                <c:ptCount val="7"/>
                <c:pt idx="0">
                  <c:v>Vigente</c:v>
                </c:pt>
                <c:pt idx="1">
                  <c:v>Em revisão</c:v>
                </c:pt>
                <c:pt idx="2">
                  <c:v>Revisão vencida</c:v>
                </c:pt>
                <c:pt idx="3">
                  <c:v>Falta o código</c:v>
                </c:pt>
                <c:pt idx="4">
                  <c:v>Falta a revisão</c:v>
                </c:pt>
                <c:pt idx="5">
                  <c:v>Falta a aprovação</c:v>
                </c:pt>
                <c:pt idx="6">
                  <c:v>Obsoleto</c:v>
                </c:pt>
              </c:strCache>
            </c:strRef>
          </c:cat>
          <c:val>
            <c:numRef>
              <c:f>'Exemplo 2 - Compras'!$E$24:$E$30</c:f>
              <c:numCache>
                <c:formatCode>General</c:formatCode>
                <c:ptCount val="7"/>
                <c:pt idx="0">
                  <c:v>6</c:v>
                </c:pt>
                <c:pt idx="1">
                  <c:v>1</c:v>
                </c:pt>
                <c:pt idx="2">
                  <c:v>2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gapWidth val="60"/>
        <c:overlap val="0"/>
        <c:axId val="23404512"/>
        <c:axId val="43211056"/>
      </c:barChart>
      <c:catAx>
        <c:axId val="23404512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d3dbe0"/>
            </a:solidFill>
            <a:round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211056"/>
        <c:crosses val="autoZero"/>
        <c:auto val="1"/>
        <c:lblAlgn val="ctr"/>
        <c:lblOffset val="100"/>
        <c:noMultiLvlLbl val="0"/>
      </c:catAx>
      <c:valAx>
        <c:axId val="43211056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d3dbe0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b="0" lang="pt-BR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404512"/>
        <c:crosses val="autoZero"/>
        <c:crossBetween val="between"/>
        <c:majorUnit val="1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48</xdr:row>
      <xdr:rowOff>0</xdr:rowOff>
    </xdr:from>
    <xdr:to>
      <xdr:col>11</xdr:col>
      <xdr:colOff>1538280</xdr:colOff>
      <xdr:row>61</xdr:row>
      <xdr:rowOff>114840</xdr:rowOff>
    </xdr:to>
    <xdr:graphicFrame>
      <xdr:nvGraphicFramePr>
        <xdr:cNvPr id="0" name="Chart 1"/>
        <xdr:cNvGraphicFramePr/>
      </xdr:nvGraphicFramePr>
      <xdr:xfrm>
        <a:off x="6766560" y="14201640"/>
        <a:ext cx="6119640" cy="2591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30</xdr:row>
      <xdr:rowOff>0</xdr:rowOff>
    </xdr:from>
    <xdr:to>
      <xdr:col>10</xdr:col>
      <xdr:colOff>1326600</xdr:colOff>
      <xdr:row>38</xdr:row>
      <xdr:rowOff>165960</xdr:rowOff>
    </xdr:to>
    <xdr:graphicFrame>
      <xdr:nvGraphicFramePr>
        <xdr:cNvPr id="1" name="Chart 1"/>
        <xdr:cNvGraphicFramePr/>
      </xdr:nvGraphicFramePr>
      <xdr:xfrm>
        <a:off x="5074920" y="9258480"/>
        <a:ext cx="6119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23</xdr:row>
      <xdr:rowOff>0</xdr:rowOff>
    </xdr:from>
    <xdr:to>
      <xdr:col>10</xdr:col>
      <xdr:colOff>1326600</xdr:colOff>
      <xdr:row>31</xdr:row>
      <xdr:rowOff>165960</xdr:rowOff>
    </xdr:to>
    <xdr:graphicFrame>
      <xdr:nvGraphicFramePr>
        <xdr:cNvPr id="2" name="Chart 1"/>
        <xdr:cNvGraphicFramePr/>
      </xdr:nvGraphicFramePr>
      <xdr:xfrm>
        <a:off x="5074920" y="7296120"/>
        <a:ext cx="6119640" cy="237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242E"/>
    <pageSetUpPr fitToPage="true"/>
  </sheetPr>
  <dimension ref="B1:C4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4"/>
    <col collapsed="false" customWidth="true" hidden="false" outlineLevel="0" max="3" min="3" style="0" width="92"/>
    <col collapsed="false" customWidth="true" hidden="false" outlineLevel="0" max="4" min="4" style="0" width="2"/>
  </cols>
  <sheetData>
    <row r="1" customFormat="false" ht="31.5" hidden="false" customHeight="true" outlineLevel="0" collapsed="false">
      <c r="B1" s="1" t="s">
        <v>0</v>
      </c>
      <c r="C1" s="1"/>
    </row>
    <row r="2" customFormat="false" ht="19.5" hidden="false" customHeight="true" outlineLevel="0" collapsed="false">
      <c r="B2" s="2" t="s">
        <v>1</v>
      </c>
      <c r="C2" s="2"/>
    </row>
    <row r="4" customFormat="false" ht="21.75" hidden="false" customHeight="true" outlineLevel="0" collapsed="false">
      <c r="B4" s="3" t="s">
        <v>2</v>
      </c>
      <c r="C4" s="3"/>
    </row>
    <row r="5" customFormat="false" ht="19.5" hidden="false" customHeight="true" outlineLevel="0" collapsed="false">
      <c r="B5" s="4" t="s">
        <v>3</v>
      </c>
      <c r="C5" s="5" t="s">
        <v>4</v>
      </c>
    </row>
    <row r="6" customFormat="false" ht="19.5" hidden="false" customHeight="true" outlineLevel="0" collapsed="false">
      <c r="B6" s="4" t="s">
        <v>5</v>
      </c>
      <c r="C6" s="6" t="s">
        <v>6</v>
      </c>
    </row>
    <row r="7" customFormat="false" ht="19.5" hidden="false" customHeight="true" outlineLevel="0" collapsed="false">
      <c r="B7" s="4" t="s">
        <v>7</v>
      </c>
      <c r="C7" s="6" t="s">
        <v>8</v>
      </c>
    </row>
    <row r="8" customFormat="false" ht="19.5" hidden="false" customHeight="true" outlineLevel="0" collapsed="false">
      <c r="B8" s="4" t="s">
        <v>9</v>
      </c>
      <c r="C8" s="7" t="s">
        <v>10</v>
      </c>
    </row>
    <row r="9" customFormat="false" ht="31.5" hidden="false" customHeight="true" outlineLevel="0" collapsed="false">
      <c r="B9" s="4" t="s">
        <v>11</v>
      </c>
      <c r="C9" s="7" t="s">
        <v>12</v>
      </c>
    </row>
    <row r="11" customFormat="false" ht="21.75" hidden="false" customHeight="true" outlineLevel="0" collapsed="false">
      <c r="B11" s="3" t="s">
        <v>13</v>
      </c>
      <c r="C11" s="3"/>
    </row>
    <row r="12" customFormat="false" ht="19.5" hidden="false" customHeight="true" outlineLevel="0" collapsed="false">
      <c r="B12" s="4" t="s">
        <v>14</v>
      </c>
      <c r="C12" s="7" t="s">
        <v>15</v>
      </c>
    </row>
    <row r="13" customFormat="false" ht="19.5" hidden="false" customHeight="true" outlineLevel="0" collapsed="false">
      <c r="B13" s="4" t="s">
        <v>16</v>
      </c>
      <c r="C13" s="7" t="s">
        <v>17</v>
      </c>
    </row>
    <row r="14" customFormat="false" ht="31.5" hidden="false" customHeight="true" outlineLevel="0" collapsed="false">
      <c r="B14" s="4" t="s">
        <v>18</v>
      </c>
      <c r="C14" s="7" t="s">
        <v>19</v>
      </c>
    </row>
    <row r="15" customFormat="false" ht="31.5" hidden="false" customHeight="true" outlineLevel="0" collapsed="false">
      <c r="B15" s="4" t="s">
        <v>20</v>
      </c>
      <c r="C15" s="7" t="s">
        <v>21</v>
      </c>
    </row>
    <row r="16" customFormat="false" ht="19.5" hidden="false" customHeight="true" outlineLevel="0" collapsed="false">
      <c r="B16" s="4" t="s">
        <v>22</v>
      </c>
      <c r="C16" s="7" t="s">
        <v>23</v>
      </c>
    </row>
    <row r="17" customFormat="false" ht="31.5" hidden="false" customHeight="true" outlineLevel="0" collapsed="false">
      <c r="B17" s="4" t="s">
        <v>24</v>
      </c>
      <c r="C17" s="7" t="s">
        <v>25</v>
      </c>
    </row>
    <row r="18" customFormat="false" ht="31.5" hidden="false" customHeight="true" outlineLevel="0" collapsed="false">
      <c r="B18" s="4" t="s">
        <v>26</v>
      </c>
      <c r="C18" s="7" t="s">
        <v>27</v>
      </c>
    </row>
    <row r="20" customFormat="false" ht="21.75" hidden="false" customHeight="true" outlineLevel="0" collapsed="false">
      <c r="B20" s="3" t="s">
        <v>28</v>
      </c>
      <c r="C20" s="3"/>
    </row>
    <row r="21" customFormat="false" ht="19.5" hidden="false" customHeight="true" outlineLevel="0" collapsed="false">
      <c r="B21" s="4" t="s">
        <v>29</v>
      </c>
      <c r="C21" s="7" t="s">
        <v>30</v>
      </c>
    </row>
    <row r="22" customFormat="false" ht="31.5" hidden="false" customHeight="true" outlineLevel="0" collapsed="false">
      <c r="B22" s="4" t="s">
        <v>31</v>
      </c>
      <c r="C22" s="7" t="s">
        <v>32</v>
      </c>
    </row>
    <row r="23" customFormat="false" ht="19.5" hidden="false" customHeight="true" outlineLevel="0" collapsed="false">
      <c r="B23" s="4" t="s">
        <v>33</v>
      </c>
      <c r="C23" s="7" t="s">
        <v>34</v>
      </c>
    </row>
    <row r="24" customFormat="false" ht="31.5" hidden="false" customHeight="true" outlineLevel="0" collapsed="false">
      <c r="B24" s="4" t="s">
        <v>35</v>
      </c>
      <c r="C24" s="7" t="s">
        <v>36</v>
      </c>
    </row>
    <row r="25" customFormat="false" ht="31.5" hidden="false" customHeight="true" outlineLevel="0" collapsed="false">
      <c r="B25" s="4" t="s">
        <v>37</v>
      </c>
      <c r="C25" s="7" t="s">
        <v>38</v>
      </c>
    </row>
    <row r="26" customFormat="false" ht="19.5" hidden="false" customHeight="true" outlineLevel="0" collapsed="false">
      <c r="B26" s="4" t="s">
        <v>39</v>
      </c>
      <c r="C26" s="7" t="s">
        <v>40</v>
      </c>
    </row>
    <row r="27" customFormat="false" ht="19.5" hidden="false" customHeight="true" outlineLevel="0" collapsed="false">
      <c r="B27" s="4" t="s">
        <v>41</v>
      </c>
      <c r="C27" s="7" t="s">
        <v>42</v>
      </c>
    </row>
    <row r="29" customFormat="false" ht="21.75" hidden="false" customHeight="true" outlineLevel="0" collapsed="false">
      <c r="B29" s="3" t="s">
        <v>43</v>
      </c>
      <c r="C29" s="3"/>
    </row>
    <row r="30" customFormat="false" ht="19.5" hidden="false" customHeight="true" outlineLevel="0" collapsed="false">
      <c r="B30" s="4" t="s">
        <v>44</v>
      </c>
      <c r="C30" s="7" t="s">
        <v>45</v>
      </c>
    </row>
    <row r="31" customFormat="false" ht="19.5" hidden="false" customHeight="true" outlineLevel="0" collapsed="false">
      <c r="B31" s="4" t="s">
        <v>46</v>
      </c>
      <c r="C31" s="7" t="s">
        <v>47</v>
      </c>
    </row>
    <row r="32" customFormat="false" ht="19.5" hidden="false" customHeight="true" outlineLevel="0" collapsed="false">
      <c r="B32" s="4" t="s">
        <v>48</v>
      </c>
      <c r="C32" s="7" t="s">
        <v>49</v>
      </c>
    </row>
    <row r="33" customFormat="false" ht="19.5" hidden="false" customHeight="true" outlineLevel="0" collapsed="false">
      <c r="B33" s="4" t="s">
        <v>50</v>
      </c>
      <c r="C33" s="7" t="s">
        <v>51</v>
      </c>
    </row>
    <row r="34" customFormat="false" ht="19.5" hidden="false" customHeight="true" outlineLevel="0" collapsed="false">
      <c r="B34" s="4" t="s">
        <v>52</v>
      </c>
      <c r="C34" s="7" t="s">
        <v>53</v>
      </c>
    </row>
    <row r="35" customFormat="false" ht="19.5" hidden="false" customHeight="true" outlineLevel="0" collapsed="false">
      <c r="B35" s="4" t="s">
        <v>54</v>
      </c>
      <c r="C35" s="7" t="s">
        <v>55</v>
      </c>
    </row>
    <row r="36" customFormat="false" ht="19.5" hidden="false" customHeight="true" outlineLevel="0" collapsed="false">
      <c r="B36" s="4" t="s">
        <v>56</v>
      </c>
      <c r="C36" s="7" t="s">
        <v>57</v>
      </c>
    </row>
    <row r="38" customFormat="false" ht="21.75" hidden="false" customHeight="true" outlineLevel="0" collapsed="false">
      <c r="B38" s="3" t="s">
        <v>58</v>
      </c>
      <c r="C38" s="3"/>
    </row>
    <row r="39" customFormat="false" ht="45.75" hidden="false" customHeight="true" outlineLevel="0" collapsed="false">
      <c r="B39" s="4" t="s">
        <v>59</v>
      </c>
      <c r="C39" s="7" t="s">
        <v>60</v>
      </c>
    </row>
    <row r="40" customFormat="false" ht="31.5" hidden="false" customHeight="true" outlineLevel="0" collapsed="false">
      <c r="B40" s="4" t="s">
        <v>61</v>
      </c>
      <c r="C40" s="7" t="s">
        <v>62</v>
      </c>
    </row>
    <row r="41" customFormat="false" ht="31.5" hidden="false" customHeight="true" outlineLevel="0" collapsed="false">
      <c r="B41" s="4" t="s">
        <v>63</v>
      </c>
      <c r="C41" s="7" t="s">
        <v>64</v>
      </c>
    </row>
    <row r="42" customFormat="false" ht="19.5" hidden="false" customHeight="true" outlineLevel="0" collapsed="false">
      <c r="B42" s="4" t="s">
        <v>65</v>
      </c>
      <c r="C42" s="7" t="s">
        <v>66</v>
      </c>
    </row>
    <row r="43" customFormat="false" ht="31.5" hidden="false" customHeight="true" outlineLevel="0" collapsed="false">
      <c r="B43" s="4" t="s">
        <v>46</v>
      </c>
      <c r="C43" s="7" t="s">
        <v>67</v>
      </c>
    </row>
    <row r="44" customFormat="false" ht="19.5" hidden="false" customHeight="true" outlineLevel="0" collapsed="false">
      <c r="B44" s="4" t="s">
        <v>68</v>
      </c>
      <c r="C44" s="7" t="s">
        <v>69</v>
      </c>
    </row>
    <row r="45" customFormat="false" ht="19.5" hidden="false" customHeight="true" outlineLevel="0" collapsed="false">
      <c r="B45" s="4" t="s">
        <v>70</v>
      </c>
      <c r="C45" s="7" t="s">
        <v>71</v>
      </c>
    </row>
  </sheetData>
  <mergeCells count="7">
    <mergeCell ref="B1:C1"/>
    <mergeCell ref="B2:C2"/>
    <mergeCell ref="B4:C4"/>
    <mergeCell ref="B11:C11"/>
    <mergeCell ref="B20:C20"/>
    <mergeCell ref="B29:C29"/>
    <mergeCell ref="B38:C38"/>
  </mergeCell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B5C8A"/>
    <pageSetUpPr fitToPage="true"/>
  </sheetPr>
  <dimension ref="B1:P4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8" topLeftCell="E9" activePane="bottomRight" state="frozen"/>
      <selection pane="topLeft" activeCell="A1" activeCellId="0" sqref="A1"/>
      <selection pane="topRight" activeCell="E1" activeCellId="0" sqref="E1"/>
      <selection pane="bottomLeft" activeCell="A9" activeCellId="0" sqref="A9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13"/>
    <col collapsed="false" customWidth="true" hidden="false" outlineLevel="0" max="4" min="4" style="0" width="36"/>
    <col collapsed="false" customWidth="true" hidden="false" outlineLevel="0" max="5" min="5" style="0" width="8"/>
    <col collapsed="false" customWidth="true" hidden="false" outlineLevel="0" max="6" min="6" style="0" width="22"/>
    <col collapsed="false" customWidth="true" hidden="false" outlineLevel="0" max="7" min="7" style="0" width="10"/>
    <col collapsed="false" customWidth="true" hidden="false" outlineLevel="0" max="8" min="8" style="0" width="13"/>
    <col collapsed="false" customWidth="true" hidden="false" outlineLevel="0" max="10" min="9" style="0" width="20"/>
    <col collapsed="false" customWidth="true" hidden="false" outlineLevel="0" max="11" min="11" style="0" width="12"/>
    <col collapsed="false" customWidth="true" hidden="false" outlineLevel="0" max="12" min="12" style="0" width="22"/>
    <col collapsed="false" customWidth="true" hidden="false" outlineLevel="0" max="13" min="13" style="0" width="10"/>
    <col collapsed="false" customWidth="true" hidden="false" outlineLevel="0" max="14" min="14" style="0" width="13"/>
    <col collapsed="false" customWidth="true" hidden="false" outlineLevel="0" max="15" min="15" style="0" width="12"/>
    <col collapsed="false" customWidth="true" hidden="false" outlineLevel="0" max="16" min="16" style="0" width="20"/>
    <col collapsed="false" customWidth="true" hidden="false" outlineLevel="0" max="17" min="17" style="0" width="2"/>
  </cols>
  <sheetData>
    <row r="1" customFormat="false" ht="31.5" hidden="false" customHeight="true" outlineLevel="0" collapsed="false">
      <c r="B1" s="1" t="s">
        <v>72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9.5" hidden="false" customHeight="true" outlineLevel="0" collapsed="false">
      <c r="B2" s="2" t="s">
        <v>73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21.75" hidden="false" customHeight="true" outlineLevel="0" collapsed="false">
      <c r="B4" s="4" t="s">
        <v>74</v>
      </c>
      <c r="C4" s="4"/>
      <c r="D4" s="5"/>
    </row>
    <row r="5" customFormat="false" ht="21.75" hidden="false" customHeight="true" outlineLevel="0" collapsed="false">
      <c r="B5" s="4" t="s">
        <v>63</v>
      </c>
      <c r="C5" s="4"/>
      <c r="D5" s="8"/>
      <c r="E5" s="9" t="s">
        <v>75</v>
      </c>
      <c r="F5" s="9"/>
      <c r="G5" s="9"/>
      <c r="H5" s="9"/>
    </row>
    <row r="6" customFormat="false" ht="21.75" hidden="false" customHeight="true" outlineLevel="0" collapsed="false">
      <c r="B6" s="4" t="s">
        <v>76</v>
      </c>
      <c r="C6" s="4"/>
      <c r="D6" s="5" t="n">
        <v>24</v>
      </c>
      <c r="E6" s="9" t="s">
        <v>77</v>
      </c>
      <c r="F6" s="9"/>
      <c r="G6" s="9"/>
      <c r="H6" s="9"/>
    </row>
    <row r="7" customFormat="false" ht="33" hidden="false" customHeight="true" outlineLevel="0" collapsed="false">
      <c r="B7" s="10" t="s">
        <v>78</v>
      </c>
      <c r="C7" s="10" t="s">
        <v>79</v>
      </c>
      <c r="D7" s="10" t="s">
        <v>80</v>
      </c>
      <c r="E7" s="10" t="s">
        <v>81</v>
      </c>
      <c r="F7" s="10" t="s">
        <v>82</v>
      </c>
      <c r="G7" s="10" t="s">
        <v>83</v>
      </c>
      <c r="H7" s="10" t="s">
        <v>84</v>
      </c>
      <c r="I7" s="10" t="s">
        <v>85</v>
      </c>
      <c r="J7" s="10" t="s">
        <v>86</v>
      </c>
      <c r="K7" s="10" t="s">
        <v>87</v>
      </c>
      <c r="L7" s="10" t="s">
        <v>88</v>
      </c>
      <c r="M7" s="10" t="s">
        <v>89</v>
      </c>
      <c r="N7" s="10" t="s">
        <v>61</v>
      </c>
      <c r="O7" s="10" t="s">
        <v>90</v>
      </c>
      <c r="P7" s="10" t="s">
        <v>91</v>
      </c>
    </row>
    <row r="8" customFormat="false" ht="30" hidden="false" customHeight="true" outlineLevel="0" collapsed="false">
      <c r="B8" s="11"/>
      <c r="C8" s="11" t="s">
        <v>92</v>
      </c>
      <c r="D8" s="11" t="s">
        <v>93</v>
      </c>
      <c r="E8" s="11" t="s">
        <v>94</v>
      </c>
      <c r="F8" s="11" t="s">
        <v>95</v>
      </c>
      <c r="G8" s="11" t="s">
        <v>96</v>
      </c>
      <c r="H8" s="11" t="s">
        <v>97</v>
      </c>
      <c r="I8" s="11" t="s">
        <v>98</v>
      </c>
      <c r="J8" s="11" t="s">
        <v>98</v>
      </c>
      <c r="K8" s="11" t="s">
        <v>99</v>
      </c>
      <c r="L8" s="11" t="s">
        <v>100</v>
      </c>
      <c r="M8" s="11" t="s">
        <v>101</v>
      </c>
      <c r="N8" s="11" t="s">
        <v>102</v>
      </c>
      <c r="O8" s="11" t="s">
        <v>99</v>
      </c>
      <c r="P8" s="11" t="s">
        <v>102</v>
      </c>
    </row>
    <row r="9" customFormat="false" ht="24" hidden="false" customHeight="true" outlineLevel="0" collapsed="false">
      <c r="B9" s="12" t="n">
        <v>1</v>
      </c>
      <c r="C9" s="13"/>
      <c r="D9" s="5"/>
      <c r="E9" s="14"/>
      <c r="F9" s="5"/>
      <c r="G9" s="15"/>
      <c r="H9" s="16"/>
      <c r="I9" s="5"/>
      <c r="J9" s="5"/>
      <c r="K9" s="14"/>
      <c r="L9" s="5"/>
      <c r="M9" s="14"/>
      <c r="N9" s="17" t="str">
        <f aca="false">IF(OR(H9="",D9=""),"",EDATE(H9,IF(M9="",$D$6,M9)))</f>
        <v/>
      </c>
      <c r="O9" s="14"/>
      <c r="P9" s="18" t="str">
        <f aca="true">IF(D9="","",IF(C9="","Falta o código",IF(O9="Obsoleto","Obsoleto",IF(OR(G9="",H9=""),"Falta a revisão",IF(J9="","Falta a aprovação",IF(O9="Em revisão","Em revisão",IF(N9&lt;IF($D$5="",TODAY(),$D$5),"Revisão vencida","Vigente")))))))</f>
        <v/>
      </c>
    </row>
    <row r="10" customFormat="false" ht="24" hidden="false" customHeight="true" outlineLevel="0" collapsed="false">
      <c r="B10" s="12" t="n">
        <v>2</v>
      </c>
      <c r="C10" s="13"/>
      <c r="D10" s="5"/>
      <c r="E10" s="14"/>
      <c r="F10" s="5"/>
      <c r="G10" s="15"/>
      <c r="H10" s="16"/>
      <c r="I10" s="5"/>
      <c r="J10" s="5"/>
      <c r="K10" s="14"/>
      <c r="L10" s="5"/>
      <c r="M10" s="14"/>
      <c r="N10" s="17" t="str">
        <f aca="false">IF(OR(H10="",D10=""),"",EDATE(H10,IF(M10="",$D$6,M10)))</f>
        <v/>
      </c>
      <c r="O10" s="14"/>
      <c r="P10" s="18" t="str">
        <f aca="true">IF(D10="","",IF(C10="","Falta o código",IF(O10="Obsoleto","Obsoleto",IF(OR(G10="",H10=""),"Falta a revisão",IF(J10="","Falta a aprovação",IF(O10="Em revisão","Em revisão",IF(N10&lt;IF($D$5="",TODAY(),$D$5),"Revisão vencida","Vigente")))))))</f>
        <v/>
      </c>
    </row>
    <row r="11" customFormat="false" ht="24" hidden="false" customHeight="true" outlineLevel="0" collapsed="false">
      <c r="B11" s="12" t="n">
        <v>3</v>
      </c>
      <c r="C11" s="13"/>
      <c r="D11" s="5"/>
      <c r="E11" s="14"/>
      <c r="F11" s="5"/>
      <c r="G11" s="15"/>
      <c r="H11" s="16"/>
      <c r="I11" s="5"/>
      <c r="J11" s="5"/>
      <c r="K11" s="14"/>
      <c r="L11" s="5"/>
      <c r="M11" s="14"/>
      <c r="N11" s="17" t="str">
        <f aca="false">IF(OR(H11="",D11=""),"",EDATE(H11,IF(M11="",$D$6,M11)))</f>
        <v/>
      </c>
      <c r="O11" s="14"/>
      <c r="P11" s="18" t="str">
        <f aca="true">IF(D11="","",IF(C11="","Falta o código",IF(O11="Obsoleto","Obsoleto",IF(OR(G11="",H11=""),"Falta a revisão",IF(J11="","Falta a aprovação",IF(O11="Em revisão","Em revisão",IF(N11&lt;IF($D$5="",TODAY(),$D$5),"Revisão vencida","Vigente")))))))</f>
        <v/>
      </c>
    </row>
    <row r="12" customFormat="false" ht="24" hidden="false" customHeight="true" outlineLevel="0" collapsed="false">
      <c r="B12" s="12" t="n">
        <v>4</v>
      </c>
      <c r="C12" s="13"/>
      <c r="D12" s="5"/>
      <c r="E12" s="14"/>
      <c r="F12" s="5"/>
      <c r="G12" s="15"/>
      <c r="H12" s="16"/>
      <c r="I12" s="5"/>
      <c r="J12" s="5"/>
      <c r="K12" s="14"/>
      <c r="L12" s="5"/>
      <c r="M12" s="14"/>
      <c r="N12" s="17" t="str">
        <f aca="false">IF(OR(H12="",D12=""),"",EDATE(H12,IF(M12="",$D$6,M12)))</f>
        <v/>
      </c>
      <c r="O12" s="14"/>
      <c r="P12" s="18" t="str">
        <f aca="true">IF(D12="","",IF(C12="","Falta o código",IF(O12="Obsoleto","Obsoleto",IF(OR(G12="",H12=""),"Falta a revisão",IF(J12="","Falta a aprovação",IF(O12="Em revisão","Em revisão",IF(N12&lt;IF($D$5="",TODAY(),$D$5),"Revisão vencida","Vigente")))))))</f>
        <v/>
      </c>
    </row>
    <row r="13" customFormat="false" ht="24" hidden="false" customHeight="true" outlineLevel="0" collapsed="false">
      <c r="B13" s="12" t="n">
        <v>5</v>
      </c>
      <c r="C13" s="13"/>
      <c r="D13" s="5"/>
      <c r="E13" s="14"/>
      <c r="F13" s="5"/>
      <c r="G13" s="15"/>
      <c r="H13" s="16"/>
      <c r="I13" s="5"/>
      <c r="J13" s="5"/>
      <c r="K13" s="14"/>
      <c r="L13" s="5"/>
      <c r="M13" s="14"/>
      <c r="N13" s="17" t="str">
        <f aca="false">IF(OR(H13="",D13=""),"",EDATE(H13,IF(M13="",$D$6,M13)))</f>
        <v/>
      </c>
      <c r="O13" s="14"/>
      <c r="P13" s="18" t="str">
        <f aca="true">IF(D13="","",IF(C13="","Falta o código",IF(O13="Obsoleto","Obsoleto",IF(OR(G13="",H13=""),"Falta a revisão",IF(J13="","Falta a aprovação",IF(O13="Em revisão","Em revisão",IF(N13&lt;IF($D$5="",TODAY(),$D$5),"Revisão vencida","Vigente")))))))</f>
        <v/>
      </c>
    </row>
    <row r="14" customFormat="false" ht="24" hidden="false" customHeight="true" outlineLevel="0" collapsed="false">
      <c r="B14" s="12" t="n">
        <v>6</v>
      </c>
      <c r="C14" s="13"/>
      <c r="D14" s="5"/>
      <c r="E14" s="14"/>
      <c r="F14" s="5"/>
      <c r="G14" s="15"/>
      <c r="H14" s="16"/>
      <c r="I14" s="5"/>
      <c r="J14" s="5"/>
      <c r="K14" s="14"/>
      <c r="L14" s="5"/>
      <c r="M14" s="14"/>
      <c r="N14" s="17" t="str">
        <f aca="false">IF(OR(H14="",D14=""),"",EDATE(H14,IF(M14="",$D$6,M14)))</f>
        <v/>
      </c>
      <c r="O14" s="14"/>
      <c r="P14" s="18" t="str">
        <f aca="true">IF(D14="","",IF(C14="","Falta o código",IF(O14="Obsoleto","Obsoleto",IF(OR(G14="",H14=""),"Falta a revisão",IF(J14="","Falta a aprovação",IF(O14="Em revisão","Em revisão",IF(N14&lt;IF($D$5="",TODAY(),$D$5),"Revisão vencida","Vigente")))))))</f>
        <v/>
      </c>
    </row>
    <row r="15" customFormat="false" ht="24" hidden="false" customHeight="true" outlineLevel="0" collapsed="false">
      <c r="B15" s="12" t="n">
        <v>7</v>
      </c>
      <c r="C15" s="13"/>
      <c r="D15" s="5"/>
      <c r="E15" s="14"/>
      <c r="F15" s="5"/>
      <c r="G15" s="15"/>
      <c r="H15" s="16"/>
      <c r="I15" s="5"/>
      <c r="J15" s="5"/>
      <c r="K15" s="14"/>
      <c r="L15" s="5"/>
      <c r="M15" s="14"/>
      <c r="N15" s="17" t="str">
        <f aca="false">IF(OR(H15="",D15=""),"",EDATE(H15,IF(M15="",$D$6,M15)))</f>
        <v/>
      </c>
      <c r="O15" s="14"/>
      <c r="P15" s="18" t="str">
        <f aca="true">IF(D15="","",IF(C15="","Falta o código",IF(O15="Obsoleto","Obsoleto",IF(OR(G15="",H15=""),"Falta a revisão",IF(J15="","Falta a aprovação",IF(O15="Em revisão","Em revisão",IF(N15&lt;IF($D$5="",TODAY(),$D$5),"Revisão vencida","Vigente")))))))</f>
        <v/>
      </c>
    </row>
    <row r="16" customFormat="false" ht="24" hidden="false" customHeight="true" outlineLevel="0" collapsed="false">
      <c r="B16" s="12" t="n">
        <v>8</v>
      </c>
      <c r="C16" s="13"/>
      <c r="D16" s="5"/>
      <c r="E16" s="14"/>
      <c r="F16" s="5"/>
      <c r="G16" s="15"/>
      <c r="H16" s="16"/>
      <c r="I16" s="5"/>
      <c r="J16" s="5"/>
      <c r="K16" s="14"/>
      <c r="L16" s="5"/>
      <c r="M16" s="14"/>
      <c r="N16" s="17" t="str">
        <f aca="false">IF(OR(H16="",D16=""),"",EDATE(H16,IF(M16="",$D$6,M16)))</f>
        <v/>
      </c>
      <c r="O16" s="14"/>
      <c r="P16" s="18" t="str">
        <f aca="true">IF(D16="","",IF(C16="","Falta o código",IF(O16="Obsoleto","Obsoleto",IF(OR(G16="",H16=""),"Falta a revisão",IF(J16="","Falta a aprovação",IF(O16="Em revisão","Em revisão",IF(N16&lt;IF($D$5="",TODAY(),$D$5),"Revisão vencida","Vigente")))))))</f>
        <v/>
      </c>
    </row>
    <row r="17" customFormat="false" ht="24" hidden="false" customHeight="true" outlineLevel="0" collapsed="false">
      <c r="B17" s="12" t="n">
        <v>9</v>
      </c>
      <c r="C17" s="13"/>
      <c r="D17" s="5"/>
      <c r="E17" s="14"/>
      <c r="F17" s="5"/>
      <c r="G17" s="15"/>
      <c r="H17" s="16"/>
      <c r="I17" s="5"/>
      <c r="J17" s="5"/>
      <c r="K17" s="14"/>
      <c r="L17" s="5"/>
      <c r="M17" s="14"/>
      <c r="N17" s="17" t="str">
        <f aca="false">IF(OR(H17="",D17=""),"",EDATE(H17,IF(M17="",$D$6,M17)))</f>
        <v/>
      </c>
      <c r="O17" s="14"/>
      <c r="P17" s="18" t="str">
        <f aca="true">IF(D17="","",IF(C17="","Falta o código",IF(O17="Obsoleto","Obsoleto",IF(OR(G17="",H17=""),"Falta a revisão",IF(J17="","Falta a aprovação",IF(O17="Em revisão","Em revisão",IF(N17&lt;IF($D$5="",TODAY(),$D$5),"Revisão vencida","Vigente")))))))</f>
        <v/>
      </c>
    </row>
    <row r="18" customFormat="false" ht="24" hidden="false" customHeight="true" outlineLevel="0" collapsed="false">
      <c r="B18" s="12" t="n">
        <v>10</v>
      </c>
      <c r="C18" s="13"/>
      <c r="D18" s="5"/>
      <c r="E18" s="14"/>
      <c r="F18" s="5"/>
      <c r="G18" s="15"/>
      <c r="H18" s="16"/>
      <c r="I18" s="5"/>
      <c r="J18" s="5"/>
      <c r="K18" s="14"/>
      <c r="L18" s="5"/>
      <c r="M18" s="14"/>
      <c r="N18" s="17" t="str">
        <f aca="false">IF(OR(H18="",D18=""),"",EDATE(H18,IF(M18="",$D$6,M18)))</f>
        <v/>
      </c>
      <c r="O18" s="14"/>
      <c r="P18" s="18" t="str">
        <f aca="true">IF(D18="","",IF(C18="","Falta o código",IF(O18="Obsoleto","Obsoleto",IF(OR(G18="",H18=""),"Falta a revisão",IF(J18="","Falta a aprovação",IF(O18="Em revisão","Em revisão",IF(N18&lt;IF($D$5="",TODAY(),$D$5),"Revisão vencida","Vigente")))))))</f>
        <v/>
      </c>
    </row>
    <row r="19" customFormat="false" ht="24" hidden="false" customHeight="true" outlineLevel="0" collapsed="false">
      <c r="B19" s="12" t="n">
        <v>11</v>
      </c>
      <c r="C19" s="13"/>
      <c r="D19" s="5"/>
      <c r="E19" s="14"/>
      <c r="F19" s="5"/>
      <c r="G19" s="15"/>
      <c r="H19" s="16"/>
      <c r="I19" s="5"/>
      <c r="J19" s="5"/>
      <c r="K19" s="14"/>
      <c r="L19" s="5"/>
      <c r="M19" s="14"/>
      <c r="N19" s="17" t="str">
        <f aca="false">IF(OR(H19="",D19=""),"",EDATE(H19,IF(M19="",$D$6,M19)))</f>
        <v/>
      </c>
      <c r="O19" s="14"/>
      <c r="P19" s="18" t="str">
        <f aca="true">IF(D19="","",IF(C19="","Falta o código",IF(O19="Obsoleto","Obsoleto",IF(OR(G19="",H19=""),"Falta a revisão",IF(J19="","Falta a aprovação",IF(O19="Em revisão","Em revisão",IF(N19&lt;IF($D$5="",TODAY(),$D$5),"Revisão vencida","Vigente")))))))</f>
        <v/>
      </c>
    </row>
    <row r="20" customFormat="false" ht="24" hidden="false" customHeight="true" outlineLevel="0" collapsed="false">
      <c r="B20" s="12" t="n">
        <v>12</v>
      </c>
      <c r="C20" s="13"/>
      <c r="D20" s="5"/>
      <c r="E20" s="14"/>
      <c r="F20" s="5"/>
      <c r="G20" s="15"/>
      <c r="H20" s="16"/>
      <c r="I20" s="5"/>
      <c r="J20" s="5"/>
      <c r="K20" s="14"/>
      <c r="L20" s="5"/>
      <c r="M20" s="14"/>
      <c r="N20" s="17" t="str">
        <f aca="false">IF(OR(H20="",D20=""),"",EDATE(H20,IF(M20="",$D$6,M20)))</f>
        <v/>
      </c>
      <c r="O20" s="14"/>
      <c r="P20" s="18" t="str">
        <f aca="true">IF(D20="","",IF(C20="","Falta o código",IF(O20="Obsoleto","Obsoleto",IF(OR(G20="",H20=""),"Falta a revisão",IF(J20="","Falta a aprovação",IF(O20="Em revisão","Em revisão",IF(N20&lt;IF($D$5="",TODAY(),$D$5),"Revisão vencida","Vigente")))))))</f>
        <v/>
      </c>
    </row>
    <row r="21" customFormat="false" ht="24" hidden="false" customHeight="true" outlineLevel="0" collapsed="false">
      <c r="B21" s="12" t="n">
        <v>13</v>
      </c>
      <c r="C21" s="13"/>
      <c r="D21" s="5"/>
      <c r="E21" s="14"/>
      <c r="F21" s="5"/>
      <c r="G21" s="15"/>
      <c r="H21" s="16"/>
      <c r="I21" s="5"/>
      <c r="J21" s="5"/>
      <c r="K21" s="14"/>
      <c r="L21" s="5"/>
      <c r="M21" s="14"/>
      <c r="N21" s="17" t="str">
        <f aca="false">IF(OR(H21="",D21=""),"",EDATE(H21,IF(M21="",$D$6,M21)))</f>
        <v/>
      </c>
      <c r="O21" s="14"/>
      <c r="P21" s="18" t="str">
        <f aca="true">IF(D21="","",IF(C21="","Falta o código",IF(O21="Obsoleto","Obsoleto",IF(OR(G21="",H21=""),"Falta a revisão",IF(J21="","Falta a aprovação",IF(O21="Em revisão","Em revisão",IF(N21&lt;IF($D$5="",TODAY(),$D$5),"Revisão vencida","Vigente")))))))</f>
        <v/>
      </c>
    </row>
    <row r="22" customFormat="false" ht="24" hidden="false" customHeight="true" outlineLevel="0" collapsed="false">
      <c r="B22" s="12" t="n">
        <v>14</v>
      </c>
      <c r="C22" s="13"/>
      <c r="D22" s="5"/>
      <c r="E22" s="14"/>
      <c r="F22" s="5"/>
      <c r="G22" s="15"/>
      <c r="H22" s="16"/>
      <c r="I22" s="5"/>
      <c r="J22" s="5"/>
      <c r="K22" s="14"/>
      <c r="L22" s="5"/>
      <c r="M22" s="14"/>
      <c r="N22" s="17" t="str">
        <f aca="false">IF(OR(H22="",D22=""),"",EDATE(H22,IF(M22="",$D$6,M22)))</f>
        <v/>
      </c>
      <c r="O22" s="14"/>
      <c r="P22" s="18" t="str">
        <f aca="true">IF(D22="","",IF(C22="","Falta o código",IF(O22="Obsoleto","Obsoleto",IF(OR(G22="",H22=""),"Falta a revisão",IF(J22="","Falta a aprovação",IF(O22="Em revisão","Em revisão",IF(N22&lt;IF($D$5="",TODAY(),$D$5),"Revisão vencida","Vigente")))))))</f>
        <v/>
      </c>
    </row>
    <row r="23" customFormat="false" ht="24" hidden="false" customHeight="true" outlineLevel="0" collapsed="false">
      <c r="B23" s="12" t="n">
        <v>15</v>
      </c>
      <c r="C23" s="13"/>
      <c r="D23" s="5"/>
      <c r="E23" s="14"/>
      <c r="F23" s="5"/>
      <c r="G23" s="15"/>
      <c r="H23" s="16"/>
      <c r="I23" s="5"/>
      <c r="J23" s="5"/>
      <c r="K23" s="14"/>
      <c r="L23" s="5"/>
      <c r="M23" s="14"/>
      <c r="N23" s="17" t="str">
        <f aca="false">IF(OR(H23="",D23=""),"",EDATE(H23,IF(M23="",$D$6,M23)))</f>
        <v/>
      </c>
      <c r="O23" s="14"/>
      <c r="P23" s="18" t="str">
        <f aca="true">IF(D23="","",IF(C23="","Falta o código",IF(O23="Obsoleto","Obsoleto",IF(OR(G23="",H23=""),"Falta a revisão",IF(J23="","Falta a aprovação",IF(O23="Em revisão","Em revisão",IF(N23&lt;IF($D$5="",TODAY(),$D$5),"Revisão vencida","Vigente")))))))</f>
        <v/>
      </c>
    </row>
    <row r="24" customFormat="false" ht="24" hidden="false" customHeight="true" outlineLevel="0" collapsed="false">
      <c r="B24" s="12" t="n">
        <v>16</v>
      </c>
      <c r="C24" s="13"/>
      <c r="D24" s="5"/>
      <c r="E24" s="14"/>
      <c r="F24" s="5"/>
      <c r="G24" s="15"/>
      <c r="H24" s="16"/>
      <c r="I24" s="5"/>
      <c r="J24" s="5"/>
      <c r="K24" s="14"/>
      <c r="L24" s="5"/>
      <c r="M24" s="14"/>
      <c r="N24" s="17" t="str">
        <f aca="false">IF(OR(H24="",D24=""),"",EDATE(H24,IF(M24="",$D$6,M24)))</f>
        <v/>
      </c>
      <c r="O24" s="14"/>
      <c r="P24" s="18" t="str">
        <f aca="true">IF(D24="","",IF(C24="","Falta o código",IF(O24="Obsoleto","Obsoleto",IF(OR(G24="",H24=""),"Falta a revisão",IF(J24="","Falta a aprovação",IF(O24="Em revisão","Em revisão",IF(N24&lt;IF($D$5="",TODAY(),$D$5),"Revisão vencida","Vigente")))))))</f>
        <v/>
      </c>
    </row>
    <row r="25" customFormat="false" ht="24" hidden="false" customHeight="true" outlineLevel="0" collapsed="false">
      <c r="B25" s="12" t="n">
        <v>17</v>
      </c>
      <c r="C25" s="13"/>
      <c r="D25" s="5"/>
      <c r="E25" s="14"/>
      <c r="F25" s="5"/>
      <c r="G25" s="15"/>
      <c r="H25" s="16"/>
      <c r="I25" s="5"/>
      <c r="J25" s="5"/>
      <c r="K25" s="14"/>
      <c r="L25" s="5"/>
      <c r="M25" s="14"/>
      <c r="N25" s="17" t="str">
        <f aca="false">IF(OR(H25="",D25=""),"",EDATE(H25,IF(M25="",$D$6,M25)))</f>
        <v/>
      </c>
      <c r="O25" s="14"/>
      <c r="P25" s="18" t="str">
        <f aca="true">IF(D25="","",IF(C25="","Falta o código",IF(O25="Obsoleto","Obsoleto",IF(OR(G25="",H25=""),"Falta a revisão",IF(J25="","Falta a aprovação",IF(O25="Em revisão","Em revisão",IF(N25&lt;IF($D$5="",TODAY(),$D$5),"Revisão vencida","Vigente")))))))</f>
        <v/>
      </c>
    </row>
    <row r="26" customFormat="false" ht="24" hidden="false" customHeight="true" outlineLevel="0" collapsed="false">
      <c r="B26" s="12" t="n">
        <v>18</v>
      </c>
      <c r="C26" s="13"/>
      <c r="D26" s="5"/>
      <c r="E26" s="14"/>
      <c r="F26" s="5"/>
      <c r="G26" s="15"/>
      <c r="H26" s="16"/>
      <c r="I26" s="5"/>
      <c r="J26" s="5"/>
      <c r="K26" s="14"/>
      <c r="L26" s="5"/>
      <c r="M26" s="14"/>
      <c r="N26" s="17" t="str">
        <f aca="false">IF(OR(H26="",D26=""),"",EDATE(H26,IF(M26="",$D$6,M26)))</f>
        <v/>
      </c>
      <c r="O26" s="14"/>
      <c r="P26" s="18" t="str">
        <f aca="true">IF(D26="","",IF(C26="","Falta o código",IF(O26="Obsoleto","Obsoleto",IF(OR(G26="",H26=""),"Falta a revisão",IF(J26="","Falta a aprovação",IF(O26="Em revisão","Em revisão",IF(N26&lt;IF($D$5="",TODAY(),$D$5),"Revisão vencida","Vigente")))))))</f>
        <v/>
      </c>
    </row>
    <row r="27" customFormat="false" ht="24" hidden="false" customHeight="true" outlineLevel="0" collapsed="false">
      <c r="B27" s="12" t="n">
        <v>19</v>
      </c>
      <c r="C27" s="13"/>
      <c r="D27" s="5"/>
      <c r="E27" s="14"/>
      <c r="F27" s="5"/>
      <c r="G27" s="15"/>
      <c r="H27" s="16"/>
      <c r="I27" s="5"/>
      <c r="J27" s="5"/>
      <c r="K27" s="14"/>
      <c r="L27" s="5"/>
      <c r="M27" s="14"/>
      <c r="N27" s="17" t="str">
        <f aca="false">IF(OR(H27="",D27=""),"",EDATE(H27,IF(M27="",$D$6,M27)))</f>
        <v/>
      </c>
      <c r="O27" s="14"/>
      <c r="P27" s="18" t="str">
        <f aca="true">IF(D27="","",IF(C27="","Falta o código",IF(O27="Obsoleto","Obsoleto",IF(OR(G27="",H27=""),"Falta a revisão",IF(J27="","Falta a aprovação",IF(O27="Em revisão","Em revisão",IF(N27&lt;IF($D$5="",TODAY(),$D$5),"Revisão vencida","Vigente")))))))</f>
        <v/>
      </c>
    </row>
    <row r="28" customFormat="false" ht="24" hidden="false" customHeight="true" outlineLevel="0" collapsed="false">
      <c r="B28" s="12" t="n">
        <v>20</v>
      </c>
      <c r="C28" s="13"/>
      <c r="D28" s="5"/>
      <c r="E28" s="14"/>
      <c r="F28" s="5"/>
      <c r="G28" s="15"/>
      <c r="H28" s="16"/>
      <c r="I28" s="5"/>
      <c r="J28" s="5"/>
      <c r="K28" s="14"/>
      <c r="L28" s="5"/>
      <c r="M28" s="14"/>
      <c r="N28" s="17" t="str">
        <f aca="false">IF(OR(H28="",D28=""),"",EDATE(H28,IF(M28="",$D$6,M28)))</f>
        <v/>
      </c>
      <c r="O28" s="14"/>
      <c r="P28" s="18" t="str">
        <f aca="true">IF(D28="","",IF(C28="","Falta o código",IF(O28="Obsoleto","Obsoleto",IF(OR(G28="",H28=""),"Falta a revisão",IF(J28="","Falta a aprovação",IF(O28="Em revisão","Em revisão",IF(N28&lt;IF($D$5="",TODAY(),$D$5),"Revisão vencida","Vigente")))))))</f>
        <v/>
      </c>
    </row>
    <row r="29" customFormat="false" ht="24" hidden="false" customHeight="true" outlineLevel="0" collapsed="false">
      <c r="B29" s="12" t="n">
        <v>21</v>
      </c>
      <c r="C29" s="13"/>
      <c r="D29" s="5"/>
      <c r="E29" s="14"/>
      <c r="F29" s="5"/>
      <c r="G29" s="15"/>
      <c r="H29" s="16"/>
      <c r="I29" s="5"/>
      <c r="J29" s="5"/>
      <c r="K29" s="14"/>
      <c r="L29" s="5"/>
      <c r="M29" s="14"/>
      <c r="N29" s="17" t="str">
        <f aca="false">IF(OR(H29="",D29=""),"",EDATE(H29,IF(M29="",$D$6,M29)))</f>
        <v/>
      </c>
      <c r="O29" s="14"/>
      <c r="P29" s="18" t="str">
        <f aca="true">IF(D29="","",IF(C29="","Falta o código",IF(O29="Obsoleto","Obsoleto",IF(OR(G29="",H29=""),"Falta a revisão",IF(J29="","Falta a aprovação",IF(O29="Em revisão","Em revisão",IF(N29&lt;IF($D$5="",TODAY(),$D$5),"Revisão vencida","Vigente")))))))</f>
        <v/>
      </c>
    </row>
    <row r="30" customFormat="false" ht="24" hidden="false" customHeight="true" outlineLevel="0" collapsed="false">
      <c r="B30" s="12" t="n">
        <v>22</v>
      </c>
      <c r="C30" s="13"/>
      <c r="D30" s="5"/>
      <c r="E30" s="14"/>
      <c r="F30" s="5"/>
      <c r="G30" s="15"/>
      <c r="H30" s="16"/>
      <c r="I30" s="5"/>
      <c r="J30" s="5"/>
      <c r="K30" s="14"/>
      <c r="L30" s="5"/>
      <c r="M30" s="14"/>
      <c r="N30" s="17" t="str">
        <f aca="false">IF(OR(H30="",D30=""),"",EDATE(H30,IF(M30="",$D$6,M30)))</f>
        <v/>
      </c>
      <c r="O30" s="14"/>
      <c r="P30" s="18" t="str">
        <f aca="true">IF(D30="","",IF(C30="","Falta o código",IF(O30="Obsoleto","Obsoleto",IF(OR(G30="",H30=""),"Falta a revisão",IF(J30="","Falta a aprovação",IF(O30="Em revisão","Em revisão",IF(N30&lt;IF($D$5="",TODAY(),$D$5),"Revisão vencida","Vigente")))))))</f>
        <v/>
      </c>
    </row>
    <row r="31" customFormat="false" ht="24" hidden="false" customHeight="true" outlineLevel="0" collapsed="false">
      <c r="B31" s="12" t="n">
        <v>23</v>
      </c>
      <c r="C31" s="13"/>
      <c r="D31" s="5"/>
      <c r="E31" s="14"/>
      <c r="F31" s="5"/>
      <c r="G31" s="15"/>
      <c r="H31" s="16"/>
      <c r="I31" s="5"/>
      <c r="J31" s="5"/>
      <c r="K31" s="14"/>
      <c r="L31" s="5"/>
      <c r="M31" s="14"/>
      <c r="N31" s="17" t="str">
        <f aca="false">IF(OR(H31="",D31=""),"",EDATE(H31,IF(M31="",$D$6,M31)))</f>
        <v/>
      </c>
      <c r="O31" s="14"/>
      <c r="P31" s="18" t="str">
        <f aca="true">IF(D31="","",IF(C31="","Falta o código",IF(O31="Obsoleto","Obsoleto",IF(OR(G31="",H31=""),"Falta a revisão",IF(J31="","Falta a aprovação",IF(O31="Em revisão","Em revisão",IF(N31&lt;IF($D$5="",TODAY(),$D$5),"Revisão vencida","Vigente")))))))</f>
        <v/>
      </c>
    </row>
    <row r="32" customFormat="false" ht="24" hidden="false" customHeight="true" outlineLevel="0" collapsed="false">
      <c r="B32" s="12" t="n">
        <v>24</v>
      </c>
      <c r="C32" s="13"/>
      <c r="D32" s="5"/>
      <c r="E32" s="14"/>
      <c r="F32" s="5"/>
      <c r="G32" s="15"/>
      <c r="H32" s="16"/>
      <c r="I32" s="5"/>
      <c r="J32" s="5"/>
      <c r="K32" s="14"/>
      <c r="L32" s="5"/>
      <c r="M32" s="14"/>
      <c r="N32" s="17" t="str">
        <f aca="false">IF(OR(H32="",D32=""),"",EDATE(H32,IF(M32="",$D$6,M32)))</f>
        <v/>
      </c>
      <c r="O32" s="14"/>
      <c r="P32" s="18" t="str">
        <f aca="true">IF(D32="","",IF(C32="","Falta o código",IF(O32="Obsoleto","Obsoleto",IF(OR(G32="",H32=""),"Falta a revisão",IF(J32="","Falta a aprovação",IF(O32="Em revisão","Em revisão",IF(N32&lt;IF($D$5="",TODAY(),$D$5),"Revisão vencida","Vigente")))))))</f>
        <v/>
      </c>
    </row>
    <row r="33" customFormat="false" ht="24" hidden="false" customHeight="true" outlineLevel="0" collapsed="false">
      <c r="B33" s="12" t="n">
        <v>25</v>
      </c>
      <c r="C33" s="13"/>
      <c r="D33" s="5"/>
      <c r="E33" s="14"/>
      <c r="F33" s="5"/>
      <c r="G33" s="15"/>
      <c r="H33" s="16"/>
      <c r="I33" s="5"/>
      <c r="J33" s="5"/>
      <c r="K33" s="14"/>
      <c r="L33" s="5"/>
      <c r="M33" s="14"/>
      <c r="N33" s="17" t="str">
        <f aca="false">IF(OR(H33="",D33=""),"",EDATE(H33,IF(M33="",$D$6,M33)))</f>
        <v/>
      </c>
      <c r="O33" s="14"/>
      <c r="P33" s="18" t="str">
        <f aca="true">IF(D33="","",IF(C33="","Falta o código",IF(O33="Obsoleto","Obsoleto",IF(OR(G33="",H33=""),"Falta a revisão",IF(J33="","Falta a aprovação",IF(O33="Em revisão","Em revisão",IF(N33&lt;IF($D$5="",TODAY(),$D$5),"Revisão vencida","Vigente")))))))</f>
        <v/>
      </c>
    </row>
    <row r="34" customFormat="false" ht="24" hidden="false" customHeight="true" outlineLevel="0" collapsed="false">
      <c r="B34" s="12" t="n">
        <v>26</v>
      </c>
      <c r="C34" s="13"/>
      <c r="D34" s="5"/>
      <c r="E34" s="14"/>
      <c r="F34" s="5"/>
      <c r="G34" s="15"/>
      <c r="H34" s="16"/>
      <c r="I34" s="5"/>
      <c r="J34" s="5"/>
      <c r="K34" s="14"/>
      <c r="L34" s="5"/>
      <c r="M34" s="14"/>
      <c r="N34" s="17" t="str">
        <f aca="false">IF(OR(H34="",D34=""),"",EDATE(H34,IF(M34="",$D$6,M34)))</f>
        <v/>
      </c>
      <c r="O34" s="14"/>
      <c r="P34" s="18" t="str">
        <f aca="true">IF(D34="","",IF(C34="","Falta o código",IF(O34="Obsoleto","Obsoleto",IF(OR(G34="",H34=""),"Falta a revisão",IF(J34="","Falta a aprovação",IF(O34="Em revisão","Em revisão",IF(N34&lt;IF($D$5="",TODAY(),$D$5),"Revisão vencida","Vigente")))))))</f>
        <v/>
      </c>
    </row>
    <row r="35" customFormat="false" ht="24" hidden="false" customHeight="true" outlineLevel="0" collapsed="false">
      <c r="B35" s="12" t="n">
        <v>27</v>
      </c>
      <c r="C35" s="13"/>
      <c r="D35" s="5"/>
      <c r="E35" s="14"/>
      <c r="F35" s="5"/>
      <c r="G35" s="15"/>
      <c r="H35" s="16"/>
      <c r="I35" s="5"/>
      <c r="J35" s="5"/>
      <c r="K35" s="14"/>
      <c r="L35" s="5"/>
      <c r="M35" s="14"/>
      <c r="N35" s="17" t="str">
        <f aca="false">IF(OR(H35="",D35=""),"",EDATE(H35,IF(M35="",$D$6,M35)))</f>
        <v/>
      </c>
      <c r="O35" s="14"/>
      <c r="P35" s="18" t="str">
        <f aca="true">IF(D35="","",IF(C35="","Falta o código",IF(O35="Obsoleto","Obsoleto",IF(OR(G35="",H35=""),"Falta a revisão",IF(J35="","Falta a aprovação",IF(O35="Em revisão","Em revisão",IF(N35&lt;IF($D$5="",TODAY(),$D$5),"Revisão vencida","Vigente")))))))</f>
        <v/>
      </c>
    </row>
    <row r="36" customFormat="false" ht="24" hidden="false" customHeight="true" outlineLevel="0" collapsed="false">
      <c r="B36" s="12" t="n">
        <v>28</v>
      </c>
      <c r="C36" s="13"/>
      <c r="D36" s="5"/>
      <c r="E36" s="14"/>
      <c r="F36" s="5"/>
      <c r="G36" s="15"/>
      <c r="H36" s="16"/>
      <c r="I36" s="5"/>
      <c r="J36" s="5"/>
      <c r="K36" s="14"/>
      <c r="L36" s="5"/>
      <c r="M36" s="14"/>
      <c r="N36" s="17" t="str">
        <f aca="false">IF(OR(H36="",D36=""),"",EDATE(H36,IF(M36="",$D$6,M36)))</f>
        <v/>
      </c>
      <c r="O36" s="14"/>
      <c r="P36" s="18" t="str">
        <f aca="true">IF(D36="","",IF(C36="","Falta o código",IF(O36="Obsoleto","Obsoleto",IF(OR(G36="",H36=""),"Falta a revisão",IF(J36="","Falta a aprovação",IF(O36="Em revisão","Em revisão",IF(N36&lt;IF($D$5="",TODAY(),$D$5),"Revisão vencida","Vigente")))))))</f>
        <v/>
      </c>
    </row>
    <row r="37" customFormat="false" ht="24" hidden="false" customHeight="true" outlineLevel="0" collapsed="false">
      <c r="B37" s="12" t="n">
        <v>29</v>
      </c>
      <c r="C37" s="13"/>
      <c r="D37" s="5"/>
      <c r="E37" s="14"/>
      <c r="F37" s="5"/>
      <c r="G37" s="15"/>
      <c r="H37" s="16"/>
      <c r="I37" s="5"/>
      <c r="J37" s="5"/>
      <c r="K37" s="14"/>
      <c r="L37" s="5"/>
      <c r="M37" s="14"/>
      <c r="N37" s="17" t="str">
        <f aca="false">IF(OR(H37="",D37=""),"",EDATE(H37,IF(M37="",$D$6,M37)))</f>
        <v/>
      </c>
      <c r="O37" s="14"/>
      <c r="P37" s="18" t="str">
        <f aca="true">IF(D37="","",IF(C37="","Falta o código",IF(O37="Obsoleto","Obsoleto",IF(OR(G37="",H37=""),"Falta a revisão",IF(J37="","Falta a aprovação",IF(O37="Em revisão","Em revisão",IF(N37&lt;IF($D$5="",TODAY(),$D$5),"Revisão vencida","Vigente")))))))</f>
        <v/>
      </c>
    </row>
    <row r="38" customFormat="false" ht="24" hidden="false" customHeight="true" outlineLevel="0" collapsed="false">
      <c r="B38" s="12" t="n">
        <v>30</v>
      </c>
      <c r="C38" s="13"/>
      <c r="D38" s="5"/>
      <c r="E38" s="14"/>
      <c r="F38" s="5"/>
      <c r="G38" s="15"/>
      <c r="H38" s="16"/>
      <c r="I38" s="5"/>
      <c r="J38" s="5"/>
      <c r="K38" s="14"/>
      <c r="L38" s="5"/>
      <c r="M38" s="14"/>
      <c r="N38" s="17" t="str">
        <f aca="false">IF(OR(H38="",D38=""),"",EDATE(H38,IF(M38="",$D$6,M38)))</f>
        <v/>
      </c>
      <c r="O38" s="14"/>
      <c r="P38" s="18" t="str">
        <f aca="true">IF(D38="","",IF(C38="","Falta o código",IF(O38="Obsoleto","Obsoleto",IF(OR(G38="",H38=""),"Falta a revisão",IF(J38="","Falta a aprovação",IF(O38="Em revisão","Em revisão",IF(N38&lt;IF($D$5="",TODAY(),$D$5),"Revisão vencida","Vigente")))))))</f>
        <v/>
      </c>
    </row>
    <row r="40" customFormat="false" ht="21.75" hidden="false" customHeight="true" outlineLevel="0" collapsed="false">
      <c r="B40" s="19" t="s">
        <v>103</v>
      </c>
      <c r="C40" s="19"/>
      <c r="D40" s="19"/>
      <c r="E40" s="19"/>
      <c r="F40" s="19"/>
      <c r="H40" s="19" t="s">
        <v>104</v>
      </c>
      <c r="I40" s="19"/>
      <c r="J40" s="19"/>
      <c r="K40" s="19"/>
      <c r="L40" s="19"/>
    </row>
    <row r="41" customFormat="false" ht="21.75" hidden="false" customHeight="true" outlineLevel="0" collapsed="false">
      <c r="B41" s="20" t="s">
        <v>105</v>
      </c>
      <c r="C41" s="20"/>
      <c r="D41" s="20"/>
      <c r="E41" s="21" t="n">
        <f aca="false">COUNTA(D9:D38)</f>
        <v>0</v>
      </c>
      <c r="F41" s="21"/>
      <c r="H41" s="4" t="s">
        <v>106</v>
      </c>
      <c r="I41" s="4"/>
      <c r="J41" s="4"/>
      <c r="K41" s="4"/>
      <c r="L41" s="21" t="n">
        <f aca="false">COUNTIF(P9:P38,"Vigente")</f>
        <v>0</v>
      </c>
    </row>
    <row r="42" customFormat="false" ht="21.75" hidden="false" customHeight="true" outlineLevel="0" collapsed="false">
      <c r="B42" s="20" t="s">
        <v>107</v>
      </c>
      <c r="C42" s="20"/>
      <c r="D42" s="20"/>
      <c r="E42" s="21" t="n">
        <f aca="false">COUNTIF(P9:P38,"Vigente")+COUNTIF(P9:P38,"Em revisão")</f>
        <v>0</v>
      </c>
      <c r="F42" s="21"/>
      <c r="H42" s="4" t="s">
        <v>108</v>
      </c>
      <c r="I42" s="4"/>
      <c r="J42" s="4"/>
      <c r="K42" s="4"/>
      <c r="L42" s="21" t="n">
        <f aca="false">COUNTIF(P9:P38,"Em revisão")</f>
        <v>0</v>
      </c>
    </row>
    <row r="43" customFormat="false" ht="21.75" hidden="false" customHeight="true" outlineLevel="0" collapsed="false">
      <c r="B43" s="20" t="s">
        <v>109</v>
      </c>
      <c r="C43" s="20"/>
      <c r="D43" s="20"/>
      <c r="E43" s="22" t="str">
        <f aca="false">IF(E41-COUNTIF(P9:P38,"Obsoleto")=0,"",E42/(E41-COUNTIF(P9:P38,"Obsoleto")))</f>
        <v/>
      </c>
      <c r="F43" s="22"/>
      <c r="H43" s="4" t="s">
        <v>110</v>
      </c>
      <c r="I43" s="4"/>
      <c r="J43" s="4"/>
      <c r="K43" s="4"/>
      <c r="L43" s="21" t="n">
        <f aca="false">COUNTIF(P9:P38,"Revisão vencida")</f>
        <v>0</v>
      </c>
    </row>
    <row r="44" customFormat="false" ht="21.75" hidden="false" customHeight="true" outlineLevel="0" collapsed="false">
      <c r="B44" s="20" t="s">
        <v>111</v>
      </c>
      <c r="C44" s="20"/>
      <c r="D44" s="20"/>
      <c r="E44" s="21" t="n">
        <f aca="false">COUNTIF(P9:P38,"Revisão vencida")</f>
        <v>0</v>
      </c>
      <c r="F44" s="21"/>
      <c r="H44" s="4" t="s">
        <v>112</v>
      </c>
      <c r="I44" s="4"/>
      <c r="J44" s="4"/>
      <c r="K44" s="4"/>
      <c r="L44" s="21" t="n">
        <f aca="false">COUNTIF(P9:P38,"Falta o código")</f>
        <v>0</v>
      </c>
    </row>
    <row r="45" customFormat="false" ht="21.75" hidden="false" customHeight="true" outlineLevel="0" collapsed="false">
      <c r="B45" s="20" t="s">
        <v>113</v>
      </c>
      <c r="C45" s="20"/>
      <c r="D45" s="20"/>
      <c r="E45" s="21" t="n">
        <f aca="false">COUNTIF(P9:P38,"Falta*")</f>
        <v>0</v>
      </c>
      <c r="F45" s="21"/>
      <c r="H45" s="4" t="s">
        <v>114</v>
      </c>
      <c r="I45" s="4"/>
      <c r="J45" s="4"/>
      <c r="K45" s="4"/>
      <c r="L45" s="21" t="n">
        <f aca="false">COUNTIF(P9:P38,"Falta a revisão")</f>
        <v>0</v>
      </c>
    </row>
    <row r="46" customFormat="false" ht="21.75" hidden="false" customHeight="true" outlineLevel="0" collapsed="false">
      <c r="B46" s="20" t="s">
        <v>115</v>
      </c>
      <c r="C46" s="20"/>
      <c r="D46" s="20"/>
      <c r="E46" s="23" t="str">
        <f aca="false">IF(E41=0,"Cadastre os documentos",IF(E45&gt;0,"Há documento sem controle: veja a coluna Situação",IF(E44&gt;0,"Há documento com a revisão vencida","OK")))</f>
        <v>Cadastre os documentos</v>
      </c>
      <c r="F46" s="23"/>
      <c r="H46" s="4" t="s">
        <v>116</v>
      </c>
      <c r="I46" s="4"/>
      <c r="J46" s="4"/>
      <c r="K46" s="4"/>
      <c r="L46" s="21" t="n">
        <f aca="false">COUNTIF(P9:P38,"Falta a aprovação")</f>
        <v>0</v>
      </c>
    </row>
    <row r="47" customFormat="false" ht="21.75" hidden="false" customHeight="true" outlineLevel="0" collapsed="false">
      <c r="H47" s="4" t="s">
        <v>117</v>
      </c>
      <c r="I47" s="4"/>
      <c r="J47" s="4"/>
      <c r="K47" s="4"/>
      <c r="L47" s="21" t="n">
        <f aca="false">COUNTIF(P9:P38,"Obsoleto")</f>
        <v>0</v>
      </c>
    </row>
  </sheetData>
  <mergeCells count="28">
    <mergeCell ref="B1:P1"/>
    <mergeCell ref="B2:P2"/>
    <mergeCell ref="B4:C4"/>
    <mergeCell ref="B5:C5"/>
    <mergeCell ref="E5:H5"/>
    <mergeCell ref="B6:C6"/>
    <mergeCell ref="E6:H6"/>
    <mergeCell ref="B40:F40"/>
    <mergeCell ref="H40:L40"/>
    <mergeCell ref="B41:D41"/>
    <mergeCell ref="E41:F41"/>
    <mergeCell ref="H41:K41"/>
    <mergeCell ref="B42:D42"/>
    <mergeCell ref="E42:F42"/>
    <mergeCell ref="H42:K42"/>
    <mergeCell ref="B43:D43"/>
    <mergeCell ref="E43:F43"/>
    <mergeCell ref="H43:K43"/>
    <mergeCell ref="B44:D44"/>
    <mergeCell ref="E44:F44"/>
    <mergeCell ref="H44:K44"/>
    <mergeCell ref="B45:D45"/>
    <mergeCell ref="E45:F45"/>
    <mergeCell ref="H45:K45"/>
    <mergeCell ref="B46:D46"/>
    <mergeCell ref="E46:F46"/>
    <mergeCell ref="H46:K46"/>
    <mergeCell ref="H47:K47"/>
  </mergeCells>
  <conditionalFormatting sqref="P9:P38">
    <cfRule type="expression" priority="2" aboveAverage="0" equalAverage="0" bottom="0" percent="0" rank="0" text="" dxfId="0">
      <formula>P9="Vigente"</formula>
    </cfRule>
    <cfRule type="expression" priority="3" aboveAverage="0" equalAverage="0" bottom="0" percent="0" rank="0" text="" dxfId="1">
      <formula>P9="Em revisão"</formula>
    </cfRule>
    <cfRule type="expression" priority="4" aboveAverage="0" equalAverage="0" bottom="0" percent="0" rank="0" text="" dxfId="2">
      <formula>P9="Revisão vencida"</formula>
    </cfRule>
    <cfRule type="expression" priority="5" aboveAverage="0" equalAverage="0" bottom="0" percent="0" rank="0" text="" dxfId="3">
      <formula>P9="Obsoleto"</formula>
    </cfRule>
    <cfRule type="expression" priority="6" aboveAverage="0" equalAverage="0" bottom="0" percent="0" rank="0" text="" dxfId="4">
      <formula>LEFT(P9,5)="Falta"</formula>
    </cfRule>
  </conditionalFormatting>
  <conditionalFormatting sqref="O9:O38">
    <cfRule type="expression" priority="7" aboveAverage="0" equalAverage="0" bottom="0" percent="0" rank="0" text="" dxfId="5">
      <formula>O9="Obsoleto"</formula>
    </cfRule>
  </conditionalFormatting>
  <conditionalFormatting sqref="E46:F46">
    <cfRule type="expression" priority="8" aboveAverage="0" equalAverage="0" bottom="0" percent="0" rank="0" text="" dxfId="0">
      <formula>OR(E46="OK")</formula>
    </cfRule>
    <cfRule type="expression" priority="9" aboveAverage="0" equalAverage="0" bottom="0" percent="0" rank="0" text="" dxfId="2">
      <formula>AND(LEN(E46)&gt;0,NOT(OR(E46="OK")))</formula>
    </cfRule>
  </conditionalFormatting>
  <dataValidations count="6">
    <dataValidation allowBlank="true" error="Digite uma data no formato dia/mês/ano." errorStyle="stop" errorTitle="Data inválida" operator="greaterThanOrEqual" showDropDown="false" showErrorMessage="true" showInputMessage="false" sqref="D5 H9:H38" type="date">
      <formula1>36526</formula1>
      <formula2>0</formula2>
    </dataValidation>
    <dataValidation allowBlank="true" error="Digite um número inteiro de 1 a 120." errorStyle="stop" errorTitle="Número inválido" operator="between" prompt="Intervalo usado quando a linha não informa outro." promptTitle="Meses" showDropDown="false" showErrorMessage="true" showInputMessage="true" sqref="D6" type="whole">
      <formula1>1</formula1>
      <formula2>120</formula2>
    </dataValidation>
    <dataValidation allowBlank="true" error="Escolha uma das opções da lista." errorStyle="stop" errorTitle="Valor inválido" operator="between" prompt="Sigla do tipo: PO, MP, PR, IT, ES, FR, DE" promptTitle="Opções" showDropDown="false" showErrorMessage="true" showInputMessage="true" sqref="E9:E38" type="list">
      <formula1>"PO,MP,PR,IT,ES,FR,DE"</formula1>
      <formula2>0</formula2>
    </dataValidation>
    <dataValidation allowBlank="true" error="Escolha uma das opções da lista." errorStyle="stop" errorTitle="Valor inválido" operator="between" prompt="Papel, Eletrônico ou Ambos" promptTitle="Opções" showDropDown="false" showErrorMessage="true" showInputMessage="true" sqref="K9:K38" type="list">
      <formula1>"Papel,Eletrônico,Ambos"</formula1>
      <formula2>0</formula2>
    </dataValidation>
    <dataValidation allowBlank="true" error="Digite um número inteiro de 1 a 120." errorStyle="stop" errorTitle="Número inválido" operator="between" prompt="Meses entre uma revisão e outra. Em branco, vale o padrão." promptTitle="Meses" showDropDown="false" showErrorMessage="true" showInputMessage="true" sqref="M9:M38" type="whole">
      <formula1>1</formula1>
      <formula2>120</formula2>
    </dataValidation>
    <dataValidation allowBlank="true" error="Escolha uma das opções da lista." errorStyle="stop" errorTitle="Valor inválido" operator="between" prompt="Vigente, Em revisão ou Obsoleto" promptTitle="Opções" showDropDown="false" showErrorMessage="true" showInputMessage="true" sqref="O9:O38" type="list">
      <formula1>"Vigente,Em revisão,Obsoleto"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A96A12"/>
    <pageSetUpPr fitToPage="true"/>
  </sheetPr>
  <dimension ref="B1:L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8"/>
    <col collapsed="false" customWidth="true" hidden="false" outlineLevel="0" max="7" min="7" style="0" width="24"/>
    <col collapsed="false" customWidth="true" hidden="false" outlineLevel="0" max="8" min="8" style="0" width="12"/>
    <col collapsed="false" customWidth="true" hidden="false" outlineLevel="0" max="9" min="9" style="0" width="10"/>
    <col collapsed="false" customWidth="true" hidden="false" outlineLevel="0" max="10" min="10" style="0" width="20"/>
    <col collapsed="false" customWidth="true" hidden="false" outlineLevel="0" max="11" min="11" style="0" width="22"/>
    <col collapsed="false" customWidth="true" hidden="false" outlineLevel="0" max="12" min="12" style="0" width="24"/>
    <col collapsed="false" customWidth="true" hidden="false" outlineLevel="0" max="13" min="13" style="0" width="2"/>
  </cols>
  <sheetData>
    <row r="1" customFormat="false" ht="31.5" hidden="false" customHeight="true" outlineLevel="0" collapsed="false">
      <c r="B1" s="1" t="s">
        <v>118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B2" s="2" t="s">
        <v>119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3" hidden="false" customHeight="true" outlineLevel="0" collapsed="false">
      <c r="B4" s="10" t="s">
        <v>78</v>
      </c>
      <c r="C4" s="10" t="s">
        <v>120</v>
      </c>
      <c r="D4" s="10" t="s">
        <v>121</v>
      </c>
      <c r="E4" s="10" t="s">
        <v>82</v>
      </c>
      <c r="F4" s="10" t="s">
        <v>122</v>
      </c>
      <c r="G4" s="10" t="s">
        <v>123</v>
      </c>
      <c r="H4" s="10" t="s">
        <v>87</v>
      </c>
      <c r="I4" s="10" t="s">
        <v>124</v>
      </c>
      <c r="J4" s="10" t="s">
        <v>125</v>
      </c>
      <c r="K4" s="10" t="s">
        <v>126</v>
      </c>
      <c r="L4" s="10" t="s">
        <v>127</v>
      </c>
    </row>
    <row r="5" customFormat="false" ht="30" hidden="false" customHeight="true" outlineLevel="0" collapsed="false">
      <c r="B5" s="11"/>
      <c r="C5" s="11" t="s">
        <v>128</v>
      </c>
      <c r="D5" s="11" t="s">
        <v>129</v>
      </c>
      <c r="E5" s="11" t="s">
        <v>95</v>
      </c>
      <c r="F5" s="11" t="s">
        <v>130</v>
      </c>
      <c r="G5" s="11" t="s">
        <v>131</v>
      </c>
      <c r="H5" s="11" t="s">
        <v>99</v>
      </c>
      <c r="I5" s="11" t="s">
        <v>132</v>
      </c>
      <c r="J5" s="11" t="s">
        <v>133</v>
      </c>
      <c r="K5" s="11" t="s">
        <v>134</v>
      </c>
      <c r="L5" s="11" t="s">
        <v>102</v>
      </c>
    </row>
    <row r="6" customFormat="false" ht="24" hidden="false" customHeight="true" outlineLevel="0" collapsed="false">
      <c r="B6" s="11" t="s">
        <v>135</v>
      </c>
      <c r="C6" s="9" t="s">
        <v>136</v>
      </c>
      <c r="D6" s="9" t="s">
        <v>137</v>
      </c>
      <c r="E6" s="9" t="s">
        <v>138</v>
      </c>
      <c r="F6" s="9" t="s">
        <v>139</v>
      </c>
      <c r="G6" s="9" t="s">
        <v>140</v>
      </c>
      <c r="H6" s="11" t="s">
        <v>141</v>
      </c>
      <c r="I6" s="11" t="n">
        <v>12</v>
      </c>
      <c r="J6" s="9" t="s">
        <v>142</v>
      </c>
      <c r="K6" s="9" t="s">
        <v>143</v>
      </c>
      <c r="L6" s="11" t="s">
        <v>144</v>
      </c>
    </row>
    <row r="7" customFormat="false" ht="24" hidden="false" customHeight="true" outlineLevel="0" collapsed="false">
      <c r="B7" s="12" t="n">
        <v>1</v>
      </c>
      <c r="C7" s="5"/>
      <c r="D7" s="5"/>
      <c r="E7" s="5"/>
      <c r="F7" s="5"/>
      <c r="G7" s="5"/>
      <c r="H7" s="14"/>
      <c r="I7" s="14"/>
      <c r="J7" s="5"/>
      <c r="K7" s="5"/>
      <c r="L7" s="18" t="str">
        <f aca="false">IF(C7="","",IF(G7="","Falta o local de guarda",IF(I7="","Falta o prazo de retenção",IF(H7="","Falta o meio",IF(K7="","Falta a disposição","Completa")))))</f>
        <v/>
      </c>
    </row>
    <row r="8" customFormat="false" ht="24" hidden="false" customHeight="true" outlineLevel="0" collapsed="false">
      <c r="B8" s="12" t="n">
        <v>2</v>
      </c>
      <c r="C8" s="5"/>
      <c r="D8" s="5"/>
      <c r="E8" s="5"/>
      <c r="F8" s="5"/>
      <c r="G8" s="5"/>
      <c r="H8" s="14"/>
      <c r="I8" s="14"/>
      <c r="J8" s="5"/>
      <c r="K8" s="5"/>
      <c r="L8" s="18" t="str">
        <f aca="false">IF(C8="","",IF(G8="","Falta o local de guarda",IF(I8="","Falta o prazo de retenção",IF(H8="","Falta o meio",IF(K8="","Falta a disposição","Completa")))))</f>
        <v/>
      </c>
    </row>
    <row r="9" customFormat="false" ht="24" hidden="false" customHeight="true" outlineLevel="0" collapsed="false">
      <c r="B9" s="12" t="n">
        <v>3</v>
      </c>
      <c r="C9" s="5"/>
      <c r="D9" s="5"/>
      <c r="E9" s="5"/>
      <c r="F9" s="5"/>
      <c r="G9" s="5"/>
      <c r="H9" s="14"/>
      <c r="I9" s="14"/>
      <c r="J9" s="5"/>
      <c r="K9" s="5"/>
      <c r="L9" s="18" t="str">
        <f aca="false">IF(C9="","",IF(G9="","Falta o local de guarda",IF(I9="","Falta o prazo de retenção",IF(H9="","Falta o meio",IF(K9="","Falta a disposição","Completa")))))</f>
        <v/>
      </c>
    </row>
    <row r="10" customFormat="false" ht="24" hidden="false" customHeight="true" outlineLevel="0" collapsed="false">
      <c r="B10" s="12" t="n">
        <v>4</v>
      </c>
      <c r="C10" s="5"/>
      <c r="D10" s="5"/>
      <c r="E10" s="5"/>
      <c r="F10" s="5"/>
      <c r="G10" s="5"/>
      <c r="H10" s="14"/>
      <c r="I10" s="14"/>
      <c r="J10" s="5"/>
      <c r="K10" s="5"/>
      <c r="L10" s="18" t="str">
        <f aca="false">IF(C10="","",IF(G10="","Falta o local de guarda",IF(I10="","Falta o prazo de retenção",IF(H10="","Falta o meio",IF(K10="","Falta a disposição","Completa")))))</f>
        <v/>
      </c>
    </row>
    <row r="11" customFormat="false" ht="24" hidden="false" customHeight="true" outlineLevel="0" collapsed="false">
      <c r="B11" s="12" t="n">
        <v>5</v>
      </c>
      <c r="C11" s="5"/>
      <c r="D11" s="5"/>
      <c r="E11" s="5"/>
      <c r="F11" s="5"/>
      <c r="G11" s="5"/>
      <c r="H11" s="14"/>
      <c r="I11" s="14"/>
      <c r="J11" s="5"/>
      <c r="K11" s="5"/>
      <c r="L11" s="18" t="str">
        <f aca="false">IF(C11="","",IF(G11="","Falta o local de guarda",IF(I11="","Falta o prazo de retenção",IF(H11="","Falta o meio",IF(K11="","Falta a disposição","Completa")))))</f>
        <v/>
      </c>
    </row>
    <row r="12" customFormat="false" ht="24" hidden="false" customHeight="true" outlineLevel="0" collapsed="false">
      <c r="B12" s="12" t="n">
        <v>6</v>
      </c>
      <c r="C12" s="5"/>
      <c r="D12" s="5"/>
      <c r="E12" s="5"/>
      <c r="F12" s="5"/>
      <c r="G12" s="5"/>
      <c r="H12" s="14"/>
      <c r="I12" s="14"/>
      <c r="J12" s="5"/>
      <c r="K12" s="5"/>
      <c r="L12" s="18" t="str">
        <f aca="false">IF(C12="","",IF(G12="","Falta o local de guarda",IF(I12="","Falta o prazo de retenção",IF(H12="","Falta o meio",IF(K12="","Falta a disposição","Completa")))))</f>
        <v/>
      </c>
    </row>
    <row r="13" customFormat="false" ht="24" hidden="false" customHeight="true" outlineLevel="0" collapsed="false">
      <c r="B13" s="12" t="n">
        <v>7</v>
      </c>
      <c r="C13" s="5"/>
      <c r="D13" s="5"/>
      <c r="E13" s="5"/>
      <c r="F13" s="5"/>
      <c r="G13" s="5"/>
      <c r="H13" s="14"/>
      <c r="I13" s="14"/>
      <c r="J13" s="5"/>
      <c r="K13" s="5"/>
      <c r="L13" s="18" t="str">
        <f aca="false">IF(C13="","",IF(G13="","Falta o local de guarda",IF(I13="","Falta o prazo de retenção",IF(H13="","Falta o meio",IF(K13="","Falta a disposição","Completa")))))</f>
        <v/>
      </c>
    </row>
    <row r="14" customFormat="false" ht="24" hidden="false" customHeight="true" outlineLevel="0" collapsed="false">
      <c r="B14" s="12" t="n">
        <v>8</v>
      </c>
      <c r="C14" s="5"/>
      <c r="D14" s="5"/>
      <c r="E14" s="5"/>
      <c r="F14" s="5"/>
      <c r="G14" s="5"/>
      <c r="H14" s="14"/>
      <c r="I14" s="14"/>
      <c r="J14" s="5"/>
      <c r="K14" s="5"/>
      <c r="L14" s="18" t="str">
        <f aca="false">IF(C14="","",IF(G14="","Falta o local de guarda",IF(I14="","Falta o prazo de retenção",IF(H14="","Falta o meio",IF(K14="","Falta a disposição","Completa")))))</f>
        <v/>
      </c>
    </row>
    <row r="15" customFormat="false" ht="24" hidden="false" customHeight="true" outlineLevel="0" collapsed="false">
      <c r="B15" s="12" t="n">
        <v>9</v>
      </c>
      <c r="C15" s="5"/>
      <c r="D15" s="5"/>
      <c r="E15" s="5"/>
      <c r="F15" s="5"/>
      <c r="G15" s="5"/>
      <c r="H15" s="14"/>
      <c r="I15" s="14"/>
      <c r="J15" s="5"/>
      <c r="K15" s="5"/>
      <c r="L15" s="18" t="str">
        <f aca="false">IF(C15="","",IF(G15="","Falta o local de guarda",IF(I15="","Falta o prazo de retenção",IF(H15="","Falta o meio",IF(K15="","Falta a disposição","Completa")))))</f>
        <v/>
      </c>
    </row>
    <row r="16" customFormat="false" ht="24" hidden="false" customHeight="true" outlineLevel="0" collapsed="false">
      <c r="B16" s="12" t="n">
        <v>10</v>
      </c>
      <c r="C16" s="5"/>
      <c r="D16" s="5"/>
      <c r="E16" s="5"/>
      <c r="F16" s="5"/>
      <c r="G16" s="5"/>
      <c r="H16" s="14"/>
      <c r="I16" s="14"/>
      <c r="J16" s="5"/>
      <c r="K16" s="5"/>
      <c r="L16" s="18" t="str">
        <f aca="false">IF(C16="","",IF(G16="","Falta o local de guarda",IF(I16="","Falta o prazo de retenção",IF(H16="","Falta o meio",IF(K16="","Falta a disposição","Completa")))))</f>
        <v/>
      </c>
    </row>
    <row r="17" customFormat="false" ht="24" hidden="false" customHeight="true" outlineLevel="0" collapsed="false">
      <c r="B17" s="12" t="n">
        <v>11</v>
      </c>
      <c r="C17" s="5"/>
      <c r="D17" s="5"/>
      <c r="E17" s="5"/>
      <c r="F17" s="5"/>
      <c r="G17" s="5"/>
      <c r="H17" s="14"/>
      <c r="I17" s="14"/>
      <c r="J17" s="5"/>
      <c r="K17" s="5"/>
      <c r="L17" s="18" t="str">
        <f aca="false">IF(C17="","",IF(G17="","Falta o local de guarda",IF(I17="","Falta o prazo de retenção",IF(H17="","Falta o meio",IF(K17="","Falta a disposição","Completa")))))</f>
        <v/>
      </c>
    </row>
    <row r="18" customFormat="false" ht="24" hidden="false" customHeight="true" outlineLevel="0" collapsed="false">
      <c r="B18" s="12" t="n">
        <v>12</v>
      </c>
      <c r="C18" s="5"/>
      <c r="D18" s="5"/>
      <c r="E18" s="5"/>
      <c r="F18" s="5"/>
      <c r="G18" s="5"/>
      <c r="H18" s="14"/>
      <c r="I18" s="14"/>
      <c r="J18" s="5"/>
      <c r="K18" s="5"/>
      <c r="L18" s="18" t="str">
        <f aca="false">IF(C18="","",IF(G18="","Falta o local de guarda",IF(I18="","Falta o prazo de retenção",IF(H18="","Falta o meio",IF(K18="","Falta a disposição","Completa")))))</f>
        <v/>
      </c>
    </row>
    <row r="19" customFormat="false" ht="24" hidden="false" customHeight="true" outlineLevel="0" collapsed="false">
      <c r="B19" s="12" t="n">
        <v>13</v>
      </c>
      <c r="C19" s="5"/>
      <c r="D19" s="5"/>
      <c r="E19" s="5"/>
      <c r="F19" s="5"/>
      <c r="G19" s="5"/>
      <c r="H19" s="14"/>
      <c r="I19" s="14"/>
      <c r="J19" s="5"/>
      <c r="K19" s="5"/>
      <c r="L19" s="18" t="str">
        <f aca="false">IF(C19="","",IF(G19="","Falta o local de guarda",IF(I19="","Falta o prazo de retenção",IF(H19="","Falta o meio",IF(K19="","Falta a disposição","Completa")))))</f>
        <v/>
      </c>
    </row>
    <row r="20" customFormat="false" ht="24" hidden="false" customHeight="true" outlineLevel="0" collapsed="false">
      <c r="B20" s="12" t="n">
        <v>14</v>
      </c>
      <c r="C20" s="5"/>
      <c r="D20" s="5"/>
      <c r="E20" s="5"/>
      <c r="F20" s="5"/>
      <c r="G20" s="5"/>
      <c r="H20" s="14"/>
      <c r="I20" s="14"/>
      <c r="J20" s="5"/>
      <c r="K20" s="5"/>
      <c r="L20" s="18" t="str">
        <f aca="false">IF(C20="","",IF(G20="","Falta o local de guarda",IF(I20="","Falta o prazo de retenção",IF(H20="","Falta o meio",IF(K20="","Falta a disposição","Completa")))))</f>
        <v/>
      </c>
    </row>
    <row r="21" customFormat="false" ht="24" hidden="false" customHeight="true" outlineLevel="0" collapsed="false">
      <c r="B21" s="12" t="n">
        <v>15</v>
      </c>
      <c r="C21" s="5"/>
      <c r="D21" s="5"/>
      <c r="E21" s="5"/>
      <c r="F21" s="5"/>
      <c r="G21" s="5"/>
      <c r="H21" s="14"/>
      <c r="I21" s="14"/>
      <c r="J21" s="5"/>
      <c r="K21" s="5"/>
      <c r="L21" s="18" t="str">
        <f aca="false">IF(C21="","",IF(G21="","Falta o local de guarda",IF(I21="","Falta o prazo de retenção",IF(H21="","Falta o meio",IF(K21="","Falta a disposição","Completa")))))</f>
        <v/>
      </c>
    </row>
    <row r="22" customFormat="false" ht="24" hidden="false" customHeight="true" outlineLevel="0" collapsed="false">
      <c r="B22" s="12" t="n">
        <v>16</v>
      </c>
      <c r="C22" s="5"/>
      <c r="D22" s="5"/>
      <c r="E22" s="5"/>
      <c r="F22" s="5"/>
      <c r="G22" s="5"/>
      <c r="H22" s="14"/>
      <c r="I22" s="14"/>
      <c r="J22" s="5"/>
      <c r="K22" s="5"/>
      <c r="L22" s="18" t="str">
        <f aca="false">IF(C22="","",IF(G22="","Falta o local de guarda",IF(I22="","Falta o prazo de retenção",IF(H22="","Falta o meio",IF(K22="","Falta a disposição","Completa")))))</f>
        <v/>
      </c>
    </row>
    <row r="23" customFormat="false" ht="24" hidden="false" customHeight="true" outlineLevel="0" collapsed="false">
      <c r="B23" s="12" t="n">
        <v>17</v>
      </c>
      <c r="C23" s="5"/>
      <c r="D23" s="5"/>
      <c r="E23" s="5"/>
      <c r="F23" s="5"/>
      <c r="G23" s="5"/>
      <c r="H23" s="14"/>
      <c r="I23" s="14"/>
      <c r="J23" s="5"/>
      <c r="K23" s="5"/>
      <c r="L23" s="18" t="str">
        <f aca="false">IF(C23="","",IF(G23="","Falta o local de guarda",IF(I23="","Falta o prazo de retenção",IF(H23="","Falta o meio",IF(K23="","Falta a disposição","Completa")))))</f>
        <v/>
      </c>
    </row>
    <row r="24" customFormat="false" ht="24" hidden="false" customHeight="true" outlineLevel="0" collapsed="false">
      <c r="B24" s="12" t="n">
        <v>18</v>
      </c>
      <c r="C24" s="5"/>
      <c r="D24" s="5"/>
      <c r="E24" s="5"/>
      <c r="F24" s="5"/>
      <c r="G24" s="5"/>
      <c r="H24" s="14"/>
      <c r="I24" s="14"/>
      <c r="J24" s="5"/>
      <c r="K24" s="5"/>
      <c r="L24" s="18" t="str">
        <f aca="false">IF(C24="","",IF(G24="","Falta o local de guarda",IF(I24="","Falta o prazo de retenção",IF(H24="","Falta o meio",IF(K24="","Falta a disposição","Completa")))))</f>
        <v/>
      </c>
    </row>
    <row r="25" customFormat="false" ht="24" hidden="false" customHeight="true" outlineLevel="0" collapsed="false">
      <c r="B25" s="12" t="n">
        <v>19</v>
      </c>
      <c r="C25" s="5"/>
      <c r="D25" s="5"/>
      <c r="E25" s="5"/>
      <c r="F25" s="5"/>
      <c r="G25" s="5"/>
      <c r="H25" s="14"/>
      <c r="I25" s="14"/>
      <c r="J25" s="5"/>
      <c r="K25" s="5"/>
      <c r="L25" s="18" t="str">
        <f aca="false">IF(C25="","",IF(G25="","Falta o local de guarda",IF(I25="","Falta o prazo de retenção",IF(H25="","Falta o meio",IF(K25="","Falta a disposição","Completa")))))</f>
        <v/>
      </c>
    </row>
    <row r="26" customFormat="false" ht="24" hidden="false" customHeight="true" outlineLevel="0" collapsed="false">
      <c r="B26" s="12" t="n">
        <v>20</v>
      </c>
      <c r="C26" s="5"/>
      <c r="D26" s="5"/>
      <c r="E26" s="5"/>
      <c r="F26" s="5"/>
      <c r="G26" s="5"/>
      <c r="H26" s="14"/>
      <c r="I26" s="14"/>
      <c r="J26" s="5"/>
      <c r="K26" s="5"/>
      <c r="L26" s="18" t="str">
        <f aca="false">IF(C26="","",IF(G26="","Falta o local de guarda",IF(I26="","Falta o prazo de retenção",IF(H26="","Falta o meio",IF(K26="","Falta a disposição","Completa")))))</f>
        <v/>
      </c>
    </row>
    <row r="28" customFormat="false" ht="21.75" hidden="false" customHeight="true" outlineLevel="0" collapsed="false">
      <c r="B28" s="19" t="s">
        <v>103</v>
      </c>
      <c r="C28" s="19"/>
      <c r="D28" s="19"/>
      <c r="E28" s="19"/>
      <c r="F28" s="19"/>
      <c r="G28" s="19"/>
      <c r="H28" s="19"/>
      <c r="I28" s="19"/>
      <c r="J28" s="19"/>
      <c r="K28" s="19"/>
      <c r="L28" s="19"/>
    </row>
    <row r="29" customFormat="false" ht="21.75" hidden="false" customHeight="true" outlineLevel="0" collapsed="false">
      <c r="B29" s="20" t="s">
        <v>145</v>
      </c>
      <c r="C29" s="20"/>
      <c r="D29" s="20"/>
      <c r="E29" s="21" t="n">
        <f aca="false">COUNTA(C7:C26)</f>
        <v>0</v>
      </c>
      <c r="F29" s="21"/>
    </row>
    <row r="30" customFormat="false" ht="21.75" hidden="false" customHeight="true" outlineLevel="0" collapsed="false">
      <c r="B30" s="20" t="s">
        <v>146</v>
      </c>
      <c r="C30" s="20"/>
      <c r="D30" s="20"/>
      <c r="E30" s="21" t="n">
        <f aca="false">COUNTIF(H7:H26,"Papel")+COUNTIF(H7:H26,"Ambos")</f>
        <v>0</v>
      </c>
      <c r="F30" s="21"/>
    </row>
    <row r="31" customFormat="false" ht="21.75" hidden="false" customHeight="true" outlineLevel="0" collapsed="false">
      <c r="B31" s="20" t="s">
        <v>147</v>
      </c>
      <c r="C31" s="20"/>
      <c r="D31" s="20"/>
      <c r="E31" s="21" t="str">
        <f aca="false">IF(COUNT(I7:I26)=0,"",MAX(I7:I26))</f>
        <v/>
      </c>
      <c r="F31" s="21"/>
    </row>
    <row r="32" customFormat="false" ht="21.75" hidden="false" customHeight="true" outlineLevel="0" collapsed="false">
      <c r="B32" s="20" t="s">
        <v>115</v>
      </c>
      <c r="C32" s="20"/>
      <c r="D32" s="20"/>
      <c r="E32" s="23" t="str">
        <f aca="false">IF(E29=0,"Cadastre os registros",IF(COUNTIF(L7:L26,"Falta*")&gt;0,"Há registro com campos em branco: veja a coluna Conferência","OK"))</f>
        <v>Cadastre os registros</v>
      </c>
      <c r="F32" s="23"/>
    </row>
  </sheetData>
  <mergeCells count="11">
    <mergeCell ref="B1:L1"/>
    <mergeCell ref="B2:L2"/>
    <mergeCell ref="B28:L28"/>
    <mergeCell ref="B29:D29"/>
    <mergeCell ref="E29:F29"/>
    <mergeCell ref="B30:D30"/>
    <mergeCell ref="E30:F30"/>
    <mergeCell ref="B31:D31"/>
    <mergeCell ref="E31:F31"/>
    <mergeCell ref="B32:D32"/>
    <mergeCell ref="E32:F32"/>
  </mergeCells>
  <conditionalFormatting sqref="L7:L26">
    <cfRule type="expression" priority="2" aboveAverage="0" equalAverage="0" bottom="0" percent="0" rank="0" text="" dxfId="0">
      <formula>L7="Completa"</formula>
    </cfRule>
    <cfRule type="expression" priority="3" aboveAverage="0" equalAverage="0" bottom="0" percent="0" rank="0" text="" dxfId="2">
      <formula>LEN(L7)&gt;0</formula>
    </cfRule>
  </conditionalFormatting>
  <conditionalFormatting sqref="E32:F32">
    <cfRule type="expression" priority="4" aboveAverage="0" equalAverage="0" bottom="0" percent="0" rank="0" text="" dxfId="0">
      <formula>OR(E32="OK")</formula>
    </cfRule>
    <cfRule type="expression" priority="5" aboveAverage="0" equalAverage="0" bottom="0" percent="0" rank="0" text="" dxfId="2">
      <formula>AND(LEN(E32)&gt;0,NOT(OR(E32="OK")))</formula>
    </cfRule>
  </conditionalFormatting>
  <dataValidations count="2">
    <dataValidation allowBlank="true" error="Escolha uma das opções da lista." errorStyle="stop" errorTitle="Valor inválido" operator="between" prompt="Papel, Eletrônico ou Ambos" promptTitle="Opções" showDropDown="false" showErrorMessage="true" showInputMessage="true" sqref="H7:H26" type="list">
      <formula1>"Papel,Eletrônico,Ambos"</formula1>
      <formula2>0</formula2>
    </dataValidation>
    <dataValidation allowBlank="true" error="Digite um número inteiro de 1 a 600." errorStyle="stop" errorTitle="Número inválido" operator="between" prompt="Prazo de retenção, em meses. Doze meses valem um ano." promptTitle="Meses" showDropDown="false" showErrorMessage="true" showInputMessage="true" sqref="I7:I26" type="whole">
      <formula1>1</formula1>
      <formula2>600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E7B73"/>
    <pageSetUpPr fitToPage="true"/>
  </sheetPr>
  <dimension ref="B1:L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6" topLeftCell="D7" activePane="bottomRight" state="frozen"/>
      <selection pane="topLeft" activeCell="A1" activeCellId="0" sqref="A1"/>
      <selection pane="topRight" activeCell="D1" activeCellId="0" sqref="D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34"/>
    <col collapsed="false" customWidth="true" hidden="false" outlineLevel="0" max="4" min="4" style="0" width="18"/>
    <col collapsed="false" customWidth="true" hidden="false" outlineLevel="0" max="5" min="5" style="0" width="16"/>
    <col collapsed="false" customWidth="true" hidden="false" outlineLevel="0" max="6" min="6" style="0" width="22"/>
    <col collapsed="false" customWidth="true" hidden="false" outlineLevel="0" max="7" min="7" style="0" width="30"/>
    <col collapsed="false" customWidth="true" hidden="false" outlineLevel="0" max="8" min="8" style="0" width="18"/>
    <col collapsed="false" customWidth="true" hidden="false" outlineLevel="0" max="9" min="9" style="0" width="13"/>
    <col collapsed="false" customWidth="true" hidden="false" outlineLevel="0" max="10" min="10" style="0" width="10"/>
    <col collapsed="false" customWidth="true" hidden="false" outlineLevel="0" max="11" min="11" style="0" width="13"/>
    <col collapsed="false" customWidth="true" hidden="false" outlineLevel="0" max="12" min="12" style="0" width="20"/>
    <col collapsed="false" customWidth="true" hidden="false" outlineLevel="0" max="13" min="13" style="0" width="2"/>
  </cols>
  <sheetData>
    <row r="1" customFormat="false" ht="31.5" hidden="false" customHeight="true" outlineLevel="0" collapsed="false">
      <c r="B1" s="1" t="s">
        <v>148</v>
      </c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9.5" hidden="false" customHeight="true" outlineLevel="0" collapsed="false">
      <c r="B2" s="2" t="s">
        <v>149</v>
      </c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33" hidden="false" customHeight="true" outlineLevel="0" collapsed="false">
      <c r="B4" s="10" t="s">
        <v>78</v>
      </c>
      <c r="C4" s="10" t="s">
        <v>150</v>
      </c>
      <c r="D4" s="10" t="s">
        <v>151</v>
      </c>
      <c r="E4" s="10" t="s">
        <v>152</v>
      </c>
      <c r="F4" s="10" t="s">
        <v>153</v>
      </c>
      <c r="G4" s="10" t="s">
        <v>154</v>
      </c>
      <c r="H4" s="10" t="s">
        <v>155</v>
      </c>
      <c r="I4" s="10" t="s">
        <v>156</v>
      </c>
      <c r="J4" s="10" t="s">
        <v>157</v>
      </c>
      <c r="K4" s="10" t="s">
        <v>158</v>
      </c>
      <c r="L4" s="10" t="s">
        <v>91</v>
      </c>
    </row>
    <row r="5" customFormat="false" ht="30" hidden="false" customHeight="true" outlineLevel="0" collapsed="false">
      <c r="B5" s="11"/>
      <c r="C5" s="11" t="s">
        <v>159</v>
      </c>
      <c r="D5" s="11" t="s">
        <v>160</v>
      </c>
      <c r="E5" s="11" t="s">
        <v>161</v>
      </c>
      <c r="F5" s="11" t="s">
        <v>162</v>
      </c>
      <c r="G5" s="11" t="s">
        <v>163</v>
      </c>
      <c r="H5" s="11" t="s">
        <v>98</v>
      </c>
      <c r="I5" s="11" t="s">
        <v>164</v>
      </c>
      <c r="J5" s="11" t="s">
        <v>101</v>
      </c>
      <c r="K5" s="11" t="s">
        <v>102</v>
      </c>
      <c r="L5" s="11" t="s">
        <v>102</v>
      </c>
    </row>
    <row r="6" customFormat="false" ht="24" hidden="false" customHeight="true" outlineLevel="0" collapsed="false">
      <c r="B6" s="11" t="s">
        <v>135</v>
      </c>
      <c r="C6" s="9" t="s">
        <v>165</v>
      </c>
      <c r="D6" s="9" t="s">
        <v>166</v>
      </c>
      <c r="E6" s="9" t="s">
        <v>167</v>
      </c>
      <c r="F6" s="9" t="s">
        <v>168</v>
      </c>
      <c r="G6" s="9" t="s">
        <v>169</v>
      </c>
      <c r="H6" s="9" t="s">
        <v>170</v>
      </c>
      <c r="I6" s="24" t="n">
        <v>46438</v>
      </c>
      <c r="J6" s="11" t="n">
        <v>3</v>
      </c>
      <c r="K6" s="24" t="n">
        <v>46527</v>
      </c>
      <c r="L6" s="11" t="s">
        <v>171</v>
      </c>
    </row>
    <row r="7" customFormat="false" ht="24" hidden="false" customHeight="true" outlineLevel="0" collapsed="false">
      <c r="B7" s="12" t="n">
        <v>1</v>
      </c>
      <c r="C7" s="5"/>
      <c r="D7" s="5"/>
      <c r="E7" s="5"/>
      <c r="F7" s="5"/>
      <c r="G7" s="5"/>
      <c r="H7" s="5"/>
      <c r="I7" s="16"/>
      <c r="J7" s="14"/>
      <c r="K7" s="17" t="str">
        <f aca="false">IF(OR(I7="",C7=""),"",EDATE(I7,IF(J7="",'Lista mestra'!$D$6,J7)))</f>
        <v/>
      </c>
      <c r="L7" s="18" t="str">
        <f aca="true">IF(C7="","",IF(I7="","Falta a verificação",IF(H7="","Falta o responsável",IF(K7&lt;IF('Lista mestra'!$D$5="",TODAY(),'Lista mestra'!$D$5),"Verificação vencida","Verificado"))))</f>
        <v/>
      </c>
    </row>
    <row r="8" customFormat="false" ht="24" hidden="false" customHeight="true" outlineLevel="0" collapsed="false">
      <c r="B8" s="12" t="n">
        <v>2</v>
      </c>
      <c r="C8" s="5"/>
      <c r="D8" s="5"/>
      <c r="E8" s="5"/>
      <c r="F8" s="5"/>
      <c r="G8" s="5"/>
      <c r="H8" s="5"/>
      <c r="I8" s="16"/>
      <c r="J8" s="14"/>
      <c r="K8" s="17" t="str">
        <f aca="false">IF(OR(I8="",C8=""),"",EDATE(I8,IF(J8="",'Lista mestra'!$D$6,J8)))</f>
        <v/>
      </c>
      <c r="L8" s="18" t="str">
        <f aca="true">IF(C8="","",IF(I8="","Falta a verificação",IF(H8="","Falta o responsável",IF(K8&lt;IF('Lista mestra'!$D$5="",TODAY(),'Lista mestra'!$D$5),"Verificação vencida","Verificado"))))</f>
        <v/>
      </c>
    </row>
    <row r="9" customFormat="false" ht="24" hidden="false" customHeight="true" outlineLevel="0" collapsed="false">
      <c r="B9" s="12" t="n">
        <v>3</v>
      </c>
      <c r="C9" s="5"/>
      <c r="D9" s="5"/>
      <c r="E9" s="5"/>
      <c r="F9" s="5"/>
      <c r="G9" s="5"/>
      <c r="H9" s="5"/>
      <c r="I9" s="16"/>
      <c r="J9" s="14"/>
      <c r="K9" s="17" t="str">
        <f aca="false">IF(OR(I9="",C9=""),"",EDATE(I9,IF(J9="",'Lista mestra'!$D$6,J9)))</f>
        <v/>
      </c>
      <c r="L9" s="18" t="str">
        <f aca="true">IF(C9="","",IF(I9="","Falta a verificação",IF(H9="","Falta o responsável",IF(K9&lt;IF('Lista mestra'!$D$5="",TODAY(),'Lista mestra'!$D$5),"Verificação vencida","Verificado"))))</f>
        <v/>
      </c>
    </row>
    <row r="10" customFormat="false" ht="24" hidden="false" customHeight="true" outlineLevel="0" collapsed="false">
      <c r="B10" s="12" t="n">
        <v>4</v>
      </c>
      <c r="C10" s="5"/>
      <c r="D10" s="5"/>
      <c r="E10" s="5"/>
      <c r="F10" s="5"/>
      <c r="G10" s="5"/>
      <c r="H10" s="5"/>
      <c r="I10" s="16"/>
      <c r="J10" s="14"/>
      <c r="K10" s="17" t="str">
        <f aca="false">IF(OR(I10="",C10=""),"",EDATE(I10,IF(J10="",'Lista mestra'!$D$6,J10)))</f>
        <v/>
      </c>
      <c r="L10" s="18" t="str">
        <f aca="true">IF(C10="","",IF(I10="","Falta a verificação",IF(H10="","Falta o responsável",IF(K10&lt;IF('Lista mestra'!$D$5="",TODAY(),'Lista mestra'!$D$5),"Verificação vencida","Verificado"))))</f>
        <v/>
      </c>
    </row>
    <row r="11" customFormat="false" ht="24" hidden="false" customHeight="true" outlineLevel="0" collapsed="false">
      <c r="B11" s="12" t="n">
        <v>5</v>
      </c>
      <c r="C11" s="5"/>
      <c r="D11" s="5"/>
      <c r="E11" s="5"/>
      <c r="F11" s="5"/>
      <c r="G11" s="5"/>
      <c r="H11" s="5"/>
      <c r="I11" s="16"/>
      <c r="J11" s="14"/>
      <c r="K11" s="17" t="str">
        <f aca="false">IF(OR(I11="",C11=""),"",EDATE(I11,IF(J11="",'Lista mestra'!$D$6,J11)))</f>
        <v/>
      </c>
      <c r="L11" s="18" t="str">
        <f aca="true">IF(C11="","",IF(I11="","Falta a verificação",IF(H11="","Falta o responsável",IF(K11&lt;IF('Lista mestra'!$D$5="",TODAY(),'Lista mestra'!$D$5),"Verificação vencida","Verificado"))))</f>
        <v/>
      </c>
    </row>
    <row r="12" customFormat="false" ht="24" hidden="false" customHeight="true" outlineLevel="0" collapsed="false">
      <c r="B12" s="12" t="n">
        <v>6</v>
      </c>
      <c r="C12" s="5"/>
      <c r="D12" s="5"/>
      <c r="E12" s="5"/>
      <c r="F12" s="5"/>
      <c r="G12" s="5"/>
      <c r="H12" s="5"/>
      <c r="I12" s="16"/>
      <c r="J12" s="14"/>
      <c r="K12" s="17" t="str">
        <f aca="false">IF(OR(I12="",C12=""),"",EDATE(I12,IF(J12="",'Lista mestra'!$D$6,J12)))</f>
        <v/>
      </c>
      <c r="L12" s="18" t="str">
        <f aca="true">IF(C12="","",IF(I12="","Falta a verificação",IF(H12="","Falta o responsável",IF(K12&lt;IF('Lista mestra'!$D$5="",TODAY(),'Lista mestra'!$D$5),"Verificação vencida","Verificado"))))</f>
        <v/>
      </c>
    </row>
    <row r="13" customFormat="false" ht="24" hidden="false" customHeight="true" outlineLevel="0" collapsed="false">
      <c r="B13" s="12" t="n">
        <v>7</v>
      </c>
      <c r="C13" s="5"/>
      <c r="D13" s="5"/>
      <c r="E13" s="5"/>
      <c r="F13" s="5"/>
      <c r="G13" s="5"/>
      <c r="H13" s="5"/>
      <c r="I13" s="16"/>
      <c r="J13" s="14"/>
      <c r="K13" s="17" t="str">
        <f aca="false">IF(OR(I13="",C13=""),"",EDATE(I13,IF(J13="",'Lista mestra'!$D$6,J13)))</f>
        <v/>
      </c>
      <c r="L13" s="18" t="str">
        <f aca="true">IF(C13="","",IF(I13="","Falta a verificação",IF(H13="","Falta o responsável",IF(K13&lt;IF('Lista mestra'!$D$5="",TODAY(),'Lista mestra'!$D$5),"Verificação vencida","Verificado"))))</f>
        <v/>
      </c>
    </row>
    <row r="14" customFormat="false" ht="24" hidden="false" customHeight="true" outlineLevel="0" collapsed="false">
      <c r="B14" s="12" t="n">
        <v>8</v>
      </c>
      <c r="C14" s="5"/>
      <c r="D14" s="5"/>
      <c r="E14" s="5"/>
      <c r="F14" s="5"/>
      <c r="G14" s="5"/>
      <c r="H14" s="5"/>
      <c r="I14" s="16"/>
      <c r="J14" s="14"/>
      <c r="K14" s="17" t="str">
        <f aca="false">IF(OR(I14="",C14=""),"",EDATE(I14,IF(J14="",'Lista mestra'!$D$6,J14)))</f>
        <v/>
      </c>
      <c r="L14" s="18" t="str">
        <f aca="true">IF(C14="","",IF(I14="","Falta a verificação",IF(H14="","Falta o responsável",IF(K14&lt;IF('Lista mestra'!$D$5="",TODAY(),'Lista mestra'!$D$5),"Verificação vencida","Verificado"))))</f>
        <v/>
      </c>
    </row>
    <row r="15" customFormat="false" ht="24" hidden="false" customHeight="true" outlineLevel="0" collapsed="false">
      <c r="B15" s="12" t="n">
        <v>9</v>
      </c>
      <c r="C15" s="5"/>
      <c r="D15" s="5"/>
      <c r="E15" s="5"/>
      <c r="F15" s="5"/>
      <c r="G15" s="5"/>
      <c r="H15" s="5"/>
      <c r="I15" s="16"/>
      <c r="J15" s="14"/>
      <c r="K15" s="17" t="str">
        <f aca="false">IF(OR(I15="",C15=""),"",EDATE(I15,IF(J15="",'Lista mestra'!$D$6,J15)))</f>
        <v/>
      </c>
      <c r="L15" s="18" t="str">
        <f aca="true">IF(C15="","",IF(I15="","Falta a verificação",IF(H15="","Falta o responsável",IF(K15&lt;IF('Lista mestra'!$D$5="",TODAY(),'Lista mestra'!$D$5),"Verificação vencida","Verificado"))))</f>
        <v/>
      </c>
    </row>
    <row r="16" customFormat="false" ht="24" hidden="false" customHeight="true" outlineLevel="0" collapsed="false">
      <c r="B16" s="12" t="n">
        <v>10</v>
      </c>
      <c r="C16" s="5"/>
      <c r="D16" s="5"/>
      <c r="E16" s="5"/>
      <c r="F16" s="5"/>
      <c r="G16" s="5"/>
      <c r="H16" s="5"/>
      <c r="I16" s="16"/>
      <c r="J16" s="14"/>
      <c r="K16" s="17" t="str">
        <f aca="false">IF(OR(I16="",C16=""),"",EDATE(I16,IF(J16="",'Lista mestra'!$D$6,J16)))</f>
        <v/>
      </c>
      <c r="L16" s="18" t="str">
        <f aca="true">IF(C16="","",IF(I16="","Falta a verificação",IF(H16="","Falta o responsável",IF(K16&lt;IF('Lista mestra'!$D$5="",TODAY(),'Lista mestra'!$D$5),"Verificação vencida","Verificado"))))</f>
        <v/>
      </c>
    </row>
    <row r="17" customFormat="false" ht="24" hidden="false" customHeight="true" outlineLevel="0" collapsed="false">
      <c r="B17" s="12" t="n">
        <v>11</v>
      </c>
      <c r="C17" s="5"/>
      <c r="D17" s="5"/>
      <c r="E17" s="5"/>
      <c r="F17" s="5"/>
      <c r="G17" s="5"/>
      <c r="H17" s="5"/>
      <c r="I17" s="16"/>
      <c r="J17" s="14"/>
      <c r="K17" s="17" t="str">
        <f aca="false">IF(OR(I17="",C17=""),"",EDATE(I17,IF(J17="",'Lista mestra'!$D$6,J17)))</f>
        <v/>
      </c>
      <c r="L17" s="18" t="str">
        <f aca="true">IF(C17="","",IF(I17="","Falta a verificação",IF(H17="","Falta o responsável",IF(K17&lt;IF('Lista mestra'!$D$5="",TODAY(),'Lista mestra'!$D$5),"Verificação vencida","Verificado"))))</f>
        <v/>
      </c>
    </row>
    <row r="18" customFormat="false" ht="24" hidden="false" customHeight="true" outlineLevel="0" collapsed="false">
      <c r="B18" s="12" t="n">
        <v>12</v>
      </c>
      <c r="C18" s="5"/>
      <c r="D18" s="5"/>
      <c r="E18" s="5"/>
      <c r="F18" s="5"/>
      <c r="G18" s="5"/>
      <c r="H18" s="5"/>
      <c r="I18" s="16"/>
      <c r="J18" s="14"/>
      <c r="K18" s="17" t="str">
        <f aca="false">IF(OR(I18="",C18=""),"",EDATE(I18,IF(J18="",'Lista mestra'!$D$6,J18)))</f>
        <v/>
      </c>
      <c r="L18" s="18" t="str">
        <f aca="true">IF(C18="","",IF(I18="","Falta a verificação",IF(H18="","Falta o responsável",IF(K18&lt;IF('Lista mestra'!$D$5="",TODAY(),'Lista mestra'!$D$5),"Verificação vencida","Verificado"))))</f>
        <v/>
      </c>
    </row>
    <row r="19" customFormat="false" ht="24" hidden="false" customHeight="true" outlineLevel="0" collapsed="false">
      <c r="B19" s="12" t="n">
        <v>13</v>
      </c>
      <c r="C19" s="5"/>
      <c r="D19" s="5"/>
      <c r="E19" s="5"/>
      <c r="F19" s="5"/>
      <c r="G19" s="5"/>
      <c r="H19" s="5"/>
      <c r="I19" s="16"/>
      <c r="J19" s="14"/>
      <c r="K19" s="17" t="str">
        <f aca="false">IF(OR(I19="",C19=""),"",EDATE(I19,IF(J19="",'Lista mestra'!$D$6,J19)))</f>
        <v/>
      </c>
      <c r="L19" s="18" t="str">
        <f aca="true">IF(C19="","",IF(I19="","Falta a verificação",IF(H19="","Falta o responsável",IF(K19&lt;IF('Lista mestra'!$D$5="",TODAY(),'Lista mestra'!$D$5),"Verificação vencida","Verificado"))))</f>
        <v/>
      </c>
    </row>
    <row r="20" customFormat="false" ht="24" hidden="false" customHeight="true" outlineLevel="0" collapsed="false">
      <c r="B20" s="12" t="n">
        <v>14</v>
      </c>
      <c r="C20" s="5"/>
      <c r="D20" s="5"/>
      <c r="E20" s="5"/>
      <c r="F20" s="5"/>
      <c r="G20" s="5"/>
      <c r="H20" s="5"/>
      <c r="I20" s="16"/>
      <c r="J20" s="14"/>
      <c r="K20" s="17" t="str">
        <f aca="false">IF(OR(I20="",C20=""),"",EDATE(I20,IF(J20="",'Lista mestra'!$D$6,J20)))</f>
        <v/>
      </c>
      <c r="L20" s="18" t="str">
        <f aca="true">IF(C20="","",IF(I20="","Falta a verificação",IF(H20="","Falta o responsável",IF(K20&lt;IF('Lista mestra'!$D$5="",TODAY(),'Lista mestra'!$D$5),"Verificação vencida","Verificado"))))</f>
        <v/>
      </c>
    </row>
    <row r="21" customFormat="false" ht="24" hidden="false" customHeight="true" outlineLevel="0" collapsed="false">
      <c r="B21" s="12" t="n">
        <v>15</v>
      </c>
      <c r="C21" s="5"/>
      <c r="D21" s="5"/>
      <c r="E21" s="5"/>
      <c r="F21" s="5"/>
      <c r="G21" s="5"/>
      <c r="H21" s="5"/>
      <c r="I21" s="16"/>
      <c r="J21" s="14"/>
      <c r="K21" s="17" t="str">
        <f aca="false">IF(OR(I21="",C21=""),"",EDATE(I21,IF(J21="",'Lista mestra'!$D$6,J21)))</f>
        <v/>
      </c>
      <c r="L21" s="18" t="str">
        <f aca="true">IF(C21="","",IF(I21="","Falta a verificação",IF(H21="","Falta o responsável",IF(K21&lt;IF('Lista mestra'!$D$5="",TODAY(),'Lista mestra'!$D$5),"Verificação vencida","Verificado"))))</f>
        <v/>
      </c>
    </row>
    <row r="23" customFormat="false" ht="21.75" hidden="false" customHeight="true" outlineLevel="0" collapsed="false">
      <c r="B23" s="19" t="s">
        <v>103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</row>
    <row r="24" customFormat="false" ht="21.75" hidden="false" customHeight="true" outlineLevel="0" collapsed="false">
      <c r="B24" s="20" t="s">
        <v>172</v>
      </c>
      <c r="C24" s="20"/>
      <c r="D24" s="20"/>
      <c r="E24" s="21" t="n">
        <f aca="false">COUNTA(C7:C21)</f>
        <v>0</v>
      </c>
      <c r="F24" s="21"/>
    </row>
    <row r="25" customFormat="false" ht="21.75" hidden="false" customHeight="true" outlineLevel="0" collapsed="false">
      <c r="B25" s="20" t="s">
        <v>173</v>
      </c>
      <c r="C25" s="20"/>
      <c r="D25" s="20"/>
      <c r="E25" s="21" t="n">
        <f aca="false">COUNTIF(L7:L21,"Verificado")</f>
        <v>0</v>
      </c>
      <c r="F25" s="21"/>
    </row>
    <row r="26" customFormat="false" ht="21.75" hidden="false" customHeight="true" outlineLevel="0" collapsed="false">
      <c r="B26" s="20" t="s">
        <v>174</v>
      </c>
      <c r="C26" s="20"/>
      <c r="D26" s="20"/>
      <c r="E26" s="21" t="n">
        <f aca="false">COUNTIF(L7:L21,"Verificação vencida")</f>
        <v>0</v>
      </c>
      <c r="F26" s="21"/>
    </row>
    <row r="27" customFormat="false" ht="21.75" hidden="false" customHeight="true" outlineLevel="0" collapsed="false">
      <c r="B27" s="20" t="s">
        <v>115</v>
      </c>
      <c r="C27" s="20"/>
      <c r="D27" s="20"/>
      <c r="E27" s="23" t="str">
        <f aca="false">IF(E24=0,"Cadastre os documentos externos",IF(COUNTIF(L7:L21,"Falta*")&gt;0,"Há documento externo com campos em branco: veja a coluna Situação",IF(E26&gt;0,"Há documento com a verificação vencida","OK")))</f>
        <v>Cadastre os documentos externos</v>
      </c>
      <c r="F27" s="23"/>
    </row>
  </sheetData>
  <mergeCells count="11">
    <mergeCell ref="B1:L1"/>
    <mergeCell ref="B2:L2"/>
    <mergeCell ref="B23:L23"/>
    <mergeCell ref="B24:D24"/>
    <mergeCell ref="E24:F24"/>
    <mergeCell ref="B25:D25"/>
    <mergeCell ref="E25:F25"/>
    <mergeCell ref="B26:D26"/>
    <mergeCell ref="E26:F26"/>
    <mergeCell ref="B27:D27"/>
    <mergeCell ref="E27:F27"/>
  </mergeCells>
  <conditionalFormatting sqref="L7:L21">
    <cfRule type="expression" priority="2" aboveAverage="0" equalAverage="0" bottom="0" percent="0" rank="0" text="" dxfId="0">
      <formula>L7="Verificado"</formula>
    </cfRule>
    <cfRule type="expression" priority="3" aboveAverage="0" equalAverage="0" bottom="0" percent="0" rank="0" text="" dxfId="2">
      <formula>LEN(L7)&gt;0</formula>
    </cfRule>
  </conditionalFormatting>
  <conditionalFormatting sqref="E27:F27">
    <cfRule type="expression" priority="4" aboveAverage="0" equalAverage="0" bottom="0" percent="0" rank="0" text="" dxfId="0">
      <formula>OR(E27="OK")</formula>
    </cfRule>
    <cfRule type="expression" priority="5" aboveAverage="0" equalAverage="0" bottom="0" percent="0" rank="0" text="" dxfId="2">
      <formula>AND(LEN(E27)&gt;0,NOT(OR(E27="OK")))</formula>
    </cfRule>
  </conditionalFormatting>
  <dataValidations count="2">
    <dataValidation allowBlank="true" error="Digite uma data no formato dia/mês/ano." errorStyle="stop" errorTitle="Data inválida" operator="greaterThanOrEqual" showDropDown="false" showErrorMessage="true" showInputMessage="false" sqref="I7:I21" type="date">
      <formula1>36526</formula1>
      <formula2>0</formula2>
    </dataValidation>
    <dataValidation allowBlank="true" error="Digite um número inteiro de 1 a 120." errorStyle="stop" errorTitle="Número inválido" operator="between" prompt="Meses entre uma verificação e outra. Em branco, vale o padrão da lista mestra." promptTitle="Meses" showDropDown="false" showErrorMessage="true" showInputMessage="true" sqref="J7:J21" type="whole">
      <formula1>1</formula1>
      <formula2>120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4A9A"/>
    <pageSetUpPr fitToPage="true"/>
  </sheetPr>
  <dimension ref="B1:K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6" topLeftCell="E7" activePane="bottomRight" state="frozen"/>
      <selection pane="topLeft" activeCell="A1" activeCellId="0" sqref="A1"/>
      <selection pane="topRight" activeCell="E1" activeCellId="0" sqref="E1"/>
      <selection pane="bottomLeft" activeCell="A7" activeCellId="0" sqref="A7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4" min="3" style="0" width="13"/>
    <col collapsed="false" customWidth="true" hidden="false" outlineLevel="0" max="5" min="5" style="0" width="10"/>
    <col collapsed="false" customWidth="true" hidden="false" outlineLevel="0" max="6" min="6" style="0" width="44"/>
    <col collapsed="false" customWidth="true" hidden="false" outlineLevel="0" max="7" min="7" style="0" width="26"/>
    <col collapsed="false" customWidth="true" hidden="false" outlineLevel="0" max="9" min="8" style="0" width="18"/>
    <col collapsed="false" customWidth="true" hidden="false" outlineLevel="0" max="10" min="10" style="0" width="14"/>
    <col collapsed="false" customWidth="true" hidden="false" outlineLevel="0" max="11" min="11" style="0" width="30"/>
    <col collapsed="false" customWidth="true" hidden="false" outlineLevel="0" max="12" min="12" style="0" width="2"/>
  </cols>
  <sheetData>
    <row r="1" customFormat="false" ht="31.5" hidden="false" customHeight="true" outlineLevel="0" collapsed="false">
      <c r="B1" s="1" t="s">
        <v>175</v>
      </c>
      <c r="C1" s="1"/>
      <c r="D1" s="1"/>
      <c r="E1" s="1"/>
      <c r="F1" s="1"/>
      <c r="G1" s="1"/>
      <c r="H1" s="1"/>
      <c r="I1" s="1"/>
      <c r="J1" s="1"/>
      <c r="K1" s="1"/>
    </row>
    <row r="2" customFormat="false" ht="19.5" hidden="false" customHeight="true" outlineLevel="0" collapsed="false">
      <c r="B2" s="2" t="s">
        <v>176</v>
      </c>
      <c r="C2" s="2"/>
      <c r="D2" s="2"/>
      <c r="E2" s="2"/>
      <c r="F2" s="2"/>
      <c r="G2" s="2"/>
      <c r="H2" s="2"/>
      <c r="I2" s="2"/>
      <c r="J2" s="2"/>
      <c r="K2" s="2"/>
    </row>
    <row r="4" customFormat="false" ht="33" hidden="false" customHeight="true" outlineLevel="0" collapsed="false">
      <c r="B4" s="10" t="s">
        <v>78</v>
      </c>
      <c r="C4" s="10" t="s">
        <v>177</v>
      </c>
      <c r="D4" s="10" t="s">
        <v>79</v>
      </c>
      <c r="E4" s="10" t="s">
        <v>178</v>
      </c>
      <c r="F4" s="10" t="s">
        <v>179</v>
      </c>
      <c r="G4" s="10" t="s">
        <v>180</v>
      </c>
      <c r="H4" s="10" t="s">
        <v>181</v>
      </c>
      <c r="I4" s="10" t="s">
        <v>86</v>
      </c>
      <c r="J4" s="10" t="s">
        <v>182</v>
      </c>
      <c r="K4" s="10" t="s">
        <v>127</v>
      </c>
    </row>
    <row r="5" customFormat="false" ht="30" hidden="false" customHeight="true" outlineLevel="0" collapsed="false">
      <c r="B5" s="11"/>
      <c r="C5" s="11" t="s">
        <v>97</v>
      </c>
      <c r="D5" s="11" t="s">
        <v>183</v>
      </c>
      <c r="E5" s="11" t="s">
        <v>96</v>
      </c>
      <c r="F5" s="11" t="s">
        <v>184</v>
      </c>
      <c r="G5" s="11" t="s">
        <v>185</v>
      </c>
      <c r="H5" s="11" t="s">
        <v>98</v>
      </c>
      <c r="I5" s="11" t="s">
        <v>98</v>
      </c>
      <c r="J5" s="11" t="s">
        <v>99</v>
      </c>
      <c r="K5" s="11" t="s">
        <v>102</v>
      </c>
    </row>
    <row r="6" customFormat="false" ht="33" hidden="false" customHeight="true" outlineLevel="0" collapsed="false">
      <c r="B6" s="11" t="s">
        <v>135</v>
      </c>
      <c r="C6" s="24" t="n">
        <v>46311</v>
      </c>
      <c r="D6" s="25" t="s">
        <v>186</v>
      </c>
      <c r="E6" s="26" t="s">
        <v>187</v>
      </c>
      <c r="F6" s="9" t="s">
        <v>188</v>
      </c>
      <c r="G6" s="9" t="s">
        <v>189</v>
      </c>
      <c r="H6" s="9" t="s">
        <v>190</v>
      </c>
      <c r="I6" s="9" t="s">
        <v>191</v>
      </c>
      <c r="J6" s="11" t="s">
        <v>192</v>
      </c>
      <c r="K6" s="11" t="s">
        <v>144</v>
      </c>
    </row>
    <row r="7" customFormat="false" ht="30" hidden="false" customHeight="true" outlineLevel="0" collapsed="false">
      <c r="B7" s="12" t="n">
        <v>1</v>
      </c>
      <c r="C7" s="16"/>
      <c r="D7" s="13"/>
      <c r="E7" s="15"/>
      <c r="F7" s="5"/>
      <c r="G7" s="5"/>
      <c r="H7" s="5"/>
      <c r="I7" s="5"/>
      <c r="J7" s="14"/>
      <c r="K7" s="18" t="str">
        <f aca="false">IF(D7="","",IF(COUNTIF('Lista mestra'!$C$9:$C$38,D7)=0,"Código fora da lista mestra",IF(E7="","Falta a revisão",IF(F7="","Falta a descrição",IF(I7="","Falta a aprovação",IF(J7="","Falta conferir os ligados",IF(J7="Não","Ligados não conferidos","Completa")))))))</f>
        <v/>
      </c>
    </row>
    <row r="8" customFormat="false" ht="30" hidden="false" customHeight="true" outlineLevel="0" collapsed="false">
      <c r="B8" s="12" t="n">
        <v>2</v>
      </c>
      <c r="C8" s="16"/>
      <c r="D8" s="13"/>
      <c r="E8" s="15"/>
      <c r="F8" s="5"/>
      <c r="G8" s="5"/>
      <c r="H8" s="5"/>
      <c r="I8" s="5"/>
      <c r="J8" s="14"/>
      <c r="K8" s="18" t="str">
        <f aca="false">IF(D8="","",IF(COUNTIF('Lista mestra'!$C$9:$C$38,D8)=0,"Código fora da lista mestra",IF(E8="","Falta a revisão",IF(F8="","Falta a descrição",IF(I8="","Falta a aprovação",IF(J8="","Falta conferir os ligados",IF(J8="Não","Ligados não conferidos","Completa")))))))</f>
        <v/>
      </c>
    </row>
    <row r="9" customFormat="false" ht="30" hidden="false" customHeight="true" outlineLevel="0" collapsed="false">
      <c r="B9" s="12" t="n">
        <v>3</v>
      </c>
      <c r="C9" s="16"/>
      <c r="D9" s="13"/>
      <c r="E9" s="15"/>
      <c r="F9" s="5"/>
      <c r="G9" s="5"/>
      <c r="H9" s="5"/>
      <c r="I9" s="5"/>
      <c r="J9" s="14"/>
      <c r="K9" s="18" t="str">
        <f aca="false">IF(D9="","",IF(COUNTIF('Lista mestra'!$C$9:$C$38,D9)=0,"Código fora da lista mestra",IF(E9="","Falta a revisão",IF(F9="","Falta a descrição",IF(I9="","Falta a aprovação",IF(J9="","Falta conferir os ligados",IF(J9="Não","Ligados não conferidos","Completa")))))))</f>
        <v/>
      </c>
    </row>
    <row r="10" customFormat="false" ht="30" hidden="false" customHeight="true" outlineLevel="0" collapsed="false">
      <c r="B10" s="12" t="n">
        <v>4</v>
      </c>
      <c r="C10" s="16"/>
      <c r="D10" s="13"/>
      <c r="E10" s="15"/>
      <c r="F10" s="5"/>
      <c r="G10" s="5"/>
      <c r="H10" s="5"/>
      <c r="I10" s="5"/>
      <c r="J10" s="14"/>
      <c r="K10" s="18" t="str">
        <f aca="false">IF(D10="","",IF(COUNTIF('Lista mestra'!$C$9:$C$38,D10)=0,"Código fora da lista mestra",IF(E10="","Falta a revisão",IF(F10="","Falta a descrição",IF(I10="","Falta a aprovação",IF(J10="","Falta conferir os ligados",IF(J10="Não","Ligados não conferidos","Completa")))))))</f>
        <v/>
      </c>
    </row>
    <row r="11" customFormat="false" ht="30" hidden="false" customHeight="true" outlineLevel="0" collapsed="false">
      <c r="B11" s="12" t="n">
        <v>5</v>
      </c>
      <c r="C11" s="16"/>
      <c r="D11" s="13"/>
      <c r="E11" s="15"/>
      <c r="F11" s="5"/>
      <c r="G11" s="5"/>
      <c r="H11" s="5"/>
      <c r="I11" s="5"/>
      <c r="J11" s="14"/>
      <c r="K11" s="18" t="str">
        <f aca="false">IF(D11="","",IF(COUNTIF('Lista mestra'!$C$9:$C$38,D11)=0,"Código fora da lista mestra",IF(E11="","Falta a revisão",IF(F11="","Falta a descrição",IF(I11="","Falta a aprovação",IF(J11="","Falta conferir os ligados",IF(J11="Não","Ligados não conferidos","Completa")))))))</f>
        <v/>
      </c>
    </row>
    <row r="12" customFormat="false" ht="30" hidden="false" customHeight="true" outlineLevel="0" collapsed="false">
      <c r="B12" s="12" t="n">
        <v>6</v>
      </c>
      <c r="C12" s="16"/>
      <c r="D12" s="13"/>
      <c r="E12" s="15"/>
      <c r="F12" s="5"/>
      <c r="G12" s="5"/>
      <c r="H12" s="5"/>
      <c r="I12" s="5"/>
      <c r="J12" s="14"/>
      <c r="K12" s="18" t="str">
        <f aca="false">IF(D12="","",IF(COUNTIF('Lista mestra'!$C$9:$C$38,D12)=0,"Código fora da lista mestra",IF(E12="","Falta a revisão",IF(F12="","Falta a descrição",IF(I12="","Falta a aprovação",IF(J12="","Falta conferir os ligados",IF(J12="Não","Ligados não conferidos","Completa")))))))</f>
        <v/>
      </c>
    </row>
    <row r="13" customFormat="false" ht="30" hidden="false" customHeight="true" outlineLevel="0" collapsed="false">
      <c r="B13" s="12" t="n">
        <v>7</v>
      </c>
      <c r="C13" s="16"/>
      <c r="D13" s="13"/>
      <c r="E13" s="15"/>
      <c r="F13" s="5"/>
      <c r="G13" s="5"/>
      <c r="H13" s="5"/>
      <c r="I13" s="5"/>
      <c r="J13" s="14"/>
      <c r="K13" s="18" t="str">
        <f aca="false">IF(D13="","",IF(COUNTIF('Lista mestra'!$C$9:$C$38,D13)=0,"Código fora da lista mestra",IF(E13="","Falta a revisão",IF(F13="","Falta a descrição",IF(I13="","Falta a aprovação",IF(J13="","Falta conferir os ligados",IF(J13="Não","Ligados não conferidos","Completa")))))))</f>
        <v/>
      </c>
    </row>
    <row r="14" customFormat="false" ht="30" hidden="false" customHeight="true" outlineLevel="0" collapsed="false">
      <c r="B14" s="12" t="n">
        <v>8</v>
      </c>
      <c r="C14" s="16"/>
      <c r="D14" s="13"/>
      <c r="E14" s="15"/>
      <c r="F14" s="5"/>
      <c r="G14" s="5"/>
      <c r="H14" s="5"/>
      <c r="I14" s="5"/>
      <c r="J14" s="14"/>
      <c r="K14" s="18" t="str">
        <f aca="false">IF(D14="","",IF(COUNTIF('Lista mestra'!$C$9:$C$38,D14)=0,"Código fora da lista mestra",IF(E14="","Falta a revisão",IF(F14="","Falta a descrição",IF(I14="","Falta a aprovação",IF(J14="","Falta conferir os ligados",IF(J14="Não","Ligados não conferidos","Completa")))))))</f>
        <v/>
      </c>
    </row>
    <row r="15" customFormat="false" ht="30" hidden="false" customHeight="true" outlineLevel="0" collapsed="false">
      <c r="B15" s="12" t="n">
        <v>9</v>
      </c>
      <c r="C15" s="16"/>
      <c r="D15" s="13"/>
      <c r="E15" s="15"/>
      <c r="F15" s="5"/>
      <c r="G15" s="5"/>
      <c r="H15" s="5"/>
      <c r="I15" s="5"/>
      <c r="J15" s="14"/>
      <c r="K15" s="18" t="str">
        <f aca="false">IF(D15="","",IF(COUNTIF('Lista mestra'!$C$9:$C$38,D15)=0,"Código fora da lista mestra",IF(E15="","Falta a revisão",IF(F15="","Falta a descrição",IF(I15="","Falta a aprovação",IF(J15="","Falta conferir os ligados",IF(J15="Não","Ligados não conferidos","Completa")))))))</f>
        <v/>
      </c>
    </row>
    <row r="16" customFormat="false" ht="30" hidden="false" customHeight="true" outlineLevel="0" collapsed="false">
      <c r="B16" s="12" t="n">
        <v>10</v>
      </c>
      <c r="C16" s="16"/>
      <c r="D16" s="13"/>
      <c r="E16" s="15"/>
      <c r="F16" s="5"/>
      <c r="G16" s="5"/>
      <c r="H16" s="5"/>
      <c r="I16" s="5"/>
      <c r="J16" s="14"/>
      <c r="K16" s="18" t="str">
        <f aca="false">IF(D16="","",IF(COUNTIF('Lista mestra'!$C$9:$C$38,D16)=0,"Código fora da lista mestra",IF(E16="","Falta a revisão",IF(F16="","Falta a descrição",IF(I16="","Falta a aprovação",IF(J16="","Falta conferir os ligados",IF(J16="Não","Ligados não conferidos","Completa")))))))</f>
        <v/>
      </c>
    </row>
    <row r="17" customFormat="false" ht="30" hidden="false" customHeight="true" outlineLevel="0" collapsed="false">
      <c r="B17" s="12" t="n">
        <v>11</v>
      </c>
      <c r="C17" s="16"/>
      <c r="D17" s="13"/>
      <c r="E17" s="15"/>
      <c r="F17" s="5"/>
      <c r="G17" s="5"/>
      <c r="H17" s="5"/>
      <c r="I17" s="5"/>
      <c r="J17" s="14"/>
      <c r="K17" s="18" t="str">
        <f aca="false">IF(D17="","",IF(COUNTIF('Lista mestra'!$C$9:$C$38,D17)=0,"Código fora da lista mestra",IF(E17="","Falta a revisão",IF(F17="","Falta a descrição",IF(I17="","Falta a aprovação",IF(J17="","Falta conferir os ligados",IF(J17="Não","Ligados não conferidos","Completa")))))))</f>
        <v/>
      </c>
    </row>
    <row r="18" customFormat="false" ht="30" hidden="false" customHeight="true" outlineLevel="0" collapsed="false">
      <c r="B18" s="12" t="n">
        <v>12</v>
      </c>
      <c r="C18" s="16"/>
      <c r="D18" s="13"/>
      <c r="E18" s="15"/>
      <c r="F18" s="5"/>
      <c r="G18" s="5"/>
      <c r="H18" s="5"/>
      <c r="I18" s="5"/>
      <c r="J18" s="14"/>
      <c r="K18" s="18" t="str">
        <f aca="false">IF(D18="","",IF(COUNTIF('Lista mestra'!$C$9:$C$38,D18)=0,"Código fora da lista mestra",IF(E18="","Falta a revisão",IF(F18="","Falta a descrição",IF(I18="","Falta a aprovação",IF(J18="","Falta conferir os ligados",IF(J18="Não","Ligados não conferidos","Completa")))))))</f>
        <v/>
      </c>
    </row>
    <row r="19" customFormat="false" ht="30" hidden="false" customHeight="true" outlineLevel="0" collapsed="false">
      <c r="B19" s="12" t="n">
        <v>13</v>
      </c>
      <c r="C19" s="16"/>
      <c r="D19" s="13"/>
      <c r="E19" s="15"/>
      <c r="F19" s="5"/>
      <c r="G19" s="5"/>
      <c r="H19" s="5"/>
      <c r="I19" s="5"/>
      <c r="J19" s="14"/>
      <c r="K19" s="18" t="str">
        <f aca="false">IF(D19="","",IF(COUNTIF('Lista mestra'!$C$9:$C$38,D19)=0,"Código fora da lista mestra",IF(E19="","Falta a revisão",IF(F19="","Falta a descrição",IF(I19="","Falta a aprovação",IF(J19="","Falta conferir os ligados",IF(J19="Não","Ligados não conferidos","Completa")))))))</f>
        <v/>
      </c>
    </row>
    <row r="20" customFormat="false" ht="30" hidden="false" customHeight="true" outlineLevel="0" collapsed="false">
      <c r="B20" s="12" t="n">
        <v>14</v>
      </c>
      <c r="C20" s="16"/>
      <c r="D20" s="13"/>
      <c r="E20" s="15"/>
      <c r="F20" s="5"/>
      <c r="G20" s="5"/>
      <c r="H20" s="5"/>
      <c r="I20" s="5"/>
      <c r="J20" s="14"/>
      <c r="K20" s="18" t="str">
        <f aca="false">IF(D20="","",IF(COUNTIF('Lista mestra'!$C$9:$C$38,D20)=0,"Código fora da lista mestra",IF(E20="","Falta a revisão",IF(F20="","Falta a descrição",IF(I20="","Falta a aprovação",IF(J20="","Falta conferir os ligados",IF(J20="Não","Ligados não conferidos","Completa")))))))</f>
        <v/>
      </c>
    </row>
    <row r="21" customFormat="false" ht="30" hidden="false" customHeight="true" outlineLevel="0" collapsed="false">
      <c r="B21" s="12" t="n">
        <v>15</v>
      </c>
      <c r="C21" s="16"/>
      <c r="D21" s="13"/>
      <c r="E21" s="15"/>
      <c r="F21" s="5"/>
      <c r="G21" s="5"/>
      <c r="H21" s="5"/>
      <c r="I21" s="5"/>
      <c r="J21" s="14"/>
      <c r="K21" s="18" t="str">
        <f aca="false">IF(D21="","",IF(COUNTIF('Lista mestra'!$C$9:$C$38,D21)=0,"Código fora da lista mestra",IF(E21="","Falta a revisão",IF(F21="","Falta a descrição",IF(I21="","Falta a aprovação",IF(J21="","Falta conferir os ligados",IF(J21="Não","Ligados não conferidos","Completa")))))))</f>
        <v/>
      </c>
    </row>
    <row r="22" customFormat="false" ht="30" hidden="false" customHeight="true" outlineLevel="0" collapsed="false">
      <c r="B22" s="12" t="n">
        <v>16</v>
      </c>
      <c r="C22" s="16"/>
      <c r="D22" s="13"/>
      <c r="E22" s="15"/>
      <c r="F22" s="5"/>
      <c r="G22" s="5"/>
      <c r="H22" s="5"/>
      <c r="I22" s="5"/>
      <c r="J22" s="14"/>
      <c r="K22" s="18" t="str">
        <f aca="false">IF(D22="","",IF(COUNTIF('Lista mestra'!$C$9:$C$38,D22)=0,"Código fora da lista mestra",IF(E22="","Falta a revisão",IF(F22="","Falta a descrição",IF(I22="","Falta a aprovação",IF(J22="","Falta conferir os ligados",IF(J22="Não","Ligados não conferidos","Completa")))))))</f>
        <v/>
      </c>
    </row>
    <row r="23" customFormat="false" ht="30" hidden="false" customHeight="true" outlineLevel="0" collapsed="false">
      <c r="B23" s="12" t="n">
        <v>17</v>
      </c>
      <c r="C23" s="16"/>
      <c r="D23" s="13"/>
      <c r="E23" s="15"/>
      <c r="F23" s="5"/>
      <c r="G23" s="5"/>
      <c r="H23" s="5"/>
      <c r="I23" s="5"/>
      <c r="J23" s="14"/>
      <c r="K23" s="18" t="str">
        <f aca="false">IF(D23="","",IF(COUNTIF('Lista mestra'!$C$9:$C$38,D23)=0,"Código fora da lista mestra",IF(E23="","Falta a revisão",IF(F23="","Falta a descrição",IF(I23="","Falta a aprovação",IF(J23="","Falta conferir os ligados",IF(J23="Não","Ligados não conferidos","Completa")))))))</f>
        <v/>
      </c>
    </row>
    <row r="24" customFormat="false" ht="30" hidden="false" customHeight="true" outlineLevel="0" collapsed="false">
      <c r="B24" s="12" t="n">
        <v>18</v>
      </c>
      <c r="C24" s="16"/>
      <c r="D24" s="13"/>
      <c r="E24" s="15"/>
      <c r="F24" s="5"/>
      <c r="G24" s="5"/>
      <c r="H24" s="5"/>
      <c r="I24" s="5"/>
      <c r="J24" s="14"/>
      <c r="K24" s="18" t="str">
        <f aca="false">IF(D24="","",IF(COUNTIF('Lista mestra'!$C$9:$C$38,D24)=0,"Código fora da lista mestra",IF(E24="","Falta a revisão",IF(F24="","Falta a descrição",IF(I24="","Falta a aprovação",IF(J24="","Falta conferir os ligados",IF(J24="Não","Ligados não conferidos","Completa")))))))</f>
        <v/>
      </c>
    </row>
    <row r="25" customFormat="false" ht="30" hidden="false" customHeight="true" outlineLevel="0" collapsed="false">
      <c r="B25" s="12" t="n">
        <v>19</v>
      </c>
      <c r="C25" s="16"/>
      <c r="D25" s="13"/>
      <c r="E25" s="15"/>
      <c r="F25" s="5"/>
      <c r="G25" s="5"/>
      <c r="H25" s="5"/>
      <c r="I25" s="5"/>
      <c r="J25" s="14"/>
      <c r="K25" s="18" t="str">
        <f aca="false">IF(D25="","",IF(COUNTIF('Lista mestra'!$C$9:$C$38,D25)=0,"Código fora da lista mestra",IF(E25="","Falta a revisão",IF(F25="","Falta a descrição",IF(I25="","Falta a aprovação",IF(J25="","Falta conferir os ligados",IF(J25="Não","Ligados não conferidos","Completa")))))))</f>
        <v/>
      </c>
    </row>
    <row r="26" customFormat="false" ht="30" hidden="false" customHeight="true" outlineLevel="0" collapsed="false">
      <c r="B26" s="12" t="n">
        <v>20</v>
      </c>
      <c r="C26" s="16"/>
      <c r="D26" s="13"/>
      <c r="E26" s="15"/>
      <c r="F26" s="5"/>
      <c r="G26" s="5"/>
      <c r="H26" s="5"/>
      <c r="I26" s="5"/>
      <c r="J26" s="14"/>
      <c r="K26" s="18" t="str">
        <f aca="false">IF(D26="","",IF(COUNTIF('Lista mestra'!$C$9:$C$38,D26)=0,"Código fora da lista mestra",IF(E26="","Falta a revisão",IF(F26="","Falta a descrição",IF(I26="","Falta a aprovação",IF(J26="","Falta conferir os ligados",IF(J26="Não","Ligados não conferidos","Completa")))))))</f>
        <v/>
      </c>
    </row>
    <row r="28" customFormat="false" ht="21.75" hidden="false" customHeight="true" outlineLevel="0" collapsed="false">
      <c r="B28" s="19" t="s">
        <v>103</v>
      </c>
      <c r="C28" s="19"/>
      <c r="D28" s="19"/>
      <c r="E28" s="19"/>
      <c r="F28" s="19"/>
      <c r="G28" s="19"/>
      <c r="H28" s="19"/>
      <c r="I28" s="19"/>
      <c r="J28" s="19"/>
      <c r="K28" s="19"/>
    </row>
    <row r="29" customFormat="false" ht="21.75" hidden="false" customHeight="true" outlineLevel="0" collapsed="false">
      <c r="B29" s="20" t="s">
        <v>193</v>
      </c>
      <c r="C29" s="20"/>
      <c r="D29" s="20"/>
      <c r="E29" s="20"/>
      <c r="F29" s="21" t="n">
        <f aca="false">COUNTA(D7:D26)</f>
        <v>0</v>
      </c>
    </row>
    <row r="30" customFormat="false" ht="21.75" hidden="false" customHeight="true" outlineLevel="0" collapsed="false">
      <c r="B30" s="20" t="s">
        <v>194</v>
      </c>
      <c r="C30" s="20"/>
      <c r="D30" s="20"/>
      <c r="E30" s="20"/>
      <c r="F30" s="21" t="n">
        <f aca="false">COUNTIF(J7:J26,"Sim")+COUNTIF(J7:J26,"Não há")</f>
        <v>0</v>
      </c>
    </row>
    <row r="31" customFormat="false" ht="21.75" hidden="false" customHeight="true" outlineLevel="0" collapsed="false">
      <c r="B31" s="20" t="s">
        <v>115</v>
      </c>
      <c r="C31" s="20"/>
      <c r="D31" s="20"/>
      <c r="E31" s="20"/>
      <c r="F31" s="23" t="str">
        <f aca="false">IF(F29=0,"Registre as alterações",IF(COUNTIF(K7:K26,"Código fora*")&gt;0,"Há alteração de documento que não está na lista mestra",IF(COUNTIF(K7:K26,"Falta*")&gt;0,"Há alteração com o registro incompleto: veja a coluna Conferência",IF(COUNTIF(K7:K26,"Ligados não conferidos")&gt;0,"Há alteração sem a conferência dos documentos ligados","OK"))))</f>
        <v>Registre as alterações</v>
      </c>
    </row>
  </sheetData>
  <mergeCells count="6">
    <mergeCell ref="B1:K1"/>
    <mergeCell ref="B2:K2"/>
    <mergeCell ref="B28:K28"/>
    <mergeCell ref="B29:E29"/>
    <mergeCell ref="B30:E30"/>
    <mergeCell ref="B31:E31"/>
  </mergeCells>
  <conditionalFormatting sqref="K7:K26">
    <cfRule type="expression" priority="2" aboveAverage="0" equalAverage="0" bottom="0" percent="0" rank="0" text="" dxfId="0">
      <formula>K7="Completa"</formula>
    </cfRule>
    <cfRule type="expression" priority="3" aboveAverage="0" equalAverage="0" bottom="0" percent="0" rank="0" text="" dxfId="2">
      <formula>LEN(K7)&gt;0</formula>
    </cfRule>
  </conditionalFormatting>
  <conditionalFormatting sqref="F31">
    <cfRule type="expression" priority="4" aboveAverage="0" equalAverage="0" bottom="0" percent="0" rank="0" text="" dxfId="0">
      <formula>OR(F31="OK")</formula>
    </cfRule>
    <cfRule type="expression" priority="5" aboveAverage="0" equalAverage="0" bottom="0" percent="0" rank="0" text="" dxfId="2">
      <formula>AND(LEN(F31)&gt;0,NOT(OR(F31="OK")))</formula>
    </cfRule>
  </conditionalFormatting>
  <dataValidations count="2">
    <dataValidation allowBlank="true" error="Digite uma data no formato dia/mês/ano." errorStyle="stop" errorTitle="Data inválida" operator="greaterThanOrEqual" showDropDown="false" showErrorMessage="true" showInputMessage="false" sqref="C7:C26" type="date">
      <formula1>36526</formula1>
      <formula2>0</formula2>
    </dataValidation>
    <dataValidation allowBlank="true" error="Escolha uma das opções da lista." errorStyle="stop" errorTitle="Valor inválido" operator="between" prompt="Sim, Não ou Não há" promptTitle="Opções" showDropDown="false" showErrorMessage="true" showInputMessage="true" sqref="J7:J26" type="list">
      <formula1>"Sim,Não,Não há"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A4A9A"/>
    <pageSetUpPr fitToPage="true"/>
  </sheetPr>
  <dimension ref="B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70"/>
    <col collapsed="false" customWidth="true" hidden="false" outlineLevel="0" max="4" min="4" style="0" width="14"/>
    <col collapsed="false" customWidth="true" hidden="false" outlineLevel="0" max="5" min="5" style="0" width="44"/>
    <col collapsed="false" customWidth="true" hidden="false" outlineLevel="0" max="6" min="6" style="0" width="2"/>
  </cols>
  <sheetData>
    <row r="1" customFormat="false" ht="31.5" hidden="false" customHeight="true" outlineLevel="0" collapsed="false">
      <c r="B1" s="1" t="s">
        <v>195</v>
      </c>
      <c r="C1" s="1"/>
      <c r="D1" s="1"/>
      <c r="E1" s="1"/>
    </row>
    <row r="2" customFormat="false" ht="19.5" hidden="false" customHeight="true" outlineLevel="0" collapsed="false">
      <c r="B2" s="2" t="s">
        <v>196</v>
      </c>
      <c r="C2" s="2"/>
      <c r="D2" s="2"/>
      <c r="E2" s="2"/>
    </row>
    <row r="4" customFormat="false" ht="21.75" hidden="false" customHeight="true" outlineLevel="0" collapsed="false">
      <c r="B4" s="10" t="s">
        <v>78</v>
      </c>
      <c r="C4" s="10" t="s">
        <v>197</v>
      </c>
      <c r="D4" s="10" t="s">
        <v>90</v>
      </c>
      <c r="E4" s="10" t="s">
        <v>198</v>
      </c>
    </row>
    <row r="5" customFormat="false" ht="30" hidden="false" customHeight="true" outlineLevel="0" collapsed="false">
      <c r="B5" s="12" t="n">
        <v>1</v>
      </c>
      <c r="C5" s="6" t="s">
        <v>199</v>
      </c>
      <c r="D5" s="14"/>
      <c r="E5" s="5"/>
    </row>
    <row r="6" customFormat="false" ht="30" hidden="false" customHeight="true" outlineLevel="0" collapsed="false">
      <c r="B6" s="12" t="n">
        <v>2</v>
      </c>
      <c r="C6" s="6" t="s">
        <v>200</v>
      </c>
      <c r="D6" s="14"/>
      <c r="E6" s="5"/>
    </row>
    <row r="7" customFormat="false" ht="30" hidden="false" customHeight="true" outlineLevel="0" collapsed="false">
      <c r="B7" s="12" t="n">
        <v>3</v>
      </c>
      <c r="C7" s="6" t="s">
        <v>201</v>
      </c>
      <c r="D7" s="14"/>
      <c r="E7" s="5"/>
    </row>
    <row r="8" customFormat="false" ht="30" hidden="false" customHeight="true" outlineLevel="0" collapsed="false">
      <c r="B8" s="12" t="n">
        <v>4</v>
      </c>
      <c r="C8" s="6" t="s">
        <v>202</v>
      </c>
      <c r="D8" s="14"/>
      <c r="E8" s="5"/>
    </row>
    <row r="9" customFormat="false" ht="30" hidden="false" customHeight="true" outlineLevel="0" collapsed="false">
      <c r="B9" s="12" t="n">
        <v>5</v>
      </c>
      <c r="C9" s="6" t="s">
        <v>203</v>
      </c>
      <c r="D9" s="14"/>
      <c r="E9" s="5"/>
    </row>
    <row r="10" customFormat="false" ht="30" hidden="false" customHeight="true" outlineLevel="0" collapsed="false">
      <c r="B10" s="12" t="n">
        <v>6</v>
      </c>
      <c r="C10" s="6" t="s">
        <v>204</v>
      </c>
      <c r="D10" s="14"/>
      <c r="E10" s="5"/>
    </row>
    <row r="11" customFormat="false" ht="30" hidden="false" customHeight="true" outlineLevel="0" collapsed="false">
      <c r="B11" s="12" t="n">
        <v>7</v>
      </c>
      <c r="C11" s="6" t="s">
        <v>205</v>
      </c>
      <c r="D11" s="14"/>
      <c r="E11" s="5"/>
    </row>
    <row r="12" customFormat="false" ht="30" hidden="false" customHeight="true" outlineLevel="0" collapsed="false">
      <c r="B12" s="12" t="n">
        <v>8</v>
      </c>
      <c r="C12" s="6" t="s">
        <v>206</v>
      </c>
      <c r="D12" s="14"/>
      <c r="E12" s="5"/>
    </row>
    <row r="13" customFormat="false" ht="30" hidden="false" customHeight="true" outlineLevel="0" collapsed="false">
      <c r="B13" s="12" t="n">
        <v>9</v>
      </c>
      <c r="C13" s="6" t="s">
        <v>207</v>
      </c>
      <c r="D13" s="14"/>
      <c r="E13" s="5"/>
    </row>
    <row r="14" customFormat="false" ht="30" hidden="false" customHeight="true" outlineLevel="0" collapsed="false">
      <c r="B14" s="12" t="n">
        <v>10</v>
      </c>
      <c r="C14" s="6" t="s">
        <v>208</v>
      </c>
      <c r="D14" s="14"/>
      <c r="E14" s="5"/>
    </row>
    <row r="15" customFormat="false" ht="30" hidden="false" customHeight="true" outlineLevel="0" collapsed="false">
      <c r="B15" s="12" t="n">
        <v>11</v>
      </c>
      <c r="C15" s="6" t="s">
        <v>209</v>
      </c>
      <c r="D15" s="14"/>
      <c r="E15" s="5"/>
    </row>
    <row r="16" customFormat="false" ht="30" hidden="false" customHeight="true" outlineLevel="0" collapsed="false">
      <c r="B16" s="12" t="n">
        <v>12</v>
      </c>
      <c r="C16" s="6" t="s">
        <v>210</v>
      </c>
      <c r="D16" s="14"/>
      <c r="E16" s="5"/>
    </row>
    <row r="18" customFormat="false" ht="21.75" hidden="false" customHeight="true" outlineLevel="0" collapsed="false">
      <c r="B18" s="19" t="s">
        <v>103</v>
      </c>
      <c r="C18" s="19"/>
      <c r="D18" s="19"/>
      <c r="E18" s="19"/>
    </row>
    <row r="19" customFormat="false" ht="19.5" hidden="false" customHeight="true" outlineLevel="0" collapsed="false">
      <c r="B19" s="20" t="s">
        <v>211</v>
      </c>
      <c r="C19" s="20"/>
      <c r="D19" s="21" t="n">
        <f aca="false">COUNTIF(D5:D16,"Sim")</f>
        <v>0</v>
      </c>
    </row>
    <row r="20" customFormat="false" ht="19.5" hidden="false" customHeight="true" outlineLevel="0" collapsed="false">
      <c r="B20" s="20" t="s">
        <v>212</v>
      </c>
      <c r="C20" s="20"/>
      <c r="D20" s="21" t="n">
        <f aca="false">COUNTIF(D5:D16,"Parcial")</f>
        <v>0</v>
      </c>
    </row>
    <row r="21" customFormat="false" ht="19.5" hidden="false" customHeight="true" outlineLevel="0" collapsed="false">
      <c r="B21" s="20" t="s">
        <v>213</v>
      </c>
      <c r="C21" s="20"/>
      <c r="D21" s="21" t="n">
        <f aca="false">COUNTIF(D5:D16,"Não")</f>
        <v>0</v>
      </c>
    </row>
    <row r="22" customFormat="false" ht="19.5" hidden="false" customHeight="true" outlineLevel="0" collapsed="false">
      <c r="B22" s="20" t="s">
        <v>214</v>
      </c>
      <c r="C22" s="20"/>
      <c r="D22" s="21" t="n">
        <f aca="false">COUNTBLANK(D5:D16)</f>
        <v>12</v>
      </c>
    </row>
    <row r="23" customFormat="false" ht="19.5" hidden="false" customHeight="true" outlineLevel="0" collapsed="false">
      <c r="B23" s="20" t="s">
        <v>215</v>
      </c>
      <c r="C23" s="20"/>
      <c r="D23" s="22" t="n">
        <f aca="false">D19/ROWS(D5:D16)</f>
        <v>0</v>
      </c>
    </row>
    <row r="24" customFormat="false" ht="19.5" hidden="false" customHeight="true" outlineLevel="0" collapsed="false">
      <c r="B24" s="20" t="s">
        <v>91</v>
      </c>
      <c r="C24" s="20"/>
      <c r="D24" s="21" t="str">
        <f aca="false">IF(D19=ROWS(D5:D16),"Validado",IF(D22&gt;0,"Em andamento","Com pendências"))</f>
        <v>Em andamento</v>
      </c>
    </row>
  </sheetData>
  <mergeCells count="9">
    <mergeCell ref="B1:E1"/>
    <mergeCell ref="B2:E2"/>
    <mergeCell ref="B18:E18"/>
    <mergeCell ref="B19:C19"/>
    <mergeCell ref="B20:C20"/>
    <mergeCell ref="B21:C21"/>
    <mergeCell ref="B22:C22"/>
    <mergeCell ref="B23:C23"/>
    <mergeCell ref="B24:C24"/>
  </mergeCells>
  <conditionalFormatting sqref="D5:D16">
    <cfRule type="cellIs" priority="2" operator="equal" aboveAverage="0" equalAverage="0" bottom="0" percent="0" rank="0" text="" dxfId="0">
      <formula>"Sim"</formula>
    </cfRule>
    <cfRule type="cellIs" priority="3" operator="equal" aboveAverage="0" equalAverage="0" bottom="0" percent="0" rank="0" text="" dxfId="2">
      <formula>"Parcial"</formula>
    </cfRule>
    <cfRule type="cellIs" priority="4" operator="equal" aboveAverage="0" equalAverage="0" bottom="0" percent="0" rank="0" text="" dxfId="4">
      <formula>"Não"</formula>
    </cfRule>
  </conditionalFormatting>
  <dataValidations count="1">
    <dataValidation allowBlank="true" error="Escolha uma das opções da lista." errorStyle="stop" errorTitle="Valor inválido" operator="between" prompt="Sim, Parcial ou Não" promptTitle="Opções" showDropDown="false" showErrorMessage="true" showInputMessage="true" sqref="D5:D16" type="list">
      <formula1>"Sim,Parcial,Não"</formula1>
      <formula2>0</formula2>
    </dataValidation>
  </dataValidations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O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8"/>
    <col collapsed="false" customWidth="true" hidden="false" outlineLevel="0" max="5" min="5" style="0" width="20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9" min="8" style="0" width="18"/>
    <col collapsed="false" customWidth="true" hidden="false" outlineLevel="0" max="10" min="10" style="0" width="11"/>
    <col collapsed="false" customWidth="true" hidden="false" outlineLevel="0" max="11" min="11" style="0" width="20"/>
    <col collapsed="false" customWidth="true" hidden="false" outlineLevel="0" max="12" min="12" style="0" width="8"/>
    <col collapsed="false" customWidth="true" hidden="false" outlineLevel="0" max="13" min="13" style="0" width="12"/>
    <col collapsed="false" customWidth="true" hidden="false" outlineLevel="0" max="14" min="14" style="0" width="11"/>
    <col collapsed="false" customWidth="true" hidden="false" outlineLevel="0" max="15" min="15" style="0" width="18"/>
    <col collapsed="false" customWidth="true" hidden="false" outlineLevel="0" max="16" min="16" style="0" width="2"/>
  </cols>
  <sheetData>
    <row r="1" customFormat="false" ht="31.5" hidden="false" customHeight="true" outlineLevel="0" collapsed="false">
      <c r="B1" s="1" t="s">
        <v>216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9.5" hidden="false" customHeight="true" outlineLevel="0" collapsed="false">
      <c r="B2" s="2" t="s">
        <v>217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19.5" hidden="false" customHeight="true" outlineLevel="0" collapsed="false">
      <c r="B4" s="4" t="s">
        <v>74</v>
      </c>
      <c r="C4" s="4"/>
      <c r="D4" s="27" t="s">
        <v>218</v>
      </c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</row>
    <row r="5" customFormat="false" ht="19.5" hidden="false" customHeight="true" outlineLevel="0" collapsed="false">
      <c r="B5" s="4" t="s">
        <v>63</v>
      </c>
      <c r="C5" s="4"/>
      <c r="D5" s="28" t="n">
        <v>46409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</row>
    <row r="6" customFormat="false" ht="19.5" hidden="false" customHeight="true" outlineLevel="0" collapsed="false">
      <c r="B6" s="4" t="s">
        <v>219</v>
      </c>
      <c r="C6" s="4"/>
      <c r="D6" s="27" t="s">
        <v>220</v>
      </c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customFormat="false" ht="19.5" hidden="false" customHeight="true" outlineLevel="0" collapsed="false">
      <c r="B7" s="4" t="s">
        <v>221</v>
      </c>
      <c r="C7" s="4"/>
      <c r="D7" s="27" t="s">
        <v>222</v>
      </c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</row>
    <row r="8" customFormat="false" ht="19.5" hidden="false" customHeight="true" outlineLevel="0" collapsed="false">
      <c r="B8" s="4" t="s">
        <v>151</v>
      </c>
      <c r="C8" s="4"/>
      <c r="D8" s="27" t="s">
        <v>223</v>
      </c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</row>
    <row r="10" customFormat="false" ht="21.75" hidden="false" customHeight="true" outlineLevel="0" collapsed="false">
      <c r="B10" s="29" t="s">
        <v>44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customFormat="false" ht="30" hidden="false" customHeight="true" outlineLevel="0" collapsed="false">
      <c r="B11" s="21" t="s">
        <v>79</v>
      </c>
      <c r="C11" s="21" t="s">
        <v>80</v>
      </c>
      <c r="D11" s="21" t="s">
        <v>81</v>
      </c>
      <c r="E11" s="21" t="s">
        <v>82</v>
      </c>
      <c r="F11" s="21" t="s">
        <v>83</v>
      </c>
      <c r="G11" s="21" t="s">
        <v>177</v>
      </c>
      <c r="H11" s="21" t="s">
        <v>85</v>
      </c>
      <c r="I11" s="21" t="s">
        <v>86</v>
      </c>
      <c r="J11" s="21" t="s">
        <v>87</v>
      </c>
      <c r="K11" s="21" t="s">
        <v>224</v>
      </c>
      <c r="L11" s="21" t="s">
        <v>225</v>
      </c>
      <c r="M11" s="21" t="s">
        <v>226</v>
      </c>
      <c r="N11" s="21" t="s">
        <v>90</v>
      </c>
      <c r="O11" s="21" t="s">
        <v>91</v>
      </c>
    </row>
    <row r="12" customFormat="false" ht="30.75" hidden="false" customHeight="true" outlineLevel="0" collapsed="false">
      <c r="B12" s="30" t="s">
        <v>227</v>
      </c>
      <c r="C12" s="31" t="s">
        <v>228</v>
      </c>
      <c r="D12" s="32" t="s">
        <v>229</v>
      </c>
      <c r="E12" s="7" t="s">
        <v>230</v>
      </c>
      <c r="F12" s="33" t="s">
        <v>231</v>
      </c>
      <c r="G12" s="34" t="n">
        <v>46280</v>
      </c>
      <c r="H12" s="7" t="s">
        <v>232</v>
      </c>
      <c r="I12" s="7" t="s">
        <v>233</v>
      </c>
      <c r="J12" s="32" t="s">
        <v>141</v>
      </c>
      <c r="K12" s="7" t="s">
        <v>234</v>
      </c>
      <c r="L12" s="32" t="n">
        <v>24</v>
      </c>
      <c r="M12" s="17" t="n">
        <f aca="false">IF(OR(G12="",C12=""),"",EDATE(G12,IF(L12="",24,L12)))</f>
        <v>47011</v>
      </c>
      <c r="N12" s="32" t="s">
        <v>106</v>
      </c>
      <c r="O12" s="18" t="str">
        <f aca="false">IF(C12="","",IF(B12="","Falta o código",IF(N12="Obsoleto","Obsoleto",IF(OR(F12="",G12=""),"Falta a revisão",IF(I12="","Falta a aprovação",IF(N12="Em revisão","Em revisão",IF(M12&lt;$D$5,"Revisão vencida","Vigente")))))))</f>
        <v>Vigente</v>
      </c>
    </row>
    <row r="13" customFormat="false" ht="30.75" hidden="false" customHeight="true" outlineLevel="0" collapsed="false">
      <c r="B13" s="30" t="s">
        <v>235</v>
      </c>
      <c r="C13" s="31" t="s">
        <v>236</v>
      </c>
      <c r="D13" s="32" t="s">
        <v>229</v>
      </c>
      <c r="E13" s="7" t="s">
        <v>237</v>
      </c>
      <c r="F13" s="33" t="s">
        <v>231</v>
      </c>
      <c r="G13" s="34" t="n">
        <v>46303</v>
      </c>
      <c r="H13" s="7" t="s">
        <v>238</v>
      </c>
      <c r="I13" s="7" t="s">
        <v>233</v>
      </c>
      <c r="J13" s="32" t="s">
        <v>141</v>
      </c>
      <c r="K13" s="7" t="s">
        <v>239</v>
      </c>
      <c r="L13" s="32" t="n">
        <v>24</v>
      </c>
      <c r="M13" s="17" t="n">
        <f aca="false">IF(OR(G13="",C13=""),"",EDATE(G13,IF(L13="",24,L13)))</f>
        <v>47034</v>
      </c>
      <c r="N13" s="32" t="s">
        <v>106</v>
      </c>
      <c r="O13" s="18" t="str">
        <f aca="false">IF(C13="","",IF(B13="","Falta o código",IF(N13="Obsoleto","Obsoleto",IF(OR(F13="",G13=""),"Falta a revisão",IF(I13="","Falta a aprovação",IF(N13="Em revisão","Em revisão",IF(M13&lt;$D$5,"Revisão vencida","Vigente")))))))</f>
        <v>Vigente</v>
      </c>
    </row>
    <row r="14" customFormat="false" ht="24" hidden="false" customHeight="true" outlineLevel="0" collapsed="false">
      <c r="B14" s="30"/>
      <c r="C14" s="31" t="s">
        <v>240</v>
      </c>
      <c r="D14" s="32" t="s">
        <v>229</v>
      </c>
      <c r="E14" s="7" t="s">
        <v>230</v>
      </c>
      <c r="F14" s="33"/>
      <c r="G14" s="34"/>
      <c r="H14" s="7" t="s">
        <v>232</v>
      </c>
      <c r="I14" s="7"/>
      <c r="J14" s="32" t="s">
        <v>141</v>
      </c>
      <c r="K14" s="7" t="s">
        <v>234</v>
      </c>
      <c r="L14" s="32" t="n">
        <v>24</v>
      </c>
      <c r="M14" s="17" t="str">
        <f aca="false">IF(OR(G14="",C14=""),"",EDATE(G14,IF(L14="",24,L14)))</f>
        <v/>
      </c>
      <c r="N14" s="32" t="s">
        <v>106</v>
      </c>
      <c r="O14" s="18" t="str">
        <f aca="false">IF(C14="","",IF(B14="","Falta o código",IF(N14="Obsoleto","Obsoleto",IF(OR(F14="",G14=""),"Falta a revisão",IF(I14="","Falta a aprovação",IF(N14="Em revisão","Em revisão",IF(M14&lt;$D$5,"Revisão vencida","Vigente")))))))</f>
        <v>Falta o código</v>
      </c>
    </row>
    <row r="15" customFormat="false" ht="30.75" hidden="false" customHeight="true" outlineLevel="0" collapsed="false">
      <c r="B15" s="30" t="s">
        <v>241</v>
      </c>
      <c r="C15" s="31" t="s">
        <v>242</v>
      </c>
      <c r="D15" s="32" t="s">
        <v>229</v>
      </c>
      <c r="E15" s="7" t="s">
        <v>138</v>
      </c>
      <c r="F15" s="33" t="s">
        <v>243</v>
      </c>
      <c r="G15" s="34" t="n">
        <v>46295</v>
      </c>
      <c r="H15" s="7" t="s">
        <v>142</v>
      </c>
      <c r="I15" s="7" t="s">
        <v>233</v>
      </c>
      <c r="J15" s="32" t="s">
        <v>141</v>
      </c>
      <c r="K15" s="7" t="s">
        <v>244</v>
      </c>
      <c r="L15" s="32" t="n">
        <v>24</v>
      </c>
      <c r="M15" s="17" t="n">
        <f aca="false">IF(OR(G15="",C15=""),"",EDATE(G15,IF(L15="",24,L15)))</f>
        <v>47026</v>
      </c>
      <c r="N15" s="32" t="s">
        <v>106</v>
      </c>
      <c r="O15" s="18" t="str">
        <f aca="false">IF(C15="","",IF(B15="","Falta o código",IF(N15="Obsoleto","Obsoleto",IF(OR(F15="",G15=""),"Falta a revisão",IF(I15="","Falta a aprovação",IF(N15="Em revisão","Em revisão",IF(M15&lt;$D$5,"Revisão vencida","Vigente")))))))</f>
        <v>Vigente</v>
      </c>
    </row>
    <row r="16" customFormat="false" ht="30.75" hidden="false" customHeight="true" outlineLevel="0" collapsed="false">
      <c r="B16" s="30" t="s">
        <v>137</v>
      </c>
      <c r="C16" s="31" t="s">
        <v>245</v>
      </c>
      <c r="D16" s="32" t="s">
        <v>246</v>
      </c>
      <c r="E16" s="7" t="s">
        <v>138</v>
      </c>
      <c r="F16" s="33" t="s">
        <v>243</v>
      </c>
      <c r="G16" s="34" t="n">
        <v>46295</v>
      </c>
      <c r="H16" s="7" t="s">
        <v>142</v>
      </c>
      <c r="I16" s="7" t="s">
        <v>233</v>
      </c>
      <c r="J16" s="32" t="s">
        <v>141</v>
      </c>
      <c r="K16" s="7" t="s">
        <v>244</v>
      </c>
      <c r="L16" s="32" t="n">
        <v>24</v>
      </c>
      <c r="M16" s="17" t="n">
        <f aca="false">IF(OR(G16="",C16=""),"",EDATE(G16,IF(L16="",24,L16)))</f>
        <v>47026</v>
      </c>
      <c r="N16" s="32" t="s">
        <v>106</v>
      </c>
      <c r="O16" s="18" t="str">
        <f aca="false">IF(C16="","",IF(B16="","Falta o código",IF(N16="Obsoleto","Obsoleto",IF(OR(F16="",G16=""),"Falta a revisão",IF(I16="","Falta a aprovação",IF(N16="Em revisão","Em revisão",IF(M16&lt;$D$5,"Revisão vencida","Vigente")))))))</f>
        <v>Vigente</v>
      </c>
    </row>
    <row r="17" customFormat="false" ht="24" hidden="false" customHeight="true" outlineLevel="0" collapsed="false">
      <c r="B17" s="30" t="s">
        <v>247</v>
      </c>
      <c r="C17" s="31" t="s">
        <v>248</v>
      </c>
      <c r="D17" s="32" t="s">
        <v>249</v>
      </c>
      <c r="E17" s="7" t="s">
        <v>250</v>
      </c>
      <c r="F17" s="33" t="s">
        <v>251</v>
      </c>
      <c r="G17" s="34" t="n">
        <v>46309</v>
      </c>
      <c r="H17" s="7" t="s">
        <v>233</v>
      </c>
      <c r="I17" s="7" t="s">
        <v>252</v>
      </c>
      <c r="J17" s="32" t="s">
        <v>253</v>
      </c>
      <c r="K17" s="7" t="s">
        <v>254</v>
      </c>
      <c r="L17" s="32" t="n">
        <v>24</v>
      </c>
      <c r="M17" s="17" t="n">
        <f aca="false">IF(OR(G17="",C17=""),"",EDATE(G17,IF(L17="",24,L17)))</f>
        <v>47040</v>
      </c>
      <c r="N17" s="32" t="s">
        <v>106</v>
      </c>
      <c r="O17" s="18" t="str">
        <f aca="false">IF(C17="","",IF(B17="","Falta o código",IF(N17="Obsoleto","Obsoleto",IF(OR(F17="",G17=""),"Falta a revisão",IF(I17="","Falta a aprovação",IF(N17="Em revisão","Em revisão",IF(M17&lt;$D$5,"Revisão vencida","Vigente")))))))</f>
        <v>Vigente</v>
      </c>
    </row>
    <row r="18" customFormat="false" ht="24" hidden="false" customHeight="true" outlineLevel="0" collapsed="false">
      <c r="B18" s="30" t="s">
        <v>255</v>
      </c>
      <c r="C18" s="31" t="s">
        <v>256</v>
      </c>
      <c r="D18" s="32" t="s">
        <v>246</v>
      </c>
      <c r="E18" s="7" t="s">
        <v>250</v>
      </c>
      <c r="F18" s="33" t="s">
        <v>243</v>
      </c>
      <c r="G18" s="34" t="n">
        <v>46266</v>
      </c>
      <c r="H18" s="7" t="s">
        <v>233</v>
      </c>
      <c r="I18" s="7" t="s">
        <v>252</v>
      </c>
      <c r="J18" s="32" t="s">
        <v>257</v>
      </c>
      <c r="K18" s="7" t="s">
        <v>258</v>
      </c>
      <c r="L18" s="32" t="n">
        <v>24</v>
      </c>
      <c r="M18" s="17" t="n">
        <f aca="false">IF(OR(G18="",C18=""),"",EDATE(G18,IF(L18="",24,L18)))</f>
        <v>46997</v>
      </c>
      <c r="N18" s="32" t="s">
        <v>106</v>
      </c>
      <c r="O18" s="18" t="str">
        <f aca="false">IF(C18="","",IF(B18="","Falta o código",IF(N18="Obsoleto","Obsoleto",IF(OR(F18="",G18=""),"Falta a revisão",IF(I18="","Falta a aprovação",IF(N18="Em revisão","Em revisão",IF(M18&lt;$D$5,"Revisão vencida","Vigente")))))))</f>
        <v>Vigente</v>
      </c>
    </row>
    <row r="19" customFormat="false" ht="24" hidden="false" customHeight="true" outlineLevel="0" collapsed="false">
      <c r="B19" s="30" t="s">
        <v>259</v>
      </c>
      <c r="C19" s="31" t="s">
        <v>260</v>
      </c>
      <c r="D19" s="32" t="s">
        <v>246</v>
      </c>
      <c r="E19" s="7" t="s">
        <v>250</v>
      </c>
      <c r="F19" s="33" t="s">
        <v>243</v>
      </c>
      <c r="G19" s="34" t="n">
        <v>46266</v>
      </c>
      <c r="H19" s="7" t="s">
        <v>233</v>
      </c>
      <c r="I19" s="7" t="s">
        <v>252</v>
      </c>
      <c r="J19" s="32" t="s">
        <v>253</v>
      </c>
      <c r="K19" s="7" t="s">
        <v>258</v>
      </c>
      <c r="L19" s="32" t="n">
        <v>24</v>
      </c>
      <c r="M19" s="17" t="n">
        <f aca="false">IF(OR(G19="",C19=""),"",EDATE(G19,IF(L19="",24,L19)))</f>
        <v>46997</v>
      </c>
      <c r="N19" s="32" t="s">
        <v>106</v>
      </c>
      <c r="O19" s="18" t="str">
        <f aca="false">IF(C19="","",IF(B19="","Falta o código",IF(N19="Obsoleto","Obsoleto",IF(OR(F19="",G19=""),"Falta a revisão",IF(I19="","Falta a aprovação",IF(N19="Em revisão","Em revisão",IF(M19&lt;$D$5,"Revisão vencida","Vigente")))))))</f>
        <v>Vigente</v>
      </c>
    </row>
    <row r="20" customFormat="false" ht="24" hidden="false" customHeight="true" outlineLevel="0" collapsed="false">
      <c r="B20" s="30" t="s">
        <v>261</v>
      </c>
      <c r="C20" s="31" t="s">
        <v>262</v>
      </c>
      <c r="D20" s="32" t="s">
        <v>246</v>
      </c>
      <c r="E20" s="7" t="s">
        <v>263</v>
      </c>
      <c r="F20" s="33" t="s">
        <v>243</v>
      </c>
      <c r="G20" s="34" t="n">
        <v>46311</v>
      </c>
      <c r="H20" s="7" t="s">
        <v>142</v>
      </c>
      <c r="I20" s="7" t="s">
        <v>233</v>
      </c>
      <c r="J20" s="32" t="s">
        <v>257</v>
      </c>
      <c r="K20" s="7" t="s">
        <v>264</v>
      </c>
      <c r="L20" s="32" t="n">
        <v>24</v>
      </c>
      <c r="M20" s="17" t="n">
        <f aca="false">IF(OR(G20="",C20=""),"",EDATE(G20,IF(L20="",24,L20)))</f>
        <v>47042</v>
      </c>
      <c r="N20" s="32" t="s">
        <v>106</v>
      </c>
      <c r="O20" s="18" t="str">
        <f aca="false">IF(C20="","",IF(B20="","Falta o código",IF(N20="Obsoleto","Obsoleto",IF(OR(F20="",G20=""),"Falta a revisão",IF(I20="","Falta a aprovação",IF(N20="Em revisão","Em revisão",IF(M20&lt;$D$5,"Revisão vencida","Vigente")))))))</f>
        <v>Vigente</v>
      </c>
    </row>
    <row r="21" customFormat="false" ht="24" hidden="false" customHeight="true" outlineLevel="0" collapsed="false">
      <c r="B21" s="30"/>
      <c r="C21" s="31" t="s">
        <v>265</v>
      </c>
      <c r="D21" s="32" t="s">
        <v>229</v>
      </c>
      <c r="E21" s="7" t="s">
        <v>263</v>
      </c>
      <c r="F21" s="33"/>
      <c r="G21" s="34"/>
      <c r="H21" s="7" t="s">
        <v>142</v>
      </c>
      <c r="I21" s="7"/>
      <c r="J21" s="32" t="s">
        <v>141</v>
      </c>
      <c r="K21" s="7" t="s">
        <v>266</v>
      </c>
      <c r="L21" s="32" t="n">
        <v>24</v>
      </c>
      <c r="M21" s="17" t="str">
        <f aca="false">IF(OR(G21="",C21=""),"",EDATE(G21,IF(L21="",24,L21)))</f>
        <v/>
      </c>
      <c r="N21" s="32" t="s">
        <v>106</v>
      </c>
      <c r="O21" s="18" t="str">
        <f aca="false">IF(C21="","",IF(B21="","Falta o código",IF(N21="Obsoleto","Obsoleto",IF(OR(F21="",G21=""),"Falta a revisão",IF(I21="","Falta a aprovação",IF(N21="Em revisão","Em revisão",IF(M21&lt;$D$5,"Revisão vencida","Vigente")))))))</f>
        <v>Falta o código</v>
      </c>
    </row>
    <row r="22" customFormat="false" ht="24" hidden="false" customHeight="true" outlineLevel="0" collapsed="false">
      <c r="B22" s="30"/>
      <c r="C22" s="31" t="s">
        <v>267</v>
      </c>
      <c r="D22" s="32" t="s">
        <v>268</v>
      </c>
      <c r="E22" s="7" t="s">
        <v>269</v>
      </c>
      <c r="F22" s="33" t="s">
        <v>270</v>
      </c>
      <c r="G22" s="34" t="n">
        <v>46204</v>
      </c>
      <c r="H22" s="7" t="s">
        <v>233</v>
      </c>
      <c r="I22" s="7" t="s">
        <v>252</v>
      </c>
      <c r="J22" s="32" t="s">
        <v>257</v>
      </c>
      <c r="K22" s="7" t="s">
        <v>271</v>
      </c>
      <c r="L22" s="32" t="n">
        <v>12</v>
      </c>
      <c r="M22" s="17" t="n">
        <f aca="false">IF(OR(G22="",C22=""),"",EDATE(G22,IF(L22="",24,L22)))</f>
        <v>46569</v>
      </c>
      <c r="N22" s="32" t="s">
        <v>106</v>
      </c>
      <c r="O22" s="18" t="str">
        <f aca="false">IF(C22="","",IF(B22="","Falta o código",IF(N22="Obsoleto","Obsoleto",IF(OR(F22="",G22=""),"Falta a revisão",IF(I22="","Falta a aprovação",IF(N22="Em revisão","Em revisão",IF(M22&lt;$D$5,"Revisão vencida","Vigente")))))))</f>
        <v>Falta o código</v>
      </c>
    </row>
    <row r="23" customFormat="false" ht="30.75" hidden="false" customHeight="true" outlineLevel="0" collapsed="false">
      <c r="B23" s="30" t="s">
        <v>272</v>
      </c>
      <c r="C23" s="31" t="s">
        <v>273</v>
      </c>
      <c r="D23" s="32" t="s">
        <v>246</v>
      </c>
      <c r="E23" s="7" t="s">
        <v>138</v>
      </c>
      <c r="F23" s="33" t="s">
        <v>243</v>
      </c>
      <c r="G23" s="34" t="n">
        <v>46237</v>
      </c>
      <c r="H23" s="7" t="s">
        <v>233</v>
      </c>
      <c r="I23" s="7" t="s">
        <v>233</v>
      </c>
      <c r="J23" s="32" t="s">
        <v>253</v>
      </c>
      <c r="K23" s="7" t="s">
        <v>274</v>
      </c>
      <c r="L23" s="32" t="n">
        <v>24</v>
      </c>
      <c r="M23" s="17" t="n">
        <f aca="false">IF(OR(G23="",C23=""),"",EDATE(G23,IF(L23="",24,L23)))</f>
        <v>46968</v>
      </c>
      <c r="N23" s="32" t="s">
        <v>106</v>
      </c>
      <c r="O23" s="18" t="str">
        <f aca="false">IF(C23="","",IF(B23="","Falta o código",IF(N23="Obsoleto","Obsoleto",IF(OR(F23="",G23=""),"Falta a revisão",IF(I23="","Falta a aprovação",IF(N23="Em revisão","Em revisão",IF(M23&lt;$D$5,"Revisão vencida","Vigente")))))))</f>
        <v>Vigente</v>
      </c>
    </row>
    <row r="24" customFormat="false" ht="24" hidden="false" customHeight="true" outlineLevel="0" collapsed="false">
      <c r="B24" s="30" t="s">
        <v>275</v>
      </c>
      <c r="C24" s="31" t="s">
        <v>276</v>
      </c>
      <c r="D24" s="32" t="s">
        <v>246</v>
      </c>
      <c r="E24" s="7" t="s">
        <v>277</v>
      </c>
      <c r="F24" s="33" t="s">
        <v>243</v>
      </c>
      <c r="G24" s="34" t="n">
        <v>46213</v>
      </c>
      <c r="H24" s="7" t="s">
        <v>233</v>
      </c>
      <c r="I24" s="7"/>
      <c r="J24" s="32" t="s">
        <v>141</v>
      </c>
      <c r="K24" s="7" t="s">
        <v>278</v>
      </c>
      <c r="L24" s="32" t="n">
        <v>24</v>
      </c>
      <c r="M24" s="17" t="n">
        <f aca="false">IF(OR(G24="",C24=""),"",EDATE(G24,IF(L24="",24,L24)))</f>
        <v>46944</v>
      </c>
      <c r="N24" s="32" t="s">
        <v>106</v>
      </c>
      <c r="O24" s="18" t="str">
        <f aca="false">IF(C24="","",IF(B24="","Falta o código",IF(N24="Obsoleto","Obsoleto",IF(OR(F24="",G24=""),"Falta a revisão",IF(I24="","Falta a aprovação",IF(N24="Em revisão","Em revisão",IF(M24&lt;$D$5,"Revisão vencida","Vigente")))))))</f>
        <v>Falta a aprovação</v>
      </c>
    </row>
    <row r="25" customFormat="false" ht="30.75" hidden="false" customHeight="true" outlineLevel="0" collapsed="false">
      <c r="B25" s="30" t="s">
        <v>279</v>
      </c>
      <c r="C25" s="31" t="s">
        <v>280</v>
      </c>
      <c r="D25" s="32" t="s">
        <v>281</v>
      </c>
      <c r="E25" s="7" t="s">
        <v>282</v>
      </c>
      <c r="F25" s="33" t="s">
        <v>243</v>
      </c>
      <c r="G25" s="34" t="n">
        <v>46309</v>
      </c>
      <c r="H25" s="7" t="s">
        <v>233</v>
      </c>
      <c r="I25" s="7" t="s">
        <v>252</v>
      </c>
      <c r="J25" s="32" t="s">
        <v>253</v>
      </c>
      <c r="K25" s="7" t="s">
        <v>254</v>
      </c>
      <c r="L25" s="32" t="n">
        <v>12</v>
      </c>
      <c r="M25" s="17" t="n">
        <f aca="false">IF(OR(G25="",C25=""),"",EDATE(G25,IF(L25="",24,L25)))</f>
        <v>46674</v>
      </c>
      <c r="N25" s="32" t="s">
        <v>106</v>
      </c>
      <c r="O25" s="18" t="str">
        <f aca="false">IF(C25="","",IF(B25="","Falta o código",IF(N25="Obsoleto","Obsoleto",IF(OR(F25="",G25=""),"Falta a revisão",IF(I25="","Falta a aprovação",IF(N25="Em revisão","Em revisão",IF(M25&lt;$D$5,"Revisão vencida","Vigente")))))))</f>
        <v>Vigente</v>
      </c>
    </row>
    <row r="26" customFormat="false" ht="30.75" hidden="false" customHeight="true" outlineLevel="0" collapsed="false">
      <c r="B26" s="30" t="s">
        <v>283</v>
      </c>
      <c r="C26" s="31" t="s">
        <v>284</v>
      </c>
      <c r="D26" s="32" t="s">
        <v>281</v>
      </c>
      <c r="E26" s="7" t="s">
        <v>282</v>
      </c>
      <c r="F26" s="33" t="s">
        <v>243</v>
      </c>
      <c r="G26" s="34" t="n">
        <v>46300</v>
      </c>
      <c r="H26" s="7" t="s">
        <v>233</v>
      </c>
      <c r="I26" s="7" t="s">
        <v>252</v>
      </c>
      <c r="J26" s="32" t="s">
        <v>253</v>
      </c>
      <c r="K26" s="7" t="s">
        <v>254</v>
      </c>
      <c r="L26" s="32" t="n">
        <v>6</v>
      </c>
      <c r="M26" s="17" t="n">
        <f aca="false">IF(OR(G26="",C26=""),"",EDATE(G26,IF(L26="",24,L26)))</f>
        <v>46482</v>
      </c>
      <c r="N26" s="32" t="s">
        <v>106</v>
      </c>
      <c r="O26" s="18" t="str">
        <f aca="false">IF(C26="","",IF(B26="","Falta o código",IF(N26="Obsoleto","Obsoleto",IF(OR(F26="",G26=""),"Falta a revisão",IF(I26="","Falta a aprovação",IF(N26="Em revisão","Em revisão",IF(M26&lt;$D$5,"Revisão vencida","Vigente")))))))</f>
        <v>Vigente</v>
      </c>
    </row>
    <row r="27" customFormat="false" ht="30.75" hidden="false" customHeight="true" outlineLevel="0" collapsed="false">
      <c r="B27" s="30" t="s">
        <v>285</v>
      </c>
      <c r="C27" s="31" t="s">
        <v>286</v>
      </c>
      <c r="D27" s="32" t="s">
        <v>246</v>
      </c>
      <c r="E27" s="7" t="s">
        <v>282</v>
      </c>
      <c r="F27" s="33" t="s">
        <v>243</v>
      </c>
      <c r="G27" s="34" t="n">
        <v>46357</v>
      </c>
      <c r="H27" s="7" t="s">
        <v>233</v>
      </c>
      <c r="I27" s="7" t="s">
        <v>252</v>
      </c>
      <c r="J27" s="32" t="s">
        <v>253</v>
      </c>
      <c r="K27" s="7" t="s">
        <v>254</v>
      </c>
      <c r="L27" s="32" t="n">
        <v>24</v>
      </c>
      <c r="M27" s="17" t="n">
        <f aca="false">IF(OR(G27="",C27=""),"",EDATE(G27,IF(L27="",24,L27)))</f>
        <v>47088</v>
      </c>
      <c r="N27" s="32" t="s">
        <v>106</v>
      </c>
      <c r="O27" s="18" t="str">
        <f aca="false">IF(C27="","",IF(B27="","Falta o código",IF(N27="Obsoleto","Obsoleto",IF(OR(F27="",G27=""),"Falta a revisão",IF(I27="","Falta a aprovação",IF(N27="Em revisão","Em revisão",IF(M27&lt;$D$5,"Revisão vencida","Vigente")))))))</f>
        <v>Vigente</v>
      </c>
    </row>
    <row r="28" customFormat="false" ht="24" hidden="false" customHeight="true" outlineLevel="0" collapsed="false">
      <c r="B28" s="30" t="s">
        <v>287</v>
      </c>
      <c r="C28" s="31" t="s">
        <v>288</v>
      </c>
      <c r="D28" s="32" t="s">
        <v>229</v>
      </c>
      <c r="E28" s="7" t="s">
        <v>269</v>
      </c>
      <c r="F28" s="33" t="s">
        <v>243</v>
      </c>
      <c r="G28" s="34" t="n">
        <v>45728</v>
      </c>
      <c r="H28" s="7" t="s">
        <v>233</v>
      </c>
      <c r="I28" s="7" t="s">
        <v>252</v>
      </c>
      <c r="J28" s="32" t="s">
        <v>141</v>
      </c>
      <c r="K28" s="7" t="s">
        <v>289</v>
      </c>
      <c r="L28" s="32" t="n">
        <v>24</v>
      </c>
      <c r="M28" s="17" t="n">
        <f aca="false">IF(OR(G28="",C28=""),"",EDATE(G28,IF(L28="",24,L28)))</f>
        <v>46458</v>
      </c>
      <c r="N28" s="32" t="s">
        <v>117</v>
      </c>
      <c r="O28" s="18" t="str">
        <f aca="false">IF(C28="","",IF(B28="","Falta o código",IF(N28="Obsoleto","Obsoleto",IF(OR(F28="",G28=""),"Falta a revisão",IF(I28="","Falta a aprovação",IF(N28="Em revisão","Em revisão",IF(M28&lt;$D$5,"Revisão vencida","Vigente")))))))</f>
        <v>Obsoleto</v>
      </c>
    </row>
    <row r="30" customFormat="false" ht="21.75" hidden="false" customHeight="true" outlineLevel="0" collapsed="false">
      <c r="B30" s="19" t="s">
        <v>104</v>
      </c>
      <c r="C30" s="19"/>
      <c r="D30" s="19"/>
      <c r="E30" s="19"/>
    </row>
    <row r="31" customFormat="false" ht="21.75" hidden="false" customHeight="true" outlineLevel="0" collapsed="false">
      <c r="B31" s="20" t="s">
        <v>106</v>
      </c>
      <c r="C31" s="20"/>
      <c r="D31" s="20"/>
      <c r="E31" s="21" t="n">
        <f aca="false">COUNTIF(O12:O28,"Vigente")</f>
        <v>12</v>
      </c>
    </row>
    <row r="32" customFormat="false" ht="21.75" hidden="false" customHeight="true" outlineLevel="0" collapsed="false">
      <c r="B32" s="20" t="s">
        <v>108</v>
      </c>
      <c r="C32" s="20"/>
      <c r="D32" s="20"/>
      <c r="E32" s="21" t="n">
        <f aca="false">COUNTIF(O12:O28,"Em revisão")</f>
        <v>0</v>
      </c>
    </row>
    <row r="33" customFormat="false" ht="21.75" hidden="false" customHeight="true" outlineLevel="0" collapsed="false">
      <c r="B33" s="20" t="s">
        <v>110</v>
      </c>
      <c r="C33" s="20"/>
      <c r="D33" s="20"/>
      <c r="E33" s="21" t="n">
        <f aca="false">COUNTIF(O12:O28,"Revisão vencida")</f>
        <v>0</v>
      </c>
    </row>
    <row r="34" customFormat="false" ht="21.75" hidden="false" customHeight="true" outlineLevel="0" collapsed="false">
      <c r="B34" s="20" t="s">
        <v>112</v>
      </c>
      <c r="C34" s="20"/>
      <c r="D34" s="20"/>
      <c r="E34" s="21" t="n">
        <f aca="false">COUNTIF(O12:O28,"Falta o código")</f>
        <v>3</v>
      </c>
    </row>
    <row r="35" customFormat="false" ht="21.75" hidden="false" customHeight="true" outlineLevel="0" collapsed="false">
      <c r="B35" s="20" t="s">
        <v>114</v>
      </c>
      <c r="C35" s="20"/>
      <c r="D35" s="20"/>
      <c r="E35" s="21" t="n">
        <f aca="false">COUNTIF(O12:O28,"Falta a revisão")</f>
        <v>0</v>
      </c>
    </row>
    <row r="36" customFormat="false" ht="21.75" hidden="false" customHeight="true" outlineLevel="0" collapsed="false">
      <c r="B36" s="20" t="s">
        <v>116</v>
      </c>
      <c r="C36" s="20"/>
      <c r="D36" s="20"/>
      <c r="E36" s="21" t="n">
        <f aca="false">COUNTIF(O12:O28,"Falta a aprovação")</f>
        <v>1</v>
      </c>
    </row>
    <row r="37" customFormat="false" ht="21.75" hidden="false" customHeight="true" outlineLevel="0" collapsed="false">
      <c r="B37" s="20" t="s">
        <v>117</v>
      </c>
      <c r="C37" s="20"/>
      <c r="D37" s="20"/>
      <c r="E37" s="21" t="n">
        <f aca="false">COUNTIF(O12:O28,"Obsoleto")</f>
        <v>1</v>
      </c>
    </row>
    <row r="38" customFormat="false" ht="21.75" hidden="false" customHeight="true" outlineLevel="0" collapsed="false">
      <c r="B38" s="20" t="s">
        <v>290</v>
      </c>
      <c r="C38" s="20"/>
      <c r="D38" s="20"/>
      <c r="E38" s="22" t="n">
        <f aca="false">(E31+E32)/(SUM(E31:E37)-E37)</f>
        <v>0.75</v>
      </c>
    </row>
    <row r="41" customFormat="false" ht="21.75" hidden="false" customHeight="true" outlineLevel="0" collapsed="false">
      <c r="B41" s="35" t="s">
        <v>118</v>
      </c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</row>
    <row r="42" customFormat="false" ht="30" hidden="false" customHeight="true" outlineLevel="0" collapsed="false">
      <c r="B42" s="21" t="s">
        <v>120</v>
      </c>
      <c r="C42" s="21"/>
      <c r="D42" s="21" t="s">
        <v>121</v>
      </c>
      <c r="E42" s="21"/>
      <c r="F42" s="21" t="s">
        <v>82</v>
      </c>
      <c r="G42" s="21"/>
      <c r="H42" s="21" t="s">
        <v>122</v>
      </c>
      <c r="I42" s="21" t="s">
        <v>123</v>
      </c>
      <c r="J42" s="21" t="s">
        <v>87</v>
      </c>
      <c r="K42" s="21" t="s">
        <v>125</v>
      </c>
      <c r="L42" s="21" t="s">
        <v>124</v>
      </c>
      <c r="M42" s="21"/>
      <c r="N42" s="21" t="s">
        <v>291</v>
      </c>
      <c r="O42" s="21"/>
    </row>
    <row r="43" customFormat="false" ht="24" hidden="false" customHeight="true" outlineLevel="0" collapsed="false">
      <c r="B43" s="31" t="s">
        <v>292</v>
      </c>
      <c r="C43" s="31"/>
      <c r="D43" s="7" t="s">
        <v>264</v>
      </c>
      <c r="E43" s="7"/>
      <c r="F43" s="7" t="s">
        <v>237</v>
      </c>
      <c r="G43" s="7"/>
      <c r="H43" s="7" t="s">
        <v>293</v>
      </c>
      <c r="I43" s="7" t="s">
        <v>294</v>
      </c>
      <c r="J43" s="32" t="s">
        <v>253</v>
      </c>
      <c r="K43" s="7" t="s">
        <v>295</v>
      </c>
      <c r="L43" s="32" t="n">
        <v>24</v>
      </c>
      <c r="M43" s="32"/>
      <c r="N43" s="7" t="s">
        <v>296</v>
      </c>
      <c r="O43" s="7"/>
    </row>
    <row r="44" customFormat="false" ht="24" hidden="false" customHeight="true" outlineLevel="0" collapsed="false">
      <c r="B44" s="31" t="s">
        <v>245</v>
      </c>
      <c r="C44" s="31"/>
      <c r="D44" s="7" t="s">
        <v>137</v>
      </c>
      <c r="E44" s="7"/>
      <c r="F44" s="7" t="s">
        <v>138</v>
      </c>
      <c r="G44" s="7"/>
      <c r="H44" s="7" t="s">
        <v>139</v>
      </c>
      <c r="I44" s="7" t="s">
        <v>140</v>
      </c>
      <c r="J44" s="32" t="s">
        <v>141</v>
      </c>
      <c r="K44" s="7" t="s">
        <v>142</v>
      </c>
      <c r="L44" s="32" t="n">
        <v>12</v>
      </c>
      <c r="M44" s="32"/>
      <c r="N44" s="7" t="s">
        <v>143</v>
      </c>
      <c r="O44" s="7"/>
    </row>
    <row r="45" customFormat="false" ht="24" hidden="false" customHeight="true" outlineLevel="0" collapsed="false">
      <c r="B45" s="31" t="s">
        <v>297</v>
      </c>
      <c r="C45" s="31"/>
      <c r="D45" s="7" t="s">
        <v>298</v>
      </c>
      <c r="E45" s="7"/>
      <c r="F45" s="7" t="s">
        <v>263</v>
      </c>
      <c r="G45" s="7"/>
      <c r="H45" s="7" t="s">
        <v>299</v>
      </c>
      <c r="I45" s="7" t="s">
        <v>300</v>
      </c>
      <c r="J45" s="32" t="s">
        <v>141</v>
      </c>
      <c r="K45" s="7" t="s">
        <v>232</v>
      </c>
      <c r="L45" s="32" t="n">
        <v>1</v>
      </c>
      <c r="M45" s="32"/>
      <c r="N45" s="7" t="s">
        <v>301</v>
      </c>
      <c r="O45" s="7"/>
    </row>
    <row r="46" customFormat="false" ht="24" hidden="false" customHeight="true" outlineLevel="0" collapsed="false">
      <c r="B46" s="31" t="s">
        <v>302</v>
      </c>
      <c r="C46" s="31"/>
      <c r="D46" s="7" t="s">
        <v>275</v>
      </c>
      <c r="E46" s="7"/>
      <c r="F46" s="7" t="s">
        <v>277</v>
      </c>
      <c r="G46" s="7"/>
      <c r="H46" s="7" t="s">
        <v>303</v>
      </c>
      <c r="I46" s="7" t="s">
        <v>278</v>
      </c>
      <c r="J46" s="32" t="s">
        <v>141</v>
      </c>
      <c r="K46" s="7" t="s">
        <v>233</v>
      </c>
      <c r="L46" s="32" t="n">
        <v>60</v>
      </c>
      <c r="M46" s="32"/>
      <c r="N46" s="7" t="s">
        <v>143</v>
      </c>
      <c r="O46" s="7"/>
    </row>
    <row r="47" customFormat="false" ht="30.75" hidden="false" customHeight="true" outlineLevel="0" collapsed="false">
      <c r="B47" s="31" t="s">
        <v>304</v>
      </c>
      <c r="C47" s="31"/>
      <c r="D47" s="7" t="s">
        <v>305</v>
      </c>
      <c r="E47" s="7"/>
      <c r="F47" s="7" t="s">
        <v>250</v>
      </c>
      <c r="G47" s="7"/>
      <c r="H47" s="7" t="s">
        <v>293</v>
      </c>
      <c r="I47" s="7" t="s">
        <v>274</v>
      </c>
      <c r="J47" s="32" t="s">
        <v>253</v>
      </c>
      <c r="K47" s="7" t="s">
        <v>306</v>
      </c>
      <c r="L47" s="32" t="n">
        <v>24</v>
      </c>
      <c r="M47" s="32"/>
      <c r="N47" s="7" t="s">
        <v>307</v>
      </c>
      <c r="O47" s="7"/>
    </row>
    <row r="48" customFormat="false" ht="24" hidden="false" customHeight="true" outlineLevel="0" collapsed="false">
      <c r="B48" s="31" t="s">
        <v>256</v>
      </c>
      <c r="C48" s="31"/>
      <c r="D48" s="7" t="s">
        <v>255</v>
      </c>
      <c r="E48" s="7"/>
      <c r="F48" s="7" t="s">
        <v>250</v>
      </c>
      <c r="G48" s="7"/>
      <c r="H48" s="7" t="s">
        <v>303</v>
      </c>
      <c r="I48" s="7" t="s">
        <v>258</v>
      </c>
      <c r="J48" s="32" t="s">
        <v>257</v>
      </c>
      <c r="K48" s="7" t="s">
        <v>233</v>
      </c>
      <c r="L48" s="32" t="n">
        <v>60</v>
      </c>
      <c r="M48" s="32"/>
      <c r="N48" s="7" t="s">
        <v>308</v>
      </c>
      <c r="O48" s="7"/>
    </row>
    <row r="49" customFormat="false" ht="24" hidden="false" customHeight="true" outlineLevel="0" collapsed="false">
      <c r="B49" s="31" t="s">
        <v>260</v>
      </c>
      <c r="C49" s="31"/>
      <c r="D49" s="7" t="s">
        <v>259</v>
      </c>
      <c r="E49" s="7"/>
      <c r="F49" s="7" t="s">
        <v>250</v>
      </c>
      <c r="G49" s="7"/>
      <c r="H49" s="7" t="s">
        <v>303</v>
      </c>
      <c r="I49" s="7" t="s">
        <v>258</v>
      </c>
      <c r="J49" s="32" t="s">
        <v>253</v>
      </c>
      <c r="K49" s="7" t="s">
        <v>309</v>
      </c>
      <c r="L49" s="32" t="n">
        <v>60</v>
      </c>
      <c r="M49" s="32"/>
      <c r="N49" s="7" t="s">
        <v>307</v>
      </c>
      <c r="O49" s="7"/>
    </row>
    <row r="50" customFormat="false" ht="24" hidden="false" customHeight="true" outlineLevel="0" collapsed="false">
      <c r="B50" s="31" t="s">
        <v>286</v>
      </c>
      <c r="C50" s="31"/>
      <c r="D50" s="7" t="s">
        <v>285</v>
      </c>
      <c r="E50" s="7"/>
      <c r="F50" s="7" t="s">
        <v>282</v>
      </c>
      <c r="G50" s="7"/>
      <c r="H50" s="7" t="s">
        <v>303</v>
      </c>
      <c r="I50" s="7" t="s">
        <v>254</v>
      </c>
      <c r="J50" s="32" t="s">
        <v>253</v>
      </c>
      <c r="K50" s="7" t="s">
        <v>310</v>
      </c>
      <c r="L50" s="32" t="n">
        <v>60</v>
      </c>
      <c r="M50" s="32"/>
      <c r="N50" s="7" t="s">
        <v>307</v>
      </c>
      <c r="O50" s="7"/>
    </row>
    <row r="52" customFormat="false" ht="21.75" hidden="false" customHeight="true" outlineLevel="0" collapsed="false">
      <c r="B52" s="19" t="s">
        <v>103</v>
      </c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</row>
    <row r="53" customFormat="false" ht="21.75" hidden="false" customHeight="true" outlineLevel="0" collapsed="false">
      <c r="B53" s="20" t="s">
        <v>105</v>
      </c>
      <c r="C53" s="20"/>
      <c r="D53" s="20"/>
      <c r="E53" s="21" t="n">
        <f aca="false">COUNTA(C12:C28)</f>
        <v>17</v>
      </c>
    </row>
    <row r="54" customFormat="false" ht="21.75" hidden="false" customHeight="true" outlineLevel="0" collapsed="false">
      <c r="B54" s="20" t="s">
        <v>311</v>
      </c>
      <c r="C54" s="20"/>
      <c r="D54" s="20"/>
      <c r="E54" s="21" t="n">
        <f aca="false">COUNTIF(O12:O28,"Falta*")</f>
        <v>4</v>
      </c>
    </row>
    <row r="55" customFormat="false" ht="21.75" hidden="false" customHeight="true" outlineLevel="0" collapsed="false">
      <c r="B55" s="20" t="s">
        <v>312</v>
      </c>
      <c r="C55" s="20"/>
      <c r="D55" s="20"/>
      <c r="E55" s="21" t="n">
        <f aca="false">COUNTIF(O12:O28,"Revisão vencida")</f>
        <v>0</v>
      </c>
    </row>
    <row r="56" customFormat="false" ht="21.75" hidden="false" customHeight="true" outlineLevel="0" collapsed="false">
      <c r="B56" s="20" t="s">
        <v>145</v>
      </c>
      <c r="C56" s="20"/>
      <c r="D56" s="20"/>
      <c r="E56" s="21" t="n">
        <f aca="false">COUNTA(B43:B50)</f>
        <v>8</v>
      </c>
    </row>
    <row r="57" customFormat="false" ht="21.75" hidden="false" customHeight="true" outlineLevel="0" collapsed="false">
      <c r="B57" s="20" t="s">
        <v>147</v>
      </c>
      <c r="C57" s="20"/>
      <c r="D57" s="20"/>
      <c r="E57" s="21" t="n">
        <f aca="false">MAX(L43:L50)</f>
        <v>60</v>
      </c>
    </row>
  </sheetData>
  <mergeCells count="74">
    <mergeCell ref="B1:O1"/>
    <mergeCell ref="B2:O2"/>
    <mergeCell ref="B4:C4"/>
    <mergeCell ref="D4:O4"/>
    <mergeCell ref="B5:C5"/>
    <mergeCell ref="D5:O5"/>
    <mergeCell ref="B6:C6"/>
    <mergeCell ref="D6:O6"/>
    <mergeCell ref="B7:C7"/>
    <mergeCell ref="D7:O7"/>
    <mergeCell ref="B8:C8"/>
    <mergeCell ref="D8:O8"/>
    <mergeCell ref="B10:O10"/>
    <mergeCell ref="B30:E30"/>
    <mergeCell ref="B31:D31"/>
    <mergeCell ref="B32:D32"/>
    <mergeCell ref="B33:D33"/>
    <mergeCell ref="B34:D34"/>
    <mergeCell ref="B35:D35"/>
    <mergeCell ref="B36:D36"/>
    <mergeCell ref="B37:D37"/>
    <mergeCell ref="B38:D38"/>
    <mergeCell ref="B41:O41"/>
    <mergeCell ref="B42:C42"/>
    <mergeCell ref="D42:E42"/>
    <mergeCell ref="F42:G42"/>
    <mergeCell ref="L42:M42"/>
    <mergeCell ref="N42:O42"/>
    <mergeCell ref="B43:C43"/>
    <mergeCell ref="D43:E43"/>
    <mergeCell ref="F43:G43"/>
    <mergeCell ref="L43:M43"/>
    <mergeCell ref="N43:O43"/>
    <mergeCell ref="B44:C44"/>
    <mergeCell ref="D44:E44"/>
    <mergeCell ref="F44:G44"/>
    <mergeCell ref="L44:M44"/>
    <mergeCell ref="N44:O44"/>
    <mergeCell ref="B45:C45"/>
    <mergeCell ref="D45:E45"/>
    <mergeCell ref="F45:G45"/>
    <mergeCell ref="L45:M45"/>
    <mergeCell ref="N45:O45"/>
    <mergeCell ref="B46:C46"/>
    <mergeCell ref="D46:E46"/>
    <mergeCell ref="F46:G46"/>
    <mergeCell ref="L46:M46"/>
    <mergeCell ref="N46:O46"/>
    <mergeCell ref="B47:C47"/>
    <mergeCell ref="D47:E47"/>
    <mergeCell ref="F47:G47"/>
    <mergeCell ref="L47:M47"/>
    <mergeCell ref="N47:O47"/>
    <mergeCell ref="B48:C48"/>
    <mergeCell ref="D48:E48"/>
    <mergeCell ref="F48:G48"/>
    <mergeCell ref="L48:M48"/>
    <mergeCell ref="N48:O48"/>
    <mergeCell ref="B49:C49"/>
    <mergeCell ref="D49:E49"/>
    <mergeCell ref="F49:G49"/>
    <mergeCell ref="L49:M49"/>
    <mergeCell ref="N49:O49"/>
    <mergeCell ref="B50:C50"/>
    <mergeCell ref="D50:E50"/>
    <mergeCell ref="F50:G50"/>
    <mergeCell ref="L50:M50"/>
    <mergeCell ref="N50:O50"/>
    <mergeCell ref="B52:O52"/>
    <mergeCell ref="B53:D53"/>
    <mergeCell ref="B54:D54"/>
    <mergeCell ref="B55:D55"/>
    <mergeCell ref="B56:D56"/>
    <mergeCell ref="B57:D57"/>
  </mergeCells>
  <conditionalFormatting sqref="O12:O28">
    <cfRule type="expression" priority="2" aboveAverage="0" equalAverage="0" bottom="0" percent="0" rank="0" text="" dxfId="0">
      <formula>O12="Vigente"</formula>
    </cfRule>
    <cfRule type="expression" priority="3" aboveAverage="0" equalAverage="0" bottom="0" percent="0" rank="0" text="" dxfId="1">
      <formula>O12="Em revisão"</formula>
    </cfRule>
    <cfRule type="expression" priority="4" aboveAverage="0" equalAverage="0" bottom="0" percent="0" rank="0" text="" dxfId="2">
      <formula>O12="Revisão vencida"</formula>
    </cfRule>
    <cfRule type="expression" priority="5" aboveAverage="0" equalAverage="0" bottom="0" percent="0" rank="0" text="" dxfId="3">
      <formula>O12="Obsoleto"</formula>
    </cfRule>
    <cfRule type="expression" priority="6" aboveAverage="0" equalAverage="0" bottom="0" percent="0" rank="0" text="" dxfId="4">
      <formula>LEFT(O12,5)="Falta"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29" man="true" max="16383" min="0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B6B76"/>
    <pageSetUpPr fitToPage="true"/>
  </sheetPr>
  <dimension ref="B1:O5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8"/>
    <col collapsed="false" customWidth="true" hidden="false" outlineLevel="0" max="5" min="5" style="0" width="20"/>
    <col collapsed="false" customWidth="true" hidden="false" outlineLevel="0" max="6" min="6" style="0" width="9"/>
    <col collapsed="false" customWidth="true" hidden="false" outlineLevel="0" max="7" min="7" style="0" width="12"/>
    <col collapsed="false" customWidth="true" hidden="false" outlineLevel="0" max="9" min="8" style="0" width="18"/>
    <col collapsed="false" customWidth="true" hidden="false" outlineLevel="0" max="10" min="10" style="0" width="11"/>
    <col collapsed="false" customWidth="true" hidden="false" outlineLevel="0" max="11" min="11" style="0" width="20"/>
    <col collapsed="false" customWidth="true" hidden="false" outlineLevel="0" max="12" min="12" style="0" width="8"/>
    <col collapsed="false" customWidth="true" hidden="false" outlineLevel="0" max="13" min="13" style="0" width="12"/>
    <col collapsed="false" customWidth="true" hidden="false" outlineLevel="0" max="14" min="14" style="0" width="11"/>
    <col collapsed="false" customWidth="true" hidden="false" outlineLevel="0" max="15" min="15" style="0" width="18"/>
    <col collapsed="false" customWidth="true" hidden="false" outlineLevel="0" max="16" min="16" style="0" width="2"/>
  </cols>
  <sheetData>
    <row r="1" customFormat="false" ht="31.5" hidden="false" customHeight="true" outlineLevel="0" collapsed="false">
      <c r="B1" s="1" t="s">
        <v>216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customFormat="false" ht="19.5" hidden="false" customHeight="true" outlineLevel="0" collapsed="false">
      <c r="B2" s="2" t="s">
        <v>217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19.5" hidden="false" customHeight="true" outlineLevel="0" collapsed="false">
      <c r="B4" s="4" t="s">
        <v>74</v>
      </c>
      <c r="C4" s="4"/>
      <c r="D4" s="27" t="s">
        <v>313</v>
      </c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</row>
    <row r="5" customFormat="false" ht="19.5" hidden="false" customHeight="true" outlineLevel="0" collapsed="false">
      <c r="B5" s="4" t="s">
        <v>63</v>
      </c>
      <c r="C5" s="4"/>
      <c r="D5" s="28" t="n">
        <v>46451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</row>
    <row r="6" customFormat="false" ht="19.5" hidden="false" customHeight="true" outlineLevel="0" collapsed="false">
      <c r="B6" s="4" t="s">
        <v>219</v>
      </c>
      <c r="C6" s="4"/>
      <c r="D6" s="27" t="s">
        <v>314</v>
      </c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</row>
    <row r="7" customFormat="false" ht="19.5" hidden="false" customHeight="true" outlineLevel="0" collapsed="false">
      <c r="B7" s="4" t="s">
        <v>221</v>
      </c>
      <c r="C7" s="4"/>
      <c r="D7" s="27" t="s">
        <v>315</v>
      </c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</row>
    <row r="8" customFormat="false" ht="19.5" hidden="false" customHeight="true" outlineLevel="0" collapsed="false">
      <c r="B8" s="4" t="s">
        <v>151</v>
      </c>
      <c r="C8" s="4"/>
      <c r="D8" s="27" t="s">
        <v>316</v>
      </c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</row>
    <row r="10" customFormat="false" ht="21.75" hidden="false" customHeight="true" outlineLevel="0" collapsed="false">
      <c r="B10" s="29" t="s">
        <v>44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</row>
    <row r="11" customFormat="false" ht="30" hidden="false" customHeight="true" outlineLevel="0" collapsed="false">
      <c r="B11" s="21" t="s">
        <v>79</v>
      </c>
      <c r="C11" s="21" t="s">
        <v>80</v>
      </c>
      <c r="D11" s="21" t="s">
        <v>81</v>
      </c>
      <c r="E11" s="21" t="s">
        <v>82</v>
      </c>
      <c r="F11" s="21" t="s">
        <v>83</v>
      </c>
      <c r="G11" s="21" t="s">
        <v>177</v>
      </c>
      <c r="H11" s="21" t="s">
        <v>85</v>
      </c>
      <c r="I11" s="21" t="s">
        <v>86</v>
      </c>
      <c r="J11" s="21" t="s">
        <v>87</v>
      </c>
      <c r="K11" s="21" t="s">
        <v>224</v>
      </c>
      <c r="L11" s="21" t="s">
        <v>225</v>
      </c>
      <c r="M11" s="21" t="s">
        <v>226</v>
      </c>
      <c r="N11" s="21" t="s">
        <v>90</v>
      </c>
      <c r="O11" s="21" t="s">
        <v>91</v>
      </c>
    </row>
    <row r="12" customFormat="false" ht="30.75" hidden="false" customHeight="true" outlineLevel="0" collapsed="false">
      <c r="B12" s="30" t="s">
        <v>186</v>
      </c>
      <c r="C12" s="31" t="s">
        <v>317</v>
      </c>
      <c r="D12" s="32" t="s">
        <v>249</v>
      </c>
      <c r="E12" s="7" t="s">
        <v>318</v>
      </c>
      <c r="F12" s="33" t="s">
        <v>187</v>
      </c>
      <c r="G12" s="34" t="n">
        <v>46311</v>
      </c>
      <c r="H12" s="7" t="s">
        <v>190</v>
      </c>
      <c r="I12" s="7" t="s">
        <v>191</v>
      </c>
      <c r="J12" s="32" t="s">
        <v>253</v>
      </c>
      <c r="K12" s="7" t="s">
        <v>319</v>
      </c>
      <c r="L12" s="32" t="n">
        <v>24</v>
      </c>
      <c r="M12" s="17" t="n">
        <f aca="false">IF(OR(G12="",C12=""),"",EDATE(G12,IF(L12="",24,L12)))</f>
        <v>47042</v>
      </c>
      <c r="N12" s="32" t="s">
        <v>106</v>
      </c>
      <c r="O12" s="18" t="str">
        <f aca="false">IF(C12="","",IF(B12="","Falta o código",IF(N12="Obsoleto","Obsoleto",IF(OR(F12="",G12=""),"Falta a revisão",IF(I12="","Falta a aprovação",IF(N12="Em revisão","Em revisão",IF(M12&lt;$D$5,"Revisão vencida","Vigente")))))))</f>
        <v>Vigente</v>
      </c>
    </row>
    <row r="13" customFormat="false" ht="30.75" hidden="false" customHeight="true" outlineLevel="0" collapsed="false">
      <c r="B13" s="30" t="s">
        <v>320</v>
      </c>
      <c r="C13" s="31" t="s">
        <v>321</v>
      </c>
      <c r="D13" s="32" t="s">
        <v>322</v>
      </c>
      <c r="E13" s="7" t="s">
        <v>318</v>
      </c>
      <c r="F13" s="33" t="s">
        <v>251</v>
      </c>
      <c r="G13" s="34" t="n">
        <v>45981</v>
      </c>
      <c r="H13" s="7" t="s">
        <v>191</v>
      </c>
      <c r="I13" s="7" t="s">
        <v>191</v>
      </c>
      <c r="J13" s="32" t="s">
        <v>253</v>
      </c>
      <c r="K13" s="7" t="s">
        <v>319</v>
      </c>
      <c r="L13" s="32" t="n">
        <v>24</v>
      </c>
      <c r="M13" s="17" t="n">
        <f aca="false">IF(OR(G13="",C13=""),"",EDATE(G13,IF(L13="",24,L13)))</f>
        <v>46711</v>
      </c>
      <c r="N13" s="32" t="s">
        <v>106</v>
      </c>
      <c r="O13" s="18" t="str">
        <f aca="false">IF(C13="","",IF(B13="","Falta o código",IF(N13="Obsoleto","Obsoleto",IF(OR(F13="",G13=""),"Falta a revisão",IF(I13="","Falta a aprovação",IF(N13="Em revisão","Em revisão",IF(M13&lt;$D$5,"Revisão vencida","Vigente")))))))</f>
        <v>Vigente</v>
      </c>
    </row>
    <row r="14" customFormat="false" ht="30.75" hidden="false" customHeight="true" outlineLevel="0" collapsed="false">
      <c r="B14" s="30" t="s">
        <v>323</v>
      </c>
      <c r="C14" s="31" t="s">
        <v>324</v>
      </c>
      <c r="D14" s="32" t="s">
        <v>249</v>
      </c>
      <c r="E14" s="7" t="s">
        <v>318</v>
      </c>
      <c r="F14" s="33" t="s">
        <v>231</v>
      </c>
      <c r="G14" s="34" t="n">
        <v>46353</v>
      </c>
      <c r="H14" s="7" t="s">
        <v>325</v>
      </c>
      <c r="I14" s="7" t="s">
        <v>190</v>
      </c>
      <c r="J14" s="32" t="s">
        <v>253</v>
      </c>
      <c r="K14" s="7" t="s">
        <v>319</v>
      </c>
      <c r="L14" s="32" t="n">
        <v>24</v>
      </c>
      <c r="M14" s="17" t="n">
        <f aca="false">IF(OR(G14="",C14=""),"",EDATE(G14,IF(L14="",24,L14)))</f>
        <v>47084</v>
      </c>
      <c r="N14" s="32" t="s">
        <v>106</v>
      </c>
      <c r="O14" s="18" t="str">
        <f aca="false">IF(C14="","",IF(B14="","Falta o código",IF(N14="Obsoleto","Obsoleto",IF(OR(F14="",G14=""),"Falta a revisão",IF(I14="","Falta a aprovação",IF(N14="Em revisão","Em revisão",IF(M14&lt;$D$5,"Revisão vencida","Vigente")))))))</f>
        <v>Vigente</v>
      </c>
    </row>
    <row r="15" customFormat="false" ht="30.75" hidden="false" customHeight="true" outlineLevel="0" collapsed="false">
      <c r="B15" s="30" t="s">
        <v>326</v>
      </c>
      <c r="C15" s="31" t="s">
        <v>327</v>
      </c>
      <c r="D15" s="32" t="s">
        <v>249</v>
      </c>
      <c r="E15" s="7" t="s">
        <v>318</v>
      </c>
      <c r="F15" s="33" t="s">
        <v>243</v>
      </c>
      <c r="G15" s="34" t="n">
        <v>45755</v>
      </c>
      <c r="H15" s="7" t="s">
        <v>190</v>
      </c>
      <c r="I15" s="7" t="s">
        <v>191</v>
      </c>
      <c r="J15" s="32" t="s">
        <v>253</v>
      </c>
      <c r="K15" s="7" t="s">
        <v>319</v>
      </c>
      <c r="L15" s="32" t="n">
        <v>24</v>
      </c>
      <c r="M15" s="17" t="n">
        <f aca="false">IF(OR(G15="",C15=""),"",EDATE(G15,IF(L15="",24,L15)))</f>
        <v>46485</v>
      </c>
      <c r="N15" s="32" t="s">
        <v>108</v>
      </c>
      <c r="O15" s="18" t="str">
        <f aca="false">IF(C15="","",IF(B15="","Falta o código",IF(N15="Obsoleto","Obsoleto",IF(OR(F15="",G15=""),"Falta a revisão",IF(I15="","Falta a aprovação",IF(N15="Em revisão","Em revisão",IF(M15&lt;$D$5,"Revisão vencida","Vigente")))))))</f>
        <v>Em revisão</v>
      </c>
    </row>
    <row r="16" customFormat="false" ht="30.75" hidden="false" customHeight="true" outlineLevel="0" collapsed="false">
      <c r="B16" s="30" t="s">
        <v>328</v>
      </c>
      <c r="C16" s="31" t="s">
        <v>329</v>
      </c>
      <c r="D16" s="32" t="s">
        <v>229</v>
      </c>
      <c r="E16" s="7" t="s">
        <v>330</v>
      </c>
      <c r="F16" s="33" t="s">
        <v>243</v>
      </c>
      <c r="G16" s="34" t="n">
        <v>45705</v>
      </c>
      <c r="H16" s="7" t="s">
        <v>331</v>
      </c>
      <c r="I16" s="7" t="s">
        <v>190</v>
      </c>
      <c r="J16" s="32" t="s">
        <v>141</v>
      </c>
      <c r="K16" s="7" t="s">
        <v>332</v>
      </c>
      <c r="L16" s="32" t="n">
        <v>24</v>
      </c>
      <c r="M16" s="17" t="n">
        <f aca="false">IF(OR(G16="",C16=""),"",EDATE(G16,IF(L16="",24,L16)))</f>
        <v>46435</v>
      </c>
      <c r="N16" s="32" t="s">
        <v>106</v>
      </c>
      <c r="O16" s="18" t="str">
        <f aca="false">IF(C16="","",IF(B16="","Falta o código",IF(N16="Obsoleto","Obsoleto",IF(OR(F16="",G16=""),"Falta a revisão",IF(I16="","Falta a aprovação",IF(N16="Em revisão","Em revisão",IF(M16&lt;$D$5,"Revisão vencida","Vigente")))))))</f>
        <v>Revisão vencida</v>
      </c>
    </row>
    <row r="17" customFormat="false" ht="30.75" hidden="false" customHeight="true" outlineLevel="0" collapsed="false">
      <c r="B17" s="30" t="s">
        <v>333</v>
      </c>
      <c r="C17" s="31" t="s">
        <v>334</v>
      </c>
      <c r="D17" s="32" t="s">
        <v>246</v>
      </c>
      <c r="E17" s="7" t="s">
        <v>318</v>
      </c>
      <c r="F17" s="33" t="s">
        <v>335</v>
      </c>
      <c r="G17" s="34" t="n">
        <v>46309</v>
      </c>
      <c r="H17" s="7" t="s">
        <v>336</v>
      </c>
      <c r="I17" s="7" t="s">
        <v>190</v>
      </c>
      <c r="J17" s="32" t="s">
        <v>253</v>
      </c>
      <c r="K17" s="7" t="s">
        <v>337</v>
      </c>
      <c r="L17" s="32" t="n">
        <v>12</v>
      </c>
      <c r="M17" s="17" t="n">
        <f aca="false">IF(OR(G17="",C17=""),"",EDATE(G17,IF(L17="",24,L17)))</f>
        <v>46674</v>
      </c>
      <c r="N17" s="32" t="s">
        <v>106</v>
      </c>
      <c r="O17" s="18" t="str">
        <f aca="false">IF(C17="","",IF(B17="","Falta o código",IF(N17="Obsoleto","Obsoleto",IF(OR(F17="",G17=""),"Falta a revisão",IF(I17="","Falta a aprovação",IF(N17="Em revisão","Em revisão",IF(M17&lt;$D$5,"Revisão vencida","Vigente")))))))</f>
        <v>Vigente</v>
      </c>
    </row>
    <row r="18" customFormat="false" ht="30.75" hidden="false" customHeight="true" outlineLevel="0" collapsed="false">
      <c r="B18" s="30" t="s">
        <v>338</v>
      </c>
      <c r="C18" s="31" t="s">
        <v>339</v>
      </c>
      <c r="D18" s="32" t="s">
        <v>246</v>
      </c>
      <c r="E18" s="7" t="s">
        <v>318</v>
      </c>
      <c r="F18" s="33" t="s">
        <v>231</v>
      </c>
      <c r="G18" s="34" t="n">
        <v>46353</v>
      </c>
      <c r="H18" s="7" t="s">
        <v>325</v>
      </c>
      <c r="I18" s="7" t="s">
        <v>190</v>
      </c>
      <c r="J18" s="32" t="s">
        <v>253</v>
      </c>
      <c r="K18" s="7" t="s">
        <v>340</v>
      </c>
      <c r="L18" s="32" t="n">
        <v>12</v>
      </c>
      <c r="M18" s="17" t="n">
        <f aca="false">IF(OR(G18="",C18=""),"",EDATE(G18,IF(L18="",24,L18)))</f>
        <v>46718</v>
      </c>
      <c r="N18" s="32" t="s">
        <v>106</v>
      </c>
      <c r="O18" s="18" t="str">
        <f aca="false">IF(C18="","",IF(B18="","Falta o código",IF(N18="Obsoleto","Obsoleto",IF(OR(F18="",G18=""),"Falta a revisão",IF(I18="","Falta a aprovação",IF(N18="Em revisão","Em revisão",IF(M18&lt;$D$5,"Revisão vencida","Vigente")))))))</f>
        <v>Vigente</v>
      </c>
    </row>
    <row r="19" customFormat="false" ht="30.75" hidden="false" customHeight="true" outlineLevel="0" collapsed="false">
      <c r="B19" s="30" t="s">
        <v>341</v>
      </c>
      <c r="C19" s="31" t="s">
        <v>342</v>
      </c>
      <c r="D19" s="32" t="s">
        <v>246</v>
      </c>
      <c r="E19" s="7" t="s">
        <v>330</v>
      </c>
      <c r="F19" s="33" t="s">
        <v>243</v>
      </c>
      <c r="G19" s="34" t="n">
        <v>45705</v>
      </c>
      <c r="H19" s="7" t="s">
        <v>331</v>
      </c>
      <c r="I19" s="7" t="s">
        <v>190</v>
      </c>
      <c r="J19" s="32" t="s">
        <v>141</v>
      </c>
      <c r="K19" s="7" t="s">
        <v>343</v>
      </c>
      <c r="L19" s="32" t="n">
        <v>12</v>
      </c>
      <c r="M19" s="17" t="n">
        <f aca="false">IF(OR(G19="",C19=""),"",EDATE(G19,IF(L19="",24,L19)))</f>
        <v>46070</v>
      </c>
      <c r="N19" s="32" t="s">
        <v>106</v>
      </c>
      <c r="O19" s="18" t="str">
        <f aca="false">IF(C19="","",IF(B19="","Falta o código",IF(N19="Obsoleto","Obsoleto",IF(OR(F19="",G19=""),"Falta a revisão",IF(I19="","Falta a aprovação",IF(N19="Em revisão","Em revisão",IF(M19&lt;$D$5,"Revisão vencida","Vigente")))))))</f>
        <v>Revisão vencida</v>
      </c>
    </row>
    <row r="20" customFormat="false" ht="30.75" hidden="false" customHeight="true" outlineLevel="0" collapsed="false">
      <c r="B20" s="30" t="s">
        <v>344</v>
      </c>
      <c r="C20" s="31" t="s">
        <v>345</v>
      </c>
      <c r="D20" s="32" t="s">
        <v>246</v>
      </c>
      <c r="E20" s="7" t="s">
        <v>318</v>
      </c>
      <c r="F20" s="33" t="s">
        <v>346</v>
      </c>
      <c r="G20" s="34" t="n">
        <v>46444</v>
      </c>
      <c r="H20" s="7" t="s">
        <v>325</v>
      </c>
      <c r="I20" s="7" t="s">
        <v>190</v>
      </c>
      <c r="J20" s="32" t="s">
        <v>253</v>
      </c>
      <c r="K20" s="7" t="s">
        <v>340</v>
      </c>
      <c r="L20" s="32" t="n">
        <v>6</v>
      </c>
      <c r="M20" s="17" t="n">
        <f aca="false">IF(OR(G20="",C20=""),"",EDATE(G20,IF(L20="",24,L20)))</f>
        <v>46625</v>
      </c>
      <c r="N20" s="32" t="s">
        <v>106</v>
      </c>
      <c r="O20" s="18" t="str">
        <f aca="false">IF(C20="","",IF(B20="","Falta o código",IF(N20="Obsoleto","Obsoleto",IF(OR(F20="",G20=""),"Falta a revisão",IF(I20="","Falta a aprovação",IF(N20="Em revisão","Em revisão",IF(M20&lt;$D$5,"Revisão vencida","Vigente")))))))</f>
        <v>Vigente</v>
      </c>
    </row>
    <row r="21" customFormat="false" ht="30.75" hidden="false" customHeight="true" outlineLevel="0" collapsed="false">
      <c r="B21" s="30"/>
      <c r="C21" s="31" t="s">
        <v>347</v>
      </c>
      <c r="D21" s="32" t="s">
        <v>246</v>
      </c>
      <c r="E21" s="7" t="s">
        <v>318</v>
      </c>
      <c r="F21" s="33"/>
      <c r="G21" s="34" t="n">
        <v>46318</v>
      </c>
      <c r="H21" s="7" t="s">
        <v>348</v>
      </c>
      <c r="I21" s="7"/>
      <c r="J21" s="32" t="s">
        <v>253</v>
      </c>
      <c r="K21" s="7" t="s">
        <v>337</v>
      </c>
      <c r="L21" s="32" t="n">
        <v>12</v>
      </c>
      <c r="M21" s="17" t="n">
        <f aca="false">IF(OR(G21="",C21=""),"",EDATE(G21,IF(L21="",24,L21)))</f>
        <v>46683</v>
      </c>
      <c r="N21" s="32" t="s">
        <v>106</v>
      </c>
      <c r="O21" s="18" t="str">
        <f aca="false">IF(C21="","",IF(B21="","Falta o código",IF(N21="Obsoleto","Obsoleto",IF(OR(F21="",G21=""),"Falta a revisão",IF(I21="","Falta a aprovação",IF(N21="Em revisão","Em revisão",IF(M21&lt;$D$5,"Revisão vencida","Vigente")))))))</f>
        <v>Falta o código</v>
      </c>
    </row>
    <row r="23" customFormat="false" ht="21.75" hidden="false" customHeight="true" outlineLevel="0" collapsed="false">
      <c r="B23" s="19" t="s">
        <v>104</v>
      </c>
      <c r="C23" s="19"/>
      <c r="D23" s="19"/>
      <c r="E23" s="19"/>
    </row>
    <row r="24" customFormat="false" ht="21.75" hidden="false" customHeight="true" outlineLevel="0" collapsed="false">
      <c r="B24" s="20" t="s">
        <v>106</v>
      </c>
      <c r="C24" s="20"/>
      <c r="D24" s="20"/>
      <c r="E24" s="21" t="n">
        <f aca="false">COUNTIF(O12:O21,"Vigente")</f>
        <v>6</v>
      </c>
    </row>
    <row r="25" customFormat="false" ht="21.75" hidden="false" customHeight="true" outlineLevel="0" collapsed="false">
      <c r="B25" s="20" t="s">
        <v>108</v>
      </c>
      <c r="C25" s="20"/>
      <c r="D25" s="20"/>
      <c r="E25" s="21" t="n">
        <f aca="false">COUNTIF(O12:O21,"Em revisão")</f>
        <v>1</v>
      </c>
    </row>
    <row r="26" customFormat="false" ht="21.75" hidden="false" customHeight="true" outlineLevel="0" collapsed="false">
      <c r="B26" s="20" t="s">
        <v>110</v>
      </c>
      <c r="C26" s="20"/>
      <c r="D26" s="20"/>
      <c r="E26" s="21" t="n">
        <f aca="false">COUNTIF(O12:O21,"Revisão vencida")</f>
        <v>2</v>
      </c>
    </row>
    <row r="27" customFormat="false" ht="21.75" hidden="false" customHeight="true" outlineLevel="0" collapsed="false">
      <c r="B27" s="20" t="s">
        <v>112</v>
      </c>
      <c r="C27" s="20"/>
      <c r="D27" s="20"/>
      <c r="E27" s="21" t="n">
        <f aca="false">COUNTIF(O12:O21,"Falta o código")</f>
        <v>1</v>
      </c>
    </row>
    <row r="28" customFormat="false" ht="21.75" hidden="false" customHeight="true" outlineLevel="0" collapsed="false">
      <c r="B28" s="20" t="s">
        <v>114</v>
      </c>
      <c r="C28" s="20"/>
      <c r="D28" s="20"/>
      <c r="E28" s="21" t="n">
        <f aca="false">COUNTIF(O12:O21,"Falta a revisão")</f>
        <v>0</v>
      </c>
    </row>
    <row r="29" customFormat="false" ht="21.75" hidden="false" customHeight="true" outlineLevel="0" collapsed="false">
      <c r="B29" s="20" t="s">
        <v>116</v>
      </c>
      <c r="C29" s="20"/>
      <c r="D29" s="20"/>
      <c r="E29" s="21" t="n">
        <f aca="false">COUNTIF(O12:O21,"Falta a aprovação")</f>
        <v>0</v>
      </c>
    </row>
    <row r="30" customFormat="false" ht="21.75" hidden="false" customHeight="true" outlineLevel="0" collapsed="false">
      <c r="B30" s="20" t="s">
        <v>117</v>
      </c>
      <c r="C30" s="20"/>
      <c r="D30" s="20"/>
      <c r="E30" s="21" t="n">
        <f aca="false">COUNTIF(O12:O21,"Obsoleto")</f>
        <v>0</v>
      </c>
    </row>
    <row r="31" customFormat="false" ht="21.75" hidden="false" customHeight="true" outlineLevel="0" collapsed="false">
      <c r="B31" s="20" t="s">
        <v>290</v>
      </c>
      <c r="C31" s="20"/>
      <c r="D31" s="20"/>
      <c r="E31" s="22" t="n">
        <f aca="false">(E24+E25)/(SUM(E24:E30)-E30)</f>
        <v>0.7</v>
      </c>
    </row>
    <row r="34" customFormat="false" ht="21.75" hidden="false" customHeight="true" outlineLevel="0" collapsed="false">
      <c r="B34" s="35" t="s">
        <v>118</v>
      </c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</row>
    <row r="35" customFormat="false" ht="30" hidden="false" customHeight="true" outlineLevel="0" collapsed="false">
      <c r="B35" s="21" t="s">
        <v>120</v>
      </c>
      <c r="C35" s="21"/>
      <c r="D35" s="21" t="s">
        <v>121</v>
      </c>
      <c r="E35" s="21"/>
      <c r="F35" s="21" t="s">
        <v>82</v>
      </c>
      <c r="G35" s="21"/>
      <c r="H35" s="21" t="s">
        <v>122</v>
      </c>
      <c r="I35" s="21" t="s">
        <v>123</v>
      </c>
      <c r="J35" s="21" t="s">
        <v>87</v>
      </c>
      <c r="K35" s="21" t="s">
        <v>125</v>
      </c>
      <c r="L35" s="21" t="s">
        <v>124</v>
      </c>
      <c r="M35" s="21"/>
      <c r="N35" s="21" t="s">
        <v>291</v>
      </c>
      <c r="O35" s="21"/>
    </row>
    <row r="36" customFormat="false" ht="30.75" hidden="false" customHeight="true" outlineLevel="0" collapsed="false">
      <c r="B36" s="31" t="s">
        <v>349</v>
      </c>
      <c r="C36" s="31"/>
      <c r="D36" s="7" t="s">
        <v>333</v>
      </c>
      <c r="E36" s="7"/>
      <c r="F36" s="7" t="s">
        <v>318</v>
      </c>
      <c r="G36" s="7"/>
      <c r="H36" s="7" t="s">
        <v>337</v>
      </c>
      <c r="I36" s="7" t="s">
        <v>337</v>
      </c>
      <c r="J36" s="32" t="s">
        <v>253</v>
      </c>
      <c r="K36" s="7" t="s">
        <v>350</v>
      </c>
      <c r="L36" s="32" t="n">
        <v>60</v>
      </c>
      <c r="M36" s="32"/>
      <c r="N36" s="7" t="s">
        <v>351</v>
      </c>
      <c r="O36" s="7"/>
    </row>
    <row r="37" customFormat="false" ht="30.75" hidden="false" customHeight="true" outlineLevel="0" collapsed="false">
      <c r="B37" s="31" t="s">
        <v>352</v>
      </c>
      <c r="C37" s="31"/>
      <c r="D37" s="7" t="s">
        <v>353</v>
      </c>
      <c r="E37" s="7"/>
      <c r="F37" s="7" t="s">
        <v>318</v>
      </c>
      <c r="G37" s="7"/>
      <c r="H37" s="7" t="s">
        <v>354</v>
      </c>
      <c r="I37" s="7" t="s">
        <v>355</v>
      </c>
      <c r="J37" s="32" t="s">
        <v>253</v>
      </c>
      <c r="K37" s="7" t="s">
        <v>356</v>
      </c>
      <c r="L37" s="32" t="n">
        <v>60</v>
      </c>
      <c r="M37" s="32"/>
      <c r="N37" s="7" t="s">
        <v>307</v>
      </c>
      <c r="O37" s="7"/>
    </row>
    <row r="38" customFormat="false" ht="24" hidden="false" customHeight="true" outlineLevel="0" collapsed="false">
      <c r="B38" s="31" t="s">
        <v>357</v>
      </c>
      <c r="C38" s="31"/>
      <c r="D38" s="7" t="s">
        <v>337</v>
      </c>
      <c r="E38" s="7"/>
      <c r="F38" s="7" t="s">
        <v>318</v>
      </c>
      <c r="G38" s="7"/>
      <c r="H38" s="7" t="s">
        <v>337</v>
      </c>
      <c r="I38" s="7" t="s">
        <v>337</v>
      </c>
      <c r="J38" s="32" t="s">
        <v>253</v>
      </c>
      <c r="K38" s="7" t="s">
        <v>358</v>
      </c>
      <c r="L38" s="32" t="n">
        <v>60</v>
      </c>
      <c r="M38" s="32"/>
      <c r="N38" s="7" t="s">
        <v>351</v>
      </c>
      <c r="O38" s="7"/>
    </row>
    <row r="39" customFormat="false" ht="30.75" hidden="false" customHeight="true" outlineLevel="0" collapsed="false">
      <c r="B39" s="31" t="s">
        <v>359</v>
      </c>
      <c r="C39" s="31"/>
      <c r="D39" s="7" t="s">
        <v>360</v>
      </c>
      <c r="E39" s="7"/>
      <c r="F39" s="7" t="s">
        <v>330</v>
      </c>
      <c r="G39" s="7"/>
      <c r="H39" s="7" t="s">
        <v>343</v>
      </c>
      <c r="I39" s="7" t="s">
        <v>361</v>
      </c>
      <c r="J39" s="32" t="s">
        <v>257</v>
      </c>
      <c r="K39" s="7" t="s">
        <v>362</v>
      </c>
      <c r="L39" s="32" t="n">
        <v>36</v>
      </c>
      <c r="M39" s="32"/>
      <c r="N39" s="7" t="s">
        <v>143</v>
      </c>
      <c r="O39" s="7"/>
    </row>
    <row r="40" customFormat="false" ht="30.75" hidden="false" customHeight="true" outlineLevel="0" collapsed="false">
      <c r="B40" s="31" t="s">
        <v>339</v>
      </c>
      <c r="C40" s="31"/>
      <c r="D40" s="7" t="s">
        <v>338</v>
      </c>
      <c r="E40" s="7"/>
      <c r="F40" s="7" t="s">
        <v>318</v>
      </c>
      <c r="G40" s="7"/>
      <c r="H40" s="7" t="s">
        <v>325</v>
      </c>
      <c r="I40" s="7" t="s">
        <v>340</v>
      </c>
      <c r="J40" s="32" t="s">
        <v>253</v>
      </c>
      <c r="K40" s="7" t="s">
        <v>363</v>
      </c>
      <c r="L40" s="32" t="n">
        <v>60</v>
      </c>
      <c r="M40" s="32"/>
      <c r="N40" s="7" t="s">
        <v>307</v>
      </c>
      <c r="O40" s="7"/>
    </row>
    <row r="41" customFormat="false" ht="30.75" hidden="false" customHeight="true" outlineLevel="0" collapsed="false">
      <c r="B41" s="31" t="s">
        <v>364</v>
      </c>
      <c r="C41" s="31"/>
      <c r="D41" s="7" t="s">
        <v>365</v>
      </c>
      <c r="E41" s="7"/>
      <c r="F41" s="7" t="s">
        <v>318</v>
      </c>
      <c r="G41" s="7"/>
      <c r="H41" s="7" t="s">
        <v>325</v>
      </c>
      <c r="I41" s="7" t="s">
        <v>366</v>
      </c>
      <c r="J41" s="32" t="s">
        <v>253</v>
      </c>
      <c r="K41" s="7" t="s">
        <v>363</v>
      </c>
      <c r="L41" s="32" t="n">
        <v>60</v>
      </c>
      <c r="M41" s="32"/>
      <c r="N41" s="7" t="s">
        <v>367</v>
      </c>
      <c r="O41" s="7"/>
    </row>
    <row r="42" customFormat="false" ht="30.75" hidden="false" customHeight="true" outlineLevel="0" collapsed="false">
      <c r="B42" s="31" t="s">
        <v>368</v>
      </c>
      <c r="C42" s="31"/>
      <c r="D42" s="7" t="s">
        <v>341</v>
      </c>
      <c r="E42" s="7"/>
      <c r="F42" s="7" t="s">
        <v>330</v>
      </c>
      <c r="G42" s="7"/>
      <c r="H42" s="7" t="s">
        <v>343</v>
      </c>
      <c r="I42" s="7" t="s">
        <v>369</v>
      </c>
      <c r="J42" s="32" t="s">
        <v>141</v>
      </c>
      <c r="K42" s="7" t="s">
        <v>330</v>
      </c>
      <c r="L42" s="32" t="n">
        <v>36</v>
      </c>
      <c r="M42" s="32"/>
      <c r="N42" s="7" t="s">
        <v>143</v>
      </c>
      <c r="O42" s="7"/>
    </row>
    <row r="43" customFormat="false" ht="30.75" hidden="false" customHeight="true" outlineLevel="0" collapsed="false">
      <c r="B43" s="31" t="s">
        <v>370</v>
      </c>
      <c r="C43" s="31"/>
      <c r="D43" s="7" t="s">
        <v>371</v>
      </c>
      <c r="E43" s="7"/>
      <c r="F43" s="7" t="s">
        <v>318</v>
      </c>
      <c r="G43" s="7"/>
      <c r="H43" s="7" t="s">
        <v>190</v>
      </c>
      <c r="I43" s="7" t="s">
        <v>372</v>
      </c>
      <c r="J43" s="32" t="s">
        <v>141</v>
      </c>
      <c r="K43" s="7" t="s">
        <v>373</v>
      </c>
      <c r="L43" s="32" t="n">
        <v>120</v>
      </c>
      <c r="M43" s="32"/>
      <c r="N43" s="7" t="s">
        <v>374</v>
      </c>
      <c r="O43" s="7"/>
    </row>
    <row r="45" customFormat="false" ht="21.75" hidden="false" customHeight="true" outlineLevel="0" collapsed="false">
      <c r="B45" s="19" t="s">
        <v>103</v>
      </c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</row>
    <row r="46" customFormat="false" ht="21.75" hidden="false" customHeight="true" outlineLevel="0" collapsed="false">
      <c r="B46" s="20" t="s">
        <v>105</v>
      </c>
      <c r="C46" s="20"/>
      <c r="D46" s="20"/>
      <c r="E46" s="21" t="n">
        <f aca="false">COUNTA(C12:C21)</f>
        <v>10</v>
      </c>
    </row>
    <row r="47" customFormat="false" ht="21.75" hidden="false" customHeight="true" outlineLevel="0" collapsed="false">
      <c r="B47" s="20" t="s">
        <v>311</v>
      </c>
      <c r="C47" s="20"/>
      <c r="D47" s="20"/>
      <c r="E47" s="21" t="n">
        <f aca="false">COUNTIF(O12:O21,"Falta*")</f>
        <v>1</v>
      </c>
    </row>
    <row r="48" customFormat="false" ht="21.75" hidden="false" customHeight="true" outlineLevel="0" collapsed="false">
      <c r="B48" s="20" t="s">
        <v>312</v>
      </c>
      <c r="C48" s="20"/>
      <c r="D48" s="20"/>
      <c r="E48" s="21" t="n">
        <f aca="false">COUNTIF(O12:O21,"Revisão vencida")</f>
        <v>2</v>
      </c>
    </row>
    <row r="49" customFormat="false" ht="21.75" hidden="false" customHeight="true" outlineLevel="0" collapsed="false">
      <c r="B49" s="20" t="s">
        <v>145</v>
      </c>
      <c r="C49" s="20"/>
      <c r="D49" s="20"/>
      <c r="E49" s="21" t="n">
        <f aca="false">COUNTA(B36:B43)</f>
        <v>8</v>
      </c>
    </row>
    <row r="50" customFormat="false" ht="21.75" hidden="false" customHeight="true" outlineLevel="0" collapsed="false">
      <c r="B50" s="20" t="s">
        <v>147</v>
      </c>
      <c r="C50" s="20"/>
      <c r="D50" s="20"/>
      <c r="E50" s="21" t="n">
        <f aca="false">MAX(L36:L43)</f>
        <v>120</v>
      </c>
    </row>
  </sheetData>
  <mergeCells count="74">
    <mergeCell ref="B1:O1"/>
    <mergeCell ref="B2:O2"/>
    <mergeCell ref="B4:C4"/>
    <mergeCell ref="D4:O4"/>
    <mergeCell ref="B5:C5"/>
    <mergeCell ref="D5:O5"/>
    <mergeCell ref="B6:C6"/>
    <mergeCell ref="D6:O6"/>
    <mergeCell ref="B7:C7"/>
    <mergeCell ref="D7:O7"/>
    <mergeCell ref="B8:C8"/>
    <mergeCell ref="D8:O8"/>
    <mergeCell ref="B10:O10"/>
    <mergeCell ref="B23:E23"/>
    <mergeCell ref="B24:D24"/>
    <mergeCell ref="B25:D25"/>
    <mergeCell ref="B26:D26"/>
    <mergeCell ref="B27:D27"/>
    <mergeCell ref="B28:D28"/>
    <mergeCell ref="B29:D29"/>
    <mergeCell ref="B30:D30"/>
    <mergeCell ref="B31:D31"/>
    <mergeCell ref="B34:O34"/>
    <mergeCell ref="B35:C35"/>
    <mergeCell ref="D35:E35"/>
    <mergeCell ref="F35:G35"/>
    <mergeCell ref="L35:M35"/>
    <mergeCell ref="N35:O35"/>
    <mergeCell ref="B36:C36"/>
    <mergeCell ref="D36:E36"/>
    <mergeCell ref="F36:G36"/>
    <mergeCell ref="L36:M36"/>
    <mergeCell ref="N36:O36"/>
    <mergeCell ref="B37:C37"/>
    <mergeCell ref="D37:E37"/>
    <mergeCell ref="F37:G37"/>
    <mergeCell ref="L37:M37"/>
    <mergeCell ref="N37:O37"/>
    <mergeCell ref="B38:C38"/>
    <mergeCell ref="D38:E38"/>
    <mergeCell ref="F38:G38"/>
    <mergeCell ref="L38:M38"/>
    <mergeCell ref="N38:O38"/>
    <mergeCell ref="B39:C39"/>
    <mergeCell ref="D39:E39"/>
    <mergeCell ref="F39:G39"/>
    <mergeCell ref="L39:M39"/>
    <mergeCell ref="N39:O39"/>
    <mergeCell ref="B40:C40"/>
    <mergeCell ref="D40:E40"/>
    <mergeCell ref="F40:G40"/>
    <mergeCell ref="L40:M40"/>
    <mergeCell ref="N40:O40"/>
    <mergeCell ref="B41:C41"/>
    <mergeCell ref="D41:E41"/>
    <mergeCell ref="F41:G41"/>
    <mergeCell ref="L41:M41"/>
    <mergeCell ref="N41:O41"/>
    <mergeCell ref="B42:C42"/>
    <mergeCell ref="D42:E42"/>
    <mergeCell ref="F42:G42"/>
    <mergeCell ref="L42:M42"/>
    <mergeCell ref="N42:O42"/>
    <mergeCell ref="B43:C43"/>
    <mergeCell ref="D43:E43"/>
    <mergeCell ref="F43:G43"/>
    <mergeCell ref="L43:M43"/>
    <mergeCell ref="N43:O43"/>
    <mergeCell ref="B45:O45"/>
    <mergeCell ref="B46:D46"/>
    <mergeCell ref="B47:D47"/>
    <mergeCell ref="B48:D48"/>
    <mergeCell ref="B49:D49"/>
    <mergeCell ref="B50:D50"/>
  </mergeCells>
  <conditionalFormatting sqref="O12:O21">
    <cfRule type="expression" priority="2" aboveAverage="0" equalAverage="0" bottom="0" percent="0" rank="0" text="" dxfId="0">
      <formula>O12="Vigente"</formula>
    </cfRule>
    <cfRule type="expression" priority="3" aboveAverage="0" equalAverage="0" bottom="0" percent="0" rank="0" text="" dxfId="1">
      <formula>O12="Em revisão"</formula>
    </cfRule>
    <cfRule type="expression" priority="4" aboveAverage="0" equalAverage="0" bottom="0" percent="0" rank="0" text="" dxfId="2">
      <formula>O12="Revisão vencida"</formula>
    </cfRule>
    <cfRule type="expression" priority="5" aboveAverage="0" equalAverage="0" bottom="0" percent="0" rank="0" text="" dxfId="3">
      <formula>O12="Obsoleto"</formula>
    </cfRule>
    <cfRule type="expression" priority="6" aboveAverage="0" equalAverage="0" bottom="0" percent="0" rank="0" text="" dxfId="4">
      <formula>LEFT(O12,5)="Falta"</formula>
    </cfRule>
  </conditionalFormatting>
  <printOptions headings="false" gridLines="false" gridLinesSet="true" horizontalCentered="true" verticalCentered="false"/>
  <pageMargins left="0.4" right="0.4" top="0.5" bottom="0.5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22" man="true" max="16383" min="0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2026-10-05T14:46:06Z</dcterms:created>
  <dc:creator>Modelo Informação documentada</dc:creator>
  <dc:description/>
  <dc:language>pt-BR</dc:language>
  <cp:lastModifiedBy/>
  <dcterms:modified xsi:type="dcterms:W3CDTF">2026-10-05T14:46:06Z</dcterms:modified>
  <cp:revision>0</cp:revision>
  <dc:subject/>
  <dc:title>Informação documentada — Modelo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