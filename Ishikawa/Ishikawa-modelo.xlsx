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Ishikawa" sheetId="2" state="visible" r:id="rId4"/>
    <sheet name="Diagrama" sheetId="3" state="visible" r:id="rId5"/>
    <sheet name="5 Porquês" sheetId="4" state="visible" r:id="rId6"/>
    <sheet name="Plano de ação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3" name="_xlnm.Print_Area" vbProcedure="false">'5 Porquês'!$B$1:$L$17</definedName>
    <definedName function="false" hidden="false" localSheetId="5" name="_xlnm.Print_Area" vbProcedure="false">Checklist!$B$1:$E$24</definedName>
    <definedName function="false" hidden="false" localSheetId="2" name="_xlnm.Print_Area" vbProcedure="false">Diagrama!$B$1:$F$24</definedName>
    <definedName function="false" hidden="false" localSheetId="6" name="_xlnm.Print_Area" vbProcedure="false">'Exemplo 1 - Pizzaria'!$B$1:$J$66</definedName>
    <definedName function="false" hidden="false" localSheetId="7" name="_xlnm.Print_Area" vbProcedure="false">'Exemplo 2 - Compras'!$B$1:$J$66</definedName>
    <definedName function="false" hidden="false" localSheetId="0" name="_xlnm.Print_Area" vbProcedure="false">Instruções!$B$1:$C$47</definedName>
    <definedName function="false" hidden="false" localSheetId="1" name="_xlnm.Print_Area" vbProcedure="false">Ishikawa!$B$1:$J$61</definedName>
    <definedName function="false" hidden="false" localSheetId="1" name="_xlnm.Print_Titles" vbProcedure="false">Ishikawa!$11:$11</definedName>
    <definedName function="false" hidden="false" localSheetId="4" name="_xlnm.Print_Area" vbProcedure="false">'Plano de ação'!$B$1:$J$25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1" authorId="0">
      <text>
        <r>
          <rPr>
            <sz val="10"/>
            <rFont val="Arial"/>
            <family val="2"/>
          </rPr>
          <t xml:space="preserve">Escreva um fato que possa ser verificado.
Evite: falta de treinamento, falha humana, falta de sistema.</t>
        </r>
      </text>
    </comment>
    <comment ref="D4" authorId="0">
      <text>
        <r>
          <rPr>
            <sz val="10"/>
            <rFont val="Arial"/>
            <family val="2"/>
          </rPr>
          <t xml:space="preserve">Nome curto da análise.
Ex.: "Atrasos nas entregas de delivery".</t>
        </r>
      </text>
    </comment>
    <comment ref="D7" authorId="0">
      <text>
        <r>
          <rPr>
            <sz val="10"/>
            <rFont val="Arial"/>
            <family val="2"/>
          </rPr>
          <t xml:space="preserve">O problema, com número, local e período. Sem causa e sem solução.
Ex.: "18% das entregas chegam depois de 40 minutos".</t>
        </r>
      </text>
    </comment>
    <comment ref="D8" authorId="0">
      <text>
        <r>
          <rPr>
            <sz val="10"/>
            <rFont val="Arial"/>
            <family val="2"/>
          </rPr>
          <t xml:space="preserve">Onde o problema se concentra, conforme os dados da observação.
Ex.: "Sextas e sábados, das 19h às 22h".</t>
        </r>
      </text>
    </comment>
    <comment ref="F11" authorId="0">
      <text>
        <r>
          <rPr>
            <sz val="10"/>
            <rFont val="Arial"/>
            <family val="2"/>
          </rPr>
          <t xml:space="preserve">Probabilidade de a causa explicar o efeito, na opinião do grupo. Serve para escolher o que verificar primeiro.</t>
        </r>
      </text>
    </comment>
    <comment ref="H11" authorId="0">
      <text>
        <r>
          <rPr>
            <sz val="10"/>
            <rFont val="Arial"/>
            <family val="2"/>
          </rPr>
          <t xml:space="preserve">Confirmada: os dados mostram que a causa contribui para o efeito.
Descartada: os dados mostram que não contribui.
Não verificada: ainda é hipótese.</t>
        </r>
      </text>
    </comment>
    <comment ref="J11" authorId="0">
      <text>
        <r>
          <rPr>
            <sz val="10"/>
            <rFont val="Arial"/>
            <family val="2"/>
          </rPr>
          <t xml:space="preserve">Marque Sim só para causas confirmadas que serão tratadas neste ciclo. Elas aparecem na aba Plano de ação.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J4" authorId="0">
      <text>
        <r>
          <rPr>
            <sz val="10"/>
            <rFont val="Arial"/>
            <family val="2"/>
          </rPr>
          <t xml:space="preserve">A causa raiz está ao alcance da organização, foi confirmada e não aponta uma pessoa.</t>
        </r>
      </text>
    </comment>
    <comment ref="K4" authorId="0">
      <text>
        <r>
          <rPr>
            <sz val="10"/>
            <rFont val="Arial"/>
            <family val="2"/>
          </rPr>
          <t xml:space="preserve">Leia a cadeia da causa raiz para a causa, trocando “por quê?” por “portanto”. Se algum elo não fizer sentido, marque Não e refaça.</t>
        </r>
      </text>
    </comment>
  </commentList>
</comments>
</file>

<file path=xl/sharedStrings.xml><?xml version="1.0" encoding="utf-8"?>
<sst xmlns="http://schemas.openxmlformats.org/spreadsheetml/2006/main" count="611" uniqueCount="331">
  <si>
    <t xml:space="preserve">Ishikawa — Como usar esta planilha</t>
  </si>
  <si>
    <t xml:space="preserve">Modelo para levantar, verificar e aprofundar as causas de um problema.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</si>
  <si>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</si>
  <si>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</si>
  <si>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</si>
  <si>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</si>
  <si>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</si>
  <si>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</si>
  <si>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</si>
  <si>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</si>
  <si>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probabilidade, resultado, código e status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</si>
  <si>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</si>
  <si>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</si>
  <si>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seis categorias (6M)</t>
  </si>
  <si>
    <t xml:space="preserve">A — Método</t>
  </si>
  <si>
    <t xml:space="preserve">Como o trabalho é feito: procedimentos, sequência, regras.</t>
  </si>
  <si>
    <t xml:space="preserve">B — Mão de obra</t>
  </si>
  <si>
    <t xml:space="preserve">Quem faz o trabalho: treinamento, quantidade, escala.</t>
  </si>
  <si>
    <t xml:space="preserve">C — Máquina</t>
  </si>
  <si>
    <t xml:space="preserve">Com o que se faz: equipamentos, ferramentas, sistemas.</t>
  </si>
  <si>
    <t xml:space="preserve">D — Material</t>
  </si>
  <si>
    <t xml:space="preserve">O que entra no processo: insumos e informações.</t>
  </si>
  <si>
    <t xml:space="preserve">E — Medição</t>
  </si>
  <si>
    <t xml:space="preserve">Como se mede: instrumentos, indicadores, critérios.</t>
  </si>
  <si>
    <t xml:space="preserve">F — Meio ambiente</t>
  </si>
  <si>
    <t xml:space="preserve">Onde se faz: espaço, temperatura, ruído, clima de trabalho.</t>
  </si>
  <si>
    <t xml:space="preserve">Nomes</t>
  </si>
  <si>
    <t xml:space="preserve">Os nomes das categorias podem ser trocados na aba Ishikawa. Em serviços, é comum usar procedimentos, pessoas, sistemas, informações, indicadores e ambiente.</t>
  </si>
  <si>
    <t xml:space="preserve">Ordem recomendada de preenchimento</t>
  </si>
  <si>
    <t xml:space="preserve">Passo 1</t>
  </si>
  <si>
    <t xml:space="preserve">Aba Ishikawa: preencha o cabeçalho, com o efeito escrito como problema, com número, local e período.</t>
  </si>
  <si>
    <t xml:space="preserve">Passo 2</t>
  </si>
  <si>
    <t xml:space="preserve">Aba Ishikawa: confira os nomes das seis categorias e ajuste ao seu processo.</t>
  </si>
  <si>
    <t xml:space="preserve">Passo 3</t>
  </si>
  <si>
    <t xml:space="preserve">Aba Ishikawa: escreva as causas de cada categoria e a subcausa de cada uma (por quê?).</t>
  </si>
  <si>
    <t xml:space="preserve">Passo 4</t>
  </si>
  <si>
    <t xml:space="preserve">Aba Ishikawa: marque a probabilidade e defina como verificar as causas mais prováveis.</t>
  </si>
  <si>
    <t xml:space="preserve">Passo 5</t>
  </si>
  <si>
    <t xml:space="preserve">Aba Ishikawa: depois da verificação, registre o resultado e a evidência de cada causa.</t>
  </si>
  <si>
    <t xml:space="preserve">Passo 6</t>
  </si>
  <si>
    <t xml:space="preserve">Aba Diagrama: leia o diagrama montado e confira se ele conta a história do problema.</t>
  </si>
  <si>
    <t xml:space="preserve">Passo 7</t>
  </si>
  <si>
    <t xml:space="preserve">Aba 5 Porquês: aprofunde as causas confirmadas até a causa raiz.</t>
  </si>
  <si>
    <t xml:space="preserve">Passo 8</t>
  </si>
  <si>
    <t xml:space="preserve">Aba Ishikawa: marque as causas que seguem para o plano. Aba Plano de ação: defina as ações.</t>
  </si>
  <si>
    <t xml:space="preserve">Passo 9</t>
  </si>
  <si>
    <t xml:space="preserve">Aba Checklist: valide a análise com o grupo.</t>
  </si>
  <si>
    <t xml:space="preserve">Abas da planilha</t>
  </si>
  <si>
    <t xml:space="preserve">Ishikawa</t>
  </si>
  <si>
    <t xml:space="preserve">Modelo principal. Cabeçalho, seis categorias com cinco causas cada e resumo automático.</t>
  </si>
  <si>
    <t xml:space="preserve">Diagrama</t>
  </si>
  <si>
    <t xml:space="preserve">Visão do diagrama para leitura e impressão. É toda calculada.</t>
  </si>
  <si>
    <t xml:space="preserve">5 Porquês</t>
  </si>
  <si>
    <t xml:space="preserve">Cadeia de porquês de até seis causas, com a causa raiz e o teste de volta.</t>
  </si>
  <si>
    <t xml:space="preserve">Plano de ação</t>
  </si>
  <si>
    <t xml:space="preserve">Lista sozinha as causas que seguem para o plano e pede ação, responsável e prazo.</t>
  </si>
  <si>
    <t xml:space="preserve">Checklist</t>
  </si>
  <si>
    <t xml:space="preserve">Doze verificações de qualidade da análise, com percentual de conclusão.</t>
  </si>
  <si>
    <t xml:space="preserve">Exemplo 1 - Pizzaria</t>
  </si>
  <si>
    <t xml:space="preserve">Análise preenchida com as seis categorias dos 6M e doze hipóteses.</t>
  </si>
  <si>
    <t xml:space="preserve">Exemplo 2 - Compras</t>
  </si>
  <si>
    <t xml:space="preserve">Análise preenchida com categorias adaptadas e uma categoria sem causas.</t>
  </si>
  <si>
    <t xml:space="preserve">Regras e premissas do modelo</t>
  </si>
  <si>
    <t xml:space="preserve">Códigos</t>
  </si>
  <si>
    <t xml:space="preserve">Cada causa tem um código fixo, formado pela letra da categoria e pelo número da linha: de A1 a F5. As abas 5 Porquês e Plano de ação usam o código para buscar o texto da causa.</t>
  </si>
  <si>
    <t xml:space="preserve">Hipótese e causa</t>
  </si>
  <si>
    <t xml:space="preserve">Toda causa começa como hipótese. O resultado só deve ser marcado como Confirmada ou Descartada depois da verificação, com a evidência registrada.</t>
  </si>
  <si>
    <t xml:space="preserve">Marcações do diagrama</t>
  </si>
  <si>
    <t xml:space="preserve">Na aba Diagrama, ● indica causa confirmada que segue para o plano; ○, causa confirmada que fica para depois; ✕, causa descartada. Causa sem marca ainda não foi verificada.</t>
  </si>
  <si>
    <t xml:space="preserve">Ação atrasada</t>
  </si>
  <si>
    <t xml:space="preserve">Uma ação é considerada atrasada quando o prazo é anterior à data de hoje e o status não é Concluída nem Cancelada.</t>
  </si>
  <si>
    <t xml:space="preserve">Capacidade</t>
  </si>
  <si>
    <t xml:space="preserve">A planilha comporta 30 causas, 6 cadeias de porquês e 12 causas no plano de ação. Se faltar espaço, o efeito provavelmente está amplo demais: divida o problema.</t>
  </si>
  <si>
    <t xml:space="preserve">Exemplos</t>
  </si>
  <si>
    <t xml:space="preserve">Os dados das abas de exemplo são ilustrativos, criados para este material.</t>
  </si>
  <si>
    <t xml:space="preserve">Ishikawa — Análise de causa e efeito</t>
  </si>
  <si>
    <t xml:space="preserve">Preencha as células em amarelo-claro. As células cinza são calculadas automaticamente.</t>
  </si>
  <si>
    <t xml:space="preserve">Tema da análise</t>
  </si>
  <si>
    <t xml:space="preserve">Responsável</t>
  </si>
  <si>
    <t xml:space="preserve">Área / unidade</t>
  </si>
  <si>
    <t xml:space="preserve">Data</t>
  </si>
  <si>
    <t xml:space="preserve">Elaborado por</t>
  </si>
  <si>
    <t xml:space="preserve">Versão</t>
  </si>
  <si>
    <t xml:space="preserve">Efeito (problema)</t>
  </si>
  <si>
    <t xml:space="preserve">Onde e quando ocorre</t>
  </si>
  <si>
    <t xml:space="preserve">Participantes</t>
  </si>
  <si>
    <t xml:space="preserve">Origem da análise</t>
  </si>
  <si>
    <t xml:space="preserve">#</t>
  </si>
  <si>
    <t xml:space="preserve">Causa provável</t>
  </si>
  <si>
    <t xml:space="preserve">Por quê? (subcausa)</t>
  </si>
  <si>
    <t xml:space="preserve">Probabilidade</t>
  </si>
  <si>
    <t xml:space="preserve">Como verificar</t>
  </si>
  <si>
    <t xml:space="preserve">Resultado</t>
  </si>
  <si>
    <t xml:space="preserve">Evidência</t>
  </si>
  <si>
    <t xml:space="preserve">Segue para o plano?</t>
  </si>
  <si>
    <t xml:space="preserve">Fato que pode produzir o efeito</t>
  </si>
  <si>
    <t xml:space="preserve">Por que essa causa acontece?</t>
  </si>
  <si>
    <t xml:space="preserve">Na opinião do grupo</t>
  </si>
  <si>
    <t xml:space="preserve">Contagem, comparação, observação, medição ou teste</t>
  </si>
  <si>
    <t xml:space="preserve">O que os dados mostraram</t>
  </si>
  <si>
    <t xml:space="preserve">Número ou fato que sustenta o resultado</t>
  </si>
  <si>
    <t xml:space="preserve">Sim ou Não</t>
  </si>
  <si>
    <t xml:space="preserve">Ex.</t>
  </si>
  <si>
    <t xml:space="preserve">Pedidos saem um a um, sem agrupamento por bairro</t>
  </si>
  <si>
    <t xml:space="preserve">A expedição não separa os pedidos por zona</t>
  </si>
  <si>
    <t xml:space="preserve">Alta</t>
  </si>
  <si>
    <t xml:space="preserve">Acompanhar 50 saídas no pico e mapear as rotas</t>
  </si>
  <si>
    <t xml:space="preserve">Confirmada</t>
  </si>
  <si>
    <t xml:space="preserve">Em 31 das 50 saídas, outro entregador saiu para o mesmo bairro menos de 10 minutos depois</t>
  </si>
  <si>
    <t xml:space="preserve">Sim</t>
  </si>
  <si>
    <t xml:space="preserve">Apoio</t>
  </si>
  <si>
    <t xml:space="preserve">A</t>
  </si>
  <si>
    <t xml:space="preserve">Método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</si>
  <si>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</si>
  <si>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</si>
  <si>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</si>
  <si>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</si>
  <si>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</si>
  <si>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B</t>
  </si>
  <si>
    <t xml:space="preserve">Mão de obra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</si>
  <si>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</si>
  <si>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</si>
  <si>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</si>
  <si>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</si>
  <si>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</si>
  <si>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C</t>
  </si>
  <si>
    <t xml:space="preserve">Máquina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</si>
  <si>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</si>
  <si>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</si>
  <si>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</si>
  <si>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</si>
  <si>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</si>
  <si>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D</t>
  </si>
  <si>
    <t xml:space="preserve">Material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</si>
  <si>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</si>
  <si>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</si>
  <si>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</si>
  <si>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</si>
  <si>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</si>
  <si>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E</t>
  </si>
  <si>
    <t xml:space="preserve">Medição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</si>
  <si>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</si>
  <si>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</si>
  <si>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</si>
  <si>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</si>
  <si>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</si>
  <si>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F</t>
  </si>
  <si>
    <t xml:space="preserve">Meio ambiente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</si>
  <si>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</si>
  <si>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</si>
  <si>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</si>
  <si>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</si>
  <si>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</si>
  <si>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Resumo automático</t>
  </si>
  <si>
    <t xml:space="preserve">Causas levantadas</t>
  </si>
  <si>
    <t xml:space="preserve">Categorias com causas</t>
  </si>
  <si>
    <t xml:space="preserve">Causas confirmadas</t>
  </si>
  <si>
    <t xml:space="preserve">Causas descartadas</t>
  </si>
  <si>
    <t xml:space="preserve">Causas não verificadas</t>
  </si>
  <si>
    <t xml:space="preserve">Causas que seguem para o plano</t>
  </si>
  <si>
    <t xml:space="preserve">Aviso: evidências</t>
  </si>
  <si>
    <t xml:space="preserve">Aviso: coerência</t>
  </si>
  <si>
    <t xml:space="preserve">Aviso: categorias</t>
  </si>
  <si>
    <t xml:space="preserve">Campos do cabeçalho preenchidos</t>
  </si>
  <si>
    <t xml:space="preserve">Diagrama de Ishikawa</t>
  </si>
  <si>
    <t xml:space="preserve">Esta aba é calculada a partir da aba Ishikawa. Não há nada para digitar aqui.</t>
  </si>
  <si>
    <t xml:space="preserve">EFEITO</t>
  </si>
  <si>
    <t xml:space="preserve">►</t>
  </si>
  <si>
    <t xml:space="preserve">Marcações:  ● confirmada, segue para o plano   ·   ○ confirmada, fica para depois   ·   ✕ descartada pelos dados   ·   sem marca: ainda não verificada</t>
  </si>
  <si>
    <t xml:space="preserve">5 porquês — da causa à causa raiz</t>
  </si>
  <si>
    <t xml:space="preserve">Escolha o código de uma causa confirmada e pergunte por quê a cada resposta, até chegar a algo que se possa mudar.</t>
  </si>
  <si>
    <t xml:space="preserve">Código</t>
  </si>
  <si>
    <t xml:space="preserve">Causa</t>
  </si>
  <si>
    <t xml:space="preserve">1º por quê?</t>
  </si>
  <si>
    <t xml:space="preserve">2º por quê?</t>
  </si>
  <si>
    <t xml:space="preserve">3º por quê?</t>
  </si>
  <si>
    <t xml:space="preserve">4º por quê?</t>
  </si>
  <si>
    <t xml:space="preserve">5º por quê?</t>
  </si>
  <si>
    <t xml:space="preserve">Causa raiz</t>
  </si>
  <si>
    <t xml:space="preserve">Teste de volta</t>
  </si>
  <si>
    <t xml:space="preserve">Situação</t>
  </si>
  <si>
    <t xml:space="preserve">Escala de entregadores igual em todos os dias</t>
  </si>
  <si>
    <t xml:space="preserve">A escala foi montada pelo movimento médio da semana</t>
  </si>
  <si>
    <t xml:space="preserve">Os pedidos não são analisados por faixa de horário</t>
  </si>
  <si>
    <t xml:space="preserve">O relatório do aplicativo mostra só o total do dia</t>
  </si>
  <si>
    <t xml:space="preserve">A escala não acompanha o pico, porque os pedidos não são analisados por horário</t>
  </si>
  <si>
    <t xml:space="preserve">Concluída</t>
  </si>
  <si>
    <t xml:space="preserve">Cadeias registradas</t>
  </si>
  <si>
    <t xml:space="preserve">Cadeias concluídas</t>
  </si>
  <si>
    <t xml:space="preserve">Causas confirmadas sem cadeia de porquês</t>
  </si>
  <si>
    <t xml:space="preserve">Aviso</t>
  </si>
  <si>
    <t xml:space="preserve">As causas marcadas com “Sim” na aba Ishikawa aparecem aqui. Defina a ação de cada uma.</t>
  </si>
  <si>
    <t xml:space="preserve">Categoria</t>
  </si>
  <si>
    <t xml:space="preserve">Causa confirmada</t>
  </si>
  <si>
    <t xml:space="preserve">Ação</t>
  </si>
  <si>
    <t xml:space="preserve">Prazo</t>
  </si>
  <si>
    <t xml:space="preserve">Status</t>
  </si>
  <si>
    <t xml:space="preserve">Agrupar os pedidos por bairro antes da saída</t>
  </si>
  <si>
    <t xml:space="preserve">Líder da expedição</t>
  </si>
  <si>
    <t xml:space="preserve">Em andamento</t>
  </si>
  <si>
    <t xml:space="preserve">No prazo</t>
  </si>
  <si>
    <t xml:space="preserve">Causas com ação definida</t>
  </si>
  <si>
    <t xml:space="preserve">Ações concluídas</t>
  </si>
  <si>
    <t xml:space="preserve">Ações atrasadas</t>
  </si>
  <si>
    <t xml:space="preserve">Ações sem responsável ou sem prazo</t>
  </si>
  <si>
    <t xml:space="preserve">Checklist de validação do Diagrama de Ishikawa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</si>
  <si>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</si>
  <si>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</si>
  <si>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</si>
  <si>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O efeito está escrito como problema, com número, local e período.</t>
  </si>
  <si>
    <t xml:space="preserve">O efeito não traz causa nem solução embutida.</t>
  </si>
  <si>
    <t xml:space="preserve">Participaram pessoas que conhecem o processo, de funções diferentes.</t>
  </si>
  <si>
    <t xml:space="preserve">As categorias foram escolhidas de acordo com o tipo de processo.</t>
  </si>
  <si>
    <t xml:space="preserve">Todas as categorias foram discutidas, mesmo as que ficaram sem causa.</t>
  </si>
  <si>
    <t xml:space="preserve">Cada causa é um fato que pode ser verificado, e não uma opinião ou a falta de uma solução.</t>
  </si>
  <si>
    <t xml:space="preserve">As causas foram aprofundadas com a pergunta “por quê?”.</t>
  </si>
  <si>
    <t xml:space="preserve">Nenhuma causa aponta uma pessoa como culpada.</t>
  </si>
  <si>
    <t xml:space="preserve">As causas mais prováveis foram escolhidas pelo grupo, com critério combinado.</t>
  </si>
  <si>
    <t xml:space="preserve">As causas escolhidas foram verificadas com dados ou no local.</t>
  </si>
  <si>
    <t xml:space="preserve">As causas descartadas ficaram registradas, com o motivo.</t>
  </si>
  <si>
    <t xml:space="preserve">As causas confirmadas seguiram para o plano de ação.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</si>
  <si>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</si>
  <si>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</si>
  <si>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</si>
  <si>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</si>
  <si>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</si>
  <si>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 aba Ishikawa para a sua análise.</t>
  </si>
  <si>
    <t xml:space="preserve">Atrasos nas entregas de delivery</t>
  </si>
  <si>
    <t xml:space="preserve">Gerente da loja</t>
  </si>
  <si>
    <t xml:space="preserve">Pizzaria (loja)</t>
  </si>
  <si>
    <t xml:space="preserve">Equipe da loja</t>
  </si>
  <si>
    <t xml:space="preserve">1.0</t>
  </si>
  <si>
    <t xml:space="preserve">18% das entregas chegam depois de 40 minutos.</t>
  </si>
  <si>
    <t xml:space="preserve">Sextas e sábados, das 19h às 22h</t>
  </si>
  <si>
    <t xml:space="preserve">Gerente, líder da expedição, pizzaiolo, atendente e um entregador</t>
  </si>
  <si>
    <t xml:space="preserve">Ciclo PDCA: etapa de análise das causas</t>
  </si>
  <si>
    <t xml:space="preserve">Cada causa é uma hipótese até ser verificada. As descartadas ficam registradas, com a evidência. Só as confirmadas podem seguir para o plano de ação.</t>
  </si>
  <si>
    <t xml:space="preserve">Rota escolhida por cada entregador</t>
  </si>
  <si>
    <t xml:space="preserve">Não há roteiro sugerido</t>
  </si>
  <si>
    <t xml:space="preserve">Média</t>
  </si>
  <si>
    <t xml:space="preserve">Comparar o tempo de rota entre os entregadores</t>
  </si>
  <si>
    <t xml:space="preserve">Descartada</t>
  </si>
  <si>
    <t xml:space="preserve">Tempos parecidos entre os entregadores</t>
  </si>
  <si>
    <t xml:space="preserve">Não</t>
  </si>
  <si>
    <t xml:space="preserve">Comparar os entregadores disponíveis e as entregas por noite</t>
  </si>
  <si>
    <t xml:space="preserve">Mesmo número de entregadores todos os dias; nas sextas e nos sábados, 74 entregas por noite, contra 35 nos outros dias</t>
  </si>
  <si>
    <t xml:space="preserve">Expedição sem responsável definido no pico</t>
  </si>
  <si>
    <t xml:space="preserve">Quem está livre faz o despacho</t>
  </si>
  <si>
    <t xml:space="preserve">Observar a expedição em três noites de pico</t>
  </si>
  <si>
    <t xml:space="preserve">Não verificada</t>
  </si>
  <si>
    <t xml:space="preserve">Forno único, com fila no horário de pico</t>
  </si>
  <si>
    <t xml:space="preserve">O forno assa seis pizzas por vez</t>
  </si>
  <si>
    <t xml:space="preserve">Medir o tempo de espera antes do forno</t>
  </si>
  <si>
    <t xml:space="preserve">Espera média de 12 minutos antes do forno no pico, contra 3 fora dele. Fica para o próximo ciclo</t>
  </si>
  <si>
    <t xml:space="preserve">Motos com manutenção atrasada</t>
  </si>
  <si>
    <t xml:space="preserve">Baixa</t>
  </si>
  <si>
    <t xml:space="preserve">Conferir o registro de quebras do trimestre</t>
  </si>
  <si>
    <t xml:space="preserve">Nenhuma quebra em horário de pico</t>
  </si>
  <si>
    <t xml:space="preserve">Pedido chega com endereço sem complemento</t>
  </si>
  <si>
    <t xml:space="preserve">O formulário não exige o campo</t>
  </si>
  <si>
    <t xml:space="preserve">Contar os atrasos com endereço incompleto</t>
  </si>
  <si>
    <t xml:space="preserve">Endereço incompleto em 15% dos atrasos</t>
  </si>
  <si>
    <t xml:space="preserve">Bolsas térmicas insuficientes</t>
  </si>
  <si>
    <t xml:space="preserve">Contar bolsas e entregadores no pico</t>
  </si>
  <si>
    <t xml:space="preserve">Há bolsas para todos os entregadores</t>
  </si>
  <si>
    <t xml:space="preserve">Tempo de entrega medido só pela média do dia (causa de não detecção)</t>
  </si>
  <si>
    <t xml:space="preserve">O relatório padrão do aplicativo não separa por horário</t>
  </si>
  <si>
    <t xml:space="preserve">Refazer o indicador por faixa de horário</t>
  </si>
  <si>
    <t xml:space="preserve">No prazo: 91% fora do pico e 68% no pico. A média do dia, de 82%, escondia o pico</t>
  </si>
  <si>
    <t xml:space="preserve">Prazo prometido igual para todos os bairros</t>
  </si>
  <si>
    <t xml:space="preserve">Comparar os atrasos por distância</t>
  </si>
  <si>
    <t xml:space="preserve">Obras na avenida principal</t>
  </si>
  <si>
    <t xml:space="preserve">Comparar rotas com e sem passagem pela avenida</t>
  </si>
  <si>
    <t xml:space="preserve">Atraso igual nas rotas sem obra</t>
  </si>
  <si>
    <t xml:space="preserve">Chuva nas noites de pico</t>
  </si>
  <si>
    <t xml:space="preserve">Cruzar os atrasos com os dias de chuva</t>
  </si>
  <si>
    <t xml:space="preserve">5 porquês das causas principais</t>
  </si>
  <si>
    <t xml:space="preserve">Cadeia de porquês</t>
  </si>
  <si>
    <t xml:space="preserve">1º por quê? Não há entregador disponível no pico.
2º por quê? A escala tem o mesmo número de entregadores todos os dias.
3º por quê? A escala foi montada pelo movimento médio da semana.
4º por quê? Os pedidos não são analisados por faixa de horário.</t>
  </si>
  <si>
    <t xml:space="preserve">Os pedidos não são analisados por faixa de horário, e a escala não acompanha o pico.</t>
  </si>
  <si>
    <t xml:space="preserve">1º por quê? Cada pedido sai assim que fica pronto.
2º por quê? A expedição não separa os pedidos por zona.
3º por quê? Não há regra de agrupamento nem lugar para os pedidos esperarem.</t>
  </si>
  <si>
    <t xml:space="preserve">A expedição não tem regra nem espaço para agrupar os pedidos por zona.</t>
  </si>
  <si>
    <t xml:space="preserve">Requisições de compra devolvidas</t>
  </si>
  <si>
    <t xml:space="preserve">Gerente de Suprimentos</t>
  </si>
  <si>
    <t xml:space="preserve">Distribuidora de materiais elétricos · Compras</t>
  </si>
  <si>
    <t xml:space="preserve">Equipe de compras</t>
  </si>
  <si>
    <t xml:space="preserve">40% das requisições de compra são devolvidas ao requisitante.</t>
  </si>
  <si>
    <t xml:space="preserve">Todas as áreas requisitantes, no último trimestre</t>
  </si>
  <si>
    <t xml:space="preserve">Gerente, compradores, dois requisitantes e TI</t>
  </si>
  <si>
    <t xml:space="preserve">Ciclo PDCA e Matriz GUT da área</t>
  </si>
  <si>
    <t xml:space="preserve">Procedimentos</t>
  </si>
  <si>
    <t xml:space="preserve">Formulário de requisição sem campos obrigatórios</t>
  </si>
  <si>
    <t xml:space="preserve">O formulário foi criado antes do sistema atual</t>
  </si>
  <si>
    <t xml:space="preserve">Analisar 100 requisições devolvidas</t>
  </si>
  <si>
    <t xml:space="preserve">72 das 100 tinham campo essencial em branco</t>
  </si>
  <si>
    <t xml:space="preserve">Procedimento não define quem confere a especificação</t>
  </si>
  <si>
    <t xml:space="preserve">Entrevistar compradores e requisitantes</t>
  </si>
  <si>
    <t xml:space="preserve">Pessoas</t>
  </si>
  <si>
    <t xml:space="preserve">Requisitantes nunca foram treinados no processo de compras</t>
  </si>
  <si>
    <t xml:space="preserve">A integração não inclui o processo de compras</t>
  </si>
  <si>
    <t xml:space="preserve">Conferir os registros de treinamento</t>
  </si>
  <si>
    <t xml:space="preserve">Nenhum dos 38 requisitantes foi treinado</t>
  </si>
  <si>
    <t xml:space="preserve">Troca frequente de requisitantes nas áreas</t>
  </si>
  <si>
    <t xml:space="preserve">Levantar as trocas dos últimos 12 meses</t>
  </si>
  <si>
    <t xml:space="preserve">Só 3 trocas em 12 meses</t>
  </si>
  <si>
    <t xml:space="preserve">Sistemas</t>
  </si>
  <si>
    <t xml:space="preserve">Sistema aceita a descrição do item em texto livre</t>
  </si>
  <si>
    <t xml:space="preserve">Não há catálogo de itens cadastrado</t>
  </si>
  <si>
    <t xml:space="preserve">Comparar as descrições de um mesmo item</t>
  </si>
  <si>
    <t xml:space="preserve">Um mesmo rolamento com 9 descrições diferentes</t>
  </si>
  <si>
    <t xml:space="preserve">Sistema lento no fechamento do mês</t>
  </si>
  <si>
    <t xml:space="preserve">Comparar as devoluções por semana do mês</t>
  </si>
  <si>
    <t xml:space="preserve">Devoluções iguais ao longo do mês</t>
  </si>
  <si>
    <t xml:space="preserve">Informações</t>
  </si>
  <si>
    <t xml:space="preserve">Desenhos técnicos desatualizados na rede</t>
  </si>
  <si>
    <t xml:space="preserve">Conferir uma amostra de 20 desenhos</t>
  </si>
  <si>
    <t xml:space="preserve">Requisitante não conhece o prazo de cada tipo de compra</t>
  </si>
  <si>
    <t xml:space="preserve">Os prazos não estão publicados</t>
  </si>
  <si>
    <t xml:space="preserve">Perguntar a 10 requisitantes</t>
  </si>
  <si>
    <t xml:space="preserve">8 em 10 não souberam informar. Tratado em outro plano</t>
  </si>
  <si>
    <t xml:space="preserve">Indicadores</t>
  </si>
  <si>
    <t xml:space="preserve">Devoluções não são medidas por área requisitante</t>
  </si>
  <si>
    <t xml:space="preserve">O relatório mostra só o total do mês</t>
  </si>
  <si>
    <t xml:space="preserve">Verificar os relatórios disponíveis</t>
  </si>
  <si>
    <t xml:space="preserve">Só existe o total mensal</t>
  </si>
  <si>
    <t xml:space="preserve">Ambiente</t>
  </si>
  <si>
    <t xml:space="preserve">Categoria discutida pelo grupo, sem causas levantadas.</t>
  </si>
  <si>
    <t xml:space="preserve">1º por quê? O requisitante deixa a especificação técnica em branco.
2º por quê? O formulário aceita o envio sem esse campo.
3º por quê? O formulário foi criado antes do sistema atual e nunca foi revisado.</t>
  </si>
  <si>
    <t xml:space="preserve">O formulário não foi revisado quando o sistema mudou e não tem campos obrigatórios.</t>
  </si>
  <si>
    <t xml:space="preserve">1º por quê? Cada requisitante descreve o item de um jeito.
2º por quê? O sistema aceita texto livre na descrição.
3º por quê? Não há catálogo de itens cadastrado.</t>
  </si>
  <si>
    <t xml:space="preserve">Falta um catálogo de itens, com descrições padronizadas.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</si>
</sst>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&quot; de 6&quot;"/>
    <numFmt numFmtId="168" formatCode="0&quot; de 10&quot;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9"/>
      <color rgb="FF5B6B76"/>
      <name val="Arial"/>
      <family val="0"/>
      <charset val="1"/>
    </font>
    <font>
      <b val="true"/>
      <sz val="11"/>
      <color rgb="FF16242E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DCE8F3"/>
        <bgColor rgb="FFD8EFDD"/>
      </patternFill>
    </fill>
    <fill>
      <patternFill patternType="solid">
        <fgColor rgb="FFFFFFFF"/>
        <bgColor rgb="FFFFF9DB"/>
      </patternFill>
    </fill>
    <fill>
      <patternFill patternType="solid">
        <fgColor rgb="FF7A4A9A"/>
        <bgColor rgb="FF5B6B7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8EFDD"/>
        </patternFill>
      </fill>
    </dxf>
    <dxf>
      <fill>
        <patternFill>
          <bgColor rgb="FFD9DEE2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ont>
        <b val="1"/>
        <color rgb="FF16242E"/>
      </font>
      <fill>
        <patternFill>
          <bgColor rgb="FFDCE8F3"/>
        </patternFill>
      </fill>
    </dxf>
    <dxf>
      <font>
        <strike val="1"/>
        <color rgb="FF5B6B7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EE2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8" t="s">
        <v>16</v>
      </c>
      <c r="C13" s="9" t="s">
        <v>17</v>
      </c>
    </row>
    <row r="14" customFormat="false" ht="19.5" hidden="false" customHeight="true" outlineLevel="0" collapsed="false">
      <c r="B14" s="8" t="s">
        <v>18</v>
      </c>
      <c r="C14" s="9" t="s">
        <v>19</v>
      </c>
    </row>
    <row r="15" customFormat="false" ht="19.5" hidden="false" customHeight="true" outlineLevel="0" collapsed="false">
      <c r="B15" s="8" t="s">
        <v>20</v>
      </c>
      <c r="C15" s="9" t="s">
        <v>21</v>
      </c>
    </row>
    <row r="16" customFormat="false" ht="19.5" hidden="false" customHeight="true" outlineLevel="0" collapsed="false">
      <c r="B16" s="8" t="s">
        <v>22</v>
      </c>
      <c r="C16" s="9" t="s">
        <v>23</v>
      </c>
    </row>
    <row r="17" customFormat="false" ht="19.5" hidden="false" customHeight="true" outlineLevel="0" collapsed="false">
      <c r="B17" s="8" t="s">
        <v>24</v>
      </c>
      <c r="C17" s="9" t="s">
        <v>25</v>
      </c>
    </row>
    <row r="18" customFormat="false" ht="31.5" hidden="false" customHeight="true" outlineLevel="0" collapsed="false">
      <c r="B18" s="4" t="s">
        <v>26</v>
      </c>
      <c r="C18" s="7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8" customFormat="false" ht="19.5" hidden="false" customHeight="true" outlineLevel="0" collapsed="false">
      <c r="B28" s="4" t="s">
        <v>43</v>
      </c>
      <c r="C28" s="7" t="s">
        <v>44</v>
      </c>
    </row>
    <row r="29" customFormat="false" ht="19.5" hidden="false" customHeight="true" outlineLevel="0" collapsed="false">
      <c r="B29" s="4" t="s">
        <v>45</v>
      </c>
      <c r="C29" s="7" t="s">
        <v>46</v>
      </c>
    </row>
    <row r="31" customFormat="false" ht="21.75" hidden="false" customHeight="true" outlineLevel="0" collapsed="false">
      <c r="B31" s="3" t="s">
        <v>47</v>
      </c>
      <c r="C31" s="3"/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  <row r="37" customFormat="false" ht="19.5" hidden="false" customHeight="true" outlineLevel="0" collapsed="false">
      <c r="B37" s="4" t="s">
        <v>58</v>
      </c>
      <c r="C37" s="7" t="s">
        <v>59</v>
      </c>
    </row>
    <row r="38" customFormat="false" ht="19.5" hidden="false" customHeight="true" outlineLevel="0" collapsed="false">
      <c r="B38" s="4" t="s">
        <v>60</v>
      </c>
      <c r="C38" s="7" t="s">
        <v>61</v>
      </c>
    </row>
    <row r="40" customFormat="false" ht="21.75" hidden="false" customHeight="true" outlineLevel="0" collapsed="false">
      <c r="B40" s="3" t="s">
        <v>62</v>
      </c>
      <c r="C40" s="3"/>
    </row>
    <row r="41" customFormat="false" ht="45.75" hidden="false" customHeight="true" outlineLevel="0" collapsed="false">
      <c r="B41" s="4" t="s">
        <v>63</v>
      </c>
      <c r="C41" s="7" t="s">
        <v>64</v>
      </c>
    </row>
    <row r="42" customFormat="false" ht="45.75" hidden="false" customHeight="true" outlineLevel="0" collapsed="false">
      <c r="B42" s="4" t="s">
        <v>65</v>
      </c>
      <c r="C42" s="7" t="s">
        <v>66</v>
      </c>
    </row>
    <row r="43" customFormat="false" ht="45.75" hidden="false" customHeight="true" outlineLevel="0" collapsed="false">
      <c r="B43" s="4" t="s">
        <v>67</v>
      </c>
      <c r="C43" s="7" t="s">
        <v>68</v>
      </c>
    </row>
    <row r="44" customFormat="false" ht="45.75" hidden="false" customHeight="true" outlineLevel="0" collapsed="false">
      <c r="B44" s="4" t="s">
        <v>69</v>
      </c>
      <c r="C44" s="7" t="s">
        <v>70</v>
      </c>
    </row>
    <row r="45" customFormat="false" ht="45.75" hidden="false" customHeight="true" outlineLevel="0" collapsed="false">
      <c r="B45" s="4" t="s">
        <v>71</v>
      </c>
      <c r="C45" s="7" t="s">
        <v>72</v>
      </c>
    </row>
    <row r="46" customFormat="false" ht="31.5" hidden="false" customHeight="true" outlineLevel="0" collapsed="false">
      <c r="B46" s="4" t="s">
        <v>73</v>
      </c>
      <c r="C46" s="7" t="s">
        <v>74</v>
      </c>
    </row>
  </sheetData>
  <mergeCells count="7">
    <mergeCell ref="B1:C1"/>
    <mergeCell ref="B2:C2"/>
    <mergeCell ref="B4:C4"/>
    <mergeCell ref="B11:C11"/>
    <mergeCell ref="B20:C20"/>
    <mergeCell ref="B31:C31"/>
    <mergeCell ref="B40:C4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L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"/>
    <col collapsed="false" customWidth="true" hidden="false" outlineLevel="0" max="12" min="12" style="0" width="8"/>
  </cols>
  <sheetData>
    <row r="1" customFormat="false" ht="31.5" hidden="false" customHeight="true" outlineLevel="0" collapsed="false">
      <c r="B1" s="1" t="s">
        <v>75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76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77</v>
      </c>
      <c r="C4" s="4"/>
      <c r="D4" s="5"/>
      <c r="E4" s="5"/>
      <c r="F4" s="5"/>
      <c r="G4" s="4" t="s">
        <v>78</v>
      </c>
      <c r="H4" s="5"/>
      <c r="I4" s="5"/>
      <c r="J4" s="5"/>
    </row>
    <row r="5" customFormat="false" ht="21.75" hidden="false" customHeight="true" outlineLevel="0" collapsed="false">
      <c r="B5" s="4" t="s">
        <v>79</v>
      </c>
      <c r="C5" s="4"/>
      <c r="D5" s="5"/>
      <c r="E5" s="5"/>
      <c r="F5" s="5"/>
      <c r="G5" s="4" t="s">
        <v>80</v>
      </c>
      <c r="H5" s="10"/>
      <c r="I5" s="10"/>
      <c r="J5" s="10"/>
    </row>
    <row r="6" customFormat="false" ht="21.75" hidden="false" customHeight="true" outlineLevel="0" collapsed="false">
      <c r="B6" s="4" t="s">
        <v>81</v>
      </c>
      <c r="C6" s="4"/>
      <c r="D6" s="5"/>
      <c r="E6" s="5"/>
      <c r="F6" s="5"/>
      <c r="G6" s="4" t="s">
        <v>82</v>
      </c>
      <c r="H6" s="5"/>
      <c r="I6" s="5"/>
      <c r="J6" s="5"/>
    </row>
    <row r="7" customFormat="false" ht="30" hidden="false" customHeight="true" outlineLevel="0" collapsed="false">
      <c r="B7" s="4" t="s">
        <v>83</v>
      </c>
      <c r="C7" s="4"/>
      <c r="D7" s="5"/>
      <c r="E7" s="5"/>
      <c r="F7" s="5"/>
      <c r="G7" s="5"/>
      <c r="H7" s="5"/>
      <c r="I7" s="5"/>
      <c r="J7" s="5"/>
    </row>
    <row r="8" customFormat="false" ht="30" hidden="false" customHeight="true" outlineLevel="0" collapsed="false">
      <c r="B8" s="4" t="s">
        <v>84</v>
      </c>
      <c r="C8" s="4"/>
      <c r="D8" s="5"/>
      <c r="E8" s="5"/>
      <c r="F8" s="5"/>
      <c r="G8" s="4" t="s">
        <v>85</v>
      </c>
      <c r="H8" s="5"/>
      <c r="I8" s="5"/>
      <c r="J8" s="5"/>
    </row>
    <row r="9" customFormat="false" ht="30" hidden="false" customHeight="true" outlineLevel="0" collapsed="false">
      <c r="B9" s="4" t="s">
        <v>86</v>
      </c>
      <c r="C9" s="4"/>
      <c r="D9" s="5"/>
      <c r="E9" s="5"/>
      <c r="F9" s="5"/>
      <c r="G9" s="5"/>
      <c r="H9" s="5"/>
      <c r="I9" s="5"/>
      <c r="J9" s="5"/>
    </row>
    <row r="11" customFormat="false" ht="30" hidden="false" customHeight="true" outlineLevel="0" collapsed="false">
      <c r="B11" s="11" t="s">
        <v>87</v>
      </c>
      <c r="C11" s="11" t="s">
        <v>88</v>
      </c>
      <c r="D11" s="11"/>
      <c r="E11" s="11" t="s">
        <v>89</v>
      </c>
      <c r="F11" s="11" t="s">
        <v>90</v>
      </c>
      <c r="G11" s="11" t="s">
        <v>91</v>
      </c>
      <c r="H11" s="11" t="s">
        <v>92</v>
      </c>
      <c r="I11" s="11" t="s">
        <v>93</v>
      </c>
      <c r="J11" s="11" t="s">
        <v>94</v>
      </c>
    </row>
    <row r="12" customFormat="false" ht="30" hidden="false" customHeight="true" outlineLevel="0" collapsed="false">
      <c r="B12" s="12"/>
      <c r="C12" s="12" t="s">
        <v>95</v>
      </c>
      <c r="D12" s="12"/>
      <c r="E12" s="12" t="s">
        <v>96</v>
      </c>
      <c r="F12" s="12" t="s">
        <v>97</v>
      </c>
      <c r="G12" s="12" t="s">
        <v>98</v>
      </c>
      <c r="H12" s="12" t="s">
        <v>99</v>
      </c>
      <c r="I12" s="12" t="s">
        <v>100</v>
      </c>
      <c r="J12" s="12" t="s">
        <v>101</v>
      </c>
    </row>
    <row r="13" customFormat="false" ht="33" hidden="false" customHeight="true" outlineLevel="0" collapsed="false">
      <c r="B13" s="12" t="s">
        <v>102</v>
      </c>
      <c r="C13" s="13" t="s">
        <v>103</v>
      </c>
      <c r="D13" s="13"/>
      <c r="E13" s="13" t="s">
        <v>104</v>
      </c>
      <c r="F13" s="12" t="s">
        <v>105</v>
      </c>
      <c r="G13" s="13" t="s">
        <v>106</v>
      </c>
      <c r="H13" s="12" t="s">
        <v>107</v>
      </c>
      <c r="I13" s="13" t="s">
        <v>108</v>
      </c>
      <c r="J13" s="12" t="s">
        <v>109</v>
      </c>
      <c r="L13" s="14" t="s">
        <v>110</v>
      </c>
    </row>
    <row r="14" customFormat="false" ht="24" hidden="false" customHeight="true" outlineLevel="0" collapsed="false">
      <c r="B14" s="15" t="s">
        <v>111</v>
      </c>
      <c r="C14" s="16" t="s">
        <v>112</v>
      </c>
      <c r="D14" s="16"/>
      <c r="E14" s="16"/>
      <c r="F14" s="17" t="s">
        <v>15</v>
      </c>
      <c r="G14" s="17"/>
      <c r="H14" s="17"/>
      <c r="I14" s="17"/>
      <c r="J14" s="17"/>
    </row>
    <row r="15" customFormat="false" ht="27" hidden="false" customHeight="true" outlineLevel="0" collapsed="false">
      <c r="B15" s="18" t="s">
        <v>113</v>
      </c>
      <c r="C15" s="5"/>
      <c r="D15" s="5"/>
      <c r="E15" s="5"/>
      <c r="F15" s="19"/>
      <c r="G15" s="5"/>
      <c r="H15" s="19"/>
      <c r="I15" s="5"/>
      <c r="J15" s="19"/>
      <c r="L15" s="20" t="str">
        <f aca="false">IF(J15="Sim",COUNTIF($J$14:J15,"Sim"),"")</f>
        <v/>
      </c>
    </row>
    <row r="16" customFormat="false" ht="27" hidden="false" customHeight="true" outlineLevel="0" collapsed="false">
      <c r="B16" s="18" t="s">
        <v>114</v>
      </c>
      <c r="C16" s="5"/>
      <c r="D16" s="5"/>
      <c r="E16" s="5"/>
      <c r="F16" s="19"/>
      <c r="G16" s="5"/>
      <c r="H16" s="19"/>
      <c r="I16" s="5"/>
      <c r="J16" s="19"/>
      <c r="L16" s="20" t="str">
        <f aca="false">IF(J16="Sim",COUNTIF($J$14:J16,"Sim"),"")</f>
        <v/>
      </c>
    </row>
    <row r="17" customFormat="false" ht="27" hidden="false" customHeight="true" outlineLevel="0" collapsed="false">
      <c r="B17" s="18" t="s">
        <v>115</v>
      </c>
      <c r="C17" s="5"/>
      <c r="D17" s="5"/>
      <c r="E17" s="5"/>
      <c r="F17" s="19"/>
      <c r="G17" s="5"/>
      <c r="H17" s="19"/>
      <c r="I17" s="5"/>
      <c r="J17" s="19"/>
      <c r="L17" s="20" t="str">
        <f aca="false">IF(J17="Sim",COUNTIF($J$14:J17,"Sim"),"")</f>
        <v/>
      </c>
    </row>
    <row r="18" customFormat="false" ht="27" hidden="false" customHeight="true" outlineLevel="0" collapsed="false">
      <c r="B18" s="18" t="s">
        <v>116</v>
      </c>
      <c r="C18" s="5"/>
      <c r="D18" s="5"/>
      <c r="E18" s="5"/>
      <c r="F18" s="19"/>
      <c r="G18" s="5"/>
      <c r="H18" s="19"/>
      <c r="I18" s="5"/>
      <c r="J18" s="19"/>
      <c r="L18" s="20" t="str">
        <f aca="false">IF(J18="Sim",COUNTIF($J$14:J18,"Sim"),"")</f>
        <v/>
      </c>
    </row>
    <row r="19" customFormat="false" ht="27" hidden="false" customHeight="true" outlineLevel="0" collapsed="false">
      <c r="B19" s="18" t="s">
        <v>117</v>
      </c>
      <c r="C19" s="5"/>
      <c r="D19" s="5"/>
      <c r="E19" s="5"/>
      <c r="F19" s="19"/>
      <c r="G19" s="5"/>
      <c r="H19" s="19"/>
      <c r="I19" s="5"/>
      <c r="J19" s="19"/>
      <c r="L19" s="20" t="str">
        <f aca="false">IF(J19="Sim",COUNTIF($J$14:J19,"Sim"),"")</f>
        <v/>
      </c>
    </row>
    <row r="20" customFormat="false" ht="24" hidden="false" customHeight="true" outlineLevel="0" collapsed="false">
      <c r="B20" s="15" t="s">
        <v>118</v>
      </c>
      <c r="C20" s="16" t="s">
        <v>119</v>
      </c>
      <c r="D20" s="16"/>
      <c r="E20" s="16"/>
      <c r="F20" s="17" t="s">
        <v>17</v>
      </c>
      <c r="G20" s="17"/>
      <c r="H20" s="17"/>
      <c r="I20" s="17"/>
      <c r="J20" s="17"/>
    </row>
    <row r="21" customFormat="false" ht="27" hidden="false" customHeight="true" outlineLevel="0" collapsed="false">
      <c r="B21" s="18" t="s">
        <v>120</v>
      </c>
      <c r="C21" s="5"/>
      <c r="D21" s="5"/>
      <c r="E21" s="5"/>
      <c r="F21" s="19"/>
      <c r="G21" s="5"/>
      <c r="H21" s="19"/>
      <c r="I21" s="5"/>
      <c r="J21" s="19"/>
      <c r="L21" s="20" t="str">
        <f aca="false">IF(J21="Sim",COUNTIF($J$14:J21,"Sim"),"")</f>
        <v/>
      </c>
    </row>
    <row r="22" customFormat="false" ht="27" hidden="false" customHeight="true" outlineLevel="0" collapsed="false">
      <c r="B22" s="18" t="s">
        <v>121</v>
      </c>
      <c r="C22" s="5"/>
      <c r="D22" s="5"/>
      <c r="E22" s="5"/>
      <c r="F22" s="19"/>
      <c r="G22" s="5"/>
      <c r="H22" s="19"/>
      <c r="I22" s="5"/>
      <c r="J22" s="19"/>
      <c r="L22" s="20" t="str">
        <f aca="false">IF(J22="Sim",COUNTIF($J$14:J22,"Sim"),"")</f>
        <v/>
      </c>
    </row>
    <row r="23" customFormat="false" ht="27" hidden="false" customHeight="true" outlineLevel="0" collapsed="false">
      <c r="B23" s="18" t="s">
        <v>122</v>
      </c>
      <c r="C23" s="5"/>
      <c r="D23" s="5"/>
      <c r="E23" s="5"/>
      <c r="F23" s="19"/>
      <c r="G23" s="5"/>
      <c r="H23" s="19"/>
      <c r="I23" s="5"/>
      <c r="J23" s="19"/>
      <c r="L23" s="20" t="str">
        <f aca="false">IF(J23="Sim",COUNTIF($J$14:J23,"Sim"),"")</f>
        <v/>
      </c>
    </row>
    <row r="24" customFormat="false" ht="27" hidden="false" customHeight="true" outlineLevel="0" collapsed="false">
      <c r="B24" s="18" t="s">
        <v>123</v>
      </c>
      <c r="C24" s="5"/>
      <c r="D24" s="5"/>
      <c r="E24" s="5"/>
      <c r="F24" s="19"/>
      <c r="G24" s="5"/>
      <c r="H24" s="19"/>
      <c r="I24" s="5"/>
      <c r="J24" s="19"/>
      <c r="L24" s="20" t="str">
        <f aca="false">IF(J24="Sim",COUNTIF($J$14:J24,"Sim"),"")</f>
        <v/>
      </c>
    </row>
    <row r="25" customFormat="false" ht="27" hidden="false" customHeight="true" outlineLevel="0" collapsed="false">
      <c r="B25" s="18" t="s">
        <v>124</v>
      </c>
      <c r="C25" s="5"/>
      <c r="D25" s="5"/>
      <c r="E25" s="5"/>
      <c r="F25" s="19"/>
      <c r="G25" s="5"/>
      <c r="H25" s="19"/>
      <c r="I25" s="5"/>
      <c r="J25" s="19"/>
      <c r="L25" s="20" t="str">
        <f aca="false">IF(J25="Sim",COUNTIF($J$14:J25,"Sim"),"")</f>
        <v/>
      </c>
    </row>
    <row r="26" customFormat="false" ht="24" hidden="false" customHeight="true" outlineLevel="0" collapsed="false">
      <c r="B26" s="15" t="s">
        <v>125</v>
      </c>
      <c r="C26" s="16" t="s">
        <v>126</v>
      </c>
      <c r="D26" s="16"/>
      <c r="E26" s="16"/>
      <c r="F26" s="17" t="s">
        <v>19</v>
      </c>
      <c r="G26" s="17"/>
      <c r="H26" s="17"/>
      <c r="I26" s="17"/>
      <c r="J26" s="17"/>
    </row>
    <row r="27" customFormat="false" ht="27" hidden="false" customHeight="true" outlineLevel="0" collapsed="false">
      <c r="B27" s="18" t="s">
        <v>127</v>
      </c>
      <c r="C27" s="5"/>
      <c r="D27" s="5"/>
      <c r="E27" s="5"/>
      <c r="F27" s="19"/>
      <c r="G27" s="5"/>
      <c r="H27" s="19"/>
      <c r="I27" s="5"/>
      <c r="J27" s="19"/>
      <c r="L27" s="20" t="str">
        <f aca="false">IF(J27="Sim",COUNTIF($J$14:J27,"Sim"),"")</f>
        <v/>
      </c>
    </row>
    <row r="28" customFormat="false" ht="27" hidden="false" customHeight="true" outlineLevel="0" collapsed="false">
      <c r="B28" s="18" t="s">
        <v>128</v>
      </c>
      <c r="C28" s="5"/>
      <c r="D28" s="5"/>
      <c r="E28" s="5"/>
      <c r="F28" s="19"/>
      <c r="G28" s="5"/>
      <c r="H28" s="19"/>
      <c r="I28" s="5"/>
      <c r="J28" s="19"/>
      <c r="L28" s="20" t="str">
        <f aca="false">IF(J28="Sim",COUNTIF($J$14:J28,"Sim"),"")</f>
        <v/>
      </c>
    </row>
    <row r="29" customFormat="false" ht="27" hidden="false" customHeight="true" outlineLevel="0" collapsed="false">
      <c r="B29" s="18" t="s">
        <v>129</v>
      </c>
      <c r="C29" s="5"/>
      <c r="D29" s="5"/>
      <c r="E29" s="5"/>
      <c r="F29" s="19"/>
      <c r="G29" s="5"/>
      <c r="H29" s="19"/>
      <c r="I29" s="5"/>
      <c r="J29" s="19"/>
      <c r="L29" s="20" t="str">
        <f aca="false">IF(J29="Sim",COUNTIF($J$14:J29,"Sim"),"")</f>
        <v/>
      </c>
    </row>
    <row r="30" customFormat="false" ht="27" hidden="false" customHeight="true" outlineLevel="0" collapsed="false">
      <c r="B30" s="18" t="s">
        <v>130</v>
      </c>
      <c r="C30" s="5"/>
      <c r="D30" s="5"/>
      <c r="E30" s="5"/>
      <c r="F30" s="19"/>
      <c r="G30" s="5"/>
      <c r="H30" s="19"/>
      <c r="I30" s="5"/>
      <c r="J30" s="19"/>
      <c r="L30" s="20" t="str">
        <f aca="false">IF(J30="Sim",COUNTIF($J$14:J30,"Sim"),"")</f>
        <v/>
      </c>
    </row>
    <row r="31" customFormat="false" ht="27" hidden="false" customHeight="true" outlineLevel="0" collapsed="false">
      <c r="B31" s="18" t="s">
        <v>131</v>
      </c>
      <c r="C31" s="5"/>
      <c r="D31" s="5"/>
      <c r="E31" s="5"/>
      <c r="F31" s="19"/>
      <c r="G31" s="5"/>
      <c r="H31" s="19"/>
      <c r="I31" s="5"/>
      <c r="J31" s="19"/>
      <c r="L31" s="20" t="str">
        <f aca="false">IF(J31="Sim",COUNTIF($J$14:J31,"Sim"),"")</f>
        <v/>
      </c>
    </row>
    <row r="32" customFormat="false" ht="24" hidden="false" customHeight="true" outlineLevel="0" collapsed="false">
      <c r="B32" s="15" t="s">
        <v>132</v>
      </c>
      <c r="C32" s="16" t="s">
        <v>133</v>
      </c>
      <c r="D32" s="16"/>
      <c r="E32" s="16"/>
      <c r="F32" s="17" t="s">
        <v>21</v>
      </c>
      <c r="G32" s="17"/>
      <c r="H32" s="17"/>
      <c r="I32" s="17"/>
      <c r="J32" s="17"/>
    </row>
    <row r="33" customFormat="false" ht="27" hidden="false" customHeight="true" outlineLevel="0" collapsed="false">
      <c r="B33" s="18" t="s">
        <v>134</v>
      </c>
      <c r="C33" s="5"/>
      <c r="D33" s="5"/>
      <c r="E33" s="5"/>
      <c r="F33" s="19"/>
      <c r="G33" s="5"/>
      <c r="H33" s="19"/>
      <c r="I33" s="5"/>
      <c r="J33" s="19"/>
      <c r="L33" s="20" t="str">
        <f aca="false">IF(J33="Sim",COUNTIF($J$14:J33,"Sim"),"")</f>
        <v/>
      </c>
    </row>
    <row r="34" customFormat="false" ht="27" hidden="false" customHeight="true" outlineLevel="0" collapsed="false">
      <c r="B34" s="18" t="s">
        <v>135</v>
      </c>
      <c r="C34" s="5"/>
      <c r="D34" s="5"/>
      <c r="E34" s="5"/>
      <c r="F34" s="19"/>
      <c r="G34" s="5"/>
      <c r="H34" s="19"/>
      <c r="I34" s="5"/>
      <c r="J34" s="19"/>
      <c r="L34" s="20" t="str">
        <f aca="false">IF(J34="Sim",COUNTIF($J$14:J34,"Sim"),"")</f>
        <v/>
      </c>
    </row>
    <row r="35" customFormat="false" ht="27" hidden="false" customHeight="true" outlineLevel="0" collapsed="false">
      <c r="B35" s="18" t="s">
        <v>136</v>
      </c>
      <c r="C35" s="5"/>
      <c r="D35" s="5"/>
      <c r="E35" s="5"/>
      <c r="F35" s="19"/>
      <c r="G35" s="5"/>
      <c r="H35" s="19"/>
      <c r="I35" s="5"/>
      <c r="J35" s="19"/>
      <c r="L35" s="20" t="str">
        <f aca="false">IF(J35="Sim",COUNTIF($J$14:J35,"Sim"),"")</f>
        <v/>
      </c>
    </row>
    <row r="36" customFormat="false" ht="27" hidden="false" customHeight="true" outlineLevel="0" collapsed="false">
      <c r="B36" s="18" t="s">
        <v>137</v>
      </c>
      <c r="C36" s="5"/>
      <c r="D36" s="5"/>
      <c r="E36" s="5"/>
      <c r="F36" s="19"/>
      <c r="G36" s="5"/>
      <c r="H36" s="19"/>
      <c r="I36" s="5"/>
      <c r="J36" s="19"/>
      <c r="L36" s="20" t="str">
        <f aca="false">IF(J36="Sim",COUNTIF($J$14:J36,"Sim"),"")</f>
        <v/>
      </c>
    </row>
    <row r="37" customFormat="false" ht="27" hidden="false" customHeight="true" outlineLevel="0" collapsed="false">
      <c r="B37" s="18" t="s">
        <v>138</v>
      </c>
      <c r="C37" s="5"/>
      <c r="D37" s="5"/>
      <c r="E37" s="5"/>
      <c r="F37" s="19"/>
      <c r="G37" s="5"/>
      <c r="H37" s="19"/>
      <c r="I37" s="5"/>
      <c r="J37" s="19"/>
      <c r="L37" s="20" t="str">
        <f aca="false">IF(J37="Sim",COUNTIF($J$14:J37,"Sim"),"")</f>
        <v/>
      </c>
    </row>
    <row r="38" customFormat="false" ht="24" hidden="false" customHeight="true" outlineLevel="0" collapsed="false">
      <c r="B38" s="15" t="s">
        <v>139</v>
      </c>
      <c r="C38" s="16" t="s">
        <v>140</v>
      </c>
      <c r="D38" s="16"/>
      <c r="E38" s="16"/>
      <c r="F38" s="17" t="s">
        <v>23</v>
      </c>
      <c r="G38" s="17"/>
      <c r="H38" s="17"/>
      <c r="I38" s="17"/>
      <c r="J38" s="17"/>
    </row>
    <row r="39" customFormat="false" ht="27" hidden="false" customHeight="true" outlineLevel="0" collapsed="false">
      <c r="B39" s="18" t="s">
        <v>141</v>
      </c>
      <c r="C39" s="5"/>
      <c r="D39" s="5"/>
      <c r="E39" s="5"/>
      <c r="F39" s="19"/>
      <c r="G39" s="5"/>
      <c r="H39" s="19"/>
      <c r="I39" s="5"/>
      <c r="J39" s="19"/>
      <c r="L39" s="20" t="str">
        <f aca="false">IF(J39="Sim",COUNTIF($J$14:J39,"Sim"),"")</f>
        <v/>
      </c>
    </row>
    <row r="40" customFormat="false" ht="27" hidden="false" customHeight="true" outlineLevel="0" collapsed="false">
      <c r="B40" s="18" t="s">
        <v>142</v>
      </c>
      <c r="C40" s="5"/>
      <c r="D40" s="5"/>
      <c r="E40" s="5"/>
      <c r="F40" s="19"/>
      <c r="G40" s="5"/>
      <c r="H40" s="19"/>
      <c r="I40" s="5"/>
      <c r="J40" s="19"/>
      <c r="L40" s="20" t="str">
        <f aca="false">IF(J40="Sim",COUNTIF($J$14:J40,"Sim"),"")</f>
        <v/>
      </c>
    </row>
    <row r="41" customFormat="false" ht="27" hidden="false" customHeight="true" outlineLevel="0" collapsed="false">
      <c r="B41" s="18" t="s">
        <v>143</v>
      </c>
      <c r="C41" s="5"/>
      <c r="D41" s="5"/>
      <c r="E41" s="5"/>
      <c r="F41" s="19"/>
      <c r="G41" s="5"/>
      <c r="H41" s="19"/>
      <c r="I41" s="5"/>
      <c r="J41" s="19"/>
      <c r="L41" s="20" t="str">
        <f aca="false">IF(J41="Sim",COUNTIF($J$14:J41,"Sim"),"")</f>
        <v/>
      </c>
    </row>
    <row r="42" customFormat="false" ht="27" hidden="false" customHeight="true" outlineLevel="0" collapsed="false">
      <c r="B42" s="18" t="s">
        <v>144</v>
      </c>
      <c r="C42" s="5"/>
      <c r="D42" s="5"/>
      <c r="E42" s="5"/>
      <c r="F42" s="19"/>
      <c r="G42" s="5"/>
      <c r="H42" s="19"/>
      <c r="I42" s="5"/>
      <c r="J42" s="19"/>
      <c r="L42" s="20" t="str">
        <f aca="false">IF(J42="Sim",COUNTIF($J$14:J42,"Sim"),"")</f>
        <v/>
      </c>
    </row>
    <row r="43" customFormat="false" ht="27" hidden="false" customHeight="true" outlineLevel="0" collapsed="false">
      <c r="B43" s="18" t="s">
        <v>145</v>
      </c>
      <c r="C43" s="5"/>
      <c r="D43" s="5"/>
      <c r="E43" s="5"/>
      <c r="F43" s="19"/>
      <c r="G43" s="5"/>
      <c r="H43" s="19"/>
      <c r="I43" s="5"/>
      <c r="J43" s="19"/>
      <c r="L43" s="20" t="str">
        <f aca="false">IF(J43="Sim",COUNTIF($J$14:J43,"Sim"),"")</f>
        <v/>
      </c>
    </row>
    <row r="44" customFormat="false" ht="24" hidden="false" customHeight="true" outlineLevel="0" collapsed="false">
      <c r="B44" s="15" t="s">
        <v>146</v>
      </c>
      <c r="C44" s="16" t="s">
        <v>147</v>
      </c>
      <c r="D44" s="16"/>
      <c r="E44" s="16"/>
      <c r="F44" s="17" t="s">
        <v>25</v>
      </c>
      <c r="G44" s="17"/>
      <c r="H44" s="17"/>
      <c r="I44" s="17"/>
      <c r="J44" s="17"/>
    </row>
    <row r="45" customFormat="false" ht="27" hidden="false" customHeight="true" outlineLevel="0" collapsed="false">
      <c r="B45" s="18" t="s">
        <v>148</v>
      </c>
      <c r="C45" s="5"/>
      <c r="D45" s="5"/>
      <c r="E45" s="5"/>
      <c r="F45" s="19"/>
      <c r="G45" s="5"/>
      <c r="H45" s="19"/>
      <c r="I45" s="5"/>
      <c r="J45" s="19"/>
      <c r="L45" s="20" t="str">
        <f aca="false">IF(J45="Sim",COUNTIF($J$14:J45,"Sim"),"")</f>
        <v/>
      </c>
    </row>
    <row r="46" customFormat="false" ht="27" hidden="false" customHeight="true" outlineLevel="0" collapsed="false">
      <c r="B46" s="18" t="s">
        <v>149</v>
      </c>
      <c r="C46" s="5"/>
      <c r="D46" s="5"/>
      <c r="E46" s="5"/>
      <c r="F46" s="19"/>
      <c r="G46" s="5"/>
      <c r="H46" s="19"/>
      <c r="I46" s="5"/>
      <c r="J46" s="19"/>
      <c r="L46" s="20" t="str">
        <f aca="false">IF(J46="Sim",COUNTIF($J$14:J46,"Sim"),"")</f>
        <v/>
      </c>
    </row>
    <row r="47" customFormat="false" ht="27" hidden="false" customHeight="true" outlineLevel="0" collapsed="false">
      <c r="B47" s="18" t="s">
        <v>150</v>
      </c>
      <c r="C47" s="5"/>
      <c r="D47" s="5"/>
      <c r="E47" s="5"/>
      <c r="F47" s="19"/>
      <c r="G47" s="5"/>
      <c r="H47" s="19"/>
      <c r="I47" s="5"/>
      <c r="J47" s="19"/>
      <c r="L47" s="20" t="str">
        <f aca="false">IF(J47="Sim",COUNTIF($J$14:J47,"Sim"),"")</f>
        <v/>
      </c>
    </row>
    <row r="48" customFormat="false" ht="27" hidden="false" customHeight="true" outlineLevel="0" collapsed="false">
      <c r="B48" s="18" t="s">
        <v>151</v>
      </c>
      <c r="C48" s="5"/>
      <c r="D48" s="5"/>
      <c r="E48" s="5"/>
      <c r="F48" s="19"/>
      <c r="G48" s="5"/>
      <c r="H48" s="19"/>
      <c r="I48" s="5"/>
      <c r="J48" s="19"/>
      <c r="L48" s="20" t="str">
        <f aca="false">IF(J48="Sim",COUNTIF($J$14:J48,"Sim"),"")</f>
        <v/>
      </c>
    </row>
    <row r="49" customFormat="false" ht="27" hidden="false" customHeight="true" outlineLevel="0" collapsed="false">
      <c r="B49" s="18" t="s">
        <v>152</v>
      </c>
      <c r="C49" s="5"/>
      <c r="D49" s="5"/>
      <c r="E49" s="5"/>
      <c r="F49" s="19"/>
      <c r="G49" s="5"/>
      <c r="H49" s="19"/>
      <c r="I49" s="5"/>
      <c r="J49" s="19"/>
      <c r="L49" s="20" t="str">
        <f aca="false">IF(J49="Sim",COUNTIF($J$14:J49,"Sim"),"")</f>
        <v/>
      </c>
    </row>
    <row r="51" customFormat="false" ht="21.75" hidden="false" customHeight="true" outlineLevel="0" collapsed="false">
      <c r="B51" s="21" t="s">
        <v>153</v>
      </c>
      <c r="C51" s="21"/>
      <c r="D51" s="21"/>
      <c r="E51" s="21"/>
      <c r="F51" s="21"/>
      <c r="G51" s="21"/>
      <c r="H51" s="21"/>
      <c r="I51" s="21"/>
      <c r="J51" s="21"/>
    </row>
    <row r="52" customFormat="false" ht="21.75" hidden="false" customHeight="true" outlineLevel="0" collapsed="false">
      <c r="B52" s="22" t="s">
        <v>154</v>
      </c>
      <c r="C52" s="22"/>
      <c r="D52" s="22"/>
      <c r="E52" s="22"/>
      <c r="F52" s="23" t="n">
        <f aca="false">COUNTA(C15:C19,C21:C25,C27:C31,C33:C37,C39:C43,C45:C49)</f>
        <v>0</v>
      </c>
      <c r="G52" s="23"/>
      <c r="H52" s="23"/>
      <c r="I52" s="23"/>
    </row>
    <row r="53" customFormat="false" ht="21.75" hidden="false" customHeight="true" outlineLevel="0" collapsed="false">
      <c r="B53" s="22" t="s">
        <v>155</v>
      </c>
      <c r="C53" s="22"/>
      <c r="D53" s="22"/>
      <c r="E53" s="22"/>
      <c r="F53" s="24" t="n">
        <f aca="false">(COUNTA(C15:C19)&gt;0)+(COUNTA(C21:C25)&gt;0)+(COUNTA(C27:C31)&gt;0)+(COUNTA(C33:C37)&gt;0)+(COUNTA(C39:C43)&gt;0)+(COUNTA(C45:C49)&gt;0)</f>
        <v>0</v>
      </c>
      <c r="G53" s="24"/>
      <c r="H53" s="24"/>
      <c r="I53" s="24"/>
    </row>
    <row r="54" customFormat="false" ht="21.75" hidden="false" customHeight="true" outlineLevel="0" collapsed="false">
      <c r="B54" s="22" t="s">
        <v>156</v>
      </c>
      <c r="C54" s="22"/>
      <c r="D54" s="22"/>
      <c r="E54" s="22"/>
      <c r="F54" s="23" t="n">
        <f aca="false">COUNTIF(H14:H49,"Confirmada")</f>
        <v>0</v>
      </c>
      <c r="G54" s="23"/>
      <c r="H54" s="23"/>
      <c r="I54" s="23"/>
    </row>
    <row r="55" customFormat="false" ht="21.75" hidden="false" customHeight="true" outlineLevel="0" collapsed="false">
      <c r="B55" s="22" t="s">
        <v>157</v>
      </c>
      <c r="C55" s="22"/>
      <c r="D55" s="22"/>
      <c r="E55" s="22"/>
      <c r="F55" s="23" t="n">
        <f aca="false">COUNTIF(H14:H49,"Descartada")</f>
        <v>0</v>
      </c>
      <c r="G55" s="23"/>
      <c r="H55" s="23"/>
      <c r="I55" s="23"/>
    </row>
    <row r="56" customFormat="false" ht="21.75" hidden="false" customHeight="true" outlineLevel="0" collapsed="false">
      <c r="B56" s="22" t="s">
        <v>158</v>
      </c>
      <c r="C56" s="22"/>
      <c r="D56" s="22"/>
      <c r="E56" s="22"/>
      <c r="F56" s="23" t="n">
        <f aca="false">F52-F54-F55</f>
        <v>0</v>
      </c>
      <c r="G56" s="23"/>
      <c r="H56" s="23"/>
      <c r="I56" s="23"/>
    </row>
    <row r="57" customFormat="false" ht="21.75" hidden="false" customHeight="true" outlineLevel="0" collapsed="false">
      <c r="B57" s="22" t="s">
        <v>159</v>
      </c>
      <c r="C57" s="22"/>
      <c r="D57" s="22"/>
      <c r="E57" s="22"/>
      <c r="F57" s="23" t="n">
        <f aca="false">COUNTIF(J14:J49,"Sim")</f>
        <v>0</v>
      </c>
      <c r="G57" s="23"/>
      <c r="H57" s="23"/>
      <c r="I57" s="23"/>
    </row>
    <row r="58" customFormat="false" ht="21.75" hidden="false" customHeight="true" outlineLevel="0" collapsed="false">
      <c r="B58" s="22" t="s">
        <v>160</v>
      </c>
      <c r="C58" s="22"/>
      <c r="D58" s="22"/>
      <c r="E58" s="22"/>
      <c r="F58" s="25" t="str">
        <f aca="false">IF(SUMPRODUCT(((H14:H49="Confirmada")+(H14:H49="Descartada"))*(I14:I49=""))&gt;0,"Há causa verificada sem evidência","OK")</f>
        <v>OK</v>
      </c>
      <c r="G58" s="25"/>
      <c r="H58" s="25"/>
      <c r="I58" s="25"/>
    </row>
    <row r="59" customFormat="false" ht="21.75" hidden="false" customHeight="true" outlineLevel="0" collapsed="false">
      <c r="B59" s="22" t="s">
        <v>161</v>
      </c>
      <c r="C59" s="22"/>
      <c r="D59" s="22"/>
      <c r="E59" s="22"/>
      <c r="F59" s="25" t="str">
        <f aca="false">IF(SUMPRODUCT((J14:J49="Sim")*(H14:H49&lt;&gt;"Confirmada"))&gt;0,"Há causa que segue para o plano sem estar confirmada",IF(SUMPRODUCT((F14:F49="Alta")*(H14:H49&lt;&gt;"Confirmada")*(H14:H49&lt;&gt;"Descartada"))&gt;0,"Há causa de alta probabilidade sem verificação","OK"))</f>
        <v>OK</v>
      </c>
      <c r="G59" s="25"/>
      <c r="H59" s="25"/>
      <c r="I59" s="25"/>
    </row>
    <row r="60" customFormat="false" ht="21.75" hidden="false" customHeight="true" outlineLevel="0" collapsed="false">
      <c r="B60" s="22" t="s">
        <v>162</v>
      </c>
      <c r="C60" s="22"/>
      <c r="D60" s="22"/>
      <c r="E60" s="22"/>
      <c r="F60" s="25" t="str">
        <f aca="false">IF(F52=0,"Liste as causas",IF(F53&lt;6,"Há categoria sem causa: confira se ela foi discutida","OK"))</f>
        <v>Liste as causas</v>
      </c>
      <c r="G60" s="25"/>
      <c r="H60" s="25"/>
      <c r="I60" s="25"/>
    </row>
    <row r="61" customFormat="false" ht="21.75" hidden="false" customHeight="true" outlineLevel="0" collapsed="false">
      <c r="B61" s="22" t="s">
        <v>163</v>
      </c>
      <c r="C61" s="22"/>
      <c r="D61" s="22"/>
      <c r="E61" s="22"/>
      <c r="F61" s="26" t="n">
        <f aca="false">COUNTA(D4,H4,D5,H5,D6,H6,D7,D8,H8,D9)</f>
        <v>0</v>
      </c>
      <c r="G61" s="26"/>
      <c r="H61" s="26"/>
      <c r="I61" s="26"/>
    </row>
  </sheetData>
  <mergeCells count="84">
    <mergeCell ref="B1:J1"/>
    <mergeCell ref="B2:J2"/>
    <mergeCell ref="B4:C4"/>
    <mergeCell ref="D4:F4"/>
    <mergeCell ref="H4:J4"/>
    <mergeCell ref="B5:C5"/>
    <mergeCell ref="D5:F5"/>
    <mergeCell ref="H5:J5"/>
    <mergeCell ref="B6:C6"/>
    <mergeCell ref="D6:F6"/>
    <mergeCell ref="H6:J6"/>
    <mergeCell ref="B7:C7"/>
    <mergeCell ref="D7:J7"/>
    <mergeCell ref="B8:C8"/>
    <mergeCell ref="D8:F8"/>
    <mergeCell ref="H8:J8"/>
    <mergeCell ref="B9:C9"/>
    <mergeCell ref="D9:J9"/>
    <mergeCell ref="C11:D11"/>
    <mergeCell ref="C12:D12"/>
    <mergeCell ref="C13:D13"/>
    <mergeCell ref="C14:E14"/>
    <mergeCell ref="F14:J14"/>
    <mergeCell ref="C15:D15"/>
    <mergeCell ref="C16:D16"/>
    <mergeCell ref="C17:D17"/>
    <mergeCell ref="C18:D18"/>
    <mergeCell ref="C19:D19"/>
    <mergeCell ref="C20:E20"/>
    <mergeCell ref="F20:J20"/>
    <mergeCell ref="C21:D21"/>
    <mergeCell ref="C22:D22"/>
    <mergeCell ref="C23:D23"/>
    <mergeCell ref="C24:D24"/>
    <mergeCell ref="C25:D25"/>
    <mergeCell ref="C26:E26"/>
    <mergeCell ref="F26:J26"/>
    <mergeCell ref="C27:D27"/>
    <mergeCell ref="C28:D28"/>
    <mergeCell ref="C29:D29"/>
    <mergeCell ref="C30:D30"/>
    <mergeCell ref="C31:D31"/>
    <mergeCell ref="C32:E32"/>
    <mergeCell ref="F32:J32"/>
    <mergeCell ref="C33:D33"/>
    <mergeCell ref="C34:D34"/>
    <mergeCell ref="C35:D35"/>
    <mergeCell ref="C36:D36"/>
    <mergeCell ref="C37:D37"/>
    <mergeCell ref="C38:E38"/>
    <mergeCell ref="F38:J38"/>
    <mergeCell ref="C39:D39"/>
    <mergeCell ref="C40:D40"/>
    <mergeCell ref="C41:D41"/>
    <mergeCell ref="C42:D42"/>
    <mergeCell ref="C43:D43"/>
    <mergeCell ref="C44:E44"/>
    <mergeCell ref="F44:J44"/>
    <mergeCell ref="C45:D45"/>
    <mergeCell ref="C46:D46"/>
    <mergeCell ref="C47:D47"/>
    <mergeCell ref="C48:D48"/>
    <mergeCell ref="C49:D49"/>
    <mergeCell ref="B51:J51"/>
    <mergeCell ref="B52:E52"/>
    <mergeCell ref="F52:I52"/>
    <mergeCell ref="B53:E53"/>
    <mergeCell ref="F53:I53"/>
    <mergeCell ref="B54:E54"/>
    <mergeCell ref="F54:I54"/>
    <mergeCell ref="B55:E55"/>
    <mergeCell ref="F55:I55"/>
    <mergeCell ref="B56:E56"/>
    <mergeCell ref="F56:I56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</mergeCells>
  <conditionalFormatting sqref="H14:H49">
    <cfRule type="cellIs" priority="2" operator="equal" aboveAverage="0" equalAverage="0" bottom="0" percent="0" rank="0" text="" dxfId="0">
      <formula>"Confirmada"</formula>
    </cfRule>
    <cfRule type="cellIs" priority="3" operator="equal" aboveAverage="0" equalAverage="0" bottom="0" percent="0" rank="0" text="" dxfId="1">
      <formula>"Descartada"</formula>
    </cfRule>
    <cfRule type="cellIs" priority="4" operator="equal" aboveAverage="0" equalAverage="0" bottom="0" percent="0" rank="0" text="" dxfId="2">
      <formula>"Não verificada"</formula>
    </cfRule>
  </conditionalFormatting>
  <conditionalFormatting sqref="J14:J49">
    <cfRule type="cellIs" priority="5" operator="equal" aboveAverage="0" equalAverage="0" bottom="0" percent="0" rank="0" text="" dxfId="0">
      <formula>"Sim"</formula>
    </cfRule>
  </conditionalFormatting>
  <conditionalFormatting sqref="F14:F49">
    <cfRule type="cellIs" priority="6" operator="equal" aboveAverage="0" equalAverage="0" bottom="0" percent="0" rank="0" text="" dxfId="3">
      <formula>"Alta"</formula>
    </cfRule>
    <cfRule type="cellIs" priority="7" operator="equal" aboveAverage="0" equalAverage="0" bottom="0" percent="0" rank="0" text="" dxfId="2">
      <formula>"Média"</formula>
    </cfRule>
    <cfRule type="cellIs" priority="8" operator="equal" aboveAverage="0" equalAverage="0" bottom="0" percent="0" rank="0" text="" dxfId="0">
      <formula>"Baixa"</formula>
    </cfRule>
  </conditionalFormatting>
  <conditionalFormatting sqref="F58:I60">
    <cfRule type="cellIs" priority="9" operator="equal" aboveAverage="0" equalAverage="0" bottom="0" percent="0" rank="0" text="" dxfId="0">
      <formula>"OK"</formula>
    </cfRule>
    <cfRule type="cellIs" priority="10" operator="notEqual" aboveAverage="0" equalAverage="0" bottom="0" percent="0" rank="0" text="" dxfId="2">
      <formula>"OK"</formula>
    </cfRule>
  </conditionalFormatting>
  <dataValidations count="19">
    <dataValidation allowBlank="true" error="Digite uma data no formato dia/mês/ano." errorStyle="stop" errorTitle="Data inválida" operator="greaterThanOrEqual" showDropDown="false" showErrorMessage="true" showInputMessage="false" sqref="H5" type="date">
      <formula1>36526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15:F19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15:H19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15:J19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21:F25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21:H25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21:J25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27:F31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27:H31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27:J31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33:F37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33:H37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33:J37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39:F43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39:H43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39:J43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45:F49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45:H49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45:J49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40"/>
    <col collapsed="false" customWidth="true" hidden="false" outlineLevel="0" max="5" min="5" style="0" width="5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164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165</v>
      </c>
      <c r="C2" s="2"/>
      <c r="D2" s="2"/>
      <c r="E2" s="2"/>
      <c r="F2" s="2"/>
    </row>
    <row r="4" customFormat="false" ht="27" hidden="false" customHeight="true" outlineLevel="0" collapsed="false">
      <c r="B4" s="15" t="str">
        <f aca="false">Ishikawa!C14</f>
        <v>Método</v>
      </c>
      <c r="C4" s="15" t="str">
        <f aca="false">Ishikawa!C20</f>
        <v>Mão de obra</v>
      </c>
      <c r="D4" s="15" t="str">
        <f aca="false">Ishikawa!C26</f>
        <v>Máquina</v>
      </c>
    </row>
    <row r="5" customFormat="false" ht="27" hidden="false" customHeight="true" outlineLevel="0" collapsed="false">
      <c r="B5" s="27" t="str">
        <f aca="false">IF(Ishikawa!C15="","",IF(Ishikawa!H15="Confirmada",IF(Ishikawa!J15="Sim","● ","○ "),IF(Ishikawa!H15="Descartada","✕ ",""))&amp;Ishikawa!C15)</f>
        <v/>
      </c>
      <c r="C5" s="27" t="str">
        <f aca="false">IF(Ishikawa!C21="","",IF(Ishikawa!H21="Confirmada",IF(Ishikawa!J21="Sim","● ","○ "),IF(Ishikawa!H21="Descartada","✕ ",""))&amp;Ishikawa!C21)</f>
        <v/>
      </c>
      <c r="D5" s="27" t="str">
        <f aca="false">IF(Ishikawa!C27="","",IF(Ishikawa!H27="Confirmada",IF(Ishikawa!J27="Sim","● ","○ "),IF(Ishikawa!H27="Descartada","✕ ",""))&amp;Ishikawa!C27)</f>
        <v/>
      </c>
    </row>
    <row r="6" customFormat="false" ht="27" hidden="false" customHeight="true" outlineLevel="0" collapsed="false">
      <c r="B6" s="27" t="str">
        <f aca="false">IF(Ishikawa!C16="","",IF(Ishikawa!H16="Confirmada",IF(Ishikawa!J16="Sim","● ","○ "),IF(Ishikawa!H16="Descartada","✕ ",""))&amp;Ishikawa!C16)</f>
        <v/>
      </c>
      <c r="C6" s="27" t="str">
        <f aca="false">IF(Ishikawa!C22="","",IF(Ishikawa!H22="Confirmada",IF(Ishikawa!J22="Sim","● ","○ "),IF(Ishikawa!H22="Descartada","✕ ",""))&amp;Ishikawa!C22)</f>
        <v/>
      </c>
      <c r="D6" s="27" t="str">
        <f aca="false">IF(Ishikawa!C28="","",IF(Ishikawa!H28="Confirmada",IF(Ishikawa!J28="Sim","● ","○ "),IF(Ishikawa!H28="Descartada","✕ ",""))&amp;Ishikawa!C28)</f>
        <v/>
      </c>
    </row>
    <row r="7" customFormat="false" ht="27" hidden="false" customHeight="true" outlineLevel="0" collapsed="false">
      <c r="B7" s="27" t="str">
        <f aca="false">IF(Ishikawa!C17="","",IF(Ishikawa!H17="Confirmada",IF(Ishikawa!J17="Sim","● ","○ "),IF(Ishikawa!H17="Descartada","✕ ",""))&amp;Ishikawa!C17)</f>
        <v/>
      </c>
      <c r="C7" s="27" t="str">
        <f aca="false">IF(Ishikawa!C23="","",IF(Ishikawa!H23="Confirmada",IF(Ishikawa!J23="Sim","● ","○ "),IF(Ishikawa!H23="Descartada","✕ ",""))&amp;Ishikawa!C23)</f>
        <v/>
      </c>
      <c r="D7" s="27" t="str">
        <f aca="false">IF(Ishikawa!C29="","",IF(Ishikawa!H29="Confirmada",IF(Ishikawa!J29="Sim","● ","○ "),IF(Ishikawa!H29="Descartada","✕ ",""))&amp;Ishikawa!C29)</f>
        <v/>
      </c>
      <c r="F7" s="28" t="s">
        <v>166</v>
      </c>
    </row>
    <row r="8" customFormat="false" ht="27" hidden="false" customHeight="true" outlineLevel="0" collapsed="false">
      <c r="B8" s="27" t="str">
        <f aca="false">IF(Ishikawa!C18="","",IF(Ishikawa!H18="Confirmada",IF(Ishikawa!J18="Sim","● ","○ "),IF(Ishikawa!H18="Descartada","✕ ",""))&amp;Ishikawa!C18)</f>
        <v/>
      </c>
      <c r="C8" s="27" t="str">
        <f aca="false">IF(Ishikawa!C24="","",IF(Ishikawa!H24="Confirmada",IF(Ishikawa!J24="Sim","● ","○ "),IF(Ishikawa!H24="Descartada","✕ ",""))&amp;Ishikawa!C24)</f>
        <v/>
      </c>
      <c r="D8" s="27" t="str">
        <f aca="false">IF(Ishikawa!C30="","",IF(Ishikawa!H30="Confirmada",IF(Ishikawa!J30="Sim","● ","○ "),IF(Ishikawa!H30="Descartada","✕ ",""))&amp;Ishikawa!C30)</f>
        <v/>
      </c>
      <c r="F8" s="29" t="str">
        <f aca="false">IF(Ishikawa!D7="","Efeito: preencha na aba Ishikawa",Ishikawa!D7)</f>
        <v>Efeito: preencha na aba Ishikawa</v>
      </c>
    </row>
    <row r="9" customFormat="false" ht="27" hidden="false" customHeight="true" outlineLevel="0" collapsed="false">
      <c r="B9" s="27" t="str">
        <f aca="false">IF(Ishikawa!C19="","",IF(Ishikawa!H19="Confirmada",IF(Ishikawa!J19="Sim","● ","○ "),IF(Ishikawa!H19="Descartada","✕ ",""))&amp;Ishikawa!C19)</f>
        <v/>
      </c>
      <c r="C9" s="27" t="str">
        <f aca="false">IF(Ishikawa!C25="","",IF(Ishikawa!H25="Confirmada",IF(Ishikawa!J25="Sim","● ","○ "),IF(Ishikawa!H25="Descartada","✕ ",""))&amp;Ishikawa!C25)</f>
        <v/>
      </c>
      <c r="D9" s="27" t="str">
        <f aca="false">IF(Ishikawa!C31="","",IF(Ishikawa!H31="Confirmada",IF(Ishikawa!J31="Sim","● ","○ "),IF(Ishikawa!H31="Descartada","✕ ",""))&amp;Ishikawa!C31)</f>
        <v/>
      </c>
      <c r="F9" s="29"/>
    </row>
    <row r="10" customFormat="false" ht="12" hidden="false" customHeight="true" outlineLevel="0" collapsed="false">
      <c r="B10" s="30"/>
      <c r="C10" s="30"/>
      <c r="D10" s="30"/>
      <c r="E10" s="30" t="s">
        <v>167</v>
      </c>
      <c r="F10" s="29"/>
    </row>
    <row r="11" customFormat="false" ht="27" hidden="false" customHeight="true" outlineLevel="0" collapsed="false">
      <c r="B11" s="27" t="str">
        <f aca="false">IF(Ishikawa!C37="","",IF(Ishikawa!H37="Confirmada",IF(Ishikawa!J37="Sim","● ","○ "),IF(Ishikawa!H37="Descartada","✕ ",""))&amp;Ishikawa!C37)</f>
        <v/>
      </c>
      <c r="C11" s="27" t="str">
        <f aca="false">IF(Ishikawa!C43="","",IF(Ishikawa!H43="Confirmada",IF(Ishikawa!J43="Sim","● ","○ "),IF(Ishikawa!H43="Descartada","✕ ",""))&amp;Ishikawa!C43)</f>
        <v/>
      </c>
      <c r="D11" s="27" t="str">
        <f aca="false">IF(Ishikawa!C49="","",IF(Ishikawa!H49="Confirmada",IF(Ishikawa!J49="Sim","● ","○ "),IF(Ishikawa!H49="Descartada","✕ ",""))&amp;Ishikawa!C49)</f>
        <v/>
      </c>
      <c r="F11" s="29"/>
    </row>
    <row r="12" customFormat="false" ht="27" hidden="false" customHeight="true" outlineLevel="0" collapsed="false">
      <c r="B12" s="27" t="str">
        <f aca="false">IF(Ishikawa!C36="","",IF(Ishikawa!H36="Confirmada",IF(Ishikawa!J36="Sim","● ","○ "),IF(Ishikawa!H36="Descartada","✕ ",""))&amp;Ishikawa!C36)</f>
        <v/>
      </c>
      <c r="C12" s="27" t="str">
        <f aca="false">IF(Ishikawa!C42="","",IF(Ishikawa!H42="Confirmada",IF(Ishikawa!J42="Sim","● ","○ "),IF(Ishikawa!H42="Descartada","✕ ",""))&amp;Ishikawa!C42)</f>
        <v/>
      </c>
      <c r="D12" s="27" t="str">
        <f aca="false">IF(Ishikawa!C48="","",IF(Ishikawa!H48="Confirmada",IF(Ishikawa!J48="Sim","● ","○ "),IF(Ishikawa!H48="Descartada","✕ ",""))&amp;Ishikawa!C48)</f>
        <v/>
      </c>
      <c r="F12" s="29"/>
    </row>
    <row r="13" customFormat="false" ht="27" hidden="false" customHeight="true" outlineLevel="0" collapsed="false">
      <c r="B13" s="27" t="str">
        <f aca="false">IF(Ishikawa!C35="","",IF(Ishikawa!H35="Confirmada",IF(Ishikawa!J35="Sim","● ","○ "),IF(Ishikawa!H35="Descartada","✕ ",""))&amp;Ishikawa!C35)</f>
        <v/>
      </c>
      <c r="C13" s="27" t="str">
        <f aca="false">IF(Ishikawa!C41="","",IF(Ishikawa!H41="Confirmada",IF(Ishikawa!J41="Sim","● ","○ "),IF(Ishikawa!H41="Descartada","✕ ",""))&amp;Ishikawa!C41)</f>
        <v/>
      </c>
      <c r="D13" s="27" t="str">
        <f aca="false">IF(Ishikawa!C47="","",IF(Ishikawa!H47="Confirmada",IF(Ishikawa!J47="Sim","● ","○ "),IF(Ishikawa!H47="Descartada","✕ ",""))&amp;Ishikawa!C47)</f>
        <v/>
      </c>
    </row>
    <row r="14" customFormat="false" ht="27" hidden="false" customHeight="true" outlineLevel="0" collapsed="false">
      <c r="B14" s="27" t="str">
        <f aca="false">IF(Ishikawa!C34="","",IF(Ishikawa!H34="Confirmada",IF(Ishikawa!J34="Sim","● ","○ "),IF(Ishikawa!H34="Descartada","✕ ",""))&amp;Ishikawa!C34)</f>
        <v/>
      </c>
      <c r="C14" s="27" t="str">
        <f aca="false">IF(Ishikawa!C40="","",IF(Ishikawa!H40="Confirmada",IF(Ishikawa!J40="Sim","● ","○ "),IF(Ishikawa!H40="Descartada","✕ ",""))&amp;Ishikawa!C40)</f>
        <v/>
      </c>
      <c r="D14" s="27" t="str">
        <f aca="false">IF(Ishikawa!C46="","",IF(Ishikawa!H46="Confirmada",IF(Ishikawa!J46="Sim","● ","○ "),IF(Ishikawa!H46="Descartada","✕ ",""))&amp;Ishikawa!C46)</f>
        <v/>
      </c>
    </row>
    <row r="15" customFormat="false" ht="27" hidden="false" customHeight="true" outlineLevel="0" collapsed="false">
      <c r="B15" s="27" t="str">
        <f aca="false">IF(Ishikawa!C33="","",IF(Ishikawa!H33="Confirmada",IF(Ishikawa!J33="Sim","● ","○ "),IF(Ishikawa!H33="Descartada","✕ ",""))&amp;Ishikawa!C33)</f>
        <v/>
      </c>
      <c r="C15" s="27" t="str">
        <f aca="false">IF(Ishikawa!C39="","",IF(Ishikawa!H39="Confirmada",IF(Ishikawa!J39="Sim","● ","○ "),IF(Ishikawa!H39="Descartada","✕ ",""))&amp;Ishikawa!C39)</f>
        <v/>
      </c>
      <c r="D15" s="27" t="str">
        <f aca="false">IF(Ishikawa!C45="","",IF(Ishikawa!H45="Confirmada",IF(Ishikawa!J45="Sim","● ","○ "),IF(Ishikawa!H45="Descartada","✕ ",""))&amp;Ishikawa!C45)</f>
        <v/>
      </c>
    </row>
    <row r="16" customFormat="false" ht="27" hidden="false" customHeight="true" outlineLevel="0" collapsed="false">
      <c r="B16" s="15" t="str">
        <f aca="false">Ishikawa!C32</f>
        <v>Material</v>
      </c>
      <c r="C16" s="15" t="str">
        <f aca="false">Ishikawa!C38</f>
        <v>Medição</v>
      </c>
      <c r="D16" s="15" t="str">
        <f aca="false">Ishikawa!C44</f>
        <v>Meio ambiente</v>
      </c>
    </row>
    <row r="18" customFormat="false" ht="21.75" hidden="false" customHeight="true" outlineLevel="0" collapsed="false">
      <c r="B18" s="31" t="s">
        <v>168</v>
      </c>
      <c r="C18" s="31"/>
      <c r="D18" s="31"/>
      <c r="E18" s="31"/>
      <c r="F18" s="31"/>
    </row>
    <row r="20" customFormat="false" ht="21.75" hidden="false" customHeight="true" outlineLevel="0" collapsed="false">
      <c r="B20" s="21" t="s">
        <v>153</v>
      </c>
      <c r="C20" s="21"/>
      <c r="D20" s="21"/>
      <c r="E20" s="21"/>
      <c r="F20" s="21"/>
    </row>
    <row r="21" customFormat="false" ht="19.5" hidden="false" customHeight="true" outlineLevel="0" collapsed="false">
      <c r="B21" s="22" t="s">
        <v>154</v>
      </c>
      <c r="C21" s="22"/>
      <c r="D21" s="23" t="n">
        <f aca="false">Ishikawa!F52</f>
        <v>0</v>
      </c>
    </row>
    <row r="22" customFormat="false" ht="19.5" hidden="false" customHeight="true" outlineLevel="0" collapsed="false">
      <c r="B22" s="22" t="s">
        <v>156</v>
      </c>
      <c r="C22" s="22"/>
      <c r="D22" s="23" t="n">
        <f aca="false">Ishikawa!F54</f>
        <v>0</v>
      </c>
    </row>
    <row r="23" customFormat="false" ht="19.5" hidden="false" customHeight="true" outlineLevel="0" collapsed="false">
      <c r="B23" s="22" t="s">
        <v>157</v>
      </c>
      <c r="C23" s="22"/>
      <c r="D23" s="23" t="n">
        <f aca="false">Ishikawa!F55</f>
        <v>0</v>
      </c>
    </row>
    <row r="24" customFormat="false" ht="19.5" hidden="false" customHeight="true" outlineLevel="0" collapsed="false">
      <c r="B24" s="22" t="s">
        <v>159</v>
      </c>
      <c r="C24" s="22"/>
      <c r="D24" s="23" t="n">
        <f aca="false">Ishikawa!F57</f>
        <v>0</v>
      </c>
    </row>
  </sheetData>
  <mergeCells count="9">
    <mergeCell ref="B1:F1"/>
    <mergeCell ref="B2:F2"/>
    <mergeCell ref="F8:F12"/>
    <mergeCell ref="B18:F18"/>
    <mergeCell ref="B20:F20"/>
    <mergeCell ref="B21:C21"/>
    <mergeCell ref="B22:C22"/>
    <mergeCell ref="B23:C23"/>
    <mergeCell ref="B24:C24"/>
  </mergeCells>
  <conditionalFormatting sqref="B5:D9">
    <cfRule type="expression" priority="2" aboveAverage="0" equalAverage="0" bottom="0" percent="0" rank="0" text="" dxfId="4">
      <formula>LEFT(B5,1)="●"</formula>
    </cfRule>
    <cfRule type="expression" priority="3" aboveAverage="0" equalAverage="0" bottom="0" percent="0" rank="0" text="" dxfId="5">
      <formula>LEFT(B5,1)="✕"</formula>
    </cfRule>
  </conditionalFormatting>
  <conditionalFormatting sqref="B11:D15">
    <cfRule type="expression" priority="4" aboveAverage="0" equalAverage="0" bottom="0" percent="0" rank="0" text="" dxfId="4">
      <formula>LEFT(B11,1)="●"</formula>
    </cfRule>
    <cfRule type="expression" priority="5" aboveAverage="0" equalAverage="0" bottom="0" percent="0" rank="0" text="" dxfId="5">
      <formula>LEFT(B11,1)="✕"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9" min="5" style="0" width="26"/>
    <col collapsed="false" customWidth="true" hidden="false" outlineLevel="0" max="10" min="10" style="0" width="32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169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170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11" t="s">
        <v>87</v>
      </c>
      <c r="C4" s="11" t="s">
        <v>171</v>
      </c>
      <c r="D4" s="11" t="s">
        <v>172</v>
      </c>
      <c r="E4" s="11" t="s">
        <v>173</v>
      </c>
      <c r="F4" s="11" t="s">
        <v>174</v>
      </c>
      <c r="G4" s="11" t="s">
        <v>175</v>
      </c>
      <c r="H4" s="11" t="s">
        <v>176</v>
      </c>
      <c r="I4" s="11" t="s">
        <v>177</v>
      </c>
      <c r="J4" s="11" t="s">
        <v>178</v>
      </c>
      <c r="K4" s="11" t="s">
        <v>179</v>
      </c>
      <c r="L4" s="11" t="s">
        <v>180</v>
      </c>
    </row>
    <row r="5" customFormat="false" ht="45" hidden="false" customHeight="true" outlineLevel="0" collapsed="false">
      <c r="B5" s="12" t="s">
        <v>102</v>
      </c>
      <c r="C5" s="12" t="s">
        <v>120</v>
      </c>
      <c r="D5" s="13" t="s">
        <v>181</v>
      </c>
      <c r="E5" s="13" t="s">
        <v>182</v>
      </c>
      <c r="F5" s="13" t="s">
        <v>183</v>
      </c>
      <c r="G5" s="13" t="s">
        <v>184</v>
      </c>
      <c r="H5" s="13"/>
      <c r="I5" s="13"/>
      <c r="J5" s="13" t="s">
        <v>185</v>
      </c>
      <c r="K5" s="12" t="s">
        <v>109</v>
      </c>
      <c r="L5" s="12" t="s">
        <v>186</v>
      </c>
    </row>
    <row r="6" customFormat="false" ht="54" hidden="false" customHeight="true" outlineLevel="0" collapsed="false">
      <c r="B6" s="18" t="n">
        <v>1</v>
      </c>
      <c r="C6" s="19"/>
      <c r="D6" s="6" t="str">
        <f aca="false">IF(C6="","",INDEX(Ishikawa!$C$14:$C$49,(CODE(LEFT(C6,1))-65)*6+VALUE(MID(C6,2,1))+1)&amp;"")</f>
        <v/>
      </c>
      <c r="E6" s="5"/>
      <c r="F6" s="5"/>
      <c r="G6" s="5"/>
      <c r="H6" s="5"/>
      <c r="I6" s="5"/>
      <c r="J6" s="5"/>
      <c r="K6" s="19"/>
      <c r="L6" s="25" t="str">
        <f aca="false">IF(C6="","",IF(D6="","Código sem causa",IF(COUNTA(E6:I6)&lt;3,"Poucos porquês",IF(J6="","Falta a causa raiz",IF(K6="Sim","Concluída",IF(K6="Não","Refazer a cadeia","Falta o teste de volta"))))))</f>
        <v/>
      </c>
    </row>
    <row r="7" customFormat="false" ht="54" hidden="false" customHeight="true" outlineLevel="0" collapsed="false">
      <c r="B7" s="18" t="n">
        <v>2</v>
      </c>
      <c r="C7" s="19"/>
      <c r="D7" s="6" t="str">
        <f aca="false">IF(C7="","",INDEX(Ishikawa!$C$14:$C$49,(CODE(LEFT(C7,1))-65)*6+VALUE(MID(C7,2,1))+1)&amp;"")</f>
        <v/>
      </c>
      <c r="E7" s="5"/>
      <c r="F7" s="5"/>
      <c r="G7" s="5"/>
      <c r="H7" s="5"/>
      <c r="I7" s="5"/>
      <c r="J7" s="5"/>
      <c r="K7" s="19"/>
      <c r="L7" s="25" t="str">
        <f aca="false">IF(C7="","",IF(D7="","Código sem causa",IF(COUNTA(E7:I7)&lt;3,"Poucos porquês",IF(J7="","Falta a causa raiz",IF(K7="Sim","Concluída",IF(K7="Não","Refazer a cadeia","Falta o teste de volta"))))))</f>
        <v/>
      </c>
    </row>
    <row r="8" customFormat="false" ht="54" hidden="false" customHeight="true" outlineLevel="0" collapsed="false">
      <c r="B8" s="18" t="n">
        <v>3</v>
      </c>
      <c r="C8" s="19"/>
      <c r="D8" s="6" t="str">
        <f aca="false">IF(C8="","",INDEX(Ishikawa!$C$14:$C$49,(CODE(LEFT(C8,1))-65)*6+VALUE(MID(C8,2,1))+1)&amp;"")</f>
        <v/>
      </c>
      <c r="E8" s="5"/>
      <c r="F8" s="5"/>
      <c r="G8" s="5"/>
      <c r="H8" s="5"/>
      <c r="I8" s="5"/>
      <c r="J8" s="5"/>
      <c r="K8" s="19"/>
      <c r="L8" s="25" t="str">
        <f aca="false">IF(C8="","",IF(D8="","Código sem causa",IF(COUNTA(E8:I8)&lt;3,"Poucos porquês",IF(J8="","Falta a causa raiz",IF(K8="Sim","Concluída",IF(K8="Não","Refazer a cadeia","Falta o teste de volta"))))))</f>
        <v/>
      </c>
    </row>
    <row r="9" customFormat="false" ht="54" hidden="false" customHeight="true" outlineLevel="0" collapsed="false">
      <c r="B9" s="18" t="n">
        <v>4</v>
      </c>
      <c r="C9" s="19"/>
      <c r="D9" s="6" t="str">
        <f aca="false">IF(C9="","",INDEX(Ishikawa!$C$14:$C$49,(CODE(LEFT(C9,1))-65)*6+VALUE(MID(C9,2,1))+1)&amp;"")</f>
        <v/>
      </c>
      <c r="E9" s="5"/>
      <c r="F9" s="5"/>
      <c r="G9" s="5"/>
      <c r="H9" s="5"/>
      <c r="I9" s="5"/>
      <c r="J9" s="5"/>
      <c r="K9" s="19"/>
      <c r="L9" s="25" t="str">
        <f aca="false">IF(C9="","",IF(D9="","Código sem causa",IF(COUNTA(E9:I9)&lt;3,"Poucos porquês",IF(J9="","Falta a causa raiz",IF(K9="Sim","Concluída",IF(K9="Não","Refazer a cadeia","Falta o teste de volta"))))))</f>
        <v/>
      </c>
    </row>
    <row r="10" customFormat="false" ht="54" hidden="false" customHeight="true" outlineLevel="0" collapsed="false">
      <c r="B10" s="18" t="n">
        <v>5</v>
      </c>
      <c r="C10" s="19"/>
      <c r="D10" s="6" t="str">
        <f aca="false">IF(C10="","",INDEX(Ishikawa!$C$14:$C$49,(CODE(LEFT(C10,1))-65)*6+VALUE(MID(C10,2,1))+1)&amp;"")</f>
        <v/>
      </c>
      <c r="E10" s="5"/>
      <c r="F10" s="5"/>
      <c r="G10" s="5"/>
      <c r="H10" s="5"/>
      <c r="I10" s="5"/>
      <c r="J10" s="5"/>
      <c r="K10" s="19"/>
      <c r="L10" s="25" t="str">
        <f aca="false">IF(C10="","",IF(D10="","Código sem causa",IF(COUNTA(E10:I10)&lt;3,"Poucos porquês",IF(J10="","Falta a causa raiz",IF(K10="Sim","Concluída",IF(K10="Não","Refazer a cadeia","Falta o teste de volta"))))))</f>
        <v/>
      </c>
    </row>
    <row r="11" customFormat="false" ht="54" hidden="false" customHeight="true" outlineLevel="0" collapsed="false">
      <c r="B11" s="18" t="n">
        <v>6</v>
      </c>
      <c r="C11" s="19"/>
      <c r="D11" s="6" t="str">
        <f aca="false">IF(C11="","",INDEX(Ishikawa!$C$14:$C$49,(CODE(LEFT(C11,1))-65)*6+VALUE(MID(C11,2,1))+1)&amp;"")</f>
        <v/>
      </c>
      <c r="E11" s="5"/>
      <c r="F11" s="5"/>
      <c r="G11" s="5"/>
      <c r="H11" s="5"/>
      <c r="I11" s="5"/>
      <c r="J11" s="5"/>
      <c r="K11" s="19"/>
      <c r="L11" s="25" t="str">
        <f aca="false">IF(C11="","",IF(D11="","Código sem causa",IF(COUNTA(E11:I11)&lt;3,"Poucos porquês",IF(J11="","Falta a causa raiz",IF(K11="Sim","Concluída",IF(K11="Não","Refazer a cadeia","Falta o teste de volta"))))))</f>
        <v/>
      </c>
    </row>
    <row r="13" customFormat="false" ht="21.75" hidden="false" customHeight="true" outlineLevel="0" collapsed="false">
      <c r="B13" s="21" t="s">
        <v>153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customFormat="false" ht="19.5" hidden="false" customHeight="true" outlineLevel="0" collapsed="false">
      <c r="B14" s="22" t="s">
        <v>187</v>
      </c>
      <c r="C14" s="22"/>
      <c r="D14" s="22"/>
      <c r="E14" s="22"/>
      <c r="F14" s="22"/>
      <c r="G14" s="22"/>
      <c r="H14" s="22"/>
      <c r="I14" s="22"/>
      <c r="J14" s="23" t="n">
        <f aca="false">COUNTA(C6:C11)</f>
        <v>0</v>
      </c>
    </row>
    <row r="15" customFormat="false" ht="19.5" hidden="false" customHeight="true" outlineLevel="0" collapsed="false">
      <c r="B15" s="22" t="s">
        <v>188</v>
      </c>
      <c r="C15" s="22"/>
      <c r="D15" s="22"/>
      <c r="E15" s="22"/>
      <c r="F15" s="22"/>
      <c r="G15" s="22"/>
      <c r="H15" s="22"/>
      <c r="I15" s="22"/>
      <c r="J15" s="23" t="n">
        <f aca="false">COUNTIF(L6:L11,"Concluída")</f>
        <v>0</v>
      </c>
    </row>
    <row r="16" customFormat="false" ht="19.5" hidden="false" customHeight="true" outlineLevel="0" collapsed="false">
      <c r="B16" s="22" t="s">
        <v>189</v>
      </c>
      <c r="C16" s="22"/>
      <c r="D16" s="22"/>
      <c r="E16" s="22"/>
      <c r="F16" s="22"/>
      <c r="G16" s="22"/>
      <c r="H16" s="22"/>
      <c r="I16" s="22"/>
      <c r="J16" s="23" t="n">
        <f aca="false">SUMPRODUCT((Ishikawa!H14:H49="Confirmada")*(COUNTIF($C$6:$C$11,Ishikawa!B14:B49)=0))</f>
        <v>0</v>
      </c>
    </row>
    <row r="17" customFormat="false" ht="19.5" hidden="false" customHeight="true" outlineLevel="0" collapsed="false">
      <c r="B17" s="22" t="s">
        <v>190</v>
      </c>
      <c r="C17" s="22"/>
      <c r="D17" s="22"/>
      <c r="E17" s="22"/>
      <c r="F17" s="22"/>
      <c r="G17" s="22"/>
      <c r="H17" s="22"/>
      <c r="I17" s="22"/>
      <c r="J17" s="25" t="str">
        <f aca="false">IF(J14=0,"Escolha as causas a aprofundar",IF(J15&lt;J14,"Há cadeia incompleta: veja a coluna Situação","OK"))</f>
        <v>Escolha as causas a aprofundar</v>
      </c>
    </row>
  </sheetData>
  <mergeCells count="7">
    <mergeCell ref="B1:L1"/>
    <mergeCell ref="B2:L2"/>
    <mergeCell ref="B13:L13"/>
    <mergeCell ref="B14:I14"/>
    <mergeCell ref="B15:I15"/>
    <mergeCell ref="B16:I16"/>
    <mergeCell ref="B17:I17"/>
  </mergeCells>
  <conditionalFormatting sqref="L6:L11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3">
      <formula>"Refazer a cadeia"</formula>
    </cfRule>
    <cfRule type="cellIs" priority="4" operator="equal" aboveAverage="0" equalAverage="0" bottom="0" percent="0" rank="0" text="" dxfId="3">
      <formula>"Código sem causa"</formula>
    </cfRule>
    <cfRule type="cellIs" priority="5" operator="equal" aboveAverage="0" equalAverage="0" bottom="0" percent="0" rank="0" text="" dxfId="2">
      <formula>"Poucos porquês"</formula>
    </cfRule>
    <cfRule type="cellIs" priority="6" operator="equal" aboveAverage="0" equalAverage="0" bottom="0" percent="0" rank="0" text="" dxfId="2">
      <formula>"Falta a causa raiz"</formula>
    </cfRule>
    <cfRule type="cellIs" priority="7" operator="equal" aboveAverage="0" equalAverage="0" bottom="0" percent="0" rank="0" text="" dxfId="2">
      <formula>"Falta o teste de volta"</formula>
    </cfRule>
  </conditionalFormatting>
  <conditionalFormatting sqref="J17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2">
      <formula>"OK"</formula>
    </cfRule>
  </conditionalFormatting>
  <dataValidations count="2">
    <dataValidation allowBlank="true" error="Escolha uma das opções da lista." errorStyle="stop" errorTitle="Valor inválido" operator="between" prompt="Código da causa na aba Ishikawa, de A1 a F5" promptTitle="Opções" showDropDown="false" showErrorMessage="true" showInputMessage="true" sqref="C6:C11" type="list">
      <formula1>"A1,A2,A3,A4,A5,B1,B2,B3,B4,B5,C1,C2,C3,C4,C5,D1,D2,D3,D4,D5,E1,E2,E3,E4,E5,F1,F2,F3,F4,F5"</formula1>
      <formula2>0</formula2>
    </dataValidation>
    <dataValidation allowBlank="true" error="Escolha uma das opções da lista." errorStyle="stop" errorTitle="Valor inválido" operator="between" prompt="A cadeia faz sentido lida de trás para a frente, com “portanto”?" promptTitle="Opções" showDropDown="false" showErrorMessage="true" showInputMessage="true" sqref="K6:K11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6" min="5" style="0" width="40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54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191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11" t="s">
        <v>87</v>
      </c>
      <c r="C4" s="11" t="s">
        <v>171</v>
      </c>
      <c r="D4" s="11" t="s">
        <v>192</v>
      </c>
      <c r="E4" s="11" t="s">
        <v>193</v>
      </c>
      <c r="F4" s="11" t="s">
        <v>194</v>
      </c>
      <c r="G4" s="11" t="s">
        <v>78</v>
      </c>
      <c r="H4" s="11" t="s">
        <v>195</v>
      </c>
      <c r="I4" s="11" t="s">
        <v>196</v>
      </c>
      <c r="J4" s="11" t="s">
        <v>180</v>
      </c>
    </row>
    <row r="5" customFormat="false" ht="31.5" hidden="false" customHeight="true" outlineLevel="0" collapsed="false">
      <c r="B5" s="12" t="s">
        <v>102</v>
      </c>
      <c r="C5" s="12" t="s">
        <v>113</v>
      </c>
      <c r="D5" s="12" t="s">
        <v>112</v>
      </c>
      <c r="E5" s="13" t="s">
        <v>103</v>
      </c>
      <c r="F5" s="13" t="s">
        <v>197</v>
      </c>
      <c r="G5" s="13" t="s">
        <v>198</v>
      </c>
      <c r="H5" s="32" t="n">
        <v>46325</v>
      </c>
      <c r="I5" s="12" t="s">
        <v>199</v>
      </c>
      <c r="J5" s="12" t="s">
        <v>200</v>
      </c>
    </row>
    <row r="6" customFormat="false" ht="30" hidden="false" customHeight="true" outlineLevel="0" collapsed="false">
      <c r="B6" s="18" t="n">
        <v>1</v>
      </c>
      <c r="C6" s="23" t="str">
        <f aca="false">IFERROR(INDEX(Ishikawa!$B$14:$B$49,MATCH($B6,Ishikawa!$L$14:$L$49,0))&amp;"","")</f>
        <v/>
      </c>
      <c r="D6" s="33" t="str">
        <f aca="false">IFERROR(INDEX(Ishikawa!$C$14:$C$49,INT((MATCH($B6,Ishikawa!$L$14:$L$49,0)-1)/6)*6+1)&amp;"","")</f>
        <v/>
      </c>
      <c r="E6" s="6" t="str">
        <f aca="false">IFERROR(INDEX(Ishikawa!$C$14:$C$49,MATCH($B6,Ishikawa!$L$14:$L$49,0))&amp;"","")</f>
        <v/>
      </c>
      <c r="F6" s="5"/>
      <c r="G6" s="5"/>
      <c r="H6" s="34"/>
      <c r="I6" s="19"/>
      <c r="J6" s="33" t="str">
        <f aca="true">IF(F6="","",IF(OR(I6="Concluída",I6="Cancelada"),I6,IF(H6="","Sem prazo",IF(H6&lt;TODAY(),"Atrasada","No prazo"))))</f>
        <v/>
      </c>
    </row>
    <row r="7" customFormat="false" ht="30" hidden="false" customHeight="true" outlineLevel="0" collapsed="false">
      <c r="B7" s="18" t="n">
        <v>2</v>
      </c>
      <c r="C7" s="23" t="str">
        <f aca="false">IFERROR(INDEX(Ishikawa!$B$14:$B$49,MATCH($B7,Ishikawa!$L$14:$L$49,0))&amp;"","")</f>
        <v/>
      </c>
      <c r="D7" s="33" t="str">
        <f aca="false">IFERROR(INDEX(Ishikawa!$C$14:$C$49,INT((MATCH($B7,Ishikawa!$L$14:$L$49,0)-1)/6)*6+1)&amp;"","")</f>
        <v/>
      </c>
      <c r="E7" s="6" t="str">
        <f aca="false">IFERROR(INDEX(Ishikawa!$C$14:$C$49,MATCH($B7,Ishikawa!$L$14:$L$49,0))&amp;"","")</f>
        <v/>
      </c>
      <c r="F7" s="5"/>
      <c r="G7" s="5"/>
      <c r="H7" s="34"/>
      <c r="I7" s="19"/>
      <c r="J7" s="33" t="str">
        <f aca="true">IF(F7="","",IF(OR(I7="Concluída",I7="Cancelada"),I7,IF(H7="","Sem prazo",IF(H7&lt;TODAY(),"Atrasada","No prazo"))))</f>
        <v/>
      </c>
    </row>
    <row r="8" customFormat="false" ht="30" hidden="false" customHeight="true" outlineLevel="0" collapsed="false">
      <c r="B8" s="18" t="n">
        <v>3</v>
      </c>
      <c r="C8" s="23" t="str">
        <f aca="false">IFERROR(INDEX(Ishikawa!$B$14:$B$49,MATCH($B8,Ishikawa!$L$14:$L$49,0))&amp;"","")</f>
        <v/>
      </c>
      <c r="D8" s="33" t="str">
        <f aca="false">IFERROR(INDEX(Ishikawa!$C$14:$C$49,INT((MATCH($B8,Ishikawa!$L$14:$L$49,0)-1)/6)*6+1)&amp;"","")</f>
        <v/>
      </c>
      <c r="E8" s="6" t="str">
        <f aca="false">IFERROR(INDEX(Ishikawa!$C$14:$C$49,MATCH($B8,Ishikawa!$L$14:$L$49,0))&amp;"","")</f>
        <v/>
      </c>
      <c r="F8" s="5"/>
      <c r="G8" s="5"/>
      <c r="H8" s="34"/>
      <c r="I8" s="19"/>
      <c r="J8" s="33" t="str">
        <f aca="true">IF(F8="","",IF(OR(I8="Concluída",I8="Cancelada"),I8,IF(H8="","Sem prazo",IF(H8&lt;TODAY(),"Atrasada","No prazo"))))</f>
        <v/>
      </c>
    </row>
    <row r="9" customFormat="false" ht="30" hidden="false" customHeight="true" outlineLevel="0" collapsed="false">
      <c r="B9" s="18" t="n">
        <v>4</v>
      </c>
      <c r="C9" s="23" t="str">
        <f aca="false">IFERROR(INDEX(Ishikawa!$B$14:$B$49,MATCH($B9,Ishikawa!$L$14:$L$49,0))&amp;"","")</f>
        <v/>
      </c>
      <c r="D9" s="33" t="str">
        <f aca="false">IFERROR(INDEX(Ishikawa!$C$14:$C$49,INT((MATCH($B9,Ishikawa!$L$14:$L$49,0)-1)/6)*6+1)&amp;"","")</f>
        <v/>
      </c>
      <c r="E9" s="6" t="str">
        <f aca="false">IFERROR(INDEX(Ishikawa!$C$14:$C$49,MATCH($B9,Ishikawa!$L$14:$L$49,0))&amp;"","")</f>
        <v/>
      </c>
      <c r="F9" s="5"/>
      <c r="G9" s="5"/>
      <c r="H9" s="34"/>
      <c r="I9" s="19"/>
      <c r="J9" s="33" t="str">
        <f aca="true">IF(F9="","",IF(OR(I9="Concluída",I9="Cancelada"),I9,IF(H9="","Sem prazo",IF(H9&lt;TODAY(),"Atrasada","No prazo"))))</f>
        <v/>
      </c>
    </row>
    <row r="10" customFormat="false" ht="30" hidden="false" customHeight="true" outlineLevel="0" collapsed="false">
      <c r="B10" s="18" t="n">
        <v>5</v>
      </c>
      <c r="C10" s="23" t="str">
        <f aca="false">IFERROR(INDEX(Ishikawa!$B$14:$B$49,MATCH($B10,Ishikawa!$L$14:$L$49,0))&amp;"","")</f>
        <v/>
      </c>
      <c r="D10" s="33" t="str">
        <f aca="false">IFERROR(INDEX(Ishikawa!$C$14:$C$49,INT((MATCH($B10,Ishikawa!$L$14:$L$49,0)-1)/6)*6+1)&amp;"","")</f>
        <v/>
      </c>
      <c r="E10" s="6" t="str">
        <f aca="false">IFERROR(INDEX(Ishikawa!$C$14:$C$49,MATCH($B10,Ishikawa!$L$14:$L$49,0))&amp;"","")</f>
        <v/>
      </c>
      <c r="F10" s="5"/>
      <c r="G10" s="5"/>
      <c r="H10" s="34"/>
      <c r="I10" s="19"/>
      <c r="J10" s="33" t="str">
        <f aca="true">IF(F10="","",IF(OR(I10="Concluída",I10="Cancelada"),I10,IF(H10="","Sem prazo",IF(H10&lt;TODAY(),"Atrasada","No prazo"))))</f>
        <v/>
      </c>
    </row>
    <row r="11" customFormat="false" ht="30" hidden="false" customHeight="true" outlineLevel="0" collapsed="false">
      <c r="B11" s="18" t="n">
        <v>6</v>
      </c>
      <c r="C11" s="23" t="str">
        <f aca="false">IFERROR(INDEX(Ishikawa!$B$14:$B$49,MATCH($B11,Ishikawa!$L$14:$L$49,0))&amp;"","")</f>
        <v/>
      </c>
      <c r="D11" s="33" t="str">
        <f aca="false">IFERROR(INDEX(Ishikawa!$C$14:$C$49,INT((MATCH($B11,Ishikawa!$L$14:$L$49,0)-1)/6)*6+1)&amp;"","")</f>
        <v/>
      </c>
      <c r="E11" s="6" t="str">
        <f aca="false">IFERROR(INDEX(Ishikawa!$C$14:$C$49,MATCH($B11,Ishikawa!$L$14:$L$49,0))&amp;"","")</f>
        <v/>
      </c>
      <c r="F11" s="5"/>
      <c r="G11" s="5"/>
      <c r="H11" s="34"/>
      <c r="I11" s="19"/>
      <c r="J11" s="33" t="str">
        <f aca="true">IF(F11="","",IF(OR(I11="Concluída",I11="Cancelada"),I11,IF(H11="","Sem prazo",IF(H11&lt;TODAY(),"Atrasada","No prazo"))))</f>
        <v/>
      </c>
    </row>
    <row r="12" customFormat="false" ht="30" hidden="false" customHeight="true" outlineLevel="0" collapsed="false">
      <c r="B12" s="18" t="n">
        <v>7</v>
      </c>
      <c r="C12" s="23" t="str">
        <f aca="false">IFERROR(INDEX(Ishikawa!$B$14:$B$49,MATCH($B12,Ishikawa!$L$14:$L$49,0))&amp;"","")</f>
        <v/>
      </c>
      <c r="D12" s="33" t="str">
        <f aca="false">IFERROR(INDEX(Ishikawa!$C$14:$C$49,INT((MATCH($B12,Ishikawa!$L$14:$L$49,0)-1)/6)*6+1)&amp;"","")</f>
        <v/>
      </c>
      <c r="E12" s="6" t="str">
        <f aca="false">IFERROR(INDEX(Ishikawa!$C$14:$C$49,MATCH($B12,Ishikawa!$L$14:$L$49,0))&amp;"","")</f>
        <v/>
      </c>
      <c r="F12" s="5"/>
      <c r="G12" s="5"/>
      <c r="H12" s="34"/>
      <c r="I12" s="19"/>
      <c r="J12" s="33" t="str">
        <f aca="true">IF(F12="","",IF(OR(I12="Concluída",I12="Cancelada"),I12,IF(H12="","Sem prazo",IF(H12&lt;TODAY(),"Atrasada","No prazo"))))</f>
        <v/>
      </c>
    </row>
    <row r="13" customFormat="false" ht="30" hidden="false" customHeight="true" outlineLevel="0" collapsed="false">
      <c r="B13" s="18" t="n">
        <v>8</v>
      </c>
      <c r="C13" s="23" t="str">
        <f aca="false">IFERROR(INDEX(Ishikawa!$B$14:$B$49,MATCH($B13,Ishikawa!$L$14:$L$49,0))&amp;"","")</f>
        <v/>
      </c>
      <c r="D13" s="33" t="str">
        <f aca="false">IFERROR(INDEX(Ishikawa!$C$14:$C$49,INT((MATCH($B13,Ishikawa!$L$14:$L$49,0)-1)/6)*6+1)&amp;"","")</f>
        <v/>
      </c>
      <c r="E13" s="6" t="str">
        <f aca="false">IFERROR(INDEX(Ishikawa!$C$14:$C$49,MATCH($B13,Ishikawa!$L$14:$L$49,0))&amp;"","")</f>
        <v/>
      </c>
      <c r="F13" s="5"/>
      <c r="G13" s="5"/>
      <c r="H13" s="34"/>
      <c r="I13" s="19"/>
      <c r="J13" s="33" t="str">
        <f aca="true">IF(F13="","",IF(OR(I13="Concluída",I13="Cancelada"),I13,IF(H13="","Sem prazo",IF(H13&lt;TODAY(),"Atrasada","No prazo"))))</f>
        <v/>
      </c>
    </row>
    <row r="14" customFormat="false" ht="30" hidden="false" customHeight="true" outlineLevel="0" collapsed="false">
      <c r="B14" s="18" t="n">
        <v>9</v>
      </c>
      <c r="C14" s="23" t="str">
        <f aca="false">IFERROR(INDEX(Ishikawa!$B$14:$B$49,MATCH($B14,Ishikawa!$L$14:$L$49,0))&amp;"","")</f>
        <v/>
      </c>
      <c r="D14" s="33" t="str">
        <f aca="false">IFERROR(INDEX(Ishikawa!$C$14:$C$49,INT((MATCH($B14,Ishikawa!$L$14:$L$49,0)-1)/6)*6+1)&amp;"","")</f>
        <v/>
      </c>
      <c r="E14" s="6" t="str">
        <f aca="false">IFERROR(INDEX(Ishikawa!$C$14:$C$49,MATCH($B14,Ishikawa!$L$14:$L$49,0))&amp;"","")</f>
        <v/>
      </c>
      <c r="F14" s="5"/>
      <c r="G14" s="5"/>
      <c r="H14" s="34"/>
      <c r="I14" s="19"/>
      <c r="J14" s="33" t="str">
        <f aca="true">IF(F14="","",IF(OR(I14="Concluída",I14="Cancelada"),I14,IF(H14="","Sem prazo",IF(H14&lt;TODAY(),"Atrasada","No prazo"))))</f>
        <v/>
      </c>
    </row>
    <row r="15" customFormat="false" ht="30" hidden="false" customHeight="true" outlineLevel="0" collapsed="false">
      <c r="B15" s="18" t="n">
        <v>10</v>
      </c>
      <c r="C15" s="23" t="str">
        <f aca="false">IFERROR(INDEX(Ishikawa!$B$14:$B$49,MATCH($B15,Ishikawa!$L$14:$L$49,0))&amp;"","")</f>
        <v/>
      </c>
      <c r="D15" s="33" t="str">
        <f aca="false">IFERROR(INDEX(Ishikawa!$C$14:$C$49,INT((MATCH($B15,Ishikawa!$L$14:$L$49,0)-1)/6)*6+1)&amp;"","")</f>
        <v/>
      </c>
      <c r="E15" s="6" t="str">
        <f aca="false">IFERROR(INDEX(Ishikawa!$C$14:$C$49,MATCH($B15,Ishikawa!$L$14:$L$49,0))&amp;"","")</f>
        <v/>
      </c>
      <c r="F15" s="5"/>
      <c r="G15" s="5"/>
      <c r="H15" s="34"/>
      <c r="I15" s="19"/>
      <c r="J15" s="33" t="str">
        <f aca="true">IF(F15="","",IF(OR(I15="Concluída",I15="Cancelada"),I15,IF(H15="","Sem prazo",IF(H15&lt;TODAY(),"Atrasada","No prazo"))))</f>
        <v/>
      </c>
    </row>
    <row r="16" customFormat="false" ht="30" hidden="false" customHeight="true" outlineLevel="0" collapsed="false">
      <c r="B16" s="18" t="n">
        <v>11</v>
      </c>
      <c r="C16" s="23" t="str">
        <f aca="false">IFERROR(INDEX(Ishikawa!$B$14:$B$49,MATCH($B16,Ishikawa!$L$14:$L$49,0))&amp;"","")</f>
        <v/>
      </c>
      <c r="D16" s="33" t="str">
        <f aca="false">IFERROR(INDEX(Ishikawa!$C$14:$C$49,INT((MATCH($B16,Ishikawa!$L$14:$L$49,0)-1)/6)*6+1)&amp;"","")</f>
        <v/>
      </c>
      <c r="E16" s="6" t="str">
        <f aca="false">IFERROR(INDEX(Ishikawa!$C$14:$C$49,MATCH($B16,Ishikawa!$L$14:$L$49,0))&amp;"","")</f>
        <v/>
      </c>
      <c r="F16" s="5"/>
      <c r="G16" s="5"/>
      <c r="H16" s="34"/>
      <c r="I16" s="19"/>
      <c r="J16" s="33" t="str">
        <f aca="true">IF(F16="","",IF(OR(I16="Concluída",I16="Cancelada"),I16,IF(H16="","Sem prazo",IF(H16&lt;TODAY(),"Atrasada","No prazo"))))</f>
        <v/>
      </c>
    </row>
    <row r="17" customFormat="false" ht="30" hidden="false" customHeight="true" outlineLevel="0" collapsed="false">
      <c r="B17" s="18" t="n">
        <v>12</v>
      </c>
      <c r="C17" s="23" t="str">
        <f aca="false">IFERROR(INDEX(Ishikawa!$B$14:$B$49,MATCH($B17,Ishikawa!$L$14:$L$49,0))&amp;"","")</f>
        <v/>
      </c>
      <c r="D17" s="33" t="str">
        <f aca="false">IFERROR(INDEX(Ishikawa!$C$14:$C$49,INT((MATCH($B17,Ishikawa!$L$14:$L$49,0)-1)/6)*6+1)&amp;"","")</f>
        <v/>
      </c>
      <c r="E17" s="6" t="str">
        <f aca="false">IFERROR(INDEX(Ishikawa!$C$14:$C$49,MATCH($B17,Ishikawa!$L$14:$L$49,0))&amp;"","")</f>
        <v/>
      </c>
      <c r="F17" s="5"/>
      <c r="G17" s="5"/>
      <c r="H17" s="34"/>
      <c r="I17" s="19"/>
      <c r="J17" s="33" t="str">
        <f aca="true">IF(F17="","",IF(OR(I17="Concluída",I17="Cancelada"),I17,IF(H17="","Sem prazo",IF(H17&lt;TODAY(),"Atrasada","No prazo"))))</f>
        <v/>
      </c>
    </row>
    <row r="19" customFormat="false" ht="21.75" hidden="false" customHeight="true" outlineLevel="0" collapsed="false">
      <c r="B19" s="21" t="s">
        <v>153</v>
      </c>
      <c r="C19" s="21"/>
      <c r="D19" s="21"/>
      <c r="E19" s="21"/>
      <c r="F19" s="21"/>
      <c r="G19" s="21"/>
      <c r="H19" s="21"/>
      <c r="I19" s="21"/>
      <c r="J19" s="21"/>
    </row>
    <row r="20" customFormat="false" ht="19.5" hidden="false" customHeight="true" outlineLevel="0" collapsed="false">
      <c r="B20" s="22" t="s">
        <v>159</v>
      </c>
      <c r="C20" s="22"/>
      <c r="D20" s="22"/>
      <c r="E20" s="22"/>
      <c r="F20" s="22"/>
      <c r="G20" s="23" t="n">
        <f aca="false">COUNTIF(Ishikawa!J14:J49,"Sim")</f>
        <v>0</v>
      </c>
      <c r="H20" s="23"/>
    </row>
    <row r="21" customFormat="false" ht="19.5" hidden="false" customHeight="true" outlineLevel="0" collapsed="false">
      <c r="B21" s="22" t="s">
        <v>201</v>
      </c>
      <c r="C21" s="22"/>
      <c r="D21" s="22"/>
      <c r="E21" s="22"/>
      <c r="F21" s="22"/>
      <c r="G21" s="23" t="n">
        <f aca="false">SUMPRODUCT((E6:E17&lt;&gt;"")*(F6:F17&lt;&gt;""))</f>
        <v>0</v>
      </c>
      <c r="H21" s="23"/>
    </row>
    <row r="22" customFormat="false" ht="19.5" hidden="false" customHeight="true" outlineLevel="0" collapsed="false">
      <c r="B22" s="22" t="s">
        <v>202</v>
      </c>
      <c r="C22" s="22"/>
      <c r="D22" s="22"/>
      <c r="E22" s="22"/>
      <c r="F22" s="22"/>
      <c r="G22" s="23" t="n">
        <f aca="false">COUNTIF(I6:I17,"Concluída")</f>
        <v>0</v>
      </c>
      <c r="H22" s="23"/>
    </row>
    <row r="23" customFormat="false" ht="19.5" hidden="false" customHeight="true" outlineLevel="0" collapsed="false">
      <c r="B23" s="22" t="s">
        <v>203</v>
      </c>
      <c r="C23" s="22"/>
      <c r="D23" s="22"/>
      <c r="E23" s="22"/>
      <c r="F23" s="22"/>
      <c r="G23" s="23" t="n">
        <f aca="false">COUNTIF(J6:J17,"Atrasada")</f>
        <v>0</v>
      </c>
      <c r="H23" s="23"/>
    </row>
    <row r="24" customFormat="false" ht="19.5" hidden="false" customHeight="true" outlineLevel="0" collapsed="false">
      <c r="B24" s="22" t="s">
        <v>204</v>
      </c>
      <c r="C24" s="22"/>
      <c r="D24" s="22"/>
      <c r="E24" s="22"/>
      <c r="F24" s="22"/>
      <c r="G24" s="23" t="n">
        <f aca="false">SUMPRODUCT((F6:F17&lt;&gt;"")*((G6:G17="")+(H6:H17="")&gt;0))</f>
        <v>0</v>
      </c>
      <c r="H24" s="23"/>
    </row>
    <row r="25" customFormat="false" ht="30" hidden="false" customHeight="true" outlineLevel="0" collapsed="false">
      <c r="B25" s="22" t="s">
        <v>190</v>
      </c>
      <c r="C25" s="22"/>
      <c r="D25" s="22"/>
      <c r="E25" s="22"/>
      <c r="F25" s="22"/>
      <c r="G25" s="25" t="str">
        <f aca="false">IF(G20=0,"Marque na aba Ishikawa as causas que seguem para o plano",IF(G20&gt;12,"Mais de 12 causas marcadas: priorize",IF(G21&lt;G20,"Há causa sem ação definida","OK")))</f>
        <v>Marque na aba Ishikawa as causas que seguem para o plano</v>
      </c>
      <c r="H25" s="25"/>
    </row>
  </sheetData>
  <mergeCells count="15">
    <mergeCell ref="B1:J1"/>
    <mergeCell ref="B2:J2"/>
    <mergeCell ref="B19:J19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</mergeCells>
  <conditionalFormatting sqref="I6:I17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2">
      <formula>"Em andamento"</formula>
    </cfRule>
    <cfRule type="cellIs" priority="4" operator="equal" aboveAverage="0" equalAverage="0" bottom="0" percent="0" rank="0" text="" dxfId="3">
      <formula>"Não iniciada"</formula>
    </cfRule>
  </conditionalFormatting>
  <conditionalFormatting sqref="J6:J17">
    <cfRule type="cellIs" priority="5" operator="equal" aboveAverage="0" equalAverage="0" bottom="0" percent="0" rank="0" text="" dxfId="0">
      <formula>"Concluída"</formula>
    </cfRule>
    <cfRule type="cellIs" priority="6" operator="equal" aboveAverage="0" equalAverage="0" bottom="0" percent="0" rank="0" text="" dxfId="0">
      <formula>"No prazo"</formula>
    </cfRule>
    <cfRule type="cellIs" priority="7" operator="equal" aboveAverage="0" equalAverage="0" bottom="0" percent="0" rank="0" text="" dxfId="2">
      <formula>"Sem prazo"</formula>
    </cfRule>
    <cfRule type="cellIs" priority="8" operator="equal" aboveAverage="0" equalAverage="0" bottom="0" percent="0" rank="0" text="" dxfId="3">
      <formula>"Atrasada"</formula>
    </cfRule>
  </conditionalFormatting>
  <conditionalFormatting sqref="G25:H25">
    <cfRule type="cellIs" priority="9" operator="equal" aboveAverage="0" equalAverage="0" bottom="0" percent="0" rank="0" text="" dxfId="0">
      <formula>"OK"</formula>
    </cfRule>
    <cfRule type="cellIs" priority="10" operator="notEqual" aboveAverage="0" equalAverage="0" bottom="0" percent="0" rank="0" text="" dxfId="2">
      <formula>"OK"</formula>
    </cfRule>
  </conditionalFormatting>
  <dataValidations count="2">
    <dataValidation allowBlank="true" error="Escolha uma das opções da lista." errorStyle="stop" errorTitle="Valor inválido" operator="between" prompt="Não iniciada, Em andamento, Concluída ou Cancelada" promptTitle="Opções" showDropDown="false" showErrorMessage="true" showInputMessage="true" sqref="I6:I17" type="list">
      <formula1>"Não iniciada,Em andamento,Concluída,Cancelada"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H6:H17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205</v>
      </c>
      <c r="C1" s="1"/>
      <c r="D1" s="1"/>
      <c r="E1" s="1"/>
    </row>
    <row r="2" customFormat="false" ht="19.5" hidden="false" customHeight="true" outlineLevel="0" collapsed="false">
      <c r="B2" s="2" t="s">
        <v>206</v>
      </c>
      <c r="C2" s="2"/>
      <c r="D2" s="2"/>
      <c r="E2" s="2"/>
    </row>
    <row r="4" customFormat="false" ht="21.75" hidden="false" customHeight="true" outlineLevel="0" collapsed="false">
      <c r="B4" s="11" t="s">
        <v>87</v>
      </c>
      <c r="C4" s="11" t="s">
        <v>207</v>
      </c>
      <c r="D4" s="11" t="s">
        <v>196</v>
      </c>
      <c r="E4" s="11" t="s">
        <v>208</v>
      </c>
    </row>
    <row r="5" customFormat="false" ht="30" hidden="false" customHeight="true" outlineLevel="0" collapsed="false">
      <c r="B5" s="18" t="n">
        <v>1</v>
      </c>
      <c r="C5" s="6" t="s">
        <v>209</v>
      </c>
      <c r="D5" s="19"/>
      <c r="E5" s="5"/>
    </row>
    <row r="6" customFormat="false" ht="30" hidden="false" customHeight="true" outlineLevel="0" collapsed="false">
      <c r="B6" s="18" t="n">
        <v>2</v>
      </c>
      <c r="C6" s="6" t="s">
        <v>210</v>
      </c>
      <c r="D6" s="19"/>
      <c r="E6" s="5"/>
    </row>
    <row r="7" customFormat="false" ht="30" hidden="false" customHeight="true" outlineLevel="0" collapsed="false">
      <c r="B7" s="18" t="n">
        <v>3</v>
      </c>
      <c r="C7" s="6" t="s">
        <v>211</v>
      </c>
      <c r="D7" s="19"/>
      <c r="E7" s="5"/>
    </row>
    <row r="8" customFormat="false" ht="30" hidden="false" customHeight="true" outlineLevel="0" collapsed="false">
      <c r="B8" s="18" t="n">
        <v>4</v>
      </c>
      <c r="C8" s="6" t="s">
        <v>212</v>
      </c>
      <c r="D8" s="19"/>
      <c r="E8" s="5"/>
    </row>
    <row r="9" customFormat="false" ht="30" hidden="false" customHeight="true" outlineLevel="0" collapsed="false">
      <c r="B9" s="18" t="n">
        <v>5</v>
      </c>
      <c r="C9" s="6" t="s">
        <v>213</v>
      </c>
      <c r="D9" s="19"/>
      <c r="E9" s="5"/>
    </row>
    <row r="10" customFormat="false" ht="30" hidden="false" customHeight="true" outlineLevel="0" collapsed="false">
      <c r="B10" s="18" t="n">
        <v>6</v>
      </c>
      <c r="C10" s="6" t="s">
        <v>214</v>
      </c>
      <c r="D10" s="19"/>
      <c r="E10" s="5"/>
    </row>
    <row r="11" customFormat="false" ht="30" hidden="false" customHeight="true" outlineLevel="0" collapsed="false">
      <c r="B11" s="18" t="n">
        <v>7</v>
      </c>
      <c r="C11" s="6" t="s">
        <v>215</v>
      </c>
      <c r="D11" s="19"/>
      <c r="E11" s="5"/>
    </row>
    <row r="12" customFormat="false" ht="30" hidden="false" customHeight="true" outlineLevel="0" collapsed="false">
      <c r="B12" s="18" t="n">
        <v>8</v>
      </c>
      <c r="C12" s="6" t="s">
        <v>216</v>
      </c>
      <c r="D12" s="19"/>
      <c r="E12" s="5"/>
    </row>
    <row r="13" customFormat="false" ht="30" hidden="false" customHeight="true" outlineLevel="0" collapsed="false">
      <c r="B13" s="18" t="n">
        <v>9</v>
      </c>
      <c r="C13" s="6" t="s">
        <v>217</v>
      </c>
      <c r="D13" s="19"/>
      <c r="E13" s="5"/>
    </row>
    <row r="14" customFormat="false" ht="30" hidden="false" customHeight="true" outlineLevel="0" collapsed="false">
      <c r="B14" s="18" t="n">
        <v>10</v>
      </c>
      <c r="C14" s="6" t="s">
        <v>218</v>
      </c>
      <c r="D14" s="19"/>
      <c r="E14" s="5"/>
    </row>
    <row r="15" customFormat="false" ht="30" hidden="false" customHeight="true" outlineLevel="0" collapsed="false">
      <c r="B15" s="18" t="n">
        <v>11</v>
      </c>
      <c r="C15" s="6" t="s">
        <v>219</v>
      </c>
      <c r="D15" s="19"/>
      <c r="E15" s="5"/>
    </row>
    <row r="16" customFormat="false" ht="30" hidden="false" customHeight="true" outlineLevel="0" collapsed="false">
      <c r="B16" s="18" t="n">
        <v>12</v>
      </c>
      <c r="C16" s="6" t="s">
        <v>220</v>
      </c>
      <c r="D16" s="19"/>
      <c r="E16" s="5"/>
    </row>
    <row r="18" customFormat="false" ht="21.75" hidden="false" customHeight="true" outlineLevel="0" collapsed="false">
      <c r="B18" s="21" t="s">
        <v>153</v>
      </c>
      <c r="C18" s="21"/>
      <c r="D18" s="21"/>
      <c r="E18" s="21"/>
    </row>
    <row r="19" customFormat="false" ht="19.5" hidden="false" customHeight="true" outlineLevel="0" collapsed="false">
      <c r="B19" s="22" t="s">
        <v>221</v>
      </c>
      <c r="C19" s="22"/>
      <c r="D19" s="23" t="n">
        <f aca="false">COUNTIF(D5:D16,"Sim")</f>
        <v>0</v>
      </c>
    </row>
    <row r="20" customFormat="false" ht="19.5" hidden="false" customHeight="true" outlineLevel="0" collapsed="false">
      <c r="B20" s="22" t="s">
        <v>222</v>
      </c>
      <c r="C20" s="22"/>
      <c r="D20" s="23" t="n">
        <f aca="false">COUNTIF(D5:D16,"Parcial")</f>
        <v>0</v>
      </c>
    </row>
    <row r="21" customFormat="false" ht="19.5" hidden="false" customHeight="true" outlineLevel="0" collapsed="false">
      <c r="B21" s="22" t="s">
        <v>223</v>
      </c>
      <c r="C21" s="22"/>
      <c r="D21" s="23" t="n">
        <f aca="false">COUNTIF(D5:D16,"Não")</f>
        <v>0</v>
      </c>
    </row>
    <row r="22" customFormat="false" ht="19.5" hidden="false" customHeight="true" outlineLevel="0" collapsed="false">
      <c r="B22" s="22" t="s">
        <v>224</v>
      </c>
      <c r="C22" s="22"/>
      <c r="D22" s="23" t="n">
        <f aca="false">COUNTBLANK(D5:D16)</f>
        <v>12</v>
      </c>
    </row>
    <row r="23" customFormat="false" ht="19.5" hidden="false" customHeight="true" outlineLevel="0" collapsed="false">
      <c r="B23" s="22" t="s">
        <v>225</v>
      </c>
      <c r="C23" s="22"/>
      <c r="D23" s="35" t="n">
        <f aca="false">D19/ROWS(D5:D16)</f>
        <v>0</v>
      </c>
    </row>
    <row r="24" customFormat="false" ht="19.5" hidden="false" customHeight="true" outlineLevel="0" collapsed="false">
      <c r="B24" s="22" t="s">
        <v>180</v>
      </c>
      <c r="C24" s="22"/>
      <c r="D24" s="23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3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"/>
    <col collapsed="false" customWidth="true" hidden="false" outlineLevel="0" max="12" min="12" style="0" width="8"/>
  </cols>
  <sheetData>
    <row r="1" customFormat="false" ht="31.5" hidden="false" customHeight="true" outlineLevel="0" collapsed="false">
      <c r="B1" s="1" t="s">
        <v>75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226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77</v>
      </c>
      <c r="C4" s="4"/>
      <c r="D4" s="36" t="s">
        <v>227</v>
      </c>
      <c r="E4" s="36"/>
      <c r="F4" s="36"/>
      <c r="G4" s="4" t="s">
        <v>78</v>
      </c>
      <c r="H4" s="36" t="s">
        <v>228</v>
      </c>
      <c r="I4" s="36"/>
      <c r="J4" s="36"/>
    </row>
    <row r="5" customFormat="false" ht="21.75" hidden="false" customHeight="true" outlineLevel="0" collapsed="false">
      <c r="B5" s="4" t="s">
        <v>79</v>
      </c>
      <c r="C5" s="4"/>
      <c r="D5" s="36" t="s">
        <v>229</v>
      </c>
      <c r="E5" s="36"/>
      <c r="F5" s="36"/>
      <c r="G5" s="4" t="s">
        <v>80</v>
      </c>
      <c r="H5" s="37" t="n">
        <v>46220</v>
      </c>
      <c r="I5" s="37"/>
      <c r="J5" s="37"/>
    </row>
    <row r="6" customFormat="false" ht="21.75" hidden="false" customHeight="true" outlineLevel="0" collapsed="false">
      <c r="B6" s="4" t="s">
        <v>81</v>
      </c>
      <c r="C6" s="4"/>
      <c r="D6" s="36" t="s">
        <v>230</v>
      </c>
      <c r="E6" s="36"/>
      <c r="F6" s="36"/>
      <c r="G6" s="4" t="s">
        <v>82</v>
      </c>
      <c r="H6" s="36" t="s">
        <v>231</v>
      </c>
      <c r="I6" s="36"/>
      <c r="J6" s="36"/>
    </row>
    <row r="7" customFormat="false" ht="30" hidden="false" customHeight="true" outlineLevel="0" collapsed="false">
      <c r="B7" s="4" t="s">
        <v>83</v>
      </c>
      <c r="C7" s="4"/>
      <c r="D7" s="36" t="s">
        <v>232</v>
      </c>
      <c r="E7" s="36"/>
      <c r="F7" s="36"/>
      <c r="G7" s="36"/>
      <c r="H7" s="36"/>
      <c r="I7" s="36"/>
      <c r="J7" s="36"/>
    </row>
    <row r="8" customFormat="false" ht="30" hidden="false" customHeight="true" outlineLevel="0" collapsed="false">
      <c r="B8" s="4" t="s">
        <v>84</v>
      </c>
      <c r="C8" s="4"/>
      <c r="D8" s="36" t="s">
        <v>233</v>
      </c>
      <c r="E8" s="36"/>
      <c r="F8" s="36"/>
      <c r="G8" s="4" t="s">
        <v>85</v>
      </c>
      <c r="H8" s="36" t="s">
        <v>234</v>
      </c>
      <c r="I8" s="36"/>
      <c r="J8" s="36"/>
    </row>
    <row r="9" customFormat="false" ht="30" hidden="false" customHeight="true" outlineLevel="0" collapsed="false">
      <c r="B9" s="4" t="s">
        <v>86</v>
      </c>
      <c r="C9" s="4"/>
      <c r="D9" s="36" t="s">
        <v>235</v>
      </c>
      <c r="E9" s="36"/>
      <c r="F9" s="36"/>
      <c r="G9" s="36"/>
      <c r="H9" s="36"/>
      <c r="I9" s="36"/>
      <c r="J9" s="36"/>
    </row>
    <row r="11" customFormat="false" ht="30" hidden="false" customHeight="true" outlineLevel="0" collapsed="false">
      <c r="B11" s="11" t="s">
        <v>87</v>
      </c>
      <c r="C11" s="11" t="s">
        <v>88</v>
      </c>
      <c r="D11" s="11"/>
      <c r="E11" s="11" t="s">
        <v>89</v>
      </c>
      <c r="F11" s="11" t="s">
        <v>90</v>
      </c>
      <c r="G11" s="11" t="s">
        <v>91</v>
      </c>
      <c r="H11" s="11" t="s">
        <v>92</v>
      </c>
      <c r="I11" s="11" t="s">
        <v>93</v>
      </c>
      <c r="J11" s="11" t="s">
        <v>94</v>
      </c>
    </row>
    <row r="12" customFormat="false" ht="30" hidden="false" customHeight="true" outlineLevel="0" collapsed="false">
      <c r="B12" s="12"/>
      <c r="C12" s="12" t="s">
        <v>95</v>
      </c>
      <c r="D12" s="12"/>
      <c r="E12" s="12" t="s">
        <v>96</v>
      </c>
      <c r="F12" s="12" t="s">
        <v>97</v>
      </c>
      <c r="G12" s="12" t="s">
        <v>98</v>
      </c>
      <c r="H12" s="12" t="s">
        <v>99</v>
      </c>
      <c r="I12" s="12" t="s">
        <v>100</v>
      </c>
      <c r="J12" s="12" t="s">
        <v>101</v>
      </c>
    </row>
    <row r="13" customFormat="false" ht="33" hidden="false" customHeight="true" outlineLevel="0" collapsed="false">
      <c r="B13" s="13" t="s">
        <v>236</v>
      </c>
      <c r="C13" s="13"/>
      <c r="D13" s="13"/>
      <c r="E13" s="13"/>
      <c r="F13" s="13"/>
      <c r="G13" s="13"/>
      <c r="H13" s="13"/>
      <c r="I13" s="13"/>
      <c r="J13" s="13"/>
      <c r="L13" s="14" t="s">
        <v>110</v>
      </c>
    </row>
    <row r="14" customFormat="false" ht="24" hidden="false" customHeight="true" outlineLevel="0" collapsed="false">
      <c r="B14" s="15" t="s">
        <v>111</v>
      </c>
      <c r="C14" s="38" t="s">
        <v>112</v>
      </c>
      <c r="D14" s="38"/>
      <c r="E14" s="38"/>
      <c r="F14" s="17" t="s">
        <v>15</v>
      </c>
      <c r="G14" s="17"/>
      <c r="H14" s="17"/>
      <c r="I14" s="17"/>
      <c r="J14" s="17"/>
    </row>
    <row r="15" customFormat="false" ht="36" hidden="false" customHeight="true" outlineLevel="0" collapsed="false">
      <c r="B15" s="18" t="s">
        <v>113</v>
      </c>
      <c r="C15" s="36" t="s">
        <v>103</v>
      </c>
      <c r="D15" s="36"/>
      <c r="E15" s="36" t="s">
        <v>104</v>
      </c>
      <c r="F15" s="39" t="s">
        <v>105</v>
      </c>
      <c r="G15" s="36" t="s">
        <v>106</v>
      </c>
      <c r="H15" s="39" t="s">
        <v>107</v>
      </c>
      <c r="I15" s="36" t="s">
        <v>108</v>
      </c>
      <c r="J15" s="39" t="s">
        <v>109</v>
      </c>
      <c r="L15" s="20" t="n">
        <f aca="false">IF(J15="Sim",COUNTIF($J$14:J15,"Sim"),"")</f>
        <v>1</v>
      </c>
    </row>
    <row r="16" customFormat="false" ht="36" hidden="false" customHeight="true" outlineLevel="0" collapsed="false">
      <c r="B16" s="18" t="s">
        <v>114</v>
      </c>
      <c r="C16" s="36" t="s">
        <v>237</v>
      </c>
      <c r="D16" s="36"/>
      <c r="E16" s="36" t="s">
        <v>238</v>
      </c>
      <c r="F16" s="39" t="s">
        <v>239</v>
      </c>
      <c r="G16" s="36" t="s">
        <v>240</v>
      </c>
      <c r="H16" s="39" t="s">
        <v>241</v>
      </c>
      <c r="I16" s="36" t="s">
        <v>242</v>
      </c>
      <c r="J16" s="39" t="s">
        <v>243</v>
      </c>
      <c r="L16" s="20" t="str">
        <f aca="false">IF(J16="Sim",COUNTIF($J$14:J16,"Sim"),"")</f>
        <v/>
      </c>
    </row>
    <row r="17" customFormat="false" ht="36" hidden="true" customHeight="true" outlineLevel="0" collapsed="false">
      <c r="B17" s="18" t="s">
        <v>115</v>
      </c>
      <c r="C17" s="36"/>
      <c r="D17" s="36"/>
      <c r="E17" s="36"/>
      <c r="F17" s="39"/>
      <c r="G17" s="36"/>
      <c r="H17" s="39"/>
      <c r="I17" s="36"/>
      <c r="J17" s="39"/>
      <c r="L17" s="20" t="str">
        <f aca="false">IF(J17="Sim",COUNTIF($J$14:J17,"Sim"),"")</f>
        <v/>
      </c>
    </row>
    <row r="18" customFormat="false" ht="36" hidden="true" customHeight="true" outlineLevel="0" collapsed="false">
      <c r="B18" s="18" t="s">
        <v>116</v>
      </c>
      <c r="C18" s="36"/>
      <c r="D18" s="36"/>
      <c r="E18" s="36"/>
      <c r="F18" s="39"/>
      <c r="G18" s="36"/>
      <c r="H18" s="39"/>
      <c r="I18" s="36"/>
      <c r="J18" s="39"/>
      <c r="L18" s="20" t="str">
        <f aca="false">IF(J18="Sim",COUNTIF($J$14:J18,"Sim"),"")</f>
        <v/>
      </c>
    </row>
    <row r="19" customFormat="false" ht="36" hidden="true" customHeight="true" outlineLevel="0" collapsed="false">
      <c r="B19" s="18" t="s">
        <v>117</v>
      </c>
      <c r="C19" s="36"/>
      <c r="D19" s="36"/>
      <c r="E19" s="36"/>
      <c r="F19" s="39"/>
      <c r="G19" s="36"/>
      <c r="H19" s="39"/>
      <c r="I19" s="36"/>
      <c r="J19" s="39"/>
      <c r="L19" s="20" t="str">
        <f aca="false">IF(J19="Sim",COUNTIF($J$14:J19,"Sim"),"")</f>
        <v/>
      </c>
    </row>
    <row r="20" customFormat="false" ht="24" hidden="false" customHeight="true" outlineLevel="0" collapsed="false">
      <c r="B20" s="15" t="s">
        <v>118</v>
      </c>
      <c r="C20" s="38" t="s">
        <v>119</v>
      </c>
      <c r="D20" s="38"/>
      <c r="E20" s="38"/>
      <c r="F20" s="17" t="s">
        <v>17</v>
      </c>
      <c r="G20" s="17"/>
      <c r="H20" s="17"/>
      <c r="I20" s="17"/>
      <c r="J20" s="17"/>
    </row>
    <row r="21" customFormat="false" ht="36" hidden="false" customHeight="true" outlineLevel="0" collapsed="false">
      <c r="B21" s="18" t="s">
        <v>120</v>
      </c>
      <c r="C21" s="36" t="s">
        <v>181</v>
      </c>
      <c r="D21" s="36"/>
      <c r="E21" s="36" t="s">
        <v>182</v>
      </c>
      <c r="F21" s="39" t="s">
        <v>105</v>
      </c>
      <c r="G21" s="36" t="s">
        <v>244</v>
      </c>
      <c r="H21" s="39" t="s">
        <v>107</v>
      </c>
      <c r="I21" s="36" t="s">
        <v>245</v>
      </c>
      <c r="J21" s="39" t="s">
        <v>109</v>
      </c>
      <c r="L21" s="20" t="n">
        <f aca="false">IF(J21="Sim",COUNTIF($J$14:J21,"Sim"),"")</f>
        <v>2</v>
      </c>
    </row>
    <row r="22" customFormat="false" ht="36" hidden="false" customHeight="true" outlineLevel="0" collapsed="false">
      <c r="B22" s="18" t="s">
        <v>121</v>
      </c>
      <c r="C22" s="36" t="s">
        <v>246</v>
      </c>
      <c r="D22" s="36"/>
      <c r="E22" s="36" t="s">
        <v>247</v>
      </c>
      <c r="F22" s="39" t="s">
        <v>239</v>
      </c>
      <c r="G22" s="36" t="s">
        <v>248</v>
      </c>
      <c r="H22" s="39" t="s">
        <v>249</v>
      </c>
      <c r="I22" s="36"/>
      <c r="J22" s="39" t="s">
        <v>243</v>
      </c>
      <c r="L22" s="20" t="str">
        <f aca="false">IF(J22="Sim",COUNTIF($J$14:J22,"Sim"),"")</f>
        <v/>
      </c>
    </row>
    <row r="23" customFormat="false" ht="36" hidden="true" customHeight="true" outlineLevel="0" collapsed="false">
      <c r="B23" s="18" t="s">
        <v>122</v>
      </c>
      <c r="C23" s="36"/>
      <c r="D23" s="36"/>
      <c r="E23" s="36"/>
      <c r="F23" s="39"/>
      <c r="G23" s="36"/>
      <c r="H23" s="39"/>
      <c r="I23" s="36"/>
      <c r="J23" s="39"/>
      <c r="L23" s="20" t="str">
        <f aca="false">IF(J23="Sim",COUNTIF($J$14:J23,"Sim"),"")</f>
        <v/>
      </c>
    </row>
    <row r="24" customFormat="false" ht="36" hidden="true" customHeight="true" outlineLevel="0" collapsed="false">
      <c r="B24" s="18" t="s">
        <v>123</v>
      </c>
      <c r="C24" s="36"/>
      <c r="D24" s="36"/>
      <c r="E24" s="36"/>
      <c r="F24" s="39"/>
      <c r="G24" s="36"/>
      <c r="H24" s="39"/>
      <c r="I24" s="36"/>
      <c r="J24" s="39"/>
      <c r="L24" s="20" t="str">
        <f aca="false">IF(J24="Sim",COUNTIF($J$14:J24,"Sim"),"")</f>
        <v/>
      </c>
    </row>
    <row r="25" customFormat="false" ht="36" hidden="true" customHeight="true" outlineLevel="0" collapsed="false">
      <c r="B25" s="18" t="s">
        <v>124</v>
      </c>
      <c r="C25" s="36"/>
      <c r="D25" s="36"/>
      <c r="E25" s="36"/>
      <c r="F25" s="39"/>
      <c r="G25" s="36"/>
      <c r="H25" s="39"/>
      <c r="I25" s="36"/>
      <c r="J25" s="39"/>
      <c r="L25" s="20" t="str">
        <f aca="false">IF(J25="Sim",COUNTIF($J$14:J25,"Sim"),"")</f>
        <v/>
      </c>
    </row>
    <row r="26" customFormat="false" ht="24" hidden="false" customHeight="true" outlineLevel="0" collapsed="false">
      <c r="B26" s="15" t="s">
        <v>125</v>
      </c>
      <c r="C26" s="38" t="s">
        <v>126</v>
      </c>
      <c r="D26" s="38"/>
      <c r="E26" s="38"/>
      <c r="F26" s="17" t="s">
        <v>19</v>
      </c>
      <c r="G26" s="17"/>
      <c r="H26" s="17"/>
      <c r="I26" s="17"/>
      <c r="J26" s="17"/>
    </row>
    <row r="27" customFormat="false" ht="36" hidden="false" customHeight="true" outlineLevel="0" collapsed="false">
      <c r="B27" s="18" t="s">
        <v>127</v>
      </c>
      <c r="C27" s="36" t="s">
        <v>250</v>
      </c>
      <c r="D27" s="36"/>
      <c r="E27" s="36" t="s">
        <v>251</v>
      </c>
      <c r="F27" s="39" t="s">
        <v>105</v>
      </c>
      <c r="G27" s="36" t="s">
        <v>252</v>
      </c>
      <c r="H27" s="39" t="s">
        <v>107</v>
      </c>
      <c r="I27" s="36" t="s">
        <v>253</v>
      </c>
      <c r="J27" s="39" t="s">
        <v>243</v>
      </c>
      <c r="L27" s="20" t="str">
        <f aca="false">IF(J27="Sim",COUNTIF($J$14:J27,"Sim"),"")</f>
        <v/>
      </c>
    </row>
    <row r="28" customFormat="false" ht="36" hidden="false" customHeight="true" outlineLevel="0" collapsed="false">
      <c r="B28" s="18" t="s">
        <v>128</v>
      </c>
      <c r="C28" s="36" t="s">
        <v>254</v>
      </c>
      <c r="D28" s="36"/>
      <c r="E28" s="36"/>
      <c r="F28" s="39" t="s">
        <v>255</v>
      </c>
      <c r="G28" s="36" t="s">
        <v>256</v>
      </c>
      <c r="H28" s="39" t="s">
        <v>241</v>
      </c>
      <c r="I28" s="36" t="s">
        <v>257</v>
      </c>
      <c r="J28" s="39" t="s">
        <v>243</v>
      </c>
      <c r="L28" s="20" t="str">
        <f aca="false">IF(J28="Sim",COUNTIF($J$14:J28,"Sim"),"")</f>
        <v/>
      </c>
    </row>
    <row r="29" customFormat="false" ht="36" hidden="true" customHeight="true" outlineLevel="0" collapsed="false">
      <c r="B29" s="18" t="s">
        <v>129</v>
      </c>
      <c r="C29" s="36"/>
      <c r="D29" s="36"/>
      <c r="E29" s="36"/>
      <c r="F29" s="39"/>
      <c r="G29" s="36"/>
      <c r="H29" s="39"/>
      <c r="I29" s="36"/>
      <c r="J29" s="39"/>
      <c r="L29" s="20" t="str">
        <f aca="false">IF(J29="Sim",COUNTIF($J$14:J29,"Sim"),"")</f>
        <v/>
      </c>
    </row>
    <row r="30" customFormat="false" ht="36" hidden="true" customHeight="true" outlineLevel="0" collapsed="false">
      <c r="B30" s="18" t="s">
        <v>130</v>
      </c>
      <c r="C30" s="36"/>
      <c r="D30" s="36"/>
      <c r="E30" s="36"/>
      <c r="F30" s="39"/>
      <c r="G30" s="36"/>
      <c r="H30" s="39"/>
      <c r="I30" s="36"/>
      <c r="J30" s="39"/>
      <c r="L30" s="20" t="str">
        <f aca="false">IF(J30="Sim",COUNTIF($J$14:J30,"Sim"),"")</f>
        <v/>
      </c>
    </row>
    <row r="31" customFormat="false" ht="36" hidden="true" customHeight="true" outlineLevel="0" collapsed="false">
      <c r="B31" s="18" t="s">
        <v>131</v>
      </c>
      <c r="C31" s="36"/>
      <c r="D31" s="36"/>
      <c r="E31" s="36"/>
      <c r="F31" s="39"/>
      <c r="G31" s="36"/>
      <c r="H31" s="39"/>
      <c r="I31" s="36"/>
      <c r="J31" s="39"/>
      <c r="L31" s="20" t="str">
        <f aca="false">IF(J31="Sim",COUNTIF($J$14:J31,"Sim"),"")</f>
        <v/>
      </c>
    </row>
    <row r="32" customFormat="false" ht="24" hidden="false" customHeight="true" outlineLevel="0" collapsed="false">
      <c r="B32" s="15" t="s">
        <v>132</v>
      </c>
      <c r="C32" s="38" t="s">
        <v>133</v>
      </c>
      <c r="D32" s="38"/>
      <c r="E32" s="38"/>
      <c r="F32" s="17" t="s">
        <v>21</v>
      </c>
      <c r="G32" s="17"/>
      <c r="H32" s="17"/>
      <c r="I32" s="17"/>
      <c r="J32" s="17"/>
    </row>
    <row r="33" customFormat="false" ht="36" hidden="false" customHeight="true" outlineLevel="0" collapsed="false">
      <c r="B33" s="18" t="s">
        <v>134</v>
      </c>
      <c r="C33" s="36" t="s">
        <v>258</v>
      </c>
      <c r="D33" s="36"/>
      <c r="E33" s="36" t="s">
        <v>259</v>
      </c>
      <c r="F33" s="39" t="s">
        <v>105</v>
      </c>
      <c r="G33" s="36" t="s">
        <v>260</v>
      </c>
      <c r="H33" s="39" t="s">
        <v>107</v>
      </c>
      <c r="I33" s="36" t="s">
        <v>261</v>
      </c>
      <c r="J33" s="39" t="s">
        <v>109</v>
      </c>
      <c r="L33" s="20" t="n">
        <f aca="false">IF(J33="Sim",COUNTIF($J$14:J33,"Sim"),"")</f>
        <v>3</v>
      </c>
    </row>
    <row r="34" customFormat="false" ht="36" hidden="false" customHeight="true" outlineLevel="0" collapsed="false">
      <c r="B34" s="18" t="s">
        <v>135</v>
      </c>
      <c r="C34" s="36" t="s">
        <v>262</v>
      </c>
      <c r="D34" s="36"/>
      <c r="E34" s="36"/>
      <c r="F34" s="39" t="s">
        <v>255</v>
      </c>
      <c r="G34" s="36" t="s">
        <v>263</v>
      </c>
      <c r="H34" s="39" t="s">
        <v>241</v>
      </c>
      <c r="I34" s="36" t="s">
        <v>264</v>
      </c>
      <c r="J34" s="39" t="s">
        <v>243</v>
      </c>
      <c r="L34" s="20" t="str">
        <f aca="false">IF(J34="Sim",COUNTIF($J$14:J34,"Sim"),"")</f>
        <v/>
      </c>
    </row>
    <row r="35" customFormat="false" ht="36" hidden="true" customHeight="true" outlineLevel="0" collapsed="false">
      <c r="B35" s="18" t="s">
        <v>136</v>
      </c>
      <c r="C35" s="36"/>
      <c r="D35" s="36"/>
      <c r="E35" s="36"/>
      <c r="F35" s="39"/>
      <c r="G35" s="36"/>
      <c r="H35" s="39"/>
      <c r="I35" s="36"/>
      <c r="J35" s="39"/>
      <c r="L35" s="20" t="str">
        <f aca="false">IF(J35="Sim",COUNTIF($J$14:J35,"Sim"),"")</f>
        <v/>
      </c>
    </row>
    <row r="36" customFormat="false" ht="36" hidden="true" customHeight="true" outlineLevel="0" collapsed="false">
      <c r="B36" s="18" t="s">
        <v>137</v>
      </c>
      <c r="C36" s="36"/>
      <c r="D36" s="36"/>
      <c r="E36" s="36"/>
      <c r="F36" s="39"/>
      <c r="G36" s="36"/>
      <c r="H36" s="39"/>
      <c r="I36" s="36"/>
      <c r="J36" s="39"/>
      <c r="L36" s="20" t="str">
        <f aca="false">IF(J36="Sim",COUNTIF($J$14:J36,"Sim"),"")</f>
        <v/>
      </c>
    </row>
    <row r="37" customFormat="false" ht="36" hidden="true" customHeight="true" outlineLevel="0" collapsed="false">
      <c r="B37" s="18" t="s">
        <v>138</v>
      </c>
      <c r="C37" s="36"/>
      <c r="D37" s="36"/>
      <c r="E37" s="36"/>
      <c r="F37" s="39"/>
      <c r="G37" s="36"/>
      <c r="H37" s="39"/>
      <c r="I37" s="36"/>
      <c r="J37" s="39"/>
      <c r="L37" s="20" t="str">
        <f aca="false">IF(J37="Sim",COUNTIF($J$14:J37,"Sim"),"")</f>
        <v/>
      </c>
    </row>
    <row r="38" customFormat="false" ht="24" hidden="false" customHeight="true" outlineLevel="0" collapsed="false">
      <c r="B38" s="15" t="s">
        <v>139</v>
      </c>
      <c r="C38" s="38" t="s">
        <v>140</v>
      </c>
      <c r="D38" s="38"/>
      <c r="E38" s="38"/>
      <c r="F38" s="17" t="s">
        <v>23</v>
      </c>
      <c r="G38" s="17"/>
      <c r="H38" s="17"/>
      <c r="I38" s="17"/>
      <c r="J38" s="17"/>
    </row>
    <row r="39" customFormat="false" ht="36" hidden="false" customHeight="true" outlineLevel="0" collapsed="false">
      <c r="B39" s="18" t="s">
        <v>141</v>
      </c>
      <c r="C39" s="36" t="s">
        <v>265</v>
      </c>
      <c r="D39" s="36"/>
      <c r="E39" s="36" t="s">
        <v>266</v>
      </c>
      <c r="F39" s="39" t="s">
        <v>239</v>
      </c>
      <c r="G39" s="36" t="s">
        <v>267</v>
      </c>
      <c r="H39" s="39" t="s">
        <v>107</v>
      </c>
      <c r="I39" s="36" t="s">
        <v>268</v>
      </c>
      <c r="J39" s="39" t="s">
        <v>109</v>
      </c>
      <c r="L39" s="20" t="n">
        <f aca="false">IF(J39="Sim",COUNTIF($J$14:J39,"Sim"),"")</f>
        <v>4</v>
      </c>
    </row>
    <row r="40" customFormat="false" ht="36" hidden="false" customHeight="true" outlineLevel="0" collapsed="false">
      <c r="B40" s="18" t="s">
        <v>142</v>
      </c>
      <c r="C40" s="36" t="s">
        <v>269</v>
      </c>
      <c r="D40" s="36"/>
      <c r="E40" s="36"/>
      <c r="F40" s="39" t="s">
        <v>239</v>
      </c>
      <c r="G40" s="36" t="s">
        <v>270</v>
      </c>
      <c r="H40" s="39" t="s">
        <v>249</v>
      </c>
      <c r="I40" s="36"/>
      <c r="J40" s="39" t="s">
        <v>243</v>
      </c>
      <c r="L40" s="20" t="str">
        <f aca="false">IF(J40="Sim",COUNTIF($J$14:J40,"Sim"),"")</f>
        <v/>
      </c>
    </row>
    <row r="41" customFormat="false" ht="36" hidden="true" customHeight="true" outlineLevel="0" collapsed="false">
      <c r="B41" s="18" t="s">
        <v>143</v>
      </c>
      <c r="C41" s="36"/>
      <c r="D41" s="36"/>
      <c r="E41" s="36"/>
      <c r="F41" s="39"/>
      <c r="G41" s="36"/>
      <c r="H41" s="39"/>
      <c r="I41" s="36"/>
      <c r="J41" s="39"/>
      <c r="L41" s="20" t="str">
        <f aca="false">IF(J41="Sim",COUNTIF($J$14:J41,"Sim"),"")</f>
        <v/>
      </c>
    </row>
    <row r="42" customFormat="false" ht="36" hidden="true" customHeight="true" outlineLevel="0" collapsed="false">
      <c r="B42" s="18" t="s">
        <v>144</v>
      </c>
      <c r="C42" s="36"/>
      <c r="D42" s="36"/>
      <c r="E42" s="36"/>
      <c r="F42" s="39"/>
      <c r="G42" s="36"/>
      <c r="H42" s="39"/>
      <c r="I42" s="36"/>
      <c r="J42" s="39"/>
      <c r="L42" s="20" t="str">
        <f aca="false">IF(J42="Sim",COUNTIF($J$14:J42,"Sim"),"")</f>
        <v/>
      </c>
    </row>
    <row r="43" customFormat="false" ht="36" hidden="true" customHeight="true" outlineLevel="0" collapsed="false">
      <c r="B43" s="18" t="s">
        <v>145</v>
      </c>
      <c r="C43" s="36"/>
      <c r="D43" s="36"/>
      <c r="E43" s="36"/>
      <c r="F43" s="39"/>
      <c r="G43" s="36"/>
      <c r="H43" s="39"/>
      <c r="I43" s="36"/>
      <c r="J43" s="39"/>
      <c r="L43" s="20" t="str">
        <f aca="false">IF(J43="Sim",COUNTIF($J$14:J43,"Sim"),"")</f>
        <v/>
      </c>
    </row>
    <row r="44" customFormat="false" ht="24" hidden="false" customHeight="true" outlineLevel="0" collapsed="false">
      <c r="B44" s="15" t="s">
        <v>146</v>
      </c>
      <c r="C44" s="38" t="s">
        <v>147</v>
      </c>
      <c r="D44" s="38"/>
      <c r="E44" s="38"/>
      <c r="F44" s="17" t="s">
        <v>25</v>
      </c>
      <c r="G44" s="17"/>
      <c r="H44" s="17"/>
      <c r="I44" s="17"/>
      <c r="J44" s="17"/>
    </row>
    <row r="45" customFormat="false" ht="36" hidden="false" customHeight="true" outlineLevel="0" collapsed="false">
      <c r="B45" s="18" t="s">
        <v>148</v>
      </c>
      <c r="C45" s="36" t="s">
        <v>271</v>
      </c>
      <c r="D45" s="36"/>
      <c r="E45" s="36"/>
      <c r="F45" s="39" t="s">
        <v>239</v>
      </c>
      <c r="G45" s="36" t="s">
        <v>272</v>
      </c>
      <c r="H45" s="39" t="s">
        <v>241</v>
      </c>
      <c r="I45" s="36" t="s">
        <v>273</v>
      </c>
      <c r="J45" s="39" t="s">
        <v>243</v>
      </c>
      <c r="L45" s="20" t="str">
        <f aca="false">IF(J45="Sim",COUNTIF($J$14:J45,"Sim"),"")</f>
        <v/>
      </c>
    </row>
    <row r="46" customFormat="false" ht="36" hidden="false" customHeight="true" outlineLevel="0" collapsed="false">
      <c r="B46" s="18" t="s">
        <v>149</v>
      </c>
      <c r="C46" s="36" t="s">
        <v>274</v>
      </c>
      <c r="D46" s="36"/>
      <c r="E46" s="36"/>
      <c r="F46" s="39" t="s">
        <v>255</v>
      </c>
      <c r="G46" s="36" t="s">
        <v>275</v>
      </c>
      <c r="H46" s="39" t="s">
        <v>249</v>
      </c>
      <c r="I46" s="36"/>
      <c r="J46" s="39" t="s">
        <v>243</v>
      </c>
      <c r="L46" s="20" t="str">
        <f aca="false">IF(J46="Sim",COUNTIF($J$14:J46,"Sim"),"")</f>
        <v/>
      </c>
    </row>
    <row r="47" customFormat="false" ht="36" hidden="true" customHeight="true" outlineLevel="0" collapsed="false">
      <c r="B47" s="18" t="s">
        <v>150</v>
      </c>
      <c r="C47" s="36"/>
      <c r="D47" s="36"/>
      <c r="E47" s="36"/>
      <c r="F47" s="39"/>
      <c r="G47" s="36"/>
      <c r="H47" s="39"/>
      <c r="I47" s="36"/>
      <c r="J47" s="39"/>
      <c r="L47" s="20" t="str">
        <f aca="false">IF(J47="Sim",COUNTIF($J$14:J47,"Sim"),"")</f>
        <v/>
      </c>
    </row>
    <row r="48" customFormat="false" ht="36" hidden="true" customHeight="true" outlineLevel="0" collapsed="false">
      <c r="B48" s="18" t="s">
        <v>151</v>
      </c>
      <c r="C48" s="36"/>
      <c r="D48" s="36"/>
      <c r="E48" s="36"/>
      <c r="F48" s="39"/>
      <c r="G48" s="36"/>
      <c r="H48" s="39"/>
      <c r="I48" s="36"/>
      <c r="J48" s="39"/>
      <c r="L48" s="20" t="str">
        <f aca="false">IF(J48="Sim",COUNTIF($J$14:J48,"Sim"),"")</f>
        <v/>
      </c>
    </row>
    <row r="49" customFormat="false" ht="36" hidden="true" customHeight="true" outlineLevel="0" collapsed="false">
      <c r="B49" s="18" t="s">
        <v>152</v>
      </c>
      <c r="C49" s="36"/>
      <c r="D49" s="36"/>
      <c r="E49" s="36"/>
      <c r="F49" s="39"/>
      <c r="G49" s="36"/>
      <c r="H49" s="39"/>
      <c r="I49" s="36"/>
      <c r="J49" s="39"/>
      <c r="L49" s="20" t="str">
        <f aca="false">IF(J49="Sim",COUNTIF($J$14:J49,"Sim"),"")</f>
        <v/>
      </c>
    </row>
    <row r="51" customFormat="false" ht="21.75" hidden="false" customHeight="true" outlineLevel="0" collapsed="false">
      <c r="B51" s="21" t="s">
        <v>153</v>
      </c>
      <c r="C51" s="21"/>
      <c r="D51" s="21"/>
      <c r="E51" s="21"/>
      <c r="F51" s="21"/>
      <c r="G51" s="21"/>
      <c r="H51" s="21"/>
      <c r="I51" s="21"/>
      <c r="J51" s="21"/>
    </row>
    <row r="52" customFormat="false" ht="21.75" hidden="false" customHeight="true" outlineLevel="0" collapsed="false">
      <c r="B52" s="22" t="s">
        <v>154</v>
      </c>
      <c r="C52" s="22"/>
      <c r="D52" s="22"/>
      <c r="E52" s="22"/>
      <c r="F52" s="23" t="n">
        <f aca="false">COUNTA(C15:C19,C21:C25,C27:C31,C33:C37,C39:C43,C45:C49)</f>
        <v>12</v>
      </c>
      <c r="G52" s="23"/>
      <c r="H52" s="23"/>
      <c r="I52" s="23"/>
    </row>
    <row r="53" customFormat="false" ht="21.75" hidden="false" customHeight="true" outlineLevel="0" collapsed="false">
      <c r="B53" s="22" t="s">
        <v>155</v>
      </c>
      <c r="C53" s="22"/>
      <c r="D53" s="22"/>
      <c r="E53" s="22"/>
      <c r="F53" s="24" t="n">
        <f aca="false">(COUNTA(C15:C19)&gt;0)+(COUNTA(C21:C25)&gt;0)+(COUNTA(C27:C31)&gt;0)+(COUNTA(C33:C37)&gt;0)+(COUNTA(C39:C43)&gt;0)+(COUNTA(C45:C49)&gt;0)</f>
        <v>6</v>
      </c>
      <c r="G53" s="24"/>
      <c r="H53" s="24"/>
      <c r="I53" s="24"/>
    </row>
    <row r="54" customFormat="false" ht="21.75" hidden="false" customHeight="true" outlineLevel="0" collapsed="false">
      <c r="B54" s="22" t="s">
        <v>156</v>
      </c>
      <c r="C54" s="22"/>
      <c r="D54" s="22"/>
      <c r="E54" s="22"/>
      <c r="F54" s="23" t="n">
        <f aca="false">COUNTIF(H14:H49,"Confirmada")</f>
        <v>5</v>
      </c>
      <c r="G54" s="23"/>
      <c r="H54" s="23"/>
      <c r="I54" s="23"/>
    </row>
    <row r="55" customFormat="false" ht="21.75" hidden="false" customHeight="true" outlineLevel="0" collapsed="false">
      <c r="B55" s="22" t="s">
        <v>157</v>
      </c>
      <c r="C55" s="22"/>
      <c r="D55" s="22"/>
      <c r="E55" s="22"/>
      <c r="F55" s="23" t="n">
        <f aca="false">COUNTIF(H14:H49,"Descartada")</f>
        <v>4</v>
      </c>
      <c r="G55" s="23"/>
      <c r="H55" s="23"/>
      <c r="I55" s="23"/>
    </row>
    <row r="56" customFormat="false" ht="21.75" hidden="false" customHeight="true" outlineLevel="0" collapsed="false">
      <c r="B56" s="22" t="s">
        <v>158</v>
      </c>
      <c r="C56" s="22"/>
      <c r="D56" s="22"/>
      <c r="E56" s="22"/>
      <c r="F56" s="23" t="n">
        <f aca="false">F52-F54-F55</f>
        <v>3</v>
      </c>
      <c r="G56" s="23"/>
      <c r="H56" s="23"/>
      <c r="I56" s="23"/>
    </row>
    <row r="57" customFormat="false" ht="21.75" hidden="false" customHeight="true" outlineLevel="0" collapsed="false">
      <c r="B57" s="22" t="s">
        <v>159</v>
      </c>
      <c r="C57" s="22"/>
      <c r="D57" s="22"/>
      <c r="E57" s="22"/>
      <c r="F57" s="23" t="n">
        <f aca="false">COUNTIF(J14:J49,"Sim")</f>
        <v>4</v>
      </c>
      <c r="G57" s="23"/>
      <c r="H57" s="23"/>
      <c r="I57" s="23"/>
    </row>
    <row r="58" customFormat="false" ht="21.75" hidden="false" customHeight="true" outlineLevel="0" collapsed="false">
      <c r="B58" s="22" t="s">
        <v>160</v>
      </c>
      <c r="C58" s="22"/>
      <c r="D58" s="22"/>
      <c r="E58" s="22"/>
      <c r="F58" s="25" t="str">
        <f aca="false">IF(SUMPRODUCT(((H14:H49="Confirmada")+(H14:H49="Descartada"))*(I14:I49=""))&gt;0,"Há causa verificada sem evidência","OK")</f>
        <v>OK</v>
      </c>
      <c r="G58" s="25"/>
      <c r="H58" s="25"/>
      <c r="I58" s="25"/>
    </row>
    <row r="59" customFormat="false" ht="21.75" hidden="false" customHeight="true" outlineLevel="0" collapsed="false">
      <c r="B59" s="22" t="s">
        <v>161</v>
      </c>
      <c r="C59" s="22"/>
      <c r="D59" s="22"/>
      <c r="E59" s="22"/>
      <c r="F59" s="25" t="str">
        <f aca="false">IF(SUMPRODUCT((J14:J49="Sim")*(H14:H49&lt;&gt;"Confirmada"))&gt;0,"Há causa que segue para o plano sem estar confirmada",IF(SUMPRODUCT((F14:F49="Alta")*(H14:H49&lt;&gt;"Confirmada")*(H14:H49&lt;&gt;"Descartada"))&gt;0,"Há causa de alta probabilidade sem verificação","OK"))</f>
        <v>OK</v>
      </c>
      <c r="G59" s="25"/>
      <c r="H59" s="25"/>
      <c r="I59" s="25"/>
    </row>
    <row r="60" customFormat="false" ht="21.75" hidden="false" customHeight="true" outlineLevel="0" collapsed="false">
      <c r="B60" s="22" t="s">
        <v>162</v>
      </c>
      <c r="C60" s="22"/>
      <c r="D60" s="22"/>
      <c r="E60" s="22"/>
      <c r="F60" s="25" t="str">
        <f aca="false">IF(F52=0,"Liste as causas",IF(F53&lt;6,"Há categoria sem causa: confira se ela foi discutida","OK"))</f>
        <v>OK</v>
      </c>
      <c r="G60" s="25"/>
      <c r="H60" s="25"/>
      <c r="I60" s="25"/>
    </row>
    <row r="61" customFormat="false" ht="21.75" hidden="false" customHeight="true" outlineLevel="0" collapsed="false">
      <c r="B61" s="22" t="s">
        <v>163</v>
      </c>
      <c r="C61" s="22"/>
      <c r="D61" s="22"/>
      <c r="E61" s="22"/>
      <c r="F61" s="26" t="n">
        <f aca="false">COUNTA(D4,H4,D5,H5,D6,H6,D7,D8,H8,D9)</f>
        <v>10</v>
      </c>
      <c r="G61" s="26"/>
      <c r="H61" s="26"/>
      <c r="I61" s="26"/>
    </row>
    <row r="63" customFormat="false" ht="21.75" hidden="false" customHeight="true" outlineLevel="0" collapsed="false">
      <c r="B63" s="40" t="s">
        <v>276</v>
      </c>
      <c r="C63" s="40"/>
      <c r="D63" s="40"/>
      <c r="E63" s="40"/>
      <c r="F63" s="40"/>
      <c r="G63" s="40"/>
      <c r="H63" s="40"/>
      <c r="I63" s="40"/>
      <c r="J63" s="40"/>
    </row>
    <row r="64" customFormat="false" ht="21.75" hidden="false" customHeight="true" outlineLevel="0" collapsed="false">
      <c r="B64" s="23" t="s">
        <v>87</v>
      </c>
      <c r="C64" s="23" t="s">
        <v>172</v>
      </c>
      <c r="D64" s="23"/>
      <c r="E64" s="41" t="s">
        <v>277</v>
      </c>
      <c r="F64" s="41"/>
      <c r="G64" s="41"/>
      <c r="H64" s="41" t="s">
        <v>178</v>
      </c>
      <c r="I64" s="41"/>
      <c r="J64" s="41"/>
    </row>
    <row r="65" customFormat="false" ht="84" hidden="false" customHeight="true" outlineLevel="0" collapsed="false">
      <c r="B65" s="18" t="s">
        <v>120</v>
      </c>
      <c r="C65" s="7" t="s">
        <v>181</v>
      </c>
      <c r="D65" s="7"/>
      <c r="E65" s="7" t="s">
        <v>278</v>
      </c>
      <c r="F65" s="7"/>
      <c r="G65" s="7"/>
      <c r="H65" s="42" t="s">
        <v>279</v>
      </c>
      <c r="I65" s="42"/>
      <c r="J65" s="42"/>
    </row>
    <row r="66" customFormat="false" ht="66" hidden="false" customHeight="true" outlineLevel="0" collapsed="false">
      <c r="B66" s="18" t="s">
        <v>113</v>
      </c>
      <c r="C66" s="7" t="s">
        <v>103</v>
      </c>
      <c r="D66" s="7"/>
      <c r="E66" s="7" t="s">
        <v>280</v>
      </c>
      <c r="F66" s="7"/>
      <c r="G66" s="7"/>
      <c r="H66" s="42" t="s">
        <v>281</v>
      </c>
      <c r="I66" s="42"/>
      <c r="J66" s="42"/>
    </row>
  </sheetData>
  <mergeCells count="94">
    <mergeCell ref="B1:J1"/>
    <mergeCell ref="B2:J2"/>
    <mergeCell ref="B4:C4"/>
    <mergeCell ref="D4:F4"/>
    <mergeCell ref="H4:J4"/>
    <mergeCell ref="B5:C5"/>
    <mergeCell ref="D5:F5"/>
    <mergeCell ref="H5:J5"/>
    <mergeCell ref="B6:C6"/>
    <mergeCell ref="D6:F6"/>
    <mergeCell ref="H6:J6"/>
    <mergeCell ref="B7:C7"/>
    <mergeCell ref="D7:J7"/>
    <mergeCell ref="B8:C8"/>
    <mergeCell ref="D8:F8"/>
    <mergeCell ref="H8:J8"/>
    <mergeCell ref="B9:C9"/>
    <mergeCell ref="D9:J9"/>
    <mergeCell ref="C11:D11"/>
    <mergeCell ref="C12:D12"/>
    <mergeCell ref="B13:J13"/>
    <mergeCell ref="C14:E14"/>
    <mergeCell ref="F14:J14"/>
    <mergeCell ref="C15:D15"/>
    <mergeCell ref="C16:D16"/>
    <mergeCell ref="C17:D17"/>
    <mergeCell ref="C18:D18"/>
    <mergeCell ref="C19:D19"/>
    <mergeCell ref="C20:E20"/>
    <mergeCell ref="F20:J20"/>
    <mergeCell ref="C21:D21"/>
    <mergeCell ref="C22:D22"/>
    <mergeCell ref="C23:D23"/>
    <mergeCell ref="C24:D24"/>
    <mergeCell ref="C25:D25"/>
    <mergeCell ref="C26:E26"/>
    <mergeCell ref="F26:J26"/>
    <mergeCell ref="C27:D27"/>
    <mergeCell ref="C28:D28"/>
    <mergeCell ref="C29:D29"/>
    <mergeCell ref="C30:D30"/>
    <mergeCell ref="C31:D31"/>
    <mergeCell ref="C32:E32"/>
    <mergeCell ref="F32:J32"/>
    <mergeCell ref="C33:D33"/>
    <mergeCell ref="C34:D34"/>
    <mergeCell ref="C35:D35"/>
    <mergeCell ref="C36:D36"/>
    <mergeCell ref="C37:D37"/>
    <mergeCell ref="C38:E38"/>
    <mergeCell ref="F38:J38"/>
    <mergeCell ref="C39:D39"/>
    <mergeCell ref="C40:D40"/>
    <mergeCell ref="C41:D41"/>
    <mergeCell ref="C42:D42"/>
    <mergeCell ref="C43:D43"/>
    <mergeCell ref="C44:E44"/>
    <mergeCell ref="F44:J44"/>
    <mergeCell ref="C45:D45"/>
    <mergeCell ref="C46:D46"/>
    <mergeCell ref="C47:D47"/>
    <mergeCell ref="C48:D48"/>
    <mergeCell ref="C49:D49"/>
    <mergeCell ref="B51:J51"/>
    <mergeCell ref="B52:E52"/>
    <mergeCell ref="F52:I52"/>
    <mergeCell ref="B53:E53"/>
    <mergeCell ref="F53:I53"/>
    <mergeCell ref="B54:E54"/>
    <mergeCell ref="F54:I54"/>
    <mergeCell ref="B55:E55"/>
    <mergeCell ref="F55:I55"/>
    <mergeCell ref="B56:E56"/>
    <mergeCell ref="F56:I56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  <mergeCell ref="B63:J63"/>
    <mergeCell ref="C64:D64"/>
    <mergeCell ref="E64:G64"/>
    <mergeCell ref="H64:J64"/>
    <mergeCell ref="C65:D65"/>
    <mergeCell ref="E65:G65"/>
    <mergeCell ref="H65:J65"/>
    <mergeCell ref="C66:D66"/>
    <mergeCell ref="E66:G66"/>
    <mergeCell ref="H66:J66"/>
  </mergeCells>
  <conditionalFormatting sqref="H14:H49">
    <cfRule type="cellIs" priority="2" operator="equal" aboveAverage="0" equalAverage="0" bottom="0" percent="0" rank="0" text="" dxfId="0">
      <formula>"Confirmada"</formula>
    </cfRule>
    <cfRule type="cellIs" priority="3" operator="equal" aboveAverage="0" equalAverage="0" bottom="0" percent="0" rank="0" text="" dxfId="1">
      <formula>"Descartada"</formula>
    </cfRule>
    <cfRule type="cellIs" priority="4" operator="equal" aboveAverage="0" equalAverage="0" bottom="0" percent="0" rank="0" text="" dxfId="2">
      <formula>"Não verificada"</formula>
    </cfRule>
  </conditionalFormatting>
  <conditionalFormatting sqref="J14:J49">
    <cfRule type="cellIs" priority="5" operator="equal" aboveAverage="0" equalAverage="0" bottom="0" percent="0" rank="0" text="" dxfId="0">
      <formula>"Sim"</formula>
    </cfRule>
  </conditionalFormatting>
  <conditionalFormatting sqref="F14:F49">
    <cfRule type="cellIs" priority="6" operator="equal" aboveAverage="0" equalAverage="0" bottom="0" percent="0" rank="0" text="" dxfId="3">
      <formula>"Alta"</formula>
    </cfRule>
    <cfRule type="cellIs" priority="7" operator="equal" aboveAverage="0" equalAverage="0" bottom="0" percent="0" rank="0" text="" dxfId="2">
      <formula>"Média"</formula>
    </cfRule>
    <cfRule type="cellIs" priority="8" operator="equal" aboveAverage="0" equalAverage="0" bottom="0" percent="0" rank="0" text="" dxfId="0">
      <formula>"Baixa"</formula>
    </cfRule>
  </conditionalFormatting>
  <conditionalFormatting sqref="F58:I60">
    <cfRule type="cellIs" priority="9" operator="equal" aboveAverage="0" equalAverage="0" bottom="0" percent="0" rank="0" text="" dxfId="0">
      <formula>"OK"</formula>
    </cfRule>
    <cfRule type="cellIs" priority="10" operator="notEqual" aboveAverage="0" equalAverage="0" bottom="0" percent="0" rank="0" text="" dxfId="2">
      <formula>"OK"</formula>
    </cfRule>
  </conditionalFormatting>
  <dataValidations count="19">
    <dataValidation allowBlank="true" error="Digite uma data no formato dia/mês/ano." errorStyle="stop" errorTitle="Data inválida" operator="greaterThanOrEqual" showDropDown="false" showErrorMessage="true" showInputMessage="false" sqref="H5" type="date">
      <formula1>36526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15:F19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15:H19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15:J19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21:F25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21:H25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21:J25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27:F31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27:H31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27:J31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33:F37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33:H37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33:J37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39:F43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39:H43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39:J43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45:F49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45:H49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45:J49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0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"/>
    <col collapsed="false" customWidth="true" hidden="false" outlineLevel="0" max="12" min="12" style="0" width="8"/>
  </cols>
  <sheetData>
    <row r="1" customFormat="false" ht="31.5" hidden="false" customHeight="true" outlineLevel="0" collapsed="false">
      <c r="B1" s="1" t="s">
        <v>75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226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77</v>
      </c>
      <c r="C4" s="4"/>
      <c r="D4" s="36" t="s">
        <v>282</v>
      </c>
      <c r="E4" s="36"/>
      <c r="F4" s="36"/>
      <c r="G4" s="4" t="s">
        <v>78</v>
      </c>
      <c r="H4" s="36" t="s">
        <v>283</v>
      </c>
      <c r="I4" s="36"/>
      <c r="J4" s="36"/>
    </row>
    <row r="5" customFormat="false" ht="21.75" hidden="false" customHeight="true" outlineLevel="0" collapsed="false">
      <c r="B5" s="4" t="s">
        <v>79</v>
      </c>
      <c r="C5" s="4"/>
      <c r="D5" s="36" t="s">
        <v>284</v>
      </c>
      <c r="E5" s="36"/>
      <c r="F5" s="36"/>
      <c r="G5" s="4" t="s">
        <v>80</v>
      </c>
      <c r="H5" s="37" t="n">
        <v>46199</v>
      </c>
      <c r="I5" s="37"/>
      <c r="J5" s="37"/>
    </row>
    <row r="6" customFormat="false" ht="21.75" hidden="false" customHeight="true" outlineLevel="0" collapsed="false">
      <c r="B6" s="4" t="s">
        <v>81</v>
      </c>
      <c r="C6" s="4"/>
      <c r="D6" s="36" t="s">
        <v>285</v>
      </c>
      <c r="E6" s="36"/>
      <c r="F6" s="36"/>
      <c r="G6" s="4" t="s">
        <v>82</v>
      </c>
      <c r="H6" s="36" t="s">
        <v>231</v>
      </c>
      <c r="I6" s="36"/>
      <c r="J6" s="36"/>
    </row>
    <row r="7" customFormat="false" ht="30" hidden="false" customHeight="true" outlineLevel="0" collapsed="false">
      <c r="B7" s="4" t="s">
        <v>83</v>
      </c>
      <c r="C7" s="4"/>
      <c r="D7" s="36" t="s">
        <v>286</v>
      </c>
      <c r="E7" s="36"/>
      <c r="F7" s="36"/>
      <c r="G7" s="36"/>
      <c r="H7" s="36"/>
      <c r="I7" s="36"/>
      <c r="J7" s="36"/>
    </row>
    <row r="8" customFormat="false" ht="30" hidden="false" customHeight="true" outlineLevel="0" collapsed="false">
      <c r="B8" s="4" t="s">
        <v>84</v>
      </c>
      <c r="C8" s="4"/>
      <c r="D8" s="36" t="s">
        <v>287</v>
      </c>
      <c r="E8" s="36"/>
      <c r="F8" s="36"/>
      <c r="G8" s="4" t="s">
        <v>85</v>
      </c>
      <c r="H8" s="36" t="s">
        <v>288</v>
      </c>
      <c r="I8" s="36"/>
      <c r="J8" s="36"/>
    </row>
    <row r="9" customFormat="false" ht="30" hidden="false" customHeight="true" outlineLevel="0" collapsed="false">
      <c r="B9" s="4" t="s">
        <v>86</v>
      </c>
      <c r="C9" s="4"/>
      <c r="D9" s="36" t="s">
        <v>289</v>
      </c>
      <c r="E9" s="36"/>
      <c r="F9" s="36"/>
      <c r="G9" s="36"/>
      <c r="H9" s="36"/>
      <c r="I9" s="36"/>
      <c r="J9" s="36"/>
    </row>
    <row r="11" customFormat="false" ht="30" hidden="false" customHeight="true" outlineLevel="0" collapsed="false">
      <c r="B11" s="11" t="s">
        <v>87</v>
      </c>
      <c r="C11" s="11" t="s">
        <v>88</v>
      </c>
      <c r="D11" s="11"/>
      <c r="E11" s="11" t="s">
        <v>89</v>
      </c>
      <c r="F11" s="11" t="s">
        <v>90</v>
      </c>
      <c r="G11" s="11" t="s">
        <v>91</v>
      </c>
      <c r="H11" s="11" t="s">
        <v>92</v>
      </c>
      <c r="I11" s="11" t="s">
        <v>93</v>
      </c>
      <c r="J11" s="11" t="s">
        <v>94</v>
      </c>
    </row>
    <row r="12" customFormat="false" ht="30" hidden="false" customHeight="true" outlineLevel="0" collapsed="false">
      <c r="B12" s="12"/>
      <c r="C12" s="12" t="s">
        <v>95</v>
      </c>
      <c r="D12" s="12"/>
      <c r="E12" s="12" t="s">
        <v>96</v>
      </c>
      <c r="F12" s="12" t="s">
        <v>97</v>
      </c>
      <c r="G12" s="12" t="s">
        <v>98</v>
      </c>
      <c r="H12" s="12" t="s">
        <v>99</v>
      </c>
      <c r="I12" s="12" t="s">
        <v>100</v>
      </c>
      <c r="J12" s="12" t="s">
        <v>101</v>
      </c>
    </row>
    <row r="13" customFormat="false" ht="33" hidden="false" customHeight="true" outlineLevel="0" collapsed="false">
      <c r="B13" s="13" t="s">
        <v>236</v>
      </c>
      <c r="C13" s="13"/>
      <c r="D13" s="13"/>
      <c r="E13" s="13"/>
      <c r="F13" s="13"/>
      <c r="G13" s="13"/>
      <c r="H13" s="13"/>
      <c r="I13" s="13"/>
      <c r="J13" s="13"/>
      <c r="L13" s="14" t="s">
        <v>110</v>
      </c>
    </row>
    <row r="14" customFormat="false" ht="24" hidden="false" customHeight="true" outlineLevel="0" collapsed="false">
      <c r="B14" s="15" t="s">
        <v>111</v>
      </c>
      <c r="C14" s="38" t="s">
        <v>290</v>
      </c>
      <c r="D14" s="38"/>
      <c r="E14" s="38"/>
      <c r="F14" s="17" t="s">
        <v>15</v>
      </c>
      <c r="G14" s="17"/>
      <c r="H14" s="17"/>
      <c r="I14" s="17"/>
      <c r="J14" s="17"/>
    </row>
    <row r="15" customFormat="false" ht="36" hidden="false" customHeight="true" outlineLevel="0" collapsed="false">
      <c r="B15" s="18" t="s">
        <v>113</v>
      </c>
      <c r="C15" s="36" t="s">
        <v>291</v>
      </c>
      <c r="D15" s="36"/>
      <c r="E15" s="36" t="s">
        <v>292</v>
      </c>
      <c r="F15" s="39" t="s">
        <v>105</v>
      </c>
      <c r="G15" s="36" t="s">
        <v>293</v>
      </c>
      <c r="H15" s="39" t="s">
        <v>107</v>
      </c>
      <c r="I15" s="36" t="s">
        <v>294</v>
      </c>
      <c r="J15" s="39" t="s">
        <v>109</v>
      </c>
      <c r="L15" s="20" t="n">
        <f aca="false">IF(J15="Sim",COUNTIF($J$14:J15,"Sim"),"")</f>
        <v>1</v>
      </c>
    </row>
    <row r="16" customFormat="false" ht="36" hidden="false" customHeight="true" outlineLevel="0" collapsed="false">
      <c r="B16" s="18" t="s">
        <v>114</v>
      </c>
      <c r="C16" s="36" t="s">
        <v>295</v>
      </c>
      <c r="D16" s="36"/>
      <c r="E16" s="36"/>
      <c r="F16" s="39" t="s">
        <v>239</v>
      </c>
      <c r="G16" s="36" t="s">
        <v>296</v>
      </c>
      <c r="H16" s="39" t="s">
        <v>249</v>
      </c>
      <c r="I16" s="36"/>
      <c r="J16" s="39" t="s">
        <v>243</v>
      </c>
      <c r="L16" s="20" t="str">
        <f aca="false">IF(J16="Sim",COUNTIF($J$14:J16,"Sim"),"")</f>
        <v/>
      </c>
    </row>
    <row r="17" customFormat="false" ht="36" hidden="true" customHeight="true" outlineLevel="0" collapsed="false">
      <c r="B17" s="18" t="s">
        <v>115</v>
      </c>
      <c r="C17" s="36"/>
      <c r="D17" s="36"/>
      <c r="E17" s="36"/>
      <c r="F17" s="39"/>
      <c r="G17" s="36"/>
      <c r="H17" s="39"/>
      <c r="I17" s="36"/>
      <c r="J17" s="39"/>
      <c r="L17" s="20" t="str">
        <f aca="false">IF(J17="Sim",COUNTIF($J$14:J17,"Sim"),"")</f>
        <v/>
      </c>
    </row>
    <row r="18" customFormat="false" ht="36" hidden="true" customHeight="true" outlineLevel="0" collapsed="false">
      <c r="B18" s="18" t="s">
        <v>116</v>
      </c>
      <c r="C18" s="36"/>
      <c r="D18" s="36"/>
      <c r="E18" s="36"/>
      <c r="F18" s="39"/>
      <c r="G18" s="36"/>
      <c r="H18" s="39"/>
      <c r="I18" s="36"/>
      <c r="J18" s="39"/>
      <c r="L18" s="20" t="str">
        <f aca="false">IF(J18="Sim",COUNTIF($J$14:J18,"Sim"),"")</f>
        <v/>
      </c>
    </row>
    <row r="19" customFormat="false" ht="36" hidden="true" customHeight="true" outlineLevel="0" collapsed="false">
      <c r="B19" s="18" t="s">
        <v>117</v>
      </c>
      <c r="C19" s="36"/>
      <c r="D19" s="36"/>
      <c r="E19" s="36"/>
      <c r="F19" s="39"/>
      <c r="G19" s="36"/>
      <c r="H19" s="39"/>
      <c r="I19" s="36"/>
      <c r="J19" s="39"/>
      <c r="L19" s="20" t="str">
        <f aca="false">IF(J19="Sim",COUNTIF($J$14:J19,"Sim"),"")</f>
        <v/>
      </c>
    </row>
    <row r="20" customFormat="false" ht="24" hidden="false" customHeight="true" outlineLevel="0" collapsed="false">
      <c r="B20" s="15" t="s">
        <v>118</v>
      </c>
      <c r="C20" s="38" t="s">
        <v>297</v>
      </c>
      <c r="D20" s="38"/>
      <c r="E20" s="38"/>
      <c r="F20" s="17" t="s">
        <v>17</v>
      </c>
      <c r="G20" s="17"/>
      <c r="H20" s="17"/>
      <c r="I20" s="17"/>
      <c r="J20" s="17"/>
    </row>
    <row r="21" customFormat="false" ht="36" hidden="false" customHeight="true" outlineLevel="0" collapsed="false">
      <c r="B21" s="18" t="s">
        <v>120</v>
      </c>
      <c r="C21" s="36" t="s">
        <v>298</v>
      </c>
      <c r="D21" s="36"/>
      <c r="E21" s="36" t="s">
        <v>299</v>
      </c>
      <c r="F21" s="39" t="s">
        <v>105</v>
      </c>
      <c r="G21" s="36" t="s">
        <v>300</v>
      </c>
      <c r="H21" s="39" t="s">
        <v>107</v>
      </c>
      <c r="I21" s="36" t="s">
        <v>301</v>
      </c>
      <c r="J21" s="39" t="s">
        <v>109</v>
      </c>
      <c r="L21" s="20" t="n">
        <f aca="false">IF(J21="Sim",COUNTIF($J$14:J21,"Sim"),"")</f>
        <v>2</v>
      </c>
    </row>
    <row r="22" customFormat="false" ht="36" hidden="false" customHeight="true" outlineLevel="0" collapsed="false">
      <c r="B22" s="18" t="s">
        <v>121</v>
      </c>
      <c r="C22" s="36" t="s">
        <v>302</v>
      </c>
      <c r="D22" s="36"/>
      <c r="E22" s="36"/>
      <c r="F22" s="39" t="s">
        <v>255</v>
      </c>
      <c r="G22" s="36" t="s">
        <v>303</v>
      </c>
      <c r="H22" s="39" t="s">
        <v>241</v>
      </c>
      <c r="I22" s="36" t="s">
        <v>304</v>
      </c>
      <c r="J22" s="39" t="s">
        <v>243</v>
      </c>
      <c r="L22" s="20" t="str">
        <f aca="false">IF(J22="Sim",COUNTIF($J$14:J22,"Sim"),"")</f>
        <v/>
      </c>
    </row>
    <row r="23" customFormat="false" ht="36" hidden="true" customHeight="true" outlineLevel="0" collapsed="false">
      <c r="B23" s="18" t="s">
        <v>122</v>
      </c>
      <c r="C23" s="36"/>
      <c r="D23" s="36"/>
      <c r="E23" s="36"/>
      <c r="F23" s="39"/>
      <c r="G23" s="36"/>
      <c r="H23" s="39"/>
      <c r="I23" s="36"/>
      <c r="J23" s="39"/>
      <c r="L23" s="20" t="str">
        <f aca="false">IF(J23="Sim",COUNTIF($J$14:J23,"Sim"),"")</f>
        <v/>
      </c>
    </row>
    <row r="24" customFormat="false" ht="36" hidden="true" customHeight="true" outlineLevel="0" collapsed="false">
      <c r="B24" s="18" t="s">
        <v>123</v>
      </c>
      <c r="C24" s="36"/>
      <c r="D24" s="36"/>
      <c r="E24" s="36"/>
      <c r="F24" s="39"/>
      <c r="G24" s="36"/>
      <c r="H24" s="39"/>
      <c r="I24" s="36"/>
      <c r="J24" s="39"/>
      <c r="L24" s="20" t="str">
        <f aca="false">IF(J24="Sim",COUNTIF($J$14:J24,"Sim"),"")</f>
        <v/>
      </c>
    </row>
    <row r="25" customFormat="false" ht="36" hidden="true" customHeight="true" outlineLevel="0" collapsed="false">
      <c r="B25" s="18" t="s">
        <v>124</v>
      </c>
      <c r="C25" s="36"/>
      <c r="D25" s="36"/>
      <c r="E25" s="36"/>
      <c r="F25" s="39"/>
      <c r="G25" s="36"/>
      <c r="H25" s="39"/>
      <c r="I25" s="36"/>
      <c r="J25" s="39"/>
      <c r="L25" s="20" t="str">
        <f aca="false">IF(J25="Sim",COUNTIF($J$14:J25,"Sim"),"")</f>
        <v/>
      </c>
    </row>
    <row r="26" customFormat="false" ht="24" hidden="false" customHeight="true" outlineLevel="0" collapsed="false">
      <c r="B26" s="15" t="s">
        <v>125</v>
      </c>
      <c r="C26" s="38" t="s">
        <v>305</v>
      </c>
      <c r="D26" s="38"/>
      <c r="E26" s="38"/>
      <c r="F26" s="17" t="s">
        <v>19</v>
      </c>
      <c r="G26" s="17"/>
      <c r="H26" s="17"/>
      <c r="I26" s="17"/>
      <c r="J26" s="17"/>
    </row>
    <row r="27" customFormat="false" ht="36" hidden="false" customHeight="true" outlineLevel="0" collapsed="false">
      <c r="B27" s="18" t="s">
        <v>127</v>
      </c>
      <c r="C27" s="36" t="s">
        <v>306</v>
      </c>
      <c r="D27" s="36"/>
      <c r="E27" s="36" t="s">
        <v>307</v>
      </c>
      <c r="F27" s="39" t="s">
        <v>105</v>
      </c>
      <c r="G27" s="36" t="s">
        <v>308</v>
      </c>
      <c r="H27" s="39" t="s">
        <v>107</v>
      </c>
      <c r="I27" s="36" t="s">
        <v>309</v>
      </c>
      <c r="J27" s="39" t="s">
        <v>109</v>
      </c>
      <c r="L27" s="20" t="n">
        <f aca="false">IF(J27="Sim",COUNTIF($J$14:J27,"Sim"),"")</f>
        <v>3</v>
      </c>
    </row>
    <row r="28" customFormat="false" ht="36" hidden="false" customHeight="true" outlineLevel="0" collapsed="false">
      <c r="B28" s="18" t="s">
        <v>128</v>
      </c>
      <c r="C28" s="36" t="s">
        <v>310</v>
      </c>
      <c r="D28" s="36"/>
      <c r="E28" s="36"/>
      <c r="F28" s="39" t="s">
        <v>255</v>
      </c>
      <c r="G28" s="36" t="s">
        <v>311</v>
      </c>
      <c r="H28" s="39" t="s">
        <v>241</v>
      </c>
      <c r="I28" s="36" t="s">
        <v>312</v>
      </c>
      <c r="J28" s="39" t="s">
        <v>243</v>
      </c>
      <c r="L28" s="20" t="str">
        <f aca="false">IF(J28="Sim",COUNTIF($J$14:J28,"Sim"),"")</f>
        <v/>
      </c>
    </row>
    <row r="29" customFormat="false" ht="36" hidden="true" customHeight="true" outlineLevel="0" collapsed="false">
      <c r="B29" s="18" t="s">
        <v>129</v>
      </c>
      <c r="C29" s="36"/>
      <c r="D29" s="36"/>
      <c r="E29" s="36"/>
      <c r="F29" s="39"/>
      <c r="G29" s="36"/>
      <c r="H29" s="39"/>
      <c r="I29" s="36"/>
      <c r="J29" s="39"/>
      <c r="L29" s="20" t="str">
        <f aca="false">IF(J29="Sim",COUNTIF($J$14:J29,"Sim"),"")</f>
        <v/>
      </c>
    </row>
    <row r="30" customFormat="false" ht="36" hidden="true" customHeight="true" outlineLevel="0" collapsed="false">
      <c r="B30" s="18" t="s">
        <v>130</v>
      </c>
      <c r="C30" s="36"/>
      <c r="D30" s="36"/>
      <c r="E30" s="36"/>
      <c r="F30" s="39"/>
      <c r="G30" s="36"/>
      <c r="H30" s="39"/>
      <c r="I30" s="36"/>
      <c r="J30" s="39"/>
      <c r="L30" s="20" t="str">
        <f aca="false">IF(J30="Sim",COUNTIF($J$14:J30,"Sim"),"")</f>
        <v/>
      </c>
    </row>
    <row r="31" customFormat="false" ht="36" hidden="true" customHeight="true" outlineLevel="0" collapsed="false">
      <c r="B31" s="18" t="s">
        <v>131</v>
      </c>
      <c r="C31" s="36"/>
      <c r="D31" s="36"/>
      <c r="E31" s="36"/>
      <c r="F31" s="39"/>
      <c r="G31" s="36"/>
      <c r="H31" s="39"/>
      <c r="I31" s="36"/>
      <c r="J31" s="39"/>
      <c r="L31" s="20" t="str">
        <f aca="false">IF(J31="Sim",COUNTIF($J$14:J31,"Sim"),"")</f>
        <v/>
      </c>
    </row>
    <row r="32" customFormat="false" ht="24" hidden="false" customHeight="true" outlineLevel="0" collapsed="false">
      <c r="B32" s="15" t="s">
        <v>132</v>
      </c>
      <c r="C32" s="38" t="s">
        <v>313</v>
      </c>
      <c r="D32" s="38"/>
      <c r="E32" s="38"/>
      <c r="F32" s="17" t="s">
        <v>21</v>
      </c>
      <c r="G32" s="17"/>
      <c r="H32" s="17"/>
      <c r="I32" s="17"/>
      <c r="J32" s="17"/>
    </row>
    <row r="33" customFormat="false" ht="36" hidden="false" customHeight="true" outlineLevel="0" collapsed="false">
      <c r="B33" s="18" t="s">
        <v>134</v>
      </c>
      <c r="C33" s="36" t="s">
        <v>314</v>
      </c>
      <c r="D33" s="36"/>
      <c r="E33" s="36"/>
      <c r="F33" s="39" t="s">
        <v>239</v>
      </c>
      <c r="G33" s="36" t="s">
        <v>315</v>
      </c>
      <c r="H33" s="39" t="s">
        <v>249</v>
      </c>
      <c r="I33" s="36"/>
      <c r="J33" s="39" t="s">
        <v>243</v>
      </c>
      <c r="L33" s="20" t="str">
        <f aca="false">IF(J33="Sim",COUNTIF($J$14:J33,"Sim"),"")</f>
        <v/>
      </c>
    </row>
    <row r="34" customFormat="false" ht="36" hidden="false" customHeight="true" outlineLevel="0" collapsed="false">
      <c r="B34" s="18" t="s">
        <v>135</v>
      </c>
      <c r="C34" s="36" t="s">
        <v>316</v>
      </c>
      <c r="D34" s="36"/>
      <c r="E34" s="36" t="s">
        <v>317</v>
      </c>
      <c r="F34" s="39" t="s">
        <v>239</v>
      </c>
      <c r="G34" s="36" t="s">
        <v>318</v>
      </c>
      <c r="H34" s="39" t="s">
        <v>107</v>
      </c>
      <c r="I34" s="36" t="s">
        <v>319</v>
      </c>
      <c r="J34" s="39" t="s">
        <v>243</v>
      </c>
      <c r="L34" s="20" t="str">
        <f aca="false">IF(J34="Sim",COUNTIF($J$14:J34,"Sim"),"")</f>
        <v/>
      </c>
    </row>
    <row r="35" customFormat="false" ht="36" hidden="true" customHeight="true" outlineLevel="0" collapsed="false">
      <c r="B35" s="18" t="s">
        <v>136</v>
      </c>
      <c r="C35" s="36"/>
      <c r="D35" s="36"/>
      <c r="E35" s="36"/>
      <c r="F35" s="39"/>
      <c r="G35" s="36"/>
      <c r="H35" s="39"/>
      <c r="I35" s="36"/>
      <c r="J35" s="39"/>
      <c r="L35" s="20" t="str">
        <f aca="false">IF(J35="Sim",COUNTIF($J$14:J35,"Sim"),"")</f>
        <v/>
      </c>
    </row>
    <row r="36" customFormat="false" ht="36" hidden="true" customHeight="true" outlineLevel="0" collapsed="false">
      <c r="B36" s="18" t="s">
        <v>137</v>
      </c>
      <c r="C36" s="36"/>
      <c r="D36" s="36"/>
      <c r="E36" s="36"/>
      <c r="F36" s="39"/>
      <c r="G36" s="36"/>
      <c r="H36" s="39"/>
      <c r="I36" s="36"/>
      <c r="J36" s="39"/>
      <c r="L36" s="20" t="str">
        <f aca="false">IF(J36="Sim",COUNTIF($J$14:J36,"Sim"),"")</f>
        <v/>
      </c>
    </row>
    <row r="37" customFormat="false" ht="36" hidden="true" customHeight="true" outlineLevel="0" collapsed="false">
      <c r="B37" s="18" t="s">
        <v>138</v>
      </c>
      <c r="C37" s="36"/>
      <c r="D37" s="36"/>
      <c r="E37" s="36"/>
      <c r="F37" s="39"/>
      <c r="G37" s="36"/>
      <c r="H37" s="39"/>
      <c r="I37" s="36"/>
      <c r="J37" s="39"/>
      <c r="L37" s="20" t="str">
        <f aca="false">IF(J37="Sim",COUNTIF($J$14:J37,"Sim"),"")</f>
        <v/>
      </c>
    </row>
    <row r="38" customFormat="false" ht="24" hidden="false" customHeight="true" outlineLevel="0" collapsed="false">
      <c r="B38" s="15" t="s">
        <v>139</v>
      </c>
      <c r="C38" s="38" t="s">
        <v>320</v>
      </c>
      <c r="D38" s="38"/>
      <c r="E38" s="38"/>
      <c r="F38" s="17" t="s">
        <v>23</v>
      </c>
      <c r="G38" s="17"/>
      <c r="H38" s="17"/>
      <c r="I38" s="17"/>
      <c r="J38" s="17"/>
    </row>
    <row r="39" customFormat="false" ht="36" hidden="false" customHeight="true" outlineLevel="0" collapsed="false">
      <c r="B39" s="18" t="s">
        <v>141</v>
      </c>
      <c r="C39" s="36" t="s">
        <v>321</v>
      </c>
      <c r="D39" s="36"/>
      <c r="E39" s="36" t="s">
        <v>322</v>
      </c>
      <c r="F39" s="39" t="s">
        <v>239</v>
      </c>
      <c r="G39" s="36" t="s">
        <v>323</v>
      </c>
      <c r="H39" s="39" t="s">
        <v>107</v>
      </c>
      <c r="I39" s="36" t="s">
        <v>324</v>
      </c>
      <c r="J39" s="39" t="s">
        <v>109</v>
      </c>
      <c r="L39" s="20" t="n">
        <f aca="false">IF(J39="Sim",COUNTIF($J$14:J39,"Sim"),"")</f>
        <v>4</v>
      </c>
    </row>
    <row r="40" customFormat="false" ht="36" hidden="true" customHeight="true" outlineLevel="0" collapsed="false">
      <c r="B40" s="18" t="s">
        <v>142</v>
      </c>
      <c r="C40" s="36"/>
      <c r="D40" s="36"/>
      <c r="E40" s="36"/>
      <c r="F40" s="39"/>
      <c r="G40" s="36"/>
      <c r="H40" s="39"/>
      <c r="I40" s="36"/>
      <c r="J40" s="39"/>
      <c r="L40" s="20" t="str">
        <f aca="false">IF(J40="Sim",COUNTIF($J$14:J40,"Sim"),"")</f>
        <v/>
      </c>
    </row>
    <row r="41" customFormat="false" ht="36" hidden="true" customHeight="true" outlineLevel="0" collapsed="false">
      <c r="B41" s="18" t="s">
        <v>143</v>
      </c>
      <c r="C41" s="36"/>
      <c r="D41" s="36"/>
      <c r="E41" s="36"/>
      <c r="F41" s="39"/>
      <c r="G41" s="36"/>
      <c r="H41" s="39"/>
      <c r="I41" s="36"/>
      <c r="J41" s="39"/>
      <c r="L41" s="20" t="str">
        <f aca="false">IF(J41="Sim",COUNTIF($J$14:J41,"Sim"),"")</f>
        <v/>
      </c>
    </row>
    <row r="42" customFormat="false" ht="36" hidden="true" customHeight="true" outlineLevel="0" collapsed="false">
      <c r="B42" s="18" t="s">
        <v>144</v>
      </c>
      <c r="C42" s="36"/>
      <c r="D42" s="36"/>
      <c r="E42" s="36"/>
      <c r="F42" s="39"/>
      <c r="G42" s="36"/>
      <c r="H42" s="39"/>
      <c r="I42" s="36"/>
      <c r="J42" s="39"/>
      <c r="L42" s="20" t="str">
        <f aca="false">IF(J42="Sim",COUNTIF($J$14:J42,"Sim"),"")</f>
        <v/>
      </c>
    </row>
    <row r="43" customFormat="false" ht="36" hidden="true" customHeight="true" outlineLevel="0" collapsed="false">
      <c r="B43" s="18" t="s">
        <v>145</v>
      </c>
      <c r="C43" s="36"/>
      <c r="D43" s="36"/>
      <c r="E43" s="36"/>
      <c r="F43" s="39"/>
      <c r="G43" s="36"/>
      <c r="H43" s="39"/>
      <c r="I43" s="36"/>
      <c r="J43" s="39"/>
      <c r="L43" s="20" t="str">
        <f aca="false">IF(J43="Sim",COUNTIF($J$14:J43,"Sim"),"")</f>
        <v/>
      </c>
    </row>
    <row r="44" customFormat="false" ht="24" hidden="false" customHeight="true" outlineLevel="0" collapsed="false">
      <c r="B44" s="15" t="s">
        <v>146</v>
      </c>
      <c r="C44" s="38" t="s">
        <v>325</v>
      </c>
      <c r="D44" s="38"/>
      <c r="E44" s="38"/>
      <c r="F44" s="17" t="s">
        <v>326</v>
      </c>
      <c r="G44" s="17"/>
      <c r="H44" s="17"/>
      <c r="I44" s="17"/>
      <c r="J44" s="17"/>
    </row>
    <row r="45" customFormat="false" ht="36" hidden="true" customHeight="true" outlineLevel="0" collapsed="false">
      <c r="B45" s="18" t="s">
        <v>148</v>
      </c>
      <c r="C45" s="36"/>
      <c r="D45" s="36"/>
      <c r="E45" s="36"/>
      <c r="F45" s="39"/>
      <c r="G45" s="36"/>
      <c r="H45" s="39"/>
      <c r="I45" s="36"/>
      <c r="J45" s="39"/>
      <c r="L45" s="20" t="str">
        <f aca="false">IF(J45="Sim",COUNTIF($J$14:J45,"Sim"),"")</f>
        <v/>
      </c>
    </row>
    <row r="46" customFormat="false" ht="36" hidden="true" customHeight="true" outlineLevel="0" collapsed="false">
      <c r="B46" s="18" t="s">
        <v>149</v>
      </c>
      <c r="C46" s="36"/>
      <c r="D46" s="36"/>
      <c r="E46" s="36"/>
      <c r="F46" s="39"/>
      <c r="G46" s="36"/>
      <c r="H46" s="39"/>
      <c r="I46" s="36"/>
      <c r="J46" s="39"/>
      <c r="L46" s="20" t="str">
        <f aca="false">IF(J46="Sim",COUNTIF($J$14:J46,"Sim"),"")</f>
        <v/>
      </c>
    </row>
    <row r="47" customFormat="false" ht="36" hidden="true" customHeight="true" outlineLevel="0" collapsed="false">
      <c r="B47" s="18" t="s">
        <v>150</v>
      </c>
      <c r="C47" s="36"/>
      <c r="D47" s="36"/>
      <c r="E47" s="36"/>
      <c r="F47" s="39"/>
      <c r="G47" s="36"/>
      <c r="H47" s="39"/>
      <c r="I47" s="36"/>
      <c r="J47" s="39"/>
      <c r="L47" s="20" t="str">
        <f aca="false">IF(J47="Sim",COUNTIF($J$14:J47,"Sim"),"")</f>
        <v/>
      </c>
    </row>
    <row r="48" customFormat="false" ht="36" hidden="true" customHeight="true" outlineLevel="0" collapsed="false">
      <c r="B48" s="18" t="s">
        <v>151</v>
      </c>
      <c r="C48" s="36"/>
      <c r="D48" s="36"/>
      <c r="E48" s="36"/>
      <c r="F48" s="39"/>
      <c r="G48" s="36"/>
      <c r="H48" s="39"/>
      <c r="I48" s="36"/>
      <c r="J48" s="39"/>
      <c r="L48" s="20" t="str">
        <f aca="false">IF(J48="Sim",COUNTIF($J$14:J48,"Sim"),"")</f>
        <v/>
      </c>
    </row>
    <row r="49" customFormat="false" ht="36" hidden="true" customHeight="true" outlineLevel="0" collapsed="false">
      <c r="B49" s="18" t="s">
        <v>152</v>
      </c>
      <c r="C49" s="36"/>
      <c r="D49" s="36"/>
      <c r="E49" s="36"/>
      <c r="F49" s="39"/>
      <c r="G49" s="36"/>
      <c r="H49" s="39"/>
      <c r="I49" s="36"/>
      <c r="J49" s="39"/>
      <c r="L49" s="20" t="str">
        <f aca="false">IF(J49="Sim",COUNTIF($J$14:J49,"Sim"),"")</f>
        <v/>
      </c>
    </row>
    <row r="51" customFormat="false" ht="21.75" hidden="false" customHeight="true" outlineLevel="0" collapsed="false">
      <c r="B51" s="21" t="s">
        <v>153</v>
      </c>
      <c r="C51" s="21"/>
      <c r="D51" s="21"/>
      <c r="E51" s="21"/>
      <c r="F51" s="21"/>
      <c r="G51" s="21"/>
      <c r="H51" s="21"/>
      <c r="I51" s="21"/>
      <c r="J51" s="21"/>
    </row>
    <row r="52" customFormat="false" ht="21.75" hidden="false" customHeight="true" outlineLevel="0" collapsed="false">
      <c r="B52" s="22" t="s">
        <v>154</v>
      </c>
      <c r="C52" s="22"/>
      <c r="D52" s="22"/>
      <c r="E52" s="22"/>
      <c r="F52" s="23" t="n">
        <f aca="false">COUNTA(C15:C19,C21:C25,C27:C31,C33:C37,C39:C43,C45:C49)</f>
        <v>9</v>
      </c>
      <c r="G52" s="23"/>
      <c r="H52" s="23"/>
      <c r="I52" s="23"/>
    </row>
    <row r="53" customFormat="false" ht="21.75" hidden="false" customHeight="true" outlineLevel="0" collapsed="false">
      <c r="B53" s="22" t="s">
        <v>155</v>
      </c>
      <c r="C53" s="22"/>
      <c r="D53" s="22"/>
      <c r="E53" s="22"/>
      <c r="F53" s="24" t="n">
        <f aca="false">(COUNTA(C15:C19)&gt;0)+(COUNTA(C21:C25)&gt;0)+(COUNTA(C27:C31)&gt;0)+(COUNTA(C33:C37)&gt;0)+(COUNTA(C39:C43)&gt;0)+(COUNTA(C45:C49)&gt;0)</f>
        <v>5</v>
      </c>
      <c r="G53" s="24"/>
      <c r="H53" s="24"/>
      <c r="I53" s="24"/>
    </row>
    <row r="54" customFormat="false" ht="21.75" hidden="false" customHeight="true" outlineLevel="0" collapsed="false">
      <c r="B54" s="22" t="s">
        <v>156</v>
      </c>
      <c r="C54" s="22"/>
      <c r="D54" s="22"/>
      <c r="E54" s="22"/>
      <c r="F54" s="23" t="n">
        <f aca="false">COUNTIF(H14:H49,"Confirmada")</f>
        <v>5</v>
      </c>
      <c r="G54" s="23"/>
      <c r="H54" s="23"/>
      <c r="I54" s="23"/>
    </row>
    <row r="55" customFormat="false" ht="21.75" hidden="false" customHeight="true" outlineLevel="0" collapsed="false">
      <c r="B55" s="22" t="s">
        <v>157</v>
      </c>
      <c r="C55" s="22"/>
      <c r="D55" s="22"/>
      <c r="E55" s="22"/>
      <c r="F55" s="23" t="n">
        <f aca="false">COUNTIF(H14:H49,"Descartada")</f>
        <v>2</v>
      </c>
      <c r="G55" s="23"/>
      <c r="H55" s="23"/>
      <c r="I55" s="23"/>
    </row>
    <row r="56" customFormat="false" ht="21.75" hidden="false" customHeight="true" outlineLevel="0" collapsed="false">
      <c r="B56" s="22" t="s">
        <v>158</v>
      </c>
      <c r="C56" s="22"/>
      <c r="D56" s="22"/>
      <c r="E56" s="22"/>
      <c r="F56" s="23" t="n">
        <f aca="false">F52-F54-F55</f>
        <v>2</v>
      </c>
      <c r="G56" s="23"/>
      <c r="H56" s="23"/>
      <c r="I56" s="23"/>
    </row>
    <row r="57" customFormat="false" ht="21.75" hidden="false" customHeight="true" outlineLevel="0" collapsed="false">
      <c r="B57" s="22" t="s">
        <v>159</v>
      </c>
      <c r="C57" s="22"/>
      <c r="D57" s="22"/>
      <c r="E57" s="22"/>
      <c r="F57" s="23" t="n">
        <f aca="false">COUNTIF(J14:J49,"Sim")</f>
        <v>4</v>
      </c>
      <c r="G57" s="23"/>
      <c r="H57" s="23"/>
      <c r="I57" s="23"/>
    </row>
    <row r="58" customFormat="false" ht="21.75" hidden="false" customHeight="true" outlineLevel="0" collapsed="false">
      <c r="B58" s="22" t="s">
        <v>160</v>
      </c>
      <c r="C58" s="22"/>
      <c r="D58" s="22"/>
      <c r="E58" s="22"/>
      <c r="F58" s="25" t="str">
        <f aca="false">IF(SUMPRODUCT(((H14:H49="Confirmada")+(H14:H49="Descartada"))*(I14:I49=""))&gt;0,"Há causa verificada sem evidência","OK")</f>
        <v>OK</v>
      </c>
      <c r="G58" s="25"/>
      <c r="H58" s="25"/>
      <c r="I58" s="25"/>
    </row>
    <row r="59" customFormat="false" ht="21.75" hidden="false" customHeight="true" outlineLevel="0" collapsed="false">
      <c r="B59" s="22" t="s">
        <v>161</v>
      </c>
      <c r="C59" s="22"/>
      <c r="D59" s="22"/>
      <c r="E59" s="22"/>
      <c r="F59" s="25" t="str">
        <f aca="false">IF(SUMPRODUCT((J14:J49="Sim")*(H14:H49&lt;&gt;"Confirmada"))&gt;0,"Há causa que segue para o plano sem estar confirmada",IF(SUMPRODUCT((F14:F49="Alta")*(H14:H49&lt;&gt;"Confirmada")*(H14:H49&lt;&gt;"Descartada"))&gt;0,"Há causa de alta probabilidade sem verificação","OK"))</f>
        <v>OK</v>
      </c>
      <c r="G59" s="25"/>
      <c r="H59" s="25"/>
      <c r="I59" s="25"/>
    </row>
    <row r="60" customFormat="false" ht="21.75" hidden="false" customHeight="true" outlineLevel="0" collapsed="false">
      <c r="B60" s="22" t="s">
        <v>162</v>
      </c>
      <c r="C60" s="22"/>
      <c r="D60" s="22"/>
      <c r="E60" s="22"/>
      <c r="F60" s="25" t="str">
        <f aca="false">IF(F52=0,"Liste as causas",IF(F53&lt;6,"Há categoria sem causa: confira se ela foi discutida","OK"))</f>
        <v>Há categoria sem causa: confira se ela foi discutida</v>
      </c>
      <c r="G60" s="25"/>
      <c r="H60" s="25"/>
      <c r="I60" s="25"/>
    </row>
    <row r="61" customFormat="false" ht="21.75" hidden="false" customHeight="true" outlineLevel="0" collapsed="false">
      <c r="B61" s="22" t="s">
        <v>163</v>
      </c>
      <c r="C61" s="22"/>
      <c r="D61" s="22"/>
      <c r="E61" s="22"/>
      <c r="F61" s="26" t="n">
        <f aca="false">COUNTA(D4,H4,D5,H5,D6,H6,D7,D8,H8,D9)</f>
        <v>10</v>
      </c>
      <c r="G61" s="26"/>
      <c r="H61" s="26"/>
      <c r="I61" s="26"/>
    </row>
    <row r="63" customFormat="false" ht="21.75" hidden="false" customHeight="true" outlineLevel="0" collapsed="false">
      <c r="B63" s="40" t="s">
        <v>276</v>
      </c>
      <c r="C63" s="40"/>
      <c r="D63" s="40"/>
      <c r="E63" s="40"/>
      <c r="F63" s="40"/>
      <c r="G63" s="40"/>
      <c r="H63" s="40"/>
      <c r="I63" s="40"/>
      <c r="J63" s="40"/>
    </row>
    <row r="64" customFormat="false" ht="21.75" hidden="false" customHeight="true" outlineLevel="0" collapsed="false">
      <c r="B64" s="23" t="s">
        <v>87</v>
      </c>
      <c r="C64" s="23" t="s">
        <v>172</v>
      </c>
      <c r="D64" s="23"/>
      <c r="E64" s="41" t="s">
        <v>277</v>
      </c>
      <c r="F64" s="41"/>
      <c r="G64" s="41"/>
      <c r="H64" s="41" t="s">
        <v>178</v>
      </c>
      <c r="I64" s="41"/>
      <c r="J64" s="41"/>
    </row>
    <row r="65" customFormat="false" ht="66" hidden="false" customHeight="true" outlineLevel="0" collapsed="false">
      <c r="B65" s="18" t="s">
        <v>113</v>
      </c>
      <c r="C65" s="7" t="s">
        <v>291</v>
      </c>
      <c r="D65" s="7"/>
      <c r="E65" s="7" t="s">
        <v>327</v>
      </c>
      <c r="F65" s="7"/>
      <c r="G65" s="7"/>
      <c r="H65" s="42" t="s">
        <v>328</v>
      </c>
      <c r="I65" s="42"/>
      <c r="J65" s="42"/>
    </row>
    <row r="66" customFormat="false" ht="66" hidden="false" customHeight="true" outlineLevel="0" collapsed="false">
      <c r="B66" s="18" t="s">
        <v>127</v>
      </c>
      <c r="C66" s="7" t="s">
        <v>306</v>
      </c>
      <c r="D66" s="7"/>
      <c r="E66" s="7" t="s">
        <v>329</v>
      </c>
      <c r="F66" s="7"/>
      <c r="G66" s="7"/>
      <c r="H66" s="42" t="s">
        <v>330</v>
      </c>
      <c r="I66" s="42"/>
      <c r="J66" s="42"/>
    </row>
  </sheetData>
  <mergeCells count="94">
    <mergeCell ref="B1:J1"/>
    <mergeCell ref="B2:J2"/>
    <mergeCell ref="B4:C4"/>
    <mergeCell ref="D4:F4"/>
    <mergeCell ref="H4:J4"/>
    <mergeCell ref="B5:C5"/>
    <mergeCell ref="D5:F5"/>
    <mergeCell ref="H5:J5"/>
    <mergeCell ref="B6:C6"/>
    <mergeCell ref="D6:F6"/>
    <mergeCell ref="H6:J6"/>
    <mergeCell ref="B7:C7"/>
    <mergeCell ref="D7:J7"/>
    <mergeCell ref="B8:C8"/>
    <mergeCell ref="D8:F8"/>
    <mergeCell ref="H8:J8"/>
    <mergeCell ref="B9:C9"/>
    <mergeCell ref="D9:J9"/>
    <mergeCell ref="C11:D11"/>
    <mergeCell ref="C12:D12"/>
    <mergeCell ref="B13:J13"/>
    <mergeCell ref="C14:E14"/>
    <mergeCell ref="F14:J14"/>
    <mergeCell ref="C15:D15"/>
    <mergeCell ref="C16:D16"/>
    <mergeCell ref="C17:D17"/>
    <mergeCell ref="C18:D18"/>
    <mergeCell ref="C19:D19"/>
    <mergeCell ref="C20:E20"/>
    <mergeCell ref="F20:J20"/>
    <mergeCell ref="C21:D21"/>
    <mergeCell ref="C22:D22"/>
    <mergeCell ref="C23:D23"/>
    <mergeCell ref="C24:D24"/>
    <mergeCell ref="C25:D25"/>
    <mergeCell ref="C26:E26"/>
    <mergeCell ref="F26:J26"/>
    <mergeCell ref="C27:D27"/>
    <mergeCell ref="C28:D28"/>
    <mergeCell ref="C29:D29"/>
    <mergeCell ref="C30:D30"/>
    <mergeCell ref="C31:D31"/>
    <mergeCell ref="C32:E32"/>
    <mergeCell ref="F32:J32"/>
    <mergeCell ref="C33:D33"/>
    <mergeCell ref="C34:D34"/>
    <mergeCell ref="C35:D35"/>
    <mergeCell ref="C36:D36"/>
    <mergeCell ref="C37:D37"/>
    <mergeCell ref="C38:E38"/>
    <mergeCell ref="F38:J38"/>
    <mergeCell ref="C39:D39"/>
    <mergeCell ref="C40:D40"/>
    <mergeCell ref="C41:D41"/>
    <mergeCell ref="C42:D42"/>
    <mergeCell ref="C43:D43"/>
    <mergeCell ref="C44:E44"/>
    <mergeCell ref="F44:J44"/>
    <mergeCell ref="C45:D45"/>
    <mergeCell ref="C46:D46"/>
    <mergeCell ref="C47:D47"/>
    <mergeCell ref="C48:D48"/>
    <mergeCell ref="C49:D49"/>
    <mergeCell ref="B51:J51"/>
    <mergeCell ref="B52:E52"/>
    <mergeCell ref="F52:I52"/>
    <mergeCell ref="B53:E53"/>
    <mergeCell ref="F53:I53"/>
    <mergeCell ref="B54:E54"/>
    <mergeCell ref="F54:I54"/>
    <mergeCell ref="B55:E55"/>
    <mergeCell ref="F55:I55"/>
    <mergeCell ref="B56:E56"/>
    <mergeCell ref="F56:I56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  <mergeCell ref="B63:J63"/>
    <mergeCell ref="C64:D64"/>
    <mergeCell ref="E64:G64"/>
    <mergeCell ref="H64:J64"/>
    <mergeCell ref="C65:D65"/>
    <mergeCell ref="E65:G65"/>
    <mergeCell ref="H65:J65"/>
    <mergeCell ref="C66:D66"/>
    <mergeCell ref="E66:G66"/>
    <mergeCell ref="H66:J66"/>
  </mergeCells>
  <conditionalFormatting sqref="H14:H49">
    <cfRule type="cellIs" priority="2" operator="equal" aboveAverage="0" equalAverage="0" bottom="0" percent="0" rank="0" text="" dxfId="0">
      <formula>"Confirmada"</formula>
    </cfRule>
    <cfRule type="cellIs" priority="3" operator="equal" aboveAverage="0" equalAverage="0" bottom="0" percent="0" rank="0" text="" dxfId="1">
      <formula>"Descartada"</formula>
    </cfRule>
    <cfRule type="cellIs" priority="4" operator="equal" aboveAverage="0" equalAverage="0" bottom="0" percent="0" rank="0" text="" dxfId="2">
      <formula>"Não verificada"</formula>
    </cfRule>
  </conditionalFormatting>
  <conditionalFormatting sqref="J14:J49">
    <cfRule type="cellIs" priority="5" operator="equal" aboveAverage="0" equalAverage="0" bottom="0" percent="0" rank="0" text="" dxfId="0">
      <formula>"Sim"</formula>
    </cfRule>
  </conditionalFormatting>
  <conditionalFormatting sqref="F14:F49">
    <cfRule type="cellIs" priority="6" operator="equal" aboveAverage="0" equalAverage="0" bottom="0" percent="0" rank="0" text="" dxfId="3">
      <formula>"Alta"</formula>
    </cfRule>
    <cfRule type="cellIs" priority="7" operator="equal" aboveAverage="0" equalAverage="0" bottom="0" percent="0" rank="0" text="" dxfId="2">
      <formula>"Média"</formula>
    </cfRule>
    <cfRule type="cellIs" priority="8" operator="equal" aboveAverage="0" equalAverage="0" bottom="0" percent="0" rank="0" text="" dxfId="0">
      <formula>"Baixa"</formula>
    </cfRule>
  </conditionalFormatting>
  <conditionalFormatting sqref="F58:I60">
    <cfRule type="cellIs" priority="9" operator="equal" aboveAverage="0" equalAverage="0" bottom="0" percent="0" rank="0" text="" dxfId="0">
      <formula>"OK"</formula>
    </cfRule>
    <cfRule type="cellIs" priority="10" operator="notEqual" aboveAverage="0" equalAverage="0" bottom="0" percent="0" rank="0" text="" dxfId="2">
      <formula>"OK"</formula>
    </cfRule>
  </conditionalFormatting>
  <dataValidations count="19">
    <dataValidation allowBlank="true" error="Digite uma data no formato dia/mês/ano." errorStyle="stop" errorTitle="Data inválida" operator="greaterThanOrEqual" showDropDown="false" showErrorMessage="true" showInputMessage="false" sqref="H5" type="date">
      <formula1>36526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15:F19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15:H19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15:J19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21:F25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21:H25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21:J25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27:F31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27:H31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27:J31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33:F37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33:H37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33:J37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39:F43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39:H43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39:J43" type="list">
      <formula1>"Sim,Não"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F45:F49" type="list">
      <formula1>"Alta,Média,Baixa"</formula1>
      <formula2>0</formula2>
    </dataValidation>
    <dataValidation allowBlank="true" error="Escolha uma das opções da lista." errorStyle="stop" errorTitle="Valor inválido" operator="between" prompt="Confirmada, Descartada ou Não verificada" promptTitle="Opções" showDropDown="false" showErrorMessage="true" showInputMessage="true" sqref="H45:H49" type="list">
      <formula1>"Confirmada,Descartada,Não verificada"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J45:J49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2026-10-05T14:45:58Z</dcterms:created>
  <dc:creator>Modelo Ishikawa</dc:creator>
  <dc:description/>
  <dc:language>pt-BR</dc:language>
  <cp:lastModifiedBy/>
  <dcterms:modified xsi:type="dcterms:W3CDTF">2026-10-05T14:45:59Z</dcterms:modified>
  <cp:revision>0</cp:revision>
  <dc:subject/>
  <dc:title>Ishikawa — Modelo de análise de causa e efeito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