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5W2H" sheetId="2" state="visible" r:id="rId4"/>
    <sheet name="Acompanhamento" sheetId="3" state="visible" r:id="rId5"/>
    <sheet name="Verificação" sheetId="4" state="visible" r:id="rId6"/>
    <sheet name="Checklist" sheetId="5" state="visible" r:id="rId7"/>
    <sheet name="Exemplo 1 - Pizzaria" sheetId="6" state="visible" r:id="rId8"/>
    <sheet name="Exemplo 2 - Compras" sheetId="7" state="visible" r:id="rId9"/>
  </sheets>
  <definedNames>
    <definedName function="false" hidden="false" localSheetId="1" name="_xlnm.Print_Area" vbProcedure="false">5W2H!$B$1:$L$40</definedName>
    <definedName function="false" hidden="false" localSheetId="1" name="_xlnm.Print_Titles" vbProcedure="false">5W2H!$11:$12</definedName>
    <definedName function="false" hidden="false" localSheetId="2" name="_xlnm.Print_Area" vbProcedure="false">Acompanhamento!$B$1:$K$51</definedName>
    <definedName function="false" hidden="false" localSheetId="4" name="_xlnm.Print_Area" vbProcedure="false">Checklist!$B$1:$E$24</definedName>
    <definedName function="false" hidden="false" localSheetId="5" name="_xlnm.Print_Area" vbProcedure="false">'Exemplo 1 - Pizzaria'!$B$1:$L$45</definedName>
    <definedName function="false" hidden="false" localSheetId="6" name="_xlnm.Print_Area" vbProcedure="false">'Exemplo 2 - Compras'!$B$1:$L$46</definedName>
    <definedName function="false" hidden="false" localSheetId="0" name="_xlnm.Print_Area" vbProcedure="false">Instruções!$B$1:$C$46</definedName>
    <definedName function="false" hidden="false" localSheetId="3" name="_xlnm.Print_Area" vbProcedure="false">Verificação!$B$1:$K$22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2" authorId="0">
      <text>
        <r>
          <rPr>
            <sz val="10"/>
            <rFont val="Arial"/>
            <family val="2"/>
          </rPr>
          <t xml:space="preserve">A ação, escrita com verbo no infinitivo e uma entrega que possa ser conferida.
Evite: melhorar, conscientizar, rever.</t>
        </r>
      </text>
    </comment>
    <comment ref="D4" authorId="0">
      <text>
        <r>
          <rPr>
            <sz val="10"/>
            <rFont val="Arial"/>
            <family val="2"/>
          </rPr>
          <t xml:space="preserve">Nome curto do plano, com verbo + objeto.
Ex.: "Reduzir os atrasos nas entregas".</t>
        </r>
      </text>
    </comment>
    <comment ref="D7" authorId="0">
      <text>
        <r>
          <rPr>
            <sz val="10"/>
            <rFont val="Arial"/>
            <family val="2"/>
          </rPr>
          <t xml:space="preserve">O resultado que o plano busca, com indicador e meta, quando houver.
Ex.: "Aumentar de 82% para 95% as entregas em até 40 minutos".</t>
        </r>
      </text>
    </comment>
    <comment ref="D8" authorId="0">
      <text>
        <r>
          <rPr>
            <sz val="10"/>
            <rFont val="Arial"/>
            <family val="2"/>
          </rPr>
          <t xml:space="preserve">De onde veio a necessidade do plano.
Ex.: "Ciclo PDCA", "Auditoria interna", "Análise crítica".</t>
        </r>
      </text>
    </comment>
    <comment ref="I8" authorId="0">
      <text>
        <r>
          <rPr>
            <sz val="10"/>
            <rFont val="Arial"/>
            <family val="2"/>
          </rPr>
          <t xml:space="preserve">Valor disponível para o plano. Digite só o número. O resumo compara com o custo previsto.</t>
        </r>
      </text>
    </comment>
    <comment ref="I12" authorId="0">
      <text>
        <r>
          <rPr>
            <sz val="10"/>
            <rFont val="Arial"/>
            <family val="2"/>
          </rPr>
          <t xml:space="preserve">Um único responsável por ação: nome ou cargo.
Evite: equipe, todos, a definir.</t>
        </r>
      </text>
    </comment>
    <comment ref="K12" authorId="0">
      <text>
        <r>
          <rPr>
            <sz val="10"/>
            <rFont val="Arial"/>
            <family val="2"/>
          </rPr>
          <t xml:space="preserve">Custo estimado, com materiais, serviços e horas. Digite 0 quando a ação não tiver custo adicional.</t>
        </r>
      </text>
    </comment>
  </commentList>
</comments>
</file>

<file path=xl/sharedStrings.xml><?xml version="1.0" encoding="utf-8"?>
<sst xmlns="http://schemas.openxmlformats.org/spreadsheetml/2006/main" count="558" uniqueCount="310">
  <si>
    <t xml:space="preserve">5W2H — Como usar esta planilha</t>
  </si>
  <si>
    <t xml:space="preserve">Modelo para montar, acompanhar e verificar um plano de ação com as sete perguntas.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</si>
  <si>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</si>
  <si>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</si>
  <si>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</si>
  <si>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</si>
  <si>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</si>
  <si>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</si>
  <si>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</si>
  <si>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</si>
  <si>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status e de sentido aceitam apenas as opções da lista. Datas e valores são conferidos na digitação.</t>
  </si>
  <si>
    <t xml:space="preserve">Comentários</t>
  </si>
  <si>
    <t xml:space="preserve">Células com triângulo vermelho no canto trazem uma dica de preenchimento. Passe o mouse sobre elas.</t>
  </si>
  <si>
    <t xml:space="preserve">As sete perguntas</t>
  </si>
  <si>
    <t xml:space="preserve">What</t>
  </si>
  <si>
    <t xml:space="preserve">O quê: a ação, escrita com verbo no infinitivo e uma entrega que possa ser conferida.</t>
  </si>
  <si>
    <t xml:space="preserve">Why</t>
  </si>
  <si>
    <t xml:space="preserve">Por quê: a causa que a ação ataca ou o resultado que ela busca.</t>
  </si>
  <si>
    <t xml:space="preserve">Where</t>
  </si>
  <si>
    <t xml:space="preserve">Onde: o local, a área ou o processo em que a ação acontece.</t>
  </si>
  <si>
    <t xml:space="preserve">When</t>
  </si>
  <si>
    <t xml:space="preserve">Quando: a data de início e o prazo de conclusão, no calendário.</t>
  </si>
  <si>
    <t xml:space="preserve">Who</t>
  </si>
  <si>
    <t xml:space="preserve">Quem: a pessoa que responde pela conclusão da ação. Uma só por ação.</t>
  </si>
  <si>
    <t xml:space="preserve">How</t>
  </si>
  <si>
    <t xml:space="preserve">Como: o método, em uma frase que acrescente algo ao “o quê”.</t>
  </si>
  <si>
    <t xml:space="preserve">How much</t>
  </si>
  <si>
    <t xml:space="preserve">Quanto custa: o custo estimado, com materiais, serviços e horas. Zero também é resposta.</t>
  </si>
  <si>
    <t xml:space="preserve">Ordem recomendada de preenchimento</t>
  </si>
  <si>
    <t xml:space="preserve">Passo 1</t>
  </si>
  <si>
    <t xml:space="preserve">Aba 5W2H: preencha o cabeçalho, com o nome, o objetivo, a origem e o orçamento do plano.</t>
  </si>
  <si>
    <t xml:space="preserve">Passo 2</t>
  </si>
  <si>
    <t xml:space="preserve">Aba 5W2H: escreva as ações (o quê) e o motivo de cada uma (por quê).</t>
  </si>
  <si>
    <t xml:space="preserve">Passo 3</t>
  </si>
  <si>
    <t xml:space="preserve">Aba 5W2H: descreva o método (como). Divida as ações que não cabem em uma frase.</t>
  </si>
  <si>
    <t xml:space="preserve">Passo 4</t>
  </si>
  <si>
    <t xml:space="preserve">Aba 5W2H: defina o responsável (quem), as datas (quando) e o local (onde).</t>
  </si>
  <si>
    <t xml:space="preserve">Passo 5</t>
  </si>
  <si>
    <t xml:space="preserve">Aba 5W2H: estime o custo (quanto) e confira o saldo do orçamento no resumo.</t>
  </si>
  <si>
    <t xml:space="preserve">Passo 6</t>
  </si>
  <si>
    <t xml:space="preserve">Aba Verificação: registre os indicadores do objetivo, com a situação inicial e a meta.</t>
  </si>
  <si>
    <t xml:space="preserve">Passo 7</t>
  </si>
  <si>
    <t xml:space="preserve">Aba Checklist: valide o plano com os responsáveis antes de começar a execução.</t>
  </si>
  <si>
    <t xml:space="preserve">Passo 8</t>
  </si>
  <si>
    <t xml:space="preserve">Aba Acompanhamento: atualize o status, a data de conclusão, o custo e a evidência a cada reunião.</t>
  </si>
  <si>
    <t xml:space="preserve">Passo 9</t>
  </si>
  <si>
    <t xml:space="preserve">Aba Verificação: registre o resultado dos indicadores e leia a conclusão sobre a eficácia.</t>
  </si>
  <si>
    <t xml:space="preserve">Abas da planilha</t>
  </si>
  <si>
    <t xml:space="preserve">5W2H</t>
  </si>
  <si>
    <t xml:space="preserve">Modelo principal. Cabeçalho do plano, até 15 ações com as sete respostas e resumo automático.</t>
  </si>
  <si>
    <t xml:space="preserve">Acompanhamento</t>
  </si>
  <si>
    <t xml:space="preserve">Status, conclusão, custo realizado e evidência de cada ação, com situação calculada e gráfico.</t>
  </si>
  <si>
    <t xml:space="preserve">Verificação</t>
  </si>
  <si>
    <t xml:space="preserve">Indicadores do objetivo, com situação inicial, meta, resultado e conclusão sobre a eficácia.</t>
  </si>
  <si>
    <t xml:space="preserve">Checklist</t>
  </si>
  <si>
    <t xml:space="preserve">Doze verificações de qualidade do plano, com percentual de conclusão.</t>
  </si>
  <si>
    <t xml:space="preserve">Exemplo 1 - Pizzaria</t>
  </si>
  <si>
    <t xml:space="preserve">Plano preenchido com uma ação concluída com atraso e meta atingida.</t>
  </si>
  <si>
    <t xml:space="preserve">Exemplo 2 - Compras</t>
  </si>
  <si>
    <t xml:space="preserve">Plano preenchido com um piloto e uma meta não atingida.</t>
  </si>
  <si>
    <t xml:space="preserve">Regras e premissas do modelo</t>
  </si>
  <si>
    <t xml:space="preserve">Conferência</t>
  </si>
  <si>
    <t xml:space="preserve">A coluna de conferência conta oito respostas por ação: o quê, por quê, onde, início, prazo, quem, como e quanto. Ela também avisa quando o início é posterior ao prazo.</t>
  </si>
  <si>
    <t xml:space="preserve">Custo</t>
  </si>
  <si>
    <t xml:space="preserve">Digite o custo só com números. Quando a ação não tiver custo adicional, digite 0: a célula em branco conta como resposta que falta.</t>
  </si>
  <si>
    <t xml:space="preserve">Situação</t>
  </si>
  <si>
    <t xml:space="preserve">A situação é calculada. Ação concluída depois do prazo aparece como “Concluída com atraso”. Ação não concluída com prazo anterior à data de hoje aparece como “Atrasada”.</t>
  </si>
  <si>
    <t xml:space="preserve">O formato 5W2H não tem pergunta sobre a avaliação do resultado. A aba Verificação cobre esse ponto: compara o resultado de cada indicador com a meta, conforme o sentido informado.</t>
  </si>
  <si>
    <t xml:space="preserve">Capacidade</t>
  </si>
  <si>
    <t xml:space="preserve">A planilha comporta 15 ações e 8 indicadores. Se faltar espaço, divida o plano por objetivo ou por área.</t>
  </si>
  <si>
    <t xml:space="preserve">Exemplos</t>
  </si>
  <si>
    <t xml:space="preserve">Os dados das abas de exemplo são ilustrativos, criados para este material.</t>
  </si>
  <si>
    <t xml:space="preserve">5W2H — Plano de ação</t>
  </si>
  <si>
    <t xml:space="preserve">Preencha as células em amarelo-claro. As células cinza são calculadas automaticamente.</t>
  </si>
  <si>
    <t xml:space="preserve">Plano</t>
  </si>
  <si>
    <t xml:space="preserve">Responsável pelo plano</t>
  </si>
  <si>
    <t xml:space="preserve">Área / unidade</t>
  </si>
  <si>
    <t xml:space="preserve">Data</t>
  </si>
  <si>
    <t xml:space="preserve">Elaborado por</t>
  </si>
  <si>
    <t xml:space="preserve">Versão</t>
  </si>
  <si>
    <t xml:space="preserve">Objetivo do plano</t>
  </si>
  <si>
    <t xml:space="preserve">Origem do plano</t>
  </si>
  <si>
    <t xml:space="preserve">Orçamento aprovado</t>
  </si>
  <si>
    <t xml:space="preserve">Fora do escopo</t>
  </si>
  <si>
    <t xml:space="preserve">WHAT</t>
  </si>
  <si>
    <t xml:space="preserve">WHY</t>
  </si>
  <si>
    <t xml:space="preserve">WHERE</t>
  </si>
  <si>
    <t xml:space="preserve">WHEN</t>
  </si>
  <si>
    <t xml:space="preserve">WHO</t>
  </si>
  <si>
    <t xml:space="preserve">HOW</t>
  </si>
  <si>
    <t xml:space="preserve">HOW MUCH</t>
  </si>
  <si>
    <t xml:space="preserve">#</t>
  </si>
  <si>
    <t xml:space="preserve">O quê</t>
  </si>
  <si>
    <t xml:space="preserve">Por quê</t>
  </si>
  <si>
    <t xml:space="preserve">Onde</t>
  </si>
  <si>
    <t xml:space="preserve">Início</t>
  </si>
  <si>
    <t xml:space="preserve">Prazo</t>
  </si>
  <si>
    <t xml:space="preserve">Quem</t>
  </si>
  <si>
    <t xml:space="preserve">Como</t>
  </si>
  <si>
    <t xml:space="preserve">Quanto custa</t>
  </si>
  <si>
    <t xml:space="preserve">A ação: verbo no infinitivo + objeto</t>
  </si>
  <si>
    <t xml:space="preserve">A causa atacada ou o resultado buscado</t>
  </si>
  <si>
    <t xml:space="preserve">Local, área ou processo</t>
  </si>
  <si>
    <t xml:space="preserve">Data de início</t>
  </si>
  <si>
    <t xml:space="preserve">Data de conclusão</t>
  </si>
  <si>
    <t xml:space="preserve">Uma pessoa ou um cargo</t>
  </si>
  <si>
    <t xml:space="preserve">O método, em uma frase</t>
  </si>
  <si>
    <t xml:space="preserve">Valor, mesmo que zero</t>
  </si>
  <si>
    <t xml:space="preserve">Respostas da linha</t>
  </si>
  <si>
    <t xml:space="preserve">Ex.</t>
  </si>
  <si>
    <t xml:space="preserve">Agrupar os pedidos por bairro antes da saída</t>
  </si>
  <si>
    <t xml:space="preserve">Os pedidos saem um a um, e as rotas se cruzam</t>
  </si>
  <si>
    <t xml:space="preserve">Expedição da loja</t>
  </si>
  <si>
    <t xml:space="preserve">Líder da expedição</t>
  </si>
  <si>
    <t xml:space="preserve">Separar os pedidos em três zonas, com uma prateleira para cada uma</t>
  </si>
  <si>
    <t xml:space="preserve">Completa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</si>
  <si>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</si>
  <si>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</si>
  <si>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</si>
  <si>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</si>
  <si>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</si>
  <si>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</si>
  <si>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</si>
  <si>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</si>
  <si>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</si>
  <si>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</si>
  <si>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</si>
  <si>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</si>
  <si>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</si>
  <si>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</si>
  <si>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</si>
  <si>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Resumo automático</t>
  </si>
  <si>
    <t xml:space="preserve">Ações registradas</t>
  </si>
  <si>
    <t xml:space="preserve">Ações completas</t>
  </si>
  <si>
    <t xml:space="preserve">Custo total previsto</t>
  </si>
  <si>
    <t xml:space="preserve">Saldo do orçamento</t>
  </si>
  <si>
    <t xml:space="preserve">Primeiro início</t>
  </si>
  <si>
    <t xml:space="preserve">Último prazo</t>
  </si>
  <si>
    <t xml:space="preserve">Aviso: respostas</t>
  </si>
  <si>
    <t xml:space="preserve">Aviso: orçamento</t>
  </si>
  <si>
    <t xml:space="preserve">Campos do cabeçalho preenchidos</t>
  </si>
  <si>
    <t xml:space="preserve">Acompanhamento das ações</t>
  </si>
  <si>
    <t xml:space="preserve">As colunas cinza vêm da aba 5W2H. Atualize as colunas em amarelo-claro a cada reunião de acompanhamento.</t>
  </si>
  <si>
    <t xml:space="preserve">Ação (o quê)</t>
  </si>
  <si>
    <t xml:space="preserve">Status</t>
  </si>
  <si>
    <t xml:space="preserve">Conclusão</t>
  </si>
  <si>
    <t xml:space="preserve">Custo realizado</t>
  </si>
  <si>
    <t xml:space="preserve">Evidência de conclusão</t>
  </si>
  <si>
    <t xml:space="preserve">Desvio de custo</t>
  </si>
  <si>
    <t xml:space="preserve">Concluída</t>
  </si>
  <si>
    <t xml:space="preserve">Fotos da expedição e registro das saídas</t>
  </si>
  <si>
    <t xml:space="preserve">Concluída com atraso</t>
  </si>
  <si>
    <t xml:space="preserve">Ações no plano</t>
  </si>
  <si>
    <t xml:space="preserve">Concluídas</t>
  </si>
  <si>
    <t xml:space="preserve">Concluídas com atraso</t>
  </si>
  <si>
    <t xml:space="preserve">No prazo</t>
  </si>
  <si>
    <t xml:space="preserve">Atrasadas</t>
  </si>
  <si>
    <t xml:space="preserve">Canceladas</t>
  </si>
  <si>
    <t xml:space="preserve">Percentual concluído</t>
  </si>
  <si>
    <t xml:space="preserve">Custo previsto</t>
  </si>
  <si>
    <t xml:space="preserve">Aviso: conclusão</t>
  </si>
  <si>
    <t xml:space="preserve">Aviso: status</t>
  </si>
  <si>
    <t xml:space="preserve">Ações por situação</t>
  </si>
  <si>
    <t xml:space="preserve">Ações</t>
  </si>
  <si>
    <t xml:space="preserve">Atrasada</t>
  </si>
  <si>
    <t xml:space="preserve">Sem prazo</t>
  </si>
  <si>
    <t xml:space="preserve">Cancelada</t>
  </si>
  <si>
    <t xml:space="preserve">Verificação do resultado</t>
  </si>
  <si>
    <t xml:space="preserve">Registre os indicadores do objetivo do plano. A verificação é feita depois que as ações foram concluídas.</t>
  </si>
  <si>
    <t xml:space="preserve">Objetivo ou causa atacada</t>
  </si>
  <si>
    <t xml:space="preserve">Indicador</t>
  </si>
  <si>
    <t xml:space="preserve">Situação inicial</t>
  </si>
  <si>
    <t xml:space="preserve">Meta</t>
  </si>
  <si>
    <t xml:space="preserve">Sentido</t>
  </si>
  <si>
    <t xml:space="preserve">Resultado</t>
  </si>
  <si>
    <t xml:space="preserve">Meta atingida?</t>
  </si>
  <si>
    <t xml:space="preserve">Observações</t>
  </si>
  <si>
    <t xml:space="preserve">Entregas no prazo</t>
  </si>
  <si>
    <t xml:space="preserve">% de entregas em até 40 minutos</t>
  </si>
  <si>
    <t xml:space="preserve">Maior é melhor</t>
  </si>
  <si>
    <t xml:space="preserve">Sim</t>
  </si>
  <si>
    <t xml:space="preserve">Média das quatro semanas depois das ações</t>
  </si>
  <si>
    <t xml:space="preserve">Indicadores registrados</t>
  </si>
  <si>
    <t xml:space="preserve">Indicadores verificados</t>
  </si>
  <si>
    <t xml:space="preserve">Metas atingidas</t>
  </si>
  <si>
    <t xml:space="preserve">Metas não atingidas</t>
  </si>
  <si>
    <t xml:space="preserve">Ações concluídas no plano</t>
  </si>
  <si>
    <t xml:space="preserve">Aviso: sentido</t>
  </si>
  <si>
    <t xml:space="preserve">Checklist de validação do plano 5W2H</t>
  </si>
  <si>
    <t xml:space="preserve">Escolha o status de cada item na lista suspensa (coluna em amarelo-claro).</t>
  </si>
  <si>
    <t xml:space="preserve">Item de verificação</t>
  </si>
  <si>
    <t xml:space="preserve">O objetivo do plano está definido e ligado a um problema, a uma causa ou a uma decisão.</t>
  </si>
  <si>
    <t xml:space="preserve">Cada ação começa com verbo no infinitivo e descreve uma entrega que pode ser conferida.</t>
  </si>
  <si>
    <t xml:space="preserve">Cada ação tem um motivo: a causa que ataca ou o resultado que busca.</t>
  </si>
  <si>
    <t xml:space="preserve">Cada ação tem um único responsável, identificado por nome ou cargo.</t>
  </si>
  <si>
    <t xml:space="preserve">Cada ação tem data de início e prazo, no calendário.</t>
  </si>
  <si>
    <t xml:space="preserve">O local ou o processo de cada ação está definido.</t>
  </si>
  <si>
    <t xml:space="preserve">O método de cada ação diz como fazer, e não só repete o que fazer.</t>
  </si>
  <si>
    <t xml:space="preserve">O custo de cada ação foi estimado, mesmo quando é zero.</t>
  </si>
  <si>
    <t xml:space="preserve">Os responsáveis participaram da elaboração e concordam com os prazos.</t>
  </si>
  <si>
    <t xml:space="preserve">A forma de comprovar a conclusão e de verificar o resultado está definida.</t>
  </si>
  <si>
    <t xml:space="preserve">O plano tem rotina de acompanhamento, com data e responsável.</t>
  </si>
  <si>
    <t xml:space="preserve">As ações concluídas têm evidência registrada.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</si>
  <si>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</si>
  <si>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</si>
  <si>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</si>
  <si>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</si>
  <si>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</si>
  <si>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 aba 5W2H para o seu plano.</t>
  </si>
  <si>
    <t xml:space="preserve">Reduzir os atrasos nas entregas de delivery</t>
  </si>
  <si>
    <t xml:space="preserve">Gerente da loja</t>
  </si>
  <si>
    <t xml:space="preserve">Pizzaria (loja)</t>
  </si>
  <si>
    <t xml:space="preserve">Equipe da loja</t>
  </si>
  <si>
    <t xml:space="preserve">1.0</t>
  </si>
  <si>
    <t xml:space="preserve">Aumentar de 82% para 95% as entregas em até 40 minutos.</t>
  </si>
  <si>
    <t xml:space="preserve">Ciclo PDCA: causas confirmadas na análise</t>
  </si>
  <si>
    <t xml:space="preserve">Compra de forno e mudanças no cardápio.</t>
  </si>
  <si>
    <t xml:space="preserve">Leia cada linha da esquerda para a direita: a ação, o motivo, o local, as datas, o responsável, o método e o custo. Cada ação tem um único responsável e datas do calendário.</t>
  </si>
  <si>
    <t xml:space="preserve">Reforçar a escala de entregadores nas sextas e nos sábados, das 19h às 22h</t>
  </si>
  <si>
    <t xml:space="preserve">A escala é igual em todos os dias e não acompanha o pico de pedidos</t>
  </si>
  <si>
    <t xml:space="preserve">Contratar dois entregadores parceiros para o horário de pico</t>
  </si>
  <si>
    <t xml:space="preserve">Tornar obrigatório o complemento do endereço no pedido</t>
  </si>
  <si>
    <t xml:space="preserve">15% dos atrasos têm endereço incompleto</t>
  </si>
  <si>
    <t xml:space="preserve">Site e aplicativo de delivery</t>
  </si>
  <si>
    <t xml:space="preserve">Atendente do cadastro</t>
  </si>
  <si>
    <t xml:space="preserve">Alterar o campo no painel do aplicativo e no formulário do site</t>
  </si>
  <si>
    <t xml:space="preserve">Treinar a equipe da expedição no agrupamento de pedidos</t>
  </si>
  <si>
    <t xml:space="preserve">O agrupamento muda a rotina de quem embala e despacha</t>
  </si>
  <si>
    <t xml:space="preserve">Loja, antes da abertura</t>
  </si>
  <si>
    <t xml:space="preserve">Duas sessões de 30 minutos, com simulação de pedidos</t>
  </si>
  <si>
    <t xml:space="preserve">Medir o tempo de entrega por faixa de horário</t>
  </si>
  <si>
    <t xml:space="preserve">A média do dia esconde o que acontece no pico</t>
  </si>
  <si>
    <t xml:space="preserve">Relatório do aplicativo</t>
  </si>
  <si>
    <t xml:space="preserve">Exportar o relatório toda segunda-feira e atualizar o gráfico</t>
  </si>
  <si>
    <t xml:space="preserve">Atualizar a instrução de trabalho da expedição</t>
  </si>
  <si>
    <t xml:space="preserve">O novo método precisa virar padrão</t>
  </si>
  <si>
    <t xml:space="preserve">Pasta de procedimentos da loja</t>
  </si>
  <si>
    <t xml:space="preserve">Revisar o documento e colher a assinatura da equipe</t>
  </si>
  <si>
    <t xml:space="preserve">Ação</t>
  </si>
  <si>
    <t xml:space="preserve">Custo previsto e realizado</t>
  </si>
  <si>
    <t xml:space="preserve">Desvio</t>
  </si>
  <si>
    <t xml:space="preserve">Reforçar a escala de entregadores no pico</t>
  </si>
  <si>
    <t xml:space="preserve">Escala de agosto publicada</t>
  </si>
  <si>
    <t xml:space="preserve">Previsto: R$ 600. Realizado: R$ 600.</t>
  </si>
  <si>
    <t xml:space="preserve">Tornar obrigatório o complemento do endereço</t>
  </si>
  <si>
    <t xml:space="preserve">Tela do formulário com o campo obrigatório</t>
  </si>
  <si>
    <t xml:space="preserve">Previsto: sem custo. Realizado: sem custo.</t>
  </si>
  <si>
    <t xml:space="preserve">Treinar a equipe da expedição</t>
  </si>
  <si>
    <t xml:space="preserve">Lista de presença</t>
  </si>
  <si>
    <t xml:space="preserve">Previsto: R$ 200. Realizado: R$ 200.</t>
  </si>
  <si>
    <t xml:space="preserve">Agrupar os pedidos por bairro</t>
  </si>
  <si>
    <t xml:space="preserve">Previsto: R$ 350. Realizado: R$ 420.</t>
  </si>
  <si>
    <t xml:space="preserve">Gráfico de tendência de 12 semanas</t>
  </si>
  <si>
    <t xml:space="preserve">Atualizar a instrução de trabalho</t>
  </si>
  <si>
    <t xml:space="preserve">Instrução revisada e assinada</t>
  </si>
  <si>
    <t xml:space="preserve">Objetivo</t>
  </si>
  <si>
    <t xml:space="preserve">Média das semanas 9 a 12</t>
  </si>
  <si>
    <t xml:space="preserve">Reduzir o prazo de compra</t>
  </si>
  <si>
    <t xml:space="preserve">Gerente de Suprimentos</t>
  </si>
  <si>
    <t xml:space="preserve">Suprimentos</t>
  </si>
  <si>
    <t xml:space="preserve">Equipe de compras</t>
  </si>
  <si>
    <t xml:space="preserve">Reduzir de 12 para 7 dias úteis o prazo entre a requisição aprovada e o pedido emitido.</t>
  </si>
  <si>
    <t xml:space="preserve">Ciclo PDCA e Matriz GUT da área</t>
  </si>
  <si>
    <t xml:space="preserve">Revisão de contratos pelo Jurídico e homologação de fornecedores.</t>
  </si>
  <si>
    <t xml:space="preserve">Criar o formulário de requisição com campos obrigatórios</t>
  </si>
  <si>
    <t xml:space="preserve">40% das requisições são devolvidas por especificação incompleta</t>
  </si>
  <si>
    <t xml:space="preserve">Sistema de compras</t>
  </si>
  <si>
    <t xml:space="preserve">Analista de compras</t>
  </si>
  <si>
    <t xml:space="preserve">Configurar os campos obrigatórios e as validações com a equipe de TI</t>
  </si>
  <si>
    <t xml:space="preserve">Montar o catálogo dos 200 itens mais comprados</t>
  </si>
  <si>
    <t xml:space="preserve">O mesmo item é descrito de formas diferentes a cada requisição</t>
  </si>
  <si>
    <t xml:space="preserve">Comprador sênior</t>
  </si>
  <si>
    <t xml:space="preserve">Extrair o histórico de 12 meses e padronizar as descrições</t>
  </si>
  <si>
    <t xml:space="preserve">Aprovar a alçada de uma cotação para compras de até R$ 2.000</t>
  </si>
  <si>
    <t xml:space="preserve">A política exige três cotações para qualquer valor</t>
  </si>
  <si>
    <t xml:space="preserve">Reunião da Diretoria</t>
  </si>
  <si>
    <t xml:space="preserve">Apresentar a proposta, com a estimativa de ganho de prazo e de risco</t>
  </si>
  <si>
    <t xml:space="preserve">Treinar requisitantes e compradores das duas áreas do piloto</t>
  </si>
  <si>
    <t xml:space="preserve">O formulário e a alçada mudam a rotina de quem pede e de quem compra</t>
  </si>
  <si>
    <t xml:space="preserve">Sala de treinamento</t>
  </si>
  <si>
    <t xml:space="preserve">Duas turmas de uma hora, com exercícios no sistema</t>
  </si>
  <si>
    <t xml:space="preserve">Conduzir o piloto em duas áreas requisitantes</t>
  </si>
  <si>
    <t xml:space="preserve">A mudança precisa ser testada antes de virar regra</t>
  </si>
  <si>
    <t xml:space="preserve">Manutenção e Produção</t>
  </si>
  <si>
    <t xml:space="preserve">Aplicar o novo fluxo a todas as requisições das duas áreas e registrar os desvios</t>
  </si>
  <si>
    <t xml:space="preserve">Medir o prazo de cada pedido emitido no piloto</t>
  </si>
  <si>
    <t xml:space="preserve">O resultado precisa ser comparado com a meta de 7 dias úteis</t>
  </si>
  <si>
    <t xml:space="preserve">Relatório do sistema de compras</t>
  </si>
  <si>
    <t xml:space="preserve">Emitir o relatório semanal e calcular a média por área</t>
  </si>
  <si>
    <t xml:space="preserve">Criar o formulário de requisição</t>
  </si>
  <si>
    <t xml:space="preserve">Formulário publicado no sistema</t>
  </si>
  <si>
    <t xml:space="preserve">Previsto: R$ 1.800. Realizado: R$ 1.800.</t>
  </si>
  <si>
    <t xml:space="preserve">Montar o catálogo de itens</t>
  </si>
  <si>
    <t xml:space="preserve">Catálogo com 214 itens</t>
  </si>
  <si>
    <t xml:space="preserve">Aprovar a nova alçada de cotação</t>
  </si>
  <si>
    <t xml:space="preserve">Ata da reunião e política revisada</t>
  </si>
  <si>
    <t xml:space="preserve">Treinar requisitantes e compradores</t>
  </si>
  <si>
    <t xml:space="preserve">Listas de presença</t>
  </si>
  <si>
    <t xml:space="preserve">Previsto: R$ 400. Realizado: R$ 350.</t>
  </si>
  <si>
    <t xml:space="preserve">Conduzir o piloto em duas áreas</t>
  </si>
  <si>
    <t xml:space="preserve">Registro do piloto</t>
  </si>
  <si>
    <t xml:space="preserve">Medir o prazo dos pedidos do piloto</t>
  </si>
  <si>
    <t xml:space="preserve">Relatório de prazos do piloto</t>
  </si>
  <si>
    <t xml:space="preserve">Prazo de compra</t>
  </si>
  <si>
    <t xml:space="preserve">Dias úteis entre a requisição e o pedido</t>
  </si>
  <si>
    <t xml:space="preserve">Não</t>
  </si>
  <si>
    <t xml:space="preserve">Meta não atingida: novo ciclo para a revisão de contratos</t>
  </si>
  <si>
    <t xml:space="preserve">Requisições devolvidas</t>
  </si>
  <si>
    <t xml:space="preserve">% de requisições devolvidas</t>
  </si>
  <si>
    <t xml:space="preserve">Verificado em 28/08/2026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</si>
</sst>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&quot;R$ &quot;#,##0.00"/>
    <numFmt numFmtId="167" formatCode="General"/>
    <numFmt numFmtId="168" formatCode="0&quot; de 10&quot;"/>
    <numFmt numFmtId="169" formatCode="&quot;+R$ &quot;#,##0.00;&quot;-R$ &quot;#,##0.00;&quot;R$ &quot;0.00"/>
    <numFmt numFmtId="170" formatCode="0%"/>
    <numFmt numFmtId="171" formatCode="&quot;+R$ &quot;#,##0;&quot;-R$ &quot;#,##0;&quot;R$ &quot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8EFDD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FFFFFF"/>
        <bgColor rgb="FFFFF9DB"/>
      </patternFill>
    </fill>
    <fill>
      <patternFill patternType="solid">
        <fgColor rgb="FF1E7B73"/>
        <bgColor rgb="FF1F7A4D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EEF1F3"/>
      <rgbColor rgb="FFD8EFDD"/>
      <rgbColor rgb="FFFBEBC8"/>
      <rgbColor rgb="FFD3DBE0"/>
      <rgbColor rgb="FFF6E8CF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AA7B0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Acompanhamento!D36</c:f>
              <c:strCache>
                <c:ptCount val="1"/>
                <c:pt idx="0">
                  <c:v>Ações</c:v>
                </c:pt>
              </c:strCache>
            </c:strRef>
          </c:tx>
          <c:spPr>
            <a:solidFill>
              <a:srgbClr val="5b6b7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7a4d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96a1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b5c8a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0413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5b6b7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9aa7b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Acompanhamento!$B$37:$B$42</c:f>
              <c:strCache>
                <c:ptCount val="6"/>
                <c:pt idx="0">
                  <c:v>Concluída</c:v>
                </c:pt>
                <c:pt idx="1">
                  <c:v>Concluída com atraso</c:v>
                </c:pt>
                <c:pt idx="2">
                  <c:v>No prazo</c:v>
                </c:pt>
                <c:pt idx="3">
                  <c:v>Atrasada</c:v>
                </c:pt>
                <c:pt idx="4">
                  <c:v>Sem prazo</c:v>
                </c:pt>
                <c:pt idx="5">
                  <c:v>Cancelada</c:v>
                </c:pt>
              </c:strCache>
            </c:strRef>
          </c:cat>
          <c:val>
            <c:numRef>
              <c:f>Acompanhamento!$D$37:$D$42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20"/>
        <c:overlap val="0"/>
        <c:axId val="79389845"/>
        <c:axId val="69982321"/>
      </c:barChart>
      <c:catAx>
        <c:axId val="79389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82321"/>
        <c:crosses val="autoZero"/>
        <c:auto val="1"/>
        <c:lblAlgn val="ctr"/>
        <c:lblOffset val="100"/>
        <c:noMultiLvlLbl val="0"/>
      </c:catAx>
      <c:valAx>
        <c:axId val="6998232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8984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35</xdr:row>
      <xdr:rowOff>0</xdr:rowOff>
    </xdr:from>
    <xdr:to>
      <xdr:col>9</xdr:col>
      <xdr:colOff>692280</xdr:colOff>
      <xdr:row>46</xdr:row>
      <xdr:rowOff>81360</xdr:rowOff>
    </xdr:to>
    <xdr:graphicFrame>
      <xdr:nvGraphicFramePr>
        <xdr:cNvPr id="0" name="Chart 1"/>
        <xdr:cNvGraphicFramePr/>
      </xdr:nvGraphicFramePr>
      <xdr:xfrm>
        <a:off x="5427360" y="1088712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8" t="s">
        <v>16</v>
      </c>
      <c r="C13" s="9" t="s">
        <v>17</v>
      </c>
    </row>
    <row r="14" customFormat="false" ht="19.5" hidden="false" customHeight="true" outlineLevel="0" collapsed="false">
      <c r="B14" s="8" t="s">
        <v>18</v>
      </c>
      <c r="C14" s="9" t="s">
        <v>19</v>
      </c>
    </row>
    <row r="15" customFormat="false" ht="19.5" hidden="false" customHeight="true" outlineLevel="0" collapsed="false">
      <c r="B15" s="8" t="s">
        <v>20</v>
      </c>
      <c r="C15" s="9" t="s">
        <v>21</v>
      </c>
    </row>
    <row r="16" customFormat="false" ht="19.5" hidden="false" customHeight="true" outlineLevel="0" collapsed="false">
      <c r="B16" s="8" t="s">
        <v>22</v>
      </c>
      <c r="C16" s="9" t="s">
        <v>23</v>
      </c>
    </row>
    <row r="17" customFormat="false" ht="19.5" hidden="false" customHeight="true" outlineLevel="0" collapsed="false">
      <c r="B17" s="10" t="s">
        <v>24</v>
      </c>
      <c r="C17" s="11" t="s">
        <v>25</v>
      </c>
    </row>
    <row r="18" customFormat="false" ht="19.5" hidden="false" customHeight="true" outlineLevel="0" collapsed="false">
      <c r="B18" s="10" t="s">
        <v>26</v>
      </c>
      <c r="C18" s="11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29" customFormat="false" ht="19.5" hidden="false" customHeight="true" outlineLevel="0" collapsed="false">
      <c r="B29" s="4" t="s">
        <v>45</v>
      </c>
      <c r="C29" s="7" t="s">
        <v>46</v>
      </c>
    </row>
    <row r="31" customFormat="false" ht="21.75" hidden="false" customHeight="true" outlineLevel="0" collapsed="false">
      <c r="B31" s="3" t="s">
        <v>47</v>
      </c>
      <c r="C31" s="3"/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  <row r="39" customFormat="false" ht="21.75" hidden="false" customHeight="true" outlineLevel="0" collapsed="false">
      <c r="B39" s="3" t="s">
        <v>60</v>
      </c>
      <c r="C39" s="3"/>
    </row>
    <row r="40" customFormat="false" ht="45.75" hidden="false" customHeight="true" outlineLevel="0" collapsed="false">
      <c r="B40" s="4" t="s">
        <v>61</v>
      </c>
      <c r="C40" s="7" t="s">
        <v>62</v>
      </c>
    </row>
    <row r="41" customFormat="false" ht="45.75" hidden="false" customHeight="true" outlineLevel="0" collapsed="false">
      <c r="B41" s="4" t="s">
        <v>63</v>
      </c>
      <c r="C41" s="7" t="s">
        <v>64</v>
      </c>
    </row>
    <row r="42" customFormat="false" ht="45.75" hidden="false" customHeight="true" outlineLevel="0" collapsed="false">
      <c r="B42" s="4" t="s">
        <v>65</v>
      </c>
      <c r="C42" s="7" t="s">
        <v>66</v>
      </c>
    </row>
    <row r="43" customFormat="false" ht="45.75" hidden="false" customHeight="true" outlineLevel="0" collapsed="false">
      <c r="B43" s="4" t="s">
        <v>52</v>
      </c>
      <c r="C43" s="7" t="s">
        <v>67</v>
      </c>
    </row>
    <row r="44" customFormat="false" ht="45.75" hidden="false" customHeight="true" outlineLevel="0" collapsed="false">
      <c r="B44" s="4" t="s">
        <v>68</v>
      </c>
      <c r="C44" s="7" t="s">
        <v>69</v>
      </c>
    </row>
    <row r="45" customFormat="false" ht="31.5" hidden="false" customHeight="true" outlineLevel="0" collapsed="false">
      <c r="B45" s="4" t="s">
        <v>70</v>
      </c>
      <c r="C45" s="7" t="s">
        <v>71</v>
      </c>
    </row>
  </sheetData>
  <mergeCells count="7">
    <mergeCell ref="B1:C1"/>
    <mergeCell ref="B2:C2"/>
    <mergeCell ref="B4:C4"/>
    <mergeCell ref="B11:C11"/>
    <mergeCell ref="B20:C20"/>
    <mergeCell ref="B31:C31"/>
    <mergeCell ref="B39:C3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7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2" min="11" style="0" width="1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72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73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74</v>
      </c>
      <c r="C4" s="4"/>
      <c r="D4" s="5"/>
      <c r="E4" s="5"/>
      <c r="F4" s="5"/>
      <c r="G4" s="4" t="s">
        <v>75</v>
      </c>
      <c r="H4" s="4"/>
      <c r="I4" s="5"/>
      <c r="J4" s="5"/>
      <c r="K4" s="5"/>
      <c r="L4" s="5"/>
    </row>
    <row r="5" customFormat="false" ht="21.75" hidden="false" customHeight="true" outlineLevel="0" collapsed="false">
      <c r="B5" s="4" t="s">
        <v>76</v>
      </c>
      <c r="C5" s="4"/>
      <c r="D5" s="5"/>
      <c r="E5" s="5"/>
      <c r="F5" s="5"/>
      <c r="G5" s="4" t="s">
        <v>77</v>
      </c>
      <c r="H5" s="4"/>
      <c r="I5" s="12"/>
      <c r="J5" s="12"/>
      <c r="K5" s="12"/>
      <c r="L5" s="12"/>
    </row>
    <row r="6" customFormat="false" ht="30" hidden="false" customHeight="true" outlineLevel="0" collapsed="false">
      <c r="B6" s="4" t="s">
        <v>78</v>
      </c>
      <c r="C6" s="4"/>
      <c r="D6" s="5"/>
      <c r="E6" s="5"/>
      <c r="F6" s="5"/>
      <c r="G6" s="4" t="s">
        <v>79</v>
      </c>
      <c r="H6" s="4"/>
      <c r="I6" s="5"/>
      <c r="J6" s="5"/>
      <c r="K6" s="5"/>
      <c r="L6" s="5"/>
    </row>
    <row r="7" customFormat="false" ht="30" hidden="false" customHeight="true" outlineLevel="0" collapsed="false">
      <c r="B7" s="4" t="s">
        <v>80</v>
      </c>
      <c r="C7" s="4"/>
      <c r="D7" s="5"/>
      <c r="E7" s="5"/>
      <c r="F7" s="5"/>
      <c r="G7" s="5"/>
      <c r="H7" s="5"/>
      <c r="I7" s="5"/>
      <c r="J7" s="5"/>
      <c r="K7" s="5"/>
      <c r="L7" s="5"/>
    </row>
    <row r="8" customFormat="false" ht="21.75" hidden="false" customHeight="true" outlineLevel="0" collapsed="false">
      <c r="B8" s="4" t="s">
        <v>81</v>
      </c>
      <c r="C8" s="4"/>
      <c r="D8" s="5"/>
      <c r="E8" s="5"/>
      <c r="F8" s="5"/>
      <c r="G8" s="4" t="s">
        <v>82</v>
      </c>
      <c r="H8" s="4"/>
      <c r="I8" s="13"/>
      <c r="J8" s="13"/>
      <c r="K8" s="13"/>
      <c r="L8" s="13"/>
    </row>
    <row r="9" customFormat="false" ht="30" hidden="false" customHeight="true" outlineLevel="0" collapsed="false">
      <c r="B9" s="4" t="s">
        <v>83</v>
      </c>
      <c r="C9" s="4"/>
      <c r="D9" s="5"/>
      <c r="E9" s="5"/>
      <c r="F9" s="5"/>
      <c r="G9" s="5"/>
      <c r="H9" s="5"/>
      <c r="I9" s="5"/>
      <c r="J9" s="5"/>
      <c r="K9" s="5"/>
      <c r="L9" s="5"/>
    </row>
    <row r="11" customFormat="false" ht="30" hidden="false" customHeight="true" outlineLevel="0" collapsed="false">
      <c r="B11" s="14"/>
      <c r="C11" s="15" t="s">
        <v>84</v>
      </c>
      <c r="D11" s="15"/>
      <c r="E11" s="16" t="s">
        <v>85</v>
      </c>
      <c r="F11" s="16" t="s">
        <v>86</v>
      </c>
      <c r="G11" s="15" t="s">
        <v>87</v>
      </c>
      <c r="H11" s="15"/>
      <c r="I11" s="16" t="s">
        <v>88</v>
      </c>
      <c r="J11" s="17" t="s">
        <v>89</v>
      </c>
      <c r="K11" s="18" t="s">
        <v>90</v>
      </c>
      <c r="L11" s="14"/>
    </row>
    <row r="12" customFormat="false" ht="21.75" hidden="false" customHeight="true" outlineLevel="0" collapsed="false">
      <c r="B12" s="19" t="s">
        <v>91</v>
      </c>
      <c r="C12" s="8" t="s">
        <v>92</v>
      </c>
      <c r="D12" s="8"/>
      <c r="E12" s="8" t="s">
        <v>93</v>
      </c>
      <c r="F12" s="8" t="s">
        <v>94</v>
      </c>
      <c r="G12" s="8" t="s">
        <v>95</v>
      </c>
      <c r="H12" s="8" t="s">
        <v>96</v>
      </c>
      <c r="I12" s="8" t="s">
        <v>97</v>
      </c>
      <c r="J12" s="10" t="s">
        <v>98</v>
      </c>
      <c r="K12" s="10" t="s">
        <v>99</v>
      </c>
      <c r="L12" s="19" t="s">
        <v>61</v>
      </c>
    </row>
    <row r="13" customFormat="false" ht="30" hidden="false" customHeight="true" outlineLevel="0" collapsed="false">
      <c r="B13" s="20"/>
      <c r="C13" s="21" t="s">
        <v>100</v>
      </c>
      <c r="D13" s="21"/>
      <c r="E13" s="21" t="s">
        <v>101</v>
      </c>
      <c r="F13" s="21" t="s">
        <v>102</v>
      </c>
      <c r="G13" s="21" t="s">
        <v>103</v>
      </c>
      <c r="H13" s="21" t="s">
        <v>104</v>
      </c>
      <c r="I13" s="21" t="s">
        <v>105</v>
      </c>
      <c r="J13" s="22" t="s">
        <v>106</v>
      </c>
      <c r="K13" s="22" t="s">
        <v>107</v>
      </c>
      <c r="L13" s="20" t="s">
        <v>108</v>
      </c>
    </row>
    <row r="14" customFormat="false" ht="33" hidden="false" customHeight="true" outlineLevel="0" collapsed="false">
      <c r="B14" s="20" t="s">
        <v>109</v>
      </c>
      <c r="C14" s="23" t="s">
        <v>110</v>
      </c>
      <c r="D14" s="23"/>
      <c r="E14" s="23" t="s">
        <v>111</v>
      </c>
      <c r="F14" s="23" t="s">
        <v>112</v>
      </c>
      <c r="G14" s="24" t="n">
        <v>46321</v>
      </c>
      <c r="H14" s="24" t="n">
        <v>46325</v>
      </c>
      <c r="I14" s="23" t="s">
        <v>113</v>
      </c>
      <c r="J14" s="23" t="s">
        <v>114</v>
      </c>
      <c r="K14" s="25" t="n">
        <v>350</v>
      </c>
      <c r="L14" s="20" t="s">
        <v>115</v>
      </c>
    </row>
    <row r="15" customFormat="false" ht="36" hidden="false" customHeight="true" outlineLevel="0" collapsed="false">
      <c r="B15" s="26" t="s">
        <v>116</v>
      </c>
      <c r="C15" s="5"/>
      <c r="D15" s="5"/>
      <c r="E15" s="5"/>
      <c r="F15" s="5"/>
      <c r="G15" s="27"/>
      <c r="H15" s="27"/>
      <c r="I15" s="5"/>
      <c r="J15" s="5"/>
      <c r="K15" s="28"/>
      <c r="L15" s="29" t="str">
        <f aca="false">IF(C15="","",IF(AND(G15&lt;&gt;"",H15&lt;&gt;"",G15&gt;H15),"Datas invertidas",IF(COUNTA(C15,E15:K15)=8,"Completa","Faltam "&amp;(8-COUNTA(C15,E15:K15)))))</f>
        <v/>
      </c>
    </row>
    <row r="16" customFormat="false" ht="36" hidden="false" customHeight="true" outlineLevel="0" collapsed="false">
      <c r="B16" s="26" t="s">
        <v>117</v>
      </c>
      <c r="C16" s="5"/>
      <c r="D16" s="5"/>
      <c r="E16" s="5"/>
      <c r="F16" s="5"/>
      <c r="G16" s="27"/>
      <c r="H16" s="27"/>
      <c r="I16" s="5"/>
      <c r="J16" s="5"/>
      <c r="K16" s="28"/>
      <c r="L16" s="29" t="str">
        <f aca="false">IF(C16="","",IF(AND(G16&lt;&gt;"",H16&lt;&gt;"",G16&gt;H16),"Datas invertidas",IF(COUNTA(C16,E16:K16)=8,"Completa","Faltam "&amp;(8-COUNTA(C16,E16:K16)))))</f>
        <v/>
      </c>
    </row>
    <row r="17" customFormat="false" ht="36" hidden="false" customHeight="true" outlineLevel="0" collapsed="false">
      <c r="B17" s="26" t="s">
        <v>118</v>
      </c>
      <c r="C17" s="5"/>
      <c r="D17" s="5"/>
      <c r="E17" s="5"/>
      <c r="F17" s="5"/>
      <c r="G17" s="27"/>
      <c r="H17" s="27"/>
      <c r="I17" s="5"/>
      <c r="J17" s="5"/>
      <c r="K17" s="28"/>
      <c r="L17" s="29" t="str">
        <f aca="false">IF(C17="","",IF(AND(G17&lt;&gt;"",H17&lt;&gt;"",G17&gt;H17),"Datas invertidas",IF(COUNTA(C17,E17:K17)=8,"Completa","Faltam "&amp;(8-COUNTA(C17,E17:K17)))))</f>
        <v/>
      </c>
    </row>
    <row r="18" customFormat="false" ht="36" hidden="false" customHeight="true" outlineLevel="0" collapsed="false">
      <c r="B18" s="26" t="s">
        <v>119</v>
      </c>
      <c r="C18" s="5"/>
      <c r="D18" s="5"/>
      <c r="E18" s="5"/>
      <c r="F18" s="5"/>
      <c r="G18" s="27"/>
      <c r="H18" s="27"/>
      <c r="I18" s="5"/>
      <c r="J18" s="5"/>
      <c r="K18" s="28"/>
      <c r="L18" s="29" t="str">
        <f aca="false">IF(C18="","",IF(AND(G18&lt;&gt;"",H18&lt;&gt;"",G18&gt;H18),"Datas invertidas",IF(COUNTA(C18,E18:K18)=8,"Completa","Faltam "&amp;(8-COUNTA(C18,E18:K18)))))</f>
        <v/>
      </c>
    </row>
    <row r="19" customFormat="false" ht="36" hidden="false" customHeight="true" outlineLevel="0" collapsed="false">
      <c r="B19" s="26" t="s">
        <v>120</v>
      </c>
      <c r="C19" s="5"/>
      <c r="D19" s="5"/>
      <c r="E19" s="5"/>
      <c r="F19" s="5"/>
      <c r="G19" s="27"/>
      <c r="H19" s="27"/>
      <c r="I19" s="5"/>
      <c r="J19" s="5"/>
      <c r="K19" s="28"/>
      <c r="L19" s="29" t="str">
        <f aca="false">IF(C19="","",IF(AND(G19&lt;&gt;"",H19&lt;&gt;"",G19&gt;H19),"Datas invertidas",IF(COUNTA(C19,E19:K19)=8,"Completa","Faltam "&amp;(8-COUNTA(C19,E19:K19)))))</f>
        <v/>
      </c>
    </row>
    <row r="20" customFormat="false" ht="36" hidden="false" customHeight="true" outlineLevel="0" collapsed="false">
      <c r="B20" s="26" t="s">
        <v>121</v>
      </c>
      <c r="C20" s="5"/>
      <c r="D20" s="5"/>
      <c r="E20" s="5"/>
      <c r="F20" s="5"/>
      <c r="G20" s="27"/>
      <c r="H20" s="27"/>
      <c r="I20" s="5"/>
      <c r="J20" s="5"/>
      <c r="K20" s="28"/>
      <c r="L20" s="29" t="str">
        <f aca="false">IF(C20="","",IF(AND(G20&lt;&gt;"",H20&lt;&gt;"",G20&gt;H20),"Datas invertidas",IF(COUNTA(C20,E20:K20)=8,"Completa","Faltam "&amp;(8-COUNTA(C20,E20:K20)))))</f>
        <v/>
      </c>
    </row>
    <row r="21" customFormat="false" ht="36" hidden="false" customHeight="true" outlineLevel="0" collapsed="false">
      <c r="B21" s="26" t="s">
        <v>122</v>
      </c>
      <c r="C21" s="5"/>
      <c r="D21" s="5"/>
      <c r="E21" s="5"/>
      <c r="F21" s="5"/>
      <c r="G21" s="27"/>
      <c r="H21" s="27"/>
      <c r="I21" s="5"/>
      <c r="J21" s="5"/>
      <c r="K21" s="28"/>
      <c r="L21" s="29" t="str">
        <f aca="false">IF(C21="","",IF(AND(G21&lt;&gt;"",H21&lt;&gt;"",G21&gt;H21),"Datas invertidas",IF(COUNTA(C21,E21:K21)=8,"Completa","Faltam "&amp;(8-COUNTA(C21,E21:K21)))))</f>
        <v/>
      </c>
    </row>
    <row r="22" customFormat="false" ht="36" hidden="false" customHeight="true" outlineLevel="0" collapsed="false">
      <c r="B22" s="26" t="s">
        <v>123</v>
      </c>
      <c r="C22" s="5"/>
      <c r="D22" s="5"/>
      <c r="E22" s="5"/>
      <c r="F22" s="5"/>
      <c r="G22" s="27"/>
      <c r="H22" s="27"/>
      <c r="I22" s="5"/>
      <c r="J22" s="5"/>
      <c r="K22" s="28"/>
      <c r="L22" s="29" t="str">
        <f aca="false">IF(C22="","",IF(AND(G22&lt;&gt;"",H22&lt;&gt;"",G22&gt;H22),"Datas invertidas",IF(COUNTA(C22,E22:K22)=8,"Completa","Faltam "&amp;(8-COUNTA(C22,E22:K22)))))</f>
        <v/>
      </c>
    </row>
    <row r="23" customFormat="false" ht="36" hidden="false" customHeight="true" outlineLevel="0" collapsed="false">
      <c r="B23" s="26" t="s">
        <v>124</v>
      </c>
      <c r="C23" s="5"/>
      <c r="D23" s="5"/>
      <c r="E23" s="5"/>
      <c r="F23" s="5"/>
      <c r="G23" s="27"/>
      <c r="H23" s="27"/>
      <c r="I23" s="5"/>
      <c r="J23" s="5"/>
      <c r="K23" s="28"/>
      <c r="L23" s="29" t="str">
        <f aca="false">IF(C23="","",IF(AND(G23&lt;&gt;"",H23&lt;&gt;"",G23&gt;H23),"Datas invertidas",IF(COUNTA(C23,E23:K23)=8,"Completa","Faltam "&amp;(8-COUNTA(C23,E23:K23)))))</f>
        <v/>
      </c>
    </row>
    <row r="24" customFormat="false" ht="36" hidden="false" customHeight="true" outlineLevel="0" collapsed="false">
      <c r="B24" s="26" t="s">
        <v>125</v>
      </c>
      <c r="C24" s="5"/>
      <c r="D24" s="5"/>
      <c r="E24" s="5"/>
      <c r="F24" s="5"/>
      <c r="G24" s="27"/>
      <c r="H24" s="27"/>
      <c r="I24" s="5"/>
      <c r="J24" s="5"/>
      <c r="K24" s="28"/>
      <c r="L24" s="29" t="str">
        <f aca="false">IF(C24="","",IF(AND(G24&lt;&gt;"",H24&lt;&gt;"",G24&gt;H24),"Datas invertidas",IF(COUNTA(C24,E24:K24)=8,"Completa","Faltam "&amp;(8-COUNTA(C24,E24:K24)))))</f>
        <v/>
      </c>
    </row>
    <row r="25" customFormat="false" ht="36" hidden="false" customHeight="true" outlineLevel="0" collapsed="false">
      <c r="B25" s="26" t="s">
        <v>126</v>
      </c>
      <c r="C25" s="5"/>
      <c r="D25" s="5"/>
      <c r="E25" s="5"/>
      <c r="F25" s="5"/>
      <c r="G25" s="27"/>
      <c r="H25" s="27"/>
      <c r="I25" s="5"/>
      <c r="J25" s="5"/>
      <c r="K25" s="28"/>
      <c r="L25" s="29" t="str">
        <f aca="false">IF(C25="","",IF(AND(G25&lt;&gt;"",H25&lt;&gt;"",G25&gt;H25),"Datas invertidas",IF(COUNTA(C25,E25:K25)=8,"Completa","Faltam "&amp;(8-COUNTA(C25,E25:K25)))))</f>
        <v/>
      </c>
    </row>
    <row r="26" customFormat="false" ht="36" hidden="false" customHeight="true" outlineLevel="0" collapsed="false">
      <c r="B26" s="26" t="s">
        <v>127</v>
      </c>
      <c r="C26" s="5"/>
      <c r="D26" s="5"/>
      <c r="E26" s="5"/>
      <c r="F26" s="5"/>
      <c r="G26" s="27"/>
      <c r="H26" s="27"/>
      <c r="I26" s="5"/>
      <c r="J26" s="5"/>
      <c r="K26" s="28"/>
      <c r="L26" s="29" t="str">
        <f aca="false">IF(C26="","",IF(AND(G26&lt;&gt;"",H26&lt;&gt;"",G26&gt;H26),"Datas invertidas",IF(COUNTA(C26,E26:K26)=8,"Completa","Faltam "&amp;(8-COUNTA(C26,E26:K26)))))</f>
        <v/>
      </c>
    </row>
    <row r="27" customFormat="false" ht="36" hidden="false" customHeight="true" outlineLevel="0" collapsed="false">
      <c r="B27" s="26" t="s">
        <v>128</v>
      </c>
      <c r="C27" s="5"/>
      <c r="D27" s="5"/>
      <c r="E27" s="5"/>
      <c r="F27" s="5"/>
      <c r="G27" s="27"/>
      <c r="H27" s="27"/>
      <c r="I27" s="5"/>
      <c r="J27" s="5"/>
      <c r="K27" s="28"/>
      <c r="L27" s="29" t="str">
        <f aca="false">IF(C27="","",IF(AND(G27&lt;&gt;"",H27&lt;&gt;"",G27&gt;H27),"Datas invertidas",IF(COUNTA(C27,E27:K27)=8,"Completa","Faltam "&amp;(8-COUNTA(C27,E27:K27)))))</f>
        <v/>
      </c>
    </row>
    <row r="28" customFormat="false" ht="36" hidden="false" customHeight="true" outlineLevel="0" collapsed="false">
      <c r="B28" s="26" t="s">
        <v>129</v>
      </c>
      <c r="C28" s="5"/>
      <c r="D28" s="5"/>
      <c r="E28" s="5"/>
      <c r="F28" s="5"/>
      <c r="G28" s="27"/>
      <c r="H28" s="27"/>
      <c r="I28" s="5"/>
      <c r="J28" s="5"/>
      <c r="K28" s="28"/>
      <c r="L28" s="29" t="str">
        <f aca="false">IF(C28="","",IF(AND(G28&lt;&gt;"",H28&lt;&gt;"",G28&gt;H28),"Datas invertidas",IF(COUNTA(C28,E28:K28)=8,"Completa","Faltam "&amp;(8-COUNTA(C28,E28:K28)))))</f>
        <v/>
      </c>
    </row>
    <row r="29" customFormat="false" ht="36" hidden="false" customHeight="true" outlineLevel="0" collapsed="false">
      <c r="B29" s="26" t="s">
        <v>130</v>
      </c>
      <c r="C29" s="5"/>
      <c r="D29" s="5"/>
      <c r="E29" s="5"/>
      <c r="F29" s="5"/>
      <c r="G29" s="27"/>
      <c r="H29" s="27"/>
      <c r="I29" s="5"/>
      <c r="J29" s="5"/>
      <c r="K29" s="28"/>
      <c r="L29" s="29" t="str">
        <f aca="false">IF(C29="","",IF(AND(G29&lt;&gt;"",H29&lt;&gt;"",G29&gt;H29),"Datas invertidas",IF(COUNTA(C29,E29:K29)=8,"Completa","Faltam "&amp;(8-COUNTA(C29,E29:K29)))))</f>
        <v/>
      </c>
    </row>
    <row r="31" customFormat="false" ht="21.75" hidden="false" customHeight="true" outlineLevel="0" collapsed="false">
      <c r="B31" s="30" t="s">
        <v>131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customFormat="false" ht="21.75" hidden="false" customHeight="true" outlineLevel="0" collapsed="false">
      <c r="B32" s="31" t="s">
        <v>132</v>
      </c>
      <c r="C32" s="31"/>
      <c r="D32" s="31"/>
      <c r="E32" s="31"/>
      <c r="F32" s="31"/>
      <c r="G32" s="32" t="n">
        <f aca="false">COUNTA(C15:C29)</f>
        <v>0</v>
      </c>
      <c r="H32" s="32"/>
      <c r="I32" s="32"/>
      <c r="J32" s="32"/>
    </row>
    <row r="33" customFormat="false" ht="21.75" hidden="false" customHeight="true" outlineLevel="0" collapsed="false">
      <c r="B33" s="31" t="s">
        <v>133</v>
      </c>
      <c r="C33" s="31"/>
      <c r="D33" s="31"/>
      <c r="E33" s="31"/>
      <c r="F33" s="31"/>
      <c r="G33" s="32" t="n">
        <f aca="false">COUNTIF(L15:L29,"Completa")</f>
        <v>0</v>
      </c>
      <c r="H33" s="32"/>
      <c r="I33" s="32"/>
      <c r="J33" s="32"/>
    </row>
    <row r="34" customFormat="false" ht="21.75" hidden="false" customHeight="true" outlineLevel="0" collapsed="false">
      <c r="B34" s="31" t="s">
        <v>134</v>
      </c>
      <c r="C34" s="31"/>
      <c r="D34" s="31"/>
      <c r="E34" s="31"/>
      <c r="F34" s="31"/>
      <c r="G34" s="33" t="n">
        <f aca="false">SUM(K15:K29)</f>
        <v>0</v>
      </c>
      <c r="H34" s="33"/>
      <c r="I34" s="33"/>
      <c r="J34" s="33"/>
    </row>
    <row r="35" customFormat="false" ht="21.75" hidden="false" customHeight="true" outlineLevel="0" collapsed="false">
      <c r="B35" s="31" t="s">
        <v>135</v>
      </c>
      <c r="C35" s="31"/>
      <c r="D35" s="31"/>
      <c r="E35" s="31"/>
      <c r="F35" s="31"/>
      <c r="G35" s="33" t="str">
        <f aca="false">IF(I8="","Informe o orçamento",I8-G34)</f>
        <v>Informe o orçamento</v>
      </c>
      <c r="H35" s="33"/>
      <c r="I35" s="33"/>
      <c r="J35" s="33"/>
    </row>
    <row r="36" customFormat="false" ht="21.75" hidden="false" customHeight="true" outlineLevel="0" collapsed="false">
      <c r="B36" s="31" t="s">
        <v>136</v>
      </c>
      <c r="C36" s="31"/>
      <c r="D36" s="31"/>
      <c r="E36" s="31"/>
      <c r="F36" s="31"/>
      <c r="G36" s="34" t="str">
        <f aca="false">IF(COUNT(G15:G29)=0,"",MIN(G15:G29))</f>
        <v/>
      </c>
      <c r="H36" s="34"/>
      <c r="I36" s="34"/>
      <c r="J36" s="34"/>
    </row>
    <row r="37" customFormat="false" ht="21.75" hidden="false" customHeight="true" outlineLevel="0" collapsed="false">
      <c r="B37" s="31" t="s">
        <v>137</v>
      </c>
      <c r="C37" s="31"/>
      <c r="D37" s="31"/>
      <c r="E37" s="31"/>
      <c r="F37" s="31"/>
      <c r="G37" s="34" t="str">
        <f aca="false">IF(COUNT(H15:H29)=0,"",MAX(H15:H29))</f>
        <v/>
      </c>
      <c r="H37" s="34"/>
      <c r="I37" s="34"/>
      <c r="J37" s="34"/>
    </row>
    <row r="38" customFormat="false" ht="21.75" hidden="false" customHeight="true" outlineLevel="0" collapsed="false">
      <c r="B38" s="31" t="s">
        <v>138</v>
      </c>
      <c r="C38" s="31"/>
      <c r="D38" s="31"/>
      <c r="E38" s="31"/>
      <c r="F38" s="31"/>
      <c r="G38" s="29" t="str">
        <f aca="false">IF(G32=0,"Liste as ações",IF(G33&lt;G32,"Há ação com resposta em branco ou com datas invertidas","OK"))</f>
        <v>Liste as ações</v>
      </c>
      <c r="H38" s="29"/>
      <c r="I38" s="29"/>
      <c r="J38" s="29"/>
    </row>
    <row r="39" customFormat="false" ht="21.75" hidden="false" customHeight="true" outlineLevel="0" collapsed="false">
      <c r="B39" s="31" t="s">
        <v>139</v>
      </c>
      <c r="C39" s="31"/>
      <c r="D39" s="31"/>
      <c r="E39" s="31"/>
      <c r="F39" s="31"/>
      <c r="G39" s="29" t="str">
        <f aca="false">IF(I8="","Informe o orçamento aprovado",IF(G34&gt;I8,"Custo previsto acima do orçamento","OK"))</f>
        <v>Informe o orçamento aprovado</v>
      </c>
      <c r="H39" s="29"/>
      <c r="I39" s="29"/>
      <c r="J39" s="29"/>
    </row>
    <row r="40" customFormat="false" ht="21.75" hidden="false" customHeight="true" outlineLevel="0" collapsed="false">
      <c r="B40" s="31" t="s">
        <v>140</v>
      </c>
      <c r="C40" s="31"/>
      <c r="D40" s="31"/>
      <c r="E40" s="31"/>
      <c r="F40" s="31"/>
      <c r="G40" s="35" t="n">
        <f aca="false">COUNTA(D4,I4,D5,I5,D6,I6,D7,D8,I8,D9)</f>
        <v>0</v>
      </c>
      <c r="H40" s="35"/>
      <c r="I40" s="35"/>
      <c r="J40" s="35"/>
    </row>
  </sheetData>
  <mergeCells count="61">
    <mergeCell ref="B1:L1"/>
    <mergeCell ref="B2:L2"/>
    <mergeCell ref="B4:C4"/>
    <mergeCell ref="D4:F4"/>
    <mergeCell ref="G4:H4"/>
    <mergeCell ref="I4:L4"/>
    <mergeCell ref="B5:C5"/>
    <mergeCell ref="D5:F5"/>
    <mergeCell ref="G5:H5"/>
    <mergeCell ref="I5:L5"/>
    <mergeCell ref="B6:C6"/>
    <mergeCell ref="D6:F6"/>
    <mergeCell ref="G6:H6"/>
    <mergeCell ref="I6:L6"/>
    <mergeCell ref="B7:C7"/>
    <mergeCell ref="D7:L7"/>
    <mergeCell ref="B8:C8"/>
    <mergeCell ref="D8:F8"/>
    <mergeCell ref="G8:H8"/>
    <mergeCell ref="I8:L8"/>
    <mergeCell ref="B9:C9"/>
    <mergeCell ref="D9:L9"/>
    <mergeCell ref="C11:D11"/>
    <mergeCell ref="G11:H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L31"/>
    <mergeCell ref="B32:F32"/>
    <mergeCell ref="G32:J32"/>
    <mergeCell ref="B33:F33"/>
    <mergeCell ref="G33:J33"/>
    <mergeCell ref="B34:F34"/>
    <mergeCell ref="G34:J34"/>
    <mergeCell ref="B35:F35"/>
    <mergeCell ref="G35:J35"/>
    <mergeCell ref="B36:F36"/>
    <mergeCell ref="G36:J36"/>
    <mergeCell ref="B37:F37"/>
    <mergeCell ref="G37:J37"/>
    <mergeCell ref="B38:F38"/>
    <mergeCell ref="G38:J38"/>
    <mergeCell ref="B39:F39"/>
    <mergeCell ref="G39:J39"/>
    <mergeCell ref="B40:F40"/>
    <mergeCell ref="G40:J40"/>
  </mergeCells>
  <conditionalFormatting sqref="L15:L29">
    <cfRule type="cellIs" priority="2" operator="equal" aboveAverage="0" equalAverage="0" bottom="0" percent="0" rank="0" text="" dxfId="0">
      <formula>"Completa"</formula>
    </cfRule>
    <cfRule type="cellIs" priority="3" operator="equal" aboveAverage="0" equalAverage="0" bottom="0" percent="0" rank="0" text="" dxfId="1">
      <formula>"Datas invertidas"</formula>
    </cfRule>
    <cfRule type="expression" priority="4" aboveAverage="0" equalAverage="0" bottom="0" percent="0" rank="0" text="" dxfId="2">
      <formula>LEFT(L15,6)="Faltam"</formula>
    </cfRule>
  </conditionalFormatting>
  <conditionalFormatting sqref="G38:J39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2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 G15:H29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15:K2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21"/>
    <col collapsed="false" customWidth="true" hidden="false" outlineLevel="0" max="11" min="11" style="0" width="15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141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19" t="s">
        <v>91</v>
      </c>
      <c r="C4" s="19" t="s">
        <v>143</v>
      </c>
      <c r="D4" s="19" t="s">
        <v>97</v>
      </c>
      <c r="E4" s="19" t="s">
        <v>96</v>
      </c>
      <c r="F4" s="19" t="s">
        <v>144</v>
      </c>
      <c r="G4" s="19" t="s">
        <v>145</v>
      </c>
      <c r="H4" s="19" t="s">
        <v>146</v>
      </c>
      <c r="I4" s="19" t="s">
        <v>147</v>
      </c>
      <c r="J4" s="19" t="s">
        <v>65</v>
      </c>
      <c r="K4" s="19" t="s">
        <v>148</v>
      </c>
    </row>
    <row r="5" customFormat="false" ht="31.5" hidden="false" customHeight="true" outlineLevel="0" collapsed="false">
      <c r="B5" s="20" t="s">
        <v>109</v>
      </c>
      <c r="C5" s="23" t="s">
        <v>110</v>
      </c>
      <c r="D5" s="23" t="s">
        <v>113</v>
      </c>
      <c r="E5" s="24" t="n">
        <v>46325</v>
      </c>
      <c r="F5" s="20" t="s">
        <v>149</v>
      </c>
      <c r="G5" s="24" t="n">
        <v>46330</v>
      </c>
      <c r="H5" s="25" t="n">
        <v>420</v>
      </c>
      <c r="I5" s="23" t="s">
        <v>150</v>
      </c>
      <c r="J5" s="20" t="s">
        <v>151</v>
      </c>
      <c r="K5" s="25" t="n">
        <v>70</v>
      </c>
    </row>
    <row r="6" customFormat="false" ht="30" hidden="false" customHeight="true" outlineLevel="0" collapsed="false">
      <c r="B6" s="26" t="s">
        <v>116</v>
      </c>
      <c r="C6" s="6" t="str">
        <f aca="false">IF(5W2H!C15="","",5W2H!C15)</f>
        <v/>
      </c>
      <c r="D6" s="6" t="str">
        <f aca="false">IF(5W2H!I15="","",5W2H!I15)</f>
        <v/>
      </c>
      <c r="E6" s="36" t="str">
        <f aca="false">IF(5W2H!H15="","",5W2H!H15)</f>
        <v/>
      </c>
      <c r="F6" s="37"/>
      <c r="G6" s="27"/>
      <c r="H6" s="28"/>
      <c r="I6" s="5"/>
      <c r="J6" s="38" t="str">
        <f aca="true">IF(C6="","",IF(F6="Concluída",IF(AND(G6&lt;&gt;"",E6&lt;&gt;"",G6&gt;E6),"Concluída com atraso","Concluída"),IF(F6="Cancelada","Cancelada",IF(E6="","Sem prazo",IF(E6&lt;TODAY(),"Atrasada","No prazo")))))</f>
        <v/>
      </c>
      <c r="K6" s="39" t="str">
        <f aca="false">IF(OR(C6="",H6=""),"",H6-N(5W2H!K15))</f>
        <v/>
      </c>
    </row>
    <row r="7" customFormat="false" ht="30" hidden="false" customHeight="true" outlineLevel="0" collapsed="false">
      <c r="B7" s="26" t="s">
        <v>117</v>
      </c>
      <c r="C7" s="6" t="str">
        <f aca="false">IF(5W2H!C16="","",5W2H!C16)</f>
        <v/>
      </c>
      <c r="D7" s="6" t="str">
        <f aca="false">IF(5W2H!I16="","",5W2H!I16)</f>
        <v/>
      </c>
      <c r="E7" s="36" t="str">
        <f aca="false">IF(5W2H!H16="","",5W2H!H16)</f>
        <v/>
      </c>
      <c r="F7" s="37"/>
      <c r="G7" s="27"/>
      <c r="H7" s="28"/>
      <c r="I7" s="5"/>
      <c r="J7" s="38" t="str">
        <f aca="true">IF(C7="","",IF(F7="Concluída",IF(AND(G7&lt;&gt;"",E7&lt;&gt;"",G7&gt;E7),"Concluída com atraso","Concluída"),IF(F7="Cancelada","Cancelada",IF(E7="","Sem prazo",IF(E7&lt;TODAY(),"Atrasada","No prazo")))))</f>
        <v/>
      </c>
      <c r="K7" s="39" t="str">
        <f aca="false">IF(OR(C7="",H7=""),"",H7-N(5W2H!K16))</f>
        <v/>
      </c>
    </row>
    <row r="8" customFormat="false" ht="30" hidden="false" customHeight="true" outlineLevel="0" collapsed="false">
      <c r="B8" s="26" t="s">
        <v>118</v>
      </c>
      <c r="C8" s="6" t="str">
        <f aca="false">IF(5W2H!C17="","",5W2H!C17)</f>
        <v/>
      </c>
      <c r="D8" s="6" t="str">
        <f aca="false">IF(5W2H!I17="","",5W2H!I17)</f>
        <v/>
      </c>
      <c r="E8" s="36" t="str">
        <f aca="false">IF(5W2H!H17="","",5W2H!H17)</f>
        <v/>
      </c>
      <c r="F8" s="37"/>
      <c r="G8" s="27"/>
      <c r="H8" s="28"/>
      <c r="I8" s="5"/>
      <c r="J8" s="38" t="str">
        <f aca="true">IF(C8="","",IF(F8="Concluída",IF(AND(G8&lt;&gt;"",E8&lt;&gt;"",G8&gt;E8),"Concluída com atraso","Concluída"),IF(F8="Cancelada","Cancelada",IF(E8="","Sem prazo",IF(E8&lt;TODAY(),"Atrasada","No prazo")))))</f>
        <v/>
      </c>
      <c r="K8" s="39" t="str">
        <f aca="false">IF(OR(C8="",H8=""),"",H8-N(5W2H!K17))</f>
        <v/>
      </c>
    </row>
    <row r="9" customFormat="false" ht="30" hidden="false" customHeight="true" outlineLevel="0" collapsed="false">
      <c r="B9" s="26" t="s">
        <v>119</v>
      </c>
      <c r="C9" s="6" t="str">
        <f aca="false">IF(5W2H!C18="","",5W2H!C18)</f>
        <v/>
      </c>
      <c r="D9" s="6" t="str">
        <f aca="false">IF(5W2H!I18="","",5W2H!I18)</f>
        <v/>
      </c>
      <c r="E9" s="36" t="str">
        <f aca="false">IF(5W2H!H18="","",5W2H!H18)</f>
        <v/>
      </c>
      <c r="F9" s="37"/>
      <c r="G9" s="27"/>
      <c r="H9" s="28"/>
      <c r="I9" s="5"/>
      <c r="J9" s="38" t="str">
        <f aca="true">IF(C9="","",IF(F9="Concluída",IF(AND(G9&lt;&gt;"",E9&lt;&gt;"",G9&gt;E9),"Concluída com atraso","Concluída"),IF(F9="Cancelada","Cancelada",IF(E9="","Sem prazo",IF(E9&lt;TODAY(),"Atrasada","No prazo")))))</f>
        <v/>
      </c>
      <c r="K9" s="39" t="str">
        <f aca="false">IF(OR(C9="",H9=""),"",H9-N(5W2H!K18))</f>
        <v/>
      </c>
    </row>
    <row r="10" customFormat="false" ht="30" hidden="false" customHeight="true" outlineLevel="0" collapsed="false">
      <c r="B10" s="26" t="s">
        <v>120</v>
      </c>
      <c r="C10" s="6" t="str">
        <f aca="false">IF(5W2H!C19="","",5W2H!C19)</f>
        <v/>
      </c>
      <c r="D10" s="6" t="str">
        <f aca="false">IF(5W2H!I19="","",5W2H!I19)</f>
        <v/>
      </c>
      <c r="E10" s="36" t="str">
        <f aca="false">IF(5W2H!H19="","",5W2H!H19)</f>
        <v/>
      </c>
      <c r="F10" s="37"/>
      <c r="G10" s="27"/>
      <c r="H10" s="28"/>
      <c r="I10" s="5"/>
      <c r="J10" s="38" t="str">
        <f aca="true">IF(C10="","",IF(F10="Concluída",IF(AND(G10&lt;&gt;"",E10&lt;&gt;"",G10&gt;E10),"Concluída com atraso","Concluída"),IF(F10="Cancelada","Cancelada",IF(E10="","Sem prazo",IF(E10&lt;TODAY(),"Atrasada","No prazo")))))</f>
        <v/>
      </c>
      <c r="K10" s="39" t="str">
        <f aca="false">IF(OR(C10="",H10=""),"",H10-N(5W2H!K19))</f>
        <v/>
      </c>
    </row>
    <row r="11" customFormat="false" ht="30" hidden="false" customHeight="true" outlineLevel="0" collapsed="false">
      <c r="B11" s="26" t="s">
        <v>121</v>
      </c>
      <c r="C11" s="6" t="str">
        <f aca="false">IF(5W2H!C20="","",5W2H!C20)</f>
        <v/>
      </c>
      <c r="D11" s="6" t="str">
        <f aca="false">IF(5W2H!I20="","",5W2H!I20)</f>
        <v/>
      </c>
      <c r="E11" s="36" t="str">
        <f aca="false">IF(5W2H!H20="","",5W2H!H20)</f>
        <v/>
      </c>
      <c r="F11" s="37"/>
      <c r="G11" s="27"/>
      <c r="H11" s="28"/>
      <c r="I11" s="5"/>
      <c r="J11" s="38" t="str">
        <f aca="true">IF(C11="","",IF(F11="Concluída",IF(AND(G11&lt;&gt;"",E11&lt;&gt;"",G11&gt;E11),"Concluída com atraso","Concluída"),IF(F11="Cancelada","Cancelada",IF(E11="","Sem prazo",IF(E11&lt;TODAY(),"Atrasada","No prazo")))))</f>
        <v/>
      </c>
      <c r="K11" s="39" t="str">
        <f aca="false">IF(OR(C11="",H11=""),"",H11-N(5W2H!K20))</f>
        <v/>
      </c>
    </row>
    <row r="12" customFormat="false" ht="30" hidden="false" customHeight="true" outlineLevel="0" collapsed="false">
      <c r="B12" s="26" t="s">
        <v>122</v>
      </c>
      <c r="C12" s="6" t="str">
        <f aca="false">IF(5W2H!C21="","",5W2H!C21)</f>
        <v/>
      </c>
      <c r="D12" s="6" t="str">
        <f aca="false">IF(5W2H!I21="","",5W2H!I21)</f>
        <v/>
      </c>
      <c r="E12" s="36" t="str">
        <f aca="false">IF(5W2H!H21="","",5W2H!H21)</f>
        <v/>
      </c>
      <c r="F12" s="37"/>
      <c r="G12" s="27"/>
      <c r="H12" s="28"/>
      <c r="I12" s="5"/>
      <c r="J12" s="38" t="str">
        <f aca="true">IF(C12="","",IF(F12="Concluída",IF(AND(G12&lt;&gt;"",E12&lt;&gt;"",G12&gt;E12),"Concluída com atraso","Concluída"),IF(F12="Cancelada","Cancelada",IF(E12="","Sem prazo",IF(E12&lt;TODAY(),"Atrasada","No prazo")))))</f>
        <v/>
      </c>
      <c r="K12" s="39" t="str">
        <f aca="false">IF(OR(C12="",H12=""),"",H12-N(5W2H!K21))</f>
        <v/>
      </c>
    </row>
    <row r="13" customFormat="false" ht="30" hidden="false" customHeight="true" outlineLevel="0" collapsed="false">
      <c r="B13" s="26" t="s">
        <v>123</v>
      </c>
      <c r="C13" s="6" t="str">
        <f aca="false">IF(5W2H!C22="","",5W2H!C22)</f>
        <v/>
      </c>
      <c r="D13" s="6" t="str">
        <f aca="false">IF(5W2H!I22="","",5W2H!I22)</f>
        <v/>
      </c>
      <c r="E13" s="36" t="str">
        <f aca="false">IF(5W2H!H22="","",5W2H!H22)</f>
        <v/>
      </c>
      <c r="F13" s="37"/>
      <c r="G13" s="27"/>
      <c r="H13" s="28"/>
      <c r="I13" s="5"/>
      <c r="J13" s="38" t="str">
        <f aca="true">IF(C13="","",IF(F13="Concluída",IF(AND(G13&lt;&gt;"",E13&lt;&gt;"",G13&gt;E13),"Concluída com atraso","Concluída"),IF(F13="Cancelada","Cancelada",IF(E13="","Sem prazo",IF(E13&lt;TODAY(),"Atrasada","No prazo")))))</f>
        <v/>
      </c>
      <c r="K13" s="39" t="str">
        <f aca="false">IF(OR(C13="",H13=""),"",H13-N(5W2H!K22))</f>
        <v/>
      </c>
    </row>
    <row r="14" customFormat="false" ht="30" hidden="false" customHeight="true" outlineLevel="0" collapsed="false">
      <c r="B14" s="26" t="s">
        <v>124</v>
      </c>
      <c r="C14" s="6" t="str">
        <f aca="false">IF(5W2H!C23="","",5W2H!C23)</f>
        <v/>
      </c>
      <c r="D14" s="6" t="str">
        <f aca="false">IF(5W2H!I23="","",5W2H!I23)</f>
        <v/>
      </c>
      <c r="E14" s="36" t="str">
        <f aca="false">IF(5W2H!H23="","",5W2H!H23)</f>
        <v/>
      </c>
      <c r="F14" s="37"/>
      <c r="G14" s="27"/>
      <c r="H14" s="28"/>
      <c r="I14" s="5"/>
      <c r="J14" s="38" t="str">
        <f aca="true">IF(C14="","",IF(F14="Concluída",IF(AND(G14&lt;&gt;"",E14&lt;&gt;"",G14&gt;E14),"Concluída com atraso","Concluída"),IF(F14="Cancelada","Cancelada",IF(E14="","Sem prazo",IF(E14&lt;TODAY(),"Atrasada","No prazo")))))</f>
        <v/>
      </c>
      <c r="K14" s="39" t="str">
        <f aca="false">IF(OR(C14="",H14=""),"",H14-N(5W2H!K23))</f>
        <v/>
      </c>
    </row>
    <row r="15" customFormat="false" ht="30" hidden="false" customHeight="true" outlineLevel="0" collapsed="false">
      <c r="B15" s="26" t="s">
        <v>125</v>
      </c>
      <c r="C15" s="6" t="str">
        <f aca="false">IF(5W2H!C24="","",5W2H!C24)</f>
        <v/>
      </c>
      <c r="D15" s="6" t="str">
        <f aca="false">IF(5W2H!I24="","",5W2H!I24)</f>
        <v/>
      </c>
      <c r="E15" s="36" t="str">
        <f aca="false">IF(5W2H!H24="","",5W2H!H24)</f>
        <v/>
      </c>
      <c r="F15" s="37"/>
      <c r="G15" s="27"/>
      <c r="H15" s="28"/>
      <c r="I15" s="5"/>
      <c r="J15" s="38" t="str">
        <f aca="true">IF(C15="","",IF(F15="Concluída",IF(AND(G15&lt;&gt;"",E15&lt;&gt;"",G15&gt;E15),"Concluída com atraso","Concluída"),IF(F15="Cancelada","Cancelada",IF(E15="","Sem prazo",IF(E15&lt;TODAY(),"Atrasada","No prazo")))))</f>
        <v/>
      </c>
      <c r="K15" s="39" t="str">
        <f aca="false">IF(OR(C15="",H15=""),"",H15-N(5W2H!K24))</f>
        <v/>
      </c>
    </row>
    <row r="16" customFormat="false" ht="30" hidden="false" customHeight="true" outlineLevel="0" collapsed="false">
      <c r="B16" s="26" t="s">
        <v>126</v>
      </c>
      <c r="C16" s="6" t="str">
        <f aca="false">IF(5W2H!C25="","",5W2H!C25)</f>
        <v/>
      </c>
      <c r="D16" s="6" t="str">
        <f aca="false">IF(5W2H!I25="","",5W2H!I25)</f>
        <v/>
      </c>
      <c r="E16" s="36" t="str">
        <f aca="false">IF(5W2H!H25="","",5W2H!H25)</f>
        <v/>
      </c>
      <c r="F16" s="37"/>
      <c r="G16" s="27"/>
      <c r="H16" s="28"/>
      <c r="I16" s="5"/>
      <c r="J16" s="38" t="str">
        <f aca="true">IF(C16="","",IF(F16="Concluída",IF(AND(G16&lt;&gt;"",E16&lt;&gt;"",G16&gt;E16),"Concluída com atraso","Concluída"),IF(F16="Cancelada","Cancelada",IF(E16="","Sem prazo",IF(E16&lt;TODAY(),"Atrasada","No prazo")))))</f>
        <v/>
      </c>
      <c r="K16" s="39" t="str">
        <f aca="false">IF(OR(C16="",H16=""),"",H16-N(5W2H!K25))</f>
        <v/>
      </c>
    </row>
    <row r="17" customFormat="false" ht="30" hidden="false" customHeight="true" outlineLevel="0" collapsed="false">
      <c r="B17" s="26" t="s">
        <v>127</v>
      </c>
      <c r="C17" s="6" t="str">
        <f aca="false">IF(5W2H!C26="","",5W2H!C26)</f>
        <v/>
      </c>
      <c r="D17" s="6" t="str">
        <f aca="false">IF(5W2H!I26="","",5W2H!I26)</f>
        <v/>
      </c>
      <c r="E17" s="36" t="str">
        <f aca="false">IF(5W2H!H26="","",5W2H!H26)</f>
        <v/>
      </c>
      <c r="F17" s="37"/>
      <c r="G17" s="27"/>
      <c r="H17" s="28"/>
      <c r="I17" s="5"/>
      <c r="J17" s="38" t="str">
        <f aca="true">IF(C17="","",IF(F17="Concluída",IF(AND(G17&lt;&gt;"",E17&lt;&gt;"",G17&gt;E17),"Concluída com atraso","Concluída"),IF(F17="Cancelada","Cancelada",IF(E17="","Sem prazo",IF(E17&lt;TODAY(),"Atrasada","No prazo")))))</f>
        <v/>
      </c>
      <c r="K17" s="39" t="str">
        <f aca="false">IF(OR(C17="",H17=""),"",H17-N(5W2H!K26))</f>
        <v/>
      </c>
    </row>
    <row r="18" customFormat="false" ht="30" hidden="false" customHeight="true" outlineLevel="0" collapsed="false">
      <c r="B18" s="26" t="s">
        <v>128</v>
      </c>
      <c r="C18" s="6" t="str">
        <f aca="false">IF(5W2H!C27="","",5W2H!C27)</f>
        <v/>
      </c>
      <c r="D18" s="6" t="str">
        <f aca="false">IF(5W2H!I27="","",5W2H!I27)</f>
        <v/>
      </c>
      <c r="E18" s="36" t="str">
        <f aca="false">IF(5W2H!H27="","",5W2H!H27)</f>
        <v/>
      </c>
      <c r="F18" s="37"/>
      <c r="G18" s="27"/>
      <c r="H18" s="28"/>
      <c r="I18" s="5"/>
      <c r="J18" s="38" t="str">
        <f aca="true">IF(C18="","",IF(F18="Concluída",IF(AND(G18&lt;&gt;"",E18&lt;&gt;"",G18&gt;E18),"Concluída com atraso","Concluída"),IF(F18="Cancelada","Cancelada",IF(E18="","Sem prazo",IF(E18&lt;TODAY(),"Atrasada","No prazo")))))</f>
        <v/>
      </c>
      <c r="K18" s="39" t="str">
        <f aca="false">IF(OR(C18="",H18=""),"",H18-N(5W2H!K27))</f>
        <v/>
      </c>
    </row>
    <row r="19" customFormat="false" ht="30" hidden="false" customHeight="true" outlineLevel="0" collapsed="false">
      <c r="B19" s="26" t="s">
        <v>129</v>
      </c>
      <c r="C19" s="6" t="str">
        <f aca="false">IF(5W2H!C28="","",5W2H!C28)</f>
        <v/>
      </c>
      <c r="D19" s="6" t="str">
        <f aca="false">IF(5W2H!I28="","",5W2H!I28)</f>
        <v/>
      </c>
      <c r="E19" s="36" t="str">
        <f aca="false">IF(5W2H!H28="","",5W2H!H28)</f>
        <v/>
      </c>
      <c r="F19" s="37"/>
      <c r="G19" s="27"/>
      <c r="H19" s="28"/>
      <c r="I19" s="5"/>
      <c r="J19" s="38" t="str">
        <f aca="true">IF(C19="","",IF(F19="Concluída",IF(AND(G19&lt;&gt;"",E19&lt;&gt;"",G19&gt;E19),"Concluída com atraso","Concluída"),IF(F19="Cancelada","Cancelada",IF(E19="","Sem prazo",IF(E19&lt;TODAY(),"Atrasada","No prazo")))))</f>
        <v/>
      </c>
      <c r="K19" s="39" t="str">
        <f aca="false">IF(OR(C19="",H19=""),"",H19-N(5W2H!K28))</f>
        <v/>
      </c>
    </row>
    <row r="20" customFormat="false" ht="30" hidden="false" customHeight="true" outlineLevel="0" collapsed="false">
      <c r="B20" s="26" t="s">
        <v>130</v>
      </c>
      <c r="C20" s="6" t="str">
        <f aca="false">IF(5W2H!C29="","",5W2H!C29)</f>
        <v/>
      </c>
      <c r="D20" s="6" t="str">
        <f aca="false">IF(5W2H!I29="","",5W2H!I29)</f>
        <v/>
      </c>
      <c r="E20" s="36" t="str">
        <f aca="false">IF(5W2H!H29="","",5W2H!H29)</f>
        <v/>
      </c>
      <c r="F20" s="37"/>
      <c r="G20" s="27"/>
      <c r="H20" s="28"/>
      <c r="I20" s="5"/>
      <c r="J20" s="38" t="str">
        <f aca="true">IF(C20="","",IF(F20="Concluída",IF(AND(G20&lt;&gt;"",E20&lt;&gt;"",G20&gt;E20),"Concluída com atraso","Concluída"),IF(F20="Cancelada","Cancelada",IF(E20="","Sem prazo",IF(E20&lt;TODAY(),"Atrasada","No prazo")))))</f>
        <v/>
      </c>
      <c r="K20" s="39" t="str">
        <f aca="false">IF(OR(C20="",H20=""),"",H20-N(5W2H!K29))</f>
        <v/>
      </c>
    </row>
    <row r="22" customFormat="false" ht="21.75" hidden="false" customHeight="true" outlineLevel="0" collapsed="false">
      <c r="B22" s="30" t="s">
        <v>131</v>
      </c>
      <c r="C22" s="30"/>
      <c r="D22" s="30"/>
      <c r="E22" s="30"/>
      <c r="F22" s="30"/>
      <c r="G22" s="30"/>
      <c r="H22" s="30"/>
      <c r="I22" s="30"/>
      <c r="J22" s="30"/>
      <c r="K22" s="30"/>
    </row>
    <row r="23" customFormat="false" ht="19.5" hidden="false" customHeight="true" outlineLevel="0" collapsed="false">
      <c r="B23" s="31" t="s">
        <v>152</v>
      </c>
      <c r="C23" s="31"/>
      <c r="D23" s="31"/>
      <c r="E23" s="31"/>
      <c r="F23" s="32" t="n">
        <f aca="false">SUMPRODUCT(--(C6:C20&lt;&gt;""))</f>
        <v>0</v>
      </c>
      <c r="G23" s="32"/>
      <c r="H23" s="32"/>
    </row>
    <row r="24" customFormat="false" ht="19.5" hidden="false" customHeight="true" outlineLevel="0" collapsed="false">
      <c r="B24" s="31" t="s">
        <v>153</v>
      </c>
      <c r="C24" s="31"/>
      <c r="D24" s="31"/>
      <c r="E24" s="31"/>
      <c r="F24" s="32" t="n">
        <f aca="false">COUNTIF(J6:J20,"Concluída")+COUNTIF(J6:J20,"Concluída com atraso")</f>
        <v>0</v>
      </c>
      <c r="G24" s="32"/>
      <c r="H24" s="32"/>
    </row>
    <row r="25" customFormat="false" ht="19.5" hidden="false" customHeight="true" outlineLevel="0" collapsed="false">
      <c r="B25" s="31" t="s">
        <v>154</v>
      </c>
      <c r="C25" s="31"/>
      <c r="D25" s="31"/>
      <c r="E25" s="31"/>
      <c r="F25" s="32" t="n">
        <f aca="false">COUNTIF(J6:J20,"Concluída com atraso")</f>
        <v>0</v>
      </c>
      <c r="G25" s="32"/>
      <c r="H25" s="32"/>
    </row>
    <row r="26" customFormat="false" ht="19.5" hidden="false" customHeight="true" outlineLevel="0" collapsed="false">
      <c r="B26" s="31" t="s">
        <v>155</v>
      </c>
      <c r="C26" s="31"/>
      <c r="D26" s="31"/>
      <c r="E26" s="31"/>
      <c r="F26" s="32" t="n">
        <f aca="false">COUNTIF(J6:J20,"No prazo")</f>
        <v>0</v>
      </c>
      <c r="G26" s="32"/>
      <c r="H26" s="32"/>
    </row>
    <row r="27" customFormat="false" ht="19.5" hidden="false" customHeight="true" outlineLevel="0" collapsed="false">
      <c r="B27" s="31" t="s">
        <v>156</v>
      </c>
      <c r="C27" s="31"/>
      <c r="D27" s="31"/>
      <c r="E27" s="31"/>
      <c r="F27" s="32" t="n">
        <f aca="false">COUNTIF(J6:J20,"Atrasada")</f>
        <v>0</v>
      </c>
      <c r="G27" s="32"/>
      <c r="H27" s="32"/>
    </row>
    <row r="28" customFormat="false" ht="19.5" hidden="false" customHeight="true" outlineLevel="0" collapsed="false">
      <c r="B28" s="31" t="s">
        <v>157</v>
      </c>
      <c r="C28" s="31"/>
      <c r="D28" s="31"/>
      <c r="E28" s="31"/>
      <c r="F28" s="32" t="n">
        <f aca="false">COUNTIF(J6:J20,"Cancelada")</f>
        <v>0</v>
      </c>
      <c r="G28" s="32"/>
      <c r="H28" s="32"/>
    </row>
    <row r="29" customFormat="false" ht="19.5" hidden="false" customHeight="true" outlineLevel="0" collapsed="false">
      <c r="B29" s="31" t="s">
        <v>158</v>
      </c>
      <c r="C29" s="31"/>
      <c r="D29" s="31"/>
      <c r="E29" s="31"/>
      <c r="F29" s="40" t="n">
        <f aca="false">IF(F23-F28&lt;=0,0,F24/(F23-F28))</f>
        <v>0</v>
      </c>
      <c r="G29" s="40"/>
      <c r="H29" s="40"/>
    </row>
    <row r="30" customFormat="false" ht="19.5" hidden="false" customHeight="true" outlineLevel="0" collapsed="false">
      <c r="B30" s="31" t="s">
        <v>159</v>
      </c>
      <c r="C30" s="31"/>
      <c r="D30" s="31"/>
      <c r="E30" s="31"/>
      <c r="F30" s="33" t="n">
        <f aca="false">SUM(5W2H!K15:K29)</f>
        <v>0</v>
      </c>
      <c r="G30" s="33"/>
      <c r="H30" s="33"/>
    </row>
    <row r="31" customFormat="false" ht="19.5" hidden="false" customHeight="true" outlineLevel="0" collapsed="false">
      <c r="B31" s="31" t="s">
        <v>146</v>
      </c>
      <c r="C31" s="31"/>
      <c r="D31" s="31"/>
      <c r="E31" s="31"/>
      <c r="F31" s="33" t="n">
        <f aca="false">SUM(H6:H20)</f>
        <v>0</v>
      </c>
      <c r="G31" s="33"/>
      <c r="H31" s="33"/>
    </row>
    <row r="32" customFormat="false" ht="19.5" hidden="false" customHeight="true" outlineLevel="0" collapsed="false">
      <c r="B32" s="31" t="s">
        <v>160</v>
      </c>
      <c r="C32" s="31"/>
      <c r="D32" s="31"/>
      <c r="E32" s="31"/>
      <c r="F32" s="29" t="str">
        <f aca="false">IF(SUMPRODUCT((F6:F20="Concluída")*((G6:G20="")+(I6:I20="")&gt;0))&gt;0,"Há ação concluída sem data ou sem evidência","OK")</f>
        <v>OK</v>
      </c>
      <c r="G32" s="29"/>
      <c r="H32" s="29"/>
    </row>
    <row r="33" customFormat="false" ht="19.5" hidden="false" customHeight="true" outlineLevel="0" collapsed="false">
      <c r="B33" s="31" t="s">
        <v>161</v>
      </c>
      <c r="C33" s="31"/>
      <c r="D33" s="31"/>
      <c r="E33" s="31"/>
      <c r="F33" s="29" t="str">
        <f aca="false">IF(SUMPRODUCT((C6:C20&lt;&gt;"")*(F6:F20=""))&gt;0,"Há ação sem status","OK")</f>
        <v>OK</v>
      </c>
      <c r="G33" s="29"/>
      <c r="H33" s="29"/>
    </row>
    <row r="35" customFormat="false" ht="21.75" hidden="false" customHeight="true" outlineLevel="0" collapsed="false">
      <c r="B35" s="30" t="s">
        <v>162</v>
      </c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15" hidden="false" customHeight="true" outlineLevel="0" collapsed="false">
      <c r="B36" s="41" t="s">
        <v>65</v>
      </c>
      <c r="C36" s="41"/>
      <c r="D36" s="41" t="s">
        <v>163</v>
      </c>
    </row>
    <row r="37" customFormat="false" ht="19.5" hidden="false" customHeight="true" outlineLevel="0" collapsed="false">
      <c r="B37" s="4" t="s">
        <v>149</v>
      </c>
      <c r="C37" s="4"/>
      <c r="D37" s="41" t="n">
        <f aca="false">COUNTIF(J6:J20,"Concluída")</f>
        <v>0</v>
      </c>
    </row>
    <row r="38" customFormat="false" ht="19.5" hidden="false" customHeight="true" outlineLevel="0" collapsed="false">
      <c r="B38" s="4" t="s">
        <v>151</v>
      </c>
      <c r="C38" s="4"/>
      <c r="D38" s="41" t="n">
        <f aca="false">COUNTIF(J6:J20,"Concluída com atraso")</f>
        <v>0</v>
      </c>
    </row>
    <row r="39" customFormat="false" ht="19.5" hidden="false" customHeight="true" outlineLevel="0" collapsed="false">
      <c r="B39" s="4" t="s">
        <v>155</v>
      </c>
      <c r="C39" s="4"/>
      <c r="D39" s="41" t="n">
        <f aca="false">COUNTIF(J6:J20,"No prazo")</f>
        <v>0</v>
      </c>
    </row>
    <row r="40" customFormat="false" ht="19.5" hidden="false" customHeight="true" outlineLevel="0" collapsed="false">
      <c r="B40" s="4" t="s">
        <v>164</v>
      </c>
      <c r="C40" s="4"/>
      <c r="D40" s="41" t="n">
        <f aca="false">COUNTIF(J6:J20,"Atrasada")</f>
        <v>0</v>
      </c>
    </row>
    <row r="41" customFormat="false" ht="19.5" hidden="false" customHeight="true" outlineLevel="0" collapsed="false">
      <c r="B41" s="4" t="s">
        <v>165</v>
      </c>
      <c r="C41" s="4"/>
      <c r="D41" s="41" t="n">
        <f aca="false">COUNTIF(J6:J20,"Sem prazo")</f>
        <v>0</v>
      </c>
    </row>
    <row r="42" customFormat="false" ht="19.5" hidden="false" customHeight="true" outlineLevel="0" collapsed="false">
      <c r="B42" s="4" t="s">
        <v>166</v>
      </c>
      <c r="C42" s="4"/>
      <c r="D42" s="41" t="n">
        <f aca="false">COUNTIF(J6:J20,"Cancelada")</f>
        <v>0</v>
      </c>
    </row>
  </sheetData>
  <mergeCells count="33">
    <mergeCell ref="B1:K1"/>
    <mergeCell ref="B2:K2"/>
    <mergeCell ref="B22:K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5:K35"/>
    <mergeCell ref="B36:C36"/>
    <mergeCell ref="B37:C37"/>
    <mergeCell ref="B38:C38"/>
    <mergeCell ref="B39:C39"/>
    <mergeCell ref="B40:C40"/>
    <mergeCell ref="B41:C41"/>
    <mergeCell ref="B42:C42"/>
  </mergeCells>
  <conditionalFormatting sqref="F6:F2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2">
      <formula>"Em andamento"</formula>
    </cfRule>
    <cfRule type="cellIs" priority="4" operator="equal" aboveAverage="0" equalAverage="0" bottom="0" percent="0" rank="0" text="" dxfId="1">
      <formula>"Não iniciada"</formula>
    </cfRule>
  </conditionalFormatting>
  <conditionalFormatting sqref="J6:J20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2">
      <formula>"Concluída com atraso"</formula>
    </cfRule>
    <cfRule type="cellIs" priority="8" operator="equal" aboveAverage="0" equalAverage="0" bottom="0" percent="0" rank="0" text="" dxfId="2">
      <formula>"Sem prazo"</formula>
    </cfRule>
    <cfRule type="cellIs" priority="9" operator="equal" aboveAverage="0" equalAverage="0" bottom="0" percent="0" rank="0" text="" dxfId="1">
      <formula>"Atrasada"</formula>
    </cfRule>
  </conditionalFormatting>
  <conditionalFormatting sqref="F32:H33">
    <cfRule type="cellIs" priority="10" operator="equal" aboveAverage="0" equalAverage="0" bottom="0" percent="0" rank="0" text="" dxfId="0">
      <formula>"OK"</formula>
    </cfRule>
    <cfRule type="cellIs" priority="11" operator="notEqual" aboveAverage="0" equalAverage="0" bottom="0" percent="0" rank="0" text="" dxfId="2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G6:G20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6:H20" type="decimal">
      <formula1>-1000000000</formula1>
      <formula2>1000000000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F6:F20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3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3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167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168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19" t="s">
        <v>91</v>
      </c>
      <c r="C4" s="19" t="s">
        <v>169</v>
      </c>
      <c r="D4" s="19" t="s">
        <v>170</v>
      </c>
      <c r="E4" s="19" t="s">
        <v>171</v>
      </c>
      <c r="F4" s="19" t="s">
        <v>172</v>
      </c>
      <c r="G4" s="19" t="s">
        <v>173</v>
      </c>
      <c r="H4" s="19" t="s">
        <v>174</v>
      </c>
      <c r="I4" s="19" t="s">
        <v>77</v>
      </c>
      <c r="J4" s="19" t="s">
        <v>175</v>
      </c>
      <c r="K4" s="19" t="s">
        <v>176</v>
      </c>
    </row>
    <row r="5" customFormat="false" ht="31.5" hidden="false" customHeight="true" outlineLevel="0" collapsed="false">
      <c r="B5" s="20" t="s">
        <v>109</v>
      </c>
      <c r="C5" s="23" t="s">
        <v>177</v>
      </c>
      <c r="D5" s="23" t="s">
        <v>178</v>
      </c>
      <c r="E5" s="20" t="n">
        <v>82</v>
      </c>
      <c r="F5" s="20" t="n">
        <v>95</v>
      </c>
      <c r="G5" s="20" t="s">
        <v>179</v>
      </c>
      <c r="H5" s="20" t="n">
        <v>95.5</v>
      </c>
      <c r="I5" s="24" t="n">
        <v>46356</v>
      </c>
      <c r="J5" s="20" t="s">
        <v>180</v>
      </c>
      <c r="K5" s="23" t="s">
        <v>181</v>
      </c>
    </row>
    <row r="6" customFormat="false" ht="30" hidden="false" customHeight="true" outlineLevel="0" collapsed="false">
      <c r="B6" s="26" t="n">
        <v>1</v>
      </c>
      <c r="C6" s="5"/>
      <c r="D6" s="5"/>
      <c r="E6" s="37"/>
      <c r="F6" s="37"/>
      <c r="G6" s="37"/>
      <c r="H6" s="37"/>
      <c r="I6" s="27"/>
      <c r="J6" s="42" t="str">
        <f aca="false">IF(OR(H6="",F6=""),"",IF(G6="Menor é melhor",IF(H6&lt;=F6,"Sim","Não"),IF(H6&gt;=F6,"Sim","Não")))</f>
        <v/>
      </c>
      <c r="K6" s="5"/>
    </row>
    <row r="7" customFormat="false" ht="30" hidden="false" customHeight="true" outlineLevel="0" collapsed="false">
      <c r="B7" s="26" t="n">
        <v>2</v>
      </c>
      <c r="C7" s="5"/>
      <c r="D7" s="5"/>
      <c r="E7" s="37"/>
      <c r="F7" s="37"/>
      <c r="G7" s="37"/>
      <c r="H7" s="37"/>
      <c r="I7" s="27"/>
      <c r="J7" s="42" t="str">
        <f aca="false">IF(OR(H7="",F7=""),"",IF(G7="Menor é melhor",IF(H7&lt;=F7,"Sim","Não"),IF(H7&gt;=F7,"Sim","Não")))</f>
        <v/>
      </c>
      <c r="K7" s="5"/>
    </row>
    <row r="8" customFormat="false" ht="30" hidden="false" customHeight="true" outlineLevel="0" collapsed="false">
      <c r="B8" s="26" t="n">
        <v>3</v>
      </c>
      <c r="C8" s="5"/>
      <c r="D8" s="5"/>
      <c r="E8" s="37"/>
      <c r="F8" s="37"/>
      <c r="G8" s="37"/>
      <c r="H8" s="37"/>
      <c r="I8" s="27"/>
      <c r="J8" s="42" t="str">
        <f aca="false">IF(OR(H8="",F8=""),"",IF(G8="Menor é melhor",IF(H8&lt;=F8,"Sim","Não"),IF(H8&gt;=F8,"Sim","Não")))</f>
        <v/>
      </c>
      <c r="K8" s="5"/>
    </row>
    <row r="9" customFormat="false" ht="30" hidden="false" customHeight="true" outlineLevel="0" collapsed="false">
      <c r="B9" s="26" t="n">
        <v>4</v>
      </c>
      <c r="C9" s="5"/>
      <c r="D9" s="5"/>
      <c r="E9" s="37"/>
      <c r="F9" s="37"/>
      <c r="G9" s="37"/>
      <c r="H9" s="37"/>
      <c r="I9" s="27"/>
      <c r="J9" s="42" t="str">
        <f aca="false">IF(OR(H9="",F9=""),"",IF(G9="Menor é melhor",IF(H9&lt;=F9,"Sim","Não"),IF(H9&gt;=F9,"Sim","Não")))</f>
        <v/>
      </c>
      <c r="K9" s="5"/>
    </row>
    <row r="10" customFormat="false" ht="30" hidden="false" customHeight="true" outlineLevel="0" collapsed="false">
      <c r="B10" s="26" t="n">
        <v>5</v>
      </c>
      <c r="C10" s="5"/>
      <c r="D10" s="5"/>
      <c r="E10" s="37"/>
      <c r="F10" s="37"/>
      <c r="G10" s="37"/>
      <c r="H10" s="37"/>
      <c r="I10" s="27"/>
      <c r="J10" s="42" t="str">
        <f aca="false">IF(OR(H10="",F10=""),"",IF(G10="Menor é melhor",IF(H10&lt;=F10,"Sim","Não"),IF(H10&gt;=F10,"Sim","Não")))</f>
        <v/>
      </c>
      <c r="K10" s="5"/>
    </row>
    <row r="11" customFormat="false" ht="30" hidden="false" customHeight="true" outlineLevel="0" collapsed="false">
      <c r="B11" s="26" t="n">
        <v>6</v>
      </c>
      <c r="C11" s="5"/>
      <c r="D11" s="5"/>
      <c r="E11" s="37"/>
      <c r="F11" s="37"/>
      <c r="G11" s="37"/>
      <c r="H11" s="37"/>
      <c r="I11" s="27"/>
      <c r="J11" s="42" t="str">
        <f aca="false">IF(OR(H11="",F11=""),"",IF(G11="Menor é melhor",IF(H11&lt;=F11,"Sim","Não"),IF(H11&gt;=F11,"Sim","Não")))</f>
        <v/>
      </c>
      <c r="K11" s="5"/>
    </row>
    <row r="12" customFormat="false" ht="30" hidden="false" customHeight="true" outlineLevel="0" collapsed="false">
      <c r="B12" s="26" t="n">
        <v>7</v>
      </c>
      <c r="C12" s="5"/>
      <c r="D12" s="5"/>
      <c r="E12" s="37"/>
      <c r="F12" s="37"/>
      <c r="G12" s="37"/>
      <c r="H12" s="37"/>
      <c r="I12" s="27"/>
      <c r="J12" s="42" t="str">
        <f aca="false">IF(OR(H12="",F12=""),"",IF(G12="Menor é melhor",IF(H12&lt;=F12,"Sim","Não"),IF(H12&gt;=F12,"Sim","Não")))</f>
        <v/>
      </c>
      <c r="K12" s="5"/>
    </row>
    <row r="13" customFormat="false" ht="30" hidden="false" customHeight="true" outlineLevel="0" collapsed="false">
      <c r="B13" s="26" t="n">
        <v>8</v>
      </c>
      <c r="C13" s="5"/>
      <c r="D13" s="5"/>
      <c r="E13" s="37"/>
      <c r="F13" s="37"/>
      <c r="G13" s="37"/>
      <c r="H13" s="37"/>
      <c r="I13" s="27"/>
      <c r="J13" s="42" t="str">
        <f aca="false">IF(OR(H13="",F13=""),"",IF(G13="Menor é melhor",IF(H13&lt;=F13,"Sim","Não"),IF(H13&gt;=F13,"Sim","Não")))</f>
        <v/>
      </c>
      <c r="K13" s="5"/>
    </row>
    <row r="15" customFormat="false" ht="21.75" hidden="false" customHeight="true" outlineLevel="0" collapsed="false">
      <c r="B15" s="30" t="s">
        <v>131</v>
      </c>
      <c r="C15" s="30"/>
      <c r="D15" s="30"/>
      <c r="E15" s="30"/>
      <c r="F15" s="30"/>
      <c r="G15" s="30"/>
      <c r="H15" s="30"/>
      <c r="I15" s="30"/>
      <c r="J15" s="30"/>
      <c r="K15" s="30"/>
    </row>
    <row r="16" customFormat="false" ht="19.5" hidden="false" customHeight="true" outlineLevel="0" collapsed="false">
      <c r="B16" s="31" t="s">
        <v>182</v>
      </c>
      <c r="C16" s="31"/>
      <c r="D16" s="31"/>
      <c r="E16" s="32" t="n">
        <f aca="false">COUNTA(D6:D13)</f>
        <v>0</v>
      </c>
      <c r="F16" s="32"/>
      <c r="G16" s="32"/>
      <c r="H16" s="32"/>
    </row>
    <row r="17" customFormat="false" ht="19.5" hidden="false" customHeight="true" outlineLevel="0" collapsed="false">
      <c r="B17" s="31" t="s">
        <v>183</v>
      </c>
      <c r="C17" s="31"/>
      <c r="D17" s="31"/>
      <c r="E17" s="32" t="n">
        <f aca="false">COUNT(H6:H13)</f>
        <v>0</v>
      </c>
      <c r="F17" s="32"/>
      <c r="G17" s="32"/>
      <c r="H17" s="32"/>
    </row>
    <row r="18" customFormat="false" ht="19.5" hidden="false" customHeight="true" outlineLevel="0" collapsed="false">
      <c r="B18" s="31" t="s">
        <v>184</v>
      </c>
      <c r="C18" s="31"/>
      <c r="D18" s="31"/>
      <c r="E18" s="32" t="n">
        <f aca="false">COUNTIF(J6:J13,"Sim")</f>
        <v>0</v>
      </c>
      <c r="F18" s="32"/>
      <c r="G18" s="32"/>
      <c r="H18" s="32"/>
    </row>
    <row r="19" customFormat="false" ht="19.5" hidden="false" customHeight="true" outlineLevel="0" collapsed="false">
      <c r="B19" s="31" t="s">
        <v>185</v>
      </c>
      <c r="C19" s="31"/>
      <c r="D19" s="31"/>
      <c r="E19" s="32" t="n">
        <f aca="false">COUNTIF(J6:J13,"Não")</f>
        <v>0</v>
      </c>
      <c r="F19" s="32"/>
      <c r="G19" s="32"/>
      <c r="H19" s="32"/>
    </row>
    <row r="20" customFormat="false" ht="19.5" hidden="false" customHeight="true" outlineLevel="0" collapsed="false">
      <c r="B20" s="31" t="s">
        <v>186</v>
      </c>
      <c r="C20" s="31"/>
      <c r="D20" s="31"/>
      <c r="E20" s="32" t="str">
        <f aca="false">Acompanhamento!F24&amp;" de "&amp;Acompanhamento!F23</f>
        <v>0 de 0</v>
      </c>
      <c r="F20" s="32"/>
      <c r="G20" s="32"/>
      <c r="H20" s="32"/>
    </row>
    <row r="21" customFormat="false" ht="30" hidden="false" customHeight="true" outlineLevel="0" collapsed="false">
      <c r="B21" s="31" t="s">
        <v>187</v>
      </c>
      <c r="C21" s="31"/>
      <c r="D21" s="31"/>
      <c r="E21" s="29" t="str">
        <f aca="false">IF(SUMPRODUCT((F6:F13&lt;&gt;"")*(G6:G13=""))&gt;0,"Há meta sem sentido informado: a comparação supõe que maior é melhor","OK")</f>
        <v>OK</v>
      </c>
      <c r="F21" s="29"/>
      <c r="G21" s="29"/>
      <c r="H21" s="29"/>
    </row>
    <row r="22" customFormat="false" ht="19.5" hidden="false" customHeight="true" outlineLevel="0" collapsed="false">
      <c r="B22" s="31" t="s">
        <v>145</v>
      </c>
      <c r="C22" s="31"/>
      <c r="D22" s="31"/>
      <c r="E22" s="32" t="str">
        <f aca="false">IF(E17=0,"Sem verificação registrada",IF(E19=0,"Plano eficaz: padronize o que funcionou","Há meta não atingida: volte à análise das causas"))</f>
        <v>Sem verificação registrada</v>
      </c>
      <c r="F22" s="32"/>
      <c r="G22" s="32"/>
      <c r="H22" s="32"/>
    </row>
  </sheetData>
  <mergeCells count="17">
    <mergeCell ref="B1:K1"/>
    <mergeCell ref="B2:K2"/>
    <mergeCell ref="B15:K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1:D21"/>
    <mergeCell ref="E21:H21"/>
    <mergeCell ref="B22:D22"/>
    <mergeCell ref="E22:H22"/>
  </mergeCells>
  <conditionalFormatting sqref="J6:J13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"Não"</formula>
    </cfRule>
  </conditionalFormatting>
  <conditionalFormatting sqref="E21:H21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2">
      <formula>"OK"</formula>
    </cfRule>
  </conditionalFormatting>
  <conditionalFormatting sqref="E22:H22">
    <cfRule type="cellIs" priority="6" operator="equal" aboveAverage="0" equalAverage="0" bottom="0" percent="0" rank="0" text="" dxfId="0">
      <formula>"Plano eficaz: padronize o que funcionou"</formula>
    </cfRule>
    <cfRule type="cellIs" priority="7" operator="equal" aboveAverage="0" equalAverage="0" bottom="0" percent="0" rank="0" text="" dxfId="2">
      <formula>"Há meta não atingida: volte à análise das causas"</formula>
    </cfRule>
  </conditionalFormatting>
  <dataValidations count="5">
    <dataValidation allowBlank="true" error="Escolha uma das opções da lista." errorStyle="stop" errorTitle="Valor inválido" operator="between" prompt="O indicador melhora quando sobe ou quando desce?" promptTitle="Opções" showDropDown="false" showErrorMessage="true" showInputMessage="true" sqref="G6:G13" type="list">
      <formula1>"Maior é melhor,Menor é melhor"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I6:I13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6:E1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F6:F13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6:H1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188</v>
      </c>
      <c r="C1" s="1"/>
      <c r="D1" s="1"/>
      <c r="E1" s="1"/>
    </row>
    <row r="2" customFormat="false" ht="19.5" hidden="false" customHeight="true" outlineLevel="0" collapsed="false">
      <c r="B2" s="2" t="s">
        <v>189</v>
      </c>
      <c r="C2" s="2"/>
      <c r="D2" s="2"/>
      <c r="E2" s="2"/>
    </row>
    <row r="4" customFormat="false" ht="21.75" hidden="false" customHeight="true" outlineLevel="0" collapsed="false">
      <c r="B4" s="19" t="s">
        <v>91</v>
      </c>
      <c r="C4" s="19" t="s">
        <v>190</v>
      </c>
      <c r="D4" s="19" t="s">
        <v>144</v>
      </c>
      <c r="E4" s="19" t="s">
        <v>176</v>
      </c>
    </row>
    <row r="5" customFormat="false" ht="30" hidden="false" customHeight="true" outlineLevel="0" collapsed="false">
      <c r="B5" s="26" t="n">
        <v>1</v>
      </c>
      <c r="C5" s="6" t="s">
        <v>191</v>
      </c>
      <c r="D5" s="37"/>
      <c r="E5" s="5"/>
    </row>
    <row r="6" customFormat="false" ht="30" hidden="false" customHeight="true" outlineLevel="0" collapsed="false">
      <c r="B6" s="26" t="n">
        <v>2</v>
      </c>
      <c r="C6" s="6" t="s">
        <v>192</v>
      </c>
      <c r="D6" s="37"/>
      <c r="E6" s="5"/>
    </row>
    <row r="7" customFormat="false" ht="30" hidden="false" customHeight="true" outlineLevel="0" collapsed="false">
      <c r="B7" s="26" t="n">
        <v>3</v>
      </c>
      <c r="C7" s="6" t="s">
        <v>193</v>
      </c>
      <c r="D7" s="37"/>
      <c r="E7" s="5"/>
    </row>
    <row r="8" customFormat="false" ht="30" hidden="false" customHeight="true" outlineLevel="0" collapsed="false">
      <c r="B8" s="26" t="n">
        <v>4</v>
      </c>
      <c r="C8" s="6" t="s">
        <v>194</v>
      </c>
      <c r="D8" s="37"/>
      <c r="E8" s="5"/>
    </row>
    <row r="9" customFormat="false" ht="30" hidden="false" customHeight="true" outlineLevel="0" collapsed="false">
      <c r="B9" s="26" t="n">
        <v>5</v>
      </c>
      <c r="C9" s="6" t="s">
        <v>195</v>
      </c>
      <c r="D9" s="37"/>
      <c r="E9" s="5"/>
    </row>
    <row r="10" customFormat="false" ht="30" hidden="false" customHeight="true" outlineLevel="0" collapsed="false">
      <c r="B10" s="26" t="n">
        <v>6</v>
      </c>
      <c r="C10" s="6" t="s">
        <v>196</v>
      </c>
      <c r="D10" s="37"/>
      <c r="E10" s="5"/>
    </row>
    <row r="11" customFormat="false" ht="30" hidden="false" customHeight="true" outlineLevel="0" collapsed="false">
      <c r="B11" s="26" t="n">
        <v>7</v>
      </c>
      <c r="C11" s="6" t="s">
        <v>197</v>
      </c>
      <c r="D11" s="37"/>
      <c r="E11" s="5"/>
    </row>
    <row r="12" customFormat="false" ht="30" hidden="false" customHeight="true" outlineLevel="0" collapsed="false">
      <c r="B12" s="26" t="n">
        <v>8</v>
      </c>
      <c r="C12" s="6" t="s">
        <v>198</v>
      </c>
      <c r="D12" s="37"/>
      <c r="E12" s="5"/>
    </row>
    <row r="13" customFormat="false" ht="30" hidden="false" customHeight="true" outlineLevel="0" collapsed="false">
      <c r="B13" s="26" t="n">
        <v>9</v>
      </c>
      <c r="C13" s="6" t="s">
        <v>199</v>
      </c>
      <c r="D13" s="37"/>
      <c r="E13" s="5"/>
    </row>
    <row r="14" customFormat="false" ht="30" hidden="false" customHeight="true" outlineLevel="0" collapsed="false">
      <c r="B14" s="26" t="n">
        <v>10</v>
      </c>
      <c r="C14" s="6" t="s">
        <v>200</v>
      </c>
      <c r="D14" s="37"/>
      <c r="E14" s="5"/>
    </row>
    <row r="15" customFormat="false" ht="30" hidden="false" customHeight="true" outlineLevel="0" collapsed="false">
      <c r="B15" s="26" t="n">
        <v>11</v>
      </c>
      <c r="C15" s="6" t="s">
        <v>201</v>
      </c>
      <c r="D15" s="37"/>
      <c r="E15" s="5"/>
    </row>
    <row r="16" customFormat="false" ht="30" hidden="false" customHeight="true" outlineLevel="0" collapsed="false">
      <c r="B16" s="26" t="n">
        <v>12</v>
      </c>
      <c r="C16" s="6" t="s">
        <v>202</v>
      </c>
      <c r="D16" s="37"/>
      <c r="E16" s="5"/>
    </row>
    <row r="18" customFormat="false" ht="21.75" hidden="false" customHeight="true" outlineLevel="0" collapsed="false">
      <c r="B18" s="30" t="s">
        <v>131</v>
      </c>
      <c r="C18" s="30"/>
      <c r="D18" s="30"/>
      <c r="E18" s="30"/>
    </row>
    <row r="19" customFormat="false" ht="19.5" hidden="false" customHeight="true" outlineLevel="0" collapsed="false">
      <c r="B19" s="31" t="s">
        <v>203</v>
      </c>
      <c r="C19" s="31"/>
      <c r="D19" s="41" t="n">
        <f aca="false">COUNTIF(D5:D16,"Sim")</f>
        <v>0</v>
      </c>
    </row>
    <row r="20" customFormat="false" ht="19.5" hidden="false" customHeight="true" outlineLevel="0" collapsed="false">
      <c r="B20" s="31" t="s">
        <v>204</v>
      </c>
      <c r="C20" s="31"/>
      <c r="D20" s="41" t="n">
        <f aca="false">COUNTIF(D5:D16,"Parcial")</f>
        <v>0</v>
      </c>
    </row>
    <row r="21" customFormat="false" ht="19.5" hidden="false" customHeight="true" outlineLevel="0" collapsed="false">
      <c r="B21" s="31" t="s">
        <v>205</v>
      </c>
      <c r="C21" s="31"/>
      <c r="D21" s="41" t="n">
        <f aca="false">COUNTIF(D5:D16,"Não")</f>
        <v>0</v>
      </c>
    </row>
    <row r="22" customFormat="false" ht="19.5" hidden="false" customHeight="true" outlineLevel="0" collapsed="false">
      <c r="B22" s="31" t="s">
        <v>206</v>
      </c>
      <c r="C22" s="31"/>
      <c r="D22" s="41" t="n">
        <f aca="false">COUNTBLANK(D5:D16)</f>
        <v>12</v>
      </c>
    </row>
    <row r="23" customFormat="false" ht="19.5" hidden="false" customHeight="true" outlineLevel="0" collapsed="false">
      <c r="B23" s="31" t="s">
        <v>207</v>
      </c>
      <c r="C23" s="31"/>
      <c r="D23" s="40" t="n">
        <f aca="false">D19/ROWS(D5:D16)</f>
        <v>0</v>
      </c>
    </row>
    <row r="24" customFormat="false" ht="19.5" hidden="false" customHeight="true" outlineLevel="0" collapsed="false">
      <c r="B24" s="31" t="s">
        <v>65</v>
      </c>
      <c r="C24" s="31"/>
      <c r="D24" s="4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1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7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2" min="11" style="0" width="1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72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74</v>
      </c>
      <c r="C4" s="4"/>
      <c r="D4" s="43" t="s">
        <v>209</v>
      </c>
      <c r="E4" s="43"/>
      <c r="F4" s="43"/>
      <c r="G4" s="4" t="s">
        <v>75</v>
      </c>
      <c r="H4" s="4"/>
      <c r="I4" s="43" t="s">
        <v>210</v>
      </c>
      <c r="J4" s="43"/>
      <c r="K4" s="43"/>
      <c r="L4" s="43"/>
    </row>
    <row r="5" customFormat="false" ht="21.75" hidden="false" customHeight="true" outlineLevel="0" collapsed="false">
      <c r="B5" s="4" t="s">
        <v>76</v>
      </c>
      <c r="C5" s="4"/>
      <c r="D5" s="43" t="s">
        <v>211</v>
      </c>
      <c r="E5" s="43"/>
      <c r="F5" s="43"/>
      <c r="G5" s="4" t="s">
        <v>77</v>
      </c>
      <c r="H5" s="4"/>
      <c r="I5" s="44" t="n">
        <v>46227</v>
      </c>
      <c r="J5" s="44"/>
      <c r="K5" s="44"/>
      <c r="L5" s="44"/>
    </row>
    <row r="6" customFormat="false" ht="30" hidden="false" customHeight="true" outlineLevel="0" collapsed="false">
      <c r="B6" s="4" t="s">
        <v>78</v>
      </c>
      <c r="C6" s="4"/>
      <c r="D6" s="43" t="s">
        <v>212</v>
      </c>
      <c r="E6" s="43"/>
      <c r="F6" s="43"/>
      <c r="G6" s="4" t="s">
        <v>79</v>
      </c>
      <c r="H6" s="4"/>
      <c r="I6" s="43" t="s">
        <v>213</v>
      </c>
      <c r="J6" s="43"/>
      <c r="K6" s="43"/>
      <c r="L6" s="43"/>
    </row>
    <row r="7" customFormat="false" ht="30" hidden="false" customHeight="true" outlineLevel="0" collapsed="false">
      <c r="B7" s="4" t="s">
        <v>80</v>
      </c>
      <c r="C7" s="4"/>
      <c r="D7" s="43" t="s">
        <v>214</v>
      </c>
      <c r="E7" s="43"/>
      <c r="F7" s="43"/>
      <c r="G7" s="43"/>
      <c r="H7" s="43"/>
      <c r="I7" s="43"/>
      <c r="J7" s="43"/>
      <c r="K7" s="43"/>
      <c r="L7" s="43"/>
    </row>
    <row r="8" customFormat="false" ht="21.75" hidden="false" customHeight="true" outlineLevel="0" collapsed="false">
      <c r="B8" s="4" t="s">
        <v>81</v>
      </c>
      <c r="C8" s="4"/>
      <c r="D8" s="43" t="s">
        <v>215</v>
      </c>
      <c r="E8" s="43"/>
      <c r="F8" s="43"/>
      <c r="G8" s="4" t="s">
        <v>82</v>
      </c>
      <c r="H8" s="4"/>
      <c r="I8" s="45" t="n">
        <v>1500</v>
      </c>
      <c r="J8" s="45"/>
      <c r="K8" s="45"/>
      <c r="L8" s="45"/>
    </row>
    <row r="9" customFormat="false" ht="30" hidden="false" customHeight="true" outlineLevel="0" collapsed="false">
      <c r="B9" s="4" t="s">
        <v>83</v>
      </c>
      <c r="C9" s="4"/>
      <c r="D9" s="43" t="s">
        <v>216</v>
      </c>
      <c r="E9" s="43"/>
      <c r="F9" s="43"/>
      <c r="G9" s="43"/>
      <c r="H9" s="43"/>
      <c r="I9" s="43"/>
      <c r="J9" s="43"/>
      <c r="K9" s="43"/>
      <c r="L9" s="43"/>
    </row>
    <row r="11" customFormat="false" ht="30" hidden="false" customHeight="true" outlineLevel="0" collapsed="false">
      <c r="B11" s="14"/>
      <c r="C11" s="15" t="s">
        <v>84</v>
      </c>
      <c r="D11" s="15"/>
      <c r="E11" s="16" t="s">
        <v>85</v>
      </c>
      <c r="F11" s="16" t="s">
        <v>86</v>
      </c>
      <c r="G11" s="15" t="s">
        <v>87</v>
      </c>
      <c r="H11" s="15"/>
      <c r="I11" s="16" t="s">
        <v>88</v>
      </c>
      <c r="J11" s="17" t="s">
        <v>89</v>
      </c>
      <c r="K11" s="18" t="s">
        <v>90</v>
      </c>
      <c r="L11" s="14"/>
    </row>
    <row r="12" customFormat="false" ht="21.75" hidden="false" customHeight="true" outlineLevel="0" collapsed="false">
      <c r="B12" s="19" t="s">
        <v>91</v>
      </c>
      <c r="C12" s="8" t="s">
        <v>92</v>
      </c>
      <c r="D12" s="8"/>
      <c r="E12" s="8" t="s">
        <v>93</v>
      </c>
      <c r="F12" s="8" t="s">
        <v>94</v>
      </c>
      <c r="G12" s="8" t="s">
        <v>95</v>
      </c>
      <c r="H12" s="8" t="s">
        <v>96</v>
      </c>
      <c r="I12" s="8" t="s">
        <v>97</v>
      </c>
      <c r="J12" s="10" t="s">
        <v>98</v>
      </c>
      <c r="K12" s="10" t="s">
        <v>99</v>
      </c>
      <c r="L12" s="19" t="s">
        <v>61</v>
      </c>
    </row>
    <row r="13" customFormat="false" ht="30" hidden="false" customHeight="true" outlineLevel="0" collapsed="false">
      <c r="B13" s="20"/>
      <c r="C13" s="21" t="s">
        <v>100</v>
      </c>
      <c r="D13" s="21"/>
      <c r="E13" s="21" t="s">
        <v>101</v>
      </c>
      <c r="F13" s="21" t="s">
        <v>102</v>
      </c>
      <c r="G13" s="21" t="s">
        <v>103</v>
      </c>
      <c r="H13" s="21" t="s">
        <v>104</v>
      </c>
      <c r="I13" s="21" t="s">
        <v>105</v>
      </c>
      <c r="J13" s="22" t="s">
        <v>106</v>
      </c>
      <c r="K13" s="22" t="s">
        <v>107</v>
      </c>
      <c r="L13" s="20" t="s">
        <v>108</v>
      </c>
    </row>
    <row r="14" customFormat="false" ht="33" hidden="false" customHeight="true" outlineLevel="0" collapsed="false">
      <c r="B14" s="23" t="s">
        <v>217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45" hidden="false" customHeight="true" outlineLevel="0" collapsed="false">
      <c r="B15" s="26" t="s">
        <v>116</v>
      </c>
      <c r="C15" s="9" t="s">
        <v>218</v>
      </c>
      <c r="D15" s="9"/>
      <c r="E15" s="9" t="s">
        <v>219</v>
      </c>
      <c r="F15" s="9" t="s">
        <v>112</v>
      </c>
      <c r="G15" s="46" t="n">
        <v>46230</v>
      </c>
      <c r="H15" s="46" t="n">
        <v>46234</v>
      </c>
      <c r="I15" s="9" t="s">
        <v>210</v>
      </c>
      <c r="J15" s="11" t="s">
        <v>220</v>
      </c>
      <c r="K15" s="47" t="n">
        <v>600</v>
      </c>
      <c r="L15" s="29" t="str">
        <f aca="false">IF(C15="","",IF(AND(G15&lt;&gt;"",H15&lt;&gt;"",G15&gt;H15),"Datas invertidas",IF(COUNTA(C15,E15:K15)=8,"Completa","Faltam "&amp;(8-COUNTA(C15,E15:K15)))))</f>
        <v>Completa</v>
      </c>
    </row>
    <row r="16" customFormat="false" ht="45" hidden="false" customHeight="true" outlineLevel="0" collapsed="false">
      <c r="B16" s="26" t="s">
        <v>117</v>
      </c>
      <c r="C16" s="9" t="s">
        <v>221</v>
      </c>
      <c r="D16" s="9"/>
      <c r="E16" s="9" t="s">
        <v>222</v>
      </c>
      <c r="F16" s="9" t="s">
        <v>223</v>
      </c>
      <c r="G16" s="46" t="n">
        <v>46230</v>
      </c>
      <c r="H16" s="46" t="n">
        <v>46232</v>
      </c>
      <c r="I16" s="9" t="s">
        <v>224</v>
      </c>
      <c r="J16" s="11" t="s">
        <v>225</v>
      </c>
      <c r="K16" s="47" t="n">
        <v>0</v>
      </c>
      <c r="L16" s="29" t="str">
        <f aca="false">IF(C16="","",IF(AND(G16&lt;&gt;"",H16&lt;&gt;"",G16&gt;H16),"Datas invertidas",IF(COUNTA(C16,E16:K16)=8,"Completa","Faltam "&amp;(8-COUNTA(C16,E16:K16)))))</f>
        <v>Completa</v>
      </c>
    </row>
    <row r="17" customFormat="false" ht="45" hidden="false" customHeight="true" outlineLevel="0" collapsed="false">
      <c r="B17" s="26" t="s">
        <v>118</v>
      </c>
      <c r="C17" s="9" t="s">
        <v>226</v>
      </c>
      <c r="D17" s="9"/>
      <c r="E17" s="9" t="s">
        <v>227</v>
      </c>
      <c r="F17" s="9" t="s">
        <v>228</v>
      </c>
      <c r="G17" s="46" t="n">
        <v>46230</v>
      </c>
      <c r="H17" s="46" t="n">
        <v>46233</v>
      </c>
      <c r="I17" s="9" t="s">
        <v>113</v>
      </c>
      <c r="J17" s="11" t="s">
        <v>229</v>
      </c>
      <c r="K17" s="47" t="n">
        <v>200</v>
      </c>
      <c r="L17" s="29" t="str">
        <f aca="false">IF(C17="","",IF(AND(G17&lt;&gt;"",H17&lt;&gt;"",G17&gt;H17),"Datas invertidas",IF(COUNTA(C17,E17:K17)=8,"Completa","Faltam "&amp;(8-COUNTA(C17,E17:K17)))))</f>
        <v>Completa</v>
      </c>
    </row>
    <row r="18" customFormat="false" ht="45" hidden="false" customHeight="true" outlineLevel="0" collapsed="false">
      <c r="B18" s="26" t="s">
        <v>119</v>
      </c>
      <c r="C18" s="9" t="s">
        <v>110</v>
      </c>
      <c r="D18" s="9"/>
      <c r="E18" s="9" t="s">
        <v>111</v>
      </c>
      <c r="F18" s="9" t="s">
        <v>112</v>
      </c>
      <c r="G18" s="46" t="n">
        <v>46234</v>
      </c>
      <c r="H18" s="46" t="n">
        <v>46236</v>
      </c>
      <c r="I18" s="9" t="s">
        <v>113</v>
      </c>
      <c r="J18" s="11" t="s">
        <v>114</v>
      </c>
      <c r="K18" s="47" t="n">
        <v>350</v>
      </c>
      <c r="L18" s="29" t="str">
        <f aca="false">IF(C18="","",IF(AND(G18&lt;&gt;"",H18&lt;&gt;"",G18&gt;H18),"Datas invertidas",IF(COUNTA(C18,E18:K18)=8,"Completa","Faltam "&amp;(8-COUNTA(C18,E18:K18)))))</f>
        <v>Completa</v>
      </c>
    </row>
    <row r="19" customFormat="false" ht="45" hidden="false" customHeight="true" outlineLevel="0" collapsed="false">
      <c r="B19" s="26" t="s">
        <v>120</v>
      </c>
      <c r="C19" s="9" t="s">
        <v>230</v>
      </c>
      <c r="D19" s="9"/>
      <c r="E19" s="9" t="s">
        <v>231</v>
      </c>
      <c r="F19" s="9" t="s">
        <v>232</v>
      </c>
      <c r="G19" s="46" t="n">
        <v>46230</v>
      </c>
      <c r="H19" s="46" t="n">
        <v>46271</v>
      </c>
      <c r="I19" s="9" t="s">
        <v>210</v>
      </c>
      <c r="J19" s="11" t="s">
        <v>233</v>
      </c>
      <c r="K19" s="47" t="n">
        <v>0</v>
      </c>
      <c r="L19" s="29" t="str">
        <f aca="false">IF(C19="","",IF(AND(G19&lt;&gt;"",H19&lt;&gt;"",G19&gt;H19),"Datas invertidas",IF(COUNTA(C19,E19:K19)=8,"Completa","Faltam "&amp;(8-COUNTA(C19,E19:K19)))))</f>
        <v>Completa</v>
      </c>
    </row>
    <row r="20" customFormat="false" ht="45" hidden="false" customHeight="true" outlineLevel="0" collapsed="false">
      <c r="B20" s="26" t="s">
        <v>121</v>
      </c>
      <c r="C20" s="9" t="s">
        <v>234</v>
      </c>
      <c r="D20" s="9"/>
      <c r="E20" s="9" t="s">
        <v>235</v>
      </c>
      <c r="F20" s="9" t="s">
        <v>236</v>
      </c>
      <c r="G20" s="46" t="n">
        <v>46272</v>
      </c>
      <c r="H20" s="46" t="n">
        <v>46280</v>
      </c>
      <c r="I20" s="9" t="s">
        <v>210</v>
      </c>
      <c r="J20" s="11" t="s">
        <v>237</v>
      </c>
      <c r="K20" s="47" t="n">
        <v>0</v>
      </c>
      <c r="L20" s="29" t="str">
        <f aca="false">IF(C20="","",IF(AND(G20&lt;&gt;"",H20&lt;&gt;"",G20&gt;H20),"Datas invertidas",IF(COUNTA(C20,E20:K20)=8,"Completa","Faltam "&amp;(8-COUNTA(C20,E20:K20)))))</f>
        <v>Completa</v>
      </c>
    </row>
    <row r="22" customFormat="false" ht="21.75" hidden="false" customHeight="true" outlineLevel="0" collapsed="false">
      <c r="B22" s="30" t="s">
        <v>131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customFormat="false" ht="21.75" hidden="false" customHeight="true" outlineLevel="0" collapsed="false">
      <c r="B23" s="31" t="s">
        <v>132</v>
      </c>
      <c r="C23" s="31"/>
      <c r="D23" s="31"/>
      <c r="E23" s="31"/>
      <c r="F23" s="31"/>
      <c r="G23" s="32" t="n">
        <f aca="false">COUNTA(C15:C20)</f>
        <v>6</v>
      </c>
      <c r="H23" s="32"/>
      <c r="I23" s="32"/>
      <c r="J23" s="32"/>
    </row>
    <row r="24" customFormat="false" ht="21.75" hidden="false" customHeight="true" outlineLevel="0" collapsed="false">
      <c r="B24" s="31" t="s">
        <v>133</v>
      </c>
      <c r="C24" s="31"/>
      <c r="D24" s="31"/>
      <c r="E24" s="31"/>
      <c r="F24" s="31"/>
      <c r="G24" s="32" t="n">
        <f aca="false">COUNTIF(L15:L20,"Completa")</f>
        <v>6</v>
      </c>
      <c r="H24" s="32"/>
      <c r="I24" s="32"/>
      <c r="J24" s="32"/>
    </row>
    <row r="25" customFormat="false" ht="21.75" hidden="false" customHeight="true" outlineLevel="0" collapsed="false">
      <c r="B25" s="31" t="s">
        <v>134</v>
      </c>
      <c r="C25" s="31"/>
      <c r="D25" s="31"/>
      <c r="E25" s="31"/>
      <c r="F25" s="31"/>
      <c r="G25" s="33" t="n">
        <f aca="false">SUM(K15:K20)</f>
        <v>1150</v>
      </c>
      <c r="H25" s="33"/>
      <c r="I25" s="33"/>
      <c r="J25" s="33"/>
    </row>
    <row r="26" customFormat="false" ht="21.75" hidden="false" customHeight="true" outlineLevel="0" collapsed="false">
      <c r="B26" s="31" t="s">
        <v>135</v>
      </c>
      <c r="C26" s="31"/>
      <c r="D26" s="31"/>
      <c r="E26" s="31"/>
      <c r="F26" s="31"/>
      <c r="G26" s="33" t="n">
        <f aca="false">IF(I8="","Informe o orçamento",I8-G25)</f>
        <v>350</v>
      </c>
      <c r="H26" s="33"/>
      <c r="I26" s="33"/>
      <c r="J26" s="33"/>
    </row>
    <row r="27" customFormat="false" ht="21.75" hidden="false" customHeight="true" outlineLevel="0" collapsed="false">
      <c r="B27" s="31" t="s">
        <v>136</v>
      </c>
      <c r="C27" s="31"/>
      <c r="D27" s="31"/>
      <c r="E27" s="31"/>
      <c r="F27" s="31"/>
      <c r="G27" s="34" t="n">
        <f aca="false">IF(COUNT(G15:G20)=0,"",MIN(G15:G20))</f>
        <v>46230</v>
      </c>
      <c r="H27" s="34"/>
      <c r="I27" s="34"/>
      <c r="J27" s="34"/>
    </row>
    <row r="28" customFormat="false" ht="21.75" hidden="false" customHeight="true" outlineLevel="0" collapsed="false">
      <c r="B28" s="31" t="s">
        <v>137</v>
      </c>
      <c r="C28" s="31"/>
      <c r="D28" s="31"/>
      <c r="E28" s="31"/>
      <c r="F28" s="31"/>
      <c r="G28" s="34" t="n">
        <f aca="false">IF(COUNT(H15:H20)=0,"",MAX(H15:H20))</f>
        <v>46280</v>
      </c>
      <c r="H28" s="34"/>
      <c r="I28" s="34"/>
      <c r="J28" s="34"/>
    </row>
    <row r="29" customFormat="false" ht="21.75" hidden="false" customHeight="true" outlineLevel="0" collapsed="false">
      <c r="B29" s="31" t="s">
        <v>138</v>
      </c>
      <c r="C29" s="31"/>
      <c r="D29" s="31"/>
      <c r="E29" s="31"/>
      <c r="F29" s="31"/>
      <c r="G29" s="29" t="str">
        <f aca="false">IF(G23=0,"Liste as ações",IF(G24&lt;G23,"Há ação com resposta em branco ou com datas invertidas","OK"))</f>
        <v>OK</v>
      </c>
      <c r="H29" s="29"/>
      <c r="I29" s="29"/>
      <c r="J29" s="29"/>
    </row>
    <row r="30" customFormat="false" ht="21.75" hidden="false" customHeight="true" outlineLevel="0" collapsed="false">
      <c r="B30" s="31" t="s">
        <v>139</v>
      </c>
      <c r="C30" s="31"/>
      <c r="D30" s="31"/>
      <c r="E30" s="31"/>
      <c r="F30" s="31"/>
      <c r="G30" s="29" t="str">
        <f aca="false">IF(I8="","Informe o orçamento aprovado",IF(G25&gt;I8,"Custo previsto acima do orçamento","OK"))</f>
        <v>OK</v>
      </c>
      <c r="H30" s="29"/>
      <c r="I30" s="29"/>
      <c r="J30" s="29"/>
    </row>
    <row r="31" customFormat="false" ht="21.75" hidden="false" customHeight="true" outlineLevel="0" collapsed="false">
      <c r="B31" s="31" t="s">
        <v>140</v>
      </c>
      <c r="C31" s="31"/>
      <c r="D31" s="31"/>
      <c r="E31" s="31"/>
      <c r="F31" s="31"/>
      <c r="G31" s="35" t="n">
        <f aca="false">COUNTA(D4,I4,D5,I5,D6,I6,D7,D8,I8,D9)</f>
        <v>10</v>
      </c>
      <c r="H31" s="35"/>
      <c r="I31" s="35"/>
      <c r="J31" s="35"/>
    </row>
    <row r="33" customFormat="false" ht="21.75" hidden="false" customHeight="true" outlineLevel="0" collapsed="false">
      <c r="B33" s="48" t="s">
        <v>141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 customFormat="false" ht="21.75" hidden="false" customHeight="true" outlineLevel="0" collapsed="false">
      <c r="B34" s="41" t="s">
        <v>91</v>
      </c>
      <c r="C34" s="41" t="s">
        <v>238</v>
      </c>
      <c r="D34" s="41"/>
      <c r="E34" s="41" t="s">
        <v>147</v>
      </c>
      <c r="F34" s="41" t="s">
        <v>144</v>
      </c>
      <c r="G34" s="41" t="s">
        <v>96</v>
      </c>
      <c r="H34" s="41" t="s">
        <v>145</v>
      </c>
      <c r="I34" s="41" t="s">
        <v>65</v>
      </c>
      <c r="J34" s="41" t="s">
        <v>239</v>
      </c>
      <c r="K34" s="41" t="s">
        <v>240</v>
      </c>
    </row>
    <row r="35" customFormat="false" ht="30" hidden="false" customHeight="true" outlineLevel="0" collapsed="false">
      <c r="B35" s="26" t="s">
        <v>116</v>
      </c>
      <c r="C35" s="7" t="s">
        <v>241</v>
      </c>
      <c r="D35" s="7"/>
      <c r="E35" s="7" t="s">
        <v>242</v>
      </c>
      <c r="F35" s="49" t="s">
        <v>149</v>
      </c>
      <c r="G35" s="50" t="n">
        <v>46234</v>
      </c>
      <c r="H35" s="50" t="n">
        <v>46234</v>
      </c>
      <c r="I35" s="38" t="s">
        <v>149</v>
      </c>
      <c r="J35" s="7" t="s">
        <v>243</v>
      </c>
      <c r="K35" s="51" t="n">
        <v>0</v>
      </c>
    </row>
    <row r="36" customFormat="false" ht="30" hidden="false" customHeight="true" outlineLevel="0" collapsed="false">
      <c r="B36" s="26" t="s">
        <v>117</v>
      </c>
      <c r="C36" s="7" t="s">
        <v>244</v>
      </c>
      <c r="D36" s="7"/>
      <c r="E36" s="7" t="s">
        <v>245</v>
      </c>
      <c r="F36" s="49" t="s">
        <v>149</v>
      </c>
      <c r="G36" s="50" t="n">
        <v>46232</v>
      </c>
      <c r="H36" s="50" t="n">
        <v>46232</v>
      </c>
      <c r="I36" s="38" t="s">
        <v>149</v>
      </c>
      <c r="J36" s="7" t="s">
        <v>246</v>
      </c>
      <c r="K36" s="51" t="n">
        <v>0</v>
      </c>
    </row>
    <row r="37" customFormat="false" ht="30" hidden="false" customHeight="true" outlineLevel="0" collapsed="false">
      <c r="B37" s="26" t="s">
        <v>118</v>
      </c>
      <c r="C37" s="7" t="s">
        <v>247</v>
      </c>
      <c r="D37" s="7"/>
      <c r="E37" s="7" t="s">
        <v>248</v>
      </c>
      <c r="F37" s="49" t="s">
        <v>149</v>
      </c>
      <c r="G37" s="50" t="n">
        <v>46233</v>
      </c>
      <c r="H37" s="50" t="n">
        <v>46233</v>
      </c>
      <c r="I37" s="38" t="s">
        <v>149</v>
      </c>
      <c r="J37" s="7" t="s">
        <v>249</v>
      </c>
      <c r="K37" s="51" t="n">
        <v>0</v>
      </c>
    </row>
    <row r="38" customFormat="false" ht="30" hidden="false" customHeight="true" outlineLevel="0" collapsed="false">
      <c r="B38" s="26" t="s">
        <v>119</v>
      </c>
      <c r="C38" s="7" t="s">
        <v>250</v>
      </c>
      <c r="D38" s="7"/>
      <c r="E38" s="7" t="s">
        <v>150</v>
      </c>
      <c r="F38" s="49" t="s">
        <v>149</v>
      </c>
      <c r="G38" s="50" t="n">
        <v>46236</v>
      </c>
      <c r="H38" s="50" t="n">
        <v>46241</v>
      </c>
      <c r="I38" s="38" t="s">
        <v>151</v>
      </c>
      <c r="J38" s="7" t="s">
        <v>251</v>
      </c>
      <c r="K38" s="51" t="n">
        <v>70</v>
      </c>
    </row>
    <row r="39" customFormat="false" ht="30" hidden="false" customHeight="true" outlineLevel="0" collapsed="false">
      <c r="B39" s="26" t="s">
        <v>120</v>
      </c>
      <c r="C39" s="7" t="s">
        <v>230</v>
      </c>
      <c r="D39" s="7"/>
      <c r="E39" s="7" t="s">
        <v>252</v>
      </c>
      <c r="F39" s="49" t="s">
        <v>149</v>
      </c>
      <c r="G39" s="50" t="n">
        <v>46271</v>
      </c>
      <c r="H39" s="50" t="n">
        <v>46271</v>
      </c>
      <c r="I39" s="38" t="s">
        <v>149</v>
      </c>
      <c r="J39" s="7" t="s">
        <v>246</v>
      </c>
      <c r="K39" s="51" t="n">
        <v>0</v>
      </c>
    </row>
    <row r="40" customFormat="false" ht="30" hidden="false" customHeight="true" outlineLevel="0" collapsed="false">
      <c r="B40" s="26" t="s">
        <v>121</v>
      </c>
      <c r="C40" s="7" t="s">
        <v>253</v>
      </c>
      <c r="D40" s="7"/>
      <c r="E40" s="7" t="s">
        <v>254</v>
      </c>
      <c r="F40" s="49" t="s">
        <v>149</v>
      </c>
      <c r="G40" s="50" t="n">
        <v>46280</v>
      </c>
      <c r="H40" s="50" t="n">
        <v>46280</v>
      </c>
      <c r="I40" s="38" t="s">
        <v>149</v>
      </c>
      <c r="J40" s="7" t="s">
        <v>246</v>
      </c>
      <c r="K40" s="51" t="n">
        <v>0</v>
      </c>
    </row>
    <row r="41" customFormat="false" ht="21.75" hidden="false" customHeight="true" outlineLevel="0" collapsed="false">
      <c r="B41" s="31" t="s">
        <v>146</v>
      </c>
      <c r="C41" s="31"/>
      <c r="D41" s="31"/>
      <c r="E41" s="31"/>
      <c r="F41" s="31"/>
      <c r="G41" s="31"/>
      <c r="H41" s="31"/>
      <c r="I41" s="31"/>
      <c r="J41" s="33" t="n">
        <v>1220</v>
      </c>
      <c r="K41" s="33"/>
    </row>
    <row r="43" customFormat="false" ht="21.75" hidden="false" customHeight="true" outlineLevel="0" collapsed="false">
      <c r="B43" s="52" t="s">
        <v>167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</row>
    <row r="44" customFormat="false" ht="21.75" hidden="false" customHeight="true" outlineLevel="0" collapsed="false">
      <c r="B44" s="41" t="s">
        <v>91</v>
      </c>
      <c r="C44" s="41" t="s">
        <v>255</v>
      </c>
      <c r="D44" s="41"/>
      <c r="E44" s="41" t="s">
        <v>170</v>
      </c>
      <c r="F44" s="41" t="s">
        <v>171</v>
      </c>
      <c r="G44" s="41" t="s">
        <v>172</v>
      </c>
      <c r="H44" s="41" t="s">
        <v>174</v>
      </c>
      <c r="I44" s="41" t="s">
        <v>175</v>
      </c>
      <c r="J44" s="32" t="s">
        <v>176</v>
      </c>
      <c r="K44" s="32"/>
      <c r="L44" s="32"/>
    </row>
    <row r="45" customFormat="false" ht="30" hidden="false" customHeight="true" outlineLevel="0" collapsed="false">
      <c r="B45" s="26" t="n">
        <v>1</v>
      </c>
      <c r="C45" s="7" t="s">
        <v>177</v>
      </c>
      <c r="D45" s="7"/>
      <c r="E45" s="7" t="s">
        <v>178</v>
      </c>
      <c r="F45" s="49" t="n">
        <v>82</v>
      </c>
      <c r="G45" s="49" t="n">
        <v>95</v>
      </c>
      <c r="H45" s="49" t="n">
        <v>95.5</v>
      </c>
      <c r="I45" s="38" t="s">
        <v>180</v>
      </c>
      <c r="J45" s="7" t="s">
        <v>256</v>
      </c>
      <c r="K45" s="7"/>
      <c r="L45" s="7"/>
    </row>
  </sheetData>
  <mergeCells count="67">
    <mergeCell ref="B1:L1"/>
    <mergeCell ref="B2:L2"/>
    <mergeCell ref="B4:C4"/>
    <mergeCell ref="D4:F4"/>
    <mergeCell ref="G4:H4"/>
    <mergeCell ref="I4:L4"/>
    <mergeCell ref="B5:C5"/>
    <mergeCell ref="D5:F5"/>
    <mergeCell ref="G5:H5"/>
    <mergeCell ref="I5:L5"/>
    <mergeCell ref="B6:C6"/>
    <mergeCell ref="D6:F6"/>
    <mergeCell ref="G6:H6"/>
    <mergeCell ref="I6:L6"/>
    <mergeCell ref="B7:C7"/>
    <mergeCell ref="D7:L7"/>
    <mergeCell ref="B8:C8"/>
    <mergeCell ref="D8:F8"/>
    <mergeCell ref="G8:H8"/>
    <mergeCell ref="I8:L8"/>
    <mergeCell ref="B9:C9"/>
    <mergeCell ref="D9:L9"/>
    <mergeCell ref="C11:D11"/>
    <mergeCell ref="G11:H11"/>
    <mergeCell ref="C12:D12"/>
    <mergeCell ref="C13:D13"/>
    <mergeCell ref="B14:L14"/>
    <mergeCell ref="C15:D15"/>
    <mergeCell ref="C16:D16"/>
    <mergeCell ref="C17:D17"/>
    <mergeCell ref="C18:D18"/>
    <mergeCell ref="C19:D19"/>
    <mergeCell ref="C20:D20"/>
    <mergeCell ref="B22:L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29:F29"/>
    <mergeCell ref="G29:J29"/>
    <mergeCell ref="B30:F30"/>
    <mergeCell ref="G30:J30"/>
    <mergeCell ref="B31:F31"/>
    <mergeCell ref="G31:J31"/>
    <mergeCell ref="B33:L33"/>
    <mergeCell ref="C34:D34"/>
    <mergeCell ref="C35:D35"/>
    <mergeCell ref="C36:D36"/>
    <mergeCell ref="C37:D37"/>
    <mergeCell ref="C38:D38"/>
    <mergeCell ref="C39:D39"/>
    <mergeCell ref="C40:D40"/>
    <mergeCell ref="B41:I41"/>
    <mergeCell ref="J41:K41"/>
    <mergeCell ref="B43:L43"/>
    <mergeCell ref="C44:D44"/>
    <mergeCell ref="J44:L44"/>
    <mergeCell ref="C45:D45"/>
    <mergeCell ref="J45:L45"/>
  </mergeCells>
  <conditionalFormatting sqref="L15:L20">
    <cfRule type="cellIs" priority="2" operator="equal" aboveAverage="0" equalAverage="0" bottom="0" percent="0" rank="0" text="" dxfId="0">
      <formula>"Completa"</formula>
    </cfRule>
    <cfRule type="cellIs" priority="3" operator="equal" aboveAverage="0" equalAverage="0" bottom="0" percent="0" rank="0" text="" dxfId="1">
      <formula>"Datas invertidas"</formula>
    </cfRule>
    <cfRule type="expression" priority="4" aboveAverage="0" equalAverage="0" bottom="0" percent="0" rank="0" text="" dxfId="2">
      <formula>LEFT(L15,6)="Faltam"</formula>
    </cfRule>
  </conditionalFormatting>
  <conditionalFormatting sqref="G29:J3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2">
      <formula>"OK"</formula>
    </cfRule>
  </conditionalFormatting>
  <conditionalFormatting sqref="F35:F40">
    <cfRule type="cellIs" priority="7" operator="equal" aboveAverage="0" equalAverage="0" bottom="0" percent="0" rank="0" text="" dxfId="0">
      <formula>"Concluída"</formula>
    </cfRule>
    <cfRule type="cellIs" priority="8" operator="equal" aboveAverage="0" equalAverage="0" bottom="0" percent="0" rank="0" text="" dxfId="2">
      <formula>"Em andamento"</formula>
    </cfRule>
    <cfRule type="cellIs" priority="9" operator="equal" aboveAverage="0" equalAverage="0" bottom="0" percent="0" rank="0" text="" dxfId="1">
      <formula>"Não iniciada"</formula>
    </cfRule>
  </conditionalFormatting>
  <conditionalFormatting sqref="I35:I40">
    <cfRule type="cellIs" priority="10" operator="equal" aboveAverage="0" equalAverage="0" bottom="0" percent="0" rank="0" text="" dxfId="0">
      <formula>"Concluída"</formula>
    </cfRule>
    <cfRule type="cellIs" priority="11" operator="equal" aboveAverage="0" equalAverage="0" bottom="0" percent="0" rank="0" text="" dxfId="0">
      <formula>"No prazo"</formula>
    </cfRule>
    <cfRule type="cellIs" priority="12" operator="equal" aboveAverage="0" equalAverage="0" bottom="0" percent="0" rank="0" text="" dxfId="2">
      <formula>"Concluída com atraso"</formula>
    </cfRule>
    <cfRule type="cellIs" priority="13" operator="equal" aboveAverage="0" equalAverage="0" bottom="0" percent="0" rank="0" text="" dxfId="2">
      <formula>"Sem prazo"</formula>
    </cfRule>
    <cfRule type="cellIs" priority="14" operator="equal" aboveAverage="0" equalAverage="0" bottom="0" percent="0" rank="0" text="" dxfId="1">
      <formula>"Atrasada"</formula>
    </cfRule>
  </conditionalFormatting>
  <conditionalFormatting sqref="I45">
    <cfRule type="cellIs" priority="15" operator="equal" aboveAverage="0" equalAverage="0" bottom="0" percent="0" rank="0" text="" dxfId="0">
      <formula>"Sim"</formula>
    </cfRule>
    <cfRule type="cellIs" priority="16" operator="equal" aboveAverage="0" equalAverage="0" bottom="0" percent="0" rank="0" text="" dxfId="1">
      <formula>"Não"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 G15:H20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15:K2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7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2" min="11" style="0" width="1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72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74</v>
      </c>
      <c r="C4" s="4"/>
      <c r="D4" s="43" t="s">
        <v>257</v>
      </c>
      <c r="E4" s="43"/>
      <c r="F4" s="43"/>
      <c r="G4" s="4" t="s">
        <v>75</v>
      </c>
      <c r="H4" s="4"/>
      <c r="I4" s="43" t="s">
        <v>258</v>
      </c>
      <c r="J4" s="43"/>
      <c r="K4" s="43"/>
      <c r="L4" s="43"/>
    </row>
    <row r="5" customFormat="false" ht="21.75" hidden="false" customHeight="true" outlineLevel="0" collapsed="false">
      <c r="B5" s="4" t="s">
        <v>76</v>
      </c>
      <c r="C5" s="4"/>
      <c r="D5" s="43" t="s">
        <v>259</v>
      </c>
      <c r="E5" s="43"/>
      <c r="F5" s="43"/>
      <c r="G5" s="4" t="s">
        <v>77</v>
      </c>
      <c r="H5" s="4"/>
      <c r="I5" s="44" t="n">
        <v>46206</v>
      </c>
      <c r="J5" s="44"/>
      <c r="K5" s="44"/>
      <c r="L5" s="44"/>
    </row>
    <row r="6" customFormat="false" ht="30" hidden="false" customHeight="true" outlineLevel="0" collapsed="false">
      <c r="B6" s="4" t="s">
        <v>78</v>
      </c>
      <c r="C6" s="4"/>
      <c r="D6" s="43" t="s">
        <v>260</v>
      </c>
      <c r="E6" s="43"/>
      <c r="F6" s="43"/>
      <c r="G6" s="4" t="s">
        <v>79</v>
      </c>
      <c r="H6" s="4"/>
      <c r="I6" s="43" t="s">
        <v>213</v>
      </c>
      <c r="J6" s="43"/>
      <c r="K6" s="43"/>
      <c r="L6" s="43"/>
    </row>
    <row r="7" customFormat="false" ht="30" hidden="false" customHeight="true" outlineLevel="0" collapsed="false">
      <c r="B7" s="4" t="s">
        <v>80</v>
      </c>
      <c r="C7" s="4"/>
      <c r="D7" s="43" t="s">
        <v>261</v>
      </c>
      <c r="E7" s="43"/>
      <c r="F7" s="43"/>
      <c r="G7" s="43"/>
      <c r="H7" s="43"/>
      <c r="I7" s="43"/>
      <c r="J7" s="43"/>
      <c r="K7" s="43"/>
      <c r="L7" s="43"/>
    </row>
    <row r="8" customFormat="false" ht="21.75" hidden="false" customHeight="true" outlineLevel="0" collapsed="false">
      <c r="B8" s="4" t="s">
        <v>81</v>
      </c>
      <c r="C8" s="4"/>
      <c r="D8" s="43" t="s">
        <v>262</v>
      </c>
      <c r="E8" s="43"/>
      <c r="F8" s="43"/>
      <c r="G8" s="4" t="s">
        <v>82</v>
      </c>
      <c r="H8" s="4"/>
      <c r="I8" s="45" t="n">
        <v>3000</v>
      </c>
      <c r="J8" s="45"/>
      <c r="K8" s="45"/>
      <c r="L8" s="45"/>
    </row>
    <row r="9" customFormat="false" ht="30" hidden="false" customHeight="true" outlineLevel="0" collapsed="false">
      <c r="B9" s="4" t="s">
        <v>83</v>
      </c>
      <c r="C9" s="4"/>
      <c r="D9" s="43" t="s">
        <v>263</v>
      </c>
      <c r="E9" s="43"/>
      <c r="F9" s="43"/>
      <c r="G9" s="43"/>
      <c r="H9" s="43"/>
      <c r="I9" s="43"/>
      <c r="J9" s="43"/>
      <c r="K9" s="43"/>
      <c r="L9" s="43"/>
    </row>
    <row r="11" customFormat="false" ht="30" hidden="false" customHeight="true" outlineLevel="0" collapsed="false">
      <c r="B11" s="14"/>
      <c r="C11" s="15" t="s">
        <v>84</v>
      </c>
      <c r="D11" s="15"/>
      <c r="E11" s="16" t="s">
        <v>85</v>
      </c>
      <c r="F11" s="16" t="s">
        <v>86</v>
      </c>
      <c r="G11" s="15" t="s">
        <v>87</v>
      </c>
      <c r="H11" s="15"/>
      <c r="I11" s="16" t="s">
        <v>88</v>
      </c>
      <c r="J11" s="17" t="s">
        <v>89</v>
      </c>
      <c r="K11" s="18" t="s">
        <v>90</v>
      </c>
      <c r="L11" s="14"/>
    </row>
    <row r="12" customFormat="false" ht="21.75" hidden="false" customHeight="true" outlineLevel="0" collapsed="false">
      <c r="B12" s="19" t="s">
        <v>91</v>
      </c>
      <c r="C12" s="8" t="s">
        <v>92</v>
      </c>
      <c r="D12" s="8"/>
      <c r="E12" s="8" t="s">
        <v>93</v>
      </c>
      <c r="F12" s="8" t="s">
        <v>94</v>
      </c>
      <c r="G12" s="8" t="s">
        <v>95</v>
      </c>
      <c r="H12" s="8" t="s">
        <v>96</v>
      </c>
      <c r="I12" s="8" t="s">
        <v>97</v>
      </c>
      <c r="J12" s="10" t="s">
        <v>98</v>
      </c>
      <c r="K12" s="10" t="s">
        <v>99</v>
      </c>
      <c r="L12" s="19" t="s">
        <v>61</v>
      </c>
    </row>
    <row r="13" customFormat="false" ht="30" hidden="false" customHeight="true" outlineLevel="0" collapsed="false">
      <c r="B13" s="20"/>
      <c r="C13" s="21" t="s">
        <v>100</v>
      </c>
      <c r="D13" s="21"/>
      <c r="E13" s="21" t="s">
        <v>101</v>
      </c>
      <c r="F13" s="21" t="s">
        <v>102</v>
      </c>
      <c r="G13" s="21" t="s">
        <v>103</v>
      </c>
      <c r="H13" s="21" t="s">
        <v>104</v>
      </c>
      <c r="I13" s="21" t="s">
        <v>105</v>
      </c>
      <c r="J13" s="22" t="s">
        <v>106</v>
      </c>
      <c r="K13" s="22" t="s">
        <v>107</v>
      </c>
      <c r="L13" s="20" t="s">
        <v>108</v>
      </c>
    </row>
    <row r="14" customFormat="false" ht="33" hidden="false" customHeight="true" outlineLevel="0" collapsed="false">
      <c r="B14" s="23" t="s">
        <v>217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customFormat="false" ht="45" hidden="false" customHeight="true" outlineLevel="0" collapsed="false">
      <c r="B15" s="26" t="s">
        <v>116</v>
      </c>
      <c r="C15" s="9" t="s">
        <v>264</v>
      </c>
      <c r="D15" s="9"/>
      <c r="E15" s="9" t="s">
        <v>265</v>
      </c>
      <c r="F15" s="9" t="s">
        <v>266</v>
      </c>
      <c r="G15" s="46" t="n">
        <v>46209</v>
      </c>
      <c r="H15" s="46" t="n">
        <v>46213</v>
      </c>
      <c r="I15" s="9" t="s">
        <v>267</v>
      </c>
      <c r="J15" s="11" t="s">
        <v>268</v>
      </c>
      <c r="K15" s="47" t="n">
        <v>1800</v>
      </c>
      <c r="L15" s="29" t="str">
        <f aca="false">IF(C15="","",IF(AND(G15&lt;&gt;"",H15&lt;&gt;"",G15&gt;H15),"Datas invertidas",IF(COUNTA(C15,E15:K15)=8,"Completa","Faltam "&amp;(8-COUNTA(C15,E15:K15)))))</f>
        <v>Completa</v>
      </c>
    </row>
    <row r="16" customFormat="false" ht="45" hidden="false" customHeight="true" outlineLevel="0" collapsed="false">
      <c r="B16" s="26" t="s">
        <v>117</v>
      </c>
      <c r="C16" s="9" t="s">
        <v>269</v>
      </c>
      <c r="D16" s="9"/>
      <c r="E16" s="9" t="s">
        <v>270</v>
      </c>
      <c r="F16" s="9" t="s">
        <v>266</v>
      </c>
      <c r="G16" s="46" t="n">
        <v>46209</v>
      </c>
      <c r="H16" s="46" t="n">
        <v>46220</v>
      </c>
      <c r="I16" s="9" t="s">
        <v>271</v>
      </c>
      <c r="J16" s="11" t="s">
        <v>272</v>
      </c>
      <c r="K16" s="47" t="n">
        <v>0</v>
      </c>
      <c r="L16" s="29" t="str">
        <f aca="false">IF(C16="","",IF(AND(G16&lt;&gt;"",H16&lt;&gt;"",G16&gt;H16),"Datas invertidas",IF(COUNTA(C16,E16:K16)=8,"Completa","Faltam "&amp;(8-COUNTA(C16,E16:K16)))))</f>
        <v>Completa</v>
      </c>
    </row>
    <row r="17" customFormat="false" ht="45" hidden="false" customHeight="true" outlineLevel="0" collapsed="false">
      <c r="B17" s="26" t="s">
        <v>118</v>
      </c>
      <c r="C17" s="9" t="s">
        <v>273</v>
      </c>
      <c r="D17" s="9"/>
      <c r="E17" s="9" t="s">
        <v>274</v>
      </c>
      <c r="F17" s="9" t="s">
        <v>275</v>
      </c>
      <c r="G17" s="46" t="n">
        <v>46209</v>
      </c>
      <c r="H17" s="46" t="n">
        <v>46211</v>
      </c>
      <c r="I17" s="9" t="s">
        <v>258</v>
      </c>
      <c r="J17" s="11" t="s">
        <v>276</v>
      </c>
      <c r="K17" s="47" t="n">
        <v>0</v>
      </c>
      <c r="L17" s="29" t="str">
        <f aca="false">IF(C17="","",IF(AND(G17&lt;&gt;"",H17&lt;&gt;"",G17&gt;H17),"Datas invertidas",IF(COUNTA(C17,E17:K17)=8,"Completa","Faltam "&amp;(8-COUNTA(C17,E17:K17)))))</f>
        <v>Completa</v>
      </c>
    </row>
    <row r="18" customFormat="false" ht="45" hidden="false" customHeight="true" outlineLevel="0" collapsed="false">
      <c r="B18" s="26" t="s">
        <v>119</v>
      </c>
      <c r="C18" s="9" t="s">
        <v>277</v>
      </c>
      <c r="D18" s="9"/>
      <c r="E18" s="9" t="s">
        <v>278</v>
      </c>
      <c r="F18" s="9" t="s">
        <v>279</v>
      </c>
      <c r="G18" s="46" t="n">
        <v>46212</v>
      </c>
      <c r="H18" s="46" t="n">
        <v>46213</v>
      </c>
      <c r="I18" s="9" t="s">
        <v>267</v>
      </c>
      <c r="J18" s="11" t="s">
        <v>280</v>
      </c>
      <c r="K18" s="47" t="n">
        <v>400</v>
      </c>
      <c r="L18" s="29" t="str">
        <f aca="false">IF(C18="","",IF(AND(G18&lt;&gt;"",H18&lt;&gt;"",G18&gt;H18),"Datas invertidas",IF(COUNTA(C18,E18:K18)=8,"Completa","Faltam "&amp;(8-COUNTA(C18,E18:K18)))))</f>
        <v>Completa</v>
      </c>
    </row>
    <row r="19" customFormat="false" ht="45" hidden="false" customHeight="true" outlineLevel="0" collapsed="false">
      <c r="B19" s="26" t="s">
        <v>120</v>
      </c>
      <c r="C19" s="9" t="s">
        <v>281</v>
      </c>
      <c r="D19" s="9"/>
      <c r="E19" s="9" t="s">
        <v>282</v>
      </c>
      <c r="F19" s="9" t="s">
        <v>283</v>
      </c>
      <c r="G19" s="46" t="n">
        <v>46216</v>
      </c>
      <c r="H19" s="46" t="n">
        <v>46241</v>
      </c>
      <c r="I19" s="9" t="s">
        <v>258</v>
      </c>
      <c r="J19" s="11" t="s">
        <v>284</v>
      </c>
      <c r="K19" s="47" t="n">
        <v>0</v>
      </c>
      <c r="L19" s="29" t="str">
        <f aca="false">IF(C19="","",IF(AND(G19&lt;&gt;"",H19&lt;&gt;"",G19&gt;H19),"Datas invertidas",IF(COUNTA(C19,E19:K19)=8,"Completa","Faltam "&amp;(8-COUNTA(C19,E19:K19)))))</f>
        <v>Completa</v>
      </c>
    </row>
    <row r="20" customFormat="false" ht="45" hidden="false" customHeight="true" outlineLevel="0" collapsed="false">
      <c r="B20" s="26" t="s">
        <v>121</v>
      </c>
      <c r="C20" s="9" t="s">
        <v>285</v>
      </c>
      <c r="D20" s="9"/>
      <c r="E20" s="9" t="s">
        <v>286</v>
      </c>
      <c r="F20" s="9" t="s">
        <v>287</v>
      </c>
      <c r="G20" s="46" t="n">
        <v>46216</v>
      </c>
      <c r="H20" s="46" t="n">
        <v>46248</v>
      </c>
      <c r="I20" s="9" t="s">
        <v>267</v>
      </c>
      <c r="J20" s="11" t="s">
        <v>288</v>
      </c>
      <c r="K20" s="47" t="n">
        <v>0</v>
      </c>
      <c r="L20" s="29" t="str">
        <f aca="false">IF(C20="","",IF(AND(G20&lt;&gt;"",H20&lt;&gt;"",G20&gt;H20),"Datas invertidas",IF(COUNTA(C20,E20:K20)=8,"Completa","Faltam "&amp;(8-COUNTA(C20,E20:K20)))))</f>
        <v>Completa</v>
      </c>
    </row>
    <row r="22" customFormat="false" ht="21.75" hidden="false" customHeight="true" outlineLevel="0" collapsed="false">
      <c r="B22" s="30" t="s">
        <v>131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customFormat="false" ht="21.75" hidden="false" customHeight="true" outlineLevel="0" collapsed="false">
      <c r="B23" s="31" t="s">
        <v>132</v>
      </c>
      <c r="C23" s="31"/>
      <c r="D23" s="31"/>
      <c r="E23" s="31"/>
      <c r="F23" s="31"/>
      <c r="G23" s="32" t="n">
        <f aca="false">COUNTA(C15:C20)</f>
        <v>6</v>
      </c>
      <c r="H23" s="32"/>
      <c r="I23" s="32"/>
      <c r="J23" s="32"/>
    </row>
    <row r="24" customFormat="false" ht="21.75" hidden="false" customHeight="true" outlineLevel="0" collapsed="false">
      <c r="B24" s="31" t="s">
        <v>133</v>
      </c>
      <c r="C24" s="31"/>
      <c r="D24" s="31"/>
      <c r="E24" s="31"/>
      <c r="F24" s="31"/>
      <c r="G24" s="32" t="n">
        <f aca="false">COUNTIF(L15:L20,"Completa")</f>
        <v>6</v>
      </c>
      <c r="H24" s="32"/>
      <c r="I24" s="32"/>
      <c r="J24" s="32"/>
    </row>
    <row r="25" customFormat="false" ht="21.75" hidden="false" customHeight="true" outlineLevel="0" collapsed="false">
      <c r="B25" s="31" t="s">
        <v>134</v>
      </c>
      <c r="C25" s="31"/>
      <c r="D25" s="31"/>
      <c r="E25" s="31"/>
      <c r="F25" s="31"/>
      <c r="G25" s="33" t="n">
        <f aca="false">SUM(K15:K20)</f>
        <v>2200</v>
      </c>
      <c r="H25" s="33"/>
      <c r="I25" s="33"/>
      <c r="J25" s="33"/>
    </row>
    <row r="26" customFormat="false" ht="21.75" hidden="false" customHeight="true" outlineLevel="0" collapsed="false">
      <c r="B26" s="31" t="s">
        <v>135</v>
      </c>
      <c r="C26" s="31"/>
      <c r="D26" s="31"/>
      <c r="E26" s="31"/>
      <c r="F26" s="31"/>
      <c r="G26" s="33" t="n">
        <f aca="false">IF(I8="","Informe o orçamento",I8-G25)</f>
        <v>800</v>
      </c>
      <c r="H26" s="33"/>
      <c r="I26" s="33"/>
      <c r="J26" s="33"/>
    </row>
    <row r="27" customFormat="false" ht="21.75" hidden="false" customHeight="true" outlineLevel="0" collapsed="false">
      <c r="B27" s="31" t="s">
        <v>136</v>
      </c>
      <c r="C27" s="31"/>
      <c r="D27" s="31"/>
      <c r="E27" s="31"/>
      <c r="F27" s="31"/>
      <c r="G27" s="34" t="n">
        <f aca="false">IF(COUNT(G15:G20)=0,"",MIN(G15:G20))</f>
        <v>46209</v>
      </c>
      <c r="H27" s="34"/>
      <c r="I27" s="34"/>
      <c r="J27" s="34"/>
    </row>
    <row r="28" customFormat="false" ht="21.75" hidden="false" customHeight="true" outlineLevel="0" collapsed="false">
      <c r="B28" s="31" t="s">
        <v>137</v>
      </c>
      <c r="C28" s="31"/>
      <c r="D28" s="31"/>
      <c r="E28" s="31"/>
      <c r="F28" s="31"/>
      <c r="G28" s="34" t="n">
        <f aca="false">IF(COUNT(H15:H20)=0,"",MAX(H15:H20))</f>
        <v>46248</v>
      </c>
      <c r="H28" s="34"/>
      <c r="I28" s="34"/>
      <c r="J28" s="34"/>
    </row>
    <row r="29" customFormat="false" ht="21.75" hidden="false" customHeight="true" outlineLevel="0" collapsed="false">
      <c r="B29" s="31" t="s">
        <v>138</v>
      </c>
      <c r="C29" s="31"/>
      <c r="D29" s="31"/>
      <c r="E29" s="31"/>
      <c r="F29" s="31"/>
      <c r="G29" s="29" t="str">
        <f aca="false">IF(G23=0,"Liste as ações",IF(G24&lt;G23,"Há ação com resposta em branco ou com datas invertidas","OK"))</f>
        <v>OK</v>
      </c>
      <c r="H29" s="29"/>
      <c r="I29" s="29"/>
      <c r="J29" s="29"/>
    </row>
    <row r="30" customFormat="false" ht="21.75" hidden="false" customHeight="true" outlineLevel="0" collapsed="false">
      <c r="B30" s="31" t="s">
        <v>139</v>
      </c>
      <c r="C30" s="31"/>
      <c r="D30" s="31"/>
      <c r="E30" s="31"/>
      <c r="F30" s="31"/>
      <c r="G30" s="29" t="str">
        <f aca="false">IF(I8="","Informe o orçamento aprovado",IF(G25&gt;I8,"Custo previsto acima do orçamento","OK"))</f>
        <v>OK</v>
      </c>
      <c r="H30" s="29"/>
      <c r="I30" s="29"/>
      <c r="J30" s="29"/>
    </row>
    <row r="31" customFormat="false" ht="21.75" hidden="false" customHeight="true" outlineLevel="0" collapsed="false">
      <c r="B31" s="31" t="s">
        <v>140</v>
      </c>
      <c r="C31" s="31"/>
      <c r="D31" s="31"/>
      <c r="E31" s="31"/>
      <c r="F31" s="31"/>
      <c r="G31" s="35" t="n">
        <f aca="false">COUNTA(D4,I4,D5,I5,D6,I6,D7,D8,I8,D9)</f>
        <v>10</v>
      </c>
      <c r="H31" s="35"/>
      <c r="I31" s="35"/>
      <c r="J31" s="35"/>
    </row>
    <row r="33" customFormat="false" ht="21.75" hidden="false" customHeight="true" outlineLevel="0" collapsed="false">
      <c r="B33" s="48" t="s">
        <v>141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4" customFormat="false" ht="21.75" hidden="false" customHeight="true" outlineLevel="0" collapsed="false">
      <c r="B34" s="41" t="s">
        <v>91</v>
      </c>
      <c r="C34" s="41" t="s">
        <v>238</v>
      </c>
      <c r="D34" s="41"/>
      <c r="E34" s="41" t="s">
        <v>147</v>
      </c>
      <c r="F34" s="41" t="s">
        <v>144</v>
      </c>
      <c r="G34" s="41" t="s">
        <v>96</v>
      </c>
      <c r="H34" s="41" t="s">
        <v>145</v>
      </c>
      <c r="I34" s="41" t="s">
        <v>65</v>
      </c>
      <c r="J34" s="41" t="s">
        <v>239</v>
      </c>
      <c r="K34" s="41" t="s">
        <v>240</v>
      </c>
    </row>
    <row r="35" customFormat="false" ht="30" hidden="false" customHeight="true" outlineLevel="0" collapsed="false">
      <c r="B35" s="26" t="s">
        <v>116</v>
      </c>
      <c r="C35" s="7" t="s">
        <v>289</v>
      </c>
      <c r="D35" s="7"/>
      <c r="E35" s="7" t="s">
        <v>290</v>
      </c>
      <c r="F35" s="49" t="s">
        <v>149</v>
      </c>
      <c r="G35" s="50" t="n">
        <v>46213</v>
      </c>
      <c r="H35" s="50" t="n">
        <v>46213</v>
      </c>
      <c r="I35" s="38" t="s">
        <v>149</v>
      </c>
      <c r="J35" s="7" t="s">
        <v>291</v>
      </c>
      <c r="K35" s="51" t="n">
        <v>0</v>
      </c>
    </row>
    <row r="36" customFormat="false" ht="30" hidden="false" customHeight="true" outlineLevel="0" collapsed="false">
      <c r="B36" s="26" t="s">
        <v>117</v>
      </c>
      <c r="C36" s="7" t="s">
        <v>292</v>
      </c>
      <c r="D36" s="7"/>
      <c r="E36" s="7" t="s">
        <v>293</v>
      </c>
      <c r="F36" s="49" t="s">
        <v>149</v>
      </c>
      <c r="G36" s="50" t="n">
        <v>46220</v>
      </c>
      <c r="H36" s="50" t="n">
        <v>46224</v>
      </c>
      <c r="I36" s="38" t="s">
        <v>151</v>
      </c>
      <c r="J36" s="7" t="s">
        <v>246</v>
      </c>
      <c r="K36" s="51" t="n">
        <v>0</v>
      </c>
    </row>
    <row r="37" customFormat="false" ht="30" hidden="false" customHeight="true" outlineLevel="0" collapsed="false">
      <c r="B37" s="26" t="s">
        <v>118</v>
      </c>
      <c r="C37" s="7" t="s">
        <v>294</v>
      </c>
      <c r="D37" s="7"/>
      <c r="E37" s="7" t="s">
        <v>295</v>
      </c>
      <c r="F37" s="49" t="s">
        <v>149</v>
      </c>
      <c r="G37" s="50" t="n">
        <v>46211</v>
      </c>
      <c r="H37" s="50" t="n">
        <v>46211</v>
      </c>
      <c r="I37" s="38" t="s">
        <v>149</v>
      </c>
      <c r="J37" s="7" t="s">
        <v>246</v>
      </c>
      <c r="K37" s="51" t="n">
        <v>0</v>
      </c>
    </row>
    <row r="38" customFormat="false" ht="30" hidden="false" customHeight="true" outlineLevel="0" collapsed="false">
      <c r="B38" s="26" t="s">
        <v>119</v>
      </c>
      <c r="C38" s="7" t="s">
        <v>296</v>
      </c>
      <c r="D38" s="7"/>
      <c r="E38" s="7" t="s">
        <v>297</v>
      </c>
      <c r="F38" s="49" t="s">
        <v>149</v>
      </c>
      <c r="G38" s="50" t="n">
        <v>46213</v>
      </c>
      <c r="H38" s="50" t="n">
        <v>46213</v>
      </c>
      <c r="I38" s="38" t="s">
        <v>149</v>
      </c>
      <c r="J38" s="7" t="s">
        <v>298</v>
      </c>
      <c r="K38" s="51" t="n">
        <v>-50</v>
      </c>
    </row>
    <row r="39" customFormat="false" ht="30" hidden="false" customHeight="true" outlineLevel="0" collapsed="false">
      <c r="B39" s="26" t="s">
        <v>120</v>
      </c>
      <c r="C39" s="7" t="s">
        <v>299</v>
      </c>
      <c r="D39" s="7"/>
      <c r="E39" s="7" t="s">
        <v>300</v>
      </c>
      <c r="F39" s="49" t="s">
        <v>149</v>
      </c>
      <c r="G39" s="50" t="n">
        <v>46241</v>
      </c>
      <c r="H39" s="50" t="n">
        <v>46241</v>
      </c>
      <c r="I39" s="38" t="s">
        <v>149</v>
      </c>
      <c r="J39" s="7" t="s">
        <v>246</v>
      </c>
      <c r="K39" s="51" t="n">
        <v>0</v>
      </c>
    </row>
    <row r="40" customFormat="false" ht="30" hidden="false" customHeight="true" outlineLevel="0" collapsed="false">
      <c r="B40" s="26" t="s">
        <v>121</v>
      </c>
      <c r="C40" s="7" t="s">
        <v>301</v>
      </c>
      <c r="D40" s="7"/>
      <c r="E40" s="7" t="s">
        <v>302</v>
      </c>
      <c r="F40" s="49" t="s">
        <v>149</v>
      </c>
      <c r="G40" s="50" t="n">
        <v>46248</v>
      </c>
      <c r="H40" s="50" t="n">
        <v>46248</v>
      </c>
      <c r="I40" s="38" t="s">
        <v>149</v>
      </c>
      <c r="J40" s="7" t="s">
        <v>246</v>
      </c>
      <c r="K40" s="51" t="n">
        <v>0</v>
      </c>
    </row>
    <row r="41" customFormat="false" ht="21.75" hidden="false" customHeight="true" outlineLevel="0" collapsed="false">
      <c r="B41" s="31" t="s">
        <v>146</v>
      </c>
      <c r="C41" s="31"/>
      <c r="D41" s="31"/>
      <c r="E41" s="31"/>
      <c r="F41" s="31"/>
      <c r="G41" s="31"/>
      <c r="H41" s="31"/>
      <c r="I41" s="31"/>
      <c r="J41" s="33" t="n">
        <v>2150</v>
      </c>
      <c r="K41" s="33"/>
    </row>
    <row r="43" customFormat="false" ht="21.75" hidden="false" customHeight="true" outlineLevel="0" collapsed="false">
      <c r="B43" s="52" t="s">
        <v>167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</row>
    <row r="44" customFormat="false" ht="21.75" hidden="false" customHeight="true" outlineLevel="0" collapsed="false">
      <c r="B44" s="41" t="s">
        <v>91</v>
      </c>
      <c r="C44" s="41" t="s">
        <v>255</v>
      </c>
      <c r="D44" s="41"/>
      <c r="E44" s="41" t="s">
        <v>170</v>
      </c>
      <c r="F44" s="41" t="s">
        <v>171</v>
      </c>
      <c r="G44" s="41" t="s">
        <v>172</v>
      </c>
      <c r="H44" s="41" t="s">
        <v>174</v>
      </c>
      <c r="I44" s="41" t="s">
        <v>175</v>
      </c>
      <c r="J44" s="32" t="s">
        <v>176</v>
      </c>
      <c r="K44" s="32"/>
      <c r="L44" s="32"/>
    </row>
    <row r="45" customFormat="false" ht="30" hidden="false" customHeight="true" outlineLevel="0" collapsed="false">
      <c r="B45" s="26" t="n">
        <v>1</v>
      </c>
      <c r="C45" s="7" t="s">
        <v>303</v>
      </c>
      <c r="D45" s="7"/>
      <c r="E45" s="7" t="s">
        <v>304</v>
      </c>
      <c r="F45" s="49" t="n">
        <v>12</v>
      </c>
      <c r="G45" s="49" t="n">
        <v>7</v>
      </c>
      <c r="H45" s="49" t="n">
        <v>8</v>
      </c>
      <c r="I45" s="38" t="s">
        <v>305</v>
      </c>
      <c r="J45" s="7" t="s">
        <v>306</v>
      </c>
      <c r="K45" s="7"/>
      <c r="L45" s="7"/>
    </row>
    <row r="46" customFormat="false" ht="30" hidden="false" customHeight="true" outlineLevel="0" collapsed="false">
      <c r="B46" s="26" t="n">
        <v>2</v>
      </c>
      <c r="C46" s="7" t="s">
        <v>307</v>
      </c>
      <c r="D46" s="7"/>
      <c r="E46" s="7" t="s">
        <v>308</v>
      </c>
      <c r="F46" s="49" t="n">
        <v>40</v>
      </c>
      <c r="G46" s="49" t="n">
        <v>15</v>
      </c>
      <c r="H46" s="49" t="n">
        <v>12</v>
      </c>
      <c r="I46" s="38" t="s">
        <v>180</v>
      </c>
      <c r="J46" s="7" t="s">
        <v>309</v>
      </c>
      <c r="K46" s="7"/>
      <c r="L46" s="7"/>
    </row>
  </sheetData>
  <mergeCells count="69">
    <mergeCell ref="B1:L1"/>
    <mergeCell ref="B2:L2"/>
    <mergeCell ref="B4:C4"/>
    <mergeCell ref="D4:F4"/>
    <mergeCell ref="G4:H4"/>
    <mergeCell ref="I4:L4"/>
    <mergeCell ref="B5:C5"/>
    <mergeCell ref="D5:F5"/>
    <mergeCell ref="G5:H5"/>
    <mergeCell ref="I5:L5"/>
    <mergeCell ref="B6:C6"/>
    <mergeCell ref="D6:F6"/>
    <mergeCell ref="G6:H6"/>
    <mergeCell ref="I6:L6"/>
    <mergeCell ref="B7:C7"/>
    <mergeCell ref="D7:L7"/>
    <mergeCell ref="B8:C8"/>
    <mergeCell ref="D8:F8"/>
    <mergeCell ref="G8:H8"/>
    <mergeCell ref="I8:L8"/>
    <mergeCell ref="B9:C9"/>
    <mergeCell ref="D9:L9"/>
    <mergeCell ref="C11:D11"/>
    <mergeCell ref="G11:H11"/>
    <mergeCell ref="C12:D12"/>
    <mergeCell ref="C13:D13"/>
    <mergeCell ref="B14:L14"/>
    <mergeCell ref="C15:D15"/>
    <mergeCell ref="C16:D16"/>
    <mergeCell ref="C17:D17"/>
    <mergeCell ref="C18:D18"/>
    <mergeCell ref="C19:D19"/>
    <mergeCell ref="C20:D20"/>
    <mergeCell ref="B22:L22"/>
    <mergeCell ref="B23:F23"/>
    <mergeCell ref="G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29:F29"/>
    <mergeCell ref="G29:J29"/>
    <mergeCell ref="B30:F30"/>
    <mergeCell ref="G30:J30"/>
    <mergeCell ref="B31:F31"/>
    <mergeCell ref="G31:J31"/>
    <mergeCell ref="B33:L33"/>
    <mergeCell ref="C34:D34"/>
    <mergeCell ref="C35:D35"/>
    <mergeCell ref="C36:D36"/>
    <mergeCell ref="C37:D37"/>
    <mergeCell ref="C38:D38"/>
    <mergeCell ref="C39:D39"/>
    <mergeCell ref="C40:D40"/>
    <mergeCell ref="B41:I41"/>
    <mergeCell ref="J41:K41"/>
    <mergeCell ref="B43:L43"/>
    <mergeCell ref="C44:D44"/>
    <mergeCell ref="J44:L44"/>
    <mergeCell ref="C45:D45"/>
    <mergeCell ref="J45:L45"/>
    <mergeCell ref="C46:D46"/>
    <mergeCell ref="J46:L46"/>
  </mergeCells>
  <conditionalFormatting sqref="L15:L20">
    <cfRule type="cellIs" priority="2" operator="equal" aboveAverage="0" equalAverage="0" bottom="0" percent="0" rank="0" text="" dxfId="0">
      <formula>"Completa"</formula>
    </cfRule>
    <cfRule type="cellIs" priority="3" operator="equal" aboveAverage="0" equalAverage="0" bottom="0" percent="0" rank="0" text="" dxfId="1">
      <formula>"Datas invertidas"</formula>
    </cfRule>
    <cfRule type="expression" priority="4" aboveAverage="0" equalAverage="0" bottom="0" percent="0" rank="0" text="" dxfId="2">
      <formula>LEFT(L15,6)="Faltam"</formula>
    </cfRule>
  </conditionalFormatting>
  <conditionalFormatting sqref="G29:J3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2">
      <formula>"OK"</formula>
    </cfRule>
  </conditionalFormatting>
  <conditionalFormatting sqref="F35:F40">
    <cfRule type="cellIs" priority="7" operator="equal" aboveAverage="0" equalAverage="0" bottom="0" percent="0" rank="0" text="" dxfId="0">
      <formula>"Concluída"</formula>
    </cfRule>
    <cfRule type="cellIs" priority="8" operator="equal" aboveAverage="0" equalAverage="0" bottom="0" percent="0" rank="0" text="" dxfId="2">
      <formula>"Em andamento"</formula>
    </cfRule>
    <cfRule type="cellIs" priority="9" operator="equal" aboveAverage="0" equalAverage="0" bottom="0" percent="0" rank="0" text="" dxfId="1">
      <formula>"Não iniciada"</formula>
    </cfRule>
  </conditionalFormatting>
  <conditionalFormatting sqref="I35:I40">
    <cfRule type="cellIs" priority="10" operator="equal" aboveAverage="0" equalAverage="0" bottom="0" percent="0" rank="0" text="" dxfId="0">
      <formula>"Concluída"</formula>
    </cfRule>
    <cfRule type="cellIs" priority="11" operator="equal" aboveAverage="0" equalAverage="0" bottom="0" percent="0" rank="0" text="" dxfId="0">
      <formula>"No prazo"</formula>
    </cfRule>
    <cfRule type="cellIs" priority="12" operator="equal" aboveAverage="0" equalAverage="0" bottom="0" percent="0" rank="0" text="" dxfId="2">
      <formula>"Concluída com atraso"</formula>
    </cfRule>
    <cfRule type="cellIs" priority="13" operator="equal" aboveAverage="0" equalAverage="0" bottom="0" percent="0" rank="0" text="" dxfId="2">
      <formula>"Sem prazo"</formula>
    </cfRule>
    <cfRule type="cellIs" priority="14" operator="equal" aboveAverage="0" equalAverage="0" bottom="0" percent="0" rank="0" text="" dxfId="1">
      <formula>"Atrasada"</formula>
    </cfRule>
  </conditionalFormatting>
  <conditionalFormatting sqref="I45:I46">
    <cfRule type="cellIs" priority="15" operator="equal" aboveAverage="0" equalAverage="0" bottom="0" percent="0" rank="0" text="" dxfId="0">
      <formula>"Sim"</formula>
    </cfRule>
    <cfRule type="cellIs" priority="16" operator="equal" aboveAverage="0" equalAverage="0" bottom="0" percent="0" rank="0" text="" dxfId="1">
      <formula>"Não"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I5 G15:H20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15:K2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2026-09-29T17:25:23Z</dcterms:created>
  <dc:creator>Modelo 5W2H</dc:creator>
  <dc:description/>
  <dc:language>pt-BR</dc:language>
  <cp:lastModifiedBy/>
  <dcterms:modified xsi:type="dcterms:W3CDTF">2026-09-29T17:25:23Z</dcterms:modified>
  <cp:revision>0</cp:revision>
  <dc:subject/>
  <dc:title>5W2H — Modelo de plano de ação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