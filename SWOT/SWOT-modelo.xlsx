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Instruções" sheetId="1" state="visible" r:id="rId3"/>
    <sheet name="SWOT" sheetId="2" state="visible" r:id="rId4"/>
    <sheet name="Priorização" sheetId="3" state="visible" r:id="rId5"/>
    <sheet name="SWOT cruzada" sheetId="4" state="visible" r:id="rId6"/>
    <sheet name="Plano de ação" sheetId="5" state="visible" r:id="rId7"/>
    <sheet name="Checklist" sheetId="6" state="visible" r:id="rId8"/>
    <sheet name="Exemplo 1 - Pizzaria" sheetId="7" state="visible" r:id="rId9"/>
    <sheet name="Exemplo 2 - Compras" sheetId="8" state="visible" r:id="rId10"/>
  </sheets>
  <definedNames>
    <definedName function="false" hidden="false" localSheetId="5" name="_xlnm.Print_Area" vbProcedure="false">Checklist!$B$1:$E$24</definedName>
    <definedName function="false" hidden="false" localSheetId="6" name="_xlnm.Print_Area" vbProcedure="false">'Exemplo 1 - Pizzaria'!$B$1:$M$56</definedName>
    <definedName function="false" hidden="false" localSheetId="7" name="_xlnm.Print_Area" vbProcedure="false">'Exemplo 2 - Compras'!$B$1:$M$55</definedName>
    <definedName function="false" hidden="false" localSheetId="0" name="_xlnm.Print_Area" vbProcedure="false">Instruções!$B$1:$C$49</definedName>
    <definedName function="false" hidden="false" localSheetId="4" name="_xlnm.Print_Area" vbProcedure="false">'Plano de ação'!$B$1:$I$29</definedName>
    <definedName function="false" hidden="false" localSheetId="2" name="_xlnm.Print_Area" vbProcedure="false">Priorização!$B$1:$I$70</definedName>
    <definedName function="false" hidden="false" localSheetId="1" name="_xlnm.Print_Area" vbProcedure="false">SWOT!$B$1:$M$47</definedName>
    <definedName function="false" hidden="false" localSheetId="3" name="_xlnm.Print_Area" vbProcedure="false">'SWOT cruzada'!$B$1:$I$27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D4" authorId="0">
      <text>
        <r>
          <rPr>
            <sz val="10"/>
            <rFont val="Arial"/>
            <family val="2"/>
          </rPr>
          <t xml:space="preserve">O que está sendo analisado: a organização, uma área, um produto ou um projeto.
Ex.: "Operação de delivery da pizzaria".</t>
        </r>
      </text>
    </comment>
    <comment ref="D7" authorId="0">
      <text>
        <r>
          <rPr>
            <sz val="10"/>
            <rFont val="Arial"/>
            <family val="2"/>
          </rPr>
          <t xml:space="preserve">O resultado que se quer alcançar. É ele que define o que ajuda e o que atrapalha.
Ex.: "Aumentar em 20% o faturamento do delivery".</t>
        </r>
      </text>
    </comment>
    <comment ref="D8" authorId="0">
      <text>
        <r>
          <rPr>
            <sz val="10"/>
            <rFont val="Arial"/>
            <family val="2"/>
          </rPr>
          <t xml:space="preserve">Período coberto pela análise.
Ex.: "12 meses".</t>
        </r>
      </text>
    </comment>
    <comment ref="D9" authorId="0">
      <text>
        <r>
          <rPr>
            <sz val="10"/>
            <rFont val="Arial"/>
            <family val="2"/>
          </rPr>
          <t xml:space="preserve">O que esta análise não vai tratar.
Ex.: "Atendimento no salão".</t>
        </r>
      </text>
    </comment>
    <comment ref="E14" authorId="0">
      <text>
        <r>
          <rPr>
            <sz val="10"/>
            <rFont val="Arial"/>
            <family val="2"/>
          </rPr>
          <t xml:space="preserve">Impacto: quanto o fator pesa no objetivo.
1 = quase não afeta; 5 = decide o resultado.</t>
        </r>
      </text>
    </comment>
    <comment ref="F14" authorId="0">
      <text>
        <r>
          <rPr>
            <sz val="10"/>
            <rFont val="Arial"/>
            <family val="2"/>
          </rPr>
          <t xml:space="preserve">Intensidade. Para forças e fraquezas: o quanto a característica é marcante hoje.
Para oportunidades e ameaças: a chance de acontecer no horizonte da análise.
1 = muito baixa; 5 = muito alta.</t>
        </r>
      </text>
    </comment>
    <comment ref="J8" authorId="0">
      <text>
        <r>
          <rPr>
            <sz val="10"/>
            <rFont val="Arial"/>
            <family val="2"/>
          </rPr>
          <t xml:space="preserve">Quem participou da oficina. Procure reunir áreas e níveis diferentes.</t>
        </r>
      </text>
    </comment>
  </commentList>
</comments>
</file>

<file path=xl/sharedStrings.xml><?xml version="1.0" encoding="utf-8"?>
<sst xmlns="http://schemas.openxmlformats.org/spreadsheetml/2006/main" count="624" uniqueCount="297">
  <si>
    <t xml:space="preserve">SWOT — Como usar esta planilha</t>
  </si>
  <si>
    <t xml:space="preserve">Modelo para analisar forças, fraquezas, oportunidades e ameaças e transformar o diagnóstico em estratégia.</t>
  </si>
  <si>
    <t xml:space="preserve">Legenda: onde preencher</t>
  </si>
  <si>
    <t xml:space="preserve">Amarelo-claro</t>
  </si>
  <si>
    <t xml:space="preserve">Células de entrada. É aqui que você digita.</t>
  </si>
  <si>
    <t xml:space="preserve">Cinza</t>
  </si>
  <si>
    <t xml:space="preserve">Células calculadas ou fixas (rótulos, contagens, avisos). Não altere.</t>
  </si>
  <si>
    <t xml:space="preserve">Cinza em itálico</t>
  </si>
  <si>
    <t xml:space="preserve">Linha de exemplo (marcada com “Ex.”). Mostra o formato esperado e não entra nas contagens.</t>
  </si>
  <si>
    <t xml:space="preserve">Listas suspensas</t>
  </si>
  <si>
    <t xml:space="preserve">Colunas de código, prioridade e status aceitam apenas as opções da lista. As notas aceitam números de 1 a 5.</t>
  </si>
  <si>
    <t xml:space="preserve">Comentários</t>
  </si>
  <si>
    <t xml:space="preserve">Células com triângulo vermelho no canto trazem uma dica de preenchimento. Passe o mouse sobre elas.</t>
  </si>
  <si>
    <t xml:space="preserve">Os quatro quadrantes</t>
  </si>
  <si>
    <t xml:space="preserve">S</t>
  </si>
  <si>
    <t xml:space="preserve">Forças: características internas que favorecem o objetivo. A organização controla.</t>
  </si>
  <si>
    <t xml:space="preserve">W</t>
  </si>
  <si>
    <t xml:space="preserve">Fraquezas: características internas que dificultam o objetivo. A organização controla.</t>
  </si>
  <si>
    <t xml:space="preserve">O</t>
  </si>
  <si>
    <t xml:space="preserve">Oportunidades: fatos ou tendências do ambiente que podem favorecer o objetivo. A organização não controla.</t>
  </si>
  <si>
    <t xml:space="preserve">T</t>
  </si>
  <si>
    <t xml:space="preserve">Ameaças: fatos ou tendências do ambiente que podem prejudicar o objetivo. A organização não controla.</t>
  </si>
  <si>
    <t xml:space="preserve">Escala das notas</t>
  </si>
  <si>
    <t xml:space="preserve">Impacto</t>
  </si>
  <si>
    <t xml:space="preserve">Quanto o fator pesa no objetivo. 1 = quase não afeta; 3 = afeta de forma moderada; 5 = decide o resultado.</t>
  </si>
  <si>
    <t xml:space="preserve">Intensidade (S e W)</t>
  </si>
  <si>
    <t xml:space="preserve">O quanto a característica é marcante hoje. 1 = pouco perceptível; 3 = aparece com frequência; 5 = define a organização.</t>
  </si>
  <si>
    <t xml:space="preserve">Intensidade (O e T)</t>
  </si>
  <si>
    <t xml:space="preserve">A chance de acontecer no horizonte da análise. 1 = improvável; 3 = pode acontecer ou não; 5 = já está acontecendo.</t>
  </si>
  <si>
    <t xml:space="preserve">Pontos</t>
  </si>
  <si>
    <t xml:space="preserve">Impacto × intensidade, de 1 a 25. Prioridade alta: 15 ou mais. Média: de 8 a 14. Baixa: até 7.</t>
  </si>
  <si>
    <t xml:space="preserve">Ordem recomendada de preenchimento</t>
  </si>
  <si>
    <t xml:space="preserve">Passo 1</t>
  </si>
  <si>
    <t xml:space="preserve">Aba SWOT: preencha o cabeçalho, com o objeto, o objetivo e o horizonte da análise.</t>
  </si>
  <si>
    <t xml:space="preserve">Passo 2</t>
  </si>
  <si>
    <t xml:space="preserve">Aba SWOT, quadrantes O e T: liste as oportunidades e as ameaças. Comece pelo ambiente externo.</t>
  </si>
  <si>
    <t xml:space="preserve">Passo 3</t>
  </si>
  <si>
    <t xml:space="preserve">Aba SWOT, quadrantes S e W: liste as forças e as fraquezas, com fatos que as sustentem.</t>
  </si>
  <si>
    <t xml:space="preserve">Passo 4</t>
  </si>
  <si>
    <t xml:space="preserve">Aba SWOT: dê as notas de impacto e de intensidade a cada fator.</t>
  </si>
  <si>
    <t xml:space="preserve">Passo 5</t>
  </si>
  <si>
    <t xml:space="preserve">Aba Priorização: veja os fatores em ordem de pontuação. Nada para digitar.</t>
  </si>
  <si>
    <t xml:space="preserve">Passo 6</t>
  </si>
  <si>
    <t xml:space="preserve">Aba SWOT cruzada: combine os fatores de alta prioridade pelo código e escreva as estratégias.</t>
  </si>
  <si>
    <t xml:space="preserve">Passo 7</t>
  </si>
  <si>
    <t xml:space="preserve">Aba Plano de ação: leve as estratégias escolhidas a ações, com responsável, prazo e indicador.</t>
  </si>
  <si>
    <t xml:space="preserve">Passo 8</t>
  </si>
  <si>
    <t xml:space="preserve">Aba Checklist: valide a análise com o grupo e marque a data da próxima revisão.</t>
  </si>
  <si>
    <t xml:space="preserve">Abas da planilha</t>
  </si>
  <si>
    <t xml:space="preserve">SWOT</t>
  </si>
  <si>
    <t xml:space="preserve">Modelo principal. Cabeçalho da análise, quatro quadrantes com notas e resumo automático.</t>
  </si>
  <si>
    <t xml:space="preserve">Priorização</t>
  </si>
  <si>
    <t xml:space="preserve">Fatores em ordem de pontuação, faixas de prioridade e gráfico dos pontos por quadrante.</t>
  </si>
  <si>
    <t xml:space="preserve">SWOT cruzada</t>
  </si>
  <si>
    <t xml:space="preserve">Estratégias que combinam um fator interno com um fator externo.</t>
  </si>
  <si>
    <t xml:space="preserve">Plano de ação</t>
  </si>
  <si>
    <t xml:space="preserve">Ações de cada estratégia, com situação calculada a partir do prazo e do status.</t>
  </si>
  <si>
    <t xml:space="preserve">Checklist</t>
  </si>
  <si>
    <t xml:space="preserve">Doze verificações de qualidade da análise, com percentual de conclusão.</t>
  </si>
  <si>
    <t xml:space="preserve">Exemplo 1 - Pizzaria</t>
  </si>
  <si>
    <t xml:space="preserve">Análise preenchida com postura de desenvolvimento: crescer no delivery.</t>
  </si>
  <si>
    <t xml:space="preserve">Exemplo 2 - Compras</t>
  </si>
  <si>
    <t xml:space="preserve">Análise preenchida com postura de sobrevivência: reduzir o custo de aquisição.</t>
  </si>
  <si>
    <t xml:space="preserve">Regras e premissas do modelo</t>
  </si>
  <si>
    <t xml:space="preserve">Códigos</t>
  </si>
  <si>
    <t xml:space="preserve">Cada fator tem um código fixo, formado pela letra do quadrante e pelo número da linha: S1 a S8, W1 a W8, O1 a O8 e T1 a T8. A aba SWOT cruzada usa esses códigos para buscar o texto dos fatores.</t>
  </si>
  <si>
    <t xml:space="preserve">Postura estratégica</t>
  </si>
  <si>
    <t xml:space="preserve">A postura compara a soma dos pontos dos quadrantes: forças com fraquezas e oportunidades com ameaças. É uma leitura de apoio, que depende das notas dadas pelo grupo.</t>
  </si>
  <si>
    <t xml:space="preserve">Empates</t>
  </si>
  <si>
    <t xml:space="preserve">Na aba Priorização, fatores com a mesma pontuação aparecem na ordem dos quadrantes: S, W, O e T.</t>
  </si>
  <si>
    <t xml:space="preserve">Ação atrasada</t>
  </si>
  <si>
    <t xml:space="preserve">Uma ação é considerada atrasada quando o prazo é anterior à data de hoje e o status não é Concluída nem Cancelada.</t>
  </si>
  <si>
    <t xml:space="preserve">Capacidade</t>
  </si>
  <si>
    <t xml:space="preserve">A planilha comporta 8 fatores por quadrante, 12 estratégias e 15 ações. Se faltar espaço, agrupe fatores parecidos: listas longas escondem o que importa.</t>
  </si>
  <si>
    <t xml:space="preserve">Exemplos</t>
  </si>
  <si>
    <t xml:space="preserve">Os dados das abas de exemplo são ilustrativos, criados para este material.</t>
  </si>
  <si>
    <t xml:space="preserve">SWOT — Matriz de análise</t>
  </si>
  <si>
    <t xml:space="preserve">Preencha as células em amarelo-claro. As células cinza são calculadas automaticamente.</t>
  </si>
  <si>
    <t xml:space="preserve">Objeto da análise</t>
  </si>
  <si>
    <t xml:space="preserve">Responsável</t>
  </si>
  <si>
    <t xml:space="preserve">Área / unidade</t>
  </si>
  <si>
    <t xml:space="preserve">Data</t>
  </si>
  <si>
    <t xml:space="preserve">Elaborado por</t>
  </si>
  <si>
    <t xml:space="preserve">Versão</t>
  </si>
  <si>
    <t xml:space="preserve">Objetivo da análise</t>
  </si>
  <si>
    <t xml:space="preserve">Horizonte de tempo</t>
  </si>
  <si>
    <t xml:space="preserve">Participantes</t>
  </si>
  <si>
    <t xml:space="preserve">Fora do escopo</t>
  </si>
  <si>
    <t xml:space="preserve">Forças (Strengths) · interno, ajuda</t>
  </si>
  <si>
    <t xml:space="preserve">Fraquezas (Weaknesses) · interno, atrapalha</t>
  </si>
  <si>
    <t xml:space="preserve">O que a organização faz bem e está sob o seu controle?</t>
  </si>
  <si>
    <t xml:space="preserve">O que a organização faz mal ou não tem, e poderia mudar?</t>
  </si>
  <si>
    <t xml:space="preserve">#</t>
  </si>
  <si>
    <t xml:space="preserve">Fator</t>
  </si>
  <si>
    <t xml:space="preserve">Intensidade</t>
  </si>
  <si>
    <t xml:space="preserve">Ex.</t>
  </si>
  <si>
    <t xml:space="preserve">Receita própria, elogiada nas avaliações dos clientes</t>
  </si>
  <si>
    <t xml:space="preserve">Forno único, que limita a produção no horário de pico</t>
  </si>
  <si>
    <t xml:space="preserve">S1</t>
  </si>
  <si>
    <t xml:space="preserve">W1</t>
  </si>
  <si>
    <t xml:space="preserve">S2</t>
  </si>
  <si>
    <t xml:space="preserve">W2</t>
  </si>
  <si>
    <t xml:space="preserve">S3</t>
  </si>
  <si>
    <t xml:space="preserve">W3</t>
  </si>
  <si>
    <t xml:space="preserve">S4</t>
  </si>
  <si>
    <t xml:space="preserve">W4</t>
  </si>
  <si>
    <t xml:space="preserve">S5</t>
  </si>
  <si>
    <t xml:space="preserve">W5</t>
  </si>
  <si>
    <t xml:space="preserve">S6</t>
  </si>
  <si>
    <t xml:space="preserve">W6</t>
  </si>
  <si>
    <t xml:space="preserve">S7</t>
  </si>
  <si>
    <t xml:space="preserve">W7</t>
  </si>
  <si>
    <t xml:space="preserve">S8</t>
  </si>
  <si>
    <t xml:space="preserve">W8</t>
  </si>
  <si>
    <t xml:space="preserve">Oportunidades (Opportunities) · externo, ajuda</t>
  </si>
  <si>
    <t xml:space="preserve">Ameaças (Threats) · externo, atrapalha</t>
  </si>
  <si>
    <t xml:space="preserve">O que acontece no ambiente e pode favorecer o objetivo?</t>
  </si>
  <si>
    <t xml:space="preserve">O que acontece no ambiente e pode prejudicar o objetivo?</t>
  </si>
  <si>
    <t xml:space="preserve">Novos condomínios em construção no bairro</t>
  </si>
  <si>
    <t xml:space="preserve">Aumento da taxa cobrada pelo aplicativo de delivery</t>
  </si>
  <si>
    <t xml:space="preserve">O1</t>
  </si>
  <si>
    <t xml:space="preserve">T1</t>
  </si>
  <si>
    <t xml:space="preserve">O2</t>
  </si>
  <si>
    <t xml:space="preserve">T2</t>
  </si>
  <si>
    <t xml:space="preserve">O3</t>
  </si>
  <si>
    <t xml:space="preserve">T3</t>
  </si>
  <si>
    <t xml:space="preserve">O4</t>
  </si>
  <si>
    <t xml:space="preserve">T4</t>
  </si>
  <si>
    <t xml:space="preserve">O5</t>
  </si>
  <si>
    <t xml:space="preserve">T5</t>
  </si>
  <si>
    <t xml:space="preserve">O6</t>
  </si>
  <si>
    <t xml:space="preserve">T6</t>
  </si>
  <si>
    <t xml:space="preserve">O7</t>
  </si>
  <si>
    <t xml:space="preserve">T7</t>
  </si>
  <si>
    <t xml:space="preserve">O8</t>
  </si>
  <si>
    <t xml:space="preserve">T8</t>
  </si>
  <si>
    <t xml:space="preserve">Resumo automático</t>
  </si>
  <si>
    <t xml:space="preserve">Quadrante</t>
  </si>
  <si>
    <t xml:space="preserve">S — Forças</t>
  </si>
  <si>
    <t xml:space="preserve">W — Fraquezas</t>
  </si>
  <si>
    <t xml:space="preserve">O — Oportunidades</t>
  </si>
  <si>
    <t xml:space="preserve">T — Ameaças</t>
  </si>
  <si>
    <t xml:space="preserve">Fatores listados</t>
  </si>
  <si>
    <t xml:space="preserve">Aviso</t>
  </si>
  <si>
    <t xml:space="preserve">Balanço interno (forças menos fraquezas)</t>
  </si>
  <si>
    <t xml:space="preserve">Balanço externo (oportunidades menos ameaças)</t>
  </si>
  <si>
    <t xml:space="preserve">Postura estratégica sugerida</t>
  </si>
  <si>
    <t xml:space="preserve">Campos do cabeçalho preenchidos</t>
  </si>
  <si>
    <t xml:space="preserve">Priorização dos fatores</t>
  </si>
  <si>
    <t xml:space="preserve">Esta aba é calculada a partir da aba SWOT. Não há nada para digitar aqui.</t>
  </si>
  <si>
    <t xml:space="preserve">Fatores em ordem de pontuação</t>
  </si>
  <si>
    <t xml:space="preserve">Apoio ao cálculo (não altere)</t>
  </si>
  <si>
    <t xml:space="preserve">Pos.</t>
  </si>
  <si>
    <t xml:space="preserve">Código</t>
  </si>
  <si>
    <t xml:space="preserve">Prioridade</t>
  </si>
  <si>
    <t xml:space="preserve">Posição</t>
  </si>
  <si>
    <t xml:space="preserve">Forças</t>
  </si>
  <si>
    <t xml:space="preserve">Fraquezas</t>
  </si>
  <si>
    <t xml:space="preserve">Oportunidades</t>
  </si>
  <si>
    <t xml:space="preserve">Ameaças</t>
  </si>
  <si>
    <t xml:space="preserve">Fatores com pontuação</t>
  </si>
  <si>
    <t xml:space="preserve">Prioridade alta (15 pontos ou mais)</t>
  </si>
  <si>
    <t xml:space="preserve">Prioridade média (de 8 a 14 pontos)</t>
  </si>
  <si>
    <t xml:space="preserve">Prioridade baixa (até 7 pontos)</t>
  </si>
  <si>
    <t xml:space="preserve">Pontos por quadrante</t>
  </si>
  <si>
    <t xml:space="preserve">Leitura</t>
  </si>
  <si>
    <t xml:space="preserve">Fatores</t>
  </si>
  <si>
    <t xml:space="preserve">Participação</t>
  </si>
  <si>
    <t xml:space="preserve">Interno, ajuda</t>
  </si>
  <si>
    <t xml:space="preserve">Interno, atrapalha</t>
  </si>
  <si>
    <t xml:space="preserve">Externo, ajuda</t>
  </si>
  <si>
    <t xml:space="preserve">Externo, atrapalha</t>
  </si>
  <si>
    <t xml:space="preserve">Gráfico: pontos por quadrante</t>
  </si>
  <si>
    <t xml:space="preserve">SWOT cruzada — estratégias</t>
  </si>
  <si>
    <t xml:space="preserve">Escolha o código de um fator interno e de um fator externo. O texto dos fatores vem da aba SWOT.</t>
  </si>
  <si>
    <t xml:space="preserve">Interno</t>
  </si>
  <si>
    <t xml:space="preserve">Fator interno</t>
  </si>
  <si>
    <t xml:space="preserve">Externo</t>
  </si>
  <si>
    <t xml:space="preserve">Fator externo</t>
  </si>
  <si>
    <t xml:space="preserve">Cruzamento</t>
  </si>
  <si>
    <t xml:space="preserve">Estratégia</t>
  </si>
  <si>
    <t xml:space="preserve">Dependência de um aplicativo para 70% dos pedidos</t>
  </si>
  <si>
    <t xml:space="preserve">Pedido por aplicativo de mensagens, com custo menor por venda</t>
  </si>
  <si>
    <t xml:space="preserve">WO — Crescimento</t>
  </si>
  <si>
    <t xml:space="preserve">Levar 30% dos pedidos do aplicativo para o canal próprio</t>
  </si>
  <si>
    <t xml:space="preserve">Alta</t>
  </si>
  <si>
    <t xml:space="preserve">Estratégias registradas</t>
  </si>
  <si>
    <t xml:space="preserve">SO — Desenvolvimento</t>
  </si>
  <si>
    <t xml:space="preserve">ST — Manutenção</t>
  </si>
  <si>
    <t xml:space="preserve">WT — Sobrevivência</t>
  </si>
  <si>
    <t xml:space="preserve">Estratégias de prioridade alta</t>
  </si>
  <si>
    <t xml:space="preserve">Aviso: cruzamento</t>
  </si>
  <si>
    <t xml:space="preserve">Aviso: fatores</t>
  </si>
  <si>
    <t xml:space="preserve">Uma linha por ação. Cada ação vem de uma estratégia e tem um único responsável.</t>
  </si>
  <si>
    <t xml:space="preserve">Estratégia ou objetivo</t>
  </si>
  <si>
    <t xml:space="preserve">Ação</t>
  </si>
  <si>
    <t xml:space="preserve">Prazo</t>
  </si>
  <si>
    <t xml:space="preserve">Indicador de acompanhamento</t>
  </si>
  <si>
    <t xml:space="preserve">Status</t>
  </si>
  <si>
    <t xml:space="preserve">Situação</t>
  </si>
  <si>
    <t xml:space="preserve">Divulgar o pedido por mensagem na embalagem e nas redes sociais</t>
  </si>
  <si>
    <t xml:space="preserve">Gerente da loja</t>
  </si>
  <si>
    <t xml:space="preserve">% de pedidos recebidos pelo canal próprio</t>
  </si>
  <si>
    <t xml:space="preserve">Em andamento</t>
  </si>
  <si>
    <t xml:space="preserve">No prazo</t>
  </si>
  <si>
    <t xml:space="preserve">Ações registradas</t>
  </si>
  <si>
    <t xml:space="preserve">Concluídas</t>
  </si>
  <si>
    <t xml:space="preserve">Não iniciadas</t>
  </si>
  <si>
    <t xml:space="preserve">Atrasadas</t>
  </si>
  <si>
    <t xml:space="preserve">Ações sem responsável ou sem prazo</t>
  </si>
  <si>
    <t xml:space="preserve">Percentual concluído</t>
  </si>
  <si>
    <t xml:space="preserve">Checklist de validação da Matriz SWOT</t>
  </si>
  <si>
    <t xml:space="preserve">Escolha o status de cada item na lista suspensa (coluna em amarelo-claro).</t>
  </si>
  <si>
    <t xml:space="preserve">Item de verificação</t>
  </si>
  <si>
    <t xml:space="preserve">Observações</t>
  </si>
  <si>
    <t xml:space="preserve">O objeto, o objetivo e o horizonte da análise estão definidos.</t>
  </si>
  <si>
    <t xml:space="preserve">Participaram pessoas de áreas e níveis diferentes.</t>
  </si>
  <si>
    <t xml:space="preserve">Cada fator é um fato ou uma tendência que pode ser verificada.</t>
  </si>
  <si>
    <t xml:space="preserve">Forças e fraquezas são internas: a organização controla.</t>
  </si>
  <si>
    <t xml:space="preserve">Oportunidades e ameaças são externas: existiriam sem a organização.</t>
  </si>
  <si>
    <t xml:space="preserve">Nenhum fator é uma ação ou uma solução disfarçada.</t>
  </si>
  <si>
    <t xml:space="preserve">Cada quadrante tem de 3 a 8 fatores.</t>
  </si>
  <si>
    <t xml:space="preserve">Os fatores foram pontuados pelo grupo, com critérios combinados antes.</t>
  </si>
  <si>
    <t xml:space="preserve">Os fatores de alta prioridade foram cruzados em estratégias.</t>
  </si>
  <si>
    <t xml:space="preserve">Cada estratégia escolhida virou ação, com responsável, prazo e indicador.</t>
  </si>
  <si>
    <t xml:space="preserve">As expectativas das partes interessadas foram consideradas.</t>
  </si>
  <si>
    <t xml:space="preserve">A data da próxima revisão está marcada.</t>
  </si>
  <si>
    <t xml:space="preserve">Itens atendidos (Sim)</t>
  </si>
  <si>
    <t xml:space="preserve">Itens parciais</t>
  </si>
  <si>
    <t xml:space="preserve">Itens não atendidos</t>
  </si>
  <si>
    <t xml:space="preserve">Itens sem resposta</t>
  </si>
  <si>
    <t xml:space="preserve">Percentual atendido</t>
  </si>
  <si>
    <t xml:space="preserve">Exemplo preenchido, para consulta. Use a aba SWOT para a sua análise.</t>
  </si>
  <si>
    <t xml:space="preserve">Operação de delivery de uma pizzaria de bairro</t>
  </si>
  <si>
    <t xml:space="preserve">Pizzaria (loja)</t>
  </si>
  <si>
    <t xml:space="preserve">Equipe da loja</t>
  </si>
  <si>
    <t xml:space="preserve">1.0</t>
  </si>
  <si>
    <t xml:space="preserve">Aumentar em 20% o faturamento do delivery.</t>
  </si>
  <si>
    <t xml:space="preserve">12 meses</t>
  </si>
  <si>
    <t xml:space="preserve">Gerente, líder da expedição, pizzaiolo, atendente e um entregador</t>
  </si>
  <si>
    <t xml:space="preserve">Atendimento no salão e abertura de novas unidades.</t>
  </si>
  <si>
    <t xml:space="preserve">Forças e fraquezas descrevem a organização como ela é hoje. Cada fator é um fato que pode ser verificado. Os pontos são o produto de impacto e intensidade, de 1 a 25.</t>
  </si>
  <si>
    <t xml:space="preserve">Receita própria e massa de fermentação longa, elogiadas nas avaliações</t>
  </si>
  <si>
    <t xml:space="preserve">Entrega própria, com 95% dos pedidos no prazo</t>
  </si>
  <si>
    <t xml:space="preserve">Clientela fiel no bairro, com alta recompra</t>
  </si>
  <si>
    <t xml:space="preserve">Sem controle de custo por pizza</t>
  </si>
  <si>
    <t xml:space="preserve">Equipe estável, com baixa rotatividade</t>
  </si>
  <si>
    <t xml:space="preserve">Pouca presença nas redes sociais</t>
  </si>
  <si>
    <t xml:space="preserve">Oportunidades e ameaças vêm do ambiente: existiriam mesmo que a organização não existisse.</t>
  </si>
  <si>
    <t xml:space="preserve">Procura crescente por opções vegetarianas e sem glúten</t>
  </si>
  <si>
    <t xml:space="preserve">Chegada de uma rede de pizzarias ao bairro</t>
  </si>
  <si>
    <t xml:space="preserve">Empresas da região buscando fornecedores para eventos</t>
  </si>
  <si>
    <t xml:space="preserve">Alta do preço do queijo e da farinha</t>
  </si>
  <si>
    <t xml:space="preserve">Obras na avenida principal, que atrasam as entregas</t>
  </si>
  <si>
    <t xml:space="preserve">Estratégias da SWOT cruzada</t>
  </si>
  <si>
    <t xml:space="preserve">S3 × O4</t>
  </si>
  <si>
    <t xml:space="preserve">Lançar o pedido por mensagem, com programa de fidelidade para os clientes do bairro.</t>
  </si>
  <si>
    <t xml:space="preserve">S1 × O1</t>
  </si>
  <si>
    <t xml:space="preserve">Fazer uma ação de boas-vindas nos novos condomínios, com degustação.</t>
  </si>
  <si>
    <t xml:space="preserve">W2 × O4</t>
  </si>
  <si>
    <t xml:space="preserve">Levar 30% dos pedidos do aplicativo para o canal próprio.</t>
  </si>
  <si>
    <t xml:space="preserve">W1 × O1</t>
  </si>
  <si>
    <t xml:space="preserve">Avaliar a compra do segundo forno antes da entrega dos condomínios.</t>
  </si>
  <si>
    <t xml:space="preserve">S2 × T2</t>
  </si>
  <si>
    <t xml:space="preserve">Divulgar a entrega no prazo como diferencial diante da rede concorrente.</t>
  </si>
  <si>
    <t xml:space="preserve">W3 × T3</t>
  </si>
  <si>
    <t xml:space="preserve">Implantar ficha técnica e custo por pizza, para reagir às altas de preço.</t>
  </si>
  <si>
    <t xml:space="preserve">Área de Suprimentos de uma indústria</t>
  </si>
  <si>
    <t xml:space="preserve">Gerente de Suprimentos</t>
  </si>
  <si>
    <t xml:space="preserve">Suprimentos</t>
  </si>
  <si>
    <t xml:space="preserve">Equipe de compras</t>
  </si>
  <si>
    <t xml:space="preserve">Reduzir em 8% o custo total de aquisição, sem aumentar as faltas de material.</t>
  </si>
  <si>
    <t xml:space="preserve">Gerente, compradores, Controladoria, Produção e Qualidade</t>
  </si>
  <si>
    <t xml:space="preserve">Gestão de estoques e pagamento a fornecedores.</t>
  </si>
  <si>
    <t xml:space="preserve">Compradores experientes, com conhecimento técnico dos itens</t>
  </si>
  <si>
    <t xml:space="preserve">Requisições chegam com especificação incompleta</t>
  </si>
  <si>
    <t xml:space="preserve">Base de fornecedores homologados para todos os itens críticos</t>
  </si>
  <si>
    <t xml:space="preserve">Processo manual, em planilhas e e-mails</t>
  </si>
  <si>
    <t xml:space="preserve">Contratos de longo prazo para os principais insumos</t>
  </si>
  <si>
    <t xml:space="preserve">Fornecedor único contratado para três itens críticos</t>
  </si>
  <si>
    <t xml:space="preserve">Avaliação de fornecedores sem indicadores objetivos</t>
  </si>
  <si>
    <t xml:space="preserve">Novos fabricantes nacionais de itens hoje importados</t>
  </si>
  <si>
    <t xml:space="preserve">Variação do câmbio nos insumos importados</t>
  </si>
  <si>
    <t xml:space="preserve">Plataformas de cotação eletrônica com custo acessível</t>
  </si>
  <si>
    <t xml:space="preserve">Aumento do frete e dos prazos logísticos</t>
  </si>
  <si>
    <t xml:space="preserve">Outras unidades do grupo dispostas a comprar em conjunto</t>
  </si>
  <si>
    <t xml:space="preserve">Exigências ambientais e sociais sobre a cadeia de fornecedores</t>
  </si>
  <si>
    <t xml:space="preserve">Oferta de um insumo crítico concentrada em poucos fabricantes</t>
  </si>
  <si>
    <t xml:space="preserve">W3 × T4</t>
  </si>
  <si>
    <t xml:space="preserve">Homologar um segundo fornecedor para os três itens críticos.</t>
  </si>
  <si>
    <t xml:space="preserve">W1 × T2</t>
  </si>
  <si>
    <t xml:space="preserve">Padronizar a requisição, com especificação e data de necessidade, para reduzir as compras urgentes.</t>
  </si>
  <si>
    <t xml:space="preserve">S3 × T1</t>
  </si>
  <si>
    <t xml:space="preserve">Incluir cláusulas de reajuste e de proteção cambial nos contratos de longo prazo.</t>
  </si>
  <si>
    <t xml:space="preserve">W2 × O2</t>
  </si>
  <si>
    <t xml:space="preserve">Implantar uma plataforma de cotação eletrônica no lugar das planilhas.</t>
  </si>
  <si>
    <t xml:space="preserve">Desenvolver fabricantes nacionais, com o apoio técnico dos compradores.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</si>
</sst>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d/mm/yyyy"/>
    <numFmt numFmtId="166" formatCode="0&quot; fatores&quot;"/>
    <numFmt numFmtId="167" formatCode="0&quot; pontos&quot;"/>
    <numFmt numFmtId="168" formatCode="General"/>
    <numFmt numFmtId="169" formatCode="\+0;\-0;0"/>
    <numFmt numFmtId="170" formatCode="0&quot; de 10&quot;"/>
    <numFmt numFmtId="171" formatCode="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5B6B7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6242E"/>
      <name val="Arial"/>
      <family val="0"/>
      <charset val="1"/>
    </font>
    <font>
      <sz val="10"/>
      <color rgb="FF16242E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20"/>
      <color rgb="FFFFFFFF"/>
      <name val="Arial"/>
      <family val="0"/>
      <charset val="1"/>
    </font>
    <font>
      <i val="true"/>
      <sz val="9"/>
      <color rgb="FF5B6B76"/>
      <name val="Arial"/>
      <family val="0"/>
      <charset val="1"/>
    </font>
    <font>
      <b val="true"/>
      <sz val="9"/>
      <color rgb="FF16242E"/>
      <name val="Arial"/>
      <family val="0"/>
      <charset val="1"/>
    </font>
    <font>
      <b val="true"/>
      <sz val="10"/>
      <color rgb="FF5B6B76"/>
      <name val="Arial"/>
      <family val="0"/>
      <charset val="1"/>
    </font>
    <font>
      <sz val="9"/>
      <color rgb="FF16242E"/>
      <name val="Arial"/>
      <family val="0"/>
      <charset val="1"/>
    </font>
    <font>
      <sz val="10"/>
      <name val="Arial"/>
      <family val="2"/>
    </font>
    <font>
      <sz val="9"/>
      <color rgb="FF5B6B76"/>
      <name val="Arial"/>
      <family val="0"/>
      <charset val="1"/>
    </font>
    <font>
      <sz val="10"/>
      <color rgb="FF00000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16242E"/>
        <bgColor rgb="FF003300"/>
      </patternFill>
    </fill>
    <fill>
      <patternFill patternType="solid">
        <fgColor rgb="FFEEF1F3"/>
        <bgColor rgb="FFD9EEEB"/>
      </patternFill>
    </fill>
    <fill>
      <patternFill patternType="solid">
        <fgColor rgb="FFFFF9DB"/>
        <bgColor rgb="FFFBEBC8"/>
      </patternFill>
    </fill>
    <fill>
      <patternFill patternType="solid">
        <fgColor rgb="FF1E7B73"/>
        <bgColor rgb="FF008080"/>
      </patternFill>
    </fill>
    <fill>
      <patternFill patternType="solid">
        <fgColor rgb="FFD9EEEB"/>
        <bgColor rgb="FFD8EFDD"/>
      </patternFill>
    </fill>
    <fill>
      <patternFill patternType="solid">
        <fgColor rgb="FFA96A12"/>
        <bgColor rgb="FFB0413E"/>
      </patternFill>
    </fill>
    <fill>
      <patternFill patternType="solid">
        <fgColor rgb="FFF6E8CF"/>
        <bgColor rgb="FFFBEBC8"/>
      </patternFill>
    </fill>
    <fill>
      <patternFill patternType="solid">
        <fgColor rgb="FF2B5C8A"/>
        <bgColor rgb="FF1E7B73"/>
      </patternFill>
    </fill>
    <fill>
      <patternFill patternType="solid">
        <fgColor rgb="FFDCE8F3"/>
        <bgColor rgb="FFD9EEEB"/>
      </patternFill>
    </fill>
    <fill>
      <patternFill patternType="solid">
        <fgColor rgb="FFB0413E"/>
        <bgColor rgb="FF993300"/>
      </patternFill>
    </fill>
    <fill>
      <patternFill patternType="solid">
        <fgColor rgb="FFF5DEDC"/>
        <bgColor rgb="FFF6D9D7"/>
      </patternFill>
    </fill>
    <fill>
      <patternFill patternType="solid">
        <fgColor rgb="FF5B6B76"/>
        <bgColor rgb="FF808080"/>
      </patternFill>
    </fill>
    <fill>
      <patternFill patternType="solid">
        <fgColor rgb="FFFFFFFF"/>
        <bgColor rgb="FFFFF9D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2D8"/>
      </left>
      <right style="thin">
        <color rgb="FFC9D2D8"/>
      </right>
      <top style="thin">
        <color rgb="FFC9D2D8"/>
      </top>
      <bottom style="thin">
        <color rgb="FFC9D2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8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3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8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71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9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11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8" fillId="1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>
          <bgColor rgb="FFD8EFDD"/>
        </patternFill>
      </fill>
    </dxf>
    <dxf>
      <fill>
        <patternFill>
          <bgColor rgb="FFFBEBC8"/>
        </patternFill>
      </fill>
    </dxf>
    <dxf>
      <fill>
        <patternFill>
          <bgColor rgb="FFF6D9D7"/>
        </patternFill>
      </fill>
    </dxf>
    <dxf>
      <fill>
        <patternFill>
          <bgColor rgb="FFD9EEEB"/>
        </patternFill>
      </fill>
    </dxf>
    <dxf>
      <fill>
        <patternFill>
          <bgColor rgb="FFF6E8CF"/>
        </patternFill>
      </fill>
    </dxf>
    <dxf>
      <fill>
        <patternFill>
          <bgColor rgb="FFDCE8F3"/>
        </patternFill>
      </fill>
    </dxf>
    <dxf>
      <fill>
        <patternFill>
          <bgColor rgb="FFF5DED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EEF1F3"/>
      <rgbColor rgb="FFFF00FF"/>
      <rgbColor rgb="FF00FFFF"/>
      <rgbColor rgb="FF800000"/>
      <rgbColor rgb="FF008000"/>
      <rgbColor rgb="FF000080"/>
      <rgbColor rgb="FFA96A12"/>
      <rgbColor rgb="FF800080"/>
      <rgbColor rgb="FF1E7B73"/>
      <rgbColor rgb="FFD9D9D9"/>
      <rgbColor rgb="FF808080"/>
      <rgbColor rgb="FF9999FF"/>
      <rgbColor rgb="FFB0413E"/>
      <rgbColor rgb="FFFFF9DB"/>
      <rgbColor rgb="FFD9EEEB"/>
      <rgbColor rgb="FF660066"/>
      <rgbColor rgb="FFFF8080"/>
      <rgbColor rgb="FF0066CC"/>
      <rgbColor rgb="FFC9D2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8F3"/>
      <rgbColor rgb="FFD8EFDD"/>
      <rgbColor rgb="FFFBEBC8"/>
      <rgbColor rgb="FFD3DBE0"/>
      <rgbColor rgb="FFF5DEDC"/>
      <rgbColor rgb="FFF6E8CF"/>
      <rgbColor rgb="FFF6D9D7"/>
      <rgbColor rgb="FF3366FF"/>
      <rgbColor rgb="FF33CCCC"/>
      <rgbColor rgb="FF99CC00"/>
      <rgbColor rgb="FFFFCC00"/>
      <rgbColor rgb="FFFF9900"/>
      <rgbColor rgb="FFFF6600"/>
      <rgbColor rgb="FF5B6B76"/>
      <rgbColor rgb="FF969696"/>
      <rgbColor rgb="FF003366"/>
      <rgbColor rgb="FF339966"/>
      <rgbColor rgb="FF003300"/>
      <rgbColor rgb="FF333300"/>
      <rgbColor rgb="FF993300"/>
      <rgbColor rgb="FF7A4A9A"/>
      <rgbColor rgb="FF2B5C8A"/>
      <rgbColor rgb="FF1624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Priorização!G46</c:f>
              <c:strCache>
                <c:ptCount val="1"/>
                <c:pt idx="0">
                  <c:v>Pontos</c:v>
                </c:pt>
              </c:strCache>
            </c:strRef>
          </c:tx>
          <c:spPr>
            <a:solidFill>
              <a:srgbClr val="5b6b76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1e7b73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a96a12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2b5c8a"/>
              </a:solidFill>
              <a:ln w="0">
                <a:noFill/>
              </a:ln>
            </c:spPr>
          </c:dPt>
          <c:dPt>
            <c:idx val="3"/>
            <c:invertIfNegative val="0"/>
            <c:spPr>
              <a:solidFill>
                <a:srgbClr val="b0413e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lang="pt-BR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lang="pt-BR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lang="pt-BR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lang="pt-BR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lang="pt-BR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Priorização!$B$47:$B$50</c:f>
              <c:strCache>
                <c:ptCount val="4"/>
                <c:pt idx="0">
                  <c:v>S — Forças</c:v>
                </c:pt>
                <c:pt idx="1">
                  <c:v>W — Fraquezas</c:v>
                </c:pt>
                <c:pt idx="2">
                  <c:v>O — Oportunidades</c:v>
                </c:pt>
                <c:pt idx="3">
                  <c:v>T — Ameaças</c:v>
                </c:pt>
              </c:strCache>
            </c:strRef>
          </c:cat>
          <c:val>
            <c:numRef>
              <c:f>Priorização!$G$47:$G$50</c:f>
              <c:numCache>
                <c:formatCode>0" pontos"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gapWidth val="120"/>
        <c:overlap val="0"/>
        <c:axId val="28722330"/>
        <c:axId val="29384934"/>
      </c:barChart>
      <c:catAx>
        <c:axId val="2872233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3dbe0"/>
            </a:solidFill>
            <a:round/>
          </a:ln>
        </c:spPr>
        <c:txPr>
          <a:bodyPr/>
          <a:lstStyle/>
          <a:p>
            <a:pPr>
              <a:defRPr b="0" lang="pt-BR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384934"/>
        <c:crosses val="autoZero"/>
        <c:auto val="1"/>
        <c:lblAlgn val="ctr"/>
        <c:lblOffset val="100"/>
        <c:noMultiLvlLbl val="0"/>
      </c:catAx>
      <c:valAx>
        <c:axId val="29384934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d3dbe0"/>
              </a:solidFill>
              <a:round/>
            </a:ln>
          </c:spPr>
        </c:majorGridlines>
        <c:numFmt formatCode="0&quot; pontos&quot;" sourceLinked="1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lang="pt-BR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72233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52</xdr:row>
      <xdr:rowOff>0</xdr:rowOff>
    </xdr:from>
    <xdr:to>
      <xdr:col>4</xdr:col>
      <xdr:colOff>3652920</xdr:colOff>
      <xdr:row>68</xdr:row>
      <xdr:rowOff>11880</xdr:rowOff>
    </xdr:to>
    <xdr:graphicFrame>
      <xdr:nvGraphicFramePr>
        <xdr:cNvPr id="0" name="Chart 1"/>
        <xdr:cNvGraphicFramePr/>
      </xdr:nvGraphicFramePr>
      <xdr:xfrm>
        <a:off x="141120" y="1400184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6242E"/>
    <pageSetUpPr fitToPage="true"/>
  </sheetPr>
  <dimension ref="B1:C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3" min="3" style="0" width="92"/>
    <col collapsed="false" customWidth="true" hidden="false" outlineLevel="0" max="4" min="4" style="0" width="2"/>
  </cols>
  <sheetData>
    <row r="1" customFormat="false" ht="31.5" hidden="false" customHeight="true" outlineLevel="0" collapsed="false">
      <c r="B1" s="1" t="s">
        <v>0</v>
      </c>
      <c r="C1" s="1"/>
    </row>
    <row r="2" customFormat="false" ht="19.5" hidden="false" customHeight="true" outlineLevel="0" collapsed="false">
      <c r="B2" s="2" t="s">
        <v>1</v>
      </c>
      <c r="C2" s="2"/>
    </row>
    <row r="4" customFormat="false" ht="21.75" hidden="false" customHeight="true" outlineLevel="0" collapsed="false">
      <c r="B4" s="3" t="s">
        <v>2</v>
      </c>
      <c r="C4" s="3"/>
    </row>
    <row r="5" customFormat="false" ht="19.5" hidden="false" customHeight="true" outlineLevel="0" collapsed="false">
      <c r="B5" s="4" t="s">
        <v>3</v>
      </c>
      <c r="C5" s="5" t="s">
        <v>4</v>
      </c>
    </row>
    <row r="6" customFormat="false" ht="19.5" hidden="false" customHeight="true" outlineLevel="0" collapsed="false">
      <c r="B6" s="4" t="s">
        <v>5</v>
      </c>
      <c r="C6" s="6" t="s">
        <v>6</v>
      </c>
    </row>
    <row r="7" customFormat="false" ht="19.5" hidden="false" customHeight="true" outlineLevel="0" collapsed="false">
      <c r="B7" s="4" t="s">
        <v>7</v>
      </c>
      <c r="C7" s="6" t="s">
        <v>8</v>
      </c>
    </row>
    <row r="8" customFormat="false" ht="19.5" hidden="false" customHeight="true" outlineLevel="0" collapsed="false">
      <c r="B8" s="4" t="s">
        <v>9</v>
      </c>
      <c r="C8" s="7" t="s">
        <v>10</v>
      </c>
    </row>
    <row r="9" customFormat="false" ht="31.5" hidden="false" customHeight="true" outlineLevel="0" collapsed="false">
      <c r="B9" s="4" t="s">
        <v>11</v>
      </c>
      <c r="C9" s="7" t="s">
        <v>12</v>
      </c>
    </row>
    <row r="11" customFormat="false" ht="21.75" hidden="false" customHeight="true" outlineLevel="0" collapsed="false">
      <c r="B11" s="3" t="s">
        <v>13</v>
      </c>
      <c r="C11" s="3"/>
    </row>
    <row r="12" customFormat="false" ht="19.5" hidden="false" customHeight="true" outlineLevel="0" collapsed="false">
      <c r="B12" s="8" t="s">
        <v>14</v>
      </c>
      <c r="C12" s="9" t="s">
        <v>15</v>
      </c>
    </row>
    <row r="13" customFormat="false" ht="19.5" hidden="false" customHeight="true" outlineLevel="0" collapsed="false">
      <c r="B13" s="10" t="s">
        <v>16</v>
      </c>
      <c r="C13" s="11" t="s">
        <v>17</v>
      </c>
    </row>
    <row r="14" customFormat="false" ht="19.5" hidden="false" customHeight="true" outlineLevel="0" collapsed="false">
      <c r="B14" s="12" t="s">
        <v>18</v>
      </c>
      <c r="C14" s="13" t="s">
        <v>19</v>
      </c>
    </row>
    <row r="15" customFormat="false" ht="19.5" hidden="false" customHeight="true" outlineLevel="0" collapsed="false">
      <c r="B15" s="14" t="s">
        <v>20</v>
      </c>
      <c r="C15" s="15" t="s">
        <v>21</v>
      </c>
    </row>
    <row r="17" customFormat="false" ht="21.75" hidden="false" customHeight="true" outlineLevel="0" collapsed="false">
      <c r="B17" s="3" t="s">
        <v>22</v>
      </c>
      <c r="C17" s="3"/>
    </row>
    <row r="18" customFormat="false" ht="31.5" hidden="false" customHeight="true" outlineLevel="0" collapsed="false">
      <c r="B18" s="4" t="s">
        <v>23</v>
      </c>
      <c r="C18" s="7" t="s">
        <v>24</v>
      </c>
    </row>
    <row r="19" customFormat="false" ht="31.5" hidden="false" customHeight="true" outlineLevel="0" collapsed="false">
      <c r="B19" s="4" t="s">
        <v>25</v>
      </c>
      <c r="C19" s="7" t="s">
        <v>26</v>
      </c>
    </row>
    <row r="20" customFormat="false" ht="31.5" hidden="false" customHeight="true" outlineLevel="0" collapsed="false">
      <c r="B20" s="4" t="s">
        <v>27</v>
      </c>
      <c r="C20" s="7" t="s">
        <v>28</v>
      </c>
    </row>
    <row r="21" customFormat="false" ht="31.5" hidden="false" customHeight="true" outlineLevel="0" collapsed="false">
      <c r="B21" s="4" t="s">
        <v>29</v>
      </c>
      <c r="C21" s="7" t="s">
        <v>30</v>
      </c>
    </row>
    <row r="23" customFormat="false" ht="21.75" hidden="false" customHeight="true" outlineLevel="0" collapsed="false">
      <c r="B23" s="3" t="s">
        <v>31</v>
      </c>
      <c r="C23" s="3"/>
    </row>
    <row r="24" customFormat="false" ht="19.5" hidden="false" customHeight="true" outlineLevel="0" collapsed="false">
      <c r="B24" s="4" t="s">
        <v>32</v>
      </c>
      <c r="C24" s="7" t="s">
        <v>33</v>
      </c>
    </row>
    <row r="25" customFormat="false" ht="19.5" hidden="false" customHeight="true" outlineLevel="0" collapsed="false">
      <c r="B25" s="4" t="s">
        <v>34</v>
      </c>
      <c r="C25" s="7" t="s">
        <v>35</v>
      </c>
    </row>
    <row r="26" customFormat="false" ht="19.5" hidden="false" customHeight="true" outlineLevel="0" collapsed="false">
      <c r="B26" s="4" t="s">
        <v>36</v>
      </c>
      <c r="C26" s="7" t="s">
        <v>37</v>
      </c>
    </row>
    <row r="27" customFormat="false" ht="19.5" hidden="false" customHeight="true" outlineLevel="0" collapsed="false">
      <c r="B27" s="4" t="s">
        <v>38</v>
      </c>
      <c r="C27" s="7" t="s">
        <v>39</v>
      </c>
    </row>
    <row r="28" customFormat="false" ht="19.5" hidden="false" customHeight="true" outlineLevel="0" collapsed="false">
      <c r="B28" s="4" t="s">
        <v>40</v>
      </c>
      <c r="C28" s="7" t="s">
        <v>41</v>
      </c>
    </row>
    <row r="29" customFormat="false" ht="19.5" hidden="false" customHeight="true" outlineLevel="0" collapsed="false">
      <c r="B29" s="4" t="s">
        <v>42</v>
      </c>
      <c r="C29" s="7" t="s">
        <v>43</v>
      </c>
    </row>
    <row r="30" customFormat="false" ht="19.5" hidden="false" customHeight="true" outlineLevel="0" collapsed="false">
      <c r="B30" s="4" t="s">
        <v>44</v>
      </c>
      <c r="C30" s="7" t="s">
        <v>45</v>
      </c>
    </row>
    <row r="31" customFormat="false" ht="19.5" hidden="false" customHeight="true" outlineLevel="0" collapsed="false">
      <c r="B31" s="4" t="s">
        <v>46</v>
      </c>
      <c r="C31" s="7" t="s">
        <v>47</v>
      </c>
    </row>
    <row r="33" customFormat="false" ht="21.75" hidden="false" customHeight="true" outlineLevel="0" collapsed="false">
      <c r="B33" s="3" t="s">
        <v>48</v>
      </c>
      <c r="C33" s="3"/>
    </row>
    <row r="34" customFormat="false" ht="19.5" hidden="false" customHeight="true" outlineLevel="0" collapsed="false">
      <c r="B34" s="4" t="s">
        <v>49</v>
      </c>
      <c r="C34" s="7" t="s">
        <v>50</v>
      </c>
    </row>
    <row r="35" customFormat="false" ht="19.5" hidden="false" customHeight="true" outlineLevel="0" collapsed="false">
      <c r="B35" s="4" t="s">
        <v>51</v>
      </c>
      <c r="C35" s="7" t="s">
        <v>52</v>
      </c>
    </row>
    <row r="36" customFormat="false" ht="19.5" hidden="false" customHeight="true" outlineLevel="0" collapsed="false">
      <c r="B36" s="4" t="s">
        <v>53</v>
      </c>
      <c r="C36" s="7" t="s">
        <v>54</v>
      </c>
    </row>
    <row r="37" customFormat="false" ht="19.5" hidden="false" customHeight="true" outlineLevel="0" collapsed="false">
      <c r="B37" s="4" t="s">
        <v>55</v>
      </c>
      <c r="C37" s="7" t="s">
        <v>56</v>
      </c>
    </row>
    <row r="38" customFormat="false" ht="19.5" hidden="false" customHeight="true" outlineLevel="0" collapsed="false">
      <c r="B38" s="4" t="s">
        <v>57</v>
      </c>
      <c r="C38" s="7" t="s">
        <v>58</v>
      </c>
    </row>
    <row r="39" customFormat="false" ht="19.5" hidden="false" customHeight="true" outlineLevel="0" collapsed="false">
      <c r="B39" s="4" t="s">
        <v>59</v>
      </c>
      <c r="C39" s="7" t="s">
        <v>60</v>
      </c>
    </row>
    <row r="40" customFormat="false" ht="19.5" hidden="false" customHeight="true" outlineLevel="0" collapsed="false">
      <c r="B40" s="4" t="s">
        <v>61</v>
      </c>
      <c r="C40" s="7" t="s">
        <v>62</v>
      </c>
    </row>
    <row r="42" customFormat="false" ht="21.75" hidden="false" customHeight="true" outlineLevel="0" collapsed="false">
      <c r="B42" s="3" t="s">
        <v>63</v>
      </c>
      <c r="C42" s="3"/>
    </row>
    <row r="43" customFormat="false" ht="45.75" hidden="false" customHeight="true" outlineLevel="0" collapsed="false">
      <c r="B43" s="4" t="s">
        <v>64</v>
      </c>
      <c r="C43" s="7" t="s">
        <v>65</v>
      </c>
    </row>
    <row r="44" customFormat="false" ht="45.75" hidden="false" customHeight="true" outlineLevel="0" collapsed="false">
      <c r="B44" s="4" t="s">
        <v>66</v>
      </c>
      <c r="C44" s="7" t="s">
        <v>67</v>
      </c>
    </row>
    <row r="45" customFormat="false" ht="31.5" hidden="false" customHeight="true" outlineLevel="0" collapsed="false">
      <c r="B45" s="4" t="s">
        <v>68</v>
      </c>
      <c r="C45" s="7" t="s">
        <v>69</v>
      </c>
    </row>
    <row r="46" customFormat="false" ht="45.75" hidden="false" customHeight="true" outlineLevel="0" collapsed="false">
      <c r="B46" s="4" t="s">
        <v>70</v>
      </c>
      <c r="C46" s="7" t="s">
        <v>71</v>
      </c>
    </row>
    <row r="47" customFormat="false" ht="45.75" hidden="false" customHeight="true" outlineLevel="0" collapsed="false">
      <c r="B47" s="4" t="s">
        <v>72</v>
      </c>
      <c r="C47" s="7" t="s">
        <v>73</v>
      </c>
    </row>
    <row r="48" customFormat="false" ht="31.5" hidden="false" customHeight="true" outlineLevel="0" collapsed="false">
      <c r="B48" s="4" t="s">
        <v>74</v>
      </c>
      <c r="C48" s="7" t="s">
        <v>75</v>
      </c>
    </row>
  </sheetData>
  <mergeCells count="8">
    <mergeCell ref="B1:C1"/>
    <mergeCell ref="B2:C2"/>
    <mergeCell ref="B4:C4"/>
    <mergeCell ref="B11:C11"/>
    <mergeCell ref="B17:C17"/>
    <mergeCell ref="B23:C23"/>
    <mergeCell ref="B33:C33"/>
    <mergeCell ref="B42:C42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7B73"/>
    <pageSetUpPr fitToPage="true"/>
  </sheetPr>
  <dimension ref="B1:M4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20"/>
    <col collapsed="false" customWidth="true" hidden="false" outlineLevel="0" max="4" min="4" style="0" width="26"/>
    <col collapsed="false" customWidth="true" hidden="false" outlineLevel="0" max="6" min="5" style="0" width="10"/>
    <col collapsed="false" customWidth="true" hidden="false" outlineLevel="0" max="7" min="7" style="0" width="9"/>
    <col collapsed="false" customWidth="true" hidden="false" outlineLevel="0" max="8" min="8" style="0" width="5"/>
    <col collapsed="false" customWidth="true" hidden="false" outlineLevel="0" max="9" min="9" style="0" width="20"/>
    <col collapsed="false" customWidth="true" hidden="false" outlineLevel="0" max="10" min="10" style="0" width="26"/>
    <col collapsed="false" customWidth="true" hidden="false" outlineLevel="0" max="12" min="11" style="0" width="10"/>
    <col collapsed="false" customWidth="true" hidden="false" outlineLevel="0" max="13" min="13" style="0" width="9"/>
    <col collapsed="false" customWidth="true" hidden="false" outlineLevel="0" max="14" min="14" style="0" width="2"/>
  </cols>
  <sheetData>
    <row r="1" customFormat="false" ht="31.5" hidden="false" customHeight="true" outlineLevel="0" collapsed="false">
      <c r="B1" s="1" t="s">
        <v>76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9.5" hidden="false" customHeight="true" outlineLevel="0" collapsed="false">
      <c r="B2" s="2" t="s">
        <v>77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21.75" hidden="false" customHeight="true" outlineLevel="0" collapsed="false">
      <c r="B4" s="4" t="s">
        <v>78</v>
      </c>
      <c r="C4" s="4"/>
      <c r="D4" s="5"/>
      <c r="E4" s="5"/>
      <c r="F4" s="5"/>
      <c r="G4" s="5"/>
      <c r="H4" s="4" t="s">
        <v>79</v>
      </c>
      <c r="I4" s="4"/>
      <c r="J4" s="5"/>
      <c r="K4" s="5"/>
      <c r="L4" s="5"/>
      <c r="M4" s="5"/>
    </row>
    <row r="5" customFormat="false" ht="21.75" hidden="false" customHeight="true" outlineLevel="0" collapsed="false">
      <c r="B5" s="4" t="s">
        <v>80</v>
      </c>
      <c r="C5" s="4"/>
      <c r="D5" s="5"/>
      <c r="E5" s="5"/>
      <c r="F5" s="5"/>
      <c r="G5" s="5"/>
      <c r="H5" s="4" t="s">
        <v>81</v>
      </c>
      <c r="I5" s="4"/>
      <c r="J5" s="16"/>
      <c r="K5" s="16"/>
      <c r="L5" s="16"/>
      <c r="M5" s="16"/>
    </row>
    <row r="6" customFormat="false" ht="21.75" hidden="false" customHeight="true" outlineLevel="0" collapsed="false">
      <c r="B6" s="4" t="s">
        <v>82</v>
      </c>
      <c r="C6" s="4"/>
      <c r="D6" s="5"/>
      <c r="E6" s="5"/>
      <c r="F6" s="5"/>
      <c r="G6" s="5"/>
      <c r="H6" s="4" t="s">
        <v>83</v>
      </c>
      <c r="I6" s="4"/>
      <c r="J6" s="5"/>
      <c r="K6" s="5"/>
      <c r="L6" s="5"/>
      <c r="M6" s="5"/>
    </row>
    <row r="7" customFormat="false" ht="30" hidden="false" customHeight="true" outlineLevel="0" collapsed="false">
      <c r="B7" s="4" t="s">
        <v>84</v>
      </c>
      <c r="C7" s="4"/>
      <c r="D7" s="5"/>
      <c r="E7" s="5"/>
      <c r="F7" s="5"/>
      <c r="G7" s="5"/>
      <c r="H7" s="5"/>
      <c r="I7" s="5"/>
      <c r="J7" s="5"/>
      <c r="K7" s="5"/>
      <c r="L7" s="5"/>
      <c r="M7" s="5"/>
    </row>
    <row r="8" customFormat="false" ht="30" hidden="false" customHeight="true" outlineLevel="0" collapsed="false">
      <c r="B8" s="4" t="s">
        <v>85</v>
      </c>
      <c r="C8" s="4"/>
      <c r="D8" s="5"/>
      <c r="E8" s="5"/>
      <c r="F8" s="5"/>
      <c r="G8" s="5"/>
      <c r="H8" s="4" t="s">
        <v>86</v>
      </c>
      <c r="I8" s="4"/>
      <c r="J8" s="5"/>
      <c r="K8" s="5"/>
      <c r="L8" s="5"/>
      <c r="M8" s="5"/>
    </row>
    <row r="9" customFormat="false" ht="30" hidden="false" customHeight="true" outlineLevel="0" collapsed="false">
      <c r="B9" s="4" t="s">
        <v>87</v>
      </c>
      <c r="C9" s="4"/>
      <c r="D9" s="5"/>
      <c r="E9" s="5"/>
      <c r="F9" s="5"/>
      <c r="G9" s="5"/>
      <c r="H9" s="5"/>
      <c r="I9" s="5"/>
      <c r="J9" s="5"/>
      <c r="K9" s="5"/>
      <c r="L9" s="5"/>
      <c r="M9" s="5"/>
    </row>
    <row r="11" customFormat="false" ht="33.75" hidden="false" customHeight="true" outlineLevel="0" collapsed="false">
      <c r="B11" s="17" t="s">
        <v>14</v>
      </c>
      <c r="C11" s="17"/>
      <c r="D11" s="17"/>
      <c r="E11" s="17"/>
      <c r="F11" s="17"/>
      <c r="G11" s="17"/>
      <c r="H11" s="18" t="s">
        <v>16</v>
      </c>
      <c r="I11" s="18"/>
      <c r="J11" s="18"/>
      <c r="K11" s="18"/>
      <c r="L11" s="18"/>
      <c r="M11" s="18"/>
    </row>
    <row r="12" customFormat="false" ht="21.75" hidden="false" customHeight="true" outlineLevel="0" collapsed="false">
      <c r="B12" s="8" t="s">
        <v>88</v>
      </c>
      <c r="C12" s="8"/>
      <c r="D12" s="8"/>
      <c r="E12" s="8"/>
      <c r="F12" s="8"/>
      <c r="G12" s="8"/>
      <c r="H12" s="10" t="s">
        <v>89</v>
      </c>
      <c r="I12" s="10"/>
      <c r="J12" s="10"/>
      <c r="K12" s="10"/>
      <c r="L12" s="10"/>
      <c r="M12" s="10"/>
    </row>
    <row r="13" customFormat="false" ht="24" hidden="false" customHeight="true" outlineLevel="0" collapsed="false">
      <c r="B13" s="19" t="s">
        <v>90</v>
      </c>
      <c r="C13" s="19"/>
      <c r="D13" s="19"/>
      <c r="E13" s="19"/>
      <c r="F13" s="19"/>
      <c r="G13" s="19"/>
      <c r="H13" s="20" t="s">
        <v>91</v>
      </c>
      <c r="I13" s="20"/>
      <c r="J13" s="20"/>
      <c r="K13" s="20"/>
      <c r="L13" s="20"/>
      <c r="M13" s="20"/>
    </row>
    <row r="14" customFormat="false" ht="21.75" hidden="false" customHeight="true" outlineLevel="0" collapsed="false">
      <c r="B14" s="21" t="s">
        <v>92</v>
      </c>
      <c r="C14" s="21" t="s">
        <v>93</v>
      </c>
      <c r="D14" s="21"/>
      <c r="E14" s="22" t="s">
        <v>23</v>
      </c>
      <c r="F14" s="22" t="s">
        <v>94</v>
      </c>
      <c r="G14" s="22" t="s">
        <v>29</v>
      </c>
      <c r="H14" s="23" t="s">
        <v>92</v>
      </c>
      <c r="I14" s="23" t="s">
        <v>93</v>
      </c>
      <c r="J14" s="23"/>
      <c r="K14" s="24" t="s">
        <v>23</v>
      </c>
      <c r="L14" s="24" t="s">
        <v>94</v>
      </c>
      <c r="M14" s="24" t="s">
        <v>29</v>
      </c>
    </row>
    <row r="15" customFormat="false" ht="30" hidden="false" customHeight="true" outlineLevel="0" collapsed="false">
      <c r="B15" s="25" t="s">
        <v>95</v>
      </c>
      <c r="C15" s="26" t="s">
        <v>96</v>
      </c>
      <c r="D15" s="26"/>
      <c r="E15" s="25" t="n">
        <v>5</v>
      </c>
      <c r="F15" s="25" t="n">
        <v>4</v>
      </c>
      <c r="G15" s="25" t="n">
        <v>20</v>
      </c>
      <c r="H15" s="25" t="s">
        <v>95</v>
      </c>
      <c r="I15" s="26" t="s">
        <v>97</v>
      </c>
      <c r="J15" s="26"/>
      <c r="K15" s="25" t="n">
        <v>5</v>
      </c>
      <c r="L15" s="25" t="n">
        <v>4</v>
      </c>
      <c r="M15" s="25" t="n">
        <v>20</v>
      </c>
    </row>
    <row r="16" customFormat="false" ht="30" hidden="false" customHeight="true" outlineLevel="0" collapsed="false">
      <c r="B16" s="27" t="s">
        <v>98</v>
      </c>
      <c r="C16" s="5"/>
      <c r="D16" s="5"/>
      <c r="E16" s="28"/>
      <c r="F16" s="28"/>
      <c r="G16" s="29" t="str">
        <f aca="false">IF(OR(E16="",F16=""),"",E16*F16)</f>
        <v/>
      </c>
      <c r="H16" s="27" t="s">
        <v>99</v>
      </c>
      <c r="I16" s="5"/>
      <c r="J16" s="5"/>
      <c r="K16" s="28"/>
      <c r="L16" s="28"/>
      <c r="M16" s="29" t="str">
        <f aca="false">IF(OR(K16="",L16=""),"",K16*L16)</f>
        <v/>
      </c>
    </row>
    <row r="17" customFormat="false" ht="30" hidden="false" customHeight="true" outlineLevel="0" collapsed="false">
      <c r="B17" s="27" t="s">
        <v>100</v>
      </c>
      <c r="C17" s="5"/>
      <c r="D17" s="5"/>
      <c r="E17" s="28"/>
      <c r="F17" s="28"/>
      <c r="G17" s="29" t="str">
        <f aca="false">IF(OR(E17="",F17=""),"",E17*F17)</f>
        <v/>
      </c>
      <c r="H17" s="27" t="s">
        <v>101</v>
      </c>
      <c r="I17" s="5"/>
      <c r="J17" s="5"/>
      <c r="K17" s="28"/>
      <c r="L17" s="28"/>
      <c r="M17" s="29" t="str">
        <f aca="false">IF(OR(K17="",L17=""),"",K17*L17)</f>
        <v/>
      </c>
    </row>
    <row r="18" customFormat="false" ht="30" hidden="false" customHeight="true" outlineLevel="0" collapsed="false">
      <c r="B18" s="27" t="s">
        <v>102</v>
      </c>
      <c r="C18" s="5"/>
      <c r="D18" s="5"/>
      <c r="E18" s="28"/>
      <c r="F18" s="28"/>
      <c r="G18" s="29" t="str">
        <f aca="false">IF(OR(E18="",F18=""),"",E18*F18)</f>
        <v/>
      </c>
      <c r="H18" s="27" t="s">
        <v>103</v>
      </c>
      <c r="I18" s="5"/>
      <c r="J18" s="5"/>
      <c r="K18" s="28"/>
      <c r="L18" s="28"/>
      <c r="M18" s="29" t="str">
        <f aca="false">IF(OR(K18="",L18=""),"",K18*L18)</f>
        <v/>
      </c>
    </row>
    <row r="19" customFormat="false" ht="30" hidden="false" customHeight="true" outlineLevel="0" collapsed="false">
      <c r="B19" s="27" t="s">
        <v>104</v>
      </c>
      <c r="C19" s="5"/>
      <c r="D19" s="5"/>
      <c r="E19" s="28"/>
      <c r="F19" s="28"/>
      <c r="G19" s="29" t="str">
        <f aca="false">IF(OR(E19="",F19=""),"",E19*F19)</f>
        <v/>
      </c>
      <c r="H19" s="27" t="s">
        <v>105</v>
      </c>
      <c r="I19" s="5"/>
      <c r="J19" s="5"/>
      <c r="K19" s="28"/>
      <c r="L19" s="28"/>
      <c r="M19" s="29" t="str">
        <f aca="false">IF(OR(K19="",L19=""),"",K19*L19)</f>
        <v/>
      </c>
    </row>
    <row r="20" customFormat="false" ht="30" hidden="false" customHeight="true" outlineLevel="0" collapsed="false">
      <c r="B20" s="27" t="s">
        <v>106</v>
      </c>
      <c r="C20" s="5"/>
      <c r="D20" s="5"/>
      <c r="E20" s="28"/>
      <c r="F20" s="28"/>
      <c r="G20" s="29" t="str">
        <f aca="false">IF(OR(E20="",F20=""),"",E20*F20)</f>
        <v/>
      </c>
      <c r="H20" s="27" t="s">
        <v>107</v>
      </c>
      <c r="I20" s="5"/>
      <c r="J20" s="5"/>
      <c r="K20" s="28"/>
      <c r="L20" s="28"/>
      <c r="M20" s="29" t="str">
        <f aca="false">IF(OR(K20="",L20=""),"",K20*L20)</f>
        <v/>
      </c>
    </row>
    <row r="21" customFormat="false" ht="30" hidden="false" customHeight="true" outlineLevel="0" collapsed="false">
      <c r="B21" s="27" t="s">
        <v>108</v>
      </c>
      <c r="C21" s="5"/>
      <c r="D21" s="5"/>
      <c r="E21" s="28"/>
      <c r="F21" s="28"/>
      <c r="G21" s="29" t="str">
        <f aca="false">IF(OR(E21="",F21=""),"",E21*F21)</f>
        <v/>
      </c>
      <c r="H21" s="27" t="s">
        <v>109</v>
      </c>
      <c r="I21" s="5"/>
      <c r="J21" s="5"/>
      <c r="K21" s="28"/>
      <c r="L21" s="28"/>
      <c r="M21" s="29" t="str">
        <f aca="false">IF(OR(K21="",L21=""),"",K21*L21)</f>
        <v/>
      </c>
    </row>
    <row r="22" customFormat="false" ht="30" hidden="false" customHeight="true" outlineLevel="0" collapsed="false">
      <c r="B22" s="27" t="s">
        <v>110</v>
      </c>
      <c r="C22" s="5"/>
      <c r="D22" s="5"/>
      <c r="E22" s="28"/>
      <c r="F22" s="28"/>
      <c r="G22" s="29" t="str">
        <f aca="false">IF(OR(E22="",F22=""),"",E22*F22)</f>
        <v/>
      </c>
      <c r="H22" s="27" t="s">
        <v>111</v>
      </c>
      <c r="I22" s="5"/>
      <c r="J22" s="5"/>
      <c r="K22" s="28"/>
      <c r="L22" s="28"/>
      <c r="M22" s="29" t="str">
        <f aca="false">IF(OR(K22="",L22=""),"",K22*L22)</f>
        <v/>
      </c>
    </row>
    <row r="23" customFormat="false" ht="30" hidden="false" customHeight="true" outlineLevel="0" collapsed="false">
      <c r="B23" s="27" t="s">
        <v>112</v>
      </c>
      <c r="C23" s="5"/>
      <c r="D23" s="5"/>
      <c r="E23" s="28"/>
      <c r="F23" s="28"/>
      <c r="G23" s="29" t="str">
        <f aca="false">IF(OR(E23="",F23=""),"",E23*F23)</f>
        <v/>
      </c>
      <c r="H23" s="27" t="s">
        <v>113</v>
      </c>
      <c r="I23" s="5"/>
      <c r="J23" s="5"/>
      <c r="K23" s="28"/>
      <c r="L23" s="28"/>
      <c r="M23" s="29" t="str">
        <f aca="false">IF(OR(K23="",L23=""),"",K23*L23)</f>
        <v/>
      </c>
    </row>
    <row r="25" customFormat="false" ht="33.75" hidden="false" customHeight="true" outlineLevel="0" collapsed="false">
      <c r="B25" s="30" t="s">
        <v>18</v>
      </c>
      <c r="C25" s="30"/>
      <c r="D25" s="30"/>
      <c r="E25" s="30"/>
      <c r="F25" s="30"/>
      <c r="G25" s="30"/>
      <c r="H25" s="31" t="s">
        <v>20</v>
      </c>
      <c r="I25" s="31"/>
      <c r="J25" s="31"/>
      <c r="K25" s="31"/>
      <c r="L25" s="31"/>
      <c r="M25" s="31"/>
    </row>
    <row r="26" customFormat="false" ht="21.75" hidden="false" customHeight="true" outlineLevel="0" collapsed="false">
      <c r="B26" s="12" t="s">
        <v>114</v>
      </c>
      <c r="C26" s="12"/>
      <c r="D26" s="12"/>
      <c r="E26" s="12"/>
      <c r="F26" s="12"/>
      <c r="G26" s="12"/>
      <c r="H26" s="14" t="s">
        <v>115</v>
      </c>
      <c r="I26" s="14"/>
      <c r="J26" s="14"/>
      <c r="K26" s="14"/>
      <c r="L26" s="14"/>
      <c r="M26" s="14"/>
    </row>
    <row r="27" customFormat="false" ht="24" hidden="false" customHeight="true" outlineLevel="0" collapsed="false">
      <c r="B27" s="32" t="s">
        <v>116</v>
      </c>
      <c r="C27" s="32"/>
      <c r="D27" s="32"/>
      <c r="E27" s="32"/>
      <c r="F27" s="32"/>
      <c r="G27" s="32"/>
      <c r="H27" s="33" t="s">
        <v>117</v>
      </c>
      <c r="I27" s="33"/>
      <c r="J27" s="33"/>
      <c r="K27" s="33"/>
      <c r="L27" s="33"/>
      <c r="M27" s="33"/>
    </row>
    <row r="28" customFormat="false" ht="21.75" hidden="false" customHeight="true" outlineLevel="0" collapsed="false">
      <c r="B28" s="34" t="s">
        <v>92</v>
      </c>
      <c r="C28" s="34" t="s">
        <v>93</v>
      </c>
      <c r="D28" s="34"/>
      <c r="E28" s="35" t="s">
        <v>23</v>
      </c>
      <c r="F28" s="35" t="s">
        <v>94</v>
      </c>
      <c r="G28" s="35" t="s">
        <v>29</v>
      </c>
      <c r="H28" s="36" t="s">
        <v>92</v>
      </c>
      <c r="I28" s="36" t="s">
        <v>93</v>
      </c>
      <c r="J28" s="36"/>
      <c r="K28" s="37" t="s">
        <v>23</v>
      </c>
      <c r="L28" s="37" t="s">
        <v>94</v>
      </c>
      <c r="M28" s="37" t="s">
        <v>29</v>
      </c>
    </row>
    <row r="29" customFormat="false" ht="30" hidden="false" customHeight="true" outlineLevel="0" collapsed="false">
      <c r="B29" s="25" t="s">
        <v>95</v>
      </c>
      <c r="C29" s="26" t="s">
        <v>118</v>
      </c>
      <c r="D29" s="26"/>
      <c r="E29" s="25" t="n">
        <v>5</v>
      </c>
      <c r="F29" s="25" t="n">
        <v>4</v>
      </c>
      <c r="G29" s="25" t="n">
        <v>20</v>
      </c>
      <c r="H29" s="25" t="s">
        <v>95</v>
      </c>
      <c r="I29" s="26" t="s">
        <v>119</v>
      </c>
      <c r="J29" s="26"/>
      <c r="K29" s="25" t="n">
        <v>4</v>
      </c>
      <c r="L29" s="25" t="n">
        <v>4</v>
      </c>
      <c r="M29" s="25" t="n">
        <v>16</v>
      </c>
    </row>
    <row r="30" customFormat="false" ht="30" hidden="false" customHeight="true" outlineLevel="0" collapsed="false">
      <c r="B30" s="27" t="s">
        <v>120</v>
      </c>
      <c r="C30" s="5"/>
      <c r="D30" s="5"/>
      <c r="E30" s="28"/>
      <c r="F30" s="28"/>
      <c r="G30" s="29" t="str">
        <f aca="false">IF(OR(E30="",F30=""),"",E30*F30)</f>
        <v/>
      </c>
      <c r="H30" s="27" t="s">
        <v>121</v>
      </c>
      <c r="I30" s="5"/>
      <c r="J30" s="5"/>
      <c r="K30" s="28"/>
      <c r="L30" s="28"/>
      <c r="M30" s="29" t="str">
        <f aca="false">IF(OR(K30="",L30=""),"",K30*L30)</f>
        <v/>
      </c>
    </row>
    <row r="31" customFormat="false" ht="30" hidden="false" customHeight="true" outlineLevel="0" collapsed="false">
      <c r="B31" s="27" t="s">
        <v>122</v>
      </c>
      <c r="C31" s="5"/>
      <c r="D31" s="5"/>
      <c r="E31" s="28"/>
      <c r="F31" s="28"/>
      <c r="G31" s="29" t="str">
        <f aca="false">IF(OR(E31="",F31=""),"",E31*F31)</f>
        <v/>
      </c>
      <c r="H31" s="27" t="s">
        <v>123</v>
      </c>
      <c r="I31" s="5"/>
      <c r="J31" s="5"/>
      <c r="K31" s="28"/>
      <c r="L31" s="28"/>
      <c r="M31" s="29" t="str">
        <f aca="false">IF(OR(K31="",L31=""),"",K31*L31)</f>
        <v/>
      </c>
    </row>
    <row r="32" customFormat="false" ht="30" hidden="false" customHeight="true" outlineLevel="0" collapsed="false">
      <c r="B32" s="27" t="s">
        <v>124</v>
      </c>
      <c r="C32" s="5"/>
      <c r="D32" s="5"/>
      <c r="E32" s="28"/>
      <c r="F32" s="28"/>
      <c r="G32" s="29" t="str">
        <f aca="false">IF(OR(E32="",F32=""),"",E32*F32)</f>
        <v/>
      </c>
      <c r="H32" s="27" t="s">
        <v>125</v>
      </c>
      <c r="I32" s="5"/>
      <c r="J32" s="5"/>
      <c r="K32" s="28"/>
      <c r="L32" s="28"/>
      <c r="M32" s="29" t="str">
        <f aca="false">IF(OR(K32="",L32=""),"",K32*L32)</f>
        <v/>
      </c>
    </row>
    <row r="33" customFormat="false" ht="30" hidden="false" customHeight="true" outlineLevel="0" collapsed="false">
      <c r="B33" s="27" t="s">
        <v>126</v>
      </c>
      <c r="C33" s="5"/>
      <c r="D33" s="5"/>
      <c r="E33" s="28"/>
      <c r="F33" s="28"/>
      <c r="G33" s="29" t="str">
        <f aca="false">IF(OR(E33="",F33=""),"",E33*F33)</f>
        <v/>
      </c>
      <c r="H33" s="27" t="s">
        <v>127</v>
      </c>
      <c r="I33" s="5"/>
      <c r="J33" s="5"/>
      <c r="K33" s="28"/>
      <c r="L33" s="28"/>
      <c r="M33" s="29" t="str">
        <f aca="false">IF(OR(K33="",L33=""),"",K33*L33)</f>
        <v/>
      </c>
    </row>
    <row r="34" customFormat="false" ht="30" hidden="false" customHeight="true" outlineLevel="0" collapsed="false">
      <c r="B34" s="27" t="s">
        <v>128</v>
      </c>
      <c r="C34" s="5"/>
      <c r="D34" s="5"/>
      <c r="E34" s="28"/>
      <c r="F34" s="28"/>
      <c r="G34" s="29" t="str">
        <f aca="false">IF(OR(E34="",F34=""),"",E34*F34)</f>
        <v/>
      </c>
      <c r="H34" s="27" t="s">
        <v>129</v>
      </c>
      <c r="I34" s="5"/>
      <c r="J34" s="5"/>
      <c r="K34" s="28"/>
      <c r="L34" s="28"/>
      <c r="M34" s="29" t="str">
        <f aca="false">IF(OR(K34="",L34=""),"",K34*L34)</f>
        <v/>
      </c>
    </row>
    <row r="35" customFormat="false" ht="30" hidden="false" customHeight="true" outlineLevel="0" collapsed="false">
      <c r="B35" s="27" t="s">
        <v>130</v>
      </c>
      <c r="C35" s="5"/>
      <c r="D35" s="5"/>
      <c r="E35" s="28"/>
      <c r="F35" s="28"/>
      <c r="G35" s="29" t="str">
        <f aca="false">IF(OR(E35="",F35=""),"",E35*F35)</f>
        <v/>
      </c>
      <c r="H35" s="27" t="s">
        <v>131</v>
      </c>
      <c r="I35" s="5"/>
      <c r="J35" s="5"/>
      <c r="K35" s="28"/>
      <c r="L35" s="28"/>
      <c r="M35" s="29" t="str">
        <f aca="false">IF(OR(K35="",L35=""),"",K35*L35)</f>
        <v/>
      </c>
    </row>
    <row r="36" customFormat="false" ht="30" hidden="false" customHeight="true" outlineLevel="0" collapsed="false">
      <c r="B36" s="27" t="s">
        <v>132</v>
      </c>
      <c r="C36" s="5"/>
      <c r="D36" s="5"/>
      <c r="E36" s="28"/>
      <c r="F36" s="28"/>
      <c r="G36" s="29" t="str">
        <f aca="false">IF(OR(E36="",F36=""),"",E36*F36)</f>
        <v/>
      </c>
      <c r="H36" s="27" t="s">
        <v>133</v>
      </c>
      <c r="I36" s="5"/>
      <c r="J36" s="5"/>
      <c r="K36" s="28"/>
      <c r="L36" s="28"/>
      <c r="M36" s="29" t="str">
        <f aca="false">IF(OR(K36="",L36=""),"",K36*L36)</f>
        <v/>
      </c>
    </row>
    <row r="37" customFormat="false" ht="30" hidden="false" customHeight="true" outlineLevel="0" collapsed="false">
      <c r="B37" s="27" t="s">
        <v>134</v>
      </c>
      <c r="C37" s="5"/>
      <c r="D37" s="5"/>
      <c r="E37" s="28"/>
      <c r="F37" s="28"/>
      <c r="G37" s="29" t="str">
        <f aca="false">IF(OR(E37="",F37=""),"",E37*F37)</f>
        <v/>
      </c>
      <c r="H37" s="27" t="s">
        <v>135</v>
      </c>
      <c r="I37" s="5"/>
      <c r="J37" s="5"/>
      <c r="K37" s="28"/>
      <c r="L37" s="28"/>
      <c r="M37" s="29" t="str">
        <f aca="false">IF(OR(K37="",L37=""),"",K37*L37)</f>
        <v/>
      </c>
    </row>
    <row r="39" customFormat="false" ht="21.75" hidden="false" customHeight="true" outlineLevel="0" collapsed="false">
      <c r="B39" s="38" t="s">
        <v>136</v>
      </c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</row>
    <row r="40" customFormat="false" ht="21.75" hidden="false" customHeight="true" outlineLevel="0" collapsed="false">
      <c r="B40" s="39" t="s">
        <v>137</v>
      </c>
      <c r="C40" s="39"/>
      <c r="D40" s="39"/>
      <c r="E40" s="8" t="s">
        <v>138</v>
      </c>
      <c r="F40" s="8"/>
      <c r="G40" s="8"/>
      <c r="H40" s="10" t="s">
        <v>139</v>
      </c>
      <c r="I40" s="10"/>
      <c r="J40" s="12" t="s">
        <v>140</v>
      </c>
      <c r="K40" s="14" t="s">
        <v>141</v>
      </c>
      <c r="L40" s="14"/>
      <c r="M40" s="14"/>
    </row>
    <row r="41" customFormat="false" ht="21.75" hidden="false" customHeight="true" outlineLevel="0" collapsed="false">
      <c r="B41" s="39" t="s">
        <v>142</v>
      </c>
      <c r="C41" s="39"/>
      <c r="D41" s="39"/>
      <c r="E41" s="40" t="n">
        <f aca="false">COUNTA(C16:C23)</f>
        <v>0</v>
      </c>
      <c r="F41" s="40"/>
      <c r="G41" s="40"/>
      <c r="H41" s="40" t="n">
        <f aca="false">COUNTA(I16:I23)</f>
        <v>0</v>
      </c>
      <c r="I41" s="40"/>
      <c r="J41" s="40" t="n">
        <f aca="false">COUNTA(C30:C37)</f>
        <v>0</v>
      </c>
      <c r="K41" s="40" t="n">
        <f aca="false">COUNTA(I30:I37)</f>
        <v>0</v>
      </c>
      <c r="L41" s="40"/>
      <c r="M41" s="40"/>
    </row>
    <row r="42" customFormat="false" ht="21.75" hidden="false" customHeight="true" outlineLevel="0" collapsed="false">
      <c r="B42" s="39" t="s">
        <v>29</v>
      </c>
      <c r="C42" s="39"/>
      <c r="D42" s="39"/>
      <c r="E42" s="41" t="n">
        <f aca="false">SUM(G16:G23)</f>
        <v>0</v>
      </c>
      <c r="F42" s="41"/>
      <c r="G42" s="41"/>
      <c r="H42" s="41" t="n">
        <f aca="false">SUM(M16:M23)</f>
        <v>0</v>
      </c>
      <c r="I42" s="41"/>
      <c r="J42" s="41" t="n">
        <f aca="false">SUM(G30:G37)</f>
        <v>0</v>
      </c>
      <c r="K42" s="41" t="n">
        <f aca="false">SUM(M30:M37)</f>
        <v>0</v>
      </c>
      <c r="L42" s="41"/>
      <c r="M42" s="41"/>
    </row>
    <row r="43" customFormat="false" ht="30" hidden="false" customHeight="true" outlineLevel="0" collapsed="false">
      <c r="B43" s="39" t="s">
        <v>143</v>
      </c>
      <c r="C43" s="39"/>
      <c r="D43" s="39"/>
      <c r="E43" s="42" t="str">
        <f aca="false">IF(E41=0,"Liste os fatores",IF(E41&lt;3,"Poucos fatores: liste ao menos 3",IF(COUNT(G16:G23)&lt;E41,"Há fator sem nota","OK")))</f>
        <v>Liste os fatores</v>
      </c>
      <c r="F43" s="42"/>
      <c r="G43" s="42"/>
      <c r="H43" s="42" t="str">
        <f aca="false">IF(H41=0,"Liste os fatores",IF(H41&lt;3,"Poucos fatores: liste ao menos 3",IF(COUNT(M16:M23)&lt;H41,"Há fator sem nota","OK")))</f>
        <v>Liste os fatores</v>
      </c>
      <c r="I43" s="42"/>
      <c r="J43" s="42" t="str">
        <f aca="false">IF(J41=0,"Liste os fatores",IF(J41&lt;3,"Poucos fatores: liste ao menos 3",IF(COUNT(G30:G37)&lt;J41,"Há fator sem nota","OK")))</f>
        <v>Liste os fatores</v>
      </c>
      <c r="K43" s="42" t="str">
        <f aca="false">IF(K41=0,"Liste os fatores",IF(K41&lt;3,"Poucos fatores: liste ao menos 3",IF(COUNT(M30:M37)&lt;K41,"Há fator sem nota","OK")))</f>
        <v>Liste os fatores</v>
      </c>
      <c r="L43" s="42"/>
      <c r="M43" s="42"/>
    </row>
    <row r="44" customFormat="false" ht="21.75" hidden="false" customHeight="true" outlineLevel="0" collapsed="false">
      <c r="B44" s="39" t="s">
        <v>144</v>
      </c>
      <c r="C44" s="39"/>
      <c r="D44" s="39"/>
      <c r="E44" s="39"/>
      <c r="F44" s="39"/>
      <c r="G44" s="39"/>
      <c r="H44" s="43" t="n">
        <f aca="false">E42-H42</f>
        <v>0</v>
      </c>
      <c r="I44" s="43"/>
      <c r="J44" s="43"/>
      <c r="K44" s="43"/>
      <c r="L44" s="43"/>
      <c r="M44" s="43"/>
    </row>
    <row r="45" customFormat="false" ht="21.75" hidden="false" customHeight="true" outlineLevel="0" collapsed="false">
      <c r="B45" s="39" t="s">
        <v>145</v>
      </c>
      <c r="C45" s="39"/>
      <c r="D45" s="39"/>
      <c r="E45" s="39"/>
      <c r="F45" s="39"/>
      <c r="G45" s="39"/>
      <c r="H45" s="43" t="n">
        <f aca="false">J42-K42</f>
        <v>0</v>
      </c>
      <c r="I45" s="43"/>
      <c r="J45" s="43"/>
      <c r="K45" s="43"/>
      <c r="L45" s="43"/>
      <c r="M45" s="43"/>
    </row>
    <row r="46" customFormat="false" ht="30" hidden="false" customHeight="true" outlineLevel="0" collapsed="false">
      <c r="B46" s="39" t="s">
        <v>146</v>
      </c>
      <c r="C46" s="39"/>
      <c r="D46" s="39"/>
      <c r="E46" s="39"/>
      <c r="F46" s="39"/>
      <c r="G46" s="39"/>
      <c r="H46" s="44" t="str">
        <f aca="false">IF(OR(COUNT(G16:G23)=0,COUNT(M16:M23)=0,COUNT(G30:G37)=0,COUNT(M30:M37)=0),"Dê notas aos quatro quadrantes para ver a postura",IF(E42&gt;=H42,IF(J42&gt;=K42,"Desenvolvimento: usar as forças para aproveitar as oportunidades","Manutenção: usar as forças para enfrentar as ameaças"),IF(J42&gt;=K42,"Crescimento: corrigir as fraquezas para aproveitar as oportunidades","Sobrevivência: reduzir as fraquezas e proteger-se das ameaças")))</f>
        <v>Dê notas aos quatro quadrantes para ver a postura</v>
      </c>
      <c r="I46" s="44"/>
      <c r="J46" s="44"/>
      <c r="K46" s="44"/>
      <c r="L46" s="44"/>
      <c r="M46" s="44"/>
    </row>
    <row r="47" customFormat="false" ht="21.75" hidden="false" customHeight="true" outlineLevel="0" collapsed="false">
      <c r="B47" s="39" t="s">
        <v>147</v>
      </c>
      <c r="C47" s="39"/>
      <c r="D47" s="39"/>
      <c r="E47" s="39"/>
      <c r="F47" s="39"/>
      <c r="G47" s="39"/>
      <c r="H47" s="45" t="n">
        <f aca="false">COUNTA(D4,J4,D5,J5,D6,J6,D7,D8,J8,D9)</f>
        <v>0</v>
      </c>
      <c r="I47" s="45"/>
      <c r="J47" s="45"/>
      <c r="K47" s="45"/>
      <c r="L47" s="45"/>
      <c r="M47" s="45"/>
    </row>
  </sheetData>
  <mergeCells count="99">
    <mergeCell ref="B1:M1"/>
    <mergeCell ref="B2:M2"/>
    <mergeCell ref="B4:C4"/>
    <mergeCell ref="D4:G4"/>
    <mergeCell ref="H4:I4"/>
    <mergeCell ref="J4:M4"/>
    <mergeCell ref="B5:C5"/>
    <mergeCell ref="D5:G5"/>
    <mergeCell ref="H5:I5"/>
    <mergeCell ref="J5:M5"/>
    <mergeCell ref="B6:C6"/>
    <mergeCell ref="D6:G6"/>
    <mergeCell ref="H6:I6"/>
    <mergeCell ref="J6:M6"/>
    <mergeCell ref="B7:C7"/>
    <mergeCell ref="D7:M7"/>
    <mergeCell ref="B8:C8"/>
    <mergeCell ref="D8:G8"/>
    <mergeCell ref="H8:I8"/>
    <mergeCell ref="J8:M8"/>
    <mergeCell ref="B9:C9"/>
    <mergeCell ref="D9:M9"/>
    <mergeCell ref="B11:G11"/>
    <mergeCell ref="H11:M11"/>
    <mergeCell ref="B12:G12"/>
    <mergeCell ref="H12:M12"/>
    <mergeCell ref="B13:G13"/>
    <mergeCell ref="H13:M13"/>
    <mergeCell ref="C14:D14"/>
    <mergeCell ref="I14:J14"/>
    <mergeCell ref="C15:D15"/>
    <mergeCell ref="I15:J15"/>
    <mergeCell ref="C16:D16"/>
    <mergeCell ref="I16:J16"/>
    <mergeCell ref="C17:D17"/>
    <mergeCell ref="I17:J17"/>
    <mergeCell ref="C18:D18"/>
    <mergeCell ref="I18:J18"/>
    <mergeCell ref="C19:D19"/>
    <mergeCell ref="I19:J19"/>
    <mergeCell ref="C20:D20"/>
    <mergeCell ref="I20:J20"/>
    <mergeCell ref="C21:D21"/>
    <mergeCell ref="I21:J21"/>
    <mergeCell ref="C22:D22"/>
    <mergeCell ref="I22:J22"/>
    <mergeCell ref="C23:D23"/>
    <mergeCell ref="I23:J23"/>
    <mergeCell ref="B25:G25"/>
    <mergeCell ref="H25:M25"/>
    <mergeCell ref="B26:G26"/>
    <mergeCell ref="H26:M26"/>
    <mergeCell ref="B27:G27"/>
    <mergeCell ref="H27:M27"/>
    <mergeCell ref="C28:D28"/>
    <mergeCell ref="I28:J28"/>
    <mergeCell ref="C29:D29"/>
    <mergeCell ref="I29:J29"/>
    <mergeCell ref="C30:D30"/>
    <mergeCell ref="I30:J30"/>
    <mergeCell ref="C31:D31"/>
    <mergeCell ref="I31:J31"/>
    <mergeCell ref="C32:D32"/>
    <mergeCell ref="I32:J32"/>
    <mergeCell ref="C33:D33"/>
    <mergeCell ref="I33:J33"/>
    <mergeCell ref="C34:D34"/>
    <mergeCell ref="I34:J34"/>
    <mergeCell ref="C35:D35"/>
    <mergeCell ref="I35:J35"/>
    <mergeCell ref="C36:D36"/>
    <mergeCell ref="I36:J36"/>
    <mergeCell ref="C37:D37"/>
    <mergeCell ref="I37:J37"/>
    <mergeCell ref="B39:M39"/>
    <mergeCell ref="B40:D40"/>
    <mergeCell ref="E40:G40"/>
    <mergeCell ref="H40:I40"/>
    <mergeCell ref="K40:M40"/>
    <mergeCell ref="B41:D41"/>
    <mergeCell ref="E41:G41"/>
    <mergeCell ref="H41:I41"/>
    <mergeCell ref="K41:M41"/>
    <mergeCell ref="B42:D42"/>
    <mergeCell ref="E42:G42"/>
    <mergeCell ref="H42:I42"/>
    <mergeCell ref="K42:M42"/>
    <mergeCell ref="B43:D43"/>
    <mergeCell ref="E43:G43"/>
    <mergeCell ref="H43:I43"/>
    <mergeCell ref="K43:M43"/>
    <mergeCell ref="B44:G44"/>
    <mergeCell ref="H44:M44"/>
    <mergeCell ref="B45:G45"/>
    <mergeCell ref="H45:M45"/>
    <mergeCell ref="B46:G46"/>
    <mergeCell ref="H46:M46"/>
    <mergeCell ref="B47:G47"/>
    <mergeCell ref="H47:M47"/>
  </mergeCells>
  <conditionalFormatting sqref="E43:M43">
    <cfRule type="cellIs" priority="2" operator="equal" aboveAverage="0" equalAverage="0" bottom="0" percent="0" rank="0" text="" dxfId="0">
      <formula>"OK"</formula>
    </cfRule>
    <cfRule type="cellIs" priority="3" operator="notEqual" aboveAverage="0" equalAverage="0" bottom="0" percent="0" rank="0" text="" dxfId="1">
      <formula>"OK"</formula>
    </cfRule>
  </conditionalFormatting>
  <dataValidations count="2">
    <dataValidation allowBlank="true" error="Digite uma data no formato dia/mês/ano." errorStyle="stop" errorTitle="Data inválida" operator="greaterThanOrEqual" showDropDown="false" showErrorMessage="true" showInputMessage="false" sqref="J5" type="date">
      <formula1>36526</formula1>
      <formula2>0</formula2>
    </dataValidation>
    <dataValidation allowBlank="true" error="Digite um número inteiro de 1 a 5." errorStyle="stop" errorTitle="Valor inválido" operator="between" prompt="1 = muito baixo; 5 = muito alto" promptTitle="Nota de 1 a 5" showDropDown="false" showErrorMessage="true" showInputMessage="true" sqref="E16:F23 K16:L23 E30:F37 K30:L37" type="whole">
      <formula1>1</formula1>
      <formula2>5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96A12"/>
    <pageSetUpPr fitToPage="true"/>
  </sheetPr>
  <dimension ref="B1:R7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"/>
    <col collapsed="false" customWidth="true" hidden="false" outlineLevel="0" max="3" min="3" style="0" width="9"/>
    <col collapsed="false" customWidth="true" hidden="false" outlineLevel="0" max="4" min="4" style="0" width="20"/>
    <col collapsed="false" customWidth="true" hidden="false" outlineLevel="0" max="5" min="5" style="0" width="52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14"/>
    <col collapsed="false" customWidth="true" hidden="false" outlineLevel="0" max="11" min="10" style="0" width="2"/>
    <col collapsed="false" customWidth="true" hidden="false" outlineLevel="0" max="12" min="12" style="0" width="9"/>
    <col collapsed="false" customWidth="true" hidden="false" outlineLevel="0" max="13" min="13" style="0" width="18"/>
    <col collapsed="false" customWidth="true" hidden="false" outlineLevel="0" max="14" min="14" style="0" width="40"/>
    <col collapsed="false" customWidth="true" hidden="false" outlineLevel="0" max="15" min="15" style="0" width="10"/>
    <col collapsed="false" customWidth="true" hidden="false" outlineLevel="0" max="16" min="16" style="0" width="12"/>
    <col collapsed="false" customWidth="true" hidden="false" outlineLevel="0" max="18" min="17" style="0" width="10"/>
    <col collapsed="false" customWidth="true" hidden="false" outlineLevel="0" max="19" min="19" style="0" width="2"/>
  </cols>
  <sheetData>
    <row r="1" customFormat="false" ht="31.5" hidden="false" customHeight="true" outlineLevel="0" collapsed="false">
      <c r="B1" s="1" t="s">
        <v>148</v>
      </c>
      <c r="C1" s="1"/>
      <c r="D1" s="1"/>
      <c r="E1" s="1"/>
      <c r="F1" s="1"/>
      <c r="G1" s="1"/>
      <c r="H1" s="1"/>
      <c r="I1" s="1"/>
    </row>
    <row r="2" customFormat="false" ht="19.5" hidden="false" customHeight="true" outlineLevel="0" collapsed="false">
      <c r="B2" s="2" t="s">
        <v>149</v>
      </c>
      <c r="C2" s="2"/>
      <c r="D2" s="2"/>
      <c r="E2" s="2"/>
      <c r="F2" s="2"/>
      <c r="G2" s="2"/>
      <c r="H2" s="2"/>
      <c r="I2" s="2"/>
    </row>
    <row r="4" customFormat="false" ht="21.75" hidden="false" customHeight="true" outlineLevel="0" collapsed="false">
      <c r="B4" s="38" t="s">
        <v>150</v>
      </c>
      <c r="C4" s="38"/>
      <c r="D4" s="38"/>
      <c r="E4" s="38"/>
      <c r="F4" s="38"/>
      <c r="G4" s="38"/>
      <c r="H4" s="38"/>
      <c r="I4" s="38"/>
      <c r="L4" s="46" t="s">
        <v>151</v>
      </c>
      <c r="M4" s="46"/>
      <c r="N4" s="46"/>
      <c r="O4" s="46"/>
      <c r="P4" s="46"/>
      <c r="Q4" s="46"/>
      <c r="R4" s="46"/>
    </row>
    <row r="5" customFormat="false" ht="21.75" hidden="false" customHeight="true" outlineLevel="0" collapsed="false">
      <c r="B5" s="29" t="s">
        <v>152</v>
      </c>
      <c r="C5" s="29" t="s">
        <v>153</v>
      </c>
      <c r="D5" s="29" t="s">
        <v>137</v>
      </c>
      <c r="E5" s="29" t="s">
        <v>93</v>
      </c>
      <c r="F5" s="29" t="s">
        <v>23</v>
      </c>
      <c r="G5" s="29" t="s">
        <v>94</v>
      </c>
      <c r="H5" s="29" t="s">
        <v>29</v>
      </c>
      <c r="I5" s="29" t="s">
        <v>154</v>
      </c>
      <c r="L5" s="47" t="s">
        <v>153</v>
      </c>
      <c r="M5" s="47" t="s">
        <v>137</v>
      </c>
      <c r="N5" s="47" t="s">
        <v>93</v>
      </c>
      <c r="O5" s="47" t="s">
        <v>23</v>
      </c>
      <c r="P5" s="47" t="s">
        <v>94</v>
      </c>
      <c r="Q5" s="47" t="s">
        <v>29</v>
      </c>
      <c r="R5" s="47" t="s">
        <v>155</v>
      </c>
    </row>
    <row r="6" customFormat="false" ht="21.75" hidden="false" customHeight="true" outlineLevel="0" collapsed="false">
      <c r="B6" s="27" t="n">
        <v>1</v>
      </c>
      <c r="C6" s="44" t="str">
        <f aca="false">IFERROR(INDEX($L$6:$L$37,MATCH($B6,$R$6:$R$37,0)),"")</f>
        <v/>
      </c>
      <c r="D6" s="48" t="str">
        <f aca="false">IFERROR(INDEX($M$6:$M$37,MATCH($B6,$R$6:$R$37,0)),"")</f>
        <v/>
      </c>
      <c r="E6" s="6" t="str">
        <f aca="false">IFERROR(INDEX($N$6:$N$37,MATCH($B6,$R$6:$R$37,0)),"")</f>
        <v/>
      </c>
      <c r="F6" s="49" t="str">
        <f aca="false">IFERROR(INDEX($O$6:$O$37,MATCH($B6,$R$6:$R$37,0)),"")</f>
        <v/>
      </c>
      <c r="G6" s="49" t="str">
        <f aca="false">IFERROR(INDEX($P$6:$P$37,MATCH($B6,$R$6:$R$37,0)),"")</f>
        <v/>
      </c>
      <c r="H6" s="29" t="str">
        <f aca="false">IFERROR(INDEX($Q$6:$Q$37,MATCH($B6,$R$6:$R$37,0)),"")</f>
        <v/>
      </c>
      <c r="I6" s="49" t="str">
        <f aca="false">IF(H6="","",IF(H6&gt;=15,"Alta",IF(H6&gt;=8,"Média","Baixa")))</f>
        <v/>
      </c>
      <c r="L6" s="50" t="s">
        <v>98</v>
      </c>
      <c r="M6" s="51" t="s">
        <v>156</v>
      </c>
      <c r="N6" s="51" t="str">
        <f aca="false">IF(SWOT!C16="","",SWOT!C16)</f>
        <v/>
      </c>
      <c r="O6" s="50" t="str">
        <f aca="false">IF(SWOT!E16="","",SWOT!E16)</f>
        <v/>
      </c>
      <c r="P6" s="50" t="str">
        <f aca="false">IF(SWOT!F16="","",SWOT!F16)</f>
        <v/>
      </c>
      <c r="Q6" s="50" t="str">
        <f aca="false">IF(SWOT!G16="","",SWOT!G16)</f>
        <v/>
      </c>
      <c r="R6" s="50" t="str">
        <f aca="false">IF(Q6="","",RANK(Q6,$Q$6:$Q$37)+COUNTIF($Q$5:Q5,Q6))</f>
        <v/>
      </c>
    </row>
    <row r="7" customFormat="false" ht="21.75" hidden="false" customHeight="true" outlineLevel="0" collapsed="false">
      <c r="B7" s="27" t="n">
        <v>2</v>
      </c>
      <c r="C7" s="44" t="str">
        <f aca="false">IFERROR(INDEX($L$6:$L$37,MATCH($B7,$R$6:$R$37,0)),"")</f>
        <v/>
      </c>
      <c r="D7" s="48" t="str">
        <f aca="false">IFERROR(INDEX($M$6:$M$37,MATCH($B7,$R$6:$R$37,0)),"")</f>
        <v/>
      </c>
      <c r="E7" s="6" t="str">
        <f aca="false">IFERROR(INDEX($N$6:$N$37,MATCH($B7,$R$6:$R$37,0)),"")</f>
        <v/>
      </c>
      <c r="F7" s="49" t="str">
        <f aca="false">IFERROR(INDEX($O$6:$O$37,MATCH($B7,$R$6:$R$37,0)),"")</f>
        <v/>
      </c>
      <c r="G7" s="49" t="str">
        <f aca="false">IFERROR(INDEX($P$6:$P$37,MATCH($B7,$R$6:$R$37,0)),"")</f>
        <v/>
      </c>
      <c r="H7" s="29" t="str">
        <f aca="false">IFERROR(INDEX($Q$6:$Q$37,MATCH($B7,$R$6:$R$37,0)),"")</f>
        <v/>
      </c>
      <c r="I7" s="49" t="str">
        <f aca="false">IF(H7="","",IF(H7&gt;=15,"Alta",IF(H7&gt;=8,"Média","Baixa")))</f>
        <v/>
      </c>
      <c r="L7" s="50" t="s">
        <v>100</v>
      </c>
      <c r="M7" s="51" t="s">
        <v>156</v>
      </c>
      <c r="N7" s="51" t="str">
        <f aca="false">IF(SWOT!C17="","",SWOT!C17)</f>
        <v/>
      </c>
      <c r="O7" s="50" t="str">
        <f aca="false">IF(SWOT!E17="","",SWOT!E17)</f>
        <v/>
      </c>
      <c r="P7" s="50" t="str">
        <f aca="false">IF(SWOT!F17="","",SWOT!F17)</f>
        <v/>
      </c>
      <c r="Q7" s="50" t="str">
        <f aca="false">IF(SWOT!G17="","",SWOT!G17)</f>
        <v/>
      </c>
      <c r="R7" s="50" t="str">
        <f aca="false">IF(Q7="","",RANK(Q7,$Q$6:$Q$37)+COUNTIF($Q$5:Q6,Q7))</f>
        <v/>
      </c>
    </row>
    <row r="8" customFormat="false" ht="21.75" hidden="false" customHeight="true" outlineLevel="0" collapsed="false">
      <c r="B8" s="27" t="n">
        <v>3</v>
      </c>
      <c r="C8" s="44" t="str">
        <f aca="false">IFERROR(INDEX($L$6:$L$37,MATCH($B8,$R$6:$R$37,0)),"")</f>
        <v/>
      </c>
      <c r="D8" s="48" t="str">
        <f aca="false">IFERROR(INDEX($M$6:$M$37,MATCH($B8,$R$6:$R$37,0)),"")</f>
        <v/>
      </c>
      <c r="E8" s="6" t="str">
        <f aca="false">IFERROR(INDEX($N$6:$N$37,MATCH($B8,$R$6:$R$37,0)),"")</f>
        <v/>
      </c>
      <c r="F8" s="49" t="str">
        <f aca="false">IFERROR(INDEX($O$6:$O$37,MATCH($B8,$R$6:$R$37,0)),"")</f>
        <v/>
      </c>
      <c r="G8" s="49" t="str">
        <f aca="false">IFERROR(INDEX($P$6:$P$37,MATCH($B8,$R$6:$R$37,0)),"")</f>
        <v/>
      </c>
      <c r="H8" s="29" t="str">
        <f aca="false">IFERROR(INDEX($Q$6:$Q$37,MATCH($B8,$R$6:$R$37,0)),"")</f>
        <v/>
      </c>
      <c r="I8" s="49" t="str">
        <f aca="false">IF(H8="","",IF(H8&gt;=15,"Alta",IF(H8&gt;=8,"Média","Baixa")))</f>
        <v/>
      </c>
      <c r="L8" s="50" t="s">
        <v>102</v>
      </c>
      <c r="M8" s="51" t="s">
        <v>156</v>
      </c>
      <c r="N8" s="51" t="str">
        <f aca="false">IF(SWOT!C18="","",SWOT!C18)</f>
        <v/>
      </c>
      <c r="O8" s="50" t="str">
        <f aca="false">IF(SWOT!E18="","",SWOT!E18)</f>
        <v/>
      </c>
      <c r="P8" s="50" t="str">
        <f aca="false">IF(SWOT!F18="","",SWOT!F18)</f>
        <v/>
      </c>
      <c r="Q8" s="50" t="str">
        <f aca="false">IF(SWOT!G18="","",SWOT!G18)</f>
        <v/>
      </c>
      <c r="R8" s="50" t="str">
        <f aca="false">IF(Q8="","",RANK(Q8,$Q$6:$Q$37)+COUNTIF($Q$5:Q7,Q8))</f>
        <v/>
      </c>
    </row>
    <row r="9" customFormat="false" ht="21.75" hidden="false" customHeight="true" outlineLevel="0" collapsed="false">
      <c r="B9" s="27" t="n">
        <v>4</v>
      </c>
      <c r="C9" s="44" t="str">
        <f aca="false">IFERROR(INDEX($L$6:$L$37,MATCH($B9,$R$6:$R$37,0)),"")</f>
        <v/>
      </c>
      <c r="D9" s="48" t="str">
        <f aca="false">IFERROR(INDEX($M$6:$M$37,MATCH($B9,$R$6:$R$37,0)),"")</f>
        <v/>
      </c>
      <c r="E9" s="6" t="str">
        <f aca="false">IFERROR(INDEX($N$6:$N$37,MATCH($B9,$R$6:$R$37,0)),"")</f>
        <v/>
      </c>
      <c r="F9" s="49" t="str">
        <f aca="false">IFERROR(INDEX($O$6:$O$37,MATCH($B9,$R$6:$R$37,0)),"")</f>
        <v/>
      </c>
      <c r="G9" s="49" t="str">
        <f aca="false">IFERROR(INDEX($P$6:$P$37,MATCH($B9,$R$6:$R$37,0)),"")</f>
        <v/>
      </c>
      <c r="H9" s="29" t="str">
        <f aca="false">IFERROR(INDEX($Q$6:$Q$37,MATCH($B9,$R$6:$R$37,0)),"")</f>
        <v/>
      </c>
      <c r="I9" s="49" t="str">
        <f aca="false">IF(H9="","",IF(H9&gt;=15,"Alta",IF(H9&gt;=8,"Média","Baixa")))</f>
        <v/>
      </c>
      <c r="L9" s="50" t="s">
        <v>104</v>
      </c>
      <c r="M9" s="51" t="s">
        <v>156</v>
      </c>
      <c r="N9" s="51" t="str">
        <f aca="false">IF(SWOT!C19="","",SWOT!C19)</f>
        <v/>
      </c>
      <c r="O9" s="50" t="str">
        <f aca="false">IF(SWOT!E19="","",SWOT!E19)</f>
        <v/>
      </c>
      <c r="P9" s="50" t="str">
        <f aca="false">IF(SWOT!F19="","",SWOT!F19)</f>
        <v/>
      </c>
      <c r="Q9" s="50" t="str">
        <f aca="false">IF(SWOT!G19="","",SWOT!G19)</f>
        <v/>
      </c>
      <c r="R9" s="50" t="str">
        <f aca="false">IF(Q9="","",RANK(Q9,$Q$6:$Q$37)+COUNTIF($Q$5:Q8,Q9))</f>
        <v/>
      </c>
    </row>
    <row r="10" customFormat="false" ht="21.75" hidden="false" customHeight="true" outlineLevel="0" collapsed="false">
      <c r="B10" s="27" t="n">
        <v>5</v>
      </c>
      <c r="C10" s="44" t="str">
        <f aca="false">IFERROR(INDEX($L$6:$L$37,MATCH($B10,$R$6:$R$37,0)),"")</f>
        <v/>
      </c>
      <c r="D10" s="48" t="str">
        <f aca="false">IFERROR(INDEX($M$6:$M$37,MATCH($B10,$R$6:$R$37,0)),"")</f>
        <v/>
      </c>
      <c r="E10" s="6" t="str">
        <f aca="false">IFERROR(INDEX($N$6:$N$37,MATCH($B10,$R$6:$R$37,0)),"")</f>
        <v/>
      </c>
      <c r="F10" s="49" t="str">
        <f aca="false">IFERROR(INDEX($O$6:$O$37,MATCH($B10,$R$6:$R$37,0)),"")</f>
        <v/>
      </c>
      <c r="G10" s="49" t="str">
        <f aca="false">IFERROR(INDEX($P$6:$P$37,MATCH($B10,$R$6:$R$37,0)),"")</f>
        <v/>
      </c>
      <c r="H10" s="29" t="str">
        <f aca="false">IFERROR(INDEX($Q$6:$Q$37,MATCH($B10,$R$6:$R$37,0)),"")</f>
        <v/>
      </c>
      <c r="I10" s="49" t="str">
        <f aca="false">IF(H10="","",IF(H10&gt;=15,"Alta",IF(H10&gt;=8,"Média","Baixa")))</f>
        <v/>
      </c>
      <c r="L10" s="50" t="s">
        <v>106</v>
      </c>
      <c r="M10" s="51" t="s">
        <v>156</v>
      </c>
      <c r="N10" s="51" t="str">
        <f aca="false">IF(SWOT!C20="","",SWOT!C20)</f>
        <v/>
      </c>
      <c r="O10" s="50" t="str">
        <f aca="false">IF(SWOT!E20="","",SWOT!E20)</f>
        <v/>
      </c>
      <c r="P10" s="50" t="str">
        <f aca="false">IF(SWOT!F20="","",SWOT!F20)</f>
        <v/>
      </c>
      <c r="Q10" s="50" t="str">
        <f aca="false">IF(SWOT!G20="","",SWOT!G20)</f>
        <v/>
      </c>
      <c r="R10" s="50" t="str">
        <f aca="false">IF(Q10="","",RANK(Q10,$Q$6:$Q$37)+COUNTIF($Q$5:Q9,Q10))</f>
        <v/>
      </c>
    </row>
    <row r="11" customFormat="false" ht="21.75" hidden="false" customHeight="true" outlineLevel="0" collapsed="false">
      <c r="B11" s="27" t="n">
        <v>6</v>
      </c>
      <c r="C11" s="44" t="str">
        <f aca="false">IFERROR(INDEX($L$6:$L$37,MATCH($B11,$R$6:$R$37,0)),"")</f>
        <v/>
      </c>
      <c r="D11" s="48" t="str">
        <f aca="false">IFERROR(INDEX($M$6:$M$37,MATCH($B11,$R$6:$R$37,0)),"")</f>
        <v/>
      </c>
      <c r="E11" s="6" t="str">
        <f aca="false">IFERROR(INDEX($N$6:$N$37,MATCH($B11,$R$6:$R$37,0)),"")</f>
        <v/>
      </c>
      <c r="F11" s="49" t="str">
        <f aca="false">IFERROR(INDEX($O$6:$O$37,MATCH($B11,$R$6:$R$37,0)),"")</f>
        <v/>
      </c>
      <c r="G11" s="49" t="str">
        <f aca="false">IFERROR(INDEX($P$6:$P$37,MATCH($B11,$R$6:$R$37,0)),"")</f>
        <v/>
      </c>
      <c r="H11" s="29" t="str">
        <f aca="false">IFERROR(INDEX($Q$6:$Q$37,MATCH($B11,$R$6:$R$37,0)),"")</f>
        <v/>
      </c>
      <c r="I11" s="49" t="str">
        <f aca="false">IF(H11="","",IF(H11&gt;=15,"Alta",IF(H11&gt;=8,"Média","Baixa")))</f>
        <v/>
      </c>
      <c r="L11" s="50" t="s">
        <v>108</v>
      </c>
      <c r="M11" s="51" t="s">
        <v>156</v>
      </c>
      <c r="N11" s="51" t="str">
        <f aca="false">IF(SWOT!C21="","",SWOT!C21)</f>
        <v/>
      </c>
      <c r="O11" s="50" t="str">
        <f aca="false">IF(SWOT!E21="","",SWOT!E21)</f>
        <v/>
      </c>
      <c r="P11" s="50" t="str">
        <f aca="false">IF(SWOT!F21="","",SWOT!F21)</f>
        <v/>
      </c>
      <c r="Q11" s="50" t="str">
        <f aca="false">IF(SWOT!G21="","",SWOT!G21)</f>
        <v/>
      </c>
      <c r="R11" s="50" t="str">
        <f aca="false">IF(Q11="","",RANK(Q11,$Q$6:$Q$37)+COUNTIF($Q$5:Q10,Q11))</f>
        <v/>
      </c>
    </row>
    <row r="12" customFormat="false" ht="21.75" hidden="false" customHeight="true" outlineLevel="0" collapsed="false">
      <c r="B12" s="27" t="n">
        <v>7</v>
      </c>
      <c r="C12" s="44" t="str">
        <f aca="false">IFERROR(INDEX($L$6:$L$37,MATCH($B12,$R$6:$R$37,0)),"")</f>
        <v/>
      </c>
      <c r="D12" s="48" t="str">
        <f aca="false">IFERROR(INDEX($M$6:$M$37,MATCH($B12,$R$6:$R$37,0)),"")</f>
        <v/>
      </c>
      <c r="E12" s="6" t="str">
        <f aca="false">IFERROR(INDEX($N$6:$N$37,MATCH($B12,$R$6:$R$37,0)),"")</f>
        <v/>
      </c>
      <c r="F12" s="49" t="str">
        <f aca="false">IFERROR(INDEX($O$6:$O$37,MATCH($B12,$R$6:$R$37,0)),"")</f>
        <v/>
      </c>
      <c r="G12" s="49" t="str">
        <f aca="false">IFERROR(INDEX($P$6:$P$37,MATCH($B12,$R$6:$R$37,0)),"")</f>
        <v/>
      </c>
      <c r="H12" s="29" t="str">
        <f aca="false">IFERROR(INDEX($Q$6:$Q$37,MATCH($B12,$R$6:$R$37,0)),"")</f>
        <v/>
      </c>
      <c r="I12" s="49" t="str">
        <f aca="false">IF(H12="","",IF(H12&gt;=15,"Alta",IF(H12&gt;=8,"Média","Baixa")))</f>
        <v/>
      </c>
      <c r="L12" s="50" t="s">
        <v>110</v>
      </c>
      <c r="M12" s="51" t="s">
        <v>156</v>
      </c>
      <c r="N12" s="51" t="str">
        <f aca="false">IF(SWOT!C22="","",SWOT!C22)</f>
        <v/>
      </c>
      <c r="O12" s="50" t="str">
        <f aca="false">IF(SWOT!E22="","",SWOT!E22)</f>
        <v/>
      </c>
      <c r="P12" s="50" t="str">
        <f aca="false">IF(SWOT!F22="","",SWOT!F22)</f>
        <v/>
      </c>
      <c r="Q12" s="50" t="str">
        <f aca="false">IF(SWOT!G22="","",SWOT!G22)</f>
        <v/>
      </c>
      <c r="R12" s="50" t="str">
        <f aca="false">IF(Q12="","",RANK(Q12,$Q$6:$Q$37)+COUNTIF($Q$5:Q11,Q12))</f>
        <v/>
      </c>
    </row>
    <row r="13" customFormat="false" ht="21.75" hidden="false" customHeight="true" outlineLevel="0" collapsed="false">
      <c r="B13" s="27" t="n">
        <v>8</v>
      </c>
      <c r="C13" s="44" t="str">
        <f aca="false">IFERROR(INDEX($L$6:$L$37,MATCH($B13,$R$6:$R$37,0)),"")</f>
        <v/>
      </c>
      <c r="D13" s="48" t="str">
        <f aca="false">IFERROR(INDEX($M$6:$M$37,MATCH($B13,$R$6:$R$37,0)),"")</f>
        <v/>
      </c>
      <c r="E13" s="6" t="str">
        <f aca="false">IFERROR(INDEX($N$6:$N$37,MATCH($B13,$R$6:$R$37,0)),"")</f>
        <v/>
      </c>
      <c r="F13" s="49" t="str">
        <f aca="false">IFERROR(INDEX($O$6:$O$37,MATCH($B13,$R$6:$R$37,0)),"")</f>
        <v/>
      </c>
      <c r="G13" s="49" t="str">
        <f aca="false">IFERROR(INDEX($P$6:$P$37,MATCH($B13,$R$6:$R$37,0)),"")</f>
        <v/>
      </c>
      <c r="H13" s="29" t="str">
        <f aca="false">IFERROR(INDEX($Q$6:$Q$37,MATCH($B13,$R$6:$R$37,0)),"")</f>
        <v/>
      </c>
      <c r="I13" s="49" t="str">
        <f aca="false">IF(H13="","",IF(H13&gt;=15,"Alta",IF(H13&gt;=8,"Média","Baixa")))</f>
        <v/>
      </c>
      <c r="L13" s="50" t="s">
        <v>112</v>
      </c>
      <c r="M13" s="51" t="s">
        <v>156</v>
      </c>
      <c r="N13" s="51" t="str">
        <f aca="false">IF(SWOT!C23="","",SWOT!C23)</f>
        <v/>
      </c>
      <c r="O13" s="50" t="str">
        <f aca="false">IF(SWOT!E23="","",SWOT!E23)</f>
        <v/>
      </c>
      <c r="P13" s="50" t="str">
        <f aca="false">IF(SWOT!F23="","",SWOT!F23)</f>
        <v/>
      </c>
      <c r="Q13" s="50" t="str">
        <f aca="false">IF(SWOT!G23="","",SWOT!G23)</f>
        <v/>
      </c>
      <c r="R13" s="50" t="str">
        <f aca="false">IF(Q13="","",RANK(Q13,$Q$6:$Q$37)+COUNTIF($Q$5:Q12,Q13))</f>
        <v/>
      </c>
    </row>
    <row r="14" customFormat="false" ht="21.75" hidden="false" customHeight="true" outlineLevel="0" collapsed="false">
      <c r="B14" s="27" t="n">
        <v>9</v>
      </c>
      <c r="C14" s="44" t="str">
        <f aca="false">IFERROR(INDEX($L$6:$L$37,MATCH($B14,$R$6:$R$37,0)),"")</f>
        <v/>
      </c>
      <c r="D14" s="48" t="str">
        <f aca="false">IFERROR(INDEX($M$6:$M$37,MATCH($B14,$R$6:$R$37,0)),"")</f>
        <v/>
      </c>
      <c r="E14" s="6" t="str">
        <f aca="false">IFERROR(INDEX($N$6:$N$37,MATCH($B14,$R$6:$R$37,0)),"")</f>
        <v/>
      </c>
      <c r="F14" s="49" t="str">
        <f aca="false">IFERROR(INDEX($O$6:$O$37,MATCH($B14,$R$6:$R$37,0)),"")</f>
        <v/>
      </c>
      <c r="G14" s="49" t="str">
        <f aca="false">IFERROR(INDEX($P$6:$P$37,MATCH($B14,$R$6:$R$37,0)),"")</f>
        <v/>
      </c>
      <c r="H14" s="29" t="str">
        <f aca="false">IFERROR(INDEX($Q$6:$Q$37,MATCH($B14,$R$6:$R$37,0)),"")</f>
        <v/>
      </c>
      <c r="I14" s="49" t="str">
        <f aca="false">IF(H14="","",IF(H14&gt;=15,"Alta",IF(H14&gt;=8,"Média","Baixa")))</f>
        <v/>
      </c>
      <c r="L14" s="50" t="s">
        <v>99</v>
      </c>
      <c r="M14" s="51" t="s">
        <v>157</v>
      </c>
      <c r="N14" s="51" t="str">
        <f aca="false">IF(SWOT!I16="","",SWOT!I16)</f>
        <v/>
      </c>
      <c r="O14" s="50" t="str">
        <f aca="false">IF(SWOT!K16="","",SWOT!K16)</f>
        <v/>
      </c>
      <c r="P14" s="50" t="str">
        <f aca="false">IF(SWOT!L16="","",SWOT!L16)</f>
        <v/>
      </c>
      <c r="Q14" s="50" t="str">
        <f aca="false">IF(SWOT!M16="","",SWOT!M16)</f>
        <v/>
      </c>
      <c r="R14" s="50" t="str">
        <f aca="false">IF(Q14="","",RANK(Q14,$Q$6:$Q$37)+COUNTIF($Q$5:Q13,Q14))</f>
        <v/>
      </c>
    </row>
    <row r="15" customFormat="false" ht="21.75" hidden="false" customHeight="true" outlineLevel="0" collapsed="false">
      <c r="B15" s="27" t="n">
        <v>10</v>
      </c>
      <c r="C15" s="44" t="str">
        <f aca="false">IFERROR(INDEX($L$6:$L$37,MATCH($B15,$R$6:$R$37,0)),"")</f>
        <v/>
      </c>
      <c r="D15" s="48" t="str">
        <f aca="false">IFERROR(INDEX($M$6:$M$37,MATCH($B15,$R$6:$R$37,0)),"")</f>
        <v/>
      </c>
      <c r="E15" s="6" t="str">
        <f aca="false">IFERROR(INDEX($N$6:$N$37,MATCH($B15,$R$6:$R$37,0)),"")</f>
        <v/>
      </c>
      <c r="F15" s="49" t="str">
        <f aca="false">IFERROR(INDEX($O$6:$O$37,MATCH($B15,$R$6:$R$37,0)),"")</f>
        <v/>
      </c>
      <c r="G15" s="49" t="str">
        <f aca="false">IFERROR(INDEX($P$6:$P$37,MATCH($B15,$R$6:$R$37,0)),"")</f>
        <v/>
      </c>
      <c r="H15" s="29" t="str">
        <f aca="false">IFERROR(INDEX($Q$6:$Q$37,MATCH($B15,$R$6:$R$37,0)),"")</f>
        <v/>
      </c>
      <c r="I15" s="49" t="str">
        <f aca="false">IF(H15="","",IF(H15&gt;=15,"Alta",IF(H15&gt;=8,"Média","Baixa")))</f>
        <v/>
      </c>
      <c r="L15" s="50" t="s">
        <v>101</v>
      </c>
      <c r="M15" s="51" t="s">
        <v>157</v>
      </c>
      <c r="N15" s="51" t="str">
        <f aca="false">IF(SWOT!I17="","",SWOT!I17)</f>
        <v/>
      </c>
      <c r="O15" s="50" t="str">
        <f aca="false">IF(SWOT!K17="","",SWOT!K17)</f>
        <v/>
      </c>
      <c r="P15" s="50" t="str">
        <f aca="false">IF(SWOT!L17="","",SWOT!L17)</f>
        <v/>
      </c>
      <c r="Q15" s="50" t="str">
        <f aca="false">IF(SWOT!M17="","",SWOT!M17)</f>
        <v/>
      </c>
      <c r="R15" s="50" t="str">
        <f aca="false">IF(Q15="","",RANK(Q15,$Q$6:$Q$37)+COUNTIF($Q$5:Q14,Q15))</f>
        <v/>
      </c>
    </row>
    <row r="16" customFormat="false" ht="21.75" hidden="false" customHeight="true" outlineLevel="0" collapsed="false">
      <c r="B16" s="27" t="n">
        <v>11</v>
      </c>
      <c r="C16" s="44" t="str">
        <f aca="false">IFERROR(INDEX($L$6:$L$37,MATCH($B16,$R$6:$R$37,0)),"")</f>
        <v/>
      </c>
      <c r="D16" s="48" t="str">
        <f aca="false">IFERROR(INDEX($M$6:$M$37,MATCH($B16,$R$6:$R$37,0)),"")</f>
        <v/>
      </c>
      <c r="E16" s="6" t="str">
        <f aca="false">IFERROR(INDEX($N$6:$N$37,MATCH($B16,$R$6:$R$37,0)),"")</f>
        <v/>
      </c>
      <c r="F16" s="49" t="str">
        <f aca="false">IFERROR(INDEX($O$6:$O$37,MATCH($B16,$R$6:$R$37,0)),"")</f>
        <v/>
      </c>
      <c r="G16" s="49" t="str">
        <f aca="false">IFERROR(INDEX($P$6:$P$37,MATCH($B16,$R$6:$R$37,0)),"")</f>
        <v/>
      </c>
      <c r="H16" s="29" t="str">
        <f aca="false">IFERROR(INDEX($Q$6:$Q$37,MATCH($B16,$R$6:$R$37,0)),"")</f>
        <v/>
      </c>
      <c r="I16" s="49" t="str">
        <f aca="false">IF(H16="","",IF(H16&gt;=15,"Alta",IF(H16&gt;=8,"Média","Baixa")))</f>
        <v/>
      </c>
      <c r="L16" s="50" t="s">
        <v>103</v>
      </c>
      <c r="M16" s="51" t="s">
        <v>157</v>
      </c>
      <c r="N16" s="51" t="str">
        <f aca="false">IF(SWOT!I18="","",SWOT!I18)</f>
        <v/>
      </c>
      <c r="O16" s="50" t="str">
        <f aca="false">IF(SWOT!K18="","",SWOT!K18)</f>
        <v/>
      </c>
      <c r="P16" s="50" t="str">
        <f aca="false">IF(SWOT!L18="","",SWOT!L18)</f>
        <v/>
      </c>
      <c r="Q16" s="50" t="str">
        <f aca="false">IF(SWOT!M18="","",SWOT!M18)</f>
        <v/>
      </c>
      <c r="R16" s="50" t="str">
        <f aca="false">IF(Q16="","",RANK(Q16,$Q$6:$Q$37)+COUNTIF($Q$5:Q15,Q16))</f>
        <v/>
      </c>
    </row>
    <row r="17" customFormat="false" ht="21.75" hidden="false" customHeight="true" outlineLevel="0" collapsed="false">
      <c r="B17" s="27" t="n">
        <v>12</v>
      </c>
      <c r="C17" s="44" t="str">
        <f aca="false">IFERROR(INDEX($L$6:$L$37,MATCH($B17,$R$6:$R$37,0)),"")</f>
        <v/>
      </c>
      <c r="D17" s="48" t="str">
        <f aca="false">IFERROR(INDEX($M$6:$M$37,MATCH($B17,$R$6:$R$37,0)),"")</f>
        <v/>
      </c>
      <c r="E17" s="6" t="str">
        <f aca="false">IFERROR(INDEX($N$6:$N$37,MATCH($B17,$R$6:$R$37,0)),"")</f>
        <v/>
      </c>
      <c r="F17" s="49" t="str">
        <f aca="false">IFERROR(INDEX($O$6:$O$37,MATCH($B17,$R$6:$R$37,0)),"")</f>
        <v/>
      </c>
      <c r="G17" s="49" t="str">
        <f aca="false">IFERROR(INDEX($P$6:$P$37,MATCH($B17,$R$6:$R$37,0)),"")</f>
        <v/>
      </c>
      <c r="H17" s="29" t="str">
        <f aca="false">IFERROR(INDEX($Q$6:$Q$37,MATCH($B17,$R$6:$R$37,0)),"")</f>
        <v/>
      </c>
      <c r="I17" s="49" t="str">
        <f aca="false">IF(H17="","",IF(H17&gt;=15,"Alta",IF(H17&gt;=8,"Média","Baixa")))</f>
        <v/>
      </c>
      <c r="L17" s="50" t="s">
        <v>105</v>
      </c>
      <c r="M17" s="51" t="s">
        <v>157</v>
      </c>
      <c r="N17" s="51" t="str">
        <f aca="false">IF(SWOT!I19="","",SWOT!I19)</f>
        <v/>
      </c>
      <c r="O17" s="50" t="str">
        <f aca="false">IF(SWOT!K19="","",SWOT!K19)</f>
        <v/>
      </c>
      <c r="P17" s="50" t="str">
        <f aca="false">IF(SWOT!L19="","",SWOT!L19)</f>
        <v/>
      </c>
      <c r="Q17" s="50" t="str">
        <f aca="false">IF(SWOT!M19="","",SWOT!M19)</f>
        <v/>
      </c>
      <c r="R17" s="50" t="str">
        <f aca="false">IF(Q17="","",RANK(Q17,$Q$6:$Q$37)+COUNTIF($Q$5:Q16,Q17))</f>
        <v/>
      </c>
    </row>
    <row r="18" customFormat="false" ht="21.75" hidden="false" customHeight="true" outlineLevel="0" collapsed="false">
      <c r="B18" s="27" t="n">
        <v>13</v>
      </c>
      <c r="C18" s="44" t="str">
        <f aca="false">IFERROR(INDEX($L$6:$L$37,MATCH($B18,$R$6:$R$37,0)),"")</f>
        <v/>
      </c>
      <c r="D18" s="48" t="str">
        <f aca="false">IFERROR(INDEX($M$6:$M$37,MATCH($B18,$R$6:$R$37,0)),"")</f>
        <v/>
      </c>
      <c r="E18" s="6" t="str">
        <f aca="false">IFERROR(INDEX($N$6:$N$37,MATCH($B18,$R$6:$R$37,0)),"")</f>
        <v/>
      </c>
      <c r="F18" s="49" t="str">
        <f aca="false">IFERROR(INDEX($O$6:$O$37,MATCH($B18,$R$6:$R$37,0)),"")</f>
        <v/>
      </c>
      <c r="G18" s="49" t="str">
        <f aca="false">IFERROR(INDEX($P$6:$P$37,MATCH($B18,$R$6:$R$37,0)),"")</f>
        <v/>
      </c>
      <c r="H18" s="29" t="str">
        <f aca="false">IFERROR(INDEX($Q$6:$Q$37,MATCH($B18,$R$6:$R$37,0)),"")</f>
        <v/>
      </c>
      <c r="I18" s="49" t="str">
        <f aca="false">IF(H18="","",IF(H18&gt;=15,"Alta",IF(H18&gt;=8,"Média","Baixa")))</f>
        <v/>
      </c>
      <c r="L18" s="50" t="s">
        <v>107</v>
      </c>
      <c r="M18" s="51" t="s">
        <v>157</v>
      </c>
      <c r="N18" s="51" t="str">
        <f aca="false">IF(SWOT!I20="","",SWOT!I20)</f>
        <v/>
      </c>
      <c r="O18" s="50" t="str">
        <f aca="false">IF(SWOT!K20="","",SWOT!K20)</f>
        <v/>
      </c>
      <c r="P18" s="50" t="str">
        <f aca="false">IF(SWOT!L20="","",SWOT!L20)</f>
        <v/>
      </c>
      <c r="Q18" s="50" t="str">
        <f aca="false">IF(SWOT!M20="","",SWOT!M20)</f>
        <v/>
      </c>
      <c r="R18" s="50" t="str">
        <f aca="false">IF(Q18="","",RANK(Q18,$Q$6:$Q$37)+COUNTIF($Q$5:Q17,Q18))</f>
        <v/>
      </c>
    </row>
    <row r="19" customFormat="false" ht="21.75" hidden="false" customHeight="true" outlineLevel="0" collapsed="false">
      <c r="B19" s="27" t="n">
        <v>14</v>
      </c>
      <c r="C19" s="44" t="str">
        <f aca="false">IFERROR(INDEX($L$6:$L$37,MATCH($B19,$R$6:$R$37,0)),"")</f>
        <v/>
      </c>
      <c r="D19" s="48" t="str">
        <f aca="false">IFERROR(INDEX($M$6:$M$37,MATCH($B19,$R$6:$R$37,0)),"")</f>
        <v/>
      </c>
      <c r="E19" s="6" t="str">
        <f aca="false">IFERROR(INDEX($N$6:$N$37,MATCH($B19,$R$6:$R$37,0)),"")</f>
        <v/>
      </c>
      <c r="F19" s="49" t="str">
        <f aca="false">IFERROR(INDEX($O$6:$O$37,MATCH($B19,$R$6:$R$37,0)),"")</f>
        <v/>
      </c>
      <c r="G19" s="49" t="str">
        <f aca="false">IFERROR(INDEX($P$6:$P$37,MATCH($B19,$R$6:$R$37,0)),"")</f>
        <v/>
      </c>
      <c r="H19" s="29" t="str">
        <f aca="false">IFERROR(INDEX($Q$6:$Q$37,MATCH($B19,$R$6:$R$37,0)),"")</f>
        <v/>
      </c>
      <c r="I19" s="49" t="str">
        <f aca="false">IF(H19="","",IF(H19&gt;=15,"Alta",IF(H19&gt;=8,"Média","Baixa")))</f>
        <v/>
      </c>
      <c r="L19" s="50" t="s">
        <v>109</v>
      </c>
      <c r="M19" s="51" t="s">
        <v>157</v>
      </c>
      <c r="N19" s="51" t="str">
        <f aca="false">IF(SWOT!I21="","",SWOT!I21)</f>
        <v/>
      </c>
      <c r="O19" s="50" t="str">
        <f aca="false">IF(SWOT!K21="","",SWOT!K21)</f>
        <v/>
      </c>
      <c r="P19" s="50" t="str">
        <f aca="false">IF(SWOT!L21="","",SWOT!L21)</f>
        <v/>
      </c>
      <c r="Q19" s="50" t="str">
        <f aca="false">IF(SWOT!M21="","",SWOT!M21)</f>
        <v/>
      </c>
      <c r="R19" s="50" t="str">
        <f aca="false">IF(Q19="","",RANK(Q19,$Q$6:$Q$37)+COUNTIF($Q$5:Q18,Q19))</f>
        <v/>
      </c>
    </row>
    <row r="20" customFormat="false" ht="21.75" hidden="false" customHeight="true" outlineLevel="0" collapsed="false">
      <c r="B20" s="27" t="n">
        <v>15</v>
      </c>
      <c r="C20" s="44" t="str">
        <f aca="false">IFERROR(INDEX($L$6:$L$37,MATCH($B20,$R$6:$R$37,0)),"")</f>
        <v/>
      </c>
      <c r="D20" s="48" t="str">
        <f aca="false">IFERROR(INDEX($M$6:$M$37,MATCH($B20,$R$6:$R$37,0)),"")</f>
        <v/>
      </c>
      <c r="E20" s="6" t="str">
        <f aca="false">IFERROR(INDEX($N$6:$N$37,MATCH($B20,$R$6:$R$37,0)),"")</f>
        <v/>
      </c>
      <c r="F20" s="49" t="str">
        <f aca="false">IFERROR(INDEX($O$6:$O$37,MATCH($B20,$R$6:$R$37,0)),"")</f>
        <v/>
      </c>
      <c r="G20" s="49" t="str">
        <f aca="false">IFERROR(INDEX($P$6:$P$37,MATCH($B20,$R$6:$R$37,0)),"")</f>
        <v/>
      </c>
      <c r="H20" s="29" t="str">
        <f aca="false">IFERROR(INDEX($Q$6:$Q$37,MATCH($B20,$R$6:$R$37,0)),"")</f>
        <v/>
      </c>
      <c r="I20" s="49" t="str">
        <f aca="false">IF(H20="","",IF(H20&gt;=15,"Alta",IF(H20&gt;=8,"Média","Baixa")))</f>
        <v/>
      </c>
      <c r="L20" s="50" t="s">
        <v>111</v>
      </c>
      <c r="M20" s="51" t="s">
        <v>157</v>
      </c>
      <c r="N20" s="51" t="str">
        <f aca="false">IF(SWOT!I22="","",SWOT!I22)</f>
        <v/>
      </c>
      <c r="O20" s="50" t="str">
        <f aca="false">IF(SWOT!K22="","",SWOT!K22)</f>
        <v/>
      </c>
      <c r="P20" s="50" t="str">
        <f aca="false">IF(SWOT!L22="","",SWOT!L22)</f>
        <v/>
      </c>
      <c r="Q20" s="50" t="str">
        <f aca="false">IF(SWOT!M22="","",SWOT!M22)</f>
        <v/>
      </c>
      <c r="R20" s="50" t="str">
        <f aca="false">IF(Q20="","",RANK(Q20,$Q$6:$Q$37)+COUNTIF($Q$5:Q19,Q20))</f>
        <v/>
      </c>
    </row>
    <row r="21" customFormat="false" ht="21.75" hidden="false" customHeight="true" outlineLevel="0" collapsed="false">
      <c r="B21" s="27" t="n">
        <v>16</v>
      </c>
      <c r="C21" s="44" t="str">
        <f aca="false">IFERROR(INDEX($L$6:$L$37,MATCH($B21,$R$6:$R$37,0)),"")</f>
        <v/>
      </c>
      <c r="D21" s="48" t="str">
        <f aca="false">IFERROR(INDEX($M$6:$M$37,MATCH($B21,$R$6:$R$37,0)),"")</f>
        <v/>
      </c>
      <c r="E21" s="6" t="str">
        <f aca="false">IFERROR(INDEX($N$6:$N$37,MATCH($B21,$R$6:$R$37,0)),"")</f>
        <v/>
      </c>
      <c r="F21" s="49" t="str">
        <f aca="false">IFERROR(INDEX($O$6:$O$37,MATCH($B21,$R$6:$R$37,0)),"")</f>
        <v/>
      </c>
      <c r="G21" s="49" t="str">
        <f aca="false">IFERROR(INDEX($P$6:$P$37,MATCH($B21,$R$6:$R$37,0)),"")</f>
        <v/>
      </c>
      <c r="H21" s="29" t="str">
        <f aca="false">IFERROR(INDEX($Q$6:$Q$37,MATCH($B21,$R$6:$R$37,0)),"")</f>
        <v/>
      </c>
      <c r="I21" s="49" t="str">
        <f aca="false">IF(H21="","",IF(H21&gt;=15,"Alta",IF(H21&gt;=8,"Média","Baixa")))</f>
        <v/>
      </c>
      <c r="L21" s="50" t="s">
        <v>113</v>
      </c>
      <c r="M21" s="51" t="s">
        <v>157</v>
      </c>
      <c r="N21" s="51" t="str">
        <f aca="false">IF(SWOT!I23="","",SWOT!I23)</f>
        <v/>
      </c>
      <c r="O21" s="50" t="str">
        <f aca="false">IF(SWOT!K23="","",SWOT!K23)</f>
        <v/>
      </c>
      <c r="P21" s="50" t="str">
        <f aca="false">IF(SWOT!L23="","",SWOT!L23)</f>
        <v/>
      </c>
      <c r="Q21" s="50" t="str">
        <f aca="false">IF(SWOT!M23="","",SWOT!M23)</f>
        <v/>
      </c>
      <c r="R21" s="50" t="str">
        <f aca="false">IF(Q21="","",RANK(Q21,$Q$6:$Q$37)+COUNTIF($Q$5:Q20,Q21))</f>
        <v/>
      </c>
    </row>
    <row r="22" customFormat="false" ht="21.75" hidden="false" customHeight="true" outlineLevel="0" collapsed="false">
      <c r="B22" s="27" t="n">
        <v>17</v>
      </c>
      <c r="C22" s="44" t="str">
        <f aca="false">IFERROR(INDEX($L$6:$L$37,MATCH($B22,$R$6:$R$37,0)),"")</f>
        <v/>
      </c>
      <c r="D22" s="48" t="str">
        <f aca="false">IFERROR(INDEX($M$6:$M$37,MATCH($B22,$R$6:$R$37,0)),"")</f>
        <v/>
      </c>
      <c r="E22" s="6" t="str">
        <f aca="false">IFERROR(INDEX($N$6:$N$37,MATCH($B22,$R$6:$R$37,0)),"")</f>
        <v/>
      </c>
      <c r="F22" s="49" t="str">
        <f aca="false">IFERROR(INDEX($O$6:$O$37,MATCH($B22,$R$6:$R$37,0)),"")</f>
        <v/>
      </c>
      <c r="G22" s="49" t="str">
        <f aca="false">IFERROR(INDEX($P$6:$P$37,MATCH($B22,$R$6:$R$37,0)),"")</f>
        <v/>
      </c>
      <c r="H22" s="29" t="str">
        <f aca="false">IFERROR(INDEX($Q$6:$Q$37,MATCH($B22,$R$6:$R$37,0)),"")</f>
        <v/>
      </c>
      <c r="I22" s="49" t="str">
        <f aca="false">IF(H22="","",IF(H22&gt;=15,"Alta",IF(H22&gt;=8,"Média","Baixa")))</f>
        <v/>
      </c>
      <c r="L22" s="50" t="s">
        <v>120</v>
      </c>
      <c r="M22" s="51" t="s">
        <v>158</v>
      </c>
      <c r="N22" s="51" t="str">
        <f aca="false">IF(SWOT!C30="","",SWOT!C30)</f>
        <v/>
      </c>
      <c r="O22" s="50" t="str">
        <f aca="false">IF(SWOT!E30="","",SWOT!E30)</f>
        <v/>
      </c>
      <c r="P22" s="50" t="str">
        <f aca="false">IF(SWOT!F30="","",SWOT!F30)</f>
        <v/>
      </c>
      <c r="Q22" s="50" t="str">
        <f aca="false">IF(SWOT!G30="","",SWOT!G30)</f>
        <v/>
      </c>
      <c r="R22" s="50" t="str">
        <f aca="false">IF(Q22="","",RANK(Q22,$Q$6:$Q$37)+COUNTIF($Q$5:Q21,Q22))</f>
        <v/>
      </c>
    </row>
    <row r="23" customFormat="false" ht="21.75" hidden="false" customHeight="true" outlineLevel="0" collapsed="false">
      <c r="B23" s="27" t="n">
        <v>18</v>
      </c>
      <c r="C23" s="44" t="str">
        <f aca="false">IFERROR(INDEX($L$6:$L$37,MATCH($B23,$R$6:$R$37,0)),"")</f>
        <v/>
      </c>
      <c r="D23" s="48" t="str">
        <f aca="false">IFERROR(INDEX($M$6:$M$37,MATCH($B23,$R$6:$R$37,0)),"")</f>
        <v/>
      </c>
      <c r="E23" s="6" t="str">
        <f aca="false">IFERROR(INDEX($N$6:$N$37,MATCH($B23,$R$6:$R$37,0)),"")</f>
        <v/>
      </c>
      <c r="F23" s="49" t="str">
        <f aca="false">IFERROR(INDEX($O$6:$O$37,MATCH($B23,$R$6:$R$37,0)),"")</f>
        <v/>
      </c>
      <c r="G23" s="49" t="str">
        <f aca="false">IFERROR(INDEX($P$6:$P$37,MATCH($B23,$R$6:$R$37,0)),"")</f>
        <v/>
      </c>
      <c r="H23" s="29" t="str">
        <f aca="false">IFERROR(INDEX($Q$6:$Q$37,MATCH($B23,$R$6:$R$37,0)),"")</f>
        <v/>
      </c>
      <c r="I23" s="49" t="str">
        <f aca="false">IF(H23="","",IF(H23&gt;=15,"Alta",IF(H23&gt;=8,"Média","Baixa")))</f>
        <v/>
      </c>
      <c r="L23" s="50" t="s">
        <v>122</v>
      </c>
      <c r="M23" s="51" t="s">
        <v>158</v>
      </c>
      <c r="N23" s="51" t="str">
        <f aca="false">IF(SWOT!C31="","",SWOT!C31)</f>
        <v/>
      </c>
      <c r="O23" s="50" t="str">
        <f aca="false">IF(SWOT!E31="","",SWOT!E31)</f>
        <v/>
      </c>
      <c r="P23" s="50" t="str">
        <f aca="false">IF(SWOT!F31="","",SWOT!F31)</f>
        <v/>
      </c>
      <c r="Q23" s="50" t="str">
        <f aca="false">IF(SWOT!G31="","",SWOT!G31)</f>
        <v/>
      </c>
      <c r="R23" s="50" t="str">
        <f aca="false">IF(Q23="","",RANK(Q23,$Q$6:$Q$37)+COUNTIF($Q$5:Q22,Q23))</f>
        <v/>
      </c>
    </row>
    <row r="24" customFormat="false" ht="21.75" hidden="false" customHeight="true" outlineLevel="0" collapsed="false">
      <c r="B24" s="27" t="n">
        <v>19</v>
      </c>
      <c r="C24" s="44" t="str">
        <f aca="false">IFERROR(INDEX($L$6:$L$37,MATCH($B24,$R$6:$R$37,0)),"")</f>
        <v/>
      </c>
      <c r="D24" s="48" t="str">
        <f aca="false">IFERROR(INDEX($M$6:$M$37,MATCH($B24,$R$6:$R$37,0)),"")</f>
        <v/>
      </c>
      <c r="E24" s="6" t="str">
        <f aca="false">IFERROR(INDEX($N$6:$N$37,MATCH($B24,$R$6:$R$37,0)),"")</f>
        <v/>
      </c>
      <c r="F24" s="49" t="str">
        <f aca="false">IFERROR(INDEX($O$6:$O$37,MATCH($B24,$R$6:$R$37,0)),"")</f>
        <v/>
      </c>
      <c r="G24" s="49" t="str">
        <f aca="false">IFERROR(INDEX($P$6:$P$37,MATCH($B24,$R$6:$R$37,0)),"")</f>
        <v/>
      </c>
      <c r="H24" s="29" t="str">
        <f aca="false">IFERROR(INDEX($Q$6:$Q$37,MATCH($B24,$R$6:$R$37,0)),"")</f>
        <v/>
      </c>
      <c r="I24" s="49" t="str">
        <f aca="false">IF(H24="","",IF(H24&gt;=15,"Alta",IF(H24&gt;=8,"Média","Baixa")))</f>
        <v/>
      </c>
      <c r="L24" s="50" t="s">
        <v>124</v>
      </c>
      <c r="M24" s="51" t="s">
        <v>158</v>
      </c>
      <c r="N24" s="51" t="str">
        <f aca="false">IF(SWOT!C32="","",SWOT!C32)</f>
        <v/>
      </c>
      <c r="O24" s="50" t="str">
        <f aca="false">IF(SWOT!E32="","",SWOT!E32)</f>
        <v/>
      </c>
      <c r="P24" s="50" t="str">
        <f aca="false">IF(SWOT!F32="","",SWOT!F32)</f>
        <v/>
      </c>
      <c r="Q24" s="50" t="str">
        <f aca="false">IF(SWOT!G32="","",SWOT!G32)</f>
        <v/>
      </c>
      <c r="R24" s="50" t="str">
        <f aca="false">IF(Q24="","",RANK(Q24,$Q$6:$Q$37)+COUNTIF($Q$5:Q23,Q24))</f>
        <v/>
      </c>
    </row>
    <row r="25" customFormat="false" ht="21.75" hidden="false" customHeight="true" outlineLevel="0" collapsed="false">
      <c r="B25" s="27" t="n">
        <v>20</v>
      </c>
      <c r="C25" s="44" t="str">
        <f aca="false">IFERROR(INDEX($L$6:$L$37,MATCH($B25,$R$6:$R$37,0)),"")</f>
        <v/>
      </c>
      <c r="D25" s="48" t="str">
        <f aca="false">IFERROR(INDEX($M$6:$M$37,MATCH($B25,$R$6:$R$37,0)),"")</f>
        <v/>
      </c>
      <c r="E25" s="6" t="str">
        <f aca="false">IFERROR(INDEX($N$6:$N$37,MATCH($B25,$R$6:$R$37,0)),"")</f>
        <v/>
      </c>
      <c r="F25" s="49" t="str">
        <f aca="false">IFERROR(INDEX($O$6:$O$37,MATCH($B25,$R$6:$R$37,0)),"")</f>
        <v/>
      </c>
      <c r="G25" s="49" t="str">
        <f aca="false">IFERROR(INDEX($P$6:$P$37,MATCH($B25,$R$6:$R$37,0)),"")</f>
        <v/>
      </c>
      <c r="H25" s="29" t="str">
        <f aca="false">IFERROR(INDEX($Q$6:$Q$37,MATCH($B25,$R$6:$R$37,0)),"")</f>
        <v/>
      </c>
      <c r="I25" s="49" t="str">
        <f aca="false">IF(H25="","",IF(H25&gt;=15,"Alta",IF(H25&gt;=8,"Média","Baixa")))</f>
        <v/>
      </c>
      <c r="L25" s="50" t="s">
        <v>126</v>
      </c>
      <c r="M25" s="51" t="s">
        <v>158</v>
      </c>
      <c r="N25" s="51" t="str">
        <f aca="false">IF(SWOT!C33="","",SWOT!C33)</f>
        <v/>
      </c>
      <c r="O25" s="50" t="str">
        <f aca="false">IF(SWOT!E33="","",SWOT!E33)</f>
        <v/>
      </c>
      <c r="P25" s="50" t="str">
        <f aca="false">IF(SWOT!F33="","",SWOT!F33)</f>
        <v/>
      </c>
      <c r="Q25" s="50" t="str">
        <f aca="false">IF(SWOT!G33="","",SWOT!G33)</f>
        <v/>
      </c>
      <c r="R25" s="50" t="str">
        <f aca="false">IF(Q25="","",RANK(Q25,$Q$6:$Q$37)+COUNTIF($Q$5:Q24,Q25))</f>
        <v/>
      </c>
    </row>
    <row r="26" customFormat="false" ht="21.75" hidden="false" customHeight="true" outlineLevel="0" collapsed="false">
      <c r="B26" s="27" t="n">
        <v>21</v>
      </c>
      <c r="C26" s="44" t="str">
        <f aca="false">IFERROR(INDEX($L$6:$L$37,MATCH($B26,$R$6:$R$37,0)),"")</f>
        <v/>
      </c>
      <c r="D26" s="48" t="str">
        <f aca="false">IFERROR(INDEX($M$6:$M$37,MATCH($B26,$R$6:$R$37,0)),"")</f>
        <v/>
      </c>
      <c r="E26" s="6" t="str">
        <f aca="false">IFERROR(INDEX($N$6:$N$37,MATCH($B26,$R$6:$R$37,0)),"")</f>
        <v/>
      </c>
      <c r="F26" s="49" t="str">
        <f aca="false">IFERROR(INDEX($O$6:$O$37,MATCH($B26,$R$6:$R$37,0)),"")</f>
        <v/>
      </c>
      <c r="G26" s="49" t="str">
        <f aca="false">IFERROR(INDEX($P$6:$P$37,MATCH($B26,$R$6:$R$37,0)),"")</f>
        <v/>
      </c>
      <c r="H26" s="29" t="str">
        <f aca="false">IFERROR(INDEX($Q$6:$Q$37,MATCH($B26,$R$6:$R$37,0)),"")</f>
        <v/>
      </c>
      <c r="I26" s="49" t="str">
        <f aca="false">IF(H26="","",IF(H26&gt;=15,"Alta",IF(H26&gt;=8,"Média","Baixa")))</f>
        <v/>
      </c>
      <c r="L26" s="50" t="s">
        <v>128</v>
      </c>
      <c r="M26" s="51" t="s">
        <v>158</v>
      </c>
      <c r="N26" s="51" t="str">
        <f aca="false">IF(SWOT!C34="","",SWOT!C34)</f>
        <v/>
      </c>
      <c r="O26" s="50" t="str">
        <f aca="false">IF(SWOT!E34="","",SWOT!E34)</f>
        <v/>
      </c>
      <c r="P26" s="50" t="str">
        <f aca="false">IF(SWOT!F34="","",SWOT!F34)</f>
        <v/>
      </c>
      <c r="Q26" s="50" t="str">
        <f aca="false">IF(SWOT!G34="","",SWOT!G34)</f>
        <v/>
      </c>
      <c r="R26" s="50" t="str">
        <f aca="false">IF(Q26="","",RANK(Q26,$Q$6:$Q$37)+COUNTIF($Q$5:Q25,Q26))</f>
        <v/>
      </c>
    </row>
    <row r="27" customFormat="false" ht="21.75" hidden="false" customHeight="true" outlineLevel="0" collapsed="false">
      <c r="B27" s="27" t="n">
        <v>22</v>
      </c>
      <c r="C27" s="44" t="str">
        <f aca="false">IFERROR(INDEX($L$6:$L$37,MATCH($B27,$R$6:$R$37,0)),"")</f>
        <v/>
      </c>
      <c r="D27" s="48" t="str">
        <f aca="false">IFERROR(INDEX($M$6:$M$37,MATCH($B27,$R$6:$R$37,0)),"")</f>
        <v/>
      </c>
      <c r="E27" s="6" t="str">
        <f aca="false">IFERROR(INDEX($N$6:$N$37,MATCH($B27,$R$6:$R$37,0)),"")</f>
        <v/>
      </c>
      <c r="F27" s="49" t="str">
        <f aca="false">IFERROR(INDEX($O$6:$O$37,MATCH($B27,$R$6:$R$37,0)),"")</f>
        <v/>
      </c>
      <c r="G27" s="49" t="str">
        <f aca="false">IFERROR(INDEX($P$6:$P$37,MATCH($B27,$R$6:$R$37,0)),"")</f>
        <v/>
      </c>
      <c r="H27" s="29" t="str">
        <f aca="false">IFERROR(INDEX($Q$6:$Q$37,MATCH($B27,$R$6:$R$37,0)),"")</f>
        <v/>
      </c>
      <c r="I27" s="49" t="str">
        <f aca="false">IF(H27="","",IF(H27&gt;=15,"Alta",IF(H27&gt;=8,"Média","Baixa")))</f>
        <v/>
      </c>
      <c r="L27" s="50" t="s">
        <v>130</v>
      </c>
      <c r="M27" s="51" t="s">
        <v>158</v>
      </c>
      <c r="N27" s="51" t="str">
        <f aca="false">IF(SWOT!C35="","",SWOT!C35)</f>
        <v/>
      </c>
      <c r="O27" s="50" t="str">
        <f aca="false">IF(SWOT!E35="","",SWOT!E35)</f>
        <v/>
      </c>
      <c r="P27" s="50" t="str">
        <f aca="false">IF(SWOT!F35="","",SWOT!F35)</f>
        <v/>
      </c>
      <c r="Q27" s="50" t="str">
        <f aca="false">IF(SWOT!G35="","",SWOT!G35)</f>
        <v/>
      </c>
      <c r="R27" s="50" t="str">
        <f aca="false">IF(Q27="","",RANK(Q27,$Q$6:$Q$37)+COUNTIF($Q$5:Q26,Q27))</f>
        <v/>
      </c>
    </row>
    <row r="28" customFormat="false" ht="21.75" hidden="false" customHeight="true" outlineLevel="0" collapsed="false">
      <c r="B28" s="27" t="n">
        <v>23</v>
      </c>
      <c r="C28" s="44" t="str">
        <f aca="false">IFERROR(INDEX($L$6:$L$37,MATCH($B28,$R$6:$R$37,0)),"")</f>
        <v/>
      </c>
      <c r="D28" s="48" t="str">
        <f aca="false">IFERROR(INDEX($M$6:$M$37,MATCH($B28,$R$6:$R$37,0)),"")</f>
        <v/>
      </c>
      <c r="E28" s="6" t="str">
        <f aca="false">IFERROR(INDEX($N$6:$N$37,MATCH($B28,$R$6:$R$37,0)),"")</f>
        <v/>
      </c>
      <c r="F28" s="49" t="str">
        <f aca="false">IFERROR(INDEX($O$6:$O$37,MATCH($B28,$R$6:$R$37,0)),"")</f>
        <v/>
      </c>
      <c r="G28" s="49" t="str">
        <f aca="false">IFERROR(INDEX($P$6:$P$37,MATCH($B28,$R$6:$R$37,0)),"")</f>
        <v/>
      </c>
      <c r="H28" s="29" t="str">
        <f aca="false">IFERROR(INDEX($Q$6:$Q$37,MATCH($B28,$R$6:$R$37,0)),"")</f>
        <v/>
      </c>
      <c r="I28" s="49" t="str">
        <f aca="false">IF(H28="","",IF(H28&gt;=15,"Alta",IF(H28&gt;=8,"Média","Baixa")))</f>
        <v/>
      </c>
      <c r="L28" s="50" t="s">
        <v>132</v>
      </c>
      <c r="M28" s="51" t="s">
        <v>158</v>
      </c>
      <c r="N28" s="51" t="str">
        <f aca="false">IF(SWOT!C36="","",SWOT!C36)</f>
        <v/>
      </c>
      <c r="O28" s="50" t="str">
        <f aca="false">IF(SWOT!E36="","",SWOT!E36)</f>
        <v/>
      </c>
      <c r="P28" s="50" t="str">
        <f aca="false">IF(SWOT!F36="","",SWOT!F36)</f>
        <v/>
      </c>
      <c r="Q28" s="50" t="str">
        <f aca="false">IF(SWOT!G36="","",SWOT!G36)</f>
        <v/>
      </c>
      <c r="R28" s="50" t="str">
        <f aca="false">IF(Q28="","",RANK(Q28,$Q$6:$Q$37)+COUNTIF($Q$5:Q27,Q28))</f>
        <v/>
      </c>
    </row>
    <row r="29" customFormat="false" ht="21.75" hidden="false" customHeight="true" outlineLevel="0" collapsed="false">
      <c r="B29" s="27" t="n">
        <v>24</v>
      </c>
      <c r="C29" s="44" t="str">
        <f aca="false">IFERROR(INDEX($L$6:$L$37,MATCH($B29,$R$6:$R$37,0)),"")</f>
        <v/>
      </c>
      <c r="D29" s="48" t="str">
        <f aca="false">IFERROR(INDEX($M$6:$M$37,MATCH($B29,$R$6:$R$37,0)),"")</f>
        <v/>
      </c>
      <c r="E29" s="6" t="str">
        <f aca="false">IFERROR(INDEX($N$6:$N$37,MATCH($B29,$R$6:$R$37,0)),"")</f>
        <v/>
      </c>
      <c r="F29" s="49" t="str">
        <f aca="false">IFERROR(INDEX($O$6:$O$37,MATCH($B29,$R$6:$R$37,0)),"")</f>
        <v/>
      </c>
      <c r="G29" s="49" t="str">
        <f aca="false">IFERROR(INDEX($P$6:$P$37,MATCH($B29,$R$6:$R$37,0)),"")</f>
        <v/>
      </c>
      <c r="H29" s="29" t="str">
        <f aca="false">IFERROR(INDEX($Q$6:$Q$37,MATCH($B29,$R$6:$R$37,0)),"")</f>
        <v/>
      </c>
      <c r="I29" s="49" t="str">
        <f aca="false">IF(H29="","",IF(H29&gt;=15,"Alta",IF(H29&gt;=8,"Média","Baixa")))</f>
        <v/>
      </c>
      <c r="L29" s="50" t="s">
        <v>134</v>
      </c>
      <c r="M29" s="51" t="s">
        <v>158</v>
      </c>
      <c r="N29" s="51" t="str">
        <f aca="false">IF(SWOT!C37="","",SWOT!C37)</f>
        <v/>
      </c>
      <c r="O29" s="50" t="str">
        <f aca="false">IF(SWOT!E37="","",SWOT!E37)</f>
        <v/>
      </c>
      <c r="P29" s="50" t="str">
        <f aca="false">IF(SWOT!F37="","",SWOT!F37)</f>
        <v/>
      </c>
      <c r="Q29" s="50" t="str">
        <f aca="false">IF(SWOT!G37="","",SWOT!G37)</f>
        <v/>
      </c>
      <c r="R29" s="50" t="str">
        <f aca="false">IF(Q29="","",RANK(Q29,$Q$6:$Q$37)+COUNTIF($Q$5:Q28,Q29))</f>
        <v/>
      </c>
    </row>
    <row r="30" customFormat="false" ht="21.75" hidden="false" customHeight="true" outlineLevel="0" collapsed="false">
      <c r="B30" s="27" t="n">
        <v>25</v>
      </c>
      <c r="C30" s="44" t="str">
        <f aca="false">IFERROR(INDEX($L$6:$L$37,MATCH($B30,$R$6:$R$37,0)),"")</f>
        <v/>
      </c>
      <c r="D30" s="48" t="str">
        <f aca="false">IFERROR(INDEX($M$6:$M$37,MATCH($B30,$R$6:$R$37,0)),"")</f>
        <v/>
      </c>
      <c r="E30" s="6" t="str">
        <f aca="false">IFERROR(INDEX($N$6:$N$37,MATCH($B30,$R$6:$R$37,0)),"")</f>
        <v/>
      </c>
      <c r="F30" s="49" t="str">
        <f aca="false">IFERROR(INDEX($O$6:$O$37,MATCH($B30,$R$6:$R$37,0)),"")</f>
        <v/>
      </c>
      <c r="G30" s="49" t="str">
        <f aca="false">IFERROR(INDEX($P$6:$P$37,MATCH($B30,$R$6:$R$37,0)),"")</f>
        <v/>
      </c>
      <c r="H30" s="29" t="str">
        <f aca="false">IFERROR(INDEX($Q$6:$Q$37,MATCH($B30,$R$6:$R$37,0)),"")</f>
        <v/>
      </c>
      <c r="I30" s="49" t="str">
        <f aca="false">IF(H30="","",IF(H30&gt;=15,"Alta",IF(H30&gt;=8,"Média","Baixa")))</f>
        <v/>
      </c>
      <c r="L30" s="50" t="s">
        <v>121</v>
      </c>
      <c r="M30" s="51" t="s">
        <v>159</v>
      </c>
      <c r="N30" s="51" t="str">
        <f aca="false">IF(SWOT!I30="","",SWOT!I30)</f>
        <v/>
      </c>
      <c r="O30" s="50" t="str">
        <f aca="false">IF(SWOT!K30="","",SWOT!K30)</f>
        <v/>
      </c>
      <c r="P30" s="50" t="str">
        <f aca="false">IF(SWOT!L30="","",SWOT!L30)</f>
        <v/>
      </c>
      <c r="Q30" s="50" t="str">
        <f aca="false">IF(SWOT!M30="","",SWOT!M30)</f>
        <v/>
      </c>
      <c r="R30" s="50" t="str">
        <f aca="false">IF(Q30="","",RANK(Q30,$Q$6:$Q$37)+COUNTIF($Q$5:Q29,Q30))</f>
        <v/>
      </c>
    </row>
    <row r="31" customFormat="false" ht="21.75" hidden="false" customHeight="true" outlineLevel="0" collapsed="false">
      <c r="B31" s="27" t="n">
        <v>26</v>
      </c>
      <c r="C31" s="44" t="str">
        <f aca="false">IFERROR(INDEX($L$6:$L$37,MATCH($B31,$R$6:$R$37,0)),"")</f>
        <v/>
      </c>
      <c r="D31" s="48" t="str">
        <f aca="false">IFERROR(INDEX($M$6:$M$37,MATCH($B31,$R$6:$R$37,0)),"")</f>
        <v/>
      </c>
      <c r="E31" s="6" t="str">
        <f aca="false">IFERROR(INDEX($N$6:$N$37,MATCH($B31,$R$6:$R$37,0)),"")</f>
        <v/>
      </c>
      <c r="F31" s="49" t="str">
        <f aca="false">IFERROR(INDEX($O$6:$O$37,MATCH($B31,$R$6:$R$37,0)),"")</f>
        <v/>
      </c>
      <c r="G31" s="49" t="str">
        <f aca="false">IFERROR(INDEX($P$6:$P$37,MATCH($B31,$R$6:$R$37,0)),"")</f>
        <v/>
      </c>
      <c r="H31" s="29" t="str">
        <f aca="false">IFERROR(INDEX($Q$6:$Q$37,MATCH($B31,$R$6:$R$37,0)),"")</f>
        <v/>
      </c>
      <c r="I31" s="49" t="str">
        <f aca="false">IF(H31="","",IF(H31&gt;=15,"Alta",IF(H31&gt;=8,"Média","Baixa")))</f>
        <v/>
      </c>
      <c r="L31" s="50" t="s">
        <v>123</v>
      </c>
      <c r="M31" s="51" t="s">
        <v>159</v>
      </c>
      <c r="N31" s="51" t="str">
        <f aca="false">IF(SWOT!I31="","",SWOT!I31)</f>
        <v/>
      </c>
      <c r="O31" s="50" t="str">
        <f aca="false">IF(SWOT!K31="","",SWOT!K31)</f>
        <v/>
      </c>
      <c r="P31" s="50" t="str">
        <f aca="false">IF(SWOT!L31="","",SWOT!L31)</f>
        <v/>
      </c>
      <c r="Q31" s="50" t="str">
        <f aca="false">IF(SWOT!M31="","",SWOT!M31)</f>
        <v/>
      </c>
      <c r="R31" s="50" t="str">
        <f aca="false">IF(Q31="","",RANK(Q31,$Q$6:$Q$37)+COUNTIF($Q$5:Q30,Q31))</f>
        <v/>
      </c>
    </row>
    <row r="32" customFormat="false" ht="21.75" hidden="false" customHeight="true" outlineLevel="0" collapsed="false">
      <c r="B32" s="27" t="n">
        <v>27</v>
      </c>
      <c r="C32" s="44" t="str">
        <f aca="false">IFERROR(INDEX($L$6:$L$37,MATCH($B32,$R$6:$R$37,0)),"")</f>
        <v/>
      </c>
      <c r="D32" s="48" t="str">
        <f aca="false">IFERROR(INDEX($M$6:$M$37,MATCH($B32,$R$6:$R$37,0)),"")</f>
        <v/>
      </c>
      <c r="E32" s="6" t="str">
        <f aca="false">IFERROR(INDEX($N$6:$N$37,MATCH($B32,$R$6:$R$37,0)),"")</f>
        <v/>
      </c>
      <c r="F32" s="49" t="str">
        <f aca="false">IFERROR(INDEX($O$6:$O$37,MATCH($B32,$R$6:$R$37,0)),"")</f>
        <v/>
      </c>
      <c r="G32" s="49" t="str">
        <f aca="false">IFERROR(INDEX($P$6:$P$37,MATCH($B32,$R$6:$R$37,0)),"")</f>
        <v/>
      </c>
      <c r="H32" s="29" t="str">
        <f aca="false">IFERROR(INDEX($Q$6:$Q$37,MATCH($B32,$R$6:$R$37,0)),"")</f>
        <v/>
      </c>
      <c r="I32" s="49" t="str">
        <f aca="false">IF(H32="","",IF(H32&gt;=15,"Alta",IF(H32&gt;=8,"Média","Baixa")))</f>
        <v/>
      </c>
      <c r="L32" s="50" t="s">
        <v>125</v>
      </c>
      <c r="M32" s="51" t="s">
        <v>159</v>
      </c>
      <c r="N32" s="51" t="str">
        <f aca="false">IF(SWOT!I32="","",SWOT!I32)</f>
        <v/>
      </c>
      <c r="O32" s="50" t="str">
        <f aca="false">IF(SWOT!K32="","",SWOT!K32)</f>
        <v/>
      </c>
      <c r="P32" s="50" t="str">
        <f aca="false">IF(SWOT!L32="","",SWOT!L32)</f>
        <v/>
      </c>
      <c r="Q32" s="50" t="str">
        <f aca="false">IF(SWOT!M32="","",SWOT!M32)</f>
        <v/>
      </c>
      <c r="R32" s="50" t="str">
        <f aca="false">IF(Q32="","",RANK(Q32,$Q$6:$Q$37)+COUNTIF($Q$5:Q31,Q32))</f>
        <v/>
      </c>
    </row>
    <row r="33" customFormat="false" ht="21.75" hidden="false" customHeight="true" outlineLevel="0" collapsed="false">
      <c r="B33" s="27" t="n">
        <v>28</v>
      </c>
      <c r="C33" s="44" t="str">
        <f aca="false">IFERROR(INDEX($L$6:$L$37,MATCH($B33,$R$6:$R$37,0)),"")</f>
        <v/>
      </c>
      <c r="D33" s="48" t="str">
        <f aca="false">IFERROR(INDEX($M$6:$M$37,MATCH($B33,$R$6:$R$37,0)),"")</f>
        <v/>
      </c>
      <c r="E33" s="6" t="str">
        <f aca="false">IFERROR(INDEX($N$6:$N$37,MATCH($B33,$R$6:$R$37,0)),"")</f>
        <v/>
      </c>
      <c r="F33" s="49" t="str">
        <f aca="false">IFERROR(INDEX($O$6:$O$37,MATCH($B33,$R$6:$R$37,0)),"")</f>
        <v/>
      </c>
      <c r="G33" s="49" t="str">
        <f aca="false">IFERROR(INDEX($P$6:$P$37,MATCH($B33,$R$6:$R$37,0)),"")</f>
        <v/>
      </c>
      <c r="H33" s="29" t="str">
        <f aca="false">IFERROR(INDEX($Q$6:$Q$37,MATCH($B33,$R$6:$R$37,0)),"")</f>
        <v/>
      </c>
      <c r="I33" s="49" t="str">
        <f aca="false">IF(H33="","",IF(H33&gt;=15,"Alta",IF(H33&gt;=8,"Média","Baixa")))</f>
        <v/>
      </c>
      <c r="L33" s="50" t="s">
        <v>127</v>
      </c>
      <c r="M33" s="51" t="s">
        <v>159</v>
      </c>
      <c r="N33" s="51" t="str">
        <f aca="false">IF(SWOT!I33="","",SWOT!I33)</f>
        <v/>
      </c>
      <c r="O33" s="50" t="str">
        <f aca="false">IF(SWOT!K33="","",SWOT!K33)</f>
        <v/>
      </c>
      <c r="P33" s="50" t="str">
        <f aca="false">IF(SWOT!L33="","",SWOT!L33)</f>
        <v/>
      </c>
      <c r="Q33" s="50" t="str">
        <f aca="false">IF(SWOT!M33="","",SWOT!M33)</f>
        <v/>
      </c>
      <c r="R33" s="50" t="str">
        <f aca="false">IF(Q33="","",RANK(Q33,$Q$6:$Q$37)+COUNTIF($Q$5:Q32,Q33))</f>
        <v/>
      </c>
    </row>
    <row r="34" customFormat="false" ht="21.75" hidden="false" customHeight="true" outlineLevel="0" collapsed="false">
      <c r="B34" s="27" t="n">
        <v>29</v>
      </c>
      <c r="C34" s="44" t="str">
        <f aca="false">IFERROR(INDEX($L$6:$L$37,MATCH($B34,$R$6:$R$37,0)),"")</f>
        <v/>
      </c>
      <c r="D34" s="48" t="str">
        <f aca="false">IFERROR(INDEX($M$6:$M$37,MATCH($B34,$R$6:$R$37,0)),"")</f>
        <v/>
      </c>
      <c r="E34" s="6" t="str">
        <f aca="false">IFERROR(INDEX($N$6:$N$37,MATCH($B34,$R$6:$R$37,0)),"")</f>
        <v/>
      </c>
      <c r="F34" s="49" t="str">
        <f aca="false">IFERROR(INDEX($O$6:$O$37,MATCH($B34,$R$6:$R$37,0)),"")</f>
        <v/>
      </c>
      <c r="G34" s="49" t="str">
        <f aca="false">IFERROR(INDEX($P$6:$P$37,MATCH($B34,$R$6:$R$37,0)),"")</f>
        <v/>
      </c>
      <c r="H34" s="29" t="str">
        <f aca="false">IFERROR(INDEX($Q$6:$Q$37,MATCH($B34,$R$6:$R$37,0)),"")</f>
        <v/>
      </c>
      <c r="I34" s="49" t="str">
        <f aca="false">IF(H34="","",IF(H34&gt;=15,"Alta",IF(H34&gt;=8,"Média","Baixa")))</f>
        <v/>
      </c>
      <c r="L34" s="50" t="s">
        <v>129</v>
      </c>
      <c r="M34" s="51" t="s">
        <v>159</v>
      </c>
      <c r="N34" s="51" t="str">
        <f aca="false">IF(SWOT!I34="","",SWOT!I34)</f>
        <v/>
      </c>
      <c r="O34" s="50" t="str">
        <f aca="false">IF(SWOT!K34="","",SWOT!K34)</f>
        <v/>
      </c>
      <c r="P34" s="50" t="str">
        <f aca="false">IF(SWOT!L34="","",SWOT!L34)</f>
        <v/>
      </c>
      <c r="Q34" s="50" t="str">
        <f aca="false">IF(SWOT!M34="","",SWOT!M34)</f>
        <v/>
      </c>
      <c r="R34" s="50" t="str">
        <f aca="false">IF(Q34="","",RANK(Q34,$Q$6:$Q$37)+COUNTIF($Q$5:Q33,Q34))</f>
        <v/>
      </c>
    </row>
    <row r="35" customFormat="false" ht="21.75" hidden="false" customHeight="true" outlineLevel="0" collapsed="false">
      <c r="B35" s="27" t="n">
        <v>30</v>
      </c>
      <c r="C35" s="44" t="str">
        <f aca="false">IFERROR(INDEX($L$6:$L$37,MATCH($B35,$R$6:$R$37,0)),"")</f>
        <v/>
      </c>
      <c r="D35" s="48" t="str">
        <f aca="false">IFERROR(INDEX($M$6:$M$37,MATCH($B35,$R$6:$R$37,0)),"")</f>
        <v/>
      </c>
      <c r="E35" s="6" t="str">
        <f aca="false">IFERROR(INDEX($N$6:$N$37,MATCH($B35,$R$6:$R$37,0)),"")</f>
        <v/>
      </c>
      <c r="F35" s="49" t="str">
        <f aca="false">IFERROR(INDEX($O$6:$O$37,MATCH($B35,$R$6:$R$37,0)),"")</f>
        <v/>
      </c>
      <c r="G35" s="49" t="str">
        <f aca="false">IFERROR(INDEX($P$6:$P$37,MATCH($B35,$R$6:$R$37,0)),"")</f>
        <v/>
      </c>
      <c r="H35" s="29" t="str">
        <f aca="false">IFERROR(INDEX($Q$6:$Q$37,MATCH($B35,$R$6:$R$37,0)),"")</f>
        <v/>
      </c>
      <c r="I35" s="49" t="str">
        <f aca="false">IF(H35="","",IF(H35&gt;=15,"Alta",IF(H35&gt;=8,"Média","Baixa")))</f>
        <v/>
      </c>
      <c r="L35" s="50" t="s">
        <v>131</v>
      </c>
      <c r="M35" s="51" t="s">
        <v>159</v>
      </c>
      <c r="N35" s="51" t="str">
        <f aca="false">IF(SWOT!I35="","",SWOT!I35)</f>
        <v/>
      </c>
      <c r="O35" s="50" t="str">
        <f aca="false">IF(SWOT!K35="","",SWOT!K35)</f>
        <v/>
      </c>
      <c r="P35" s="50" t="str">
        <f aca="false">IF(SWOT!L35="","",SWOT!L35)</f>
        <v/>
      </c>
      <c r="Q35" s="50" t="str">
        <f aca="false">IF(SWOT!M35="","",SWOT!M35)</f>
        <v/>
      </c>
      <c r="R35" s="50" t="str">
        <f aca="false">IF(Q35="","",RANK(Q35,$Q$6:$Q$37)+COUNTIF($Q$5:Q34,Q35))</f>
        <v/>
      </c>
    </row>
    <row r="36" customFormat="false" ht="21.75" hidden="false" customHeight="true" outlineLevel="0" collapsed="false">
      <c r="B36" s="27" t="n">
        <v>31</v>
      </c>
      <c r="C36" s="44" t="str">
        <f aca="false">IFERROR(INDEX($L$6:$L$37,MATCH($B36,$R$6:$R$37,0)),"")</f>
        <v/>
      </c>
      <c r="D36" s="48" t="str">
        <f aca="false">IFERROR(INDEX($M$6:$M$37,MATCH($B36,$R$6:$R$37,0)),"")</f>
        <v/>
      </c>
      <c r="E36" s="6" t="str">
        <f aca="false">IFERROR(INDEX($N$6:$N$37,MATCH($B36,$R$6:$R$37,0)),"")</f>
        <v/>
      </c>
      <c r="F36" s="49" t="str">
        <f aca="false">IFERROR(INDEX($O$6:$O$37,MATCH($B36,$R$6:$R$37,0)),"")</f>
        <v/>
      </c>
      <c r="G36" s="49" t="str">
        <f aca="false">IFERROR(INDEX($P$6:$P$37,MATCH($B36,$R$6:$R$37,0)),"")</f>
        <v/>
      </c>
      <c r="H36" s="29" t="str">
        <f aca="false">IFERROR(INDEX($Q$6:$Q$37,MATCH($B36,$R$6:$R$37,0)),"")</f>
        <v/>
      </c>
      <c r="I36" s="49" t="str">
        <f aca="false">IF(H36="","",IF(H36&gt;=15,"Alta",IF(H36&gt;=8,"Média","Baixa")))</f>
        <v/>
      </c>
      <c r="L36" s="50" t="s">
        <v>133</v>
      </c>
      <c r="M36" s="51" t="s">
        <v>159</v>
      </c>
      <c r="N36" s="51" t="str">
        <f aca="false">IF(SWOT!I36="","",SWOT!I36)</f>
        <v/>
      </c>
      <c r="O36" s="50" t="str">
        <f aca="false">IF(SWOT!K36="","",SWOT!K36)</f>
        <v/>
      </c>
      <c r="P36" s="50" t="str">
        <f aca="false">IF(SWOT!L36="","",SWOT!L36)</f>
        <v/>
      </c>
      <c r="Q36" s="50" t="str">
        <f aca="false">IF(SWOT!M36="","",SWOT!M36)</f>
        <v/>
      </c>
      <c r="R36" s="50" t="str">
        <f aca="false">IF(Q36="","",RANK(Q36,$Q$6:$Q$37)+COUNTIF($Q$5:Q35,Q36))</f>
        <v/>
      </c>
    </row>
    <row r="37" customFormat="false" ht="21.75" hidden="false" customHeight="true" outlineLevel="0" collapsed="false">
      <c r="B37" s="27" t="n">
        <v>32</v>
      </c>
      <c r="C37" s="44" t="str">
        <f aca="false">IFERROR(INDEX($L$6:$L$37,MATCH($B37,$R$6:$R$37,0)),"")</f>
        <v/>
      </c>
      <c r="D37" s="48" t="str">
        <f aca="false">IFERROR(INDEX($M$6:$M$37,MATCH($B37,$R$6:$R$37,0)),"")</f>
        <v/>
      </c>
      <c r="E37" s="6" t="str">
        <f aca="false">IFERROR(INDEX($N$6:$N$37,MATCH($B37,$R$6:$R$37,0)),"")</f>
        <v/>
      </c>
      <c r="F37" s="49" t="str">
        <f aca="false">IFERROR(INDEX($O$6:$O$37,MATCH($B37,$R$6:$R$37,0)),"")</f>
        <v/>
      </c>
      <c r="G37" s="49" t="str">
        <f aca="false">IFERROR(INDEX($P$6:$P$37,MATCH($B37,$R$6:$R$37,0)),"")</f>
        <v/>
      </c>
      <c r="H37" s="29" t="str">
        <f aca="false">IFERROR(INDEX($Q$6:$Q$37,MATCH($B37,$R$6:$R$37,0)),"")</f>
        <v/>
      </c>
      <c r="I37" s="49" t="str">
        <f aca="false">IF(H37="","",IF(H37&gt;=15,"Alta",IF(H37&gt;=8,"Média","Baixa")))</f>
        <v/>
      </c>
      <c r="L37" s="50" t="s">
        <v>135</v>
      </c>
      <c r="M37" s="51" t="s">
        <v>159</v>
      </c>
      <c r="N37" s="51" t="str">
        <f aca="false">IF(SWOT!I37="","",SWOT!I37)</f>
        <v/>
      </c>
      <c r="O37" s="50" t="str">
        <f aca="false">IF(SWOT!K37="","",SWOT!K37)</f>
        <v/>
      </c>
      <c r="P37" s="50" t="str">
        <f aca="false">IF(SWOT!L37="","",SWOT!L37)</f>
        <v/>
      </c>
      <c r="Q37" s="50" t="str">
        <f aca="false">IF(SWOT!M37="","",SWOT!M37)</f>
        <v/>
      </c>
      <c r="R37" s="50" t="str">
        <f aca="false">IF(Q37="","",RANK(Q37,$Q$6:$Q$37)+COUNTIF($Q$5:Q36,Q37))</f>
        <v/>
      </c>
    </row>
    <row r="39" customFormat="false" ht="21.75" hidden="false" customHeight="true" outlineLevel="0" collapsed="false">
      <c r="B39" s="38" t="s">
        <v>136</v>
      </c>
      <c r="C39" s="38"/>
      <c r="D39" s="38"/>
      <c r="E39" s="38"/>
      <c r="F39" s="38"/>
      <c r="G39" s="38"/>
      <c r="H39" s="38"/>
      <c r="I39" s="38"/>
    </row>
    <row r="40" customFormat="false" ht="19.5" hidden="false" customHeight="true" outlineLevel="0" collapsed="false">
      <c r="B40" s="39" t="s">
        <v>160</v>
      </c>
      <c r="C40" s="39"/>
      <c r="D40" s="39"/>
      <c r="E40" s="39"/>
      <c r="F40" s="44" t="n">
        <f aca="false">COUNT(H6:H37)</f>
        <v>0</v>
      </c>
      <c r="G40" s="44"/>
    </row>
    <row r="41" customFormat="false" ht="19.5" hidden="false" customHeight="true" outlineLevel="0" collapsed="false">
      <c r="B41" s="39" t="s">
        <v>161</v>
      </c>
      <c r="C41" s="39"/>
      <c r="D41" s="39"/>
      <c r="E41" s="39"/>
      <c r="F41" s="44" t="n">
        <f aca="false">COUNTIF(I6:I37,"Alta")</f>
        <v>0</v>
      </c>
      <c r="G41" s="44"/>
    </row>
    <row r="42" customFormat="false" ht="19.5" hidden="false" customHeight="true" outlineLevel="0" collapsed="false">
      <c r="B42" s="39" t="s">
        <v>162</v>
      </c>
      <c r="C42" s="39"/>
      <c r="D42" s="39"/>
      <c r="E42" s="39"/>
      <c r="F42" s="44" t="n">
        <f aca="false">COUNTIF(I6:I37,"Média")</f>
        <v>0</v>
      </c>
      <c r="G42" s="44"/>
    </row>
    <row r="43" customFormat="false" ht="19.5" hidden="false" customHeight="true" outlineLevel="0" collapsed="false">
      <c r="B43" s="39" t="s">
        <v>163</v>
      </c>
      <c r="C43" s="39"/>
      <c r="D43" s="39"/>
      <c r="E43" s="39"/>
      <c r="F43" s="44" t="n">
        <f aca="false">COUNTIF(I6:I37,"Baixa")</f>
        <v>0</v>
      </c>
      <c r="G43" s="44"/>
    </row>
    <row r="45" customFormat="false" ht="21.75" hidden="false" customHeight="true" outlineLevel="0" collapsed="false">
      <c r="B45" s="38" t="s">
        <v>164</v>
      </c>
      <c r="C45" s="38"/>
      <c r="D45" s="38"/>
      <c r="E45" s="38"/>
      <c r="F45" s="38"/>
      <c r="G45" s="38"/>
      <c r="H45" s="38"/>
      <c r="I45" s="38"/>
    </row>
    <row r="46" customFormat="false" ht="21.75" hidden="false" customHeight="true" outlineLevel="0" collapsed="false">
      <c r="B46" s="29" t="s">
        <v>137</v>
      </c>
      <c r="C46" s="29"/>
      <c r="D46" s="29"/>
      <c r="E46" s="29" t="s">
        <v>165</v>
      </c>
      <c r="F46" s="29" t="s">
        <v>166</v>
      </c>
      <c r="G46" s="29" t="s">
        <v>29</v>
      </c>
      <c r="H46" s="44" t="s">
        <v>167</v>
      </c>
      <c r="I46" s="44"/>
    </row>
    <row r="47" customFormat="false" ht="21.75" hidden="false" customHeight="true" outlineLevel="0" collapsed="false">
      <c r="B47" s="52" t="s">
        <v>138</v>
      </c>
      <c r="C47" s="52"/>
      <c r="D47" s="52"/>
      <c r="E47" s="9" t="s">
        <v>168</v>
      </c>
      <c r="F47" s="29" t="n">
        <f aca="false">SWOT!E41</f>
        <v>0</v>
      </c>
      <c r="G47" s="41" t="n">
        <f aca="false">SWOT!E42</f>
        <v>0</v>
      </c>
      <c r="H47" s="53" t="n">
        <f aca="false">IF(SUM($G$47:$G$50)=0,0,G47/SUM($G$47:$G$50))</f>
        <v>0</v>
      </c>
      <c r="I47" s="53"/>
    </row>
    <row r="48" customFormat="false" ht="21.75" hidden="false" customHeight="true" outlineLevel="0" collapsed="false">
      <c r="B48" s="54" t="s">
        <v>139</v>
      </c>
      <c r="C48" s="54"/>
      <c r="D48" s="54"/>
      <c r="E48" s="11" t="s">
        <v>169</v>
      </c>
      <c r="F48" s="29" t="n">
        <f aca="false">SWOT!H41</f>
        <v>0</v>
      </c>
      <c r="G48" s="41" t="n">
        <f aca="false">SWOT!H42</f>
        <v>0</v>
      </c>
      <c r="H48" s="53" t="n">
        <f aca="false">IF(SUM($G$47:$G$50)=0,0,G48/SUM($G$47:$G$50))</f>
        <v>0</v>
      </c>
      <c r="I48" s="53"/>
    </row>
    <row r="49" customFormat="false" ht="21.75" hidden="false" customHeight="true" outlineLevel="0" collapsed="false">
      <c r="B49" s="55" t="s">
        <v>140</v>
      </c>
      <c r="C49" s="55"/>
      <c r="D49" s="55"/>
      <c r="E49" s="13" t="s">
        <v>170</v>
      </c>
      <c r="F49" s="29" t="n">
        <f aca="false">SWOT!J41</f>
        <v>0</v>
      </c>
      <c r="G49" s="41" t="n">
        <f aca="false">SWOT!J42</f>
        <v>0</v>
      </c>
      <c r="H49" s="53" t="n">
        <f aca="false">IF(SUM($G$47:$G$50)=0,0,G49/SUM($G$47:$G$50))</f>
        <v>0</v>
      </c>
      <c r="I49" s="53"/>
    </row>
    <row r="50" customFormat="false" ht="21.75" hidden="false" customHeight="true" outlineLevel="0" collapsed="false">
      <c r="B50" s="56" t="s">
        <v>141</v>
      </c>
      <c r="C50" s="56"/>
      <c r="D50" s="56"/>
      <c r="E50" s="15" t="s">
        <v>171</v>
      </c>
      <c r="F50" s="29" t="n">
        <f aca="false">SWOT!K41</f>
        <v>0</v>
      </c>
      <c r="G50" s="41" t="n">
        <f aca="false">SWOT!K42</f>
        <v>0</v>
      </c>
      <c r="H50" s="53" t="n">
        <f aca="false">IF(SUM($G$47:$G$50)=0,0,G50/SUM($G$47:$G$50))</f>
        <v>0</v>
      </c>
      <c r="I50" s="53"/>
    </row>
    <row r="52" customFormat="false" ht="21.75" hidden="false" customHeight="true" outlineLevel="0" collapsed="false">
      <c r="B52" s="38" t="s">
        <v>172</v>
      </c>
      <c r="C52" s="38"/>
      <c r="D52" s="38"/>
      <c r="E52" s="38"/>
      <c r="F52" s="38"/>
      <c r="G52" s="38"/>
      <c r="H52" s="38"/>
      <c r="I52" s="38"/>
    </row>
    <row r="53" customFormat="false" ht="15" hidden="false" customHeight="true" outlineLevel="0" collapsed="false"/>
    <row r="54" customFormat="false" ht="15" hidden="false" customHeight="true" outlineLevel="0" collapsed="false"/>
    <row r="55" customFormat="false" ht="15" hidden="false" customHeight="true" outlineLevel="0" collapsed="false"/>
    <row r="56" customFormat="false" ht="15" hidden="false" customHeight="true" outlineLevel="0" collapsed="false"/>
    <row r="57" customFormat="false" ht="15" hidden="false" customHeight="true" outlineLevel="0" collapsed="false"/>
    <row r="58" customFormat="false" ht="15" hidden="false" customHeight="true" outlineLevel="0" collapsed="false"/>
    <row r="59" customFormat="false" ht="15" hidden="false" customHeight="true" outlineLevel="0" collapsed="false"/>
    <row r="60" customFormat="false" ht="15" hidden="false" customHeight="true" outlineLevel="0" collapsed="false"/>
    <row r="61" customFormat="false" ht="15" hidden="false" customHeight="true" outlineLevel="0" collapsed="false"/>
    <row r="62" customFormat="false" ht="15" hidden="false" customHeight="true" outlineLevel="0" collapsed="false"/>
    <row r="63" customFormat="false" ht="15" hidden="false" customHeight="true" outlineLevel="0" collapsed="false"/>
    <row r="64" customFormat="false" ht="15" hidden="false" customHeight="true" outlineLevel="0" collapsed="false"/>
    <row r="65" customFormat="false" ht="15" hidden="false" customHeight="true" outlineLevel="0" collapsed="false"/>
    <row r="66" customFormat="false" ht="15" hidden="false" customHeight="true" outlineLevel="0" collapsed="false"/>
    <row r="67" customFormat="false" ht="15" hidden="false" customHeight="true" outlineLevel="0" collapsed="false"/>
    <row r="68" customFormat="false" ht="15" hidden="false" customHeight="true" outlineLevel="0" collapsed="false"/>
    <row r="69" customFormat="false" ht="15" hidden="false" customHeight="true" outlineLevel="0" collapsed="false"/>
    <row r="70" customFormat="false" ht="15" hidden="false" customHeight="true" outlineLevel="0" collapsed="false"/>
  </sheetData>
  <mergeCells count="25">
    <mergeCell ref="B1:I1"/>
    <mergeCell ref="B2:I2"/>
    <mergeCell ref="B4:I4"/>
    <mergeCell ref="L4:R4"/>
    <mergeCell ref="B39:I39"/>
    <mergeCell ref="B40:E40"/>
    <mergeCell ref="F40:G40"/>
    <mergeCell ref="B41:E41"/>
    <mergeCell ref="F41:G41"/>
    <mergeCell ref="B42:E42"/>
    <mergeCell ref="F42:G42"/>
    <mergeCell ref="B43:E43"/>
    <mergeCell ref="F43:G43"/>
    <mergeCell ref="B45:I45"/>
    <mergeCell ref="B46:D46"/>
    <mergeCell ref="H46:I46"/>
    <mergeCell ref="B47:D47"/>
    <mergeCell ref="H47:I47"/>
    <mergeCell ref="B48:D48"/>
    <mergeCell ref="H48:I48"/>
    <mergeCell ref="B49:D49"/>
    <mergeCell ref="H49:I49"/>
    <mergeCell ref="B50:D50"/>
    <mergeCell ref="H50:I50"/>
    <mergeCell ref="B52:I52"/>
  </mergeCells>
  <conditionalFormatting sqref="I6:I37">
    <cfRule type="cellIs" priority="2" operator="equal" aboveAverage="0" equalAverage="0" bottom="0" percent="0" rank="0" text="" dxfId="2">
      <formula>"Alta"</formula>
    </cfRule>
    <cfRule type="cellIs" priority="3" operator="equal" aboveAverage="0" equalAverage="0" bottom="0" percent="0" rank="0" text="" dxfId="1">
      <formula>"Média"</formula>
    </cfRule>
    <cfRule type="cellIs" priority="4" operator="equal" aboveAverage="0" equalAverage="0" bottom="0" percent="0" rank="0" text="" dxfId="0">
      <formula>"Baixa"</formula>
    </cfRule>
  </conditionalFormatting>
  <conditionalFormatting sqref="C6:D37">
    <cfRule type="expression" priority="5" aboveAverage="0" equalAverage="0" bottom="0" percent="0" rank="0" text="" dxfId="3">
      <formula>LEFT($C6,1)="S"</formula>
    </cfRule>
    <cfRule type="expression" priority="6" aboveAverage="0" equalAverage="0" bottom="0" percent="0" rank="0" text="" dxfId="4">
      <formula>LEFT($C6,1)="W"</formula>
    </cfRule>
    <cfRule type="expression" priority="7" aboveAverage="0" equalAverage="0" bottom="0" percent="0" rank="0" text="" dxfId="5">
      <formula>LEFT($C6,1)="O"</formula>
    </cfRule>
    <cfRule type="expression" priority="8" aboveAverage="0" equalAverage="0" bottom="0" percent="0" rank="0" text="" dxfId="6">
      <formula>LEFT($C6,1)="T"</formula>
    </cfRule>
  </conditionalFormatting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B5C8A"/>
    <pageSetUpPr fitToPage="true"/>
  </sheetPr>
  <dimension ref="B1:I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11"/>
    <col collapsed="false" customWidth="true" hidden="false" outlineLevel="0" max="4" min="4" style="0" width="38"/>
    <col collapsed="false" customWidth="true" hidden="false" outlineLevel="0" max="5" min="5" style="0" width="11"/>
    <col collapsed="false" customWidth="true" hidden="false" outlineLevel="0" max="6" min="6" style="0" width="38"/>
    <col collapsed="false" customWidth="true" hidden="false" outlineLevel="0" max="7" min="7" style="0" width="22"/>
    <col collapsed="false" customWidth="true" hidden="false" outlineLevel="0" max="8" min="8" style="0" width="46"/>
    <col collapsed="false" customWidth="true" hidden="false" outlineLevel="0" max="9" min="9" style="0" width="13"/>
    <col collapsed="false" customWidth="true" hidden="false" outlineLevel="0" max="10" min="10" style="0" width="2"/>
  </cols>
  <sheetData>
    <row r="1" customFormat="false" ht="31.5" hidden="false" customHeight="true" outlineLevel="0" collapsed="false">
      <c r="B1" s="1" t="s">
        <v>173</v>
      </c>
      <c r="C1" s="1"/>
      <c r="D1" s="1"/>
      <c r="E1" s="1"/>
      <c r="F1" s="1"/>
      <c r="G1" s="1"/>
      <c r="H1" s="1"/>
      <c r="I1" s="1"/>
    </row>
    <row r="2" customFormat="false" ht="19.5" hidden="false" customHeight="true" outlineLevel="0" collapsed="false">
      <c r="B2" s="2" t="s">
        <v>174</v>
      </c>
      <c r="C2" s="2"/>
      <c r="D2" s="2"/>
      <c r="E2" s="2"/>
      <c r="F2" s="2"/>
      <c r="G2" s="2"/>
      <c r="H2" s="2"/>
      <c r="I2" s="2"/>
    </row>
    <row r="4" customFormat="false" ht="21.75" hidden="false" customHeight="true" outlineLevel="0" collapsed="false">
      <c r="B4" s="57" t="s">
        <v>92</v>
      </c>
      <c r="C4" s="57" t="s">
        <v>175</v>
      </c>
      <c r="D4" s="57" t="s">
        <v>176</v>
      </c>
      <c r="E4" s="57" t="s">
        <v>177</v>
      </c>
      <c r="F4" s="57" t="s">
        <v>178</v>
      </c>
      <c r="G4" s="57" t="s">
        <v>179</v>
      </c>
      <c r="H4" s="57" t="s">
        <v>180</v>
      </c>
      <c r="I4" s="57" t="s">
        <v>154</v>
      </c>
    </row>
    <row r="5" customFormat="false" ht="31.5" hidden="false" customHeight="true" outlineLevel="0" collapsed="false">
      <c r="B5" s="25" t="s">
        <v>95</v>
      </c>
      <c r="C5" s="25" t="s">
        <v>101</v>
      </c>
      <c r="D5" s="26" t="s">
        <v>181</v>
      </c>
      <c r="E5" s="25" t="s">
        <v>126</v>
      </c>
      <c r="F5" s="26" t="s">
        <v>182</v>
      </c>
      <c r="G5" s="25" t="s">
        <v>183</v>
      </c>
      <c r="H5" s="26" t="s">
        <v>184</v>
      </c>
      <c r="I5" s="25" t="s">
        <v>185</v>
      </c>
    </row>
    <row r="6" customFormat="false" ht="36" hidden="false" customHeight="true" outlineLevel="0" collapsed="false">
      <c r="B6" s="27" t="n">
        <v>1</v>
      </c>
      <c r="C6" s="28"/>
      <c r="D6" s="6" t="str">
        <f aca="false">IF(C6="","",IF(LEFT(C6,1)="S",INDEX(SWOT!$C$16:$C$23,VALUE(MID(C6,2,1))),INDEX(SWOT!$I$16:$I$23,VALUE(MID(C6,2,1))))&amp;"")</f>
        <v/>
      </c>
      <c r="E6" s="28"/>
      <c r="F6" s="6" t="str">
        <f aca="false">IF(E6="","",IF(LEFT(E6,1)="O",INDEX(SWOT!$C$30:$C$37,VALUE(MID(E6,2,1))),INDEX(SWOT!$I$30:$I$37,VALUE(MID(E6,2,1))))&amp;"")</f>
        <v/>
      </c>
      <c r="G6" s="49" t="str">
        <f aca="false">IF(OR(C6="",E6=""),"",LEFT(C6,1)&amp;LEFT(E6,1)&amp;" — "&amp;IF(LEFT(C6,1)="S",IF(LEFT(E6,1)="O","Desenvolvimento","Manutenção"),IF(LEFT(E6,1)="O","Crescimento","Sobrevivência")))</f>
        <v/>
      </c>
      <c r="H6" s="5"/>
      <c r="I6" s="28"/>
    </row>
    <row r="7" customFormat="false" ht="36" hidden="false" customHeight="true" outlineLevel="0" collapsed="false">
      <c r="B7" s="27" t="n">
        <v>2</v>
      </c>
      <c r="C7" s="28"/>
      <c r="D7" s="6" t="str">
        <f aca="false">IF(C7="","",IF(LEFT(C7,1)="S",INDEX(SWOT!$C$16:$C$23,VALUE(MID(C7,2,1))),INDEX(SWOT!$I$16:$I$23,VALUE(MID(C7,2,1))))&amp;"")</f>
        <v/>
      </c>
      <c r="E7" s="28"/>
      <c r="F7" s="6" t="str">
        <f aca="false">IF(E7="","",IF(LEFT(E7,1)="O",INDEX(SWOT!$C$30:$C$37,VALUE(MID(E7,2,1))),INDEX(SWOT!$I$30:$I$37,VALUE(MID(E7,2,1))))&amp;"")</f>
        <v/>
      </c>
      <c r="G7" s="49" t="str">
        <f aca="false">IF(OR(C7="",E7=""),"",LEFT(C7,1)&amp;LEFT(E7,1)&amp;" — "&amp;IF(LEFT(C7,1)="S",IF(LEFT(E7,1)="O","Desenvolvimento","Manutenção"),IF(LEFT(E7,1)="O","Crescimento","Sobrevivência")))</f>
        <v/>
      </c>
      <c r="H7" s="5"/>
      <c r="I7" s="28"/>
    </row>
    <row r="8" customFormat="false" ht="36" hidden="false" customHeight="true" outlineLevel="0" collapsed="false">
      <c r="B8" s="27" t="n">
        <v>3</v>
      </c>
      <c r="C8" s="28"/>
      <c r="D8" s="6" t="str">
        <f aca="false">IF(C8="","",IF(LEFT(C8,1)="S",INDEX(SWOT!$C$16:$C$23,VALUE(MID(C8,2,1))),INDEX(SWOT!$I$16:$I$23,VALUE(MID(C8,2,1))))&amp;"")</f>
        <v/>
      </c>
      <c r="E8" s="28"/>
      <c r="F8" s="6" t="str">
        <f aca="false">IF(E8="","",IF(LEFT(E8,1)="O",INDEX(SWOT!$C$30:$C$37,VALUE(MID(E8,2,1))),INDEX(SWOT!$I$30:$I$37,VALUE(MID(E8,2,1))))&amp;"")</f>
        <v/>
      </c>
      <c r="G8" s="49" t="str">
        <f aca="false">IF(OR(C8="",E8=""),"",LEFT(C8,1)&amp;LEFT(E8,1)&amp;" — "&amp;IF(LEFT(C8,1)="S",IF(LEFT(E8,1)="O","Desenvolvimento","Manutenção"),IF(LEFT(E8,1)="O","Crescimento","Sobrevivência")))</f>
        <v/>
      </c>
      <c r="H8" s="5"/>
      <c r="I8" s="28"/>
    </row>
    <row r="9" customFormat="false" ht="36" hidden="false" customHeight="true" outlineLevel="0" collapsed="false">
      <c r="B9" s="27" t="n">
        <v>4</v>
      </c>
      <c r="C9" s="28"/>
      <c r="D9" s="6" t="str">
        <f aca="false">IF(C9="","",IF(LEFT(C9,1)="S",INDEX(SWOT!$C$16:$C$23,VALUE(MID(C9,2,1))),INDEX(SWOT!$I$16:$I$23,VALUE(MID(C9,2,1))))&amp;"")</f>
        <v/>
      </c>
      <c r="E9" s="28"/>
      <c r="F9" s="6" t="str">
        <f aca="false">IF(E9="","",IF(LEFT(E9,1)="O",INDEX(SWOT!$C$30:$C$37,VALUE(MID(E9,2,1))),INDEX(SWOT!$I$30:$I$37,VALUE(MID(E9,2,1))))&amp;"")</f>
        <v/>
      </c>
      <c r="G9" s="49" t="str">
        <f aca="false">IF(OR(C9="",E9=""),"",LEFT(C9,1)&amp;LEFT(E9,1)&amp;" — "&amp;IF(LEFT(C9,1)="S",IF(LEFT(E9,1)="O","Desenvolvimento","Manutenção"),IF(LEFT(E9,1)="O","Crescimento","Sobrevivência")))</f>
        <v/>
      </c>
      <c r="H9" s="5"/>
      <c r="I9" s="28"/>
    </row>
    <row r="10" customFormat="false" ht="36" hidden="false" customHeight="true" outlineLevel="0" collapsed="false">
      <c r="B10" s="27" t="n">
        <v>5</v>
      </c>
      <c r="C10" s="28"/>
      <c r="D10" s="6" t="str">
        <f aca="false">IF(C10="","",IF(LEFT(C10,1)="S",INDEX(SWOT!$C$16:$C$23,VALUE(MID(C10,2,1))),INDEX(SWOT!$I$16:$I$23,VALUE(MID(C10,2,1))))&amp;"")</f>
        <v/>
      </c>
      <c r="E10" s="28"/>
      <c r="F10" s="6" t="str">
        <f aca="false">IF(E10="","",IF(LEFT(E10,1)="O",INDEX(SWOT!$C$30:$C$37,VALUE(MID(E10,2,1))),INDEX(SWOT!$I$30:$I$37,VALUE(MID(E10,2,1))))&amp;"")</f>
        <v/>
      </c>
      <c r="G10" s="49" t="str">
        <f aca="false">IF(OR(C10="",E10=""),"",LEFT(C10,1)&amp;LEFT(E10,1)&amp;" — "&amp;IF(LEFT(C10,1)="S",IF(LEFT(E10,1)="O","Desenvolvimento","Manutenção"),IF(LEFT(E10,1)="O","Crescimento","Sobrevivência")))</f>
        <v/>
      </c>
      <c r="H10" s="5"/>
      <c r="I10" s="28"/>
    </row>
    <row r="11" customFormat="false" ht="36" hidden="false" customHeight="true" outlineLevel="0" collapsed="false">
      <c r="B11" s="27" t="n">
        <v>6</v>
      </c>
      <c r="C11" s="28"/>
      <c r="D11" s="6" t="str">
        <f aca="false">IF(C11="","",IF(LEFT(C11,1)="S",INDEX(SWOT!$C$16:$C$23,VALUE(MID(C11,2,1))),INDEX(SWOT!$I$16:$I$23,VALUE(MID(C11,2,1))))&amp;"")</f>
        <v/>
      </c>
      <c r="E11" s="28"/>
      <c r="F11" s="6" t="str">
        <f aca="false">IF(E11="","",IF(LEFT(E11,1)="O",INDEX(SWOT!$C$30:$C$37,VALUE(MID(E11,2,1))),INDEX(SWOT!$I$30:$I$37,VALUE(MID(E11,2,1))))&amp;"")</f>
        <v/>
      </c>
      <c r="G11" s="49" t="str">
        <f aca="false">IF(OR(C11="",E11=""),"",LEFT(C11,1)&amp;LEFT(E11,1)&amp;" — "&amp;IF(LEFT(C11,1)="S",IF(LEFT(E11,1)="O","Desenvolvimento","Manutenção"),IF(LEFT(E11,1)="O","Crescimento","Sobrevivência")))</f>
        <v/>
      </c>
      <c r="H11" s="5"/>
      <c r="I11" s="28"/>
    </row>
    <row r="12" customFormat="false" ht="36" hidden="false" customHeight="true" outlineLevel="0" collapsed="false">
      <c r="B12" s="27" t="n">
        <v>7</v>
      </c>
      <c r="C12" s="28"/>
      <c r="D12" s="6" t="str">
        <f aca="false">IF(C12="","",IF(LEFT(C12,1)="S",INDEX(SWOT!$C$16:$C$23,VALUE(MID(C12,2,1))),INDEX(SWOT!$I$16:$I$23,VALUE(MID(C12,2,1))))&amp;"")</f>
        <v/>
      </c>
      <c r="E12" s="28"/>
      <c r="F12" s="6" t="str">
        <f aca="false">IF(E12="","",IF(LEFT(E12,1)="O",INDEX(SWOT!$C$30:$C$37,VALUE(MID(E12,2,1))),INDEX(SWOT!$I$30:$I$37,VALUE(MID(E12,2,1))))&amp;"")</f>
        <v/>
      </c>
      <c r="G12" s="49" t="str">
        <f aca="false">IF(OR(C12="",E12=""),"",LEFT(C12,1)&amp;LEFT(E12,1)&amp;" — "&amp;IF(LEFT(C12,1)="S",IF(LEFT(E12,1)="O","Desenvolvimento","Manutenção"),IF(LEFT(E12,1)="O","Crescimento","Sobrevivência")))</f>
        <v/>
      </c>
      <c r="H12" s="5"/>
      <c r="I12" s="28"/>
    </row>
    <row r="13" customFormat="false" ht="36" hidden="false" customHeight="true" outlineLevel="0" collapsed="false">
      <c r="B13" s="27" t="n">
        <v>8</v>
      </c>
      <c r="C13" s="28"/>
      <c r="D13" s="6" t="str">
        <f aca="false">IF(C13="","",IF(LEFT(C13,1)="S",INDEX(SWOT!$C$16:$C$23,VALUE(MID(C13,2,1))),INDEX(SWOT!$I$16:$I$23,VALUE(MID(C13,2,1))))&amp;"")</f>
        <v/>
      </c>
      <c r="E13" s="28"/>
      <c r="F13" s="6" t="str">
        <f aca="false">IF(E13="","",IF(LEFT(E13,1)="O",INDEX(SWOT!$C$30:$C$37,VALUE(MID(E13,2,1))),INDEX(SWOT!$I$30:$I$37,VALUE(MID(E13,2,1))))&amp;"")</f>
        <v/>
      </c>
      <c r="G13" s="49" t="str">
        <f aca="false">IF(OR(C13="",E13=""),"",LEFT(C13,1)&amp;LEFT(E13,1)&amp;" — "&amp;IF(LEFT(C13,1)="S",IF(LEFT(E13,1)="O","Desenvolvimento","Manutenção"),IF(LEFT(E13,1)="O","Crescimento","Sobrevivência")))</f>
        <v/>
      </c>
      <c r="H13" s="5"/>
      <c r="I13" s="28"/>
    </row>
    <row r="14" customFormat="false" ht="36" hidden="false" customHeight="true" outlineLevel="0" collapsed="false">
      <c r="B14" s="27" t="n">
        <v>9</v>
      </c>
      <c r="C14" s="28"/>
      <c r="D14" s="6" t="str">
        <f aca="false">IF(C14="","",IF(LEFT(C14,1)="S",INDEX(SWOT!$C$16:$C$23,VALUE(MID(C14,2,1))),INDEX(SWOT!$I$16:$I$23,VALUE(MID(C14,2,1))))&amp;"")</f>
        <v/>
      </c>
      <c r="E14" s="28"/>
      <c r="F14" s="6" t="str">
        <f aca="false">IF(E14="","",IF(LEFT(E14,1)="O",INDEX(SWOT!$C$30:$C$37,VALUE(MID(E14,2,1))),INDEX(SWOT!$I$30:$I$37,VALUE(MID(E14,2,1))))&amp;"")</f>
        <v/>
      </c>
      <c r="G14" s="49" t="str">
        <f aca="false">IF(OR(C14="",E14=""),"",LEFT(C14,1)&amp;LEFT(E14,1)&amp;" — "&amp;IF(LEFT(C14,1)="S",IF(LEFT(E14,1)="O","Desenvolvimento","Manutenção"),IF(LEFT(E14,1)="O","Crescimento","Sobrevivência")))</f>
        <v/>
      </c>
      <c r="H14" s="5"/>
      <c r="I14" s="28"/>
    </row>
    <row r="15" customFormat="false" ht="36" hidden="false" customHeight="true" outlineLevel="0" collapsed="false">
      <c r="B15" s="27" t="n">
        <v>10</v>
      </c>
      <c r="C15" s="28"/>
      <c r="D15" s="6" t="str">
        <f aca="false">IF(C15="","",IF(LEFT(C15,1)="S",INDEX(SWOT!$C$16:$C$23,VALUE(MID(C15,2,1))),INDEX(SWOT!$I$16:$I$23,VALUE(MID(C15,2,1))))&amp;"")</f>
        <v/>
      </c>
      <c r="E15" s="28"/>
      <c r="F15" s="6" t="str">
        <f aca="false">IF(E15="","",IF(LEFT(E15,1)="O",INDEX(SWOT!$C$30:$C$37,VALUE(MID(E15,2,1))),INDEX(SWOT!$I$30:$I$37,VALUE(MID(E15,2,1))))&amp;"")</f>
        <v/>
      </c>
      <c r="G15" s="49" t="str">
        <f aca="false">IF(OR(C15="",E15=""),"",LEFT(C15,1)&amp;LEFT(E15,1)&amp;" — "&amp;IF(LEFT(C15,1)="S",IF(LEFT(E15,1)="O","Desenvolvimento","Manutenção"),IF(LEFT(E15,1)="O","Crescimento","Sobrevivência")))</f>
        <v/>
      </c>
      <c r="H15" s="5"/>
      <c r="I15" s="28"/>
    </row>
    <row r="16" customFormat="false" ht="36" hidden="false" customHeight="true" outlineLevel="0" collapsed="false">
      <c r="B16" s="27" t="n">
        <v>11</v>
      </c>
      <c r="C16" s="28"/>
      <c r="D16" s="6" t="str">
        <f aca="false">IF(C16="","",IF(LEFT(C16,1)="S",INDEX(SWOT!$C$16:$C$23,VALUE(MID(C16,2,1))),INDEX(SWOT!$I$16:$I$23,VALUE(MID(C16,2,1))))&amp;"")</f>
        <v/>
      </c>
      <c r="E16" s="28"/>
      <c r="F16" s="6" t="str">
        <f aca="false">IF(E16="","",IF(LEFT(E16,1)="O",INDEX(SWOT!$C$30:$C$37,VALUE(MID(E16,2,1))),INDEX(SWOT!$I$30:$I$37,VALUE(MID(E16,2,1))))&amp;"")</f>
        <v/>
      </c>
      <c r="G16" s="49" t="str">
        <f aca="false">IF(OR(C16="",E16=""),"",LEFT(C16,1)&amp;LEFT(E16,1)&amp;" — "&amp;IF(LEFT(C16,1)="S",IF(LEFT(E16,1)="O","Desenvolvimento","Manutenção"),IF(LEFT(E16,1)="O","Crescimento","Sobrevivência")))</f>
        <v/>
      </c>
      <c r="H16" s="5"/>
      <c r="I16" s="28"/>
    </row>
    <row r="17" customFormat="false" ht="36" hidden="false" customHeight="true" outlineLevel="0" collapsed="false">
      <c r="B17" s="27" t="n">
        <v>12</v>
      </c>
      <c r="C17" s="28"/>
      <c r="D17" s="6" t="str">
        <f aca="false">IF(C17="","",IF(LEFT(C17,1)="S",INDEX(SWOT!$C$16:$C$23,VALUE(MID(C17,2,1))),INDEX(SWOT!$I$16:$I$23,VALUE(MID(C17,2,1))))&amp;"")</f>
        <v/>
      </c>
      <c r="E17" s="28"/>
      <c r="F17" s="6" t="str">
        <f aca="false">IF(E17="","",IF(LEFT(E17,1)="O",INDEX(SWOT!$C$30:$C$37,VALUE(MID(E17,2,1))),INDEX(SWOT!$I$30:$I$37,VALUE(MID(E17,2,1))))&amp;"")</f>
        <v/>
      </c>
      <c r="G17" s="49" t="str">
        <f aca="false">IF(OR(C17="",E17=""),"",LEFT(C17,1)&amp;LEFT(E17,1)&amp;" — "&amp;IF(LEFT(C17,1)="S",IF(LEFT(E17,1)="O","Desenvolvimento","Manutenção"),IF(LEFT(E17,1)="O","Crescimento","Sobrevivência")))</f>
        <v/>
      </c>
      <c r="H17" s="5"/>
      <c r="I17" s="28"/>
    </row>
    <row r="19" customFormat="false" ht="21.75" hidden="false" customHeight="true" outlineLevel="0" collapsed="false">
      <c r="B19" s="38" t="s">
        <v>136</v>
      </c>
      <c r="C19" s="38"/>
      <c r="D19" s="38"/>
      <c r="E19" s="38"/>
      <c r="F19" s="38"/>
      <c r="G19" s="38"/>
      <c r="H19" s="38"/>
      <c r="I19" s="38"/>
    </row>
    <row r="20" customFormat="false" ht="19.5" hidden="false" customHeight="true" outlineLevel="0" collapsed="false">
      <c r="B20" s="39" t="s">
        <v>186</v>
      </c>
      <c r="C20" s="39"/>
      <c r="D20" s="39"/>
      <c r="E20" s="39"/>
      <c r="F20" s="39"/>
      <c r="G20" s="29" t="n">
        <f aca="false">COUNTA(H6:H17)</f>
        <v>0</v>
      </c>
    </row>
    <row r="21" customFormat="false" ht="19.5" hidden="false" customHeight="true" outlineLevel="0" collapsed="false">
      <c r="B21" s="39" t="s">
        <v>187</v>
      </c>
      <c r="C21" s="39"/>
      <c r="D21" s="39"/>
      <c r="E21" s="39"/>
      <c r="F21" s="39"/>
      <c r="G21" s="29" t="n">
        <f aca="false">COUNTIF(G6:G17,"SO*")</f>
        <v>0</v>
      </c>
    </row>
    <row r="22" customFormat="false" ht="19.5" hidden="false" customHeight="true" outlineLevel="0" collapsed="false">
      <c r="B22" s="39" t="s">
        <v>183</v>
      </c>
      <c r="C22" s="39"/>
      <c r="D22" s="39"/>
      <c r="E22" s="39"/>
      <c r="F22" s="39"/>
      <c r="G22" s="29" t="n">
        <f aca="false">COUNTIF(G6:G17,"WO*")</f>
        <v>0</v>
      </c>
    </row>
    <row r="23" customFormat="false" ht="19.5" hidden="false" customHeight="true" outlineLevel="0" collapsed="false">
      <c r="B23" s="39" t="s">
        <v>188</v>
      </c>
      <c r="C23" s="39"/>
      <c r="D23" s="39"/>
      <c r="E23" s="39"/>
      <c r="F23" s="39"/>
      <c r="G23" s="29" t="n">
        <f aca="false">COUNTIF(G6:G17,"ST*")</f>
        <v>0</v>
      </c>
    </row>
    <row r="24" customFormat="false" ht="19.5" hidden="false" customHeight="true" outlineLevel="0" collapsed="false">
      <c r="B24" s="39" t="s">
        <v>189</v>
      </c>
      <c r="C24" s="39"/>
      <c r="D24" s="39"/>
      <c r="E24" s="39"/>
      <c r="F24" s="39"/>
      <c r="G24" s="29" t="n">
        <f aca="false">COUNTIF(G6:G17,"WT*")</f>
        <v>0</v>
      </c>
    </row>
    <row r="25" customFormat="false" ht="19.5" hidden="false" customHeight="true" outlineLevel="0" collapsed="false">
      <c r="B25" s="39" t="s">
        <v>190</v>
      </c>
      <c r="C25" s="39"/>
      <c r="D25" s="39"/>
      <c r="E25" s="39"/>
      <c r="F25" s="39"/>
      <c r="G25" s="29" t="n">
        <f aca="false">COUNTIF(I6:I17,"Alta")</f>
        <v>0</v>
      </c>
    </row>
    <row r="26" customFormat="false" ht="19.5" hidden="false" customHeight="true" outlineLevel="0" collapsed="false">
      <c r="B26" s="39" t="s">
        <v>191</v>
      </c>
      <c r="C26" s="39"/>
      <c r="D26" s="39"/>
      <c r="E26" s="39"/>
      <c r="F26" s="39"/>
      <c r="G26" s="42" t="str">
        <f aca="false">IF(SUMPRODUCT((H6:H17&lt;&gt;"")*((C6:C17="")+(E6:E17="")&gt;0))&gt;0,"Há estratégia sem fator","OK")</f>
        <v>OK</v>
      </c>
    </row>
    <row r="27" customFormat="false" ht="19.5" hidden="false" customHeight="true" outlineLevel="0" collapsed="false">
      <c r="B27" s="39" t="s">
        <v>192</v>
      </c>
      <c r="C27" s="39"/>
      <c r="D27" s="39"/>
      <c r="E27" s="39"/>
      <c r="F27" s="39"/>
      <c r="G27" s="42" t="str">
        <f aca="false">IF(SUMPRODUCT(((C6:C17&lt;&gt;"")*(D6:D17=""))+((E6:E17&lt;&gt;"")*(F6:F17="")))&gt;0,"Há código sem fator na aba SWOT","OK")</f>
        <v>OK</v>
      </c>
    </row>
  </sheetData>
  <mergeCells count="11">
    <mergeCell ref="B1:I1"/>
    <mergeCell ref="B2:I2"/>
    <mergeCell ref="B19:I19"/>
    <mergeCell ref="B20:F20"/>
    <mergeCell ref="B21:F21"/>
    <mergeCell ref="B22:F22"/>
    <mergeCell ref="B23:F23"/>
    <mergeCell ref="B24:F24"/>
    <mergeCell ref="B25:F25"/>
    <mergeCell ref="B26:F26"/>
    <mergeCell ref="B27:F27"/>
  </mergeCells>
  <conditionalFormatting sqref="I6:I17">
    <cfRule type="cellIs" priority="2" operator="equal" aboveAverage="0" equalAverage="0" bottom="0" percent="0" rank="0" text="" dxfId="2">
      <formula>"Alta"</formula>
    </cfRule>
    <cfRule type="cellIs" priority="3" operator="equal" aboveAverage="0" equalAverage="0" bottom="0" percent="0" rank="0" text="" dxfId="1">
      <formula>"Média"</formula>
    </cfRule>
    <cfRule type="cellIs" priority="4" operator="equal" aboveAverage="0" equalAverage="0" bottom="0" percent="0" rank="0" text="" dxfId="0">
      <formula>"Baixa"</formula>
    </cfRule>
  </conditionalFormatting>
  <conditionalFormatting sqref="G26:G27">
    <cfRule type="cellIs" priority="5" operator="equal" aboveAverage="0" equalAverage="0" bottom="0" percent="0" rank="0" text="" dxfId="0">
      <formula>"OK"</formula>
    </cfRule>
    <cfRule type="cellIs" priority="6" operator="notEqual" aboveAverage="0" equalAverage="0" bottom="0" percent="0" rank="0" text="" dxfId="1">
      <formula>"OK"</formula>
    </cfRule>
  </conditionalFormatting>
  <dataValidations count="3">
    <dataValidation allowBlank="true" error="Escolha uma das opções da lista." errorStyle="stop" errorTitle="Valor inválido" operator="between" prompt="Código de uma força (S) ou de uma fraqueza (W)" promptTitle="Opções" showDropDown="false" showErrorMessage="true" showInputMessage="true" sqref="C6:C17" type="list">
      <formula1>"S1,S2,S3,S4,S5,S6,S7,S8,W1,W2,W3,W4,W5,W6,W7,W8"</formula1>
      <formula2>0</formula2>
    </dataValidation>
    <dataValidation allowBlank="true" error="Escolha uma das opções da lista." errorStyle="stop" errorTitle="Valor inválido" operator="between" prompt="Código de uma oportunidade (O) ou de uma ameaça (T)" promptTitle="Opções" showDropDown="false" showErrorMessage="true" showInputMessage="true" sqref="E6:E17" type="list">
      <formula1>"O1,O2,O3,O4,O5,O6,O7,O8,T1,T2,T3,T4,T5,T6,T7,T8"</formula1>
      <formula2>0</formula2>
    </dataValidation>
    <dataValidation allowBlank="true" error="Escolha uma das opções da lista." errorStyle="stop" errorTitle="Valor inválido" operator="between" prompt="Alta, Média ou Baixa" promptTitle="Opções" showDropDown="false" showErrorMessage="true" showInputMessage="true" sqref="I6:I17" type="list">
      <formula1>"Alta,Média,Baixa"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0413E"/>
    <pageSetUpPr fitToPage="true"/>
  </sheetPr>
  <dimension ref="B1:I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34"/>
    <col collapsed="false" customWidth="true" hidden="false" outlineLevel="0" max="4" min="4" style="0" width="38"/>
    <col collapsed="false" customWidth="true" hidden="false" outlineLevel="0" max="5" min="5" style="0" width="18"/>
    <col collapsed="false" customWidth="true" hidden="false" outlineLevel="0" max="6" min="6" style="0" width="13"/>
    <col collapsed="false" customWidth="true" hidden="false" outlineLevel="0" max="7" min="7" style="0" width="30"/>
    <col collapsed="false" customWidth="true" hidden="false" outlineLevel="0" max="8" min="8" style="0" width="15"/>
    <col collapsed="false" customWidth="true" hidden="false" outlineLevel="0" max="9" min="9" style="0" width="14"/>
    <col collapsed="false" customWidth="true" hidden="false" outlineLevel="0" max="10" min="10" style="0" width="2"/>
  </cols>
  <sheetData>
    <row r="1" customFormat="false" ht="31.5" hidden="false" customHeight="true" outlineLevel="0" collapsed="false">
      <c r="B1" s="1" t="s">
        <v>55</v>
      </c>
      <c r="C1" s="1"/>
      <c r="D1" s="1"/>
      <c r="E1" s="1"/>
      <c r="F1" s="1"/>
      <c r="G1" s="1"/>
      <c r="H1" s="1"/>
      <c r="I1" s="1"/>
    </row>
    <row r="2" customFormat="false" ht="19.5" hidden="false" customHeight="true" outlineLevel="0" collapsed="false">
      <c r="B2" s="2" t="s">
        <v>193</v>
      </c>
      <c r="C2" s="2"/>
      <c r="D2" s="2"/>
      <c r="E2" s="2"/>
      <c r="F2" s="2"/>
      <c r="G2" s="2"/>
      <c r="H2" s="2"/>
      <c r="I2" s="2"/>
    </row>
    <row r="4" customFormat="false" ht="21.75" hidden="false" customHeight="true" outlineLevel="0" collapsed="false">
      <c r="B4" s="57" t="s">
        <v>92</v>
      </c>
      <c r="C4" s="57" t="s">
        <v>194</v>
      </c>
      <c r="D4" s="57" t="s">
        <v>195</v>
      </c>
      <c r="E4" s="57" t="s">
        <v>79</v>
      </c>
      <c r="F4" s="57" t="s">
        <v>196</v>
      </c>
      <c r="G4" s="57" t="s">
        <v>197</v>
      </c>
      <c r="H4" s="57" t="s">
        <v>198</v>
      </c>
      <c r="I4" s="57" t="s">
        <v>199</v>
      </c>
    </row>
    <row r="5" customFormat="false" ht="31.5" hidden="false" customHeight="true" outlineLevel="0" collapsed="false">
      <c r="B5" s="25" t="s">
        <v>95</v>
      </c>
      <c r="C5" s="26" t="s">
        <v>184</v>
      </c>
      <c r="D5" s="26" t="s">
        <v>200</v>
      </c>
      <c r="E5" s="26" t="s">
        <v>201</v>
      </c>
      <c r="F5" s="58" t="n">
        <v>46356</v>
      </c>
      <c r="G5" s="26" t="s">
        <v>202</v>
      </c>
      <c r="H5" s="25" t="s">
        <v>203</v>
      </c>
      <c r="I5" s="25" t="s">
        <v>204</v>
      </c>
    </row>
    <row r="6" customFormat="false" ht="30" hidden="false" customHeight="true" outlineLevel="0" collapsed="false">
      <c r="B6" s="27" t="n">
        <v>1</v>
      </c>
      <c r="C6" s="5"/>
      <c r="D6" s="5"/>
      <c r="E6" s="5"/>
      <c r="F6" s="59"/>
      <c r="G6" s="5"/>
      <c r="H6" s="28"/>
      <c r="I6" s="49" t="str">
        <f aca="true">IF(D6="","",IF(OR(H6="Concluída",H6="Cancelada"),H6,IF(F6="","Sem prazo",IF(F6&lt;TODAY(),"Atrasada","No prazo"))))</f>
        <v/>
      </c>
    </row>
    <row r="7" customFormat="false" ht="30" hidden="false" customHeight="true" outlineLevel="0" collapsed="false">
      <c r="B7" s="27" t="n">
        <v>2</v>
      </c>
      <c r="C7" s="5"/>
      <c r="D7" s="5"/>
      <c r="E7" s="5"/>
      <c r="F7" s="59"/>
      <c r="G7" s="5"/>
      <c r="H7" s="28"/>
      <c r="I7" s="49" t="str">
        <f aca="true">IF(D7="","",IF(OR(H7="Concluída",H7="Cancelada"),H7,IF(F7="","Sem prazo",IF(F7&lt;TODAY(),"Atrasada","No prazo"))))</f>
        <v/>
      </c>
    </row>
    <row r="8" customFormat="false" ht="30" hidden="false" customHeight="true" outlineLevel="0" collapsed="false">
      <c r="B8" s="27" t="n">
        <v>3</v>
      </c>
      <c r="C8" s="5"/>
      <c r="D8" s="5"/>
      <c r="E8" s="5"/>
      <c r="F8" s="59"/>
      <c r="G8" s="5"/>
      <c r="H8" s="28"/>
      <c r="I8" s="49" t="str">
        <f aca="true">IF(D8="","",IF(OR(H8="Concluída",H8="Cancelada"),H8,IF(F8="","Sem prazo",IF(F8&lt;TODAY(),"Atrasada","No prazo"))))</f>
        <v/>
      </c>
    </row>
    <row r="9" customFormat="false" ht="30" hidden="false" customHeight="true" outlineLevel="0" collapsed="false">
      <c r="B9" s="27" t="n">
        <v>4</v>
      </c>
      <c r="C9" s="5"/>
      <c r="D9" s="5"/>
      <c r="E9" s="5"/>
      <c r="F9" s="59"/>
      <c r="G9" s="5"/>
      <c r="H9" s="28"/>
      <c r="I9" s="49" t="str">
        <f aca="true">IF(D9="","",IF(OR(H9="Concluída",H9="Cancelada"),H9,IF(F9="","Sem prazo",IF(F9&lt;TODAY(),"Atrasada","No prazo"))))</f>
        <v/>
      </c>
    </row>
    <row r="10" customFormat="false" ht="30" hidden="false" customHeight="true" outlineLevel="0" collapsed="false">
      <c r="B10" s="27" t="n">
        <v>5</v>
      </c>
      <c r="C10" s="5"/>
      <c r="D10" s="5"/>
      <c r="E10" s="5"/>
      <c r="F10" s="59"/>
      <c r="G10" s="5"/>
      <c r="H10" s="28"/>
      <c r="I10" s="49" t="str">
        <f aca="true">IF(D10="","",IF(OR(H10="Concluída",H10="Cancelada"),H10,IF(F10="","Sem prazo",IF(F10&lt;TODAY(),"Atrasada","No prazo"))))</f>
        <v/>
      </c>
    </row>
    <row r="11" customFormat="false" ht="30" hidden="false" customHeight="true" outlineLevel="0" collapsed="false">
      <c r="B11" s="27" t="n">
        <v>6</v>
      </c>
      <c r="C11" s="5"/>
      <c r="D11" s="5"/>
      <c r="E11" s="5"/>
      <c r="F11" s="59"/>
      <c r="G11" s="5"/>
      <c r="H11" s="28"/>
      <c r="I11" s="49" t="str">
        <f aca="true">IF(D11="","",IF(OR(H11="Concluída",H11="Cancelada"),H11,IF(F11="","Sem prazo",IF(F11&lt;TODAY(),"Atrasada","No prazo"))))</f>
        <v/>
      </c>
    </row>
    <row r="12" customFormat="false" ht="30" hidden="false" customHeight="true" outlineLevel="0" collapsed="false">
      <c r="B12" s="27" t="n">
        <v>7</v>
      </c>
      <c r="C12" s="5"/>
      <c r="D12" s="5"/>
      <c r="E12" s="5"/>
      <c r="F12" s="59"/>
      <c r="G12" s="5"/>
      <c r="H12" s="28"/>
      <c r="I12" s="49" t="str">
        <f aca="true">IF(D12="","",IF(OR(H12="Concluída",H12="Cancelada"),H12,IF(F12="","Sem prazo",IF(F12&lt;TODAY(),"Atrasada","No prazo"))))</f>
        <v/>
      </c>
    </row>
    <row r="13" customFormat="false" ht="30" hidden="false" customHeight="true" outlineLevel="0" collapsed="false">
      <c r="B13" s="27" t="n">
        <v>8</v>
      </c>
      <c r="C13" s="5"/>
      <c r="D13" s="5"/>
      <c r="E13" s="5"/>
      <c r="F13" s="59"/>
      <c r="G13" s="5"/>
      <c r="H13" s="28"/>
      <c r="I13" s="49" t="str">
        <f aca="true">IF(D13="","",IF(OR(H13="Concluída",H13="Cancelada"),H13,IF(F13="","Sem prazo",IF(F13&lt;TODAY(),"Atrasada","No prazo"))))</f>
        <v/>
      </c>
    </row>
    <row r="14" customFormat="false" ht="30" hidden="false" customHeight="true" outlineLevel="0" collapsed="false">
      <c r="B14" s="27" t="n">
        <v>9</v>
      </c>
      <c r="C14" s="5"/>
      <c r="D14" s="5"/>
      <c r="E14" s="5"/>
      <c r="F14" s="59"/>
      <c r="G14" s="5"/>
      <c r="H14" s="28"/>
      <c r="I14" s="49" t="str">
        <f aca="true">IF(D14="","",IF(OR(H14="Concluída",H14="Cancelada"),H14,IF(F14="","Sem prazo",IF(F14&lt;TODAY(),"Atrasada","No prazo"))))</f>
        <v/>
      </c>
    </row>
    <row r="15" customFormat="false" ht="30" hidden="false" customHeight="true" outlineLevel="0" collapsed="false">
      <c r="B15" s="27" t="n">
        <v>10</v>
      </c>
      <c r="C15" s="5"/>
      <c r="D15" s="5"/>
      <c r="E15" s="5"/>
      <c r="F15" s="59"/>
      <c r="G15" s="5"/>
      <c r="H15" s="28"/>
      <c r="I15" s="49" t="str">
        <f aca="true">IF(D15="","",IF(OR(H15="Concluída",H15="Cancelada"),H15,IF(F15="","Sem prazo",IF(F15&lt;TODAY(),"Atrasada","No prazo"))))</f>
        <v/>
      </c>
    </row>
    <row r="16" customFormat="false" ht="30" hidden="false" customHeight="true" outlineLevel="0" collapsed="false">
      <c r="B16" s="27" t="n">
        <v>11</v>
      </c>
      <c r="C16" s="5"/>
      <c r="D16" s="5"/>
      <c r="E16" s="5"/>
      <c r="F16" s="59"/>
      <c r="G16" s="5"/>
      <c r="H16" s="28"/>
      <c r="I16" s="49" t="str">
        <f aca="true">IF(D16="","",IF(OR(H16="Concluída",H16="Cancelada"),H16,IF(F16="","Sem prazo",IF(F16&lt;TODAY(),"Atrasada","No prazo"))))</f>
        <v/>
      </c>
    </row>
    <row r="17" customFormat="false" ht="30" hidden="false" customHeight="true" outlineLevel="0" collapsed="false">
      <c r="B17" s="27" t="n">
        <v>12</v>
      </c>
      <c r="C17" s="5"/>
      <c r="D17" s="5"/>
      <c r="E17" s="5"/>
      <c r="F17" s="59"/>
      <c r="G17" s="5"/>
      <c r="H17" s="28"/>
      <c r="I17" s="49" t="str">
        <f aca="true">IF(D17="","",IF(OR(H17="Concluída",H17="Cancelada"),H17,IF(F17="","Sem prazo",IF(F17&lt;TODAY(),"Atrasada","No prazo"))))</f>
        <v/>
      </c>
    </row>
    <row r="18" customFormat="false" ht="30" hidden="false" customHeight="true" outlineLevel="0" collapsed="false">
      <c r="B18" s="27" t="n">
        <v>13</v>
      </c>
      <c r="C18" s="5"/>
      <c r="D18" s="5"/>
      <c r="E18" s="5"/>
      <c r="F18" s="59"/>
      <c r="G18" s="5"/>
      <c r="H18" s="28"/>
      <c r="I18" s="49" t="str">
        <f aca="true">IF(D18="","",IF(OR(H18="Concluída",H18="Cancelada"),H18,IF(F18="","Sem prazo",IF(F18&lt;TODAY(),"Atrasada","No prazo"))))</f>
        <v/>
      </c>
    </row>
    <row r="19" customFormat="false" ht="30" hidden="false" customHeight="true" outlineLevel="0" collapsed="false">
      <c r="B19" s="27" t="n">
        <v>14</v>
      </c>
      <c r="C19" s="5"/>
      <c r="D19" s="5"/>
      <c r="E19" s="5"/>
      <c r="F19" s="59"/>
      <c r="G19" s="5"/>
      <c r="H19" s="28"/>
      <c r="I19" s="49" t="str">
        <f aca="true">IF(D19="","",IF(OR(H19="Concluída",H19="Cancelada"),H19,IF(F19="","Sem prazo",IF(F19&lt;TODAY(),"Atrasada","No prazo"))))</f>
        <v/>
      </c>
    </row>
    <row r="20" customFormat="false" ht="30" hidden="false" customHeight="true" outlineLevel="0" collapsed="false">
      <c r="B20" s="27" t="n">
        <v>15</v>
      </c>
      <c r="C20" s="5"/>
      <c r="D20" s="5"/>
      <c r="E20" s="5"/>
      <c r="F20" s="59"/>
      <c r="G20" s="5"/>
      <c r="H20" s="28"/>
      <c r="I20" s="49" t="str">
        <f aca="true">IF(D20="","",IF(OR(H20="Concluída",H20="Cancelada"),H20,IF(F20="","Sem prazo",IF(F20&lt;TODAY(),"Atrasada","No prazo"))))</f>
        <v/>
      </c>
    </row>
    <row r="22" customFormat="false" ht="21.75" hidden="false" customHeight="true" outlineLevel="0" collapsed="false">
      <c r="B22" s="38" t="s">
        <v>136</v>
      </c>
      <c r="C22" s="38"/>
      <c r="D22" s="38"/>
      <c r="E22" s="38"/>
      <c r="F22" s="38"/>
      <c r="G22" s="38"/>
      <c r="H22" s="38"/>
      <c r="I22" s="38"/>
    </row>
    <row r="23" customFormat="false" ht="19.5" hidden="false" customHeight="true" outlineLevel="0" collapsed="false">
      <c r="B23" s="39" t="s">
        <v>205</v>
      </c>
      <c r="C23" s="39"/>
      <c r="D23" s="39"/>
      <c r="E23" s="39"/>
      <c r="F23" s="39"/>
      <c r="G23" s="29" t="n">
        <f aca="false">COUNTA(D6:D20)</f>
        <v>0</v>
      </c>
    </row>
    <row r="24" customFormat="false" ht="19.5" hidden="false" customHeight="true" outlineLevel="0" collapsed="false">
      <c r="B24" s="39" t="s">
        <v>206</v>
      </c>
      <c r="C24" s="39"/>
      <c r="D24" s="39"/>
      <c r="E24" s="39"/>
      <c r="F24" s="39"/>
      <c r="G24" s="29" t="n">
        <f aca="false">COUNTIF(H6:H20,"Concluída")</f>
        <v>0</v>
      </c>
    </row>
    <row r="25" customFormat="false" ht="19.5" hidden="false" customHeight="true" outlineLevel="0" collapsed="false">
      <c r="B25" s="39" t="s">
        <v>203</v>
      </c>
      <c r="C25" s="39"/>
      <c r="D25" s="39"/>
      <c r="E25" s="39"/>
      <c r="F25" s="39"/>
      <c r="G25" s="29" t="n">
        <f aca="false">COUNTIF(H6:H20,"Em andamento")</f>
        <v>0</v>
      </c>
    </row>
    <row r="26" customFormat="false" ht="19.5" hidden="false" customHeight="true" outlineLevel="0" collapsed="false">
      <c r="B26" s="39" t="s">
        <v>207</v>
      </c>
      <c r="C26" s="39"/>
      <c r="D26" s="39"/>
      <c r="E26" s="39"/>
      <c r="F26" s="39"/>
      <c r="G26" s="29" t="n">
        <f aca="false">COUNTIF(H6:H20,"Não iniciada")</f>
        <v>0</v>
      </c>
    </row>
    <row r="27" customFormat="false" ht="19.5" hidden="false" customHeight="true" outlineLevel="0" collapsed="false">
      <c r="B27" s="39" t="s">
        <v>208</v>
      </c>
      <c r="C27" s="39"/>
      <c r="D27" s="39"/>
      <c r="E27" s="39"/>
      <c r="F27" s="39"/>
      <c r="G27" s="29" t="n">
        <f aca="false">COUNTIF(I6:I20,"Atrasada")</f>
        <v>0</v>
      </c>
    </row>
    <row r="28" customFormat="false" ht="19.5" hidden="false" customHeight="true" outlineLevel="0" collapsed="false">
      <c r="B28" s="39" t="s">
        <v>209</v>
      </c>
      <c r="C28" s="39"/>
      <c r="D28" s="39"/>
      <c r="E28" s="39"/>
      <c r="F28" s="39"/>
      <c r="G28" s="29" t="n">
        <f aca="false">SUMPRODUCT((D6:D20&lt;&gt;"")*((E6:E20="")+(F6:F20="")&gt;0))</f>
        <v>0</v>
      </c>
    </row>
    <row r="29" customFormat="false" ht="19.5" hidden="false" customHeight="true" outlineLevel="0" collapsed="false">
      <c r="B29" s="39" t="s">
        <v>210</v>
      </c>
      <c r="C29" s="39"/>
      <c r="D29" s="39"/>
      <c r="E29" s="39"/>
      <c r="F29" s="39"/>
      <c r="G29" s="53" t="n">
        <f aca="false">IF(G23=0,0,G24/G23)</f>
        <v>0</v>
      </c>
    </row>
  </sheetData>
  <mergeCells count="10">
    <mergeCell ref="B1:I1"/>
    <mergeCell ref="B2:I2"/>
    <mergeCell ref="B22:I22"/>
    <mergeCell ref="B23:F23"/>
    <mergeCell ref="B24:F24"/>
    <mergeCell ref="B25:F25"/>
    <mergeCell ref="B26:F26"/>
    <mergeCell ref="B27:F27"/>
    <mergeCell ref="B28:F28"/>
    <mergeCell ref="B29:F29"/>
  </mergeCells>
  <conditionalFormatting sqref="H6:H20">
    <cfRule type="cellIs" priority="2" operator="equal" aboveAverage="0" equalAverage="0" bottom="0" percent="0" rank="0" text="" dxfId="0">
      <formula>"Concluída"</formula>
    </cfRule>
    <cfRule type="cellIs" priority="3" operator="equal" aboveAverage="0" equalAverage="0" bottom="0" percent="0" rank="0" text="" dxfId="1">
      <formula>"Em andamento"</formula>
    </cfRule>
    <cfRule type="cellIs" priority="4" operator="equal" aboveAverage="0" equalAverage="0" bottom="0" percent="0" rank="0" text="" dxfId="2">
      <formula>"Não iniciada"</formula>
    </cfRule>
  </conditionalFormatting>
  <conditionalFormatting sqref="I6:I20">
    <cfRule type="cellIs" priority="5" operator="equal" aboveAverage="0" equalAverage="0" bottom="0" percent="0" rank="0" text="" dxfId="0">
      <formula>"Concluída"</formula>
    </cfRule>
    <cfRule type="cellIs" priority="6" operator="equal" aboveAverage="0" equalAverage="0" bottom="0" percent="0" rank="0" text="" dxfId="0">
      <formula>"No prazo"</formula>
    </cfRule>
    <cfRule type="cellIs" priority="7" operator="equal" aboveAverage="0" equalAverage="0" bottom="0" percent="0" rank="0" text="" dxfId="1">
      <formula>"Sem prazo"</formula>
    </cfRule>
    <cfRule type="cellIs" priority="8" operator="equal" aboveAverage="0" equalAverage="0" bottom="0" percent="0" rank="0" text="" dxfId="2">
      <formula>"Atrasada"</formula>
    </cfRule>
  </conditionalFormatting>
  <dataValidations count="2">
    <dataValidation allowBlank="true" error="Digite uma data no formato dia/mês/ano." errorStyle="stop" errorTitle="Data inválida" operator="greaterThanOrEqual" showDropDown="false" showErrorMessage="true" showInputMessage="false" sqref="F6:F20" type="date">
      <formula1>36526</formula1>
      <formula2>0</formula2>
    </dataValidation>
    <dataValidation allowBlank="true" error="Escolha uma das opções da lista." errorStyle="stop" errorTitle="Valor inválido" operator="between" prompt="Não iniciada, Em andamento, Concluída ou Cancelada" promptTitle="Opções" showDropDown="false" showErrorMessage="true" showInputMessage="true" sqref="H6:H20" type="list">
      <formula1>"Não iniciada,Em andamento,Concluída,Cancelada"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A4A9A"/>
    <pageSetUpPr fitToPage="true"/>
  </sheetPr>
  <dimension ref="B1:E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70"/>
    <col collapsed="false" customWidth="true" hidden="false" outlineLevel="0" max="4" min="4" style="0" width="14"/>
    <col collapsed="false" customWidth="true" hidden="false" outlineLevel="0" max="5" min="5" style="0" width="44"/>
    <col collapsed="false" customWidth="true" hidden="false" outlineLevel="0" max="6" min="6" style="0" width="2"/>
  </cols>
  <sheetData>
    <row r="1" customFormat="false" ht="31.5" hidden="false" customHeight="true" outlineLevel="0" collapsed="false">
      <c r="B1" s="1" t="s">
        <v>211</v>
      </c>
      <c r="C1" s="1"/>
      <c r="D1" s="1"/>
      <c r="E1" s="1"/>
    </row>
    <row r="2" customFormat="false" ht="19.5" hidden="false" customHeight="true" outlineLevel="0" collapsed="false">
      <c r="B2" s="2" t="s">
        <v>212</v>
      </c>
      <c r="C2" s="2"/>
      <c r="D2" s="2"/>
      <c r="E2" s="2"/>
    </row>
    <row r="4" customFormat="false" ht="21.75" hidden="false" customHeight="true" outlineLevel="0" collapsed="false">
      <c r="B4" s="57" t="s">
        <v>92</v>
      </c>
      <c r="C4" s="57" t="s">
        <v>213</v>
      </c>
      <c r="D4" s="57" t="s">
        <v>198</v>
      </c>
      <c r="E4" s="57" t="s">
        <v>214</v>
      </c>
    </row>
    <row r="5" customFormat="false" ht="30" hidden="false" customHeight="true" outlineLevel="0" collapsed="false">
      <c r="B5" s="27" t="n">
        <v>1</v>
      </c>
      <c r="C5" s="6" t="s">
        <v>215</v>
      </c>
      <c r="D5" s="28"/>
      <c r="E5" s="5"/>
    </row>
    <row r="6" customFormat="false" ht="30" hidden="false" customHeight="true" outlineLevel="0" collapsed="false">
      <c r="B6" s="27" t="n">
        <v>2</v>
      </c>
      <c r="C6" s="6" t="s">
        <v>216</v>
      </c>
      <c r="D6" s="28"/>
      <c r="E6" s="5"/>
    </row>
    <row r="7" customFormat="false" ht="30" hidden="false" customHeight="true" outlineLevel="0" collapsed="false">
      <c r="B7" s="27" t="n">
        <v>3</v>
      </c>
      <c r="C7" s="6" t="s">
        <v>217</v>
      </c>
      <c r="D7" s="28"/>
      <c r="E7" s="5"/>
    </row>
    <row r="8" customFormat="false" ht="30" hidden="false" customHeight="true" outlineLevel="0" collapsed="false">
      <c r="B8" s="27" t="n">
        <v>4</v>
      </c>
      <c r="C8" s="6" t="s">
        <v>218</v>
      </c>
      <c r="D8" s="28"/>
      <c r="E8" s="5"/>
    </row>
    <row r="9" customFormat="false" ht="30" hidden="false" customHeight="true" outlineLevel="0" collapsed="false">
      <c r="B9" s="27" t="n">
        <v>5</v>
      </c>
      <c r="C9" s="6" t="s">
        <v>219</v>
      </c>
      <c r="D9" s="28"/>
      <c r="E9" s="5"/>
    </row>
    <row r="10" customFormat="false" ht="30" hidden="false" customHeight="true" outlineLevel="0" collapsed="false">
      <c r="B10" s="27" t="n">
        <v>6</v>
      </c>
      <c r="C10" s="6" t="s">
        <v>220</v>
      </c>
      <c r="D10" s="28"/>
      <c r="E10" s="5"/>
    </row>
    <row r="11" customFormat="false" ht="30" hidden="false" customHeight="true" outlineLevel="0" collapsed="false">
      <c r="B11" s="27" t="n">
        <v>7</v>
      </c>
      <c r="C11" s="6" t="s">
        <v>221</v>
      </c>
      <c r="D11" s="28"/>
      <c r="E11" s="5"/>
    </row>
    <row r="12" customFormat="false" ht="30" hidden="false" customHeight="true" outlineLevel="0" collapsed="false">
      <c r="B12" s="27" t="n">
        <v>8</v>
      </c>
      <c r="C12" s="6" t="s">
        <v>222</v>
      </c>
      <c r="D12" s="28"/>
      <c r="E12" s="5"/>
    </row>
    <row r="13" customFormat="false" ht="30" hidden="false" customHeight="true" outlineLevel="0" collapsed="false">
      <c r="B13" s="27" t="n">
        <v>9</v>
      </c>
      <c r="C13" s="6" t="s">
        <v>223</v>
      </c>
      <c r="D13" s="28"/>
      <c r="E13" s="5"/>
    </row>
    <row r="14" customFormat="false" ht="30" hidden="false" customHeight="true" outlineLevel="0" collapsed="false">
      <c r="B14" s="27" t="n">
        <v>10</v>
      </c>
      <c r="C14" s="6" t="s">
        <v>224</v>
      </c>
      <c r="D14" s="28"/>
      <c r="E14" s="5"/>
    </row>
    <row r="15" customFormat="false" ht="30" hidden="false" customHeight="true" outlineLevel="0" collapsed="false">
      <c r="B15" s="27" t="n">
        <v>11</v>
      </c>
      <c r="C15" s="6" t="s">
        <v>225</v>
      </c>
      <c r="D15" s="28"/>
      <c r="E15" s="5"/>
    </row>
    <row r="16" customFormat="false" ht="30" hidden="false" customHeight="true" outlineLevel="0" collapsed="false">
      <c r="B16" s="27" t="n">
        <v>12</v>
      </c>
      <c r="C16" s="6" t="s">
        <v>226</v>
      </c>
      <c r="D16" s="28"/>
      <c r="E16" s="5"/>
    </row>
    <row r="18" customFormat="false" ht="21.75" hidden="false" customHeight="true" outlineLevel="0" collapsed="false">
      <c r="B18" s="38" t="s">
        <v>136</v>
      </c>
      <c r="C18" s="38"/>
      <c r="D18" s="38"/>
      <c r="E18" s="38"/>
    </row>
    <row r="19" customFormat="false" ht="19.5" hidden="false" customHeight="true" outlineLevel="0" collapsed="false">
      <c r="B19" s="39" t="s">
        <v>227</v>
      </c>
      <c r="C19" s="39"/>
      <c r="D19" s="29" t="n">
        <f aca="false">COUNTIF(D5:D16,"Sim")</f>
        <v>0</v>
      </c>
    </row>
    <row r="20" customFormat="false" ht="19.5" hidden="false" customHeight="true" outlineLevel="0" collapsed="false">
      <c r="B20" s="39" t="s">
        <v>228</v>
      </c>
      <c r="C20" s="39"/>
      <c r="D20" s="29" t="n">
        <f aca="false">COUNTIF(D5:D16,"Parcial")</f>
        <v>0</v>
      </c>
    </row>
    <row r="21" customFormat="false" ht="19.5" hidden="false" customHeight="true" outlineLevel="0" collapsed="false">
      <c r="B21" s="39" t="s">
        <v>229</v>
      </c>
      <c r="C21" s="39"/>
      <c r="D21" s="29" t="n">
        <f aca="false">COUNTIF(D5:D16,"Não")</f>
        <v>0</v>
      </c>
    </row>
    <row r="22" customFormat="false" ht="19.5" hidden="false" customHeight="true" outlineLevel="0" collapsed="false">
      <c r="B22" s="39" t="s">
        <v>230</v>
      </c>
      <c r="C22" s="39"/>
      <c r="D22" s="29" t="n">
        <f aca="false">COUNTBLANK(D5:D16)</f>
        <v>12</v>
      </c>
    </row>
    <row r="23" customFormat="false" ht="19.5" hidden="false" customHeight="true" outlineLevel="0" collapsed="false">
      <c r="B23" s="39" t="s">
        <v>231</v>
      </c>
      <c r="C23" s="39"/>
      <c r="D23" s="53" t="n">
        <f aca="false">D19/ROWS(D5:D16)</f>
        <v>0</v>
      </c>
    </row>
    <row r="24" customFormat="false" ht="19.5" hidden="false" customHeight="true" outlineLevel="0" collapsed="false">
      <c r="B24" s="39" t="s">
        <v>199</v>
      </c>
      <c r="C24" s="39"/>
      <c r="D24" s="29" t="str">
        <f aca="false">IF(D19=ROWS(D5:D16),"Validado",IF(D22&gt;0,"Em andamento","Com pendências"))</f>
        <v>Em andamento</v>
      </c>
    </row>
  </sheetData>
  <mergeCells count="9">
    <mergeCell ref="B1:E1"/>
    <mergeCell ref="B2:E2"/>
    <mergeCell ref="B18:E18"/>
    <mergeCell ref="B19:C19"/>
    <mergeCell ref="B20:C20"/>
    <mergeCell ref="B21:C21"/>
    <mergeCell ref="B22:C22"/>
    <mergeCell ref="B23:C23"/>
    <mergeCell ref="B24:C24"/>
  </mergeCells>
  <conditionalFormatting sqref="D5:D16">
    <cfRule type="cellIs" priority="2" operator="equal" aboveAverage="0" equalAverage="0" bottom="0" percent="0" rank="0" text="" dxfId="0">
      <formula>"Sim"</formula>
    </cfRule>
    <cfRule type="cellIs" priority="3" operator="equal" aboveAverage="0" equalAverage="0" bottom="0" percent="0" rank="0" text="" dxfId="1">
      <formula>"Parcial"</formula>
    </cfRule>
    <cfRule type="cellIs" priority="4" operator="equal" aboveAverage="0" equalAverage="0" bottom="0" percent="0" rank="0" text="" dxfId="2">
      <formula>"Não"</formula>
    </cfRule>
  </conditionalFormatting>
  <dataValidations count="1">
    <dataValidation allowBlank="true" error="Escolha uma das opções da lista." errorStyle="stop" errorTitle="Valor inválido" operator="between" prompt="Sim, Parcial ou Não" promptTitle="Opções" showDropDown="false" showErrorMessage="true" showInputMessage="true" sqref="D5:D16" type="list">
      <formula1>"Sim,Parcial,Não"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6B76"/>
    <pageSetUpPr fitToPage="true"/>
  </sheetPr>
  <dimension ref="B1:M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20"/>
    <col collapsed="false" customWidth="true" hidden="false" outlineLevel="0" max="4" min="4" style="0" width="26"/>
    <col collapsed="false" customWidth="true" hidden="false" outlineLevel="0" max="6" min="5" style="0" width="10"/>
    <col collapsed="false" customWidth="true" hidden="false" outlineLevel="0" max="7" min="7" style="0" width="9"/>
    <col collapsed="false" customWidth="true" hidden="false" outlineLevel="0" max="8" min="8" style="0" width="5"/>
    <col collapsed="false" customWidth="true" hidden="false" outlineLevel="0" max="9" min="9" style="0" width="20"/>
    <col collapsed="false" customWidth="true" hidden="false" outlineLevel="0" max="10" min="10" style="0" width="26"/>
    <col collapsed="false" customWidth="true" hidden="false" outlineLevel="0" max="12" min="11" style="0" width="10"/>
    <col collapsed="false" customWidth="true" hidden="false" outlineLevel="0" max="13" min="13" style="0" width="9"/>
    <col collapsed="false" customWidth="true" hidden="false" outlineLevel="0" max="14" min="14" style="0" width="2"/>
  </cols>
  <sheetData>
    <row r="1" customFormat="false" ht="31.5" hidden="false" customHeight="true" outlineLevel="0" collapsed="false">
      <c r="B1" s="1" t="s">
        <v>76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9.5" hidden="false" customHeight="true" outlineLevel="0" collapsed="false">
      <c r="B2" s="2" t="s">
        <v>232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21.75" hidden="false" customHeight="true" outlineLevel="0" collapsed="false">
      <c r="B4" s="4" t="s">
        <v>78</v>
      </c>
      <c r="C4" s="4"/>
      <c r="D4" s="60" t="s">
        <v>233</v>
      </c>
      <c r="E4" s="60"/>
      <c r="F4" s="60"/>
      <c r="G4" s="60"/>
      <c r="H4" s="4" t="s">
        <v>79</v>
      </c>
      <c r="I4" s="4"/>
      <c r="J4" s="60" t="s">
        <v>201</v>
      </c>
      <c r="K4" s="60"/>
      <c r="L4" s="60"/>
      <c r="M4" s="60"/>
    </row>
    <row r="5" customFormat="false" ht="21.75" hidden="false" customHeight="true" outlineLevel="0" collapsed="false">
      <c r="B5" s="4" t="s">
        <v>80</v>
      </c>
      <c r="C5" s="4"/>
      <c r="D5" s="60" t="s">
        <v>234</v>
      </c>
      <c r="E5" s="60"/>
      <c r="F5" s="60"/>
      <c r="G5" s="60"/>
      <c r="H5" s="4" t="s">
        <v>81</v>
      </c>
      <c r="I5" s="4"/>
      <c r="J5" s="61" t="n">
        <v>46294</v>
      </c>
      <c r="K5" s="61"/>
      <c r="L5" s="61"/>
      <c r="M5" s="61"/>
    </row>
    <row r="6" customFormat="false" ht="21.75" hidden="false" customHeight="true" outlineLevel="0" collapsed="false">
      <c r="B6" s="4" t="s">
        <v>82</v>
      </c>
      <c r="C6" s="4"/>
      <c r="D6" s="60" t="s">
        <v>235</v>
      </c>
      <c r="E6" s="60"/>
      <c r="F6" s="60"/>
      <c r="G6" s="60"/>
      <c r="H6" s="4" t="s">
        <v>83</v>
      </c>
      <c r="I6" s="4"/>
      <c r="J6" s="60" t="s">
        <v>236</v>
      </c>
      <c r="K6" s="60"/>
      <c r="L6" s="60"/>
      <c r="M6" s="60"/>
    </row>
    <row r="7" customFormat="false" ht="30" hidden="false" customHeight="true" outlineLevel="0" collapsed="false">
      <c r="B7" s="4" t="s">
        <v>84</v>
      </c>
      <c r="C7" s="4"/>
      <c r="D7" s="60" t="s">
        <v>237</v>
      </c>
      <c r="E7" s="60"/>
      <c r="F7" s="60"/>
      <c r="G7" s="60"/>
      <c r="H7" s="60"/>
      <c r="I7" s="60"/>
      <c r="J7" s="60"/>
      <c r="K7" s="60"/>
      <c r="L7" s="60"/>
      <c r="M7" s="60"/>
    </row>
    <row r="8" customFormat="false" ht="30" hidden="false" customHeight="true" outlineLevel="0" collapsed="false">
      <c r="B8" s="4" t="s">
        <v>85</v>
      </c>
      <c r="C8" s="4"/>
      <c r="D8" s="60" t="s">
        <v>238</v>
      </c>
      <c r="E8" s="60"/>
      <c r="F8" s="60"/>
      <c r="G8" s="60"/>
      <c r="H8" s="4" t="s">
        <v>86</v>
      </c>
      <c r="I8" s="4"/>
      <c r="J8" s="60" t="s">
        <v>239</v>
      </c>
      <c r="K8" s="60"/>
      <c r="L8" s="60"/>
      <c r="M8" s="60"/>
    </row>
    <row r="9" customFormat="false" ht="30" hidden="false" customHeight="true" outlineLevel="0" collapsed="false">
      <c r="B9" s="4" t="s">
        <v>87</v>
      </c>
      <c r="C9" s="4"/>
      <c r="D9" s="60" t="s">
        <v>240</v>
      </c>
      <c r="E9" s="60"/>
      <c r="F9" s="60"/>
      <c r="G9" s="60"/>
      <c r="H9" s="60"/>
      <c r="I9" s="60"/>
      <c r="J9" s="60"/>
      <c r="K9" s="60"/>
      <c r="L9" s="60"/>
      <c r="M9" s="60"/>
    </row>
    <row r="11" customFormat="false" ht="33.75" hidden="false" customHeight="true" outlineLevel="0" collapsed="false">
      <c r="B11" s="17" t="s">
        <v>14</v>
      </c>
      <c r="C11" s="17"/>
      <c r="D11" s="17"/>
      <c r="E11" s="17"/>
      <c r="F11" s="17"/>
      <c r="G11" s="17"/>
      <c r="H11" s="18" t="s">
        <v>16</v>
      </c>
      <c r="I11" s="18"/>
      <c r="J11" s="18"/>
      <c r="K11" s="18"/>
      <c r="L11" s="18"/>
      <c r="M11" s="18"/>
    </row>
    <row r="12" customFormat="false" ht="21.75" hidden="false" customHeight="true" outlineLevel="0" collapsed="false">
      <c r="B12" s="8" t="s">
        <v>88</v>
      </c>
      <c r="C12" s="8"/>
      <c r="D12" s="8"/>
      <c r="E12" s="8"/>
      <c r="F12" s="8"/>
      <c r="G12" s="8"/>
      <c r="H12" s="10" t="s">
        <v>89</v>
      </c>
      <c r="I12" s="10"/>
      <c r="J12" s="10"/>
      <c r="K12" s="10"/>
      <c r="L12" s="10"/>
      <c r="M12" s="10"/>
    </row>
    <row r="13" customFormat="false" ht="24" hidden="false" customHeight="true" outlineLevel="0" collapsed="false">
      <c r="B13" s="19" t="s">
        <v>90</v>
      </c>
      <c r="C13" s="19"/>
      <c r="D13" s="19"/>
      <c r="E13" s="19"/>
      <c r="F13" s="19"/>
      <c r="G13" s="19"/>
      <c r="H13" s="20" t="s">
        <v>91</v>
      </c>
      <c r="I13" s="20"/>
      <c r="J13" s="20"/>
      <c r="K13" s="20"/>
      <c r="L13" s="20"/>
      <c r="M13" s="20"/>
    </row>
    <row r="14" customFormat="false" ht="21.75" hidden="false" customHeight="true" outlineLevel="0" collapsed="false">
      <c r="B14" s="21" t="s">
        <v>92</v>
      </c>
      <c r="C14" s="21" t="s">
        <v>93</v>
      </c>
      <c r="D14" s="21"/>
      <c r="E14" s="22" t="s">
        <v>23</v>
      </c>
      <c r="F14" s="22" t="s">
        <v>94</v>
      </c>
      <c r="G14" s="22" t="s">
        <v>29</v>
      </c>
      <c r="H14" s="23" t="s">
        <v>92</v>
      </c>
      <c r="I14" s="23" t="s">
        <v>93</v>
      </c>
      <c r="J14" s="23"/>
      <c r="K14" s="24" t="s">
        <v>23</v>
      </c>
      <c r="L14" s="24" t="s">
        <v>94</v>
      </c>
      <c r="M14" s="24" t="s">
        <v>29</v>
      </c>
    </row>
    <row r="15" customFormat="false" ht="30" hidden="false" customHeight="true" outlineLevel="0" collapsed="false">
      <c r="B15" s="26" t="s">
        <v>241</v>
      </c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</row>
    <row r="16" customFormat="false" ht="33" hidden="false" customHeight="true" outlineLevel="0" collapsed="false">
      <c r="B16" s="27" t="s">
        <v>98</v>
      </c>
      <c r="C16" s="9" t="s">
        <v>242</v>
      </c>
      <c r="D16" s="9"/>
      <c r="E16" s="62" t="n">
        <v>5</v>
      </c>
      <c r="F16" s="62" t="n">
        <v>4</v>
      </c>
      <c r="G16" s="29" t="n">
        <f aca="false">IF(OR(E16="",F16=""),"",E16*F16)</f>
        <v>20</v>
      </c>
      <c r="H16" s="27" t="s">
        <v>99</v>
      </c>
      <c r="I16" s="11" t="s">
        <v>97</v>
      </c>
      <c r="J16" s="11"/>
      <c r="K16" s="63" t="n">
        <v>5</v>
      </c>
      <c r="L16" s="63" t="n">
        <v>4</v>
      </c>
      <c r="M16" s="29" t="n">
        <f aca="false">IF(OR(K16="",L16=""),"",K16*L16)</f>
        <v>20</v>
      </c>
    </row>
    <row r="17" customFormat="false" ht="33" hidden="false" customHeight="true" outlineLevel="0" collapsed="false">
      <c r="B17" s="27" t="s">
        <v>100</v>
      </c>
      <c r="C17" s="9" t="s">
        <v>243</v>
      </c>
      <c r="D17" s="9"/>
      <c r="E17" s="62" t="n">
        <v>4</v>
      </c>
      <c r="F17" s="62" t="n">
        <v>4</v>
      </c>
      <c r="G17" s="29" t="n">
        <f aca="false">IF(OR(E17="",F17=""),"",E17*F17)</f>
        <v>16</v>
      </c>
      <c r="H17" s="27" t="s">
        <v>101</v>
      </c>
      <c r="I17" s="11" t="s">
        <v>181</v>
      </c>
      <c r="J17" s="11"/>
      <c r="K17" s="63" t="n">
        <v>4</v>
      </c>
      <c r="L17" s="63" t="n">
        <v>5</v>
      </c>
      <c r="M17" s="29" t="n">
        <f aca="false">IF(OR(K17="",L17=""),"",K17*L17)</f>
        <v>20</v>
      </c>
    </row>
    <row r="18" customFormat="false" ht="33" hidden="false" customHeight="true" outlineLevel="0" collapsed="false">
      <c r="B18" s="27" t="s">
        <v>102</v>
      </c>
      <c r="C18" s="9" t="s">
        <v>244</v>
      </c>
      <c r="D18" s="9"/>
      <c r="E18" s="62" t="n">
        <v>4</v>
      </c>
      <c r="F18" s="62" t="n">
        <v>3</v>
      </c>
      <c r="G18" s="29" t="n">
        <f aca="false">IF(OR(E18="",F18=""),"",E18*F18)</f>
        <v>12</v>
      </c>
      <c r="H18" s="27" t="s">
        <v>103</v>
      </c>
      <c r="I18" s="11" t="s">
        <v>245</v>
      </c>
      <c r="J18" s="11"/>
      <c r="K18" s="63" t="n">
        <v>3</v>
      </c>
      <c r="L18" s="63" t="n">
        <v>3</v>
      </c>
      <c r="M18" s="29" t="n">
        <f aca="false">IF(OR(K18="",L18=""),"",K18*L18)</f>
        <v>9</v>
      </c>
    </row>
    <row r="19" customFormat="false" ht="33" hidden="false" customHeight="true" outlineLevel="0" collapsed="false">
      <c r="B19" s="27" t="s">
        <v>104</v>
      </c>
      <c r="C19" s="9" t="s">
        <v>246</v>
      </c>
      <c r="D19" s="9"/>
      <c r="E19" s="62" t="n">
        <v>3</v>
      </c>
      <c r="F19" s="62" t="n">
        <v>3</v>
      </c>
      <c r="G19" s="29" t="n">
        <f aca="false">IF(OR(E19="",F19=""),"",E19*F19)</f>
        <v>9</v>
      </c>
      <c r="H19" s="27" t="s">
        <v>105</v>
      </c>
      <c r="I19" s="11" t="s">
        <v>247</v>
      </c>
      <c r="J19" s="11"/>
      <c r="K19" s="63" t="n">
        <v>2</v>
      </c>
      <c r="L19" s="63" t="n">
        <v>3</v>
      </c>
      <c r="M19" s="29" t="n">
        <f aca="false">IF(OR(K19="",L19=""),"",K19*L19)</f>
        <v>6</v>
      </c>
    </row>
    <row r="20" customFormat="false" ht="33" hidden="false" customHeight="true" outlineLevel="0" collapsed="false">
      <c r="B20" s="27" t="s">
        <v>106</v>
      </c>
      <c r="C20" s="60"/>
      <c r="D20" s="60"/>
      <c r="E20" s="64"/>
      <c r="F20" s="64"/>
      <c r="G20" s="29" t="str">
        <f aca="false">IF(OR(E20="",F20=""),"",E20*F20)</f>
        <v/>
      </c>
      <c r="H20" s="27" t="s">
        <v>107</v>
      </c>
      <c r="I20" s="60"/>
      <c r="J20" s="60"/>
      <c r="K20" s="64"/>
      <c r="L20" s="64"/>
      <c r="M20" s="29" t="str">
        <f aca="false">IF(OR(K20="",L20=""),"",K20*L20)</f>
        <v/>
      </c>
    </row>
    <row r="21" customFormat="false" ht="33" hidden="false" customHeight="true" outlineLevel="0" collapsed="false">
      <c r="B21" s="27" t="s">
        <v>108</v>
      </c>
      <c r="C21" s="60"/>
      <c r="D21" s="60"/>
      <c r="E21" s="64"/>
      <c r="F21" s="64"/>
      <c r="G21" s="29" t="str">
        <f aca="false">IF(OR(E21="",F21=""),"",E21*F21)</f>
        <v/>
      </c>
      <c r="H21" s="27" t="s">
        <v>109</v>
      </c>
      <c r="I21" s="60"/>
      <c r="J21" s="60"/>
      <c r="K21" s="64"/>
      <c r="L21" s="64"/>
      <c r="M21" s="29" t="str">
        <f aca="false">IF(OR(K21="",L21=""),"",K21*L21)</f>
        <v/>
      </c>
    </row>
    <row r="22" customFormat="false" ht="33" hidden="false" customHeight="true" outlineLevel="0" collapsed="false">
      <c r="B22" s="27" t="s">
        <v>110</v>
      </c>
      <c r="C22" s="60"/>
      <c r="D22" s="60"/>
      <c r="E22" s="64"/>
      <c r="F22" s="64"/>
      <c r="G22" s="29" t="str">
        <f aca="false">IF(OR(E22="",F22=""),"",E22*F22)</f>
        <v/>
      </c>
      <c r="H22" s="27" t="s">
        <v>111</v>
      </c>
      <c r="I22" s="60"/>
      <c r="J22" s="60"/>
      <c r="K22" s="64"/>
      <c r="L22" s="64"/>
      <c r="M22" s="29" t="str">
        <f aca="false">IF(OR(K22="",L22=""),"",K22*L22)</f>
        <v/>
      </c>
    </row>
    <row r="23" customFormat="false" ht="33" hidden="false" customHeight="true" outlineLevel="0" collapsed="false">
      <c r="B23" s="27" t="s">
        <v>112</v>
      </c>
      <c r="C23" s="60"/>
      <c r="D23" s="60"/>
      <c r="E23" s="64"/>
      <c r="F23" s="64"/>
      <c r="G23" s="29" t="str">
        <f aca="false">IF(OR(E23="",F23=""),"",E23*F23)</f>
        <v/>
      </c>
      <c r="H23" s="27" t="s">
        <v>113</v>
      </c>
      <c r="I23" s="60"/>
      <c r="J23" s="60"/>
      <c r="K23" s="64"/>
      <c r="L23" s="64"/>
      <c r="M23" s="29" t="str">
        <f aca="false">IF(OR(K23="",L23=""),"",K23*L23)</f>
        <v/>
      </c>
    </row>
    <row r="25" customFormat="false" ht="33.75" hidden="false" customHeight="true" outlineLevel="0" collapsed="false">
      <c r="B25" s="30" t="s">
        <v>18</v>
      </c>
      <c r="C25" s="30"/>
      <c r="D25" s="30"/>
      <c r="E25" s="30"/>
      <c r="F25" s="30"/>
      <c r="G25" s="30"/>
      <c r="H25" s="31" t="s">
        <v>20</v>
      </c>
      <c r="I25" s="31"/>
      <c r="J25" s="31"/>
      <c r="K25" s="31"/>
      <c r="L25" s="31"/>
      <c r="M25" s="31"/>
    </row>
    <row r="26" customFormat="false" ht="21.75" hidden="false" customHeight="true" outlineLevel="0" collapsed="false">
      <c r="B26" s="12" t="s">
        <v>114</v>
      </c>
      <c r="C26" s="12"/>
      <c r="D26" s="12"/>
      <c r="E26" s="12"/>
      <c r="F26" s="12"/>
      <c r="G26" s="12"/>
      <c r="H26" s="14" t="s">
        <v>115</v>
      </c>
      <c r="I26" s="14"/>
      <c r="J26" s="14"/>
      <c r="K26" s="14"/>
      <c r="L26" s="14"/>
      <c r="M26" s="14"/>
    </row>
    <row r="27" customFormat="false" ht="24" hidden="false" customHeight="true" outlineLevel="0" collapsed="false">
      <c r="B27" s="32" t="s">
        <v>116</v>
      </c>
      <c r="C27" s="32"/>
      <c r="D27" s="32"/>
      <c r="E27" s="32"/>
      <c r="F27" s="32"/>
      <c r="G27" s="32"/>
      <c r="H27" s="33" t="s">
        <v>117</v>
      </c>
      <c r="I27" s="33"/>
      <c r="J27" s="33"/>
      <c r="K27" s="33"/>
      <c r="L27" s="33"/>
      <c r="M27" s="33"/>
    </row>
    <row r="28" customFormat="false" ht="21.75" hidden="false" customHeight="true" outlineLevel="0" collapsed="false">
      <c r="B28" s="34" t="s">
        <v>92</v>
      </c>
      <c r="C28" s="34" t="s">
        <v>93</v>
      </c>
      <c r="D28" s="34"/>
      <c r="E28" s="35" t="s">
        <v>23</v>
      </c>
      <c r="F28" s="35" t="s">
        <v>94</v>
      </c>
      <c r="G28" s="35" t="s">
        <v>29</v>
      </c>
      <c r="H28" s="36" t="s">
        <v>92</v>
      </c>
      <c r="I28" s="36" t="s">
        <v>93</v>
      </c>
      <c r="J28" s="36"/>
      <c r="K28" s="37" t="s">
        <v>23</v>
      </c>
      <c r="L28" s="37" t="s">
        <v>94</v>
      </c>
      <c r="M28" s="37" t="s">
        <v>29</v>
      </c>
    </row>
    <row r="29" customFormat="false" ht="30" hidden="false" customHeight="true" outlineLevel="0" collapsed="false">
      <c r="B29" s="26" t="s">
        <v>248</v>
      </c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</row>
    <row r="30" customFormat="false" ht="33" hidden="false" customHeight="true" outlineLevel="0" collapsed="false">
      <c r="B30" s="27" t="s">
        <v>120</v>
      </c>
      <c r="C30" s="13" t="s">
        <v>118</v>
      </c>
      <c r="D30" s="13"/>
      <c r="E30" s="65" t="n">
        <v>5</v>
      </c>
      <c r="F30" s="65" t="n">
        <v>4</v>
      </c>
      <c r="G30" s="29" t="n">
        <f aca="false">IF(OR(E30="",F30=""),"",E30*F30)</f>
        <v>20</v>
      </c>
      <c r="H30" s="27" t="s">
        <v>121</v>
      </c>
      <c r="I30" s="15" t="s">
        <v>119</v>
      </c>
      <c r="J30" s="15"/>
      <c r="K30" s="66" t="n">
        <v>4</v>
      </c>
      <c r="L30" s="66" t="n">
        <v>4</v>
      </c>
      <c r="M30" s="29" t="n">
        <f aca="false">IF(OR(K30="",L30=""),"",K30*L30)</f>
        <v>16</v>
      </c>
    </row>
    <row r="31" customFormat="false" ht="33" hidden="false" customHeight="true" outlineLevel="0" collapsed="false">
      <c r="B31" s="27" t="s">
        <v>122</v>
      </c>
      <c r="C31" s="13" t="s">
        <v>249</v>
      </c>
      <c r="D31" s="13"/>
      <c r="E31" s="65" t="n">
        <v>3</v>
      </c>
      <c r="F31" s="65" t="n">
        <v>3</v>
      </c>
      <c r="G31" s="29" t="n">
        <f aca="false">IF(OR(E31="",F31=""),"",E31*F31)</f>
        <v>9</v>
      </c>
      <c r="H31" s="27" t="s">
        <v>123</v>
      </c>
      <c r="I31" s="15" t="s">
        <v>250</v>
      </c>
      <c r="J31" s="15"/>
      <c r="K31" s="66" t="n">
        <v>4</v>
      </c>
      <c r="L31" s="66" t="n">
        <v>3</v>
      </c>
      <c r="M31" s="29" t="n">
        <f aca="false">IF(OR(K31="",L31=""),"",K31*L31)</f>
        <v>12</v>
      </c>
    </row>
    <row r="32" customFormat="false" ht="33" hidden="false" customHeight="true" outlineLevel="0" collapsed="false">
      <c r="B32" s="27" t="s">
        <v>124</v>
      </c>
      <c r="C32" s="13" t="s">
        <v>251</v>
      </c>
      <c r="D32" s="13"/>
      <c r="E32" s="65" t="n">
        <v>2</v>
      </c>
      <c r="F32" s="65" t="n">
        <v>3</v>
      </c>
      <c r="G32" s="29" t="n">
        <f aca="false">IF(OR(E32="",F32=""),"",E32*F32)</f>
        <v>6</v>
      </c>
      <c r="H32" s="27" t="s">
        <v>125</v>
      </c>
      <c r="I32" s="15" t="s">
        <v>252</v>
      </c>
      <c r="J32" s="15"/>
      <c r="K32" s="66" t="n">
        <v>3</v>
      </c>
      <c r="L32" s="66" t="n">
        <v>4</v>
      </c>
      <c r="M32" s="29" t="n">
        <f aca="false">IF(OR(K32="",L32=""),"",K32*L32)</f>
        <v>12</v>
      </c>
    </row>
    <row r="33" customFormat="false" ht="33" hidden="false" customHeight="true" outlineLevel="0" collapsed="false">
      <c r="B33" s="27" t="s">
        <v>126</v>
      </c>
      <c r="C33" s="13" t="s">
        <v>182</v>
      </c>
      <c r="D33" s="13"/>
      <c r="E33" s="65" t="n">
        <v>4</v>
      </c>
      <c r="F33" s="65" t="n">
        <v>4</v>
      </c>
      <c r="G33" s="29" t="n">
        <f aca="false">IF(OR(E33="",F33=""),"",E33*F33)</f>
        <v>16</v>
      </c>
      <c r="H33" s="27" t="s">
        <v>127</v>
      </c>
      <c r="I33" s="15" t="s">
        <v>253</v>
      </c>
      <c r="J33" s="15"/>
      <c r="K33" s="66" t="n">
        <v>2</v>
      </c>
      <c r="L33" s="66" t="n">
        <v>2</v>
      </c>
      <c r="M33" s="29" t="n">
        <f aca="false">IF(OR(K33="",L33=""),"",K33*L33)</f>
        <v>4</v>
      </c>
    </row>
    <row r="34" customFormat="false" ht="33" hidden="false" customHeight="true" outlineLevel="0" collapsed="false">
      <c r="B34" s="27" t="s">
        <v>128</v>
      </c>
      <c r="C34" s="60"/>
      <c r="D34" s="60"/>
      <c r="E34" s="64"/>
      <c r="F34" s="64"/>
      <c r="G34" s="29" t="str">
        <f aca="false">IF(OR(E34="",F34=""),"",E34*F34)</f>
        <v/>
      </c>
      <c r="H34" s="27" t="s">
        <v>129</v>
      </c>
      <c r="I34" s="60"/>
      <c r="J34" s="60"/>
      <c r="K34" s="64"/>
      <c r="L34" s="64"/>
      <c r="M34" s="29" t="str">
        <f aca="false">IF(OR(K34="",L34=""),"",K34*L34)</f>
        <v/>
      </c>
    </row>
    <row r="35" customFormat="false" ht="33" hidden="false" customHeight="true" outlineLevel="0" collapsed="false">
      <c r="B35" s="27" t="s">
        <v>130</v>
      </c>
      <c r="C35" s="60"/>
      <c r="D35" s="60"/>
      <c r="E35" s="64"/>
      <c r="F35" s="64"/>
      <c r="G35" s="29" t="str">
        <f aca="false">IF(OR(E35="",F35=""),"",E35*F35)</f>
        <v/>
      </c>
      <c r="H35" s="27" t="s">
        <v>131</v>
      </c>
      <c r="I35" s="60"/>
      <c r="J35" s="60"/>
      <c r="K35" s="64"/>
      <c r="L35" s="64"/>
      <c r="M35" s="29" t="str">
        <f aca="false">IF(OR(K35="",L35=""),"",K35*L35)</f>
        <v/>
      </c>
    </row>
    <row r="36" customFormat="false" ht="33" hidden="false" customHeight="true" outlineLevel="0" collapsed="false">
      <c r="B36" s="27" t="s">
        <v>132</v>
      </c>
      <c r="C36" s="60"/>
      <c r="D36" s="60"/>
      <c r="E36" s="64"/>
      <c r="F36" s="64"/>
      <c r="G36" s="29" t="str">
        <f aca="false">IF(OR(E36="",F36=""),"",E36*F36)</f>
        <v/>
      </c>
      <c r="H36" s="27" t="s">
        <v>133</v>
      </c>
      <c r="I36" s="60"/>
      <c r="J36" s="60"/>
      <c r="K36" s="64"/>
      <c r="L36" s="64"/>
      <c r="M36" s="29" t="str">
        <f aca="false">IF(OR(K36="",L36=""),"",K36*L36)</f>
        <v/>
      </c>
    </row>
    <row r="37" customFormat="false" ht="33" hidden="false" customHeight="true" outlineLevel="0" collapsed="false">
      <c r="B37" s="27" t="s">
        <v>134</v>
      </c>
      <c r="C37" s="60"/>
      <c r="D37" s="60"/>
      <c r="E37" s="64"/>
      <c r="F37" s="64"/>
      <c r="G37" s="29" t="str">
        <f aca="false">IF(OR(E37="",F37=""),"",E37*F37)</f>
        <v/>
      </c>
      <c r="H37" s="27" t="s">
        <v>135</v>
      </c>
      <c r="I37" s="60"/>
      <c r="J37" s="60"/>
      <c r="K37" s="64"/>
      <c r="L37" s="64"/>
      <c r="M37" s="29" t="str">
        <f aca="false">IF(OR(K37="",L37=""),"",K37*L37)</f>
        <v/>
      </c>
    </row>
    <row r="39" customFormat="false" ht="21.75" hidden="false" customHeight="true" outlineLevel="0" collapsed="false">
      <c r="B39" s="38" t="s">
        <v>136</v>
      </c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</row>
    <row r="40" customFormat="false" ht="21.75" hidden="false" customHeight="true" outlineLevel="0" collapsed="false">
      <c r="B40" s="39" t="s">
        <v>137</v>
      </c>
      <c r="C40" s="39"/>
      <c r="D40" s="39"/>
      <c r="E40" s="8" t="s">
        <v>138</v>
      </c>
      <c r="F40" s="8"/>
      <c r="G40" s="8"/>
      <c r="H40" s="10" t="s">
        <v>139</v>
      </c>
      <c r="I40" s="10"/>
      <c r="J40" s="12" t="s">
        <v>140</v>
      </c>
      <c r="K40" s="14" t="s">
        <v>141</v>
      </c>
      <c r="L40" s="14"/>
      <c r="M40" s="14"/>
    </row>
    <row r="41" customFormat="false" ht="21.75" hidden="false" customHeight="true" outlineLevel="0" collapsed="false">
      <c r="B41" s="39" t="s">
        <v>142</v>
      </c>
      <c r="C41" s="39"/>
      <c r="D41" s="39"/>
      <c r="E41" s="40" t="n">
        <f aca="false">COUNTA(C16:C23)</f>
        <v>4</v>
      </c>
      <c r="F41" s="40"/>
      <c r="G41" s="40"/>
      <c r="H41" s="40" t="n">
        <f aca="false">COUNTA(I16:I23)</f>
        <v>4</v>
      </c>
      <c r="I41" s="40"/>
      <c r="J41" s="40" t="n">
        <f aca="false">COUNTA(C30:C37)</f>
        <v>4</v>
      </c>
      <c r="K41" s="40" t="n">
        <f aca="false">COUNTA(I30:I37)</f>
        <v>4</v>
      </c>
      <c r="L41" s="40"/>
      <c r="M41" s="40"/>
    </row>
    <row r="42" customFormat="false" ht="21.75" hidden="false" customHeight="true" outlineLevel="0" collapsed="false">
      <c r="B42" s="39" t="s">
        <v>29</v>
      </c>
      <c r="C42" s="39"/>
      <c r="D42" s="39"/>
      <c r="E42" s="41" t="n">
        <f aca="false">SUM(G16:G23)</f>
        <v>57</v>
      </c>
      <c r="F42" s="41"/>
      <c r="G42" s="41"/>
      <c r="H42" s="41" t="n">
        <f aca="false">SUM(M16:M23)</f>
        <v>55</v>
      </c>
      <c r="I42" s="41"/>
      <c r="J42" s="41" t="n">
        <f aca="false">SUM(G30:G37)</f>
        <v>51</v>
      </c>
      <c r="K42" s="41" t="n">
        <f aca="false">SUM(M30:M37)</f>
        <v>44</v>
      </c>
      <c r="L42" s="41"/>
      <c r="M42" s="41"/>
    </row>
    <row r="43" customFormat="false" ht="30" hidden="false" customHeight="true" outlineLevel="0" collapsed="false">
      <c r="B43" s="39" t="s">
        <v>143</v>
      </c>
      <c r="C43" s="39"/>
      <c r="D43" s="39"/>
      <c r="E43" s="42" t="str">
        <f aca="false">IF(E41=0,"Liste os fatores",IF(E41&lt;3,"Poucos fatores: liste ao menos 3",IF(COUNT(G16:G23)&lt;E41,"Há fator sem nota","OK")))</f>
        <v>OK</v>
      </c>
      <c r="F43" s="42"/>
      <c r="G43" s="42"/>
      <c r="H43" s="42" t="str">
        <f aca="false">IF(H41=0,"Liste os fatores",IF(H41&lt;3,"Poucos fatores: liste ao menos 3",IF(COUNT(M16:M23)&lt;H41,"Há fator sem nota","OK")))</f>
        <v>OK</v>
      </c>
      <c r="I43" s="42"/>
      <c r="J43" s="42" t="str">
        <f aca="false">IF(J41=0,"Liste os fatores",IF(J41&lt;3,"Poucos fatores: liste ao menos 3",IF(COUNT(G30:G37)&lt;J41,"Há fator sem nota","OK")))</f>
        <v>OK</v>
      </c>
      <c r="K43" s="42" t="str">
        <f aca="false">IF(K41=0,"Liste os fatores",IF(K41&lt;3,"Poucos fatores: liste ao menos 3",IF(COUNT(M30:M37)&lt;K41,"Há fator sem nota","OK")))</f>
        <v>OK</v>
      </c>
      <c r="L43" s="42"/>
      <c r="M43" s="42"/>
    </row>
    <row r="44" customFormat="false" ht="21.75" hidden="false" customHeight="true" outlineLevel="0" collapsed="false">
      <c r="B44" s="39" t="s">
        <v>144</v>
      </c>
      <c r="C44" s="39"/>
      <c r="D44" s="39"/>
      <c r="E44" s="39"/>
      <c r="F44" s="39"/>
      <c r="G44" s="39"/>
      <c r="H44" s="43" t="n">
        <f aca="false">E42-H42</f>
        <v>2</v>
      </c>
      <c r="I44" s="43"/>
      <c r="J44" s="43"/>
      <c r="K44" s="43"/>
      <c r="L44" s="43"/>
      <c r="M44" s="43"/>
    </row>
    <row r="45" customFormat="false" ht="21.75" hidden="false" customHeight="true" outlineLevel="0" collapsed="false">
      <c r="B45" s="39" t="s">
        <v>145</v>
      </c>
      <c r="C45" s="39"/>
      <c r="D45" s="39"/>
      <c r="E45" s="39"/>
      <c r="F45" s="39"/>
      <c r="G45" s="39"/>
      <c r="H45" s="43" t="n">
        <f aca="false">J42-K42</f>
        <v>7</v>
      </c>
      <c r="I45" s="43"/>
      <c r="J45" s="43"/>
      <c r="K45" s="43"/>
      <c r="L45" s="43"/>
      <c r="M45" s="43"/>
    </row>
    <row r="46" customFormat="false" ht="30" hidden="false" customHeight="true" outlineLevel="0" collapsed="false">
      <c r="B46" s="39" t="s">
        <v>146</v>
      </c>
      <c r="C46" s="39"/>
      <c r="D46" s="39"/>
      <c r="E46" s="39"/>
      <c r="F46" s="39"/>
      <c r="G46" s="39"/>
      <c r="H46" s="44" t="str">
        <f aca="false">IF(OR(COUNT(G16:G23)=0,COUNT(M16:M23)=0,COUNT(G30:G37)=0,COUNT(M30:M37)=0),"Dê notas aos quatro quadrantes para ver a postura",IF(E42&gt;=H42,IF(J42&gt;=K42,"Desenvolvimento: usar as forças para aproveitar as oportunidades","Manutenção: usar as forças para enfrentar as ameaças"),IF(J42&gt;=K42,"Crescimento: corrigir as fraquezas para aproveitar as oportunidades","Sobrevivência: reduzir as fraquezas e proteger-se das ameaças")))</f>
        <v>Desenvolvimento: usar as forças para aproveitar as oportunidades</v>
      </c>
      <c r="I46" s="44"/>
      <c r="J46" s="44"/>
      <c r="K46" s="44"/>
      <c r="L46" s="44"/>
      <c r="M46" s="44"/>
    </row>
    <row r="47" customFormat="false" ht="21.75" hidden="false" customHeight="true" outlineLevel="0" collapsed="false">
      <c r="B47" s="39" t="s">
        <v>147</v>
      </c>
      <c r="C47" s="39"/>
      <c r="D47" s="39"/>
      <c r="E47" s="39"/>
      <c r="F47" s="39"/>
      <c r="G47" s="39"/>
      <c r="H47" s="45" t="n">
        <f aca="false">COUNTA(D4,J4,D5,J5,D6,J6,D7,D8,J8,D9)</f>
        <v>10</v>
      </c>
      <c r="I47" s="45"/>
      <c r="J47" s="45"/>
      <c r="K47" s="45"/>
      <c r="L47" s="45"/>
      <c r="M47" s="45"/>
    </row>
    <row r="49" customFormat="false" ht="21.75" hidden="false" customHeight="true" outlineLevel="0" collapsed="false">
      <c r="B49" s="38" t="s">
        <v>254</v>
      </c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</row>
    <row r="50" customFormat="false" ht="21.75" hidden="false" customHeight="true" outlineLevel="0" collapsed="false">
      <c r="B50" s="44" t="s">
        <v>179</v>
      </c>
      <c r="C50" s="44"/>
      <c r="D50" s="29" t="s">
        <v>166</v>
      </c>
      <c r="E50" s="29" t="s">
        <v>180</v>
      </c>
      <c r="F50" s="29"/>
      <c r="G50" s="29"/>
      <c r="H50" s="29"/>
      <c r="I50" s="29"/>
      <c r="J50" s="29"/>
      <c r="K50" s="29"/>
      <c r="L50" s="29"/>
      <c r="M50" s="29"/>
    </row>
    <row r="51" customFormat="false" ht="30" hidden="false" customHeight="true" outlineLevel="0" collapsed="false">
      <c r="B51" s="67" t="s">
        <v>187</v>
      </c>
      <c r="C51" s="67"/>
      <c r="D51" s="68" t="s">
        <v>255</v>
      </c>
      <c r="E51" s="7" t="s">
        <v>256</v>
      </c>
      <c r="F51" s="7"/>
      <c r="G51" s="7"/>
      <c r="H51" s="7"/>
      <c r="I51" s="7"/>
      <c r="J51" s="7"/>
      <c r="K51" s="7"/>
      <c r="L51" s="7"/>
      <c r="M51" s="7"/>
    </row>
    <row r="52" customFormat="false" ht="30" hidden="false" customHeight="true" outlineLevel="0" collapsed="false">
      <c r="B52" s="67" t="s">
        <v>187</v>
      </c>
      <c r="C52" s="67"/>
      <c r="D52" s="68" t="s">
        <v>257</v>
      </c>
      <c r="E52" s="7" t="s">
        <v>258</v>
      </c>
      <c r="F52" s="7"/>
      <c r="G52" s="7"/>
      <c r="H52" s="7"/>
      <c r="I52" s="7"/>
      <c r="J52" s="7"/>
      <c r="K52" s="7"/>
      <c r="L52" s="7"/>
      <c r="M52" s="7"/>
    </row>
    <row r="53" customFormat="false" ht="30" hidden="false" customHeight="true" outlineLevel="0" collapsed="false">
      <c r="B53" s="67" t="s">
        <v>183</v>
      </c>
      <c r="C53" s="67"/>
      <c r="D53" s="68" t="s">
        <v>259</v>
      </c>
      <c r="E53" s="7" t="s">
        <v>260</v>
      </c>
      <c r="F53" s="7"/>
      <c r="G53" s="7"/>
      <c r="H53" s="7"/>
      <c r="I53" s="7"/>
      <c r="J53" s="7"/>
      <c r="K53" s="7"/>
      <c r="L53" s="7"/>
      <c r="M53" s="7"/>
    </row>
    <row r="54" customFormat="false" ht="30" hidden="false" customHeight="true" outlineLevel="0" collapsed="false">
      <c r="B54" s="67" t="s">
        <v>183</v>
      </c>
      <c r="C54" s="67"/>
      <c r="D54" s="68" t="s">
        <v>261</v>
      </c>
      <c r="E54" s="7" t="s">
        <v>262</v>
      </c>
      <c r="F54" s="7"/>
      <c r="G54" s="7"/>
      <c r="H54" s="7"/>
      <c r="I54" s="7"/>
      <c r="J54" s="7"/>
      <c r="K54" s="7"/>
      <c r="L54" s="7"/>
      <c r="M54" s="7"/>
    </row>
    <row r="55" customFormat="false" ht="30" hidden="false" customHeight="true" outlineLevel="0" collapsed="false">
      <c r="B55" s="67" t="s">
        <v>188</v>
      </c>
      <c r="C55" s="67"/>
      <c r="D55" s="68" t="s">
        <v>263</v>
      </c>
      <c r="E55" s="7" t="s">
        <v>264</v>
      </c>
      <c r="F55" s="7"/>
      <c r="G55" s="7"/>
      <c r="H55" s="7"/>
      <c r="I55" s="7"/>
      <c r="J55" s="7"/>
      <c r="K55" s="7"/>
      <c r="L55" s="7"/>
      <c r="M55" s="7"/>
    </row>
    <row r="56" customFormat="false" ht="30" hidden="false" customHeight="true" outlineLevel="0" collapsed="false">
      <c r="B56" s="67" t="s">
        <v>189</v>
      </c>
      <c r="C56" s="67"/>
      <c r="D56" s="68" t="s">
        <v>265</v>
      </c>
      <c r="E56" s="7" t="s">
        <v>266</v>
      </c>
      <c r="F56" s="7"/>
      <c r="G56" s="7"/>
      <c r="H56" s="7"/>
      <c r="I56" s="7"/>
      <c r="J56" s="7"/>
      <c r="K56" s="7"/>
      <c r="L56" s="7"/>
      <c r="M56" s="7"/>
    </row>
  </sheetData>
  <mergeCells count="112">
    <mergeCell ref="B1:M1"/>
    <mergeCell ref="B2:M2"/>
    <mergeCell ref="B4:C4"/>
    <mergeCell ref="D4:G4"/>
    <mergeCell ref="H4:I4"/>
    <mergeCell ref="J4:M4"/>
    <mergeCell ref="B5:C5"/>
    <mergeCell ref="D5:G5"/>
    <mergeCell ref="H5:I5"/>
    <mergeCell ref="J5:M5"/>
    <mergeCell ref="B6:C6"/>
    <mergeCell ref="D6:G6"/>
    <mergeCell ref="H6:I6"/>
    <mergeCell ref="J6:M6"/>
    <mergeCell ref="B7:C7"/>
    <mergeCell ref="D7:M7"/>
    <mergeCell ref="B8:C8"/>
    <mergeCell ref="D8:G8"/>
    <mergeCell ref="H8:I8"/>
    <mergeCell ref="J8:M8"/>
    <mergeCell ref="B9:C9"/>
    <mergeCell ref="D9:M9"/>
    <mergeCell ref="B11:G11"/>
    <mergeCell ref="H11:M11"/>
    <mergeCell ref="B12:G12"/>
    <mergeCell ref="H12:M12"/>
    <mergeCell ref="B13:G13"/>
    <mergeCell ref="H13:M13"/>
    <mergeCell ref="C14:D14"/>
    <mergeCell ref="I14:J14"/>
    <mergeCell ref="B15:M15"/>
    <mergeCell ref="C16:D16"/>
    <mergeCell ref="I16:J16"/>
    <mergeCell ref="C17:D17"/>
    <mergeCell ref="I17:J17"/>
    <mergeCell ref="C18:D18"/>
    <mergeCell ref="I18:J18"/>
    <mergeCell ref="C19:D19"/>
    <mergeCell ref="I19:J19"/>
    <mergeCell ref="C20:D20"/>
    <mergeCell ref="I20:J20"/>
    <mergeCell ref="C21:D21"/>
    <mergeCell ref="I21:J21"/>
    <mergeCell ref="C22:D22"/>
    <mergeCell ref="I22:J22"/>
    <mergeCell ref="C23:D23"/>
    <mergeCell ref="I23:J23"/>
    <mergeCell ref="B25:G25"/>
    <mergeCell ref="H25:M25"/>
    <mergeCell ref="B26:G26"/>
    <mergeCell ref="H26:M26"/>
    <mergeCell ref="B27:G27"/>
    <mergeCell ref="H27:M27"/>
    <mergeCell ref="C28:D28"/>
    <mergeCell ref="I28:J28"/>
    <mergeCell ref="B29:M29"/>
    <mergeCell ref="C30:D30"/>
    <mergeCell ref="I30:J30"/>
    <mergeCell ref="C31:D31"/>
    <mergeCell ref="I31:J31"/>
    <mergeCell ref="C32:D32"/>
    <mergeCell ref="I32:J32"/>
    <mergeCell ref="C33:D33"/>
    <mergeCell ref="I33:J33"/>
    <mergeCell ref="C34:D34"/>
    <mergeCell ref="I34:J34"/>
    <mergeCell ref="C35:D35"/>
    <mergeCell ref="I35:J35"/>
    <mergeCell ref="C36:D36"/>
    <mergeCell ref="I36:J36"/>
    <mergeCell ref="C37:D37"/>
    <mergeCell ref="I37:J37"/>
    <mergeCell ref="B39:M39"/>
    <mergeCell ref="B40:D40"/>
    <mergeCell ref="E40:G40"/>
    <mergeCell ref="H40:I40"/>
    <mergeCell ref="K40:M40"/>
    <mergeCell ref="B41:D41"/>
    <mergeCell ref="E41:G41"/>
    <mergeCell ref="H41:I41"/>
    <mergeCell ref="K41:M41"/>
    <mergeCell ref="B42:D42"/>
    <mergeCell ref="E42:G42"/>
    <mergeCell ref="H42:I42"/>
    <mergeCell ref="K42:M42"/>
    <mergeCell ref="B43:D43"/>
    <mergeCell ref="E43:G43"/>
    <mergeCell ref="H43:I43"/>
    <mergeCell ref="K43:M43"/>
    <mergeCell ref="B44:G44"/>
    <mergeCell ref="H44:M44"/>
    <mergeCell ref="B45:G45"/>
    <mergeCell ref="H45:M45"/>
    <mergeCell ref="B46:G46"/>
    <mergeCell ref="H46:M46"/>
    <mergeCell ref="B47:G47"/>
    <mergeCell ref="H47:M47"/>
    <mergeCell ref="B49:M49"/>
    <mergeCell ref="B50:C50"/>
    <mergeCell ref="E50:M50"/>
    <mergeCell ref="B51:C51"/>
    <mergeCell ref="E51:M51"/>
    <mergeCell ref="B52:C52"/>
    <mergeCell ref="E52:M52"/>
    <mergeCell ref="B53:C53"/>
    <mergeCell ref="E53:M53"/>
    <mergeCell ref="B54:C54"/>
    <mergeCell ref="E54:M54"/>
    <mergeCell ref="B55:C55"/>
    <mergeCell ref="E55:M55"/>
    <mergeCell ref="B56:C56"/>
    <mergeCell ref="E56:M56"/>
  </mergeCells>
  <conditionalFormatting sqref="E43:M43">
    <cfRule type="cellIs" priority="2" operator="equal" aboveAverage="0" equalAverage="0" bottom="0" percent="0" rank="0" text="" dxfId="0">
      <formula>"OK"</formula>
    </cfRule>
    <cfRule type="cellIs" priority="3" operator="notEqual" aboveAverage="0" equalAverage="0" bottom="0" percent="0" rank="0" text="" dxfId="1">
      <formula>"OK"</formula>
    </cfRule>
  </conditionalFormatting>
  <dataValidations count="2">
    <dataValidation allowBlank="true" error="Digite uma data no formato dia/mês/ano." errorStyle="stop" errorTitle="Data inválida" operator="greaterThanOrEqual" showDropDown="false" showErrorMessage="true" showInputMessage="false" sqref="J5" type="date">
      <formula1>36526</formula1>
      <formula2>0</formula2>
    </dataValidation>
    <dataValidation allowBlank="true" error="Digite um número inteiro de 1 a 5." errorStyle="stop" errorTitle="Valor inválido" operator="between" prompt="1 = muito baixo; 5 = muito alto" promptTitle="Nota de 1 a 5" showDropDown="false" showErrorMessage="true" showInputMessage="true" sqref="E16:F23 K16:L23 E30:F37 K30:L37" type="whole">
      <formula1>1</formula1>
      <formula2>5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6B76"/>
    <pageSetUpPr fitToPage="true"/>
  </sheetPr>
  <dimension ref="B1:M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20"/>
    <col collapsed="false" customWidth="true" hidden="false" outlineLevel="0" max="4" min="4" style="0" width="26"/>
    <col collapsed="false" customWidth="true" hidden="false" outlineLevel="0" max="6" min="5" style="0" width="10"/>
    <col collapsed="false" customWidth="true" hidden="false" outlineLevel="0" max="7" min="7" style="0" width="9"/>
    <col collapsed="false" customWidth="true" hidden="false" outlineLevel="0" max="8" min="8" style="0" width="5"/>
    <col collapsed="false" customWidth="true" hidden="false" outlineLevel="0" max="9" min="9" style="0" width="20"/>
    <col collapsed="false" customWidth="true" hidden="false" outlineLevel="0" max="10" min="10" style="0" width="26"/>
    <col collapsed="false" customWidth="true" hidden="false" outlineLevel="0" max="12" min="11" style="0" width="10"/>
    <col collapsed="false" customWidth="true" hidden="false" outlineLevel="0" max="13" min="13" style="0" width="9"/>
    <col collapsed="false" customWidth="true" hidden="false" outlineLevel="0" max="14" min="14" style="0" width="2"/>
  </cols>
  <sheetData>
    <row r="1" customFormat="false" ht="31.5" hidden="false" customHeight="true" outlineLevel="0" collapsed="false">
      <c r="B1" s="1" t="s">
        <v>76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9.5" hidden="false" customHeight="true" outlineLevel="0" collapsed="false">
      <c r="B2" s="2" t="s">
        <v>232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21.75" hidden="false" customHeight="true" outlineLevel="0" collapsed="false">
      <c r="B4" s="4" t="s">
        <v>78</v>
      </c>
      <c r="C4" s="4"/>
      <c r="D4" s="60" t="s">
        <v>267</v>
      </c>
      <c r="E4" s="60"/>
      <c r="F4" s="60"/>
      <c r="G4" s="60"/>
      <c r="H4" s="4" t="s">
        <v>79</v>
      </c>
      <c r="I4" s="4"/>
      <c r="J4" s="60" t="s">
        <v>268</v>
      </c>
      <c r="K4" s="60"/>
      <c r="L4" s="60"/>
      <c r="M4" s="60"/>
    </row>
    <row r="5" customFormat="false" ht="21.75" hidden="false" customHeight="true" outlineLevel="0" collapsed="false">
      <c r="B5" s="4" t="s">
        <v>80</v>
      </c>
      <c r="C5" s="4"/>
      <c r="D5" s="60" t="s">
        <v>269</v>
      </c>
      <c r="E5" s="60"/>
      <c r="F5" s="60"/>
      <c r="G5" s="60"/>
      <c r="H5" s="4" t="s">
        <v>81</v>
      </c>
      <c r="I5" s="4"/>
      <c r="J5" s="61" t="n">
        <v>46294</v>
      </c>
      <c r="K5" s="61"/>
      <c r="L5" s="61"/>
      <c r="M5" s="61"/>
    </row>
    <row r="6" customFormat="false" ht="21.75" hidden="false" customHeight="true" outlineLevel="0" collapsed="false">
      <c r="B6" s="4" t="s">
        <v>82</v>
      </c>
      <c r="C6" s="4"/>
      <c r="D6" s="60" t="s">
        <v>270</v>
      </c>
      <c r="E6" s="60"/>
      <c r="F6" s="60"/>
      <c r="G6" s="60"/>
      <c r="H6" s="4" t="s">
        <v>83</v>
      </c>
      <c r="I6" s="4"/>
      <c r="J6" s="60" t="s">
        <v>236</v>
      </c>
      <c r="K6" s="60"/>
      <c r="L6" s="60"/>
      <c r="M6" s="60"/>
    </row>
    <row r="7" customFormat="false" ht="30" hidden="false" customHeight="true" outlineLevel="0" collapsed="false">
      <c r="B7" s="4" t="s">
        <v>84</v>
      </c>
      <c r="C7" s="4"/>
      <c r="D7" s="60" t="s">
        <v>271</v>
      </c>
      <c r="E7" s="60"/>
      <c r="F7" s="60"/>
      <c r="G7" s="60"/>
      <c r="H7" s="60"/>
      <c r="I7" s="60"/>
      <c r="J7" s="60"/>
      <c r="K7" s="60"/>
      <c r="L7" s="60"/>
      <c r="M7" s="60"/>
    </row>
    <row r="8" customFormat="false" ht="30" hidden="false" customHeight="true" outlineLevel="0" collapsed="false">
      <c r="B8" s="4" t="s">
        <v>85</v>
      </c>
      <c r="C8" s="4"/>
      <c r="D8" s="60" t="s">
        <v>238</v>
      </c>
      <c r="E8" s="60"/>
      <c r="F8" s="60"/>
      <c r="G8" s="60"/>
      <c r="H8" s="4" t="s">
        <v>86</v>
      </c>
      <c r="I8" s="4"/>
      <c r="J8" s="60" t="s">
        <v>272</v>
      </c>
      <c r="K8" s="60"/>
      <c r="L8" s="60"/>
      <c r="M8" s="60"/>
    </row>
    <row r="9" customFormat="false" ht="30" hidden="false" customHeight="true" outlineLevel="0" collapsed="false">
      <c r="B9" s="4" t="s">
        <v>87</v>
      </c>
      <c r="C9" s="4"/>
      <c r="D9" s="60" t="s">
        <v>273</v>
      </c>
      <c r="E9" s="60"/>
      <c r="F9" s="60"/>
      <c r="G9" s="60"/>
      <c r="H9" s="60"/>
      <c r="I9" s="60"/>
      <c r="J9" s="60"/>
      <c r="K9" s="60"/>
      <c r="L9" s="60"/>
      <c r="M9" s="60"/>
    </row>
    <row r="11" customFormat="false" ht="33.75" hidden="false" customHeight="true" outlineLevel="0" collapsed="false">
      <c r="B11" s="17" t="s">
        <v>14</v>
      </c>
      <c r="C11" s="17"/>
      <c r="D11" s="17"/>
      <c r="E11" s="17"/>
      <c r="F11" s="17"/>
      <c r="G11" s="17"/>
      <c r="H11" s="18" t="s">
        <v>16</v>
      </c>
      <c r="I11" s="18"/>
      <c r="J11" s="18"/>
      <c r="K11" s="18"/>
      <c r="L11" s="18"/>
      <c r="M11" s="18"/>
    </row>
    <row r="12" customFormat="false" ht="21.75" hidden="false" customHeight="true" outlineLevel="0" collapsed="false">
      <c r="B12" s="8" t="s">
        <v>88</v>
      </c>
      <c r="C12" s="8"/>
      <c r="D12" s="8"/>
      <c r="E12" s="8"/>
      <c r="F12" s="8"/>
      <c r="G12" s="8"/>
      <c r="H12" s="10" t="s">
        <v>89</v>
      </c>
      <c r="I12" s="10"/>
      <c r="J12" s="10"/>
      <c r="K12" s="10"/>
      <c r="L12" s="10"/>
      <c r="M12" s="10"/>
    </row>
    <row r="13" customFormat="false" ht="24" hidden="false" customHeight="true" outlineLevel="0" collapsed="false">
      <c r="B13" s="19" t="s">
        <v>90</v>
      </c>
      <c r="C13" s="19"/>
      <c r="D13" s="19"/>
      <c r="E13" s="19"/>
      <c r="F13" s="19"/>
      <c r="G13" s="19"/>
      <c r="H13" s="20" t="s">
        <v>91</v>
      </c>
      <c r="I13" s="20"/>
      <c r="J13" s="20"/>
      <c r="K13" s="20"/>
      <c r="L13" s="20"/>
      <c r="M13" s="20"/>
    </row>
    <row r="14" customFormat="false" ht="21.75" hidden="false" customHeight="true" outlineLevel="0" collapsed="false">
      <c r="B14" s="21" t="s">
        <v>92</v>
      </c>
      <c r="C14" s="21" t="s">
        <v>93</v>
      </c>
      <c r="D14" s="21"/>
      <c r="E14" s="22" t="s">
        <v>23</v>
      </c>
      <c r="F14" s="22" t="s">
        <v>94</v>
      </c>
      <c r="G14" s="22" t="s">
        <v>29</v>
      </c>
      <c r="H14" s="23" t="s">
        <v>92</v>
      </c>
      <c r="I14" s="23" t="s">
        <v>93</v>
      </c>
      <c r="J14" s="23"/>
      <c r="K14" s="24" t="s">
        <v>23</v>
      </c>
      <c r="L14" s="24" t="s">
        <v>94</v>
      </c>
      <c r="M14" s="24" t="s">
        <v>29</v>
      </c>
    </row>
    <row r="15" customFormat="false" ht="30" hidden="false" customHeight="true" outlineLevel="0" collapsed="false">
      <c r="B15" s="26" t="s">
        <v>241</v>
      </c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</row>
    <row r="16" customFormat="false" ht="33" hidden="false" customHeight="true" outlineLevel="0" collapsed="false">
      <c r="B16" s="27" t="s">
        <v>98</v>
      </c>
      <c r="C16" s="9" t="s">
        <v>274</v>
      </c>
      <c r="D16" s="9"/>
      <c r="E16" s="62" t="n">
        <v>4</v>
      </c>
      <c r="F16" s="62" t="n">
        <v>4</v>
      </c>
      <c r="G16" s="29" t="n">
        <f aca="false">IF(OR(E16="",F16=""),"",E16*F16)</f>
        <v>16</v>
      </c>
      <c r="H16" s="27" t="s">
        <v>99</v>
      </c>
      <c r="I16" s="11" t="s">
        <v>275</v>
      </c>
      <c r="J16" s="11"/>
      <c r="K16" s="63" t="n">
        <v>4</v>
      </c>
      <c r="L16" s="63" t="n">
        <v>4</v>
      </c>
      <c r="M16" s="29" t="n">
        <f aca="false">IF(OR(K16="",L16=""),"",K16*L16)</f>
        <v>16</v>
      </c>
    </row>
    <row r="17" customFormat="false" ht="33" hidden="false" customHeight="true" outlineLevel="0" collapsed="false">
      <c r="B17" s="27" t="s">
        <v>100</v>
      </c>
      <c r="C17" s="9" t="s">
        <v>276</v>
      </c>
      <c r="D17" s="9"/>
      <c r="E17" s="62" t="n">
        <v>4</v>
      </c>
      <c r="F17" s="62" t="n">
        <v>4</v>
      </c>
      <c r="G17" s="29" t="n">
        <f aca="false">IF(OR(E17="",F17=""),"",E17*F17)</f>
        <v>16</v>
      </c>
      <c r="H17" s="27" t="s">
        <v>101</v>
      </c>
      <c r="I17" s="11" t="s">
        <v>277</v>
      </c>
      <c r="J17" s="11"/>
      <c r="K17" s="63" t="n">
        <v>4</v>
      </c>
      <c r="L17" s="63" t="n">
        <v>4</v>
      </c>
      <c r="M17" s="29" t="n">
        <f aca="false">IF(OR(K17="",L17=""),"",K17*L17)</f>
        <v>16</v>
      </c>
    </row>
    <row r="18" customFormat="false" ht="33" hidden="false" customHeight="true" outlineLevel="0" collapsed="false">
      <c r="B18" s="27" t="s">
        <v>102</v>
      </c>
      <c r="C18" s="9" t="s">
        <v>278</v>
      </c>
      <c r="D18" s="9"/>
      <c r="E18" s="62" t="n">
        <v>5</v>
      </c>
      <c r="F18" s="62" t="n">
        <v>3</v>
      </c>
      <c r="G18" s="29" t="n">
        <f aca="false">IF(OR(E18="",F18=""),"",E18*F18)</f>
        <v>15</v>
      </c>
      <c r="H18" s="27" t="s">
        <v>103</v>
      </c>
      <c r="I18" s="11" t="s">
        <v>279</v>
      </c>
      <c r="J18" s="11"/>
      <c r="K18" s="63" t="n">
        <v>5</v>
      </c>
      <c r="L18" s="63" t="n">
        <v>4</v>
      </c>
      <c r="M18" s="29" t="n">
        <f aca="false">IF(OR(K18="",L18=""),"",K18*L18)</f>
        <v>20</v>
      </c>
    </row>
    <row r="19" customFormat="false" ht="33" hidden="false" customHeight="true" outlineLevel="0" collapsed="false">
      <c r="B19" s="27" t="s">
        <v>104</v>
      </c>
      <c r="C19" s="60"/>
      <c r="D19" s="60"/>
      <c r="E19" s="64"/>
      <c r="F19" s="64"/>
      <c r="G19" s="29" t="str">
        <f aca="false">IF(OR(E19="",F19=""),"",E19*F19)</f>
        <v/>
      </c>
      <c r="H19" s="27" t="s">
        <v>105</v>
      </c>
      <c r="I19" s="11" t="s">
        <v>280</v>
      </c>
      <c r="J19" s="11"/>
      <c r="K19" s="63" t="n">
        <v>3</v>
      </c>
      <c r="L19" s="63" t="n">
        <v>3</v>
      </c>
      <c r="M19" s="29" t="n">
        <f aca="false">IF(OR(K19="",L19=""),"",K19*L19)</f>
        <v>9</v>
      </c>
    </row>
    <row r="20" customFormat="false" ht="33" hidden="false" customHeight="true" outlineLevel="0" collapsed="false">
      <c r="B20" s="27" t="s">
        <v>106</v>
      </c>
      <c r="C20" s="60"/>
      <c r="D20" s="60"/>
      <c r="E20" s="64"/>
      <c r="F20" s="64"/>
      <c r="G20" s="29" t="str">
        <f aca="false">IF(OR(E20="",F20=""),"",E20*F20)</f>
        <v/>
      </c>
      <c r="H20" s="27" t="s">
        <v>107</v>
      </c>
      <c r="I20" s="60"/>
      <c r="J20" s="60"/>
      <c r="K20" s="64"/>
      <c r="L20" s="64"/>
      <c r="M20" s="29" t="str">
        <f aca="false">IF(OR(K20="",L20=""),"",K20*L20)</f>
        <v/>
      </c>
    </row>
    <row r="21" customFormat="false" ht="33" hidden="false" customHeight="true" outlineLevel="0" collapsed="false">
      <c r="B21" s="27" t="s">
        <v>108</v>
      </c>
      <c r="C21" s="60"/>
      <c r="D21" s="60"/>
      <c r="E21" s="64"/>
      <c r="F21" s="64"/>
      <c r="G21" s="29" t="str">
        <f aca="false">IF(OR(E21="",F21=""),"",E21*F21)</f>
        <v/>
      </c>
      <c r="H21" s="27" t="s">
        <v>109</v>
      </c>
      <c r="I21" s="60"/>
      <c r="J21" s="60"/>
      <c r="K21" s="64"/>
      <c r="L21" s="64"/>
      <c r="M21" s="29" t="str">
        <f aca="false">IF(OR(K21="",L21=""),"",K21*L21)</f>
        <v/>
      </c>
    </row>
    <row r="22" customFormat="false" ht="33" hidden="false" customHeight="true" outlineLevel="0" collapsed="false">
      <c r="B22" s="27" t="s">
        <v>110</v>
      </c>
      <c r="C22" s="60"/>
      <c r="D22" s="60"/>
      <c r="E22" s="64"/>
      <c r="F22" s="64"/>
      <c r="G22" s="29" t="str">
        <f aca="false">IF(OR(E22="",F22=""),"",E22*F22)</f>
        <v/>
      </c>
      <c r="H22" s="27" t="s">
        <v>111</v>
      </c>
      <c r="I22" s="60"/>
      <c r="J22" s="60"/>
      <c r="K22" s="64"/>
      <c r="L22" s="64"/>
      <c r="M22" s="29" t="str">
        <f aca="false">IF(OR(K22="",L22=""),"",K22*L22)</f>
        <v/>
      </c>
    </row>
    <row r="23" customFormat="false" ht="33" hidden="false" customHeight="true" outlineLevel="0" collapsed="false">
      <c r="B23" s="27" t="s">
        <v>112</v>
      </c>
      <c r="C23" s="60"/>
      <c r="D23" s="60"/>
      <c r="E23" s="64"/>
      <c r="F23" s="64"/>
      <c r="G23" s="29" t="str">
        <f aca="false">IF(OR(E23="",F23=""),"",E23*F23)</f>
        <v/>
      </c>
      <c r="H23" s="27" t="s">
        <v>113</v>
      </c>
      <c r="I23" s="60"/>
      <c r="J23" s="60"/>
      <c r="K23" s="64"/>
      <c r="L23" s="64"/>
      <c r="M23" s="29" t="str">
        <f aca="false">IF(OR(K23="",L23=""),"",K23*L23)</f>
        <v/>
      </c>
    </row>
    <row r="25" customFormat="false" ht="33.75" hidden="false" customHeight="true" outlineLevel="0" collapsed="false">
      <c r="B25" s="30" t="s">
        <v>18</v>
      </c>
      <c r="C25" s="30"/>
      <c r="D25" s="30"/>
      <c r="E25" s="30"/>
      <c r="F25" s="30"/>
      <c r="G25" s="30"/>
      <c r="H25" s="31" t="s">
        <v>20</v>
      </c>
      <c r="I25" s="31"/>
      <c r="J25" s="31"/>
      <c r="K25" s="31"/>
      <c r="L25" s="31"/>
      <c r="M25" s="31"/>
    </row>
    <row r="26" customFormat="false" ht="21.75" hidden="false" customHeight="true" outlineLevel="0" collapsed="false">
      <c r="B26" s="12" t="s">
        <v>114</v>
      </c>
      <c r="C26" s="12"/>
      <c r="D26" s="12"/>
      <c r="E26" s="12"/>
      <c r="F26" s="12"/>
      <c r="G26" s="12"/>
      <c r="H26" s="14" t="s">
        <v>115</v>
      </c>
      <c r="I26" s="14"/>
      <c r="J26" s="14"/>
      <c r="K26" s="14"/>
      <c r="L26" s="14"/>
      <c r="M26" s="14"/>
    </row>
    <row r="27" customFormat="false" ht="24" hidden="false" customHeight="true" outlineLevel="0" collapsed="false">
      <c r="B27" s="32" t="s">
        <v>116</v>
      </c>
      <c r="C27" s="32"/>
      <c r="D27" s="32"/>
      <c r="E27" s="32"/>
      <c r="F27" s="32"/>
      <c r="G27" s="32"/>
      <c r="H27" s="33" t="s">
        <v>117</v>
      </c>
      <c r="I27" s="33"/>
      <c r="J27" s="33"/>
      <c r="K27" s="33"/>
      <c r="L27" s="33"/>
      <c r="M27" s="33"/>
    </row>
    <row r="28" customFormat="false" ht="21.75" hidden="false" customHeight="true" outlineLevel="0" collapsed="false">
      <c r="B28" s="34" t="s">
        <v>92</v>
      </c>
      <c r="C28" s="34" t="s">
        <v>93</v>
      </c>
      <c r="D28" s="34"/>
      <c r="E28" s="35" t="s">
        <v>23</v>
      </c>
      <c r="F28" s="35" t="s">
        <v>94</v>
      </c>
      <c r="G28" s="35" t="s">
        <v>29</v>
      </c>
      <c r="H28" s="36" t="s">
        <v>92</v>
      </c>
      <c r="I28" s="36" t="s">
        <v>93</v>
      </c>
      <c r="J28" s="36"/>
      <c r="K28" s="37" t="s">
        <v>23</v>
      </c>
      <c r="L28" s="37" t="s">
        <v>94</v>
      </c>
      <c r="M28" s="37" t="s">
        <v>29</v>
      </c>
    </row>
    <row r="29" customFormat="false" ht="30" hidden="false" customHeight="true" outlineLevel="0" collapsed="false">
      <c r="B29" s="26" t="s">
        <v>248</v>
      </c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</row>
    <row r="30" customFormat="false" ht="33" hidden="false" customHeight="true" outlineLevel="0" collapsed="false">
      <c r="B30" s="27" t="s">
        <v>120</v>
      </c>
      <c r="C30" s="13" t="s">
        <v>281</v>
      </c>
      <c r="D30" s="13"/>
      <c r="E30" s="65" t="n">
        <v>4</v>
      </c>
      <c r="F30" s="65" t="n">
        <v>3</v>
      </c>
      <c r="G30" s="29" t="n">
        <f aca="false">IF(OR(E30="",F30=""),"",E30*F30)</f>
        <v>12</v>
      </c>
      <c r="H30" s="27" t="s">
        <v>121</v>
      </c>
      <c r="I30" s="15" t="s">
        <v>282</v>
      </c>
      <c r="J30" s="15"/>
      <c r="K30" s="66" t="n">
        <v>5</v>
      </c>
      <c r="L30" s="66" t="n">
        <v>4</v>
      </c>
      <c r="M30" s="29" t="n">
        <f aca="false">IF(OR(K30="",L30=""),"",K30*L30)</f>
        <v>20</v>
      </c>
    </row>
    <row r="31" customFormat="false" ht="33" hidden="false" customHeight="true" outlineLevel="0" collapsed="false">
      <c r="B31" s="27" t="s">
        <v>122</v>
      </c>
      <c r="C31" s="13" t="s">
        <v>283</v>
      </c>
      <c r="D31" s="13"/>
      <c r="E31" s="65" t="n">
        <v>4</v>
      </c>
      <c r="F31" s="65" t="n">
        <v>4</v>
      </c>
      <c r="G31" s="29" t="n">
        <f aca="false">IF(OR(E31="",F31=""),"",E31*F31)</f>
        <v>16</v>
      </c>
      <c r="H31" s="27" t="s">
        <v>123</v>
      </c>
      <c r="I31" s="15" t="s">
        <v>284</v>
      </c>
      <c r="J31" s="15"/>
      <c r="K31" s="66" t="n">
        <v>4</v>
      </c>
      <c r="L31" s="66" t="n">
        <v>3</v>
      </c>
      <c r="M31" s="29" t="n">
        <f aca="false">IF(OR(K31="",L31=""),"",K31*L31)</f>
        <v>12</v>
      </c>
    </row>
    <row r="32" customFormat="false" ht="33" hidden="false" customHeight="true" outlineLevel="0" collapsed="false">
      <c r="B32" s="27" t="s">
        <v>124</v>
      </c>
      <c r="C32" s="13" t="s">
        <v>285</v>
      </c>
      <c r="D32" s="13"/>
      <c r="E32" s="65" t="n">
        <v>3</v>
      </c>
      <c r="F32" s="65" t="n">
        <v>3</v>
      </c>
      <c r="G32" s="29" t="n">
        <f aca="false">IF(OR(E32="",F32=""),"",E32*F32)</f>
        <v>9</v>
      </c>
      <c r="H32" s="27" t="s">
        <v>125</v>
      </c>
      <c r="I32" s="15" t="s">
        <v>286</v>
      </c>
      <c r="J32" s="15"/>
      <c r="K32" s="66" t="n">
        <v>3</v>
      </c>
      <c r="L32" s="66" t="n">
        <v>3</v>
      </c>
      <c r="M32" s="29" t="n">
        <f aca="false">IF(OR(K32="",L32=""),"",K32*L32)</f>
        <v>9</v>
      </c>
    </row>
    <row r="33" customFormat="false" ht="33" hidden="false" customHeight="true" outlineLevel="0" collapsed="false">
      <c r="B33" s="27" t="s">
        <v>126</v>
      </c>
      <c r="C33" s="60"/>
      <c r="D33" s="60"/>
      <c r="E33" s="64"/>
      <c r="F33" s="64"/>
      <c r="G33" s="29" t="str">
        <f aca="false">IF(OR(E33="",F33=""),"",E33*F33)</f>
        <v/>
      </c>
      <c r="H33" s="27" t="s">
        <v>127</v>
      </c>
      <c r="I33" s="15" t="s">
        <v>287</v>
      </c>
      <c r="J33" s="15"/>
      <c r="K33" s="66" t="n">
        <v>4</v>
      </c>
      <c r="L33" s="66" t="n">
        <v>4</v>
      </c>
      <c r="M33" s="29" t="n">
        <f aca="false">IF(OR(K33="",L33=""),"",K33*L33)</f>
        <v>16</v>
      </c>
    </row>
    <row r="34" customFormat="false" ht="33" hidden="false" customHeight="true" outlineLevel="0" collapsed="false">
      <c r="B34" s="27" t="s">
        <v>128</v>
      </c>
      <c r="C34" s="60"/>
      <c r="D34" s="60"/>
      <c r="E34" s="64"/>
      <c r="F34" s="64"/>
      <c r="G34" s="29" t="str">
        <f aca="false">IF(OR(E34="",F34=""),"",E34*F34)</f>
        <v/>
      </c>
      <c r="H34" s="27" t="s">
        <v>129</v>
      </c>
      <c r="I34" s="60"/>
      <c r="J34" s="60"/>
      <c r="K34" s="64"/>
      <c r="L34" s="64"/>
      <c r="M34" s="29" t="str">
        <f aca="false">IF(OR(K34="",L34=""),"",K34*L34)</f>
        <v/>
      </c>
    </row>
    <row r="35" customFormat="false" ht="33" hidden="false" customHeight="true" outlineLevel="0" collapsed="false">
      <c r="B35" s="27" t="s">
        <v>130</v>
      </c>
      <c r="C35" s="60"/>
      <c r="D35" s="60"/>
      <c r="E35" s="64"/>
      <c r="F35" s="64"/>
      <c r="G35" s="29" t="str">
        <f aca="false">IF(OR(E35="",F35=""),"",E35*F35)</f>
        <v/>
      </c>
      <c r="H35" s="27" t="s">
        <v>131</v>
      </c>
      <c r="I35" s="60"/>
      <c r="J35" s="60"/>
      <c r="K35" s="64"/>
      <c r="L35" s="64"/>
      <c r="M35" s="29" t="str">
        <f aca="false">IF(OR(K35="",L35=""),"",K35*L35)</f>
        <v/>
      </c>
    </row>
    <row r="36" customFormat="false" ht="33" hidden="false" customHeight="true" outlineLevel="0" collapsed="false">
      <c r="B36" s="27" t="s">
        <v>132</v>
      </c>
      <c r="C36" s="60"/>
      <c r="D36" s="60"/>
      <c r="E36" s="64"/>
      <c r="F36" s="64"/>
      <c r="G36" s="29" t="str">
        <f aca="false">IF(OR(E36="",F36=""),"",E36*F36)</f>
        <v/>
      </c>
      <c r="H36" s="27" t="s">
        <v>133</v>
      </c>
      <c r="I36" s="60"/>
      <c r="J36" s="60"/>
      <c r="K36" s="64"/>
      <c r="L36" s="64"/>
      <c r="M36" s="29" t="str">
        <f aca="false">IF(OR(K36="",L36=""),"",K36*L36)</f>
        <v/>
      </c>
    </row>
    <row r="37" customFormat="false" ht="33" hidden="false" customHeight="true" outlineLevel="0" collapsed="false">
      <c r="B37" s="27" t="s">
        <v>134</v>
      </c>
      <c r="C37" s="60"/>
      <c r="D37" s="60"/>
      <c r="E37" s="64"/>
      <c r="F37" s="64"/>
      <c r="G37" s="29" t="str">
        <f aca="false">IF(OR(E37="",F37=""),"",E37*F37)</f>
        <v/>
      </c>
      <c r="H37" s="27" t="s">
        <v>135</v>
      </c>
      <c r="I37" s="60"/>
      <c r="J37" s="60"/>
      <c r="K37" s="64"/>
      <c r="L37" s="64"/>
      <c r="M37" s="29" t="str">
        <f aca="false">IF(OR(K37="",L37=""),"",K37*L37)</f>
        <v/>
      </c>
    </row>
    <row r="39" customFormat="false" ht="21.75" hidden="false" customHeight="true" outlineLevel="0" collapsed="false">
      <c r="B39" s="38" t="s">
        <v>136</v>
      </c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</row>
    <row r="40" customFormat="false" ht="21.75" hidden="false" customHeight="true" outlineLevel="0" collapsed="false">
      <c r="B40" s="39" t="s">
        <v>137</v>
      </c>
      <c r="C40" s="39"/>
      <c r="D40" s="39"/>
      <c r="E40" s="8" t="s">
        <v>138</v>
      </c>
      <c r="F40" s="8"/>
      <c r="G40" s="8"/>
      <c r="H40" s="10" t="s">
        <v>139</v>
      </c>
      <c r="I40" s="10"/>
      <c r="J40" s="12" t="s">
        <v>140</v>
      </c>
      <c r="K40" s="14" t="s">
        <v>141</v>
      </c>
      <c r="L40" s="14"/>
      <c r="M40" s="14"/>
    </row>
    <row r="41" customFormat="false" ht="21.75" hidden="false" customHeight="true" outlineLevel="0" collapsed="false">
      <c r="B41" s="39" t="s">
        <v>142</v>
      </c>
      <c r="C41" s="39"/>
      <c r="D41" s="39"/>
      <c r="E41" s="40" t="n">
        <f aca="false">COUNTA(C16:C23)</f>
        <v>3</v>
      </c>
      <c r="F41" s="40"/>
      <c r="G41" s="40"/>
      <c r="H41" s="40" t="n">
        <f aca="false">COUNTA(I16:I23)</f>
        <v>4</v>
      </c>
      <c r="I41" s="40"/>
      <c r="J41" s="40" t="n">
        <f aca="false">COUNTA(C30:C37)</f>
        <v>3</v>
      </c>
      <c r="K41" s="40" t="n">
        <f aca="false">COUNTA(I30:I37)</f>
        <v>4</v>
      </c>
      <c r="L41" s="40"/>
      <c r="M41" s="40"/>
    </row>
    <row r="42" customFormat="false" ht="21.75" hidden="false" customHeight="true" outlineLevel="0" collapsed="false">
      <c r="B42" s="39" t="s">
        <v>29</v>
      </c>
      <c r="C42" s="39"/>
      <c r="D42" s="39"/>
      <c r="E42" s="41" t="n">
        <f aca="false">SUM(G16:G23)</f>
        <v>47</v>
      </c>
      <c r="F42" s="41"/>
      <c r="G42" s="41"/>
      <c r="H42" s="41" t="n">
        <f aca="false">SUM(M16:M23)</f>
        <v>61</v>
      </c>
      <c r="I42" s="41"/>
      <c r="J42" s="41" t="n">
        <f aca="false">SUM(G30:G37)</f>
        <v>37</v>
      </c>
      <c r="K42" s="41" t="n">
        <f aca="false">SUM(M30:M37)</f>
        <v>57</v>
      </c>
      <c r="L42" s="41"/>
      <c r="M42" s="41"/>
    </row>
    <row r="43" customFormat="false" ht="30" hidden="false" customHeight="true" outlineLevel="0" collapsed="false">
      <c r="B43" s="39" t="s">
        <v>143</v>
      </c>
      <c r="C43" s="39"/>
      <c r="D43" s="39"/>
      <c r="E43" s="42" t="str">
        <f aca="false">IF(E41=0,"Liste os fatores",IF(E41&lt;3,"Poucos fatores: liste ao menos 3",IF(COUNT(G16:G23)&lt;E41,"Há fator sem nota","OK")))</f>
        <v>OK</v>
      </c>
      <c r="F43" s="42"/>
      <c r="G43" s="42"/>
      <c r="H43" s="42" t="str">
        <f aca="false">IF(H41=0,"Liste os fatores",IF(H41&lt;3,"Poucos fatores: liste ao menos 3",IF(COUNT(M16:M23)&lt;H41,"Há fator sem nota","OK")))</f>
        <v>OK</v>
      </c>
      <c r="I43" s="42"/>
      <c r="J43" s="42" t="str">
        <f aca="false">IF(J41=0,"Liste os fatores",IF(J41&lt;3,"Poucos fatores: liste ao menos 3",IF(COUNT(G30:G37)&lt;J41,"Há fator sem nota","OK")))</f>
        <v>OK</v>
      </c>
      <c r="K43" s="42" t="str">
        <f aca="false">IF(K41=0,"Liste os fatores",IF(K41&lt;3,"Poucos fatores: liste ao menos 3",IF(COUNT(M30:M37)&lt;K41,"Há fator sem nota","OK")))</f>
        <v>OK</v>
      </c>
      <c r="L43" s="42"/>
      <c r="M43" s="42"/>
    </row>
    <row r="44" customFormat="false" ht="21.75" hidden="false" customHeight="true" outlineLevel="0" collapsed="false">
      <c r="B44" s="39" t="s">
        <v>144</v>
      </c>
      <c r="C44" s="39"/>
      <c r="D44" s="39"/>
      <c r="E44" s="39"/>
      <c r="F44" s="39"/>
      <c r="G44" s="39"/>
      <c r="H44" s="43" t="n">
        <f aca="false">E42-H42</f>
        <v>-14</v>
      </c>
      <c r="I44" s="43"/>
      <c r="J44" s="43"/>
      <c r="K44" s="43"/>
      <c r="L44" s="43"/>
      <c r="M44" s="43"/>
    </row>
    <row r="45" customFormat="false" ht="21.75" hidden="false" customHeight="true" outlineLevel="0" collapsed="false">
      <c r="B45" s="39" t="s">
        <v>145</v>
      </c>
      <c r="C45" s="39"/>
      <c r="D45" s="39"/>
      <c r="E45" s="39"/>
      <c r="F45" s="39"/>
      <c r="G45" s="39"/>
      <c r="H45" s="43" t="n">
        <f aca="false">J42-K42</f>
        <v>-20</v>
      </c>
      <c r="I45" s="43"/>
      <c r="J45" s="43"/>
      <c r="K45" s="43"/>
      <c r="L45" s="43"/>
      <c r="M45" s="43"/>
    </row>
    <row r="46" customFormat="false" ht="30" hidden="false" customHeight="true" outlineLevel="0" collapsed="false">
      <c r="B46" s="39" t="s">
        <v>146</v>
      </c>
      <c r="C46" s="39"/>
      <c r="D46" s="39"/>
      <c r="E46" s="39"/>
      <c r="F46" s="39"/>
      <c r="G46" s="39"/>
      <c r="H46" s="44" t="str">
        <f aca="false">IF(OR(COUNT(G16:G23)=0,COUNT(M16:M23)=0,COUNT(G30:G37)=0,COUNT(M30:M37)=0),"Dê notas aos quatro quadrantes para ver a postura",IF(E42&gt;=H42,IF(J42&gt;=K42,"Desenvolvimento: usar as forças para aproveitar as oportunidades","Manutenção: usar as forças para enfrentar as ameaças"),IF(J42&gt;=K42,"Crescimento: corrigir as fraquezas para aproveitar as oportunidades","Sobrevivência: reduzir as fraquezas e proteger-se das ameaças")))</f>
        <v>Sobrevivência: reduzir as fraquezas e proteger-se das ameaças</v>
      </c>
      <c r="I46" s="44"/>
      <c r="J46" s="44"/>
      <c r="K46" s="44"/>
      <c r="L46" s="44"/>
      <c r="M46" s="44"/>
    </row>
    <row r="47" customFormat="false" ht="21.75" hidden="false" customHeight="true" outlineLevel="0" collapsed="false">
      <c r="B47" s="39" t="s">
        <v>147</v>
      </c>
      <c r="C47" s="39"/>
      <c r="D47" s="39"/>
      <c r="E47" s="39"/>
      <c r="F47" s="39"/>
      <c r="G47" s="39"/>
      <c r="H47" s="45" t="n">
        <f aca="false">COUNTA(D4,J4,D5,J5,D6,J6,D7,D8,J8,D9)</f>
        <v>10</v>
      </c>
      <c r="I47" s="45"/>
      <c r="J47" s="45"/>
      <c r="K47" s="45"/>
      <c r="L47" s="45"/>
      <c r="M47" s="45"/>
    </row>
    <row r="49" customFormat="false" ht="21.75" hidden="false" customHeight="true" outlineLevel="0" collapsed="false">
      <c r="B49" s="38" t="s">
        <v>254</v>
      </c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</row>
    <row r="50" customFormat="false" ht="21.75" hidden="false" customHeight="true" outlineLevel="0" collapsed="false">
      <c r="B50" s="44" t="s">
        <v>179</v>
      </c>
      <c r="C50" s="44"/>
      <c r="D50" s="29" t="s">
        <v>166</v>
      </c>
      <c r="E50" s="29" t="s">
        <v>180</v>
      </c>
      <c r="F50" s="29"/>
      <c r="G50" s="29"/>
      <c r="H50" s="29"/>
      <c r="I50" s="29"/>
      <c r="J50" s="29"/>
      <c r="K50" s="29"/>
      <c r="L50" s="29"/>
      <c r="M50" s="29"/>
    </row>
    <row r="51" customFormat="false" ht="30" hidden="false" customHeight="true" outlineLevel="0" collapsed="false">
      <c r="B51" s="67" t="s">
        <v>189</v>
      </c>
      <c r="C51" s="67"/>
      <c r="D51" s="68" t="s">
        <v>288</v>
      </c>
      <c r="E51" s="7" t="s">
        <v>289</v>
      </c>
      <c r="F51" s="7"/>
      <c r="G51" s="7"/>
      <c r="H51" s="7"/>
      <c r="I51" s="7"/>
      <c r="J51" s="7"/>
      <c r="K51" s="7"/>
      <c r="L51" s="7"/>
      <c r="M51" s="7"/>
    </row>
    <row r="52" customFormat="false" ht="30" hidden="false" customHeight="true" outlineLevel="0" collapsed="false">
      <c r="B52" s="67" t="s">
        <v>189</v>
      </c>
      <c r="C52" s="67"/>
      <c r="D52" s="68" t="s">
        <v>290</v>
      </c>
      <c r="E52" s="7" t="s">
        <v>291</v>
      </c>
      <c r="F52" s="7"/>
      <c r="G52" s="7"/>
      <c r="H52" s="7"/>
      <c r="I52" s="7"/>
      <c r="J52" s="7"/>
      <c r="K52" s="7"/>
      <c r="L52" s="7"/>
      <c r="M52" s="7"/>
    </row>
    <row r="53" customFormat="false" ht="30" hidden="false" customHeight="true" outlineLevel="0" collapsed="false">
      <c r="B53" s="67" t="s">
        <v>188</v>
      </c>
      <c r="C53" s="67"/>
      <c r="D53" s="68" t="s">
        <v>292</v>
      </c>
      <c r="E53" s="7" t="s">
        <v>293</v>
      </c>
      <c r="F53" s="7"/>
      <c r="G53" s="7"/>
      <c r="H53" s="7"/>
      <c r="I53" s="7"/>
      <c r="J53" s="7"/>
      <c r="K53" s="7"/>
      <c r="L53" s="7"/>
      <c r="M53" s="7"/>
    </row>
    <row r="54" customFormat="false" ht="30" hidden="false" customHeight="true" outlineLevel="0" collapsed="false">
      <c r="B54" s="67" t="s">
        <v>183</v>
      </c>
      <c r="C54" s="67"/>
      <c r="D54" s="68" t="s">
        <v>294</v>
      </c>
      <c r="E54" s="7" t="s">
        <v>295</v>
      </c>
      <c r="F54" s="7"/>
      <c r="G54" s="7"/>
      <c r="H54" s="7"/>
      <c r="I54" s="7"/>
      <c r="J54" s="7"/>
      <c r="K54" s="7"/>
      <c r="L54" s="7"/>
      <c r="M54" s="7"/>
    </row>
    <row r="55" customFormat="false" ht="30" hidden="false" customHeight="true" outlineLevel="0" collapsed="false">
      <c r="B55" s="67" t="s">
        <v>187</v>
      </c>
      <c r="C55" s="67"/>
      <c r="D55" s="68" t="s">
        <v>257</v>
      </c>
      <c r="E55" s="7" t="s">
        <v>296</v>
      </c>
      <c r="F55" s="7"/>
      <c r="G55" s="7"/>
      <c r="H55" s="7"/>
      <c r="I55" s="7"/>
      <c r="J55" s="7"/>
      <c r="K55" s="7"/>
      <c r="L55" s="7"/>
      <c r="M55" s="7"/>
    </row>
  </sheetData>
  <mergeCells count="110">
    <mergeCell ref="B1:M1"/>
    <mergeCell ref="B2:M2"/>
    <mergeCell ref="B4:C4"/>
    <mergeCell ref="D4:G4"/>
    <mergeCell ref="H4:I4"/>
    <mergeCell ref="J4:M4"/>
    <mergeCell ref="B5:C5"/>
    <mergeCell ref="D5:G5"/>
    <mergeCell ref="H5:I5"/>
    <mergeCell ref="J5:M5"/>
    <mergeCell ref="B6:C6"/>
    <mergeCell ref="D6:G6"/>
    <mergeCell ref="H6:I6"/>
    <mergeCell ref="J6:M6"/>
    <mergeCell ref="B7:C7"/>
    <mergeCell ref="D7:M7"/>
    <mergeCell ref="B8:C8"/>
    <mergeCell ref="D8:G8"/>
    <mergeCell ref="H8:I8"/>
    <mergeCell ref="J8:M8"/>
    <mergeCell ref="B9:C9"/>
    <mergeCell ref="D9:M9"/>
    <mergeCell ref="B11:G11"/>
    <mergeCell ref="H11:M11"/>
    <mergeCell ref="B12:G12"/>
    <mergeCell ref="H12:M12"/>
    <mergeCell ref="B13:G13"/>
    <mergeCell ref="H13:M13"/>
    <mergeCell ref="C14:D14"/>
    <mergeCell ref="I14:J14"/>
    <mergeCell ref="B15:M15"/>
    <mergeCell ref="C16:D16"/>
    <mergeCell ref="I16:J16"/>
    <mergeCell ref="C17:D17"/>
    <mergeCell ref="I17:J17"/>
    <mergeCell ref="C18:D18"/>
    <mergeCell ref="I18:J18"/>
    <mergeCell ref="C19:D19"/>
    <mergeCell ref="I19:J19"/>
    <mergeCell ref="C20:D20"/>
    <mergeCell ref="I20:J20"/>
    <mergeCell ref="C21:D21"/>
    <mergeCell ref="I21:J21"/>
    <mergeCell ref="C22:D22"/>
    <mergeCell ref="I22:J22"/>
    <mergeCell ref="C23:D23"/>
    <mergeCell ref="I23:J23"/>
    <mergeCell ref="B25:G25"/>
    <mergeCell ref="H25:M25"/>
    <mergeCell ref="B26:G26"/>
    <mergeCell ref="H26:M26"/>
    <mergeCell ref="B27:G27"/>
    <mergeCell ref="H27:M27"/>
    <mergeCell ref="C28:D28"/>
    <mergeCell ref="I28:J28"/>
    <mergeCell ref="B29:M29"/>
    <mergeCell ref="C30:D30"/>
    <mergeCell ref="I30:J30"/>
    <mergeCell ref="C31:D31"/>
    <mergeCell ref="I31:J31"/>
    <mergeCell ref="C32:D32"/>
    <mergeCell ref="I32:J32"/>
    <mergeCell ref="C33:D33"/>
    <mergeCell ref="I33:J33"/>
    <mergeCell ref="C34:D34"/>
    <mergeCell ref="I34:J34"/>
    <mergeCell ref="C35:D35"/>
    <mergeCell ref="I35:J35"/>
    <mergeCell ref="C36:D36"/>
    <mergeCell ref="I36:J36"/>
    <mergeCell ref="C37:D37"/>
    <mergeCell ref="I37:J37"/>
    <mergeCell ref="B39:M39"/>
    <mergeCell ref="B40:D40"/>
    <mergeCell ref="E40:G40"/>
    <mergeCell ref="H40:I40"/>
    <mergeCell ref="K40:M40"/>
    <mergeCell ref="B41:D41"/>
    <mergeCell ref="E41:G41"/>
    <mergeCell ref="H41:I41"/>
    <mergeCell ref="K41:M41"/>
    <mergeCell ref="B42:D42"/>
    <mergeCell ref="E42:G42"/>
    <mergeCell ref="H42:I42"/>
    <mergeCell ref="K42:M42"/>
    <mergeCell ref="B43:D43"/>
    <mergeCell ref="E43:G43"/>
    <mergeCell ref="H43:I43"/>
    <mergeCell ref="K43:M43"/>
    <mergeCell ref="B44:G44"/>
    <mergeCell ref="H44:M44"/>
    <mergeCell ref="B45:G45"/>
    <mergeCell ref="H45:M45"/>
    <mergeCell ref="B46:G46"/>
    <mergeCell ref="H46:M46"/>
    <mergeCell ref="B47:G47"/>
    <mergeCell ref="H47:M47"/>
    <mergeCell ref="B49:M49"/>
    <mergeCell ref="B50:C50"/>
    <mergeCell ref="E50:M50"/>
    <mergeCell ref="B51:C51"/>
    <mergeCell ref="E51:M51"/>
    <mergeCell ref="B52:C52"/>
    <mergeCell ref="E52:M52"/>
    <mergeCell ref="B53:C53"/>
    <mergeCell ref="E53:M53"/>
    <mergeCell ref="B54:C54"/>
    <mergeCell ref="E54:M54"/>
    <mergeCell ref="B55:C55"/>
    <mergeCell ref="E55:M55"/>
  </mergeCells>
  <conditionalFormatting sqref="E43:M43">
    <cfRule type="cellIs" priority="2" operator="equal" aboveAverage="0" equalAverage="0" bottom="0" percent="0" rank="0" text="" dxfId="0">
      <formula>"OK"</formula>
    </cfRule>
    <cfRule type="cellIs" priority="3" operator="notEqual" aboveAverage="0" equalAverage="0" bottom="0" percent="0" rank="0" text="" dxfId="1">
      <formula>"OK"</formula>
    </cfRule>
  </conditionalFormatting>
  <dataValidations count="2">
    <dataValidation allowBlank="true" error="Digite uma data no formato dia/mês/ano." errorStyle="stop" errorTitle="Data inválida" operator="greaterThanOrEqual" showDropDown="false" showErrorMessage="true" showInputMessage="false" sqref="J5" type="date">
      <formula1>36526</formula1>
      <formula2>0</formula2>
    </dataValidation>
    <dataValidation allowBlank="true" error="Digite um número inteiro de 1 a 5." errorStyle="stop" errorTitle="Valor inválido" operator="between" prompt="1 = muito baixo; 5 = muito alto" promptTitle="Nota de 1 a 5" showDropDown="false" showErrorMessage="true" showInputMessage="true" sqref="E16:F23 K16:L23 E30:F37 K30:L37" type="whole">
      <formula1>1</formula1>
      <formula2>5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2026-09-29T15:22:53Z</dcterms:created>
  <dc:creator>Modelo SWOT</dc:creator>
  <dc:description/>
  <dc:language>pt-BR</dc:language>
  <cp:lastModifiedBy/>
  <dcterms:modified xsi:type="dcterms:W3CDTF">2026-09-29T15:22:53Z</dcterms:modified>
  <cp:revision>0</cp:revision>
  <dc:subject/>
  <dc:title>SWOT — Modelo de matriz de análise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