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<sst xmlns="http://schemas.openxmlformats.org/spreadsheetml/2006/main" count="813" uniqueCount="438">
  <si>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</si>
  <si>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</si>
  <si>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</si>
  <si>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</si>
  <si>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</si>
  <si>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</si>
  <si>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</si>
  <si>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</si>
  <si>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</si>
  <si>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</si>
  <si>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</si>
  <si>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</si>
  <si>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</si>
  <si>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</si>
  <si>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</si>
  <si>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</si>
  <si>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</si>
  <si>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</si>
  <si>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</si>
  <si>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</si>
  <si>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</si>
  <si>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</si>
  <si>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</si>
  <si>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</si>
  <si>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</si>
  <si>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</si>
  <si>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</si>
  <si>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</si>
  <si>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</si>
  <si>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</si>
  <si>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</si>
  <si>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</si>
  <si>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</si>
  <si>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</si>
  <si>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</si>
  <si>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</si>
  <si>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</si>
  <si>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</si>
  <si>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</si>
  <si>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</si>
  <si>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</si>
  <si>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</si>
  <si>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</si>
  <si>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</si>
  <si>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</si>
  <si>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</si>
  <si>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</si>
  <si>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</si>
  <si>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</si>
  <si>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</si>
  <si>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reunidos. Os subitens de 4.4, 5.2, 6.1, 6.2, 7.1.5, 7.5, 8.2.3, 8.3, 8.7, 9.2, 9.3 e 10.2 foram tratados em conjunto, no requisito de que fazem parte.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</si>
  <si>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</si>
  <si>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</si>
  <si>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</si>
  <si>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</si>
  <si>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</si>
  <si>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</si>
  <si>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</si>
  <si>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</si>
  <si>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</si>
  <si>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</si>
  <si>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</si>
  <si>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</si>
  <si>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</si>
  <si>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</si>
  <si>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</si>
  <si>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</si>
  <si>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</si>
  <si>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</si>
  <si>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</si>
  <si>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</si>
  <si>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</si>
  <si>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</si>
  <si>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</si>
  <si>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</si>
  <si>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</si>
  <si>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</si>
  <si>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</si>
  <si>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</si>
  <si>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</si>
  <si>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</si>
  <si>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</si>
  <si>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</si>
  <si>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</si>
  <si>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</si>
  <si>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</si>
  <si>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</si>
  <si>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</si>
  <si>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</si>
  <si>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</si>
  <si>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</si>
  <si>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</si>
  <si>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</si>
  <si>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</si>
  <si>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</si>
  <si>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</si>
  <si>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</si>
  <si>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</si>
  <si>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</si>
  <si>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</si>
  <si>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</si>
  <si>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</si>
  <si>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</si>
  <si>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</si>
  <si>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</si>
  <si>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</si>
  <si>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</si>
  <si>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</si>
  <si>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</si>
  <si>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</si>
  <si>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</si>
  <si>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</si>
  <si>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</si>
  <si>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</si>
  <si>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</si>
  <si>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</si>
  <si>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</si>
  <si>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</si>
  <si>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</si>
  <si>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</si>
  <si>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</si>
  <si>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</si>
  <si>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</si>
  <si>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</si>
  <si>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</si>
  <si>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</si>
  <si>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</si>
  <si>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</si>
  <si>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</si>
  <si>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</si>
  <si>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</si>
  <si>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</si>
  <si>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</si>
  <si>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</si>
  <si>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</si>
  <si>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</si>
  <si>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</si>
  <si>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</si>
  <si>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</si>
  <si>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</si>
  <si>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</si>
  <si>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</si>
  <si>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</si>
  <si>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</si>
  <si>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</si>
  <si>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</si>
  <si>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</si>
  <si>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</si>
  <si>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</si>
  <si>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</si>
  <si>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</si>
  <si>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</si>
  <si>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</si>
  <si>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</si>
  <si>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</si>
  <si>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</si>
  <si>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</si>
  <si>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</si>
  <si>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</si>
  <si>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</si>
  <si>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</si>
  <si>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</si>
  <si>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</si>
  <si>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</si>
  <si>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</si>
  <si>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</si>
  <si>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</si>
  <si>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</si>
  <si>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</si>
  <si>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</si>
  <si>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</si>
  <si>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</si>
  <si>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</si>
  <si>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</si>
  <si>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</si>
  <si>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</si>
  <si>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</si>
  <si>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</si>
  <si>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</si>
  <si>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</si>
  <si>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</si>
  <si>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</si>
  <si>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</si>
  <si>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</si>
  <si>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</si>
  <si>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</si>
  <si>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</si>
  <si>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</si>
  <si>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</si>
  <si>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</si>
  <si>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</si>
  <si>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</si>
  <si>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</si>
  <si>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</si>
  <si>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</si>
  <si>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</si>
  <si>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</si>
  <si>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</si>
  <si>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</si>
  <si>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</si>
  <si>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</si>
  <si>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</si>
  <si>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</si>
  <si>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</si>
  <si>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</si>
  <si>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</si>
  <si>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</si>
  <si>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</si>
  <si>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</si>
  <si>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</si>
  <si>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</si>
  <si>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</si>
  <si>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</si>
  <si>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</si>
  <si>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</si>
  <si>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</si>
  <si>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</si>
  <si>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</si>
  <si>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</si>
  <si>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</si>
  <si>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</si>
  <si>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</si>
  <si>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</si>
  <si>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</si>
  <si>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</si>
  <si>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</si>
  <si>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</si>
  <si>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</si>
  <si>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</si>
  <si>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</si>
  <si>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</si>
  <si>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</si>
  <si>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</si>
  <si>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</si>
  <si>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</si>
  <si>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</si>
  <si>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</si>
  <si>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</si>
  <si>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</si>
  <si>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</si>
  <si>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</si>
  <si>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</si>
  <si>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</si>
  <si>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</si>
  <si>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</si>
  <si>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</si>
  <si>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</si>
  <si>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</si>
  <si>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</si>
  <si>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</si>
  <si>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</si>
  <si>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</si>
  <si>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</si>
  <si>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</si>
  <si>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</si>
  <si>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</si>
  <si>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</si>
  <si>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</si>
  <si>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</si>
  <si>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</si>
  <si>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</si>
  <si>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</si>
  <si>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</si>
  <si>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</si>
  <si>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</si>
  <si>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</si>
  <si>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</si>
  <si>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</si>
  <si>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</si>
  <si>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</si>
  <si>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</si>
  <si>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</si>
  <si>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</si>
  <si>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</si>
  <si>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</si>
  <si>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</si>
  <si>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</si>
  <si>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</si>
  <si>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</si>
  <si>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</si>
  <si>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</si>
  <si>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</si>
  <si>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</si>
  <si>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</si>
  <si>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</si>
  <si>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</si>
  <si>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</si>
  <si>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</si>
  <si>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</si>
  <si>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</si>
  <si>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</si>
  <si>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</si>
  <si>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</si>
  <si>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</si>
  <si>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</si>
  <si>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</si>
  <si>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</si>
  <si>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</si>
  <si>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</si>
  <si>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</si>
  <si>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</si>
  <si>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</si>
  <si>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</si>
  <si>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</si>
  <si>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</si>
  <si>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</si>
  <si>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</si>
  <si>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</si>
  <si>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</si>
  <si>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</si>
  <si>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</si>
  <si>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</si>
  <si>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</si>
  <si>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</si>
  <si>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</si>
  <si>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</si>
  <si>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</si>
  <si>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</si>
  <si>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</si>
  <si>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</si>
  <si>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</si>
  <si>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</si>
  <si>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</si>
  <si>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</si>
  <si>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</si>
  <si>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</si>
  <si>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</si>
  <si>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</si>
  <si>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</si>
  <si>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</si>
  <si>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</si>
  <si>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</si>
  <si>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</si>
  <si>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</si>
  <si>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</si>
  <si>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</si>
  <si>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</si>
  <si>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</si>
  <si>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</si>
  <si>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</si>
  <si>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</si>
  <si>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</si>
  <si>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</si>
  <si>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</si>
  <si>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</si>
  <si>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</si>
  <si>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</si>
  <si>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</si>
  <si>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</si>
  <si>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</si>
  <si>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</si>
  <si>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Escrever a política e conduzir a primeira análise crítica: sem elas, a direção não mostra a política ligada à estratégia nem responde pela eficácia do sistema.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</si>
  <si>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</si>
  <si>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</si>
  <si>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</si>
  <si>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</si>
  <si>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</si>
  <si>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</si>
  <si>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</si>
  <si>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</si>
  <si>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</si>
  <si>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</si>
  <si>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</si>
  <si>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</si>
  <si>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</si>
  <si>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</si>
  <si>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</si>
  <si>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</si>
  <si>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</si>
  <si>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</si>
  <si>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</si>
  <si>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</si>
  <si>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</si>
  <si>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</si>
  <si>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</si>
  <si>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</si>
  <si>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</si>
  <si>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</si>
  <si>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</si>
  <si>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</si>
  <si>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</si>
  <si>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</si>
  <si>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</si>
  <si>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</si>
  <si>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</si>
  <si>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</si>
  <si>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</si>
  <si>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</si>
  <si>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</si>
  <si>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</si>
  <si>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</si>
  <si>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</si>
  <si>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</si>
  <si>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Garantia da pizza entregue: reposição ou desconto quando ela chega fora do padrão.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</si>
  <si>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</si>
  <si>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</si>
  <si>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</si>
  <si>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</si>
  <si>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</si>
  <si>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</si>
  <si>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</si>
  <si>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</si>
  <si>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</si>
  <si>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</si>
  <si>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</si>
  <si>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</si>
  <si>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</si>
  <si>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</si>
  <si>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</si>
  <si>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</si>
  <si>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</si>
  <si>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</si>
  <si>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</si>
  <si>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</si>
  <si>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</si>
  <si>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</si>
  <si>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</si>
  <si>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</si>
  <si>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</si>
  <si>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</si>
  <si>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</si>
  <si>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</si>
  <si>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a resina,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</si>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</sst>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65263753"/>
        <c:axId val="10671172"/>
      </c:barChart>
      <c:catAx>
        <c:axId val="6526375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71172"/>
        <c:crosses val="autoZero"/>
        <c:auto val="1"/>
        <c:lblAlgn val="ctr"/>
        <c:lblOffset val="100"/>
        <c:noMultiLvlLbl val="0"/>
      </c:catAx>
      <c:valAx>
        <c:axId val="1067117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63753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98509694"/>
        <c:axId val="98948692"/>
      </c:barChart>
      <c:catAx>
        <c:axId val="9850969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48692"/>
        <c:crosses val="autoZero"/>
        <c:auto val="1"/>
        <c:lblAlgn val="ctr"/>
        <c:lblOffset val="100"/>
        <c:noMultiLvlLbl val="0"/>
      </c:catAx>
      <c:valAx>
        <c:axId val="9894869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09694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7904422"/>
        <c:axId val="86616538"/>
      </c:barChart>
      <c:catAx>
        <c:axId val="7790442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16538"/>
        <c:crosses val="autoZero"/>
        <c:auto val="1"/>
        <c:lblAlgn val="ctr"/>
        <c:lblOffset val="100"/>
        <c:noMultiLvlLbl val="0"/>
      </c:catAx>
      <c:valAx>
        <c:axId val="8661653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0442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90360</xdr:rowOff>
    </xdr:to>
    <xdr:graphicFrame>
      <xdr:nvGraphicFramePr>
        <xdr:cNvPr id="1" name="Chart 1"/>
        <xdr:cNvGraphicFramePr/>
      </xdr:nvGraphicFramePr>
      <xdr:xfrm>
        <a:off x="141120" y="2957508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60" hidden="false" customHeight="true" outlineLevel="0" collapsed="false">
      <c r="B18" s="18" t="s">
        <v>101</v>
      </c>
      <c r="C18" s="4" t="s">
        <v>102</v>
      </c>
      <c r="D18" s="50" t="s">
        <v>14</v>
      </c>
      <c r="E18" s="7" t="s">
        <v>350</v>
      </c>
      <c r="F18" s="7"/>
      <c r="G18" s="7" t="s">
        <v>351</v>
      </c>
      <c r="H18" s="7"/>
      <c r="I18" s="21" t="n">
        <f aca="false">IF(D18="Atende",1,IF(D18="Atende em parte",0.5,0))</f>
        <v>0.5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352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353</v>
      </c>
      <c r="F20" s="7"/>
      <c r="G20" s="7" t="s">
        <v>354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355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356</v>
      </c>
      <c r="F23" s="7"/>
      <c r="G23" s="7" t="s">
        <v>357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358</v>
      </c>
      <c r="F24" s="7"/>
      <c r="G24" s="7" t="s">
        <v>359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360</v>
      </c>
      <c r="F25" s="7"/>
      <c r="G25" s="7" t="s">
        <v>361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362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363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364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365</v>
      </c>
      <c r="F30" s="7"/>
      <c r="G30" s="7" t="s">
        <v>366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367</v>
      </c>
      <c r="F31" s="7"/>
      <c r="G31" s="7" t="s">
        <v>368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369</v>
      </c>
      <c r="F32" s="7"/>
      <c r="G32" s="7" t="s">
        <v>370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371</v>
      </c>
      <c r="F33" s="7"/>
      <c r="G33" s="7" t="s">
        <v>372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373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374</v>
      </c>
      <c r="F35" s="7"/>
      <c r="G35" s="7" t="s">
        <v>375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376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377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378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379</v>
      </c>
      <c r="F40" s="7"/>
      <c r="G40" s="7" t="s">
        <v>380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381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382</v>
      </c>
      <c r="F42" s="7"/>
      <c r="G42" s="7" t="s">
        <v>383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384</v>
      </c>
      <c r="F43" s="7"/>
      <c r="G43" s="7" t="s">
        <v>385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386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387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388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389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390</v>
      </c>
      <c r="F48" s="7"/>
      <c r="G48" s="7" t="s">
        <v>391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392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47.2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393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394</v>
      </c>
      <c r="F51" s="7"/>
      <c r="G51" s="7" t="s">
        <v>395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396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397</v>
      </c>
      <c r="F53" s="7"/>
      <c r="G53" s="7" t="s">
        <v>398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399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400</v>
      </c>
      <c r="F56" s="7"/>
      <c r="G56" s="7" t="s">
        <v>401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402</v>
      </c>
      <c r="F57" s="7"/>
      <c r="G57" s="7" t="s">
        <v>403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404</v>
      </c>
      <c r="F58" s="7"/>
      <c r="G58" s="7" t="s">
        <v>405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406</v>
      </c>
      <c r="F59" s="7"/>
      <c r="G59" s="7" t="s">
        <v>407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408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409</v>
      </c>
      <c r="F62" s="7"/>
      <c r="G62" s="7" t="s">
        <v>410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411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412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2</v>
      </c>
      <c r="G68" s="30" t="n">
        <f aca="false">SUMPRODUCT(($J$12:$J$63=5)*($D$12:$D$63="Atende em parte"))</f>
        <v>1</v>
      </c>
      <c r="H68" s="30" t="n">
        <f aca="false">SUMPRODUCT(($J$12:$J$63=5)*($D$12:$D$63="Não atende"))</f>
        <v>1</v>
      </c>
      <c r="I68" s="31" t="n">
        <f aca="false">IF(E68=0,"",(F68+0.5*G68)/E68)</f>
        <v>0.625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20</v>
      </c>
      <c r="G74" s="36" t="n">
        <f aca="false">SUM(G67:G73)</f>
        <v>20</v>
      </c>
      <c r="H74" s="36" t="n">
        <f aca="false">SUM(H67:H73)</f>
        <v>5</v>
      </c>
      <c r="I74" s="31" t="n">
        <f aca="false">IF(E74=0,"",(F74+0.5*G74)/E74)</f>
        <v>0.666666666666667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0.666666666666667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413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414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415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416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417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418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419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420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421</v>
      </c>
      <c r="F17" s="7"/>
      <c r="G17" s="7" t="s">
        <v>422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423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424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425</v>
      </c>
      <c r="F22" s="7"/>
      <c r="G22" s="7" t="s">
        <v>426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427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428</v>
      </c>
      <c r="F24" s="7"/>
      <c r="G24" s="7" t="s">
        <v>429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430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431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432</v>
      </c>
      <c r="F28" s="7"/>
      <c r="G28" s="7" t="s">
        <v>433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434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435</v>
      </c>
      <c r="F31" s="7"/>
      <c r="G31" s="7" t="s">
        <v>436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412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437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2026-10-04T16:49:33Z</dcterms:created>
  <dc:creator>Modelo ISO 9001</dc:creator>
  <dc:description/>
  <dc:language>pt-BR</dc:language>
  <cp:lastModifiedBy/>
  <dcterms:modified xsi:type="dcterms:W3CDTF">2026-10-04T16:49:33Z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