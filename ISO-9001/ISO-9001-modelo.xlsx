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Diagnóstico" sheetId="2" state="visible" r:id="rId4"/>
    <sheet name="Resumo" sheetId="3" state="visible" r:id="rId5"/>
    <sheet name="Plano de ação" sheetId="4" state="visible" r:id="rId6"/>
    <sheet name="Documento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1" name="_xlnm.Print_Area" vbProcedure="false">Diagnóstico!$B$1:$J$60</definedName>
    <definedName function="false" hidden="false" localSheetId="1" name="_xlnm.Print_Titles" vbProcedure="false">Diagnóstico!$7:$7</definedName>
    <definedName function="false" hidden="false" localSheetId="4" name="_xlnm.Print_Area" vbProcedure="false">Documentos!$B$1:$H$37</definedName>
    <definedName function="false" hidden="false" localSheetId="4" name="_xlnm.Print_Titles" vbProcedure="false">Documentos!$4:$4</definedName>
    <definedName function="false" hidden="false" localSheetId="6" name="_xlnm.Print_Area" vbProcedure="false">'Exemplo 1 - Pizzaria'!$B$1:$I$92</definedName>
    <definedName function="false" hidden="false" localSheetId="6" name="_xlnm.Print_Titles" vbProcedure="false">'Exemplo 1 - Pizzaria'!$11:$11</definedName>
    <definedName function="false" hidden="false" localSheetId="7" name="_xlnm.Print_Area" vbProcedure="false">'Exemplo 2 - Compras'!$B$1:$I$60</definedName>
    <definedName function="false" hidden="false" localSheetId="7" name="_xlnm.Print_Titles" vbProcedure="false">'Exemplo 2 - Compras'!$11:$11</definedName>
    <definedName function="false" hidden="false" localSheetId="0" name="_xlnm.Print_Area" vbProcedure="false">Instruções!$B$1:$C$40</definedName>
    <definedName function="false" hidden="false" localSheetId="3" name="_xlnm.Print_Area" vbProcedure="false">'Plano de ação'!$B$1:$K$35</definedName>
    <definedName function="false" hidden="false" localSheetId="2" name="_xlnm.Print_Area" vbProcedure="false">Resumo!$B$1:$I$43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0" authorId="0">
      <text>
        <r>
          <rPr>
            <sz val="10"/>
            <rFont val="Arial"/>
            <family val="2"/>
          </rPr>
          <t xml:space="preserve">O que pede, em resumo:
Determinar as questões internas e externas que afetam o propósito, a direção estratégica e os resultados do sistema. Monitorar e analisar essas questões. A emenda de 2024 pede também que a organização determine se a mudança climática é uma questão pertinente.</t>
        </r>
      </text>
    </comment>
    <comment ref="C11" authorId="0">
      <text>
        <r>
          <rPr>
            <sz val="10"/>
            <rFont val="Arial"/>
            <family val="2"/>
          </rPr>
          <t xml:space="preserve">O que pede, em resumo:
Determinar as partes interessadas pertinentes ao sistema e os requisitos de cada uma. Monitorar e analisar essas informações.</t>
        </r>
      </text>
    </comment>
    <comment ref="C12" authorId="0">
      <text>
        <r>
          <rPr>
            <sz val="10"/>
            <rFont val="Arial"/>
            <family val="2"/>
          </rPr>
          <t xml:space="preserve">O que pede, em resumo:
Definir os limites e a aplicabilidade do sistema, considerando o contexto, as partes interessadas e os produtos e serviços. Justificar todo requisito considerado não aplicável.</t>
        </r>
      </text>
    </comment>
    <comment ref="C13" authorId="0">
      <text>
        <r>
          <rPr>
            <sz val="10"/>
            <rFont val="Arial"/>
            <family val="2"/>
          </rPr>
          <t xml:space="preserve">O que pede, em resumo:
Determinar os processos necessários, com entradas, saídas, sequência, interação, critérios, recursos, responsáveis, riscos e oportunidades. Avaliar os processos e melhorá-los.</t>
        </r>
      </text>
    </comment>
    <comment ref="C15" authorId="0">
      <text>
        <r>
          <rPr>
            <sz val="10"/>
            <rFont val="Arial"/>
            <family val="2"/>
          </rPr>
          <t xml:space="preserve">O que pede, em resumo:
A alta direção deve demonstrar liderança: responder pela eficácia do sistema, assegurar política e objetivos compatíveis com a estratégia, integrar os requisitos aos processos do negócio, prover recursos e promover a melhoria.</t>
        </r>
      </text>
    </comment>
    <comment ref="C16" authorId="0">
      <text>
        <r>
          <rPr>
            <sz val="10"/>
            <rFont val="Arial"/>
            <family val="2"/>
          </rPr>
          <t xml:space="preserve">O que pede, em resumo:
A alta direção deve assegurar que os requisitos do cliente e os legais sejam determinados e atendidos, que os riscos para a conformidade sejam tratados e que o foco na satisfação do cliente seja mantido.</t>
        </r>
      </text>
    </comment>
    <comment ref="C17" authorId="0">
      <text>
        <r>
          <rPr>
            <sz val="10"/>
            <rFont val="Arial"/>
            <family val="2"/>
          </rPr>
          <t xml:space="preserve">O que pede, em resumo:
Estabelecer uma política da qualidade apropriada ao propósito e ao contexto, que sirva de base para os objetivos e inclua os compromissos de atender a requisitos e de melhorar. Comunicar a política e mantê-la disponível.</t>
        </r>
      </text>
    </comment>
    <comment ref="C18" authorId="0">
      <text>
        <r>
          <rPr>
            <sz val="10"/>
            <rFont val="Arial"/>
            <family val="2"/>
          </rPr>
          <t xml:space="preserve">O que pede, em resumo:
Atribuir, comunicar e fazer entender as responsabilidades e as autoridades, inclusive pela conformidade do sistema, pelo relato do desempenho e pela integridade do sistema durante as mudanças.</t>
        </r>
      </text>
    </comment>
    <comment ref="C20" authorId="0">
      <text>
        <r>
          <rPr>
            <sz val="10"/>
            <rFont val="Arial"/>
            <family val="2"/>
          </rPr>
          <t xml:space="preserve">O que pede, em resumo:
Determinar os riscos e as oportunidades a partir do contexto e das partes interessadas. Planejar ações para abordá-los, integrá-las aos processos e avaliar a eficácia delas. As ações devem ser proporcionais ao impacto.</t>
        </r>
      </text>
    </comment>
    <comment ref="C21" authorId="0">
      <text>
        <r>
          <rPr>
            <sz val="10"/>
            <rFont val="Arial"/>
            <family val="2"/>
          </rPr>
          <t xml:space="preserve">O que pede, em resumo:
Estabelecer objetivos mensuráveis, coerentes com a política, monitorados e comunicados. Para cada objetivo, definir o que será feito, os recursos, o responsável, o prazo e a forma de avaliar o resultado.</t>
        </r>
      </text>
    </comment>
    <comment ref="C22" authorId="0">
      <text>
        <r>
          <rPr>
            <sz val="10"/>
            <rFont val="Arial"/>
            <family val="2"/>
          </rPr>
          <t xml:space="preserve">O que pede, em resumo:
Realizar as mudanças no sistema de forma planejada, considerando o propósito, as consequências, a integridade do sistema, os recursos e as responsabilidades.</t>
        </r>
      </text>
    </comment>
    <comment ref="C24" authorId="0">
      <text>
        <r>
          <rPr>
            <sz val="10"/>
            <rFont val="Arial"/>
            <family val="2"/>
          </rPr>
          <t xml:space="preserve">O que pede, em resumo:
Determinar e prover os recursos necessários, considerando o que existe internamente e o que precisa vir de fora. Determinar e prover as pessoas necessárias para operar o sistema e os processos.</t>
        </r>
      </text>
    </comment>
    <comment ref="C25" authorId="0">
      <text>
        <r>
          <rPr>
            <sz val="10"/>
            <rFont val="Arial"/>
            <family val="2"/>
          </rPr>
          <t xml:space="preserve">O que pede, em resumo:
Determinar, prover e manter a infraestrutura necessária: edifícios, equipamentos, software, transporte e tecnologia da informação.</t>
        </r>
      </text>
    </comment>
    <comment ref="C26" authorId="0">
      <text>
        <r>
          <rPr>
            <sz val="10"/>
            <rFont val="Arial"/>
            <family val="2"/>
          </rPr>
          <t xml:space="preserve">O que pede, em resumo:
Determinar, prover e manter o ambiente necessário, com os fatores físicos, sociais e psicológicos que afetam a conformidade.</t>
        </r>
      </text>
    </comment>
    <comment ref="C27" authorId="0">
      <text>
        <r>
          <rPr>
            <sz val="10"/>
            <rFont val="Arial"/>
            <family val="2"/>
          </rPr>
          <t xml:space="preserve">O que pede, em resumo:
Assegurar que os recursos usados para medir e monitorar sejam adequados e mantidos. Quando a rastreabilidade da medição for requisito, calibrar ou verificar os instrumentos, identificá-los e protegê-los.</t>
        </r>
      </text>
    </comment>
    <comment ref="C28" authorId="0">
      <text>
        <r>
          <rPr>
            <sz val="10"/>
            <rFont val="Arial"/>
            <family val="2"/>
          </rPr>
          <t xml:space="preserve">O que pede, em resumo:
Determinar o conhecimento necessário para operar os processos, mantê-lo e torná-lo disponível. Diante de mudanças, avaliar como obter o conhecimento que falta.</t>
        </r>
      </text>
    </comment>
    <comment ref="C29" authorId="0">
      <text>
        <r>
          <rPr>
            <sz val="10"/>
            <rFont val="Arial"/>
            <family val="2"/>
          </rPr>
          <t xml:space="preserve">O que pede, em resumo:
Determinar a competência necessária das pessoas que afetam o desempenho do sistema, assegurar que elas sejam competentes, agir para obter a competência que falta e avaliar a eficácia dessas ações.</t>
        </r>
      </text>
    </comment>
    <comment ref="C30" authorId="0">
      <text>
        <r>
          <rPr>
            <sz val="10"/>
            <rFont val="Arial"/>
            <family val="2"/>
          </rPr>
          <t xml:space="preserve">O que pede, em resumo:
Assegurar que as pessoas conheçam a política, os objetivos pertinentes, a sua contribuição para o sistema e as consequências de não atender aos requisitos.</t>
        </r>
      </text>
    </comment>
    <comment ref="C31" authorId="0">
      <text>
        <r>
          <rPr>
            <sz val="10"/>
            <rFont val="Arial"/>
            <family val="2"/>
          </rPr>
          <t xml:space="preserve">O que pede, em resumo:
Determinar as comunicações internas e externas pertinentes ao sistema: o que comunicar, quando, a quem, como e quem comunica.</t>
        </r>
      </text>
    </comment>
    <comment ref="C32" authorId="0">
      <text>
        <r>
          <rPr>
            <sz val="10"/>
            <rFont val="Arial"/>
            <family val="2"/>
          </rPr>
          <t xml:space="preserve">O que pede, em resumo:
Manter a informação documentada exigida pela norma e a que a organização considera necessária. Ao criar e atualizar, cuidar da identificação, do formato e da aprovação. Controlar a distribuição, o acesso, o armazenamento, as alterações e o descarte.</t>
        </r>
      </text>
    </comment>
    <comment ref="C34" authorId="0">
      <text>
        <r>
          <rPr>
            <sz val="10"/>
            <rFont val="Arial"/>
            <family val="2"/>
          </rPr>
          <t xml:space="preserve">O que pede, em resumo:
Planejar, implementar e controlar os processos necessários para atender aos requisitos: determinar os requisitos, os critérios dos processos e de aceitação, os recursos e os controles. Controlar as mudanças planejadas e os processos terceirizados.</t>
        </r>
      </text>
    </comment>
    <comment ref="C35" authorId="0">
      <text>
        <r>
          <rPr>
            <sz val="10"/>
            <rFont val="Arial"/>
            <family val="2"/>
          </rPr>
          <t xml:space="preserve">O que pede, em resumo:
Comunicar-se com o cliente sobre produtos e serviços, consultas, contratos e pedidos, retorno e reclamações, propriedade do cliente e ações de contingência.</t>
        </r>
      </text>
    </comment>
    <comment ref="C36" authorId="0">
      <text>
        <r>
          <rPr>
            <sz val="10"/>
            <rFont val="Arial"/>
            <family val="2"/>
          </rPr>
          <t xml:space="preserve">O que pede, em resumo:
Assegurar que os requisitos dos produtos e serviços estejam definidos, inclusive os legais e os que a organização considera necessários, e que a organização possa cumprir o que oferece.</t>
        </r>
      </text>
    </comment>
    <comment ref="C37" authorId="0">
      <text>
        <r>
          <rPr>
            <sz val="10"/>
            <rFont val="Arial"/>
            <family val="2"/>
          </rPr>
          <t xml:space="preserve">O que pede, em resumo:
Antes de se comprometer a fornecer, analisar os requisitos declarados pelo cliente, os não declarados mas necessários, os legais e as diferenças em relação ao que foi combinado antes.</t>
        </r>
      </text>
    </comment>
    <comment ref="C38" authorId="0">
      <text>
        <r>
          <rPr>
            <sz val="10"/>
            <rFont val="Arial"/>
            <family val="2"/>
          </rPr>
          <t xml:space="preserve">O que pede, em resumo:
Quando os requisitos mudam, alterar a informação documentada pertinente e avisar as pessoas envolvidas.</t>
        </r>
      </text>
    </comment>
    <comment ref="C39" authorId="0">
      <text>
        <r>
          <rPr>
            <sz val="10"/>
            <rFont val="Arial"/>
            <family val="2"/>
          </rPr>
          <t xml:space="preserve">O que pede, em resumo:
Estabelecer um processo de projeto e desenvolvimento com planejamento, entradas, controles, saídas e mudanças. Os controles incluem análises críticas, verificação e validação.</t>
        </r>
      </text>
    </comment>
    <comment ref="C40" authorId="0">
      <text>
        <r>
          <rPr>
            <sz val="10"/>
            <rFont val="Arial"/>
            <family val="2"/>
          </rPr>
          <t xml:space="preserve">O que pede, em resumo:
Assegurar que processos, produtos e serviços providos externamente atendam aos requisitos. Determinar e aplicar critérios para avaliar, selecionar, monitorar o desempenho e reavaliar os provedores externos.</t>
        </r>
      </text>
    </comment>
    <comment ref="C41" authorId="0">
      <text>
        <r>
          <rPr>
            <sz val="10"/>
            <rFont val="Arial"/>
            <family val="2"/>
          </rPr>
          <t xml:space="preserve">O que pede, em resumo:
Definir os controles sobre o provedor externo e sobre o que ele entrega, de acordo com o impacto na capacidade de atender ao cliente. Definir a verificação necessária para assegurar que o item recebido atende aos requisitos.</t>
        </r>
      </text>
    </comment>
    <comment ref="C42" authorId="0">
      <text>
        <r>
          <rPr>
            <sz val="10"/>
            <rFont val="Arial"/>
            <family val="2"/>
          </rPr>
          <t xml:space="preserve">O que pede, em resumo:
Comunicar ao provedor externo os requisitos do que será fornecido, os critérios de aprovação, a competência exigida e os controles que serão aplicados. Assegurar que os requisitos estejam adequados antes de comunicá-los.</t>
        </r>
      </text>
    </comment>
    <comment ref="C43" authorId="0">
      <text>
        <r>
          <rPr>
            <sz val="10"/>
            <rFont val="Arial"/>
            <family val="2"/>
          </rPr>
          <t xml:space="preserve">O que pede, em resumo:
Produzir e prestar o serviço sob condições controladas: informação sobre o que fazer e o resultado esperado, recursos de medição, monitoramento, infraestrutura, pessoas competentes, validação de processos, prevenção de erro humano e atividades de liberação e de entrega.</t>
        </r>
      </text>
    </comment>
    <comment ref="C44" authorId="0">
      <text>
        <r>
          <rPr>
            <sz val="10"/>
            <rFont val="Arial"/>
            <family val="2"/>
          </rPr>
          <t xml:space="preserve">O que pede, em resumo:
Identificar as saídas e a situação delas em relação às verificações. Quando a rastreabilidade for requisito, controlar a identificação única de cada saída.</t>
        </r>
      </text>
    </comment>
    <comment ref="C45" authorId="0">
      <text>
        <r>
          <rPr>
            <sz val="10"/>
            <rFont val="Arial"/>
            <family val="2"/>
          </rPr>
          <t xml:space="preserve">O que pede, em resumo:
Cuidar da propriedade de clientes e de provedores externos enquanto estiver sob controle da organização: identificar, verificar e proteger. Se for perdida ou danificada, relatar ao dono.</t>
        </r>
      </text>
    </comment>
    <comment ref="C46" authorId="0">
      <text>
        <r>
          <rPr>
            <sz val="10"/>
            <rFont val="Arial"/>
            <family val="2"/>
          </rPr>
          <t xml:space="preserve">O que pede, em resumo:
Preservar as saídas durante a produção e a provisão do serviço, para assegurar a conformidade: identificação, manuseio, embalagem, armazenamento, transporte e proteção.</t>
        </r>
      </text>
    </comment>
    <comment ref="C47" authorId="0">
      <text>
        <r>
          <rPr>
            <sz val="10"/>
            <rFont val="Arial"/>
            <family val="2"/>
          </rPr>
          <t xml:space="preserve">O que pede, em resumo:
Atender aos requisitos das atividades pós-entrega, considerando os requisitos legais, as consequências indesejadas, a vida útil, os requisitos do cliente e o retorno recebido.</t>
        </r>
      </text>
    </comment>
    <comment ref="C48" authorId="0">
      <text>
        <r>
          <rPr>
            <sz val="10"/>
            <rFont val="Arial"/>
            <family val="2"/>
          </rPr>
          <t xml:space="preserve">O que pede, em resumo:
Analisar e controlar as mudanças na produção ou na provisão do serviço, para manter a conformidade. Registrar o resultado da análise, quem autorizou e as ações necessárias.</t>
        </r>
      </text>
    </comment>
    <comment ref="C49" authorId="0">
      <text>
        <r>
          <rPr>
            <sz val="10"/>
            <rFont val="Arial"/>
            <family val="2"/>
          </rPr>
          <t xml:space="preserve">O que pede, em resumo:
Verificar, nas etapas planejadas, se os requisitos foram atendidos. Só liberar ao cliente depois das verificações, salvo aprovação de autoridade pertinente. Registrar a conformidade e quem autorizou a liberação.</t>
        </r>
      </text>
    </comment>
    <comment ref="C50" authorId="0">
      <text>
        <r>
          <rPr>
            <sz val="10"/>
            <rFont val="Arial"/>
            <family val="2"/>
          </rPr>
          <t xml:space="preserve">O que pede, em resumo:
Identificar e controlar as saídas não conformes, para evitar o uso ou a entrega. Agir conforme a natureza da falha: corrigir, separar, devolver, informar o cliente ou obter concessão. Verificar de novo depois da correção.</t>
        </r>
      </text>
    </comment>
    <comment ref="C52" authorId="0">
      <text>
        <r>
          <rPr>
            <sz val="10"/>
            <rFont val="Arial"/>
            <family val="2"/>
          </rPr>
          <t xml:space="preserve">O que pede, em resumo:
Determinar o que medir e monitorar, os métodos, quando medir e quando analisar os resultados. Avaliar o desempenho e a eficácia do sistema.</t>
        </r>
      </text>
    </comment>
    <comment ref="C53" authorId="0">
      <text>
        <r>
          <rPr>
            <sz val="10"/>
            <rFont val="Arial"/>
            <family val="2"/>
          </rPr>
          <t xml:space="preserve">O que pede, em resumo:
Monitorar a percepção do cliente sobre o grau em que as suas necessidades e expectativas foram atendidas. Determinar os métodos para obter e usar essa informação.</t>
        </r>
      </text>
    </comment>
    <comment ref="C54" authorId="0">
      <text>
        <r>
          <rPr>
            <sz val="10"/>
            <rFont val="Arial"/>
            <family val="2"/>
          </rPr>
          <t xml:space="preserve">O que pede, em resumo:
Analisar os dados para avaliar a conformidade de produtos e serviços, a satisfação do cliente, o desempenho do sistema, a eficácia do planejamento e das ações sobre riscos, o desempenho de provedores externos e as necessidades de melhoria.</t>
        </r>
      </text>
    </comment>
    <comment ref="C55" authorId="0">
      <text>
        <r>
          <rPr>
            <sz val="10"/>
            <rFont val="Arial"/>
            <family val="2"/>
          </rPr>
          <t xml:space="preserve">O que pede, em resumo:
Conduzir auditorias internas a intervalos planejados, com programa, critérios e escopo definidos, auditores imparciais, resultados relatados à gestão e ações sem demora indevida.</t>
        </r>
      </text>
    </comment>
    <comment ref="C56" authorId="0">
      <text>
        <r>
          <rPr>
            <sz val="10"/>
            <rFont val="Arial"/>
            <family val="2"/>
          </rPr>
          <t xml:space="preserve">O que pede, em resumo:
A alta direção deve analisar o sistema a intervalos planejados, considerando as entradas definidas pela norma: ações anteriores, mudanças, desempenho, recursos, riscos e oportunidades de melhoria. As saídas são decisões sobre melhoria, mudanças e recursos.</t>
        </r>
      </text>
    </comment>
    <comment ref="C58" authorId="0">
      <text>
        <r>
          <rPr>
            <sz val="10"/>
            <rFont val="Arial"/>
            <family val="2"/>
          </rPr>
          <t xml:space="preserve">O que pede, em resumo:
Determinar e selecionar oportunidades de melhoria e implementar ações para atender aos requisitos do cliente e aumentar a satisfação: melhorar produtos e serviços, corrigir e prevenir efeitos indesejados e melhorar o sistema.</t>
        </r>
      </text>
    </comment>
    <comment ref="C59" authorId="0">
      <text>
        <r>
          <rPr>
            <sz val="10"/>
            <rFont val="Arial"/>
            <family val="2"/>
          </rPr>
          <t xml:space="preserve">O que pede, em resumo:
Diante de uma não conformidade, reagir, avaliar a necessidade de eliminar a causa, implementar a ação, analisar a eficácia e atualizar os riscos e o sistema, se necessário.</t>
        </r>
      </text>
    </comment>
    <comment ref="C60" authorId="0">
      <text>
        <r>
          <rPr>
            <sz val="10"/>
            <rFont val="Arial"/>
            <family val="2"/>
          </rPr>
          <t xml:space="preserve">O que pede, em resumo:
Melhorar continuamente a adequação, a suficiência e a eficácia do sistema, considerando os resultados da análise e avaliação e as saídas da análise crítica pela direção.</t>
        </r>
      </text>
    </comment>
    <comment ref="E7" authorId="0">
      <text>
        <r>
          <rPr>
            <sz val="10"/>
            <rFont val="Arial"/>
            <family val="2"/>
          </rPr>
          <t xml:space="preserve">Marque Não só quando a atividade não existe na organização e a falta do requisito não afeta o produto, o serviço nem o cliente. Escreva a justificativa na coluna de evidência.</t>
        </r>
      </text>
    </comment>
    <comment ref="G7" authorId="0">
      <text>
        <r>
          <rPr>
            <sz val="10"/>
            <rFont val="Arial"/>
            <family val="2"/>
          </rPr>
          <t xml:space="preserve">A evidência precisa poder ser encontrada por outra pessoa: nome do documento ou do registro, local, data e amostra.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6" authorId="0">
      <text>
        <r>
          <rPr>
            <sz val="10"/>
            <rFont val="Arial"/>
            <family val="2"/>
          </rPr>
          <t xml:space="preserve">Exemplo de como atender:
Declaração de escopo</t>
        </r>
      </text>
    </comment>
    <comment ref="E7" authorId="0">
      <text>
        <r>
          <rPr>
            <sz val="10"/>
            <rFont val="Arial"/>
            <family val="2"/>
          </rPr>
          <t xml:space="preserve">Exemplo de como atender:
Mapa de processos, procedimentos</t>
        </r>
      </text>
    </comment>
    <comment ref="E8" authorId="0">
      <text>
        <r>
          <rPr>
            <sz val="10"/>
            <rFont val="Arial"/>
            <family val="2"/>
          </rPr>
          <t xml:space="preserve">Exemplo de como atender:
Registros dos processos</t>
        </r>
      </text>
    </comment>
    <comment ref="E9" authorId="0">
      <text>
        <r>
          <rPr>
            <sz val="10"/>
            <rFont val="Arial"/>
            <family val="2"/>
          </rPr>
          <t xml:space="preserve">Exemplo de como atender:
Política aprovada pela direção</t>
        </r>
      </text>
    </comment>
    <comment ref="E10" authorId="0">
      <text>
        <r>
          <rPr>
            <sz val="10"/>
            <rFont val="Arial"/>
            <family val="2"/>
          </rPr>
          <t xml:space="preserve">Exemplo de como atender:
Quadro de objetivos e metas</t>
        </r>
      </text>
    </comment>
    <comment ref="E11" authorId="0">
      <text>
        <r>
          <rPr>
            <sz val="10"/>
            <rFont val="Arial"/>
            <family val="2"/>
          </rPr>
          <t xml:space="preserve">Exemplo de como atender:
Certificados de calibração</t>
        </r>
      </text>
    </comment>
    <comment ref="E12" authorId="0">
      <text>
        <r>
          <rPr>
            <sz val="10"/>
            <rFont val="Arial"/>
            <family val="2"/>
          </rPr>
          <t xml:space="preserve">Exemplo de como atender:
Registro do método de verificação</t>
        </r>
      </text>
    </comment>
    <comment ref="E13" authorId="0">
      <text>
        <r>
          <rPr>
            <sz val="10"/>
            <rFont val="Arial"/>
            <family val="2"/>
          </rPr>
          <t xml:space="preserve">Exemplo de como atender:
Registros de formação e de treinamento</t>
        </r>
      </text>
    </comment>
    <comment ref="E14" authorId="0">
      <text>
        <r>
          <rPr>
            <sz val="10"/>
            <rFont val="Arial"/>
            <family val="2"/>
          </rPr>
          <t xml:space="preserve">Exemplo de como atender:
Instruções e formulários próprios</t>
        </r>
      </text>
    </comment>
    <comment ref="E15" authorId="0">
      <text>
        <r>
          <rPr>
            <sz val="10"/>
            <rFont val="Arial"/>
            <family val="2"/>
          </rPr>
          <t xml:space="preserve">Exemplo de como atender:
Planos e registros de produção</t>
        </r>
      </text>
    </comment>
    <comment ref="E16" authorId="0">
      <text>
        <r>
          <rPr>
            <sz val="10"/>
            <rFont val="Arial"/>
            <family val="2"/>
          </rPr>
          <t xml:space="preserve">Exemplo de como atender:
Pedido confirmado, análise de proposta</t>
        </r>
      </text>
    </comment>
    <comment ref="E17" authorId="0">
      <text>
        <r>
          <rPr>
            <sz val="10"/>
            <rFont val="Arial"/>
            <family val="2"/>
          </rPr>
          <t xml:space="preserve">Exemplo de como atender:
Pasta do projeto</t>
        </r>
      </text>
    </comment>
    <comment ref="E18" authorId="0">
      <text>
        <r>
          <rPr>
            <sz val="10"/>
            <rFont val="Arial"/>
            <family val="2"/>
          </rPr>
          <t xml:space="preserve">Exemplo de como atender:
Avaliação de fornecedores</t>
        </r>
      </text>
    </comment>
    <comment ref="E19" authorId="0">
      <text>
        <r>
          <rPr>
            <sz val="10"/>
            <rFont val="Arial"/>
            <family val="2"/>
          </rPr>
          <t xml:space="preserve">Exemplo de como atender:
Especificações e instruções de trabalho</t>
        </r>
      </text>
    </comment>
    <comment ref="E20" authorId="0">
      <text>
        <r>
          <rPr>
            <sz val="10"/>
            <rFont val="Arial"/>
            <family val="2"/>
          </rPr>
          <t xml:space="preserve">Exemplo de como atender:
Registro de lotes</t>
        </r>
      </text>
    </comment>
    <comment ref="E21" authorId="0">
      <text>
        <r>
          <rPr>
            <sz val="10"/>
            <rFont val="Arial"/>
            <family val="2"/>
          </rPr>
          <t xml:space="preserve">Exemplo de como atender:
Comunicação ao cliente</t>
        </r>
      </text>
    </comment>
    <comment ref="E22" authorId="0">
      <text>
        <r>
          <rPr>
            <sz val="10"/>
            <rFont val="Arial"/>
            <family val="2"/>
          </rPr>
          <t xml:space="preserve">Exemplo de como atender:
Registro de mudança de processo</t>
        </r>
      </text>
    </comment>
    <comment ref="E23" authorId="0">
      <text>
        <r>
          <rPr>
            <sz val="10"/>
            <rFont val="Arial"/>
            <family val="2"/>
          </rPr>
          <t xml:space="preserve">Exemplo de como atender:
Registro de inspeção final</t>
        </r>
      </text>
    </comment>
    <comment ref="E24" authorId="0">
      <text>
        <r>
          <rPr>
            <sz val="10"/>
            <rFont val="Arial"/>
            <family val="2"/>
          </rPr>
          <t xml:space="preserve">Exemplo de como atender:
Registro de produto não conforme</t>
        </r>
      </text>
    </comment>
    <comment ref="E25" authorId="0">
      <text>
        <r>
          <rPr>
            <sz val="10"/>
            <rFont val="Arial"/>
            <family val="2"/>
          </rPr>
          <t xml:space="preserve">Exemplo de como atender:
Indicadores e relatórios</t>
        </r>
      </text>
    </comment>
    <comment ref="E26" authorId="0">
      <text>
        <r>
          <rPr>
            <sz val="10"/>
            <rFont val="Arial"/>
            <family val="2"/>
          </rPr>
          <t xml:space="preserve">Exemplo de como atender:
Programa e relatórios de auditoria</t>
        </r>
      </text>
    </comment>
    <comment ref="E27" authorId="0">
      <text>
        <r>
          <rPr>
            <sz val="10"/>
            <rFont val="Arial"/>
            <family val="2"/>
          </rPr>
          <t xml:space="preserve">Exemplo de como atender:
Ata da análise crítica</t>
        </r>
      </text>
    </comment>
    <comment ref="E28" authorId="0">
      <text>
        <r>
          <rPr>
            <sz val="10"/>
            <rFont val="Arial"/>
            <family val="2"/>
          </rPr>
          <t xml:space="preserve">Exemplo de como atender:
Registros de não conformidade</t>
        </r>
      </text>
    </comment>
  </commentList>
</comments>
</file>

<file path=xl/sharedStrings.xml><?xml version="1.0" encoding="utf-8"?>
<sst xmlns="http://schemas.openxmlformats.org/spreadsheetml/2006/main" count="812" uniqueCount="437">
  <si>
    <t xml:space="preserve">ISO 9001 — Como usar esta planilha</t>
  </si>
  <si>
    <t xml:space="preserve">Modelo para avaliar o atendimento a cada requisito, planejar as ações e conferir a informação documentada.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</si>
  <si>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</si>
  <si>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</si>
  <si>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</si>
  <si>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</si>
  <si>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(requisitos, perguntas, contagens, avisos). Não altere.</t>
  </si>
  <si>
    <t xml:space="preserve">Listas suspensas</t>
  </si>
  <si>
    <t xml:space="preserve">Colunas de aplicabilidade, situação e status aceitam apenas as opções da lista. Datas são conferidas na digitação.</t>
  </si>
  <si>
    <t xml:space="preserve">Comentários</t>
  </si>
  <si>
    <t xml:space="preserve">Na aba Diagnóstico, o título de cada requisito traz um comentário com o resumo do que a norma pede. Passe o mouse sobre ele.</t>
  </si>
  <si>
    <t xml:space="preserve">As três situações</t>
  </si>
  <si>
    <t xml:space="preserve">Atende</t>
  </si>
  <si>
    <t xml:space="preserve">A evidência mostra que o requisito é atendido, de forma consistente. Vale 1 ponto.</t>
  </si>
  <si>
    <t xml:space="preserve">Atende em parte</t>
  </si>
  <si>
    <t xml:space="preserve">Parte do requisito é atendida, ou ele é atendido em parte dos casos. Vale meio ponto.</t>
  </si>
  <si>
    <t xml:space="preserve">Não atende</t>
  </si>
  <si>
    <t xml:space="preserve">Não há evidência de atendimento. Não vale ponto.</t>
  </si>
  <si>
    <t xml:space="preserve">Ordem recomendada de preenchimento</t>
  </si>
  <si>
    <t xml:space="preserve">Passo 1</t>
  </si>
  <si>
    <t xml:space="preserve">Aba Diagnóstico: preencha o cabeçalho e marque como não aplicáveis os requisitos que não valem para a organização, com a justificativa.</t>
  </si>
  <si>
    <t xml:space="preserve">Passo 2</t>
  </si>
  <si>
    <t xml:space="preserve">Aba Diagnóstico: para cada requisito, leia a pergunta, procure a evidência e registre a situação.</t>
  </si>
  <si>
    <t xml:space="preserve">Passo 3</t>
  </si>
  <si>
    <t xml:space="preserve">Aba Diagnóstico: escreva a evidência encontrada e, quando houver lacuna, o que falta.</t>
  </si>
  <si>
    <t xml:space="preserve">Passo 4</t>
  </si>
  <si>
    <t xml:space="preserve">Aba Resumo: leia o percentual por seção e o estágio do sistema.</t>
  </si>
  <si>
    <t xml:space="preserve">Passo 5</t>
  </si>
  <si>
    <t xml:space="preserve">Aba Plano de ação: escreva uma ação para cada lacuna, com responsável e prazo.</t>
  </si>
  <si>
    <t xml:space="preserve">Passo 6</t>
  </si>
  <si>
    <t xml:space="preserve">Aba Documentos: confira se a informação documentada exigida pela norma existe.</t>
  </si>
  <si>
    <t xml:space="preserve">Passo 7</t>
  </si>
  <si>
    <t xml:space="preserve">Aba Checklist: valide o sistema antes da auditoria interna.</t>
  </si>
  <si>
    <t xml:space="preserve">Abas da planilha</t>
  </si>
  <si>
    <t xml:space="preserve">Diagnóstico</t>
  </si>
  <si>
    <t xml:space="preserve">Os 45 requisitos do estudo, com pergunta, aplicabilidade, situação, evidência e lacuna.</t>
  </si>
  <si>
    <t xml:space="preserve">Resumo</t>
  </si>
  <si>
    <t xml:space="preserve">Resultado por seção, percentual de atendimento, estágio do sistema e gráfico.</t>
  </si>
  <si>
    <t xml:space="preserve">Plano de ação</t>
  </si>
  <si>
    <t xml:space="preserve">Ações para as lacunas, com requisito, responsável, prazo e status.</t>
  </si>
  <si>
    <t xml:space="preserve">Documentos</t>
  </si>
  <si>
    <t xml:space="preserve">A informação documentada exigida pela norma, com o documento ou o registro da organização.</t>
  </si>
  <si>
    <t xml:space="preserve">Checklist</t>
  </si>
  <si>
    <t xml:space="preserve">Doze verificações do sistema, com percentual de conclusão.</t>
  </si>
  <si>
    <t xml:space="preserve">Exemplo 1 - Pizzaria</t>
  </si>
  <si>
    <t xml:space="preserve">Diagnóstico completo de uma organização pequena, nas sete seções.</t>
  </si>
  <si>
    <t xml:space="preserve">Exemplo 2 - Compras</t>
  </si>
  <si>
    <t xml:space="preserve">Diagnóstico de um processo, com os requisitos ligados a ele.</t>
  </si>
  <si>
    <t xml:space="preserve">Regras e premissas do modelo</t>
  </si>
  <si>
    <t xml:space="preserve">Requisitos</t>
  </si>
  <si>
    <t xml:space="preserve">A lista tem 45 itens. Os requisitos 7.1.1 e 7.1.2 foram reunidos, e os itens dos requisitos 8.3 e 9.3 foram tratados em conjunto. As perguntas e os resumos foram escritos com palavras próprias e não substituem o texto da norma.</t>
  </si>
  <si>
    <t xml:space="preserve">Percentual</t>
  </si>
  <si>
    <t xml:space="preserve">Atendimento = (requisitos atendidos + metade dos atendidos em parte) ÷ requisitos avaliados. Os requisitos não aplicáveis ficam fora da conta. A pontuação é uma convenção deste modelo.</t>
  </si>
  <si>
    <t xml:space="preserve">Estágio</t>
  </si>
  <si>
    <t xml:space="preserve">Abaixo de 50%: inicial. De 50% a 79%: em implantação. A partir de 80%, sem requisito não atendido: pronto para a auditoria interna. As faixas são uma convenção deste modelo.</t>
  </si>
  <si>
    <t xml:space="preserve">Não aplicável</t>
  </si>
  <si>
    <t xml:space="preserve">Todo requisito marcado como não aplicável pede justificativa na coluna de evidência. A justificativa também vai para o escopo do sistema.</t>
  </si>
  <si>
    <t xml:space="preserve">Diagnóstico e auditoria</t>
  </si>
  <si>
    <t xml:space="preserve">O diagnóstico é uma autoavaliação. Ele orienta a implantação e não substitui a auditoria interna, que pede auditor independente.</t>
  </si>
  <si>
    <t xml:space="preserve">Exemplos</t>
  </si>
  <si>
    <t xml:space="preserve">Os dados das abas de exemplo são ilustrativos, criados para este material.</t>
  </si>
  <si>
    <t xml:space="preserve">Diagnóstico de atendimento à ISO 9001:2015</t>
  </si>
  <si>
    <t xml:space="preserve">Registre a situação de cada requisito, com a evidência encontrada e o que falta.</t>
  </si>
  <si>
    <t xml:space="preserve">Organização ou processo</t>
  </si>
  <si>
    <t xml:space="preserve">Data do diagnóstico</t>
  </si>
  <si>
    <t xml:space="preserve">Escopo avaliado</t>
  </si>
  <si>
    <t xml:space="preserve">Responsável</t>
  </si>
  <si>
    <t xml:space="preserve">Requisito</t>
  </si>
  <si>
    <t xml:space="preserve">Título</t>
  </si>
  <si>
    <t xml:space="preserve">Pergunta de diagnóstico</t>
  </si>
  <si>
    <t xml:space="preserve">Aplicável?</t>
  </si>
  <si>
    <t xml:space="preserve">Situação</t>
  </si>
  <si>
    <t xml:space="preserve">Evidência encontrada</t>
  </si>
  <si>
    <t xml:space="preserve">O que falta</t>
  </si>
  <si>
    <t xml:space="preserve">Pontos</t>
  </si>
  <si>
    <t xml:space="preserve">Conferência</t>
  </si>
  <si>
    <t xml:space="preserve">Seção</t>
  </si>
  <si>
    <t xml:space="preserve">Da norma</t>
  </si>
  <si>
    <t xml:space="preserve">Passe o mouse para ler o resumo</t>
  </si>
  <si>
    <t xml:space="preserve">Responda com fatos</t>
  </si>
  <si>
    <t xml:space="preserve">Sim ou Não</t>
  </si>
  <si>
    <t xml:space="preserve">Escolha na lista</t>
  </si>
  <si>
    <t xml:space="preserve">Documento, registro, local e data</t>
  </si>
  <si>
    <t xml:space="preserve">Só quando houver lacuna</t>
  </si>
  <si>
    <t xml:space="preserve">Calculado</t>
  </si>
  <si>
    <t xml:space="preserve">Calculada</t>
  </si>
  <si>
    <t xml:space="preserve">Seção 4 · Contexto da organização</t>
  </si>
  <si>
    <t xml:space="preserve">4.1</t>
  </si>
  <si>
    <t xml:space="preserve">Entendendo a organização e seu contexto</t>
  </si>
  <si>
    <t xml:space="preserve">Que fatores, de dentro e de fora, mais afetam os resultados?</t>
  </si>
  <si>
    <t xml:space="preserve">Sim</t>
  </si>
  <si>
    <t xml:space="preserve">4.2</t>
  </si>
  <si>
    <t xml:space="preserve">Entendendo as necessidades e expectativas de partes interessadas</t>
  </si>
  <si>
    <t xml:space="preserve">Quem é afetado pelo sistema, e o que cada um espera?</t>
  </si>
  <si>
    <t xml:space="preserve">4.3</t>
  </si>
  <si>
    <t xml:space="preserve">Determinando o escopo do sistema de gestão da qualidade</t>
  </si>
  <si>
    <t xml:space="preserve">O que está dentro do sistema, e por que algum requisito não se aplica?</t>
  </si>
  <si>
    <t xml:space="preserve">4.4</t>
  </si>
  <si>
    <t xml:space="preserve">Sistema de gestão da qualidade e seus processos</t>
  </si>
  <si>
    <t xml:space="preserve">Quais são os processos, como se ligam e como se sabe que funcionam?</t>
  </si>
  <si>
    <t xml:space="preserve">Seção 5 · Liderança</t>
  </si>
  <si>
    <t xml:space="preserve">5.1.1</t>
  </si>
  <si>
    <t xml:space="preserve">Liderança e comprometimento: generalidades</t>
  </si>
  <si>
    <t xml:space="preserve">Como a direção participa do sistema, além de assinar documentos?</t>
  </si>
  <si>
    <t xml:space="preserve">5.1.2</t>
  </si>
  <si>
    <t xml:space="preserve">Foco no cliente</t>
  </si>
  <si>
    <t xml:space="preserve">Como a direção acompanha o que o cliente pede e o que ele recebe?</t>
  </si>
  <si>
    <t xml:space="preserve">5.2</t>
  </si>
  <si>
    <t xml:space="preserve">Política</t>
  </si>
  <si>
    <t xml:space="preserve">O que a política diz, e como as pessoas a aplicam no trabalho?</t>
  </si>
  <si>
    <t xml:space="preserve">5.3</t>
  </si>
  <si>
    <t xml:space="preserve">Papéis, responsabilidades e autoridades organizacionais</t>
  </si>
  <si>
    <t xml:space="preserve">Quem responde por quê, e quem pode decidir?</t>
  </si>
  <si>
    <t xml:space="preserve">Seção 6 · Planejamento</t>
  </si>
  <si>
    <t xml:space="preserve">6.1</t>
  </si>
  <si>
    <t xml:space="preserve">Ações para abordar riscos e oportunidades</t>
  </si>
  <si>
    <t xml:space="preserve">O que pode dar errado, o que pode ser aproveitado, e o que foi feito?</t>
  </si>
  <si>
    <t xml:space="preserve">6.2</t>
  </si>
  <si>
    <t xml:space="preserve">Objetivos da qualidade e planejamento para alcançá-los</t>
  </si>
  <si>
    <t xml:space="preserve">Quais são os objetivos, e qual é o plano para cada um?</t>
  </si>
  <si>
    <t xml:space="preserve">6.3</t>
  </si>
  <si>
    <t xml:space="preserve">Planejamento de mudanças</t>
  </si>
  <si>
    <t xml:space="preserve">Como foi planejada a última mudança importante?</t>
  </si>
  <si>
    <t xml:space="preserve">Seção 7 · Apoio</t>
  </si>
  <si>
    <t xml:space="preserve">7.1.1</t>
  </si>
  <si>
    <t xml:space="preserve">Recursos: generalidades e pessoas (7.1.1 e 7.1.2)</t>
  </si>
  <si>
    <t xml:space="preserve">Os recursos e as pessoas são suficientes para o que foi planejado?</t>
  </si>
  <si>
    <t xml:space="preserve">7.1.3</t>
  </si>
  <si>
    <t xml:space="preserve">Infraestrutura</t>
  </si>
  <si>
    <t xml:space="preserve">Como os equipamentos e os sistemas são mantidos?</t>
  </si>
  <si>
    <t xml:space="preserve">7.1.4</t>
  </si>
  <si>
    <t xml:space="preserve">Ambiente para a operação dos processos</t>
  </si>
  <si>
    <t xml:space="preserve">Que condições do ambiente afetam o produto ou o serviço?</t>
  </si>
  <si>
    <t xml:space="preserve">7.1.5</t>
  </si>
  <si>
    <t xml:space="preserve">Recursos de monitoramento e medição</t>
  </si>
  <si>
    <t xml:space="preserve">Como se sabe que os instrumentos medem certo?</t>
  </si>
  <si>
    <t xml:space="preserve">7.1.6</t>
  </si>
  <si>
    <t xml:space="preserve">Conhecimento organizacional</t>
  </si>
  <si>
    <t xml:space="preserve">O que acontece se a pessoa que sabe fazer sair da organização?</t>
  </si>
  <si>
    <t xml:space="preserve">7.2</t>
  </si>
  <si>
    <t xml:space="preserve">Competência</t>
  </si>
  <si>
    <t xml:space="preserve">Que competência o cargo exige, e como se sabe que a pessoa a tem?</t>
  </si>
  <si>
    <t xml:space="preserve">7.3</t>
  </si>
  <si>
    <t xml:space="preserve">Conscientização</t>
  </si>
  <si>
    <t xml:space="preserve">Para quem executa: como o seu trabalho afeta o cliente?</t>
  </si>
  <si>
    <t xml:space="preserve">7.4</t>
  </si>
  <si>
    <t xml:space="preserve">Comunicação</t>
  </si>
  <si>
    <t xml:space="preserve">Como as informações importantes chegam a quem precisa?</t>
  </si>
  <si>
    <t xml:space="preserve">7.5</t>
  </si>
  <si>
    <t xml:space="preserve">Informação documentada</t>
  </si>
  <si>
    <t xml:space="preserve">Como se sabe que o documento em uso é a versão válida?</t>
  </si>
  <si>
    <t xml:space="preserve">Seção 8 · Operação</t>
  </si>
  <si>
    <t xml:space="preserve">8.1</t>
  </si>
  <si>
    <t xml:space="preserve">Planejamento e controle operacionais</t>
  </si>
  <si>
    <t xml:space="preserve">Como a operação é planejada e controlada?</t>
  </si>
  <si>
    <t xml:space="preserve">8.2.1</t>
  </si>
  <si>
    <t xml:space="preserve">Comunicação com o cliente</t>
  </si>
  <si>
    <t xml:space="preserve">Por onde o cliente pergunta, pede e reclama?</t>
  </si>
  <si>
    <t xml:space="preserve">8.2.2</t>
  </si>
  <si>
    <t xml:space="preserve">Determinação de requisitos relativos a produtos e serviços</t>
  </si>
  <si>
    <t xml:space="preserve">Onde estão definidos os requisitos do que é oferecido?</t>
  </si>
  <si>
    <t xml:space="preserve">8.2.3</t>
  </si>
  <si>
    <t xml:space="preserve">Análise crítica de requisitos relativos a produtos e serviços</t>
  </si>
  <si>
    <t xml:space="preserve">Como se confirma, antes de aceitar o pedido, que é possível atendê-lo?</t>
  </si>
  <si>
    <t xml:space="preserve">8.2.4</t>
  </si>
  <si>
    <t xml:space="preserve">Mudanças nos requisitos para produtos e serviços</t>
  </si>
  <si>
    <t xml:space="preserve">O que acontece quando o cliente muda o pedido?</t>
  </si>
  <si>
    <t xml:space="preserve">8.3</t>
  </si>
  <si>
    <t xml:space="preserve">Projeto e desenvolvimento de produtos e serviços</t>
  </si>
  <si>
    <t xml:space="preserve">Como uma ideia vira produto ou serviço, e como se confirma que ele funciona?</t>
  </si>
  <si>
    <t xml:space="preserve">8.4.1</t>
  </si>
  <si>
    <t xml:space="preserve">Provedores externos: generalidades</t>
  </si>
  <si>
    <t xml:space="preserve">Como os fornecedores são escolhidos e acompanhados?</t>
  </si>
  <si>
    <t xml:space="preserve">8.4.2</t>
  </si>
  <si>
    <t xml:space="preserve">Provedores externos: tipo e extensão do controle</t>
  </si>
  <si>
    <t xml:space="preserve">O que é conferido no recebimento, e por que esse nível de controle?</t>
  </si>
  <si>
    <t xml:space="preserve">8.4.3</t>
  </si>
  <si>
    <t xml:space="preserve">Provedores externos: informação</t>
  </si>
  <si>
    <t xml:space="preserve">O pedido de compra diz tudo o que o fornecedor precisa saber?</t>
  </si>
  <si>
    <t xml:space="preserve">8.5.1</t>
  </si>
  <si>
    <t xml:space="preserve">Controle de produção e de provisão de serviço</t>
  </si>
  <si>
    <t xml:space="preserve">Como quem executa sabe o que fazer, e como sabe que ficou certo?</t>
  </si>
  <si>
    <t xml:space="preserve">8.5.2</t>
  </si>
  <si>
    <t xml:space="preserve">Identificação e rastreabilidade</t>
  </si>
  <si>
    <t xml:space="preserve">É possível saber de que lote veio este item e se ele já foi aprovado?</t>
  </si>
  <si>
    <t xml:space="preserve">8.5.3</t>
  </si>
  <si>
    <t xml:space="preserve">Propriedade pertencente a clientes ou provedores externos</t>
  </si>
  <si>
    <t xml:space="preserve">O que do cliente está sob os cuidados da organização?</t>
  </si>
  <si>
    <t xml:space="preserve">8.5.4</t>
  </si>
  <si>
    <t xml:space="preserve">Preservação</t>
  </si>
  <si>
    <t xml:space="preserve">Como o produto é protegido até chegar ao cliente?</t>
  </si>
  <si>
    <t xml:space="preserve">8.5.5</t>
  </si>
  <si>
    <t xml:space="preserve">Atividades pós-entrega</t>
  </si>
  <si>
    <t xml:space="preserve">O que a organização faz depois da entrega?</t>
  </si>
  <si>
    <t xml:space="preserve">8.5.6</t>
  </si>
  <si>
    <t xml:space="preserve">Controle de mudanças</t>
  </si>
  <si>
    <t xml:space="preserve">Quem autoriza uma mudança no processo, e onde isso fica registrado?</t>
  </si>
  <si>
    <t xml:space="preserve">8.6</t>
  </si>
  <si>
    <t xml:space="preserve">Liberação de produtos e serviços</t>
  </si>
  <si>
    <t xml:space="preserve">Quem libera o produto, e com base em quê?</t>
  </si>
  <si>
    <t xml:space="preserve">8.7</t>
  </si>
  <si>
    <t xml:space="preserve">Controle de saídas não conformes</t>
  </si>
  <si>
    <t xml:space="preserve">O que acontece com o produto reprovado?</t>
  </si>
  <si>
    <t xml:space="preserve">Seção 9 · Avaliação de desempenho</t>
  </si>
  <si>
    <t xml:space="preserve">9.1.1</t>
  </si>
  <si>
    <t xml:space="preserve">Monitoramento, medição, análise e avaliação: generalidades</t>
  </si>
  <si>
    <t xml:space="preserve">Quais são os indicadores, e quem os analisa?</t>
  </si>
  <si>
    <t xml:space="preserve">9.1.2</t>
  </si>
  <si>
    <t xml:space="preserve">Satisfação do cliente</t>
  </si>
  <si>
    <t xml:space="preserve">Como se sabe se o cliente está satisfeito?</t>
  </si>
  <si>
    <t xml:space="preserve">9.1.3</t>
  </si>
  <si>
    <t xml:space="preserve">Análise e avaliação</t>
  </si>
  <si>
    <t xml:space="preserve">Que decisões foram tomadas a partir dos dados?</t>
  </si>
  <si>
    <t xml:space="preserve">9.2</t>
  </si>
  <si>
    <t xml:space="preserve">Auditoria interna</t>
  </si>
  <si>
    <t xml:space="preserve">O programa cobre todo o sistema, e o que foi feito com as constatações?</t>
  </si>
  <si>
    <t xml:space="preserve">9.3</t>
  </si>
  <si>
    <t xml:space="preserve">Análise crítica pela direção</t>
  </si>
  <si>
    <t xml:space="preserve">O que a direção decidiu na última análise crítica?</t>
  </si>
  <si>
    <t xml:space="preserve">Seção 10 · Melhoria</t>
  </si>
  <si>
    <t xml:space="preserve">10.1</t>
  </si>
  <si>
    <t xml:space="preserve">Melhoria: generalidades</t>
  </si>
  <si>
    <t xml:space="preserve">Que melhorias foram feitas no último ano?</t>
  </si>
  <si>
    <t xml:space="preserve">10.2</t>
  </si>
  <si>
    <t xml:space="preserve">Não conformidade e ação corretiva</t>
  </si>
  <si>
    <t xml:space="preserve">Como uma falha é tratada, do registro à verificação da eficácia?</t>
  </si>
  <si>
    <t xml:space="preserve">10.3</t>
  </si>
  <si>
    <t xml:space="preserve">Melhoria contínua</t>
  </si>
  <si>
    <t xml:space="preserve">Como os resultados viram melhoria?</t>
  </si>
  <si>
    <t xml:space="preserve">Resumo do diagnóstico</t>
  </si>
  <si>
    <t xml:space="preserve">Resultado por seção da norma. Esta aba é calculada a partir da aba Diagnóstico.</t>
  </si>
  <si>
    <t xml:space="preserve">Aplicáveis</t>
  </si>
  <si>
    <t xml:space="preserve">Avaliados</t>
  </si>
  <si>
    <t xml:space="preserve">Atendimento</t>
  </si>
  <si>
    <t xml:space="preserve">4 · Contexto da organização</t>
  </si>
  <si>
    <t xml:space="preserve">5 · Liderança</t>
  </si>
  <si>
    <t xml:space="preserve">6 · Planejamento</t>
  </si>
  <si>
    <t xml:space="preserve">7 · Apoio</t>
  </si>
  <si>
    <t xml:space="preserve">8 · Operação</t>
  </si>
  <si>
    <t xml:space="preserve">9 · Avaliação de desempenho</t>
  </si>
  <si>
    <t xml:space="preserve">10 · Melhoria</t>
  </si>
  <si>
    <t xml:space="preserve">Total</t>
  </si>
  <si>
    <t xml:space="preserve">Resumo automático</t>
  </si>
  <si>
    <t xml:space="preserve">Requisitos não aplicáveis</t>
  </si>
  <si>
    <t xml:space="preserve">Requisitos ainda não avaliados</t>
  </si>
  <si>
    <t xml:space="preserve">Percentual de atendimento</t>
  </si>
  <si>
    <t xml:space="preserve">Seção com o menor atendimento</t>
  </si>
  <si>
    <t xml:space="preserve">Estágio do sistema</t>
  </si>
  <si>
    <t xml:space="preserve">Aviso</t>
  </si>
  <si>
    <t xml:space="preserve">Plano de ação do diagnóstico</t>
  </si>
  <si>
    <t xml:space="preserve">Uma ação para cada lacuna. O título e a lacuna vêm da aba Diagnóstico.</t>
  </si>
  <si>
    <t xml:space="preserve">#</t>
  </si>
  <si>
    <t xml:space="preserve">Ação</t>
  </si>
  <si>
    <t xml:space="preserve">Prazo</t>
  </si>
  <si>
    <t xml:space="preserve">Status</t>
  </si>
  <si>
    <t xml:space="preserve">Concluída em</t>
  </si>
  <si>
    <t xml:space="preserve">Verbo no infinitivo e resultado esperado</t>
  </si>
  <si>
    <t xml:space="preserve">Cargo ou nome</t>
  </si>
  <si>
    <t xml:space="preserve">Data</t>
  </si>
  <si>
    <t xml:space="preserve">Da ação</t>
  </si>
  <si>
    <t xml:space="preserve">Ex.</t>
  </si>
  <si>
    <t xml:space="preserve">Escrever o escopo: produtos, loja, canais de venda e requisitos não aplicáveis.</t>
  </si>
  <si>
    <t xml:space="preserve">Escrever a declaração de escopo e aprová-la com o dono.</t>
  </si>
  <si>
    <t xml:space="preserve">Gerente da loja</t>
  </si>
  <si>
    <t xml:space="preserve">Em andamento</t>
  </si>
  <si>
    <t xml:space="preserve">No prazo</t>
  </si>
  <si>
    <t xml:space="preserve">Ações registradas</t>
  </si>
  <si>
    <t xml:space="preserve">Concluídas</t>
  </si>
  <si>
    <t xml:space="preserve">Atrasadas</t>
  </si>
  <si>
    <t xml:space="preserve">Percentual concluído</t>
  </si>
  <si>
    <t xml:space="preserve">Lacunas do diagnóstico</t>
  </si>
  <si>
    <t xml:space="preserve">Lacunas sem ação no plano</t>
  </si>
  <si>
    <t xml:space="preserve">Informação documentada exigida pela norma</t>
  </si>
  <si>
    <t xml:space="preserve">Informe o documento ou o registro que atende a cada item, e onde ele fica.</t>
  </si>
  <si>
    <t xml:space="preserve">Verbo</t>
  </si>
  <si>
    <t xml:space="preserve">O que precisa existir</t>
  </si>
  <si>
    <t xml:space="preserve">Documento ou registro da organização</t>
  </si>
  <si>
    <t xml:space="preserve">Onde fica, ou quem responde</t>
  </si>
  <si>
    <t xml:space="preserve">Reter</t>
  </si>
  <si>
    <t xml:space="preserve">Evidência de competência</t>
  </si>
  <si>
    <t xml:space="preserve">Lista de presença e ficha de treinamento</t>
  </si>
  <si>
    <t xml:space="preserve">Pasta de pessoal, com o gerente</t>
  </si>
  <si>
    <t xml:space="preserve">Existe</t>
  </si>
  <si>
    <t xml:space="preserve">Manter</t>
  </si>
  <si>
    <t xml:space="preserve">Escopo do sistema de gestão da qualidade</t>
  </si>
  <si>
    <t xml:space="preserve">Informação para apoiar a operação dos processos, na extensão necessária</t>
  </si>
  <si>
    <t xml:space="preserve">Evidência de que os processos são realizados conforme o planejado</t>
  </si>
  <si>
    <t xml:space="preserve">Política da qualidade</t>
  </si>
  <si>
    <t xml:space="preserve">Objetivos da qualidade</t>
  </si>
  <si>
    <t xml:space="preserve">Evidência de que os recursos de monitoramento e medição são adequados</t>
  </si>
  <si>
    <t xml:space="preserve">Base usada para calibrar ou verificar, quando não existe padrão de medição</t>
  </si>
  <si>
    <t xml:space="preserve">Informação que a organização considera necessária para a eficácia do sistema</t>
  </si>
  <si>
    <t xml:space="preserve">Manter e reter</t>
  </si>
  <si>
    <t xml:space="preserve">Informação para ter confiança de que os processos foram realizados conforme o planejado e para demonstrar a conformidade</t>
  </si>
  <si>
    <t xml:space="preserve">Resultados da análise crítica dos requisitos e novos requisitos de produtos e serviços</t>
  </si>
  <si>
    <t xml:space="preserve">Planejamento, entradas, controles, saídas e mudanças de projeto e desenvolvimento</t>
  </si>
  <si>
    <t xml:space="preserve">Avaliação, seleção, monitoramento e reavaliação de provedores externos</t>
  </si>
  <si>
    <t xml:space="preserve">Características dos produtos e serviços, atividades a desempenhar e resultados a alcançar</t>
  </si>
  <si>
    <t xml:space="preserve">Identificação necessária para a rastreabilidade, quando ela for requisito</t>
  </si>
  <si>
    <t xml:space="preserve">Ocorrências com propriedade de cliente ou de provedor externo: perda, dano ou inadequação</t>
  </si>
  <si>
    <t xml:space="preserve">Resultados da análise crítica de mudanças, quem autorizou e ações necessárias</t>
  </si>
  <si>
    <t xml:space="preserve">Evidência da conformidade com os critérios de aceitação e de quem autorizou a liberação</t>
  </si>
  <si>
    <t xml:space="preserve">Não conformidade, ações tomadas, concessões e autoridade que decidiu</t>
  </si>
  <si>
    <t xml:space="preserve">Resultados do monitoramento e da medição</t>
  </si>
  <si>
    <t xml:space="preserve">Implementação do programa de auditoria e resultados das auditorias</t>
  </si>
  <si>
    <t xml:space="preserve">Resultados das análises críticas pela direção</t>
  </si>
  <si>
    <t xml:space="preserve">Natureza das não conformidades, ações tomadas e resultados das ações corretivas</t>
  </si>
  <si>
    <t xml:space="preserve">Itens da lista</t>
  </si>
  <si>
    <t xml:space="preserve">Existem</t>
  </si>
  <si>
    <t xml:space="preserve">Em elaboração</t>
  </si>
  <si>
    <t xml:space="preserve">Não existem</t>
  </si>
  <si>
    <t xml:space="preserve">Não aplicáveis</t>
  </si>
  <si>
    <t xml:space="preserve">Percentual existente</t>
  </si>
  <si>
    <t xml:space="preserve">Checklist de validação do sistema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</si>
  <si>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</si>
  <si>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</si>
  <si>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</si>
  <si>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O escopo está escrito, com os limites do sistema e as não aplicabilidades justificadas.</t>
  </si>
  <si>
    <t xml:space="preserve">As questões internas e externas e as partes interessadas foram levantadas.</t>
  </si>
  <si>
    <t xml:space="preserve">Os processos estão identificados, com entradas, saídas, responsáveis e indicadores.</t>
  </si>
  <si>
    <t xml:space="preserve">A política e os objetivos da qualidade estão escritos e são conhecidos pela equipe.</t>
  </si>
  <si>
    <t xml:space="preserve">Os riscos e as oportunidades têm ações definidas.</t>
  </si>
  <si>
    <t xml:space="preserve">As competências necessárias estão definidas, e há evidência de que as pessoas as têm.</t>
  </si>
  <si>
    <t xml:space="preserve">Os documentos e os registros exigidos existem e estão controlados.</t>
  </si>
  <si>
    <t xml:space="preserve">Os requisitos do cliente são analisados antes do compromisso de fornecer.</t>
  </si>
  <si>
    <t xml:space="preserve">Os fornecedores são avaliados com critérios definidos.</t>
  </si>
  <si>
    <t xml:space="preserve">Os produtos e os serviços só são liberados depois das verificações planejadas.</t>
  </si>
  <si>
    <t xml:space="preserve">A auditoria interna cobriu todos os requisitos aplicáveis.</t>
  </si>
  <si>
    <t xml:space="preserve">A direção analisou criticamente o sistema, e as não conformidades têm ação corretiva.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</si>
  <si>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</si>
  <si>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</si>
  <si>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</si>
  <si>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</si>
  <si>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</si>
  <si>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Diagnóstico completo de uma organização pequena.</t>
  </si>
  <si>
    <t xml:space="preserve">Organização</t>
  </si>
  <si>
    <t xml:space="preserve">Pizzaria (loja com salão e delivery)</t>
  </si>
  <si>
    <t xml:space="preserve">Gerente da loja, com apoio do atendente líder</t>
  </si>
  <si>
    <t xml:space="preserve">Produção e entrega de pizzas, no salão e por delivery.</t>
  </si>
  <si>
    <t xml:space="preserve">Critério</t>
  </si>
  <si>
    <t xml:space="preserve">ISO 9001:2015, seções 4 a 10.</t>
  </si>
  <si>
    <t xml:space="preserve">Método</t>
  </si>
  <si>
    <t xml:space="preserve">Entrevistas, observação de dois turnos e leitura dos registros de julho a setembro.</t>
  </si>
  <si>
    <t xml:space="preserve">Matriz SWOT feita em 2026.</t>
  </si>
  <si>
    <t xml:space="preserve">Definir quando a análise será revista.</t>
  </si>
  <si>
    <t xml:space="preserve">Clientes e vigilância sanitária considerados na SWOT.</t>
  </si>
  <si>
    <t xml:space="preserve">Incluir entregadores e fornecedores, com o que cada um espera.</t>
  </si>
  <si>
    <t xml:space="preserve">Não há escopo escrito.</t>
  </si>
  <si>
    <t xml:space="preserve">SIPOC e indicadores do processo de delivery.</t>
  </si>
  <si>
    <t xml:space="preserve">Mapear compras, produção e atendimento no salão.</t>
  </si>
  <si>
    <t xml:space="preserve">O dono conduz a reunião semanal de indicadores e decide sobre recursos.</t>
  </si>
  <si>
    <t xml:space="preserve">Reclamações e entregas no prazo são lidas toda semana pelo dono.</t>
  </si>
  <si>
    <t xml:space="preserve">Não há política da qualidade.</t>
  </si>
  <si>
    <t xml:space="preserve">Escrever a política e apresentá-la à equipe.</t>
  </si>
  <si>
    <t xml:space="preserve">Matriz RACI do delivery e escala com o responsável de cada turno.</t>
  </si>
  <si>
    <t xml:space="preserve">Ameaças e oportunidades listadas na SWOT.</t>
  </si>
  <si>
    <t xml:space="preserve">Definir ações para os riscos priorizados e avaliar o resultado.</t>
  </si>
  <si>
    <t xml:space="preserve">Objetivo de entregas em até 40 minutos, com meta de 95% e plano.</t>
  </si>
  <si>
    <t xml:space="preserve">Definir objetivos e planos para reclamações e desperdício.</t>
  </si>
  <si>
    <t xml:space="preserve">O sistema de pedidos foi trocado sem teste e sem treinamento.</t>
  </si>
  <si>
    <t xml:space="preserve">Criar uma rotina simples para planejar mudanças.</t>
  </si>
  <si>
    <t xml:space="preserve">Escala padrão, com dois entregadores extras nas noites de pico.</t>
  </si>
  <si>
    <t xml:space="preserve">Forno, motos e câmara fria com manutenção programada.</t>
  </si>
  <si>
    <t xml:space="preserve">Rotina de limpeza e de controle de temperatura da cozinha.</t>
  </si>
  <si>
    <t xml:space="preserve">Balança verificada todo mês.</t>
  </si>
  <si>
    <t xml:space="preserve">Verificar o termômetro da câmara fria e registrar.</t>
  </si>
  <si>
    <t xml:space="preserve">Receitas e instrução da expedição escritas.</t>
  </si>
  <si>
    <t xml:space="preserve">Registrar a regulagem do forno, conhecida só pelo pizzaiolo líder.</t>
  </si>
  <si>
    <t xml:space="preserve">Lista de presença do treinamento de julho.</t>
  </si>
  <si>
    <t xml:space="preserve">Definir e registrar o treinamento de quem entra depois.</t>
  </si>
  <si>
    <t xml:space="preserve">A equipe conhece a meta de entrega.</t>
  </si>
  <si>
    <t xml:space="preserve">Apresentar a política e os objetivos, quando existirem.</t>
  </si>
  <si>
    <t xml:space="preserve">Reunião semanal, quadro de avisos e grupo de mensagens.</t>
  </si>
  <si>
    <t xml:space="preserve">Instruções com número de revisão.</t>
  </si>
  <si>
    <t xml:space="preserve">Controlar também os roteiros e os formulários.</t>
  </si>
  <si>
    <t xml:space="preserve">Instrução IT-EXP-01, escala padrão e rotina de temperatura.</t>
  </si>
  <si>
    <t xml:space="preserve">Cardápio, site, aplicativo, telefone e canal de reclamações.</t>
  </si>
  <si>
    <t xml:space="preserve">Cardápio com ingredientes, alergênicos e prazo de entrega por região.</t>
  </si>
  <si>
    <t xml:space="preserve">Pedido confirmado com o cliente no site e no aplicativo.</t>
  </si>
  <si>
    <t xml:space="preserve">Pedidos por telefone ficam sem o complemento do endereço (RNC 2026-05, em tratamento).</t>
  </si>
  <si>
    <t xml:space="preserve">Alteração de pedido registrada no sistema e avisada à cozinha.</t>
  </si>
  <si>
    <t xml:space="preserve">Sabores novos são testados com a equipe antes de entrar no cardápio.</t>
  </si>
  <si>
    <t xml:space="preserve">Registrar a receita aprovada e o resultado do teste.</t>
  </si>
  <si>
    <t xml:space="preserve">Fornecedores fixos, escolhidos por preço e prazo.</t>
  </si>
  <si>
    <t xml:space="preserve">Escrever os critérios de escolha e avaliar o desempenho.</t>
  </si>
  <si>
    <t xml:space="preserve">Conferência de validade, temperatura e quantidade no recebimento.</t>
  </si>
  <si>
    <t xml:space="preserve">Pedido ao fornecedor por escrito, com marca, quantidade e data.</t>
  </si>
  <si>
    <t xml:space="preserve">Receitas e instruções no posto de trabalho. Pedido conferido antes de embalar.</t>
  </si>
  <si>
    <t xml:space="preserve">Etiqueta com o número do pedido. Insumos com data de validade.</t>
  </si>
  <si>
    <t xml:space="preserve">Dados do cliente protegidos por senha no sistema.</t>
  </si>
  <si>
    <t xml:space="preserve">Definir o descarte das listas de entrega impressas.</t>
  </si>
  <si>
    <t xml:space="preserve">Bolsa térmica, embalagem lacrada e tempo máximo de espera.</t>
  </si>
  <si>
    <t xml:space="preserve">Reclamação atendida com reposição ou desconto.</t>
  </si>
  <si>
    <t xml:space="preserve">Mudanças de receita e de método não são registradas.</t>
  </si>
  <si>
    <t xml:space="preserve">Registrar a mudança, quem autorizou e o que foi conferido.</t>
  </si>
  <si>
    <t xml:space="preserve">Etiqueta rubricada por quem conferiu o pedido.</t>
  </si>
  <si>
    <t xml:space="preserve">A pizza errada é refeita antes da saída.</t>
  </si>
  <si>
    <t xml:space="preserve">Registrar a ocorrência e o que foi feito.</t>
  </si>
  <si>
    <t xml:space="preserve">Indicador semanal de entregas no prazo, por faixa de horário.</t>
  </si>
  <si>
    <t xml:space="preserve">Reclamações contadas por semana.</t>
  </si>
  <si>
    <t xml:space="preserve">Medir a satisfação, e não só a reclamação.</t>
  </si>
  <si>
    <t xml:space="preserve">Dados de entrega analisados na reunião semanal.</t>
  </si>
  <si>
    <t xml:space="preserve">Analisar também as reclamações e os fornecedores.</t>
  </si>
  <si>
    <t xml:space="preserve">Auditoria 2026-03, do processo de delivery.</t>
  </si>
  <si>
    <t xml:space="preserve">Montar o programa anual, com todos os processos.</t>
  </si>
  <si>
    <t xml:space="preserve">Não há análise crítica do sistema.</t>
  </si>
  <si>
    <t xml:space="preserve">Realizar a primeira análise crítica, com as entradas que a norma pede.</t>
  </si>
  <si>
    <t xml:space="preserve">Ciclo PDCA das entregas, concluído em 2026.</t>
  </si>
  <si>
    <t xml:space="preserve">RNC 2026-05, com correção feita e causa analisada.</t>
  </si>
  <si>
    <t xml:space="preserve">Tratar também as reclamações com análise de causa.</t>
  </si>
  <si>
    <t xml:space="preserve">Entregas no prazo subiram de 82% para 95% e se mantêm.</t>
  </si>
  <si>
    <t xml:space="preserve">Resultado por seção</t>
  </si>
  <si>
    <t xml:space="preserve">Exemplo preenchido, para consulta. Requisitos da norma ligados a um processo.</t>
  </si>
  <si>
    <t xml:space="preserve">Indústria de embalagens plásticas · processo de aquisição</t>
  </si>
  <si>
    <t xml:space="preserve">Analista da Qualidade, com o gerente de Suprimentos</t>
  </si>
  <si>
    <t xml:space="preserve">Requisitos da norma ligados ao processo de adquirir materiais e serviços.</t>
  </si>
  <si>
    <t xml:space="preserve">ISO 9001:2015, requisito 8.4 e requisitos relacionados.</t>
  </si>
  <si>
    <t xml:space="preserve">Relatório da auditoria 2026-07, de 22/09/2026, e entrevista com a gerência.</t>
  </si>
  <si>
    <t xml:space="preserve">SIPOC do processo de aquisição, com indicador de prazo de atendimento.</t>
  </si>
  <si>
    <t xml:space="preserve">Matriz RACI e alçadas de aprovação na política de compras.</t>
  </si>
  <si>
    <t xml:space="preserve">Risco de falta de material crítico identificado.</t>
  </si>
  <si>
    <t xml:space="preserve">Definir ação para os itens de fornecedor único.</t>
  </si>
  <si>
    <t xml:space="preserve">Compradores com treinamento registrado no PR-SUP-01 rev. 5.</t>
  </si>
  <si>
    <t xml:space="preserve">PR-SUP-01 rev. 5 controlado e disponível no sistema.</t>
  </si>
  <si>
    <t xml:space="preserve">Critérios de homologação aplicados nas 5 homologações de 2026.</t>
  </si>
  <si>
    <t xml:space="preserve">5 de 12 fornecedores críticos sem avaliação de desempenho em 2026 (auditoria 2026-07, constatação nº 2).</t>
  </si>
  <si>
    <t xml:space="preserve">Itens conferidos antes da liberação, nos 10 recebimentos da amostra.</t>
  </si>
  <si>
    <t xml:space="preserve">10 pedidos com especificação, quantidade, prazo e condição de aceitação.</t>
  </si>
  <si>
    <t xml:space="preserve">4 de 10 requisições chegam a Suprimentos sem especificação técnica (RNC 2026-31).</t>
  </si>
  <si>
    <t xml:space="preserve">Paletes e embalagens retornáveis dos fornecedores com controle de saldo.</t>
  </si>
  <si>
    <t xml:space="preserve">Item recebido com divergência é identificado, separado e devolvido.</t>
  </si>
  <si>
    <t xml:space="preserve">Prazo de atendimento analisado todo mês.</t>
  </si>
  <si>
    <t xml:space="preserve">Analisar também o desempenho dos fornecedores.</t>
  </si>
  <si>
    <t xml:space="preserve">Auditoria 2026-07 realizada, com relatório distribuído.</t>
  </si>
  <si>
    <t xml:space="preserve">RNC 2026-31 aberto, com a correção feita.</t>
  </si>
  <si>
    <t xml:space="preserve">Concluir a análise de causa e as ações corretivas.</t>
  </si>
  <si>
    <t xml:space="preserve">Requisitos com lacuna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</si>
</sst>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@"/>
    <numFmt numFmtId="167" formatCode="0.0"/>
    <numFmt numFmtId="168" formatCode="General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i val="true"/>
      <sz val="10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9"/>
      <color rgb="FF5B6B76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5B6B7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E3E8EB"/>
      </patternFill>
    </fill>
    <fill>
      <patternFill patternType="solid">
        <fgColor rgb="FFFFF9DB"/>
        <bgColor rgb="FFFBEBC8"/>
      </patternFill>
    </fill>
    <fill>
      <patternFill patternType="solid">
        <fgColor rgb="FF2A6FB0"/>
        <bgColor rgb="FF2B5C8A"/>
      </patternFill>
    </fill>
    <fill>
      <patternFill patternType="solid">
        <fgColor rgb="FFDCE8F3"/>
        <bgColor rgb="FFE3E8EB"/>
      </patternFill>
    </fill>
    <fill>
      <patternFill patternType="solid">
        <fgColor rgb="FFD19A2E"/>
        <bgColor rgb="FFFF8080"/>
      </patternFill>
    </fill>
    <fill>
      <patternFill patternType="solid">
        <fgColor rgb="FFF6E8CF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2B5C8A"/>
        <bgColor rgb="FF2A6FB0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D9DEE2"/>
        </patternFill>
      </fill>
    </dxf>
    <dxf>
      <fill>
        <patternFill>
          <bgColor rgb="FFE3E8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6E8CF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E3E8EB"/>
      <rgbColor rgb="FFB0413E"/>
      <rgbColor rgb="FFFFF9DB"/>
      <rgbColor rgb="FFD9EEEB"/>
      <rgbColor rgb="FF660066"/>
      <rgbColor rgb="FFFF8080"/>
      <rgbColor rgb="FF2A6FB0"/>
      <rgbColor rgb="FFC9D2D8"/>
      <rgbColor rgb="FF000080"/>
      <rgbColor rgb="FFFF00FF"/>
      <rgbColor rgb="FFEEF1F3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D3DBE0"/>
      <rgbColor rgb="FFF5DEDC"/>
      <rgbColor rgb="FFD9DEE2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"Atende"</c:f>
              <c:strCache>
                <c:ptCount val="1"/>
                <c:pt idx="0">
                  <c:v>Atende</c:v>
                </c:pt>
              </c:strCache>
            </c:strRef>
          </c:tx>
          <c:spPr>
            <a:solidFill>
              <a:srgbClr val="2a6fb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Resumo!$C$7:$C$13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Resumo!$F$7:$F$13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"Atende em parte"</c:f>
              <c:strCache>
                <c:ptCount val="1"/>
                <c:pt idx="0">
                  <c:v>Atende em parte</c:v>
                </c:pt>
              </c:strCache>
            </c:strRef>
          </c:tx>
          <c:spPr>
            <a:solidFill>
              <a:srgbClr val="d19a2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Resumo!$C$7:$C$13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Resumo!$G$7:$G$13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"Não atende"</c:f>
              <c:strCache>
                <c:ptCount val="1"/>
                <c:pt idx="0">
                  <c:v>Não atende</c:v>
                </c:pt>
              </c:strCache>
            </c:strRef>
          </c:tx>
          <c:spPr>
            <a:solidFill>
              <a:srgbClr val="b0413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Resumo!$C$7:$C$13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Resumo!$H$7:$H$13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50239947"/>
        <c:axId val="37491786"/>
      </c:barChart>
      <c:catAx>
        <c:axId val="502399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91786"/>
        <c:crosses val="autoZero"/>
        <c:auto val="1"/>
        <c:lblAlgn val="ctr"/>
        <c:lblOffset val="100"/>
        <c:noMultiLvlLbl val="0"/>
      </c:catAx>
      <c:valAx>
        <c:axId val="3749178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39947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"Atende"</c:f>
              <c:strCache>
                <c:ptCount val="1"/>
                <c:pt idx="0">
                  <c:v>Atende</c:v>
                </c:pt>
              </c:strCache>
            </c:strRef>
          </c:tx>
          <c:spPr>
            <a:solidFill>
              <a:srgbClr val="2a6fb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Pizzaria'!$C$67:$C$73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1 - Pizzaria'!$F$67:$F$73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11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"Atende em parte"</c:f>
              <c:strCache>
                <c:ptCount val="1"/>
                <c:pt idx="0">
                  <c:v>Atende em parte</c:v>
                </c:pt>
              </c:strCache>
            </c:strRef>
          </c:tx>
          <c:spPr>
            <a:solidFill>
              <a:srgbClr val="d19a2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Pizzaria'!$C$67:$C$73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1 - Pizzaria'!$G$67:$G$73</c:f>
              <c:numCache>
                <c:formatCode>General</c:formatCode>
                <c:ptCount val="7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ser>
          <c:idx val="2"/>
          <c:order val="2"/>
          <c:tx>
            <c:strRef>
              <c:f>"Não atende"</c:f>
              <c:strCache>
                <c:ptCount val="1"/>
                <c:pt idx="0">
                  <c:v>Não atende</c:v>
                </c:pt>
              </c:strCache>
            </c:strRef>
          </c:tx>
          <c:spPr>
            <a:solidFill>
              <a:srgbClr val="b0413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Pizzaria'!$C$67:$C$73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1 - Pizzaria'!$H$67:$H$73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74200296"/>
        <c:axId val="53330837"/>
      </c:barChart>
      <c:catAx>
        <c:axId val="742002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30837"/>
        <c:crosses val="autoZero"/>
        <c:auto val="1"/>
        <c:lblAlgn val="ctr"/>
        <c:lblOffset val="100"/>
        <c:noMultiLvlLbl val="0"/>
      </c:catAx>
      <c:valAx>
        <c:axId val="533308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00296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"Atende"</c:f>
              <c:strCache>
                <c:ptCount val="1"/>
                <c:pt idx="0">
                  <c:v>Atende</c:v>
                </c:pt>
              </c:strCache>
            </c:strRef>
          </c:tx>
          <c:spPr>
            <a:solidFill>
              <a:srgbClr val="2a6fb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Compras'!$C$35:$C$41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2 - Compras'!$F$35:$F$41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"Atende em parte"</c:f>
              <c:strCache>
                <c:ptCount val="1"/>
                <c:pt idx="0">
                  <c:v>Atende em parte</c:v>
                </c:pt>
              </c:strCache>
            </c:strRef>
          </c:tx>
          <c:spPr>
            <a:solidFill>
              <a:srgbClr val="d19a2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Compras'!$C$35:$C$41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2 - Compras'!$G$35:$G$41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2"/>
          <c:order val="2"/>
          <c:tx>
            <c:strRef>
              <c:f>"Não atende"</c:f>
              <c:strCache>
                <c:ptCount val="1"/>
                <c:pt idx="0">
                  <c:v>Não atende</c:v>
                </c:pt>
              </c:strCache>
            </c:strRef>
          </c:tx>
          <c:spPr>
            <a:solidFill>
              <a:srgbClr val="b0413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Compras'!$C$35:$C$41</c:f>
              <c:strCache>
                <c:ptCount val="7"/>
                <c:pt idx="0">
                  <c:v>4 · Contexto da organização</c:v>
                </c:pt>
                <c:pt idx="1">
                  <c:v>5 · Liderança</c:v>
                </c:pt>
                <c:pt idx="2">
                  <c:v>6 · Planejamento</c:v>
                </c:pt>
                <c:pt idx="3">
                  <c:v>7 · Apoio</c:v>
                </c:pt>
                <c:pt idx="4">
                  <c:v>8 · Operação</c:v>
                </c:pt>
                <c:pt idx="5">
                  <c:v>9 · Avaliação de desempenho</c:v>
                </c:pt>
                <c:pt idx="6">
                  <c:v>10 · Melhoria</c:v>
                </c:pt>
              </c:strCache>
            </c:strRef>
          </c:cat>
          <c:val>
            <c:numRef>
              <c:f>'Exemplo 2 - Compras'!$H$35:$H$41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71928617"/>
        <c:axId val="33413043"/>
      </c:barChart>
      <c:catAx>
        <c:axId val="719286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13043"/>
        <c:crosses val="autoZero"/>
        <c:auto val="1"/>
        <c:lblAlgn val="ctr"/>
        <c:lblOffset val="100"/>
        <c:noMultiLvlLbl val="0"/>
      </c:catAx>
      <c:valAx>
        <c:axId val="334130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28617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8</xdr:col>
      <xdr:colOff>855000</xdr:colOff>
      <xdr:row>40</xdr:row>
      <xdr:rowOff>1080</xdr:rowOff>
    </xdr:to>
    <xdr:graphicFrame>
      <xdr:nvGraphicFramePr>
        <xdr:cNvPr id="0" name="Chart 1"/>
        <xdr:cNvGraphicFramePr/>
      </xdr:nvGraphicFramePr>
      <xdr:xfrm>
        <a:off x="141120" y="6381720"/>
        <a:ext cx="88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80</xdr:row>
      <xdr:rowOff>0</xdr:rowOff>
    </xdr:from>
    <xdr:to>
      <xdr:col>7</xdr:col>
      <xdr:colOff>972000</xdr:colOff>
      <xdr:row>91</xdr:row>
      <xdr:rowOff>90720</xdr:rowOff>
    </xdr:to>
    <xdr:graphicFrame>
      <xdr:nvGraphicFramePr>
        <xdr:cNvPr id="1" name="Chart 1"/>
        <xdr:cNvGraphicFramePr/>
      </xdr:nvGraphicFramePr>
      <xdr:xfrm>
        <a:off x="141120" y="29089440"/>
        <a:ext cx="9359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0</xdr:rowOff>
    </xdr:from>
    <xdr:to>
      <xdr:col>7</xdr:col>
      <xdr:colOff>972000</xdr:colOff>
      <xdr:row>59</xdr:row>
      <xdr:rowOff>90360</xdr:rowOff>
    </xdr:to>
    <xdr:graphicFrame>
      <xdr:nvGraphicFramePr>
        <xdr:cNvPr id="2" name="Chart 1"/>
        <xdr:cNvGraphicFramePr/>
      </xdr:nvGraphicFramePr>
      <xdr:xfrm>
        <a:off x="141120" y="14963760"/>
        <a:ext cx="9359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31.5" hidden="false" customHeight="true" outlineLevel="0" collapsed="false">
      <c r="B7" s="4" t="s">
        <v>7</v>
      </c>
      <c r="C7" s="7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10" customFormat="false" ht="21.75" hidden="false" customHeight="true" outlineLevel="0" collapsed="false">
      <c r="B10" s="3" t="s">
        <v>11</v>
      </c>
      <c r="C10" s="3"/>
    </row>
    <row r="11" customFormat="false" ht="19.5" hidden="false" customHeight="true" outlineLevel="0" collapsed="false">
      <c r="B11" s="8" t="s">
        <v>12</v>
      </c>
      <c r="C11" s="9" t="s">
        <v>13</v>
      </c>
    </row>
    <row r="12" customFormat="false" ht="19.5" hidden="false" customHeight="true" outlineLevel="0" collapsed="false">
      <c r="B12" s="10" t="s">
        <v>14</v>
      </c>
      <c r="C12" s="11" t="s">
        <v>15</v>
      </c>
    </row>
    <row r="13" customFormat="false" ht="19.5" hidden="false" customHeight="true" outlineLevel="0" collapsed="false">
      <c r="B13" s="12" t="s">
        <v>16</v>
      </c>
      <c r="C13" s="13" t="s">
        <v>17</v>
      </c>
    </row>
    <row r="15" customFormat="false" ht="21.75" hidden="false" customHeight="true" outlineLevel="0" collapsed="false">
      <c r="B15" s="3" t="s">
        <v>18</v>
      </c>
      <c r="C15" s="3"/>
    </row>
    <row r="16" customFormat="false" ht="31.5" hidden="false" customHeight="true" outlineLevel="0" collapsed="false">
      <c r="B16" s="4" t="s">
        <v>19</v>
      </c>
      <c r="C16" s="7" t="s">
        <v>20</v>
      </c>
    </row>
    <row r="17" customFormat="false" ht="19.5" hidden="false" customHeight="true" outlineLevel="0" collapsed="false">
      <c r="B17" s="4" t="s">
        <v>21</v>
      </c>
      <c r="C17" s="7" t="s">
        <v>22</v>
      </c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4" customFormat="false" ht="21.75" hidden="false" customHeight="true" outlineLevel="0" collapsed="false">
      <c r="B24" s="3" t="s">
        <v>33</v>
      </c>
      <c r="C24" s="3"/>
    </row>
    <row r="25" customFormat="false" ht="19.5" hidden="false" customHeight="true" outlineLevel="0" collapsed="false">
      <c r="B25" s="4" t="s">
        <v>34</v>
      </c>
      <c r="C25" s="7" t="s">
        <v>35</v>
      </c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3" customFormat="false" ht="21.75" hidden="false" customHeight="true" outlineLevel="0" collapsed="false">
      <c r="B33" s="3" t="s">
        <v>48</v>
      </c>
      <c r="C33" s="3"/>
    </row>
    <row r="34" customFormat="false" ht="45.75" hidden="false" customHeight="true" outlineLevel="0" collapsed="false">
      <c r="B34" s="4" t="s">
        <v>49</v>
      </c>
      <c r="C34" s="7" t="s">
        <v>50</v>
      </c>
    </row>
    <row r="35" customFormat="false" ht="31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</sheetData>
  <mergeCells count="7">
    <mergeCell ref="B1:C1"/>
    <mergeCell ref="B2:C2"/>
    <mergeCell ref="B4:C4"/>
    <mergeCell ref="B10:C10"/>
    <mergeCell ref="B15:C15"/>
    <mergeCell ref="B24:C24"/>
    <mergeCell ref="B33:C3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K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true" outlineLevel="0" max="11" min="11" style="0" width="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61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62</v>
      </c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B4" s="4" t="s">
        <v>63</v>
      </c>
      <c r="C4" s="4"/>
      <c r="D4" s="5"/>
      <c r="E4" s="5"/>
      <c r="F4" s="5"/>
      <c r="G4" s="4" t="s">
        <v>64</v>
      </c>
      <c r="H4" s="14"/>
      <c r="I4" s="14"/>
      <c r="J4" s="14"/>
    </row>
    <row r="5" customFormat="false" ht="24" hidden="false" customHeight="true" outlineLevel="0" collapsed="false">
      <c r="B5" s="4" t="s">
        <v>65</v>
      </c>
      <c r="C5" s="4"/>
      <c r="D5" s="5"/>
      <c r="E5" s="5"/>
      <c r="F5" s="5"/>
      <c r="G5" s="4" t="s">
        <v>66</v>
      </c>
      <c r="H5" s="5"/>
      <c r="I5" s="5"/>
      <c r="J5" s="5"/>
    </row>
    <row r="7" customFormat="false" ht="24" hidden="false" customHeight="true" outlineLevel="0" collapsed="false">
      <c r="B7" s="15" t="s">
        <v>67</v>
      </c>
      <c r="C7" s="15" t="s">
        <v>68</v>
      </c>
      <c r="D7" s="15" t="s">
        <v>69</v>
      </c>
      <c r="E7" s="15" t="s">
        <v>70</v>
      </c>
      <c r="F7" s="15" t="s">
        <v>71</v>
      </c>
      <c r="G7" s="15" t="s">
        <v>72</v>
      </c>
      <c r="H7" s="15" t="s">
        <v>73</v>
      </c>
      <c r="I7" s="15" t="s">
        <v>74</v>
      </c>
      <c r="J7" s="15" t="s">
        <v>75</v>
      </c>
      <c r="K7" s="15" t="s">
        <v>76</v>
      </c>
    </row>
    <row r="8" customFormat="false" ht="30" hidden="false" customHeight="true" outlineLevel="0" collapsed="false">
      <c r="B8" s="16" t="s">
        <v>77</v>
      </c>
      <c r="C8" s="16" t="s">
        <v>78</v>
      </c>
      <c r="D8" s="16" t="s">
        <v>79</v>
      </c>
      <c r="E8" s="16" t="s">
        <v>80</v>
      </c>
      <c r="F8" s="16" t="s">
        <v>81</v>
      </c>
      <c r="G8" s="16" t="s">
        <v>82</v>
      </c>
      <c r="H8" s="16" t="s">
        <v>83</v>
      </c>
      <c r="I8" s="16" t="s">
        <v>84</v>
      </c>
      <c r="J8" s="16" t="s">
        <v>85</v>
      </c>
      <c r="K8" s="16"/>
    </row>
    <row r="9" customFormat="false" ht="21.75" hidden="false" customHeight="true" outlineLevel="0" collapsed="false">
      <c r="B9" s="17" t="s">
        <v>86</v>
      </c>
      <c r="C9" s="17"/>
      <c r="D9" s="17"/>
      <c r="E9" s="17"/>
      <c r="F9" s="17"/>
      <c r="G9" s="17"/>
      <c r="H9" s="17"/>
      <c r="I9" s="17"/>
      <c r="J9" s="17"/>
    </row>
    <row r="10" customFormat="false" ht="36" hidden="false" customHeight="true" outlineLevel="0" collapsed="false">
      <c r="B10" s="18" t="s">
        <v>87</v>
      </c>
      <c r="C10" s="4" t="s">
        <v>88</v>
      </c>
      <c r="D10" s="19" t="s">
        <v>89</v>
      </c>
      <c r="E10" s="20" t="s">
        <v>90</v>
      </c>
      <c r="F10" s="20"/>
      <c r="G10" s="5"/>
      <c r="H10" s="5"/>
      <c r="I10" s="21" t="str">
        <f aca="false">IF(OR(E10="Não",F10=""),"",IF(F10="Atende",1,IF(F10="Atende em parte",0.5,0)))</f>
        <v/>
      </c>
      <c r="J10" s="22" t="str">
        <f aca="false">IF(E10="Não",IF(G10="","Justifique a não aplicabilidade","Não aplicável"),IF(F10="","Não avaliado",IF(G10="","Falta a evidência",IF(AND(F10&lt;&gt;"Atende",H10=""),"Falta a lacuna","Completo"))))</f>
        <v>Não avaliado</v>
      </c>
      <c r="K10" s="23" t="n">
        <v>4</v>
      </c>
    </row>
    <row r="11" customFormat="false" ht="36" hidden="false" customHeight="true" outlineLevel="0" collapsed="false">
      <c r="B11" s="18" t="s">
        <v>91</v>
      </c>
      <c r="C11" s="4" t="s">
        <v>92</v>
      </c>
      <c r="D11" s="19" t="s">
        <v>93</v>
      </c>
      <c r="E11" s="20" t="s">
        <v>90</v>
      </c>
      <c r="F11" s="20"/>
      <c r="G11" s="5"/>
      <c r="H11" s="5"/>
      <c r="I11" s="21" t="str">
        <f aca="false">IF(OR(E11="Não",F11=""),"",IF(F11="Atende",1,IF(F11="Atende em parte",0.5,0)))</f>
        <v/>
      </c>
      <c r="J11" s="22" t="str">
        <f aca="false">IF(E11="Não",IF(G11="","Justifique a não aplicabilidade","Não aplicável"),IF(F11="","Não avaliado",IF(G11="","Falta a evidência",IF(AND(F11&lt;&gt;"Atende",H11=""),"Falta a lacuna","Completo"))))</f>
        <v>Não avaliado</v>
      </c>
      <c r="K11" s="23" t="n">
        <v>4</v>
      </c>
    </row>
    <row r="12" customFormat="false" ht="36" hidden="false" customHeight="true" outlineLevel="0" collapsed="false">
      <c r="B12" s="18" t="s">
        <v>94</v>
      </c>
      <c r="C12" s="4" t="s">
        <v>95</v>
      </c>
      <c r="D12" s="19" t="s">
        <v>96</v>
      </c>
      <c r="E12" s="20" t="s">
        <v>90</v>
      </c>
      <c r="F12" s="20"/>
      <c r="G12" s="5"/>
      <c r="H12" s="5"/>
      <c r="I12" s="21" t="str">
        <f aca="false">IF(OR(E12="Não",F12=""),"",IF(F12="Atende",1,IF(F12="Atende em parte",0.5,0)))</f>
        <v/>
      </c>
      <c r="J12" s="22" t="str">
        <f aca="false">IF(E12="Não",IF(G12="","Justifique a não aplicabilidade","Não aplicável"),IF(F12="","Não avaliado",IF(G12="","Falta a evidência",IF(AND(F12&lt;&gt;"Atende",H12=""),"Falta a lacuna","Completo"))))</f>
        <v>Não avaliado</v>
      </c>
      <c r="K12" s="23" t="n">
        <v>4</v>
      </c>
    </row>
    <row r="13" customFormat="false" ht="36" hidden="false" customHeight="true" outlineLevel="0" collapsed="false">
      <c r="B13" s="18" t="s">
        <v>97</v>
      </c>
      <c r="C13" s="4" t="s">
        <v>98</v>
      </c>
      <c r="D13" s="19" t="s">
        <v>99</v>
      </c>
      <c r="E13" s="20" t="s">
        <v>90</v>
      </c>
      <c r="F13" s="20"/>
      <c r="G13" s="5"/>
      <c r="H13" s="5"/>
      <c r="I13" s="21" t="str">
        <f aca="false">IF(OR(E13="Não",F13=""),"",IF(F13="Atende",1,IF(F13="Atende em parte",0.5,0)))</f>
        <v/>
      </c>
      <c r="J13" s="22" t="str">
        <f aca="false">IF(E13="Não",IF(G13="","Justifique a não aplicabilidade","Não aplicável"),IF(F13="","Não avaliado",IF(G13="","Falta a evidência",IF(AND(F13&lt;&gt;"Atende",H13=""),"Falta a lacuna","Completo"))))</f>
        <v>Não avaliado</v>
      </c>
      <c r="K13" s="23" t="n">
        <v>4</v>
      </c>
    </row>
    <row r="14" customFormat="false" ht="21.75" hidden="false" customHeight="true" outlineLevel="0" collapsed="false">
      <c r="B14" s="17" t="s">
        <v>100</v>
      </c>
      <c r="C14" s="17"/>
      <c r="D14" s="17"/>
      <c r="E14" s="17"/>
      <c r="F14" s="17"/>
      <c r="G14" s="17"/>
      <c r="H14" s="17"/>
      <c r="I14" s="17"/>
      <c r="J14" s="17"/>
    </row>
    <row r="15" customFormat="false" ht="36" hidden="false" customHeight="true" outlineLevel="0" collapsed="false">
      <c r="B15" s="18" t="s">
        <v>101</v>
      </c>
      <c r="C15" s="4" t="s">
        <v>102</v>
      </c>
      <c r="D15" s="19" t="s">
        <v>103</v>
      </c>
      <c r="E15" s="20" t="s">
        <v>90</v>
      </c>
      <c r="F15" s="20"/>
      <c r="G15" s="5"/>
      <c r="H15" s="5"/>
      <c r="I15" s="21" t="str">
        <f aca="false">IF(OR(E15="Não",F15=""),"",IF(F15="Atende",1,IF(F15="Atende em parte",0.5,0)))</f>
        <v/>
      </c>
      <c r="J15" s="22" t="str">
        <f aca="false">IF(E15="Não",IF(G15="","Justifique a não aplicabilidade","Não aplicável"),IF(F15="","Não avaliado",IF(G15="","Falta a evidência",IF(AND(F15&lt;&gt;"Atende",H15=""),"Falta a lacuna","Completo"))))</f>
        <v>Não avaliado</v>
      </c>
      <c r="K15" s="23" t="n">
        <v>5</v>
      </c>
    </row>
    <row r="16" customFormat="false" ht="36" hidden="false" customHeight="true" outlineLevel="0" collapsed="false">
      <c r="B16" s="18" t="s">
        <v>104</v>
      </c>
      <c r="C16" s="4" t="s">
        <v>105</v>
      </c>
      <c r="D16" s="19" t="s">
        <v>106</v>
      </c>
      <c r="E16" s="20" t="s">
        <v>90</v>
      </c>
      <c r="F16" s="20"/>
      <c r="G16" s="5"/>
      <c r="H16" s="5"/>
      <c r="I16" s="21" t="str">
        <f aca="false">IF(OR(E16="Não",F16=""),"",IF(F16="Atende",1,IF(F16="Atende em parte",0.5,0)))</f>
        <v/>
      </c>
      <c r="J16" s="22" t="str">
        <f aca="false">IF(E16="Não",IF(G16="","Justifique a não aplicabilidade","Não aplicável"),IF(F16="","Não avaliado",IF(G16="","Falta a evidência",IF(AND(F16&lt;&gt;"Atende",H16=""),"Falta a lacuna","Completo"))))</f>
        <v>Não avaliado</v>
      </c>
      <c r="K16" s="23" t="n">
        <v>5</v>
      </c>
    </row>
    <row r="17" customFormat="false" ht="36" hidden="false" customHeight="true" outlineLevel="0" collapsed="false">
      <c r="B17" s="18" t="s">
        <v>107</v>
      </c>
      <c r="C17" s="4" t="s">
        <v>108</v>
      </c>
      <c r="D17" s="19" t="s">
        <v>109</v>
      </c>
      <c r="E17" s="20" t="s">
        <v>90</v>
      </c>
      <c r="F17" s="20"/>
      <c r="G17" s="5"/>
      <c r="H17" s="5"/>
      <c r="I17" s="21" t="str">
        <f aca="false">IF(OR(E17="Não",F17=""),"",IF(F17="Atende",1,IF(F17="Atende em parte",0.5,0)))</f>
        <v/>
      </c>
      <c r="J17" s="22" t="str">
        <f aca="false">IF(E17="Não",IF(G17="","Justifique a não aplicabilidade","Não aplicável"),IF(F17="","Não avaliado",IF(G17="","Falta a evidência",IF(AND(F17&lt;&gt;"Atende",H17=""),"Falta a lacuna","Completo"))))</f>
        <v>Não avaliado</v>
      </c>
      <c r="K17" s="23" t="n">
        <v>5</v>
      </c>
    </row>
    <row r="18" customFormat="false" ht="36" hidden="false" customHeight="true" outlineLevel="0" collapsed="false">
      <c r="B18" s="18" t="s">
        <v>110</v>
      </c>
      <c r="C18" s="4" t="s">
        <v>111</v>
      </c>
      <c r="D18" s="19" t="s">
        <v>112</v>
      </c>
      <c r="E18" s="20" t="s">
        <v>90</v>
      </c>
      <c r="F18" s="20"/>
      <c r="G18" s="5"/>
      <c r="H18" s="5"/>
      <c r="I18" s="21" t="str">
        <f aca="false">IF(OR(E18="Não",F18=""),"",IF(F18="Atende",1,IF(F18="Atende em parte",0.5,0)))</f>
        <v/>
      </c>
      <c r="J18" s="22" t="str">
        <f aca="false">IF(E18="Não",IF(G18="","Justifique a não aplicabilidade","Não aplicável"),IF(F18="","Não avaliado",IF(G18="","Falta a evidência",IF(AND(F18&lt;&gt;"Atende",H18=""),"Falta a lacuna","Completo"))))</f>
        <v>Não avaliado</v>
      </c>
      <c r="K18" s="23" t="n">
        <v>5</v>
      </c>
    </row>
    <row r="19" customFormat="false" ht="21.75" hidden="false" customHeight="true" outlineLevel="0" collapsed="false">
      <c r="B19" s="24" t="s">
        <v>113</v>
      </c>
      <c r="C19" s="24"/>
      <c r="D19" s="24"/>
      <c r="E19" s="24"/>
      <c r="F19" s="24"/>
      <c r="G19" s="24"/>
      <c r="H19" s="24"/>
      <c r="I19" s="24"/>
      <c r="J19" s="24"/>
    </row>
    <row r="20" customFormat="false" ht="36" hidden="false" customHeight="true" outlineLevel="0" collapsed="false">
      <c r="B20" s="18" t="s">
        <v>114</v>
      </c>
      <c r="C20" s="4" t="s">
        <v>115</v>
      </c>
      <c r="D20" s="19" t="s">
        <v>116</v>
      </c>
      <c r="E20" s="20" t="s">
        <v>90</v>
      </c>
      <c r="F20" s="20"/>
      <c r="G20" s="5"/>
      <c r="H20" s="5"/>
      <c r="I20" s="21" t="str">
        <f aca="false">IF(OR(E20="Não",F20=""),"",IF(F20="Atende",1,IF(F20="Atende em parte",0.5,0)))</f>
        <v/>
      </c>
      <c r="J20" s="22" t="str">
        <f aca="false">IF(E20="Não",IF(G20="","Justifique a não aplicabilidade","Não aplicável"),IF(F20="","Não avaliado",IF(G20="","Falta a evidência",IF(AND(F20&lt;&gt;"Atende",H20=""),"Falta a lacuna","Completo"))))</f>
        <v>Não avaliado</v>
      </c>
      <c r="K20" s="23" t="n">
        <v>6</v>
      </c>
    </row>
    <row r="21" customFormat="false" ht="36" hidden="false" customHeight="true" outlineLevel="0" collapsed="false">
      <c r="B21" s="18" t="s">
        <v>117</v>
      </c>
      <c r="C21" s="4" t="s">
        <v>118</v>
      </c>
      <c r="D21" s="19" t="s">
        <v>119</v>
      </c>
      <c r="E21" s="20" t="s">
        <v>90</v>
      </c>
      <c r="F21" s="20"/>
      <c r="G21" s="5"/>
      <c r="H21" s="5"/>
      <c r="I21" s="21" t="str">
        <f aca="false">IF(OR(E21="Não",F21=""),"",IF(F21="Atende",1,IF(F21="Atende em parte",0.5,0)))</f>
        <v/>
      </c>
      <c r="J21" s="22" t="str">
        <f aca="false">IF(E21="Não",IF(G21="","Justifique a não aplicabilidade","Não aplicável"),IF(F21="","Não avaliado",IF(G21="","Falta a evidência",IF(AND(F21&lt;&gt;"Atende",H21=""),"Falta a lacuna","Completo"))))</f>
        <v>Não avaliado</v>
      </c>
      <c r="K21" s="23" t="n">
        <v>6</v>
      </c>
    </row>
    <row r="22" customFormat="false" ht="36" hidden="false" customHeight="true" outlineLevel="0" collapsed="false">
      <c r="B22" s="18" t="s">
        <v>120</v>
      </c>
      <c r="C22" s="4" t="s">
        <v>121</v>
      </c>
      <c r="D22" s="19" t="s">
        <v>122</v>
      </c>
      <c r="E22" s="20" t="s">
        <v>90</v>
      </c>
      <c r="F22" s="20"/>
      <c r="G22" s="5"/>
      <c r="H22" s="5"/>
      <c r="I22" s="21" t="str">
        <f aca="false">IF(OR(E22="Não",F22=""),"",IF(F22="Atende",1,IF(F22="Atende em parte",0.5,0)))</f>
        <v/>
      </c>
      <c r="J22" s="22" t="str">
        <f aca="false">IF(E22="Não",IF(G22="","Justifique a não aplicabilidade","Não aplicável"),IF(F22="","Não avaliado",IF(G22="","Falta a evidência",IF(AND(F22&lt;&gt;"Atende",H22=""),"Falta a lacuna","Completo"))))</f>
        <v>Não avaliado</v>
      </c>
      <c r="K22" s="23" t="n">
        <v>6</v>
      </c>
    </row>
    <row r="23" customFormat="false" ht="21.75" hidden="false" customHeight="true" outlineLevel="0" collapsed="false">
      <c r="B23" s="25" t="s">
        <v>123</v>
      </c>
      <c r="C23" s="25"/>
      <c r="D23" s="25"/>
      <c r="E23" s="25"/>
      <c r="F23" s="25"/>
      <c r="G23" s="25"/>
      <c r="H23" s="25"/>
      <c r="I23" s="25"/>
      <c r="J23" s="25"/>
    </row>
    <row r="24" customFormat="false" ht="36" hidden="false" customHeight="true" outlineLevel="0" collapsed="false">
      <c r="B24" s="18" t="s">
        <v>124</v>
      </c>
      <c r="C24" s="4" t="s">
        <v>125</v>
      </c>
      <c r="D24" s="19" t="s">
        <v>126</v>
      </c>
      <c r="E24" s="20" t="s">
        <v>90</v>
      </c>
      <c r="F24" s="20"/>
      <c r="G24" s="5"/>
      <c r="H24" s="5"/>
      <c r="I24" s="21" t="str">
        <f aca="false">IF(OR(E24="Não",F24=""),"",IF(F24="Atende",1,IF(F24="Atende em parte",0.5,0)))</f>
        <v/>
      </c>
      <c r="J24" s="22" t="str">
        <f aca="false">IF(E24="Não",IF(G24="","Justifique a não aplicabilidade","Não aplicável"),IF(F24="","Não avaliado",IF(G24="","Falta a evidência",IF(AND(F24&lt;&gt;"Atende",H24=""),"Falta a lacuna","Completo"))))</f>
        <v>Não avaliado</v>
      </c>
      <c r="K24" s="23" t="n">
        <v>7</v>
      </c>
    </row>
    <row r="25" customFormat="false" ht="36" hidden="false" customHeight="true" outlineLevel="0" collapsed="false">
      <c r="B25" s="18" t="s">
        <v>127</v>
      </c>
      <c r="C25" s="4" t="s">
        <v>128</v>
      </c>
      <c r="D25" s="19" t="s">
        <v>129</v>
      </c>
      <c r="E25" s="20" t="s">
        <v>90</v>
      </c>
      <c r="F25" s="20"/>
      <c r="G25" s="5"/>
      <c r="H25" s="5"/>
      <c r="I25" s="21" t="str">
        <f aca="false">IF(OR(E25="Não",F25=""),"",IF(F25="Atende",1,IF(F25="Atende em parte",0.5,0)))</f>
        <v/>
      </c>
      <c r="J25" s="22" t="str">
        <f aca="false">IF(E25="Não",IF(G25="","Justifique a não aplicabilidade","Não aplicável"),IF(F25="","Não avaliado",IF(G25="","Falta a evidência",IF(AND(F25&lt;&gt;"Atende",H25=""),"Falta a lacuna","Completo"))))</f>
        <v>Não avaliado</v>
      </c>
      <c r="K25" s="23" t="n">
        <v>7</v>
      </c>
    </row>
    <row r="26" customFormat="false" ht="36" hidden="false" customHeight="true" outlineLevel="0" collapsed="false">
      <c r="B26" s="18" t="s">
        <v>130</v>
      </c>
      <c r="C26" s="4" t="s">
        <v>131</v>
      </c>
      <c r="D26" s="19" t="s">
        <v>132</v>
      </c>
      <c r="E26" s="20" t="s">
        <v>90</v>
      </c>
      <c r="F26" s="20"/>
      <c r="G26" s="5"/>
      <c r="H26" s="5"/>
      <c r="I26" s="21" t="str">
        <f aca="false">IF(OR(E26="Não",F26=""),"",IF(F26="Atende",1,IF(F26="Atende em parte",0.5,0)))</f>
        <v/>
      </c>
      <c r="J26" s="22" t="str">
        <f aca="false">IF(E26="Não",IF(G26="","Justifique a não aplicabilidade","Não aplicável"),IF(F26="","Não avaliado",IF(G26="","Falta a evidência",IF(AND(F26&lt;&gt;"Atende",H26=""),"Falta a lacuna","Completo"))))</f>
        <v>Não avaliado</v>
      </c>
      <c r="K26" s="23" t="n">
        <v>7</v>
      </c>
    </row>
    <row r="27" customFormat="false" ht="36" hidden="false" customHeight="true" outlineLevel="0" collapsed="false">
      <c r="B27" s="18" t="s">
        <v>133</v>
      </c>
      <c r="C27" s="4" t="s">
        <v>134</v>
      </c>
      <c r="D27" s="19" t="s">
        <v>135</v>
      </c>
      <c r="E27" s="20" t="s">
        <v>90</v>
      </c>
      <c r="F27" s="20"/>
      <c r="G27" s="5"/>
      <c r="H27" s="5"/>
      <c r="I27" s="21" t="str">
        <f aca="false">IF(OR(E27="Não",F27=""),"",IF(F27="Atende",1,IF(F27="Atende em parte",0.5,0)))</f>
        <v/>
      </c>
      <c r="J27" s="22" t="str">
        <f aca="false">IF(E27="Não",IF(G27="","Justifique a não aplicabilidade","Não aplicável"),IF(F27="","Não avaliado",IF(G27="","Falta a evidência",IF(AND(F27&lt;&gt;"Atende",H27=""),"Falta a lacuna","Completo"))))</f>
        <v>Não avaliado</v>
      </c>
      <c r="K27" s="23" t="n">
        <v>7</v>
      </c>
    </row>
    <row r="28" customFormat="false" ht="36" hidden="false" customHeight="true" outlineLevel="0" collapsed="false">
      <c r="B28" s="18" t="s">
        <v>136</v>
      </c>
      <c r="C28" s="4" t="s">
        <v>137</v>
      </c>
      <c r="D28" s="19" t="s">
        <v>138</v>
      </c>
      <c r="E28" s="20" t="s">
        <v>90</v>
      </c>
      <c r="F28" s="20"/>
      <c r="G28" s="5"/>
      <c r="H28" s="5"/>
      <c r="I28" s="21" t="str">
        <f aca="false">IF(OR(E28="Não",F28=""),"",IF(F28="Atende",1,IF(F28="Atende em parte",0.5,0)))</f>
        <v/>
      </c>
      <c r="J28" s="22" t="str">
        <f aca="false">IF(E28="Não",IF(G28="","Justifique a não aplicabilidade","Não aplicável"),IF(F28="","Não avaliado",IF(G28="","Falta a evidência",IF(AND(F28&lt;&gt;"Atende",H28=""),"Falta a lacuna","Completo"))))</f>
        <v>Não avaliado</v>
      </c>
      <c r="K28" s="23" t="n">
        <v>7</v>
      </c>
    </row>
    <row r="29" customFormat="false" ht="36" hidden="false" customHeight="true" outlineLevel="0" collapsed="false">
      <c r="B29" s="18" t="s">
        <v>139</v>
      </c>
      <c r="C29" s="4" t="s">
        <v>140</v>
      </c>
      <c r="D29" s="19" t="s">
        <v>141</v>
      </c>
      <c r="E29" s="20" t="s">
        <v>90</v>
      </c>
      <c r="F29" s="20"/>
      <c r="G29" s="5"/>
      <c r="H29" s="5"/>
      <c r="I29" s="21" t="str">
        <f aca="false">IF(OR(E29="Não",F29=""),"",IF(F29="Atende",1,IF(F29="Atende em parte",0.5,0)))</f>
        <v/>
      </c>
      <c r="J29" s="22" t="str">
        <f aca="false">IF(E29="Não",IF(G29="","Justifique a não aplicabilidade","Não aplicável"),IF(F29="","Não avaliado",IF(G29="","Falta a evidência",IF(AND(F29&lt;&gt;"Atende",H29=""),"Falta a lacuna","Completo"))))</f>
        <v>Não avaliado</v>
      </c>
      <c r="K29" s="23" t="n">
        <v>7</v>
      </c>
    </row>
    <row r="30" customFormat="false" ht="36" hidden="false" customHeight="true" outlineLevel="0" collapsed="false">
      <c r="B30" s="18" t="s">
        <v>142</v>
      </c>
      <c r="C30" s="4" t="s">
        <v>143</v>
      </c>
      <c r="D30" s="19" t="s">
        <v>144</v>
      </c>
      <c r="E30" s="20" t="s">
        <v>90</v>
      </c>
      <c r="F30" s="20"/>
      <c r="G30" s="5"/>
      <c r="H30" s="5"/>
      <c r="I30" s="21" t="str">
        <f aca="false">IF(OR(E30="Não",F30=""),"",IF(F30="Atende",1,IF(F30="Atende em parte",0.5,0)))</f>
        <v/>
      </c>
      <c r="J30" s="22" t="str">
        <f aca="false">IF(E30="Não",IF(G30="","Justifique a não aplicabilidade","Não aplicável"),IF(F30="","Não avaliado",IF(G30="","Falta a evidência",IF(AND(F30&lt;&gt;"Atende",H30=""),"Falta a lacuna","Completo"))))</f>
        <v>Não avaliado</v>
      </c>
      <c r="K30" s="23" t="n">
        <v>7</v>
      </c>
    </row>
    <row r="31" customFormat="false" ht="36" hidden="false" customHeight="true" outlineLevel="0" collapsed="false">
      <c r="B31" s="18" t="s">
        <v>145</v>
      </c>
      <c r="C31" s="4" t="s">
        <v>146</v>
      </c>
      <c r="D31" s="19" t="s">
        <v>147</v>
      </c>
      <c r="E31" s="20" t="s">
        <v>90</v>
      </c>
      <c r="F31" s="20"/>
      <c r="G31" s="5"/>
      <c r="H31" s="5"/>
      <c r="I31" s="21" t="str">
        <f aca="false">IF(OR(E31="Não",F31=""),"",IF(F31="Atende",1,IF(F31="Atende em parte",0.5,0)))</f>
        <v/>
      </c>
      <c r="J31" s="22" t="str">
        <f aca="false">IF(E31="Não",IF(G31="","Justifique a não aplicabilidade","Não aplicável"),IF(F31="","Não avaliado",IF(G31="","Falta a evidência",IF(AND(F31&lt;&gt;"Atende",H31=""),"Falta a lacuna","Completo"))))</f>
        <v>Não avaliado</v>
      </c>
      <c r="K31" s="23" t="n">
        <v>7</v>
      </c>
    </row>
    <row r="32" customFormat="false" ht="36" hidden="false" customHeight="true" outlineLevel="0" collapsed="false">
      <c r="B32" s="18" t="s">
        <v>148</v>
      </c>
      <c r="C32" s="4" t="s">
        <v>149</v>
      </c>
      <c r="D32" s="19" t="s">
        <v>150</v>
      </c>
      <c r="E32" s="20" t="s">
        <v>90</v>
      </c>
      <c r="F32" s="20"/>
      <c r="G32" s="5"/>
      <c r="H32" s="5"/>
      <c r="I32" s="21" t="str">
        <f aca="false">IF(OR(E32="Não",F32=""),"",IF(F32="Atende",1,IF(F32="Atende em parte",0.5,0)))</f>
        <v/>
      </c>
      <c r="J32" s="22" t="str">
        <f aca="false">IF(E32="Não",IF(G32="","Justifique a não aplicabilidade","Não aplicável"),IF(F32="","Não avaliado",IF(G32="","Falta a evidência",IF(AND(F32&lt;&gt;"Atende",H32=""),"Falta a lacuna","Completo"))))</f>
        <v>Não avaliado</v>
      </c>
      <c r="K32" s="23" t="n">
        <v>7</v>
      </c>
    </row>
    <row r="33" customFormat="false" ht="21.75" hidden="false" customHeight="true" outlineLevel="0" collapsed="false">
      <c r="B33" s="25" t="s">
        <v>151</v>
      </c>
      <c r="C33" s="25"/>
      <c r="D33" s="25"/>
      <c r="E33" s="25"/>
      <c r="F33" s="25"/>
      <c r="G33" s="25"/>
      <c r="H33" s="25"/>
      <c r="I33" s="25"/>
      <c r="J33" s="25"/>
    </row>
    <row r="34" customFormat="false" ht="36" hidden="false" customHeight="true" outlineLevel="0" collapsed="false">
      <c r="B34" s="18" t="s">
        <v>152</v>
      </c>
      <c r="C34" s="4" t="s">
        <v>153</v>
      </c>
      <c r="D34" s="19" t="s">
        <v>154</v>
      </c>
      <c r="E34" s="20" t="s">
        <v>90</v>
      </c>
      <c r="F34" s="20"/>
      <c r="G34" s="5"/>
      <c r="H34" s="5"/>
      <c r="I34" s="21" t="str">
        <f aca="false">IF(OR(E34="Não",F34=""),"",IF(F34="Atende",1,IF(F34="Atende em parte",0.5,0)))</f>
        <v/>
      </c>
      <c r="J34" s="22" t="str">
        <f aca="false">IF(E34="Não",IF(G34="","Justifique a não aplicabilidade","Não aplicável"),IF(F34="","Não avaliado",IF(G34="","Falta a evidência",IF(AND(F34&lt;&gt;"Atende",H34=""),"Falta a lacuna","Completo"))))</f>
        <v>Não avaliado</v>
      </c>
      <c r="K34" s="23" t="n">
        <v>8</v>
      </c>
    </row>
    <row r="35" customFormat="false" ht="36" hidden="false" customHeight="true" outlineLevel="0" collapsed="false">
      <c r="B35" s="18" t="s">
        <v>155</v>
      </c>
      <c r="C35" s="4" t="s">
        <v>156</v>
      </c>
      <c r="D35" s="19" t="s">
        <v>157</v>
      </c>
      <c r="E35" s="20" t="s">
        <v>90</v>
      </c>
      <c r="F35" s="20"/>
      <c r="G35" s="5"/>
      <c r="H35" s="5"/>
      <c r="I35" s="21" t="str">
        <f aca="false">IF(OR(E35="Não",F35=""),"",IF(F35="Atende",1,IF(F35="Atende em parte",0.5,0)))</f>
        <v/>
      </c>
      <c r="J35" s="22" t="str">
        <f aca="false">IF(E35="Não",IF(G35="","Justifique a não aplicabilidade","Não aplicável"),IF(F35="","Não avaliado",IF(G35="","Falta a evidência",IF(AND(F35&lt;&gt;"Atende",H35=""),"Falta a lacuna","Completo"))))</f>
        <v>Não avaliado</v>
      </c>
      <c r="K35" s="23" t="n">
        <v>8</v>
      </c>
    </row>
    <row r="36" customFormat="false" ht="36" hidden="false" customHeight="true" outlineLevel="0" collapsed="false">
      <c r="B36" s="18" t="s">
        <v>158</v>
      </c>
      <c r="C36" s="4" t="s">
        <v>159</v>
      </c>
      <c r="D36" s="19" t="s">
        <v>160</v>
      </c>
      <c r="E36" s="20" t="s">
        <v>90</v>
      </c>
      <c r="F36" s="20"/>
      <c r="G36" s="5"/>
      <c r="H36" s="5"/>
      <c r="I36" s="21" t="str">
        <f aca="false">IF(OR(E36="Não",F36=""),"",IF(F36="Atende",1,IF(F36="Atende em parte",0.5,0)))</f>
        <v/>
      </c>
      <c r="J36" s="22" t="str">
        <f aca="false">IF(E36="Não",IF(G36="","Justifique a não aplicabilidade","Não aplicável"),IF(F36="","Não avaliado",IF(G36="","Falta a evidência",IF(AND(F36&lt;&gt;"Atende",H36=""),"Falta a lacuna","Completo"))))</f>
        <v>Não avaliado</v>
      </c>
      <c r="K36" s="23" t="n">
        <v>8</v>
      </c>
    </row>
    <row r="37" customFormat="false" ht="36" hidden="false" customHeight="true" outlineLevel="0" collapsed="false">
      <c r="B37" s="18" t="s">
        <v>161</v>
      </c>
      <c r="C37" s="4" t="s">
        <v>162</v>
      </c>
      <c r="D37" s="19" t="s">
        <v>163</v>
      </c>
      <c r="E37" s="20" t="s">
        <v>90</v>
      </c>
      <c r="F37" s="20"/>
      <c r="G37" s="5"/>
      <c r="H37" s="5"/>
      <c r="I37" s="21" t="str">
        <f aca="false">IF(OR(E37="Não",F37=""),"",IF(F37="Atende",1,IF(F37="Atende em parte",0.5,0)))</f>
        <v/>
      </c>
      <c r="J37" s="22" t="str">
        <f aca="false">IF(E37="Não",IF(G37="","Justifique a não aplicabilidade","Não aplicável"),IF(F37="","Não avaliado",IF(G37="","Falta a evidência",IF(AND(F37&lt;&gt;"Atende",H37=""),"Falta a lacuna","Completo"))))</f>
        <v>Não avaliado</v>
      </c>
      <c r="K37" s="23" t="n">
        <v>8</v>
      </c>
    </row>
    <row r="38" customFormat="false" ht="36" hidden="false" customHeight="true" outlineLevel="0" collapsed="false">
      <c r="B38" s="18" t="s">
        <v>164</v>
      </c>
      <c r="C38" s="4" t="s">
        <v>165</v>
      </c>
      <c r="D38" s="19" t="s">
        <v>166</v>
      </c>
      <c r="E38" s="20" t="s">
        <v>90</v>
      </c>
      <c r="F38" s="20"/>
      <c r="G38" s="5"/>
      <c r="H38" s="5"/>
      <c r="I38" s="21" t="str">
        <f aca="false">IF(OR(E38="Não",F38=""),"",IF(F38="Atende",1,IF(F38="Atende em parte",0.5,0)))</f>
        <v/>
      </c>
      <c r="J38" s="22" t="str">
        <f aca="false">IF(E38="Não",IF(G38="","Justifique a não aplicabilidade","Não aplicável"),IF(F38="","Não avaliado",IF(G38="","Falta a evidência",IF(AND(F38&lt;&gt;"Atende",H38=""),"Falta a lacuna","Completo"))))</f>
        <v>Não avaliado</v>
      </c>
      <c r="K38" s="23" t="n">
        <v>8</v>
      </c>
    </row>
    <row r="39" customFormat="false" ht="36" hidden="false" customHeight="true" outlineLevel="0" collapsed="false">
      <c r="B39" s="18" t="s">
        <v>167</v>
      </c>
      <c r="C39" s="4" t="s">
        <v>168</v>
      </c>
      <c r="D39" s="19" t="s">
        <v>169</v>
      </c>
      <c r="E39" s="20" t="s">
        <v>90</v>
      </c>
      <c r="F39" s="20"/>
      <c r="G39" s="5"/>
      <c r="H39" s="5"/>
      <c r="I39" s="21" t="str">
        <f aca="false">IF(OR(E39="Não",F39=""),"",IF(F39="Atende",1,IF(F39="Atende em parte",0.5,0)))</f>
        <v/>
      </c>
      <c r="J39" s="22" t="str">
        <f aca="false">IF(E39="Não",IF(G39="","Justifique a não aplicabilidade","Não aplicável"),IF(F39="","Não avaliado",IF(G39="","Falta a evidência",IF(AND(F39&lt;&gt;"Atende",H39=""),"Falta a lacuna","Completo"))))</f>
        <v>Não avaliado</v>
      </c>
      <c r="K39" s="23" t="n">
        <v>8</v>
      </c>
    </row>
    <row r="40" customFormat="false" ht="36" hidden="false" customHeight="true" outlineLevel="0" collapsed="false">
      <c r="B40" s="18" t="s">
        <v>170</v>
      </c>
      <c r="C40" s="4" t="s">
        <v>171</v>
      </c>
      <c r="D40" s="19" t="s">
        <v>172</v>
      </c>
      <c r="E40" s="20" t="s">
        <v>90</v>
      </c>
      <c r="F40" s="20"/>
      <c r="G40" s="5"/>
      <c r="H40" s="5"/>
      <c r="I40" s="21" t="str">
        <f aca="false">IF(OR(E40="Não",F40=""),"",IF(F40="Atende",1,IF(F40="Atende em parte",0.5,0)))</f>
        <v/>
      </c>
      <c r="J40" s="22" t="str">
        <f aca="false">IF(E40="Não",IF(G40="","Justifique a não aplicabilidade","Não aplicável"),IF(F40="","Não avaliado",IF(G40="","Falta a evidência",IF(AND(F40&lt;&gt;"Atende",H40=""),"Falta a lacuna","Completo"))))</f>
        <v>Não avaliado</v>
      </c>
      <c r="K40" s="23" t="n">
        <v>8</v>
      </c>
    </row>
    <row r="41" customFormat="false" ht="36" hidden="false" customHeight="true" outlineLevel="0" collapsed="false">
      <c r="B41" s="18" t="s">
        <v>173</v>
      </c>
      <c r="C41" s="4" t="s">
        <v>174</v>
      </c>
      <c r="D41" s="19" t="s">
        <v>175</v>
      </c>
      <c r="E41" s="20" t="s">
        <v>90</v>
      </c>
      <c r="F41" s="20"/>
      <c r="G41" s="5"/>
      <c r="H41" s="5"/>
      <c r="I41" s="21" t="str">
        <f aca="false">IF(OR(E41="Não",F41=""),"",IF(F41="Atende",1,IF(F41="Atende em parte",0.5,0)))</f>
        <v/>
      </c>
      <c r="J41" s="22" t="str">
        <f aca="false">IF(E41="Não",IF(G41="","Justifique a não aplicabilidade","Não aplicável"),IF(F41="","Não avaliado",IF(G41="","Falta a evidência",IF(AND(F41&lt;&gt;"Atende",H41=""),"Falta a lacuna","Completo"))))</f>
        <v>Não avaliado</v>
      </c>
      <c r="K41" s="23" t="n">
        <v>8</v>
      </c>
    </row>
    <row r="42" customFormat="false" ht="36" hidden="false" customHeight="true" outlineLevel="0" collapsed="false">
      <c r="B42" s="18" t="s">
        <v>176</v>
      </c>
      <c r="C42" s="4" t="s">
        <v>177</v>
      </c>
      <c r="D42" s="19" t="s">
        <v>178</v>
      </c>
      <c r="E42" s="20" t="s">
        <v>90</v>
      </c>
      <c r="F42" s="20"/>
      <c r="G42" s="5"/>
      <c r="H42" s="5"/>
      <c r="I42" s="21" t="str">
        <f aca="false">IF(OR(E42="Não",F42=""),"",IF(F42="Atende",1,IF(F42="Atende em parte",0.5,0)))</f>
        <v/>
      </c>
      <c r="J42" s="22" t="str">
        <f aca="false">IF(E42="Não",IF(G42="","Justifique a não aplicabilidade","Não aplicável"),IF(F42="","Não avaliado",IF(G42="","Falta a evidência",IF(AND(F42&lt;&gt;"Atende",H42=""),"Falta a lacuna","Completo"))))</f>
        <v>Não avaliado</v>
      </c>
      <c r="K42" s="23" t="n">
        <v>8</v>
      </c>
    </row>
    <row r="43" customFormat="false" ht="36" hidden="false" customHeight="true" outlineLevel="0" collapsed="false">
      <c r="B43" s="18" t="s">
        <v>179</v>
      </c>
      <c r="C43" s="4" t="s">
        <v>180</v>
      </c>
      <c r="D43" s="19" t="s">
        <v>181</v>
      </c>
      <c r="E43" s="20" t="s">
        <v>90</v>
      </c>
      <c r="F43" s="20"/>
      <c r="G43" s="5"/>
      <c r="H43" s="5"/>
      <c r="I43" s="21" t="str">
        <f aca="false">IF(OR(E43="Não",F43=""),"",IF(F43="Atende",1,IF(F43="Atende em parte",0.5,0)))</f>
        <v/>
      </c>
      <c r="J43" s="22" t="str">
        <f aca="false">IF(E43="Não",IF(G43="","Justifique a não aplicabilidade","Não aplicável"),IF(F43="","Não avaliado",IF(G43="","Falta a evidência",IF(AND(F43&lt;&gt;"Atende",H43=""),"Falta a lacuna","Completo"))))</f>
        <v>Não avaliado</v>
      </c>
      <c r="K43" s="23" t="n">
        <v>8</v>
      </c>
    </row>
    <row r="44" customFormat="false" ht="36" hidden="false" customHeight="true" outlineLevel="0" collapsed="false">
      <c r="B44" s="18" t="s">
        <v>182</v>
      </c>
      <c r="C44" s="4" t="s">
        <v>183</v>
      </c>
      <c r="D44" s="19" t="s">
        <v>184</v>
      </c>
      <c r="E44" s="20" t="s">
        <v>90</v>
      </c>
      <c r="F44" s="20"/>
      <c r="G44" s="5"/>
      <c r="H44" s="5"/>
      <c r="I44" s="21" t="str">
        <f aca="false">IF(OR(E44="Não",F44=""),"",IF(F44="Atende",1,IF(F44="Atende em parte",0.5,0)))</f>
        <v/>
      </c>
      <c r="J44" s="22" t="str">
        <f aca="false">IF(E44="Não",IF(G44="","Justifique a não aplicabilidade","Não aplicável"),IF(F44="","Não avaliado",IF(G44="","Falta a evidência",IF(AND(F44&lt;&gt;"Atende",H44=""),"Falta a lacuna","Completo"))))</f>
        <v>Não avaliado</v>
      </c>
      <c r="K44" s="23" t="n">
        <v>8</v>
      </c>
    </row>
    <row r="45" customFormat="false" ht="36" hidden="false" customHeight="true" outlineLevel="0" collapsed="false">
      <c r="B45" s="18" t="s">
        <v>185</v>
      </c>
      <c r="C45" s="4" t="s">
        <v>186</v>
      </c>
      <c r="D45" s="19" t="s">
        <v>187</v>
      </c>
      <c r="E45" s="20" t="s">
        <v>90</v>
      </c>
      <c r="F45" s="20"/>
      <c r="G45" s="5"/>
      <c r="H45" s="5"/>
      <c r="I45" s="21" t="str">
        <f aca="false">IF(OR(E45="Não",F45=""),"",IF(F45="Atende",1,IF(F45="Atende em parte",0.5,0)))</f>
        <v/>
      </c>
      <c r="J45" s="22" t="str">
        <f aca="false">IF(E45="Não",IF(G45="","Justifique a não aplicabilidade","Não aplicável"),IF(F45="","Não avaliado",IF(G45="","Falta a evidência",IF(AND(F45&lt;&gt;"Atende",H45=""),"Falta a lacuna","Completo"))))</f>
        <v>Não avaliado</v>
      </c>
      <c r="K45" s="23" t="n">
        <v>8</v>
      </c>
    </row>
    <row r="46" customFormat="false" ht="36" hidden="false" customHeight="true" outlineLevel="0" collapsed="false">
      <c r="B46" s="18" t="s">
        <v>188</v>
      </c>
      <c r="C46" s="4" t="s">
        <v>189</v>
      </c>
      <c r="D46" s="19" t="s">
        <v>190</v>
      </c>
      <c r="E46" s="20" t="s">
        <v>90</v>
      </c>
      <c r="F46" s="20"/>
      <c r="G46" s="5"/>
      <c r="H46" s="5"/>
      <c r="I46" s="21" t="str">
        <f aca="false">IF(OR(E46="Não",F46=""),"",IF(F46="Atende",1,IF(F46="Atende em parte",0.5,0)))</f>
        <v/>
      </c>
      <c r="J46" s="22" t="str">
        <f aca="false">IF(E46="Não",IF(G46="","Justifique a não aplicabilidade","Não aplicável"),IF(F46="","Não avaliado",IF(G46="","Falta a evidência",IF(AND(F46&lt;&gt;"Atende",H46=""),"Falta a lacuna","Completo"))))</f>
        <v>Não avaliado</v>
      </c>
      <c r="K46" s="23" t="n">
        <v>8</v>
      </c>
    </row>
    <row r="47" customFormat="false" ht="36" hidden="false" customHeight="true" outlineLevel="0" collapsed="false">
      <c r="B47" s="18" t="s">
        <v>191</v>
      </c>
      <c r="C47" s="4" t="s">
        <v>192</v>
      </c>
      <c r="D47" s="19" t="s">
        <v>193</v>
      </c>
      <c r="E47" s="20" t="s">
        <v>90</v>
      </c>
      <c r="F47" s="20"/>
      <c r="G47" s="5"/>
      <c r="H47" s="5"/>
      <c r="I47" s="21" t="str">
        <f aca="false">IF(OR(E47="Não",F47=""),"",IF(F47="Atende",1,IF(F47="Atende em parte",0.5,0)))</f>
        <v/>
      </c>
      <c r="J47" s="22" t="str">
        <f aca="false">IF(E47="Não",IF(G47="","Justifique a não aplicabilidade","Não aplicável"),IF(F47="","Não avaliado",IF(G47="","Falta a evidência",IF(AND(F47&lt;&gt;"Atende",H47=""),"Falta a lacuna","Completo"))))</f>
        <v>Não avaliado</v>
      </c>
      <c r="K47" s="23" t="n">
        <v>8</v>
      </c>
    </row>
    <row r="48" customFormat="false" ht="36" hidden="false" customHeight="true" outlineLevel="0" collapsed="false">
      <c r="B48" s="18" t="s">
        <v>194</v>
      </c>
      <c r="C48" s="4" t="s">
        <v>195</v>
      </c>
      <c r="D48" s="19" t="s">
        <v>196</v>
      </c>
      <c r="E48" s="20" t="s">
        <v>90</v>
      </c>
      <c r="F48" s="20"/>
      <c r="G48" s="5"/>
      <c r="H48" s="5"/>
      <c r="I48" s="21" t="str">
        <f aca="false">IF(OR(E48="Não",F48=""),"",IF(F48="Atende",1,IF(F48="Atende em parte",0.5,0)))</f>
        <v/>
      </c>
      <c r="J48" s="22" t="str">
        <f aca="false">IF(E48="Não",IF(G48="","Justifique a não aplicabilidade","Não aplicável"),IF(F48="","Não avaliado",IF(G48="","Falta a evidência",IF(AND(F48&lt;&gt;"Atende",H48=""),"Falta a lacuna","Completo"))))</f>
        <v>Não avaliado</v>
      </c>
      <c r="K48" s="23" t="n">
        <v>8</v>
      </c>
    </row>
    <row r="49" customFormat="false" ht="36" hidden="false" customHeight="true" outlineLevel="0" collapsed="false">
      <c r="B49" s="18" t="s">
        <v>197</v>
      </c>
      <c r="C49" s="4" t="s">
        <v>198</v>
      </c>
      <c r="D49" s="19" t="s">
        <v>199</v>
      </c>
      <c r="E49" s="20" t="s">
        <v>90</v>
      </c>
      <c r="F49" s="20"/>
      <c r="G49" s="5"/>
      <c r="H49" s="5"/>
      <c r="I49" s="21" t="str">
        <f aca="false">IF(OR(E49="Não",F49=""),"",IF(F49="Atende",1,IF(F49="Atende em parte",0.5,0)))</f>
        <v/>
      </c>
      <c r="J49" s="22" t="str">
        <f aca="false">IF(E49="Não",IF(G49="","Justifique a não aplicabilidade","Não aplicável"),IF(F49="","Não avaliado",IF(G49="","Falta a evidência",IF(AND(F49&lt;&gt;"Atende",H49=""),"Falta a lacuna","Completo"))))</f>
        <v>Não avaliado</v>
      </c>
      <c r="K49" s="23" t="n">
        <v>8</v>
      </c>
    </row>
    <row r="50" customFormat="false" ht="36" hidden="false" customHeight="true" outlineLevel="0" collapsed="false">
      <c r="B50" s="18" t="s">
        <v>200</v>
      </c>
      <c r="C50" s="4" t="s">
        <v>201</v>
      </c>
      <c r="D50" s="19" t="s">
        <v>202</v>
      </c>
      <c r="E50" s="20" t="s">
        <v>90</v>
      </c>
      <c r="F50" s="20"/>
      <c r="G50" s="5"/>
      <c r="H50" s="5"/>
      <c r="I50" s="21" t="str">
        <f aca="false">IF(OR(E50="Não",F50=""),"",IF(F50="Atende",1,IF(F50="Atende em parte",0.5,0)))</f>
        <v/>
      </c>
      <c r="J50" s="22" t="str">
        <f aca="false">IF(E50="Não",IF(G50="","Justifique a não aplicabilidade","Não aplicável"),IF(F50="","Não avaliado",IF(G50="","Falta a evidência",IF(AND(F50&lt;&gt;"Atende",H50=""),"Falta a lacuna","Completo"))))</f>
        <v>Não avaliado</v>
      </c>
      <c r="K50" s="23" t="n">
        <v>8</v>
      </c>
    </row>
    <row r="51" customFormat="false" ht="21.75" hidden="false" customHeight="true" outlineLevel="0" collapsed="false">
      <c r="B51" s="26" t="s">
        <v>203</v>
      </c>
      <c r="C51" s="26"/>
      <c r="D51" s="26"/>
      <c r="E51" s="26"/>
      <c r="F51" s="26"/>
      <c r="G51" s="26"/>
      <c r="H51" s="26"/>
      <c r="I51" s="26"/>
      <c r="J51" s="26"/>
    </row>
    <row r="52" customFormat="false" ht="36" hidden="false" customHeight="true" outlineLevel="0" collapsed="false">
      <c r="B52" s="18" t="s">
        <v>204</v>
      </c>
      <c r="C52" s="4" t="s">
        <v>205</v>
      </c>
      <c r="D52" s="19" t="s">
        <v>206</v>
      </c>
      <c r="E52" s="20" t="s">
        <v>90</v>
      </c>
      <c r="F52" s="20"/>
      <c r="G52" s="5"/>
      <c r="H52" s="5"/>
      <c r="I52" s="21" t="str">
        <f aca="false">IF(OR(E52="Não",F52=""),"",IF(F52="Atende",1,IF(F52="Atende em parte",0.5,0)))</f>
        <v/>
      </c>
      <c r="J52" s="22" t="str">
        <f aca="false">IF(E52="Não",IF(G52="","Justifique a não aplicabilidade","Não aplicável"),IF(F52="","Não avaliado",IF(G52="","Falta a evidência",IF(AND(F52&lt;&gt;"Atende",H52=""),"Falta a lacuna","Completo"))))</f>
        <v>Não avaliado</v>
      </c>
      <c r="K52" s="23" t="n">
        <v>9</v>
      </c>
    </row>
    <row r="53" customFormat="false" ht="36" hidden="false" customHeight="true" outlineLevel="0" collapsed="false">
      <c r="B53" s="18" t="s">
        <v>207</v>
      </c>
      <c r="C53" s="4" t="s">
        <v>208</v>
      </c>
      <c r="D53" s="19" t="s">
        <v>209</v>
      </c>
      <c r="E53" s="20" t="s">
        <v>90</v>
      </c>
      <c r="F53" s="20"/>
      <c r="G53" s="5"/>
      <c r="H53" s="5"/>
      <c r="I53" s="21" t="str">
        <f aca="false">IF(OR(E53="Não",F53=""),"",IF(F53="Atende",1,IF(F53="Atende em parte",0.5,0)))</f>
        <v/>
      </c>
      <c r="J53" s="22" t="str">
        <f aca="false">IF(E53="Não",IF(G53="","Justifique a não aplicabilidade","Não aplicável"),IF(F53="","Não avaliado",IF(G53="","Falta a evidência",IF(AND(F53&lt;&gt;"Atende",H53=""),"Falta a lacuna","Completo"))))</f>
        <v>Não avaliado</v>
      </c>
      <c r="K53" s="23" t="n">
        <v>9</v>
      </c>
    </row>
    <row r="54" customFormat="false" ht="36" hidden="false" customHeight="true" outlineLevel="0" collapsed="false">
      <c r="B54" s="18" t="s">
        <v>210</v>
      </c>
      <c r="C54" s="4" t="s">
        <v>211</v>
      </c>
      <c r="D54" s="19" t="s">
        <v>212</v>
      </c>
      <c r="E54" s="20" t="s">
        <v>90</v>
      </c>
      <c r="F54" s="20"/>
      <c r="G54" s="5"/>
      <c r="H54" s="5"/>
      <c r="I54" s="21" t="str">
        <f aca="false">IF(OR(E54="Não",F54=""),"",IF(F54="Atende",1,IF(F54="Atende em parte",0.5,0)))</f>
        <v/>
      </c>
      <c r="J54" s="22" t="str">
        <f aca="false">IF(E54="Não",IF(G54="","Justifique a não aplicabilidade","Não aplicável"),IF(F54="","Não avaliado",IF(G54="","Falta a evidência",IF(AND(F54&lt;&gt;"Atende",H54=""),"Falta a lacuna","Completo"))))</f>
        <v>Não avaliado</v>
      </c>
      <c r="K54" s="23" t="n">
        <v>9</v>
      </c>
    </row>
    <row r="55" customFormat="false" ht="36" hidden="false" customHeight="true" outlineLevel="0" collapsed="false">
      <c r="B55" s="18" t="s">
        <v>213</v>
      </c>
      <c r="C55" s="4" t="s">
        <v>214</v>
      </c>
      <c r="D55" s="19" t="s">
        <v>215</v>
      </c>
      <c r="E55" s="20" t="s">
        <v>90</v>
      </c>
      <c r="F55" s="20"/>
      <c r="G55" s="5"/>
      <c r="H55" s="5"/>
      <c r="I55" s="21" t="str">
        <f aca="false">IF(OR(E55="Não",F55=""),"",IF(F55="Atende",1,IF(F55="Atende em parte",0.5,0)))</f>
        <v/>
      </c>
      <c r="J55" s="22" t="str">
        <f aca="false">IF(E55="Não",IF(G55="","Justifique a não aplicabilidade","Não aplicável"),IF(F55="","Não avaliado",IF(G55="","Falta a evidência",IF(AND(F55&lt;&gt;"Atende",H55=""),"Falta a lacuna","Completo"))))</f>
        <v>Não avaliado</v>
      </c>
      <c r="K55" s="23" t="n">
        <v>9</v>
      </c>
    </row>
    <row r="56" customFormat="false" ht="36" hidden="false" customHeight="true" outlineLevel="0" collapsed="false">
      <c r="B56" s="18" t="s">
        <v>216</v>
      </c>
      <c r="C56" s="4" t="s">
        <v>217</v>
      </c>
      <c r="D56" s="19" t="s">
        <v>218</v>
      </c>
      <c r="E56" s="20" t="s">
        <v>90</v>
      </c>
      <c r="F56" s="20"/>
      <c r="G56" s="5"/>
      <c r="H56" s="5"/>
      <c r="I56" s="21" t="str">
        <f aca="false">IF(OR(E56="Não",F56=""),"",IF(F56="Atende",1,IF(F56="Atende em parte",0.5,0)))</f>
        <v/>
      </c>
      <c r="J56" s="22" t="str">
        <f aca="false">IF(E56="Não",IF(G56="","Justifique a não aplicabilidade","Não aplicável"),IF(F56="","Não avaliado",IF(G56="","Falta a evidência",IF(AND(F56&lt;&gt;"Atende",H56=""),"Falta a lacuna","Completo"))))</f>
        <v>Não avaliado</v>
      </c>
      <c r="K56" s="23" t="n">
        <v>9</v>
      </c>
    </row>
    <row r="57" customFormat="false" ht="21.75" hidden="false" customHeight="true" outlineLevel="0" collapsed="false">
      <c r="B57" s="27" t="s">
        <v>219</v>
      </c>
      <c r="C57" s="27"/>
      <c r="D57" s="27"/>
      <c r="E57" s="27"/>
      <c r="F57" s="27"/>
      <c r="G57" s="27"/>
      <c r="H57" s="27"/>
      <c r="I57" s="27"/>
      <c r="J57" s="27"/>
    </row>
    <row r="58" customFormat="false" ht="36" hidden="false" customHeight="true" outlineLevel="0" collapsed="false">
      <c r="B58" s="18" t="s">
        <v>220</v>
      </c>
      <c r="C58" s="4" t="s">
        <v>221</v>
      </c>
      <c r="D58" s="19" t="s">
        <v>222</v>
      </c>
      <c r="E58" s="20" t="s">
        <v>90</v>
      </c>
      <c r="F58" s="20"/>
      <c r="G58" s="5"/>
      <c r="H58" s="5"/>
      <c r="I58" s="21" t="str">
        <f aca="false">IF(OR(E58="Não",F58=""),"",IF(F58="Atende",1,IF(F58="Atende em parte",0.5,0)))</f>
        <v/>
      </c>
      <c r="J58" s="22" t="str">
        <f aca="false">IF(E58="Não",IF(G58="","Justifique a não aplicabilidade","Não aplicável"),IF(F58="","Não avaliado",IF(G58="","Falta a evidência",IF(AND(F58&lt;&gt;"Atende",H58=""),"Falta a lacuna","Completo"))))</f>
        <v>Não avaliado</v>
      </c>
      <c r="K58" s="23" t="n">
        <v>10</v>
      </c>
    </row>
    <row r="59" customFormat="false" ht="36" hidden="false" customHeight="true" outlineLevel="0" collapsed="false">
      <c r="B59" s="18" t="s">
        <v>223</v>
      </c>
      <c r="C59" s="4" t="s">
        <v>224</v>
      </c>
      <c r="D59" s="19" t="s">
        <v>225</v>
      </c>
      <c r="E59" s="20" t="s">
        <v>90</v>
      </c>
      <c r="F59" s="20"/>
      <c r="G59" s="5"/>
      <c r="H59" s="5"/>
      <c r="I59" s="21" t="str">
        <f aca="false">IF(OR(E59="Não",F59=""),"",IF(F59="Atende",1,IF(F59="Atende em parte",0.5,0)))</f>
        <v/>
      </c>
      <c r="J59" s="22" t="str">
        <f aca="false">IF(E59="Não",IF(G59="","Justifique a não aplicabilidade","Não aplicável"),IF(F59="","Não avaliado",IF(G59="","Falta a evidência",IF(AND(F59&lt;&gt;"Atende",H59=""),"Falta a lacuna","Completo"))))</f>
        <v>Não avaliado</v>
      </c>
      <c r="K59" s="23" t="n">
        <v>10</v>
      </c>
    </row>
    <row r="60" customFormat="false" ht="36" hidden="false" customHeight="true" outlineLevel="0" collapsed="false">
      <c r="B60" s="18" t="s">
        <v>226</v>
      </c>
      <c r="C60" s="4" t="s">
        <v>227</v>
      </c>
      <c r="D60" s="19" t="s">
        <v>228</v>
      </c>
      <c r="E60" s="20" t="s">
        <v>90</v>
      </c>
      <c r="F60" s="20"/>
      <c r="G60" s="5"/>
      <c r="H60" s="5"/>
      <c r="I60" s="21" t="str">
        <f aca="false">IF(OR(E60="Não",F60=""),"",IF(F60="Atende",1,IF(F60="Atende em parte",0.5,0)))</f>
        <v/>
      </c>
      <c r="J60" s="22" t="str">
        <f aca="false">IF(E60="Não",IF(G60="","Justifique a não aplicabilidade","Não aplicável"),IF(F60="","Não avaliado",IF(G60="","Falta a evidência",IF(AND(F60&lt;&gt;"Atende",H60=""),"Falta a lacuna","Completo"))))</f>
        <v>Não avaliado</v>
      </c>
      <c r="K60" s="23" t="n">
        <v>10</v>
      </c>
    </row>
  </sheetData>
  <mergeCells count="15">
    <mergeCell ref="B1:J1"/>
    <mergeCell ref="B2:J2"/>
    <mergeCell ref="B4:C4"/>
    <mergeCell ref="D4:F4"/>
    <mergeCell ref="H4:J4"/>
    <mergeCell ref="B5:C5"/>
    <mergeCell ref="D5:F5"/>
    <mergeCell ref="H5:J5"/>
    <mergeCell ref="B9:J9"/>
    <mergeCell ref="B14:J14"/>
    <mergeCell ref="B19:J19"/>
    <mergeCell ref="B23:J23"/>
    <mergeCell ref="B33:J33"/>
    <mergeCell ref="B51:J51"/>
    <mergeCell ref="B57:J57"/>
  </mergeCells>
  <conditionalFormatting sqref="F9:F60">
    <cfRule type="cellIs" priority="2" operator="equal" aboveAverage="0" equalAverage="0" bottom="0" percent="0" rank="0" text="" dxfId="0">
      <formula>"Atende"</formula>
    </cfRule>
    <cfRule type="cellIs" priority="3" operator="equal" aboveAverage="0" equalAverage="0" bottom="0" percent="0" rank="0" text="" dxfId="1">
      <formula>"Atende em parte"</formula>
    </cfRule>
    <cfRule type="cellIs" priority="4" operator="equal" aboveAverage="0" equalAverage="0" bottom="0" percent="0" rank="0" text="" dxfId="2">
      <formula>"Não atende"</formula>
    </cfRule>
  </conditionalFormatting>
  <conditionalFormatting sqref="E9:E60">
    <cfRule type="cellIs" priority="5" operator="equal" aboveAverage="0" equalAverage="0" bottom="0" percent="0" rank="0" text="" dxfId="3">
      <formula>"Não"</formula>
    </cfRule>
  </conditionalFormatting>
  <conditionalFormatting sqref="J9:J60">
    <cfRule type="expression" priority="6" aboveAverage="0" equalAverage="0" bottom="0" percent="0" rank="0" text="" dxfId="0">
      <formula>OR(J9="Completo",J9="Não aplicável")</formula>
    </cfRule>
    <cfRule type="expression" priority="7" aboveAverage="0" equalAverage="0" bottom="0" percent="0" rank="0" text="" dxfId="4">
      <formula>J9="Não avaliado"</formula>
    </cfRule>
    <cfRule type="expression" priority="8" aboveAverage="0" equalAverage="0" bottom="0" percent="0" rank="0" text="" dxfId="1">
      <formula>LEN(J9)&gt;0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4" type="date">
      <formula1>36526</formula1>
      <formula2>0</formula2>
    </dataValidation>
    <dataValidation allowBlank="true" error="Escolha uma das opções da lista." errorStyle="stop" errorTitle="Valor inválido" operator="between" prompt="O requisito vale para a organização?" promptTitle="Opções" showDropDown="false" showErrorMessage="true" showInputMessage="true" sqref="E9:E60" type="list">
      <formula1>"Sim,Não"</formula1>
      <formula2>0</formula2>
    </dataValidation>
    <dataValidation allowBlank="true" error="Escolha uma das opções da lista." errorStyle="stop" errorTitle="Valor inválido" operator="between" prompt="Atende, Atende em parte ou Não atende" promptTitle="Opções" showDropDown="false" showErrorMessage="true" showInputMessage="true" sqref="F9:F60" type="list">
      <formula1>"Atende,Atende em parte,Não atende"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6" min="4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229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63</v>
      </c>
      <c r="C4" s="4"/>
      <c r="D4" s="28" t="str">
        <f aca="false">IF(Diagnóstico!D4="","",Diagnóstico!D4)</f>
        <v/>
      </c>
      <c r="E4" s="28"/>
      <c r="F4" s="28"/>
      <c r="G4" s="4" t="s">
        <v>64</v>
      </c>
      <c r="H4" s="29" t="str">
        <f aca="false">IF(Diagnóstico!H4="","",Diagnóstico!H4)</f>
        <v/>
      </c>
      <c r="I4" s="29"/>
    </row>
    <row r="6" customFormat="false" ht="30" hidden="false" customHeight="true" outlineLevel="0" collapsed="false">
      <c r="B6" s="15" t="s">
        <v>76</v>
      </c>
      <c r="C6" s="15" t="s">
        <v>68</v>
      </c>
      <c r="D6" s="15" t="s">
        <v>231</v>
      </c>
      <c r="E6" s="15" t="s">
        <v>232</v>
      </c>
      <c r="F6" s="15" t="s">
        <v>12</v>
      </c>
      <c r="G6" s="15" t="s">
        <v>14</v>
      </c>
      <c r="H6" s="15" t="s">
        <v>16</v>
      </c>
      <c r="I6" s="15" t="s">
        <v>233</v>
      </c>
    </row>
    <row r="7" customFormat="false" ht="21.75" hidden="false" customHeight="true" outlineLevel="0" collapsed="false">
      <c r="B7" s="15" t="n">
        <v>4</v>
      </c>
      <c r="C7" s="4" t="s">
        <v>234</v>
      </c>
      <c r="D7" s="30" t="n">
        <f aca="false">SUMPRODUCT((Diagnóstico!$K$9:$K$60=4)*(Diagnóstico!$E$9:$E$60&lt;&gt;"Não"))</f>
        <v>4</v>
      </c>
      <c r="E7" s="30" t="n">
        <f aca="false">SUMPRODUCT((Diagnóstico!$K$9:$K$60=4)*(Diagnóstico!$E$9:$E$60&lt;&gt;"Não")*(Diagnóstico!$F$9:$F$60&lt;&gt;""))</f>
        <v>0</v>
      </c>
      <c r="F7" s="30" t="n">
        <f aca="false">SUMPRODUCT((Diagnóstico!$K$9:$K$60=4)*(Diagnóstico!$E$9:$E$60&lt;&gt;"Não")*(Diagnóstico!$F$9:$F$60="Atende"))</f>
        <v>0</v>
      </c>
      <c r="G7" s="30" t="n">
        <f aca="false">SUMPRODUCT((Diagnóstico!$K$9:$K$60=4)*(Diagnóstico!$E$9:$E$60&lt;&gt;"Não")*(Diagnóstico!$F$9:$F$60="Atende em parte"))</f>
        <v>0</v>
      </c>
      <c r="H7" s="30" t="n">
        <f aca="false">SUMPRODUCT((Diagnóstico!$K$9:$K$60=4)*(Diagnóstico!$E$9:$E$60&lt;&gt;"Não")*(Diagnóstico!$F$9:$F$60="Não atende"))</f>
        <v>0</v>
      </c>
      <c r="I7" s="31" t="str">
        <f aca="false">IF(E7=0,"",(F7+0.5*G7)/E7)</f>
        <v/>
      </c>
    </row>
    <row r="8" customFormat="false" ht="21.75" hidden="false" customHeight="true" outlineLevel="0" collapsed="false">
      <c r="B8" s="15" t="n">
        <v>5</v>
      </c>
      <c r="C8" s="4" t="s">
        <v>235</v>
      </c>
      <c r="D8" s="30" t="n">
        <f aca="false">SUMPRODUCT((Diagnóstico!$K$9:$K$60=5)*(Diagnóstico!$E$9:$E$60&lt;&gt;"Não"))</f>
        <v>4</v>
      </c>
      <c r="E8" s="30" t="n">
        <f aca="false">SUMPRODUCT((Diagnóstico!$K$9:$K$60=5)*(Diagnóstico!$E$9:$E$60&lt;&gt;"Não")*(Diagnóstico!$F$9:$F$60&lt;&gt;""))</f>
        <v>0</v>
      </c>
      <c r="F8" s="30" t="n">
        <f aca="false">SUMPRODUCT((Diagnóstico!$K$9:$K$60=5)*(Diagnóstico!$E$9:$E$60&lt;&gt;"Não")*(Diagnóstico!$F$9:$F$60="Atende"))</f>
        <v>0</v>
      </c>
      <c r="G8" s="30" t="n">
        <f aca="false">SUMPRODUCT((Diagnóstico!$K$9:$K$60=5)*(Diagnóstico!$E$9:$E$60&lt;&gt;"Não")*(Diagnóstico!$F$9:$F$60="Atende em parte"))</f>
        <v>0</v>
      </c>
      <c r="H8" s="30" t="n">
        <f aca="false">SUMPRODUCT((Diagnóstico!$K$9:$K$60=5)*(Diagnóstico!$E$9:$E$60&lt;&gt;"Não")*(Diagnóstico!$F$9:$F$60="Não atende"))</f>
        <v>0</v>
      </c>
      <c r="I8" s="31" t="str">
        <f aca="false">IF(E8=0,"",(F8+0.5*G8)/E8)</f>
        <v/>
      </c>
    </row>
    <row r="9" customFormat="false" ht="21.75" hidden="false" customHeight="true" outlineLevel="0" collapsed="false">
      <c r="B9" s="32" t="n">
        <v>6</v>
      </c>
      <c r="C9" s="4" t="s">
        <v>236</v>
      </c>
      <c r="D9" s="30" t="n">
        <f aca="false">SUMPRODUCT((Diagnóstico!$K$9:$K$60=6)*(Diagnóstico!$E$9:$E$60&lt;&gt;"Não"))</f>
        <v>3</v>
      </c>
      <c r="E9" s="30" t="n">
        <f aca="false">SUMPRODUCT((Diagnóstico!$K$9:$K$60=6)*(Diagnóstico!$E$9:$E$60&lt;&gt;"Não")*(Diagnóstico!$F$9:$F$60&lt;&gt;""))</f>
        <v>0</v>
      </c>
      <c r="F9" s="30" t="n">
        <f aca="false">SUMPRODUCT((Diagnóstico!$K$9:$K$60=6)*(Diagnóstico!$E$9:$E$60&lt;&gt;"Não")*(Diagnóstico!$F$9:$F$60="Atende"))</f>
        <v>0</v>
      </c>
      <c r="G9" s="30" t="n">
        <f aca="false">SUMPRODUCT((Diagnóstico!$K$9:$K$60=6)*(Diagnóstico!$E$9:$E$60&lt;&gt;"Não")*(Diagnóstico!$F$9:$F$60="Atende em parte"))</f>
        <v>0</v>
      </c>
      <c r="H9" s="30" t="n">
        <f aca="false">SUMPRODUCT((Diagnóstico!$K$9:$K$60=6)*(Diagnóstico!$E$9:$E$60&lt;&gt;"Não")*(Diagnóstico!$F$9:$F$60="Não atende"))</f>
        <v>0</v>
      </c>
      <c r="I9" s="31" t="str">
        <f aca="false">IF(E9=0,"",(F9+0.5*G9)/E9)</f>
        <v/>
      </c>
    </row>
    <row r="10" customFormat="false" ht="21.75" hidden="false" customHeight="true" outlineLevel="0" collapsed="false">
      <c r="B10" s="33" t="n">
        <v>7</v>
      </c>
      <c r="C10" s="4" t="s">
        <v>237</v>
      </c>
      <c r="D10" s="30" t="n">
        <f aca="false">SUMPRODUCT((Diagnóstico!$K$9:$K$60=7)*(Diagnóstico!$E$9:$E$60&lt;&gt;"Não"))</f>
        <v>9</v>
      </c>
      <c r="E10" s="30" t="n">
        <f aca="false">SUMPRODUCT((Diagnóstico!$K$9:$K$60=7)*(Diagnóstico!$E$9:$E$60&lt;&gt;"Não")*(Diagnóstico!$F$9:$F$60&lt;&gt;""))</f>
        <v>0</v>
      </c>
      <c r="F10" s="30" t="n">
        <f aca="false">SUMPRODUCT((Diagnóstico!$K$9:$K$60=7)*(Diagnóstico!$E$9:$E$60&lt;&gt;"Não")*(Diagnóstico!$F$9:$F$60="Atende"))</f>
        <v>0</v>
      </c>
      <c r="G10" s="30" t="n">
        <f aca="false">SUMPRODUCT((Diagnóstico!$K$9:$K$60=7)*(Diagnóstico!$E$9:$E$60&lt;&gt;"Não")*(Diagnóstico!$F$9:$F$60="Atende em parte"))</f>
        <v>0</v>
      </c>
      <c r="H10" s="30" t="n">
        <f aca="false">SUMPRODUCT((Diagnóstico!$K$9:$K$60=7)*(Diagnóstico!$E$9:$E$60&lt;&gt;"Não")*(Diagnóstico!$F$9:$F$60="Não atende"))</f>
        <v>0</v>
      </c>
      <c r="I10" s="31" t="str">
        <f aca="false">IF(E10=0,"",(F10+0.5*G10)/E10)</f>
        <v/>
      </c>
    </row>
    <row r="11" customFormat="false" ht="21.75" hidden="false" customHeight="true" outlineLevel="0" collapsed="false">
      <c r="B11" s="33" t="n">
        <v>8</v>
      </c>
      <c r="C11" s="4" t="s">
        <v>238</v>
      </c>
      <c r="D11" s="30" t="n">
        <f aca="false">SUMPRODUCT((Diagnóstico!$K$9:$K$60=8)*(Diagnóstico!$E$9:$E$60&lt;&gt;"Não"))</f>
        <v>17</v>
      </c>
      <c r="E11" s="30" t="n">
        <f aca="false">SUMPRODUCT((Diagnóstico!$K$9:$K$60=8)*(Diagnóstico!$E$9:$E$60&lt;&gt;"Não")*(Diagnóstico!$F$9:$F$60&lt;&gt;""))</f>
        <v>0</v>
      </c>
      <c r="F11" s="30" t="n">
        <f aca="false">SUMPRODUCT((Diagnóstico!$K$9:$K$60=8)*(Diagnóstico!$E$9:$E$60&lt;&gt;"Não")*(Diagnóstico!$F$9:$F$60="Atende"))</f>
        <v>0</v>
      </c>
      <c r="G11" s="30" t="n">
        <f aca="false">SUMPRODUCT((Diagnóstico!$K$9:$K$60=8)*(Diagnóstico!$E$9:$E$60&lt;&gt;"Não")*(Diagnóstico!$F$9:$F$60="Atende em parte"))</f>
        <v>0</v>
      </c>
      <c r="H11" s="30" t="n">
        <f aca="false">SUMPRODUCT((Diagnóstico!$K$9:$K$60=8)*(Diagnóstico!$E$9:$E$60&lt;&gt;"Não")*(Diagnóstico!$F$9:$F$60="Não atende"))</f>
        <v>0</v>
      </c>
      <c r="I11" s="31" t="str">
        <f aca="false">IF(E11=0,"",(F11+0.5*G11)/E11)</f>
        <v/>
      </c>
    </row>
    <row r="12" customFormat="false" ht="21.75" hidden="false" customHeight="true" outlineLevel="0" collapsed="false">
      <c r="B12" s="34" t="n">
        <v>9</v>
      </c>
      <c r="C12" s="4" t="s">
        <v>239</v>
      </c>
      <c r="D12" s="30" t="n">
        <f aca="false">SUMPRODUCT((Diagnóstico!$K$9:$K$60=9)*(Diagnóstico!$E$9:$E$60&lt;&gt;"Não"))</f>
        <v>5</v>
      </c>
      <c r="E12" s="30" t="n">
        <f aca="false">SUMPRODUCT((Diagnóstico!$K$9:$K$60=9)*(Diagnóstico!$E$9:$E$60&lt;&gt;"Não")*(Diagnóstico!$F$9:$F$60&lt;&gt;""))</f>
        <v>0</v>
      </c>
      <c r="F12" s="30" t="n">
        <f aca="false">SUMPRODUCT((Diagnóstico!$K$9:$K$60=9)*(Diagnóstico!$E$9:$E$60&lt;&gt;"Não")*(Diagnóstico!$F$9:$F$60="Atende"))</f>
        <v>0</v>
      </c>
      <c r="G12" s="30" t="n">
        <f aca="false">SUMPRODUCT((Diagnóstico!$K$9:$K$60=9)*(Diagnóstico!$E$9:$E$60&lt;&gt;"Não")*(Diagnóstico!$F$9:$F$60="Atende em parte"))</f>
        <v>0</v>
      </c>
      <c r="H12" s="30" t="n">
        <f aca="false">SUMPRODUCT((Diagnóstico!$K$9:$K$60=9)*(Diagnóstico!$E$9:$E$60&lt;&gt;"Não")*(Diagnóstico!$F$9:$F$60="Não atende"))</f>
        <v>0</v>
      </c>
      <c r="I12" s="31" t="str">
        <f aca="false">IF(E12=0,"",(F12+0.5*G12)/E12)</f>
        <v/>
      </c>
    </row>
    <row r="13" customFormat="false" ht="21.75" hidden="false" customHeight="true" outlineLevel="0" collapsed="false">
      <c r="B13" s="35" t="n">
        <v>10</v>
      </c>
      <c r="C13" s="4" t="s">
        <v>240</v>
      </c>
      <c r="D13" s="30" t="n">
        <f aca="false">SUMPRODUCT((Diagnóstico!$K$9:$K$60=10)*(Diagnóstico!$E$9:$E$60&lt;&gt;"Não"))</f>
        <v>3</v>
      </c>
      <c r="E13" s="30" t="n">
        <f aca="false">SUMPRODUCT((Diagnóstico!$K$9:$K$60=10)*(Diagnóstico!$E$9:$E$60&lt;&gt;"Não")*(Diagnóstico!$F$9:$F$60&lt;&gt;""))</f>
        <v>0</v>
      </c>
      <c r="F13" s="30" t="n">
        <f aca="false">SUMPRODUCT((Diagnóstico!$K$9:$K$60=10)*(Diagnóstico!$E$9:$E$60&lt;&gt;"Não")*(Diagnóstico!$F$9:$F$60="Atende"))</f>
        <v>0</v>
      </c>
      <c r="G13" s="30" t="n">
        <f aca="false">SUMPRODUCT((Diagnóstico!$K$9:$K$60=10)*(Diagnóstico!$E$9:$E$60&lt;&gt;"Não")*(Diagnóstico!$F$9:$F$60="Atende em parte"))</f>
        <v>0</v>
      </c>
      <c r="H13" s="30" t="n">
        <f aca="false">SUMPRODUCT((Diagnóstico!$K$9:$K$60=10)*(Diagnóstico!$E$9:$E$60&lt;&gt;"Não")*(Diagnóstico!$F$9:$F$60="Não atende"))</f>
        <v>0</v>
      </c>
      <c r="I13" s="31" t="str">
        <f aca="false">IF(E13=0,"",(F13+0.5*G13)/E13)</f>
        <v/>
      </c>
    </row>
    <row r="14" customFormat="false" ht="21.75" hidden="false" customHeight="true" outlineLevel="0" collapsed="false">
      <c r="B14" s="15" t="s">
        <v>241</v>
      </c>
      <c r="C14" s="15"/>
      <c r="D14" s="36" t="n">
        <f aca="false">SUM(D7:D13)</f>
        <v>45</v>
      </c>
      <c r="E14" s="36" t="n">
        <f aca="false">SUM(E7:E13)</f>
        <v>0</v>
      </c>
      <c r="F14" s="36" t="n">
        <f aca="false">SUM(F7:F13)</f>
        <v>0</v>
      </c>
      <c r="G14" s="36" t="n">
        <f aca="false">SUM(G7:G13)</f>
        <v>0</v>
      </c>
      <c r="H14" s="36" t="n">
        <f aca="false">SUM(H7:H13)</f>
        <v>0</v>
      </c>
      <c r="I14" s="31" t="str">
        <f aca="false">IF(E14=0,"",(F14+0.5*G14)/E14)</f>
        <v/>
      </c>
    </row>
    <row r="16" customFormat="false" ht="21.75" hidden="false" customHeight="true" outlineLevel="0" collapsed="false">
      <c r="B16" s="17" t="s">
        <v>242</v>
      </c>
      <c r="C16" s="17"/>
      <c r="D16" s="17"/>
      <c r="E16" s="17"/>
      <c r="F16" s="17"/>
      <c r="G16" s="17"/>
      <c r="H16" s="17"/>
      <c r="I16" s="17"/>
    </row>
    <row r="17" customFormat="false" ht="24" hidden="false" customHeight="true" outlineLevel="0" collapsed="false">
      <c r="B17" s="37" t="s">
        <v>243</v>
      </c>
      <c r="C17" s="37"/>
      <c r="D17" s="37"/>
      <c r="E17" s="36" t="n">
        <f aca="false">COUNTIF(Diagnóstico!$E$9:$E$60,"Não")</f>
        <v>0</v>
      </c>
      <c r="F17" s="36"/>
      <c r="G17" s="36"/>
      <c r="H17" s="36"/>
      <c r="I17" s="36"/>
    </row>
    <row r="18" customFormat="false" ht="24" hidden="false" customHeight="true" outlineLevel="0" collapsed="false">
      <c r="B18" s="37" t="s">
        <v>244</v>
      </c>
      <c r="C18" s="37"/>
      <c r="D18" s="37"/>
      <c r="E18" s="36" t="n">
        <f aca="false">D14-E14</f>
        <v>45</v>
      </c>
      <c r="F18" s="36"/>
      <c r="G18" s="36"/>
      <c r="H18" s="36"/>
      <c r="I18" s="36"/>
    </row>
    <row r="19" customFormat="false" ht="24" hidden="false" customHeight="true" outlineLevel="0" collapsed="false">
      <c r="B19" s="37" t="s">
        <v>245</v>
      </c>
      <c r="C19" s="37"/>
      <c r="D19" s="37"/>
      <c r="E19" s="31" t="str">
        <f aca="false">I14</f>
        <v/>
      </c>
      <c r="F19" s="31"/>
      <c r="G19" s="31"/>
      <c r="H19" s="31"/>
      <c r="I19" s="31"/>
    </row>
    <row r="20" customFormat="false" ht="24" hidden="false" customHeight="true" outlineLevel="0" collapsed="false">
      <c r="B20" s="37" t="s">
        <v>246</v>
      </c>
      <c r="C20" s="37"/>
      <c r="D20" s="37"/>
      <c r="E20" s="36" t="str">
        <f aca="false">IF(COUNT(I7:I13)=0,"",INDEX(C7:C13,MATCH(MIN(I7:I13),I7:I13,0)))</f>
        <v/>
      </c>
      <c r="F20" s="36"/>
      <c r="G20" s="36"/>
      <c r="H20" s="36"/>
      <c r="I20" s="36"/>
    </row>
    <row r="21" customFormat="false" ht="24" hidden="false" customHeight="true" outlineLevel="0" collapsed="false">
      <c r="B21" s="37" t="s">
        <v>247</v>
      </c>
      <c r="C21" s="37"/>
      <c r="D21" s="37"/>
      <c r="E21" s="36" t="str">
        <f aca="false">IF(I14="","Sem avaliação",IF(I14&lt;0.5,"Inicial",IF(I14&lt;0.8,"Em implantação",IF(H14&gt;0,"Em implantação: há requisito não atendido","Pronto para a auditoria interna"))))</f>
        <v>Sem avaliação</v>
      </c>
      <c r="F21" s="36"/>
      <c r="G21" s="36"/>
      <c r="H21" s="36"/>
      <c r="I21" s="36"/>
    </row>
    <row r="22" customFormat="false" ht="24" hidden="false" customHeight="true" outlineLevel="0" collapsed="false">
      <c r="B22" s="37" t="s">
        <v>248</v>
      </c>
      <c r="C22" s="37"/>
      <c r="D22" s="37"/>
      <c r="E22" s="22" t="str">
        <f aca="false">IF(E14=0,"Preencha a aba Diagnóstico",IF(COUNTIF(Diagnóstico!$J$9:$J$60,"Justifique*")&gt;0,"Há requisito não aplicável sem justificativa",IF(D14-E14&gt;0,"Há requisito sem avaliação: o percentual é parcial",IF(COUNTIF(Diagnóstico!$J$9:$J$60,"Falta*")&gt;0,"Há requisito sem evidência ou sem lacuna registrada","OK"))))</f>
        <v>Preencha a aba Diagnóstico</v>
      </c>
      <c r="F22" s="22"/>
      <c r="G22" s="22"/>
      <c r="H22" s="22"/>
      <c r="I22" s="22"/>
    </row>
  </sheetData>
  <mergeCells count="19">
    <mergeCell ref="B1:I1"/>
    <mergeCell ref="B2:I2"/>
    <mergeCell ref="B4:C4"/>
    <mergeCell ref="D4:F4"/>
    <mergeCell ref="H4:I4"/>
    <mergeCell ref="B14:C14"/>
    <mergeCell ref="B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</mergeCells>
  <conditionalFormatting sqref="I7:I14">
    <cfRule type="expression" priority="2" aboveAverage="0" equalAverage="0" bottom="0" percent="0" rank="0" text="" dxfId="0">
      <formula>AND(ISNUMBER(I7),I7&gt;=0.8)</formula>
    </cfRule>
    <cfRule type="expression" priority="3" aboveAverage="0" equalAverage="0" bottom="0" percent="0" rank="0" text="" dxfId="2">
      <formula>AND(ISNUMBER(I7),I7&lt;0.5)</formula>
    </cfRule>
    <cfRule type="expression" priority="4" aboveAverage="0" equalAverage="0" bottom="0" percent="0" rank="0" text="" dxfId="1">
      <formula>ISNUMBER(I7)</formula>
    </cfRule>
  </conditionalFormatting>
  <conditionalFormatting sqref="E21">
    <cfRule type="expression" priority="5" aboveAverage="0" equalAverage="0" bottom="0" percent="0" rank="0" text="" dxfId="0">
      <formula>LEFT(E21,6)="Pronto"</formula>
    </cfRule>
    <cfRule type="expression" priority="6" aboveAverage="0" equalAverage="0" bottom="0" percent="0" rank="0" text="" dxfId="2">
      <formula>E21="Inicial"</formula>
    </cfRule>
    <cfRule type="expression" priority="7" aboveAverage="0" equalAverage="0" bottom="0" percent="0" rank="0" text="" dxfId="1">
      <formula>LEN(E21)&gt;0</formula>
    </cfRule>
  </conditionalFormatting>
  <conditionalFormatting sqref="E22:I22">
    <cfRule type="expression" priority="8" aboveAverage="0" equalAverage="0" bottom="0" percent="0" rank="0" text="" dxfId="0">
      <formula>OR(E22="OK")</formula>
    </cfRule>
    <cfRule type="expression" priority="9" aboveAverage="0" equalAverage="0" bottom="0" percent="0" rank="0" text="" dxfId="1">
      <formula>AND(LEN(E22)&gt;0,NOT(OR(E22="OK")))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249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250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B4" s="15" t="s">
        <v>251</v>
      </c>
      <c r="C4" s="15" t="s">
        <v>67</v>
      </c>
      <c r="D4" s="15" t="s">
        <v>68</v>
      </c>
      <c r="E4" s="15" t="s">
        <v>73</v>
      </c>
      <c r="F4" s="15" t="s">
        <v>252</v>
      </c>
      <c r="G4" s="15" t="s">
        <v>66</v>
      </c>
      <c r="H4" s="15" t="s">
        <v>253</v>
      </c>
      <c r="I4" s="15" t="s">
        <v>254</v>
      </c>
      <c r="J4" s="15" t="s">
        <v>255</v>
      </c>
      <c r="K4" s="15" t="s">
        <v>71</v>
      </c>
    </row>
    <row r="5" customFormat="false" ht="30" hidden="false" customHeight="true" outlineLevel="0" collapsed="false">
      <c r="B5" s="16"/>
      <c r="C5" s="16" t="s">
        <v>81</v>
      </c>
      <c r="D5" s="16" t="s">
        <v>84</v>
      </c>
      <c r="E5" s="16" t="s">
        <v>84</v>
      </c>
      <c r="F5" s="16" t="s">
        <v>256</v>
      </c>
      <c r="G5" s="16" t="s">
        <v>257</v>
      </c>
      <c r="H5" s="16" t="s">
        <v>258</v>
      </c>
      <c r="I5" s="16" t="s">
        <v>259</v>
      </c>
      <c r="J5" s="16" t="s">
        <v>258</v>
      </c>
      <c r="K5" s="16" t="s">
        <v>85</v>
      </c>
    </row>
    <row r="6" customFormat="false" ht="36" hidden="false" customHeight="true" outlineLevel="0" collapsed="false">
      <c r="B6" s="16" t="s">
        <v>260</v>
      </c>
      <c r="C6" s="38" t="s">
        <v>94</v>
      </c>
      <c r="D6" s="39" t="s">
        <v>95</v>
      </c>
      <c r="E6" s="39" t="s">
        <v>261</v>
      </c>
      <c r="F6" s="39" t="s">
        <v>262</v>
      </c>
      <c r="G6" s="39" t="s">
        <v>263</v>
      </c>
      <c r="H6" s="40" t="n">
        <v>46325</v>
      </c>
      <c r="I6" s="16" t="s">
        <v>264</v>
      </c>
      <c r="J6" s="16"/>
      <c r="K6" s="16" t="s">
        <v>265</v>
      </c>
    </row>
    <row r="7" customFormat="false" ht="36" hidden="false" customHeight="true" outlineLevel="0" collapsed="false">
      <c r="B7" s="41" t="n">
        <v>1</v>
      </c>
      <c r="C7" s="42"/>
      <c r="D7" s="43" t="str">
        <f aca="false">IF(C7="","",IF(ISNUMBER(MATCH(C7&amp;"",Diagnóstico!$B$9:$B$60,0)),INDEX(Diagnóstico!$C$9:$C$60,MATCH(C7&amp;"",Diagnóstico!$B$9:$B$60,0)),"Requisito não encontrado"))</f>
        <v/>
      </c>
      <c r="E7" s="43" t="str">
        <f aca="false">IF(C7="","",IF(ISNUMBER(MATCH(C7&amp;"",Diagnóstico!$B$9:$B$60,0)),INDEX(Diagnóstico!$H$9:$H$60,MATCH(C7&amp;"",Diagnóstico!$B$9:$B$60,0))&amp;"",""))</f>
        <v/>
      </c>
      <c r="F7" s="5"/>
      <c r="G7" s="5"/>
      <c r="H7" s="44"/>
      <c r="I7" s="20"/>
      <c r="J7" s="44"/>
      <c r="K7" s="22" t="str">
        <f aca="true">IF(F7="","",IF(I7="Concluída","Concluída",IF(I7="Cancelada","Cancelada",IF(H7="","Sem prazo",IF(H7&lt;TODAY(),"Atrasada","No prazo")))))</f>
        <v/>
      </c>
    </row>
    <row r="8" customFormat="false" ht="36" hidden="false" customHeight="true" outlineLevel="0" collapsed="false">
      <c r="B8" s="41" t="n">
        <v>2</v>
      </c>
      <c r="C8" s="42"/>
      <c r="D8" s="43" t="str">
        <f aca="false">IF(C8="","",IF(ISNUMBER(MATCH(C8&amp;"",Diagnóstico!$B$9:$B$60,0)),INDEX(Diagnóstico!$C$9:$C$60,MATCH(C8&amp;"",Diagnóstico!$B$9:$B$60,0)),"Requisito não encontrado"))</f>
        <v/>
      </c>
      <c r="E8" s="43" t="str">
        <f aca="false">IF(C8="","",IF(ISNUMBER(MATCH(C8&amp;"",Diagnóstico!$B$9:$B$60,0)),INDEX(Diagnóstico!$H$9:$H$60,MATCH(C8&amp;"",Diagnóstico!$B$9:$B$60,0))&amp;"",""))</f>
        <v/>
      </c>
      <c r="F8" s="5"/>
      <c r="G8" s="5"/>
      <c r="H8" s="44"/>
      <c r="I8" s="20"/>
      <c r="J8" s="44"/>
      <c r="K8" s="22" t="str">
        <f aca="true">IF(F8="","",IF(I8="Concluída","Concluída",IF(I8="Cancelada","Cancelada",IF(H8="","Sem prazo",IF(H8&lt;TODAY(),"Atrasada","No prazo")))))</f>
        <v/>
      </c>
    </row>
    <row r="9" customFormat="false" ht="36" hidden="false" customHeight="true" outlineLevel="0" collapsed="false">
      <c r="B9" s="41" t="n">
        <v>3</v>
      </c>
      <c r="C9" s="42"/>
      <c r="D9" s="43" t="str">
        <f aca="false">IF(C9="","",IF(ISNUMBER(MATCH(C9&amp;"",Diagnóstico!$B$9:$B$60,0)),INDEX(Diagnóstico!$C$9:$C$60,MATCH(C9&amp;"",Diagnóstico!$B$9:$B$60,0)),"Requisito não encontrado"))</f>
        <v/>
      </c>
      <c r="E9" s="43" t="str">
        <f aca="false">IF(C9="","",IF(ISNUMBER(MATCH(C9&amp;"",Diagnóstico!$B$9:$B$60,0)),INDEX(Diagnóstico!$H$9:$H$60,MATCH(C9&amp;"",Diagnóstico!$B$9:$B$60,0))&amp;"",""))</f>
        <v/>
      </c>
      <c r="F9" s="5"/>
      <c r="G9" s="5"/>
      <c r="H9" s="44"/>
      <c r="I9" s="20"/>
      <c r="J9" s="44"/>
      <c r="K9" s="22" t="str">
        <f aca="true">IF(F9="","",IF(I9="Concluída","Concluída",IF(I9="Cancelada","Cancelada",IF(H9="","Sem prazo",IF(H9&lt;TODAY(),"Atrasada","No prazo")))))</f>
        <v/>
      </c>
    </row>
    <row r="10" customFormat="false" ht="36" hidden="false" customHeight="true" outlineLevel="0" collapsed="false">
      <c r="B10" s="41" t="n">
        <v>4</v>
      </c>
      <c r="C10" s="42"/>
      <c r="D10" s="43" t="str">
        <f aca="false">IF(C10="","",IF(ISNUMBER(MATCH(C10&amp;"",Diagnóstico!$B$9:$B$60,0)),INDEX(Diagnóstico!$C$9:$C$60,MATCH(C10&amp;"",Diagnóstico!$B$9:$B$60,0)),"Requisito não encontrado"))</f>
        <v/>
      </c>
      <c r="E10" s="43" t="str">
        <f aca="false">IF(C10="","",IF(ISNUMBER(MATCH(C10&amp;"",Diagnóstico!$B$9:$B$60,0)),INDEX(Diagnóstico!$H$9:$H$60,MATCH(C10&amp;"",Diagnóstico!$B$9:$B$60,0))&amp;"",""))</f>
        <v/>
      </c>
      <c r="F10" s="5"/>
      <c r="G10" s="5"/>
      <c r="H10" s="44"/>
      <c r="I10" s="20"/>
      <c r="J10" s="44"/>
      <c r="K10" s="22" t="str">
        <f aca="true">IF(F10="","",IF(I10="Concluída","Concluída",IF(I10="Cancelada","Cancelada",IF(H10="","Sem prazo",IF(H10&lt;TODAY(),"Atrasada","No prazo")))))</f>
        <v/>
      </c>
    </row>
    <row r="11" customFormat="false" ht="36" hidden="false" customHeight="true" outlineLevel="0" collapsed="false">
      <c r="B11" s="41" t="n">
        <v>5</v>
      </c>
      <c r="C11" s="42"/>
      <c r="D11" s="43" t="str">
        <f aca="false">IF(C11="","",IF(ISNUMBER(MATCH(C11&amp;"",Diagnóstico!$B$9:$B$60,0)),INDEX(Diagnóstico!$C$9:$C$60,MATCH(C11&amp;"",Diagnóstico!$B$9:$B$60,0)),"Requisito não encontrado"))</f>
        <v/>
      </c>
      <c r="E11" s="43" t="str">
        <f aca="false">IF(C11="","",IF(ISNUMBER(MATCH(C11&amp;"",Diagnóstico!$B$9:$B$60,0)),INDEX(Diagnóstico!$H$9:$H$60,MATCH(C11&amp;"",Diagnóstico!$B$9:$B$60,0))&amp;"",""))</f>
        <v/>
      </c>
      <c r="F11" s="5"/>
      <c r="G11" s="5"/>
      <c r="H11" s="44"/>
      <c r="I11" s="20"/>
      <c r="J11" s="44"/>
      <c r="K11" s="22" t="str">
        <f aca="true">IF(F11="","",IF(I11="Concluída","Concluída",IF(I11="Cancelada","Cancelada",IF(H11="","Sem prazo",IF(H11&lt;TODAY(),"Atrasada","No prazo")))))</f>
        <v/>
      </c>
    </row>
    <row r="12" customFormat="false" ht="36" hidden="false" customHeight="true" outlineLevel="0" collapsed="false">
      <c r="B12" s="41" t="n">
        <v>6</v>
      </c>
      <c r="C12" s="42"/>
      <c r="D12" s="43" t="str">
        <f aca="false">IF(C12="","",IF(ISNUMBER(MATCH(C12&amp;"",Diagnóstico!$B$9:$B$60,0)),INDEX(Diagnóstico!$C$9:$C$60,MATCH(C12&amp;"",Diagnóstico!$B$9:$B$60,0)),"Requisito não encontrado"))</f>
        <v/>
      </c>
      <c r="E12" s="43" t="str">
        <f aca="false">IF(C12="","",IF(ISNUMBER(MATCH(C12&amp;"",Diagnóstico!$B$9:$B$60,0)),INDEX(Diagnóstico!$H$9:$H$60,MATCH(C12&amp;"",Diagnóstico!$B$9:$B$60,0))&amp;"",""))</f>
        <v/>
      </c>
      <c r="F12" s="5"/>
      <c r="G12" s="5"/>
      <c r="H12" s="44"/>
      <c r="I12" s="20"/>
      <c r="J12" s="44"/>
      <c r="K12" s="22" t="str">
        <f aca="true">IF(F12="","",IF(I12="Concluída","Concluída",IF(I12="Cancelada","Cancelada",IF(H12="","Sem prazo",IF(H12&lt;TODAY(),"Atrasada","No prazo")))))</f>
        <v/>
      </c>
    </row>
    <row r="13" customFormat="false" ht="36" hidden="false" customHeight="true" outlineLevel="0" collapsed="false">
      <c r="B13" s="41" t="n">
        <v>7</v>
      </c>
      <c r="C13" s="42"/>
      <c r="D13" s="43" t="str">
        <f aca="false">IF(C13="","",IF(ISNUMBER(MATCH(C13&amp;"",Diagnóstico!$B$9:$B$60,0)),INDEX(Diagnóstico!$C$9:$C$60,MATCH(C13&amp;"",Diagnóstico!$B$9:$B$60,0)),"Requisito não encontrado"))</f>
        <v/>
      </c>
      <c r="E13" s="43" t="str">
        <f aca="false">IF(C13="","",IF(ISNUMBER(MATCH(C13&amp;"",Diagnóstico!$B$9:$B$60,0)),INDEX(Diagnóstico!$H$9:$H$60,MATCH(C13&amp;"",Diagnóstico!$B$9:$B$60,0))&amp;"",""))</f>
        <v/>
      </c>
      <c r="F13" s="5"/>
      <c r="G13" s="5"/>
      <c r="H13" s="44"/>
      <c r="I13" s="20"/>
      <c r="J13" s="44"/>
      <c r="K13" s="22" t="str">
        <f aca="true">IF(F13="","",IF(I13="Concluída","Concluída",IF(I13="Cancelada","Cancelada",IF(H13="","Sem prazo",IF(H13&lt;TODAY(),"Atrasada","No prazo")))))</f>
        <v/>
      </c>
    </row>
    <row r="14" customFormat="false" ht="36" hidden="false" customHeight="true" outlineLevel="0" collapsed="false">
      <c r="B14" s="41" t="n">
        <v>8</v>
      </c>
      <c r="C14" s="42"/>
      <c r="D14" s="43" t="str">
        <f aca="false">IF(C14="","",IF(ISNUMBER(MATCH(C14&amp;"",Diagnóstico!$B$9:$B$60,0)),INDEX(Diagnóstico!$C$9:$C$60,MATCH(C14&amp;"",Diagnóstico!$B$9:$B$60,0)),"Requisito não encontrado"))</f>
        <v/>
      </c>
      <c r="E14" s="43" t="str">
        <f aca="false">IF(C14="","",IF(ISNUMBER(MATCH(C14&amp;"",Diagnóstico!$B$9:$B$60,0)),INDEX(Diagnóstico!$H$9:$H$60,MATCH(C14&amp;"",Diagnóstico!$B$9:$B$60,0))&amp;"",""))</f>
        <v/>
      </c>
      <c r="F14" s="5"/>
      <c r="G14" s="5"/>
      <c r="H14" s="44"/>
      <c r="I14" s="20"/>
      <c r="J14" s="44"/>
      <c r="K14" s="22" t="str">
        <f aca="true">IF(F14="","",IF(I14="Concluída","Concluída",IF(I14="Cancelada","Cancelada",IF(H14="","Sem prazo",IF(H14&lt;TODAY(),"Atrasada","No prazo")))))</f>
        <v/>
      </c>
    </row>
    <row r="15" customFormat="false" ht="36" hidden="false" customHeight="true" outlineLevel="0" collapsed="false">
      <c r="B15" s="41" t="n">
        <v>9</v>
      </c>
      <c r="C15" s="42"/>
      <c r="D15" s="43" t="str">
        <f aca="false">IF(C15="","",IF(ISNUMBER(MATCH(C15&amp;"",Diagnóstico!$B$9:$B$60,0)),INDEX(Diagnóstico!$C$9:$C$60,MATCH(C15&amp;"",Diagnóstico!$B$9:$B$60,0)),"Requisito não encontrado"))</f>
        <v/>
      </c>
      <c r="E15" s="43" t="str">
        <f aca="false">IF(C15="","",IF(ISNUMBER(MATCH(C15&amp;"",Diagnóstico!$B$9:$B$60,0)),INDEX(Diagnóstico!$H$9:$H$60,MATCH(C15&amp;"",Diagnóstico!$B$9:$B$60,0))&amp;"",""))</f>
        <v/>
      </c>
      <c r="F15" s="5"/>
      <c r="G15" s="5"/>
      <c r="H15" s="44"/>
      <c r="I15" s="20"/>
      <c r="J15" s="44"/>
      <c r="K15" s="22" t="str">
        <f aca="true">IF(F15="","",IF(I15="Concluída","Concluída",IF(I15="Cancelada","Cancelada",IF(H15="","Sem prazo",IF(H15&lt;TODAY(),"Atrasada","No prazo")))))</f>
        <v/>
      </c>
    </row>
    <row r="16" customFormat="false" ht="36" hidden="false" customHeight="true" outlineLevel="0" collapsed="false">
      <c r="B16" s="41" t="n">
        <v>10</v>
      </c>
      <c r="C16" s="42"/>
      <c r="D16" s="43" t="str">
        <f aca="false">IF(C16="","",IF(ISNUMBER(MATCH(C16&amp;"",Diagnóstico!$B$9:$B$60,0)),INDEX(Diagnóstico!$C$9:$C$60,MATCH(C16&amp;"",Diagnóstico!$B$9:$B$60,0)),"Requisito não encontrado"))</f>
        <v/>
      </c>
      <c r="E16" s="43" t="str">
        <f aca="false">IF(C16="","",IF(ISNUMBER(MATCH(C16&amp;"",Diagnóstico!$B$9:$B$60,0)),INDEX(Diagnóstico!$H$9:$H$60,MATCH(C16&amp;"",Diagnóstico!$B$9:$B$60,0))&amp;"",""))</f>
        <v/>
      </c>
      <c r="F16" s="5"/>
      <c r="G16" s="5"/>
      <c r="H16" s="44"/>
      <c r="I16" s="20"/>
      <c r="J16" s="44"/>
      <c r="K16" s="22" t="str">
        <f aca="true">IF(F16="","",IF(I16="Concluída","Concluída",IF(I16="Cancelada","Cancelada",IF(H16="","Sem prazo",IF(H16&lt;TODAY(),"Atrasada","No prazo")))))</f>
        <v/>
      </c>
    </row>
    <row r="17" customFormat="false" ht="36" hidden="false" customHeight="true" outlineLevel="0" collapsed="false">
      <c r="B17" s="41" t="n">
        <v>11</v>
      </c>
      <c r="C17" s="42"/>
      <c r="D17" s="43" t="str">
        <f aca="false">IF(C17="","",IF(ISNUMBER(MATCH(C17&amp;"",Diagnóstico!$B$9:$B$60,0)),INDEX(Diagnóstico!$C$9:$C$60,MATCH(C17&amp;"",Diagnóstico!$B$9:$B$60,0)),"Requisito não encontrado"))</f>
        <v/>
      </c>
      <c r="E17" s="43" t="str">
        <f aca="false">IF(C17="","",IF(ISNUMBER(MATCH(C17&amp;"",Diagnóstico!$B$9:$B$60,0)),INDEX(Diagnóstico!$H$9:$H$60,MATCH(C17&amp;"",Diagnóstico!$B$9:$B$60,0))&amp;"",""))</f>
        <v/>
      </c>
      <c r="F17" s="5"/>
      <c r="G17" s="5"/>
      <c r="H17" s="44"/>
      <c r="I17" s="20"/>
      <c r="J17" s="44"/>
      <c r="K17" s="22" t="str">
        <f aca="true">IF(F17="","",IF(I17="Concluída","Concluída",IF(I17="Cancelada","Cancelada",IF(H17="","Sem prazo",IF(H17&lt;TODAY(),"Atrasada","No prazo")))))</f>
        <v/>
      </c>
    </row>
    <row r="18" customFormat="false" ht="36" hidden="false" customHeight="true" outlineLevel="0" collapsed="false">
      <c r="B18" s="41" t="n">
        <v>12</v>
      </c>
      <c r="C18" s="42"/>
      <c r="D18" s="43" t="str">
        <f aca="false">IF(C18="","",IF(ISNUMBER(MATCH(C18&amp;"",Diagnóstico!$B$9:$B$60,0)),INDEX(Diagnóstico!$C$9:$C$60,MATCH(C18&amp;"",Diagnóstico!$B$9:$B$60,0)),"Requisito não encontrado"))</f>
        <v/>
      </c>
      <c r="E18" s="43" t="str">
        <f aca="false">IF(C18="","",IF(ISNUMBER(MATCH(C18&amp;"",Diagnóstico!$B$9:$B$60,0)),INDEX(Diagnóstico!$H$9:$H$60,MATCH(C18&amp;"",Diagnóstico!$B$9:$B$60,0))&amp;"",""))</f>
        <v/>
      </c>
      <c r="F18" s="5"/>
      <c r="G18" s="5"/>
      <c r="H18" s="44"/>
      <c r="I18" s="20"/>
      <c r="J18" s="44"/>
      <c r="K18" s="22" t="str">
        <f aca="true">IF(F18="","",IF(I18="Concluída","Concluída",IF(I18="Cancelada","Cancelada",IF(H18="","Sem prazo",IF(H18&lt;TODAY(),"Atrasada","No prazo")))))</f>
        <v/>
      </c>
    </row>
    <row r="19" customFormat="false" ht="36" hidden="false" customHeight="true" outlineLevel="0" collapsed="false">
      <c r="B19" s="41" t="n">
        <v>13</v>
      </c>
      <c r="C19" s="42"/>
      <c r="D19" s="43" t="str">
        <f aca="false">IF(C19="","",IF(ISNUMBER(MATCH(C19&amp;"",Diagnóstico!$B$9:$B$60,0)),INDEX(Diagnóstico!$C$9:$C$60,MATCH(C19&amp;"",Diagnóstico!$B$9:$B$60,0)),"Requisito não encontrado"))</f>
        <v/>
      </c>
      <c r="E19" s="43" t="str">
        <f aca="false">IF(C19="","",IF(ISNUMBER(MATCH(C19&amp;"",Diagnóstico!$B$9:$B$60,0)),INDEX(Diagnóstico!$H$9:$H$60,MATCH(C19&amp;"",Diagnóstico!$B$9:$B$60,0))&amp;"",""))</f>
        <v/>
      </c>
      <c r="F19" s="5"/>
      <c r="G19" s="5"/>
      <c r="H19" s="44"/>
      <c r="I19" s="20"/>
      <c r="J19" s="44"/>
      <c r="K19" s="22" t="str">
        <f aca="true">IF(F19="","",IF(I19="Concluída","Concluída",IF(I19="Cancelada","Cancelada",IF(H19="","Sem prazo",IF(H19&lt;TODAY(),"Atrasada","No prazo")))))</f>
        <v/>
      </c>
    </row>
    <row r="20" customFormat="false" ht="36" hidden="false" customHeight="true" outlineLevel="0" collapsed="false">
      <c r="B20" s="41" t="n">
        <v>14</v>
      </c>
      <c r="C20" s="42"/>
      <c r="D20" s="43" t="str">
        <f aca="false">IF(C20="","",IF(ISNUMBER(MATCH(C20&amp;"",Diagnóstico!$B$9:$B$60,0)),INDEX(Diagnóstico!$C$9:$C$60,MATCH(C20&amp;"",Diagnóstico!$B$9:$B$60,0)),"Requisito não encontrado"))</f>
        <v/>
      </c>
      <c r="E20" s="43" t="str">
        <f aca="false">IF(C20="","",IF(ISNUMBER(MATCH(C20&amp;"",Diagnóstico!$B$9:$B$60,0)),INDEX(Diagnóstico!$H$9:$H$60,MATCH(C20&amp;"",Diagnóstico!$B$9:$B$60,0))&amp;"",""))</f>
        <v/>
      </c>
      <c r="F20" s="5"/>
      <c r="G20" s="5"/>
      <c r="H20" s="44"/>
      <c r="I20" s="20"/>
      <c r="J20" s="44"/>
      <c r="K20" s="22" t="str">
        <f aca="true">IF(F20="","",IF(I20="Concluída","Concluída",IF(I20="Cancelada","Cancelada",IF(H20="","Sem prazo",IF(H20&lt;TODAY(),"Atrasada","No prazo")))))</f>
        <v/>
      </c>
    </row>
    <row r="21" customFormat="false" ht="36" hidden="false" customHeight="true" outlineLevel="0" collapsed="false">
      <c r="B21" s="41" t="n">
        <v>15</v>
      </c>
      <c r="C21" s="42"/>
      <c r="D21" s="43" t="str">
        <f aca="false">IF(C21="","",IF(ISNUMBER(MATCH(C21&amp;"",Diagnóstico!$B$9:$B$60,0)),INDEX(Diagnóstico!$C$9:$C$60,MATCH(C21&amp;"",Diagnóstico!$B$9:$B$60,0)),"Requisito não encontrado"))</f>
        <v/>
      </c>
      <c r="E21" s="43" t="str">
        <f aca="false">IF(C21="","",IF(ISNUMBER(MATCH(C21&amp;"",Diagnóstico!$B$9:$B$60,0)),INDEX(Diagnóstico!$H$9:$H$60,MATCH(C21&amp;"",Diagnóstico!$B$9:$B$60,0))&amp;"",""))</f>
        <v/>
      </c>
      <c r="F21" s="5"/>
      <c r="G21" s="5"/>
      <c r="H21" s="44"/>
      <c r="I21" s="20"/>
      <c r="J21" s="44"/>
      <c r="K21" s="22" t="str">
        <f aca="true">IF(F21="","",IF(I21="Concluída","Concluída",IF(I21="Cancelada","Cancelada",IF(H21="","Sem prazo",IF(H21&lt;TODAY(),"Atrasada","No prazo")))))</f>
        <v/>
      </c>
    </row>
    <row r="22" customFormat="false" ht="36" hidden="false" customHeight="true" outlineLevel="0" collapsed="false">
      <c r="B22" s="41" t="n">
        <v>16</v>
      </c>
      <c r="C22" s="42"/>
      <c r="D22" s="43" t="str">
        <f aca="false">IF(C22="","",IF(ISNUMBER(MATCH(C22&amp;"",Diagnóstico!$B$9:$B$60,0)),INDEX(Diagnóstico!$C$9:$C$60,MATCH(C22&amp;"",Diagnóstico!$B$9:$B$60,0)),"Requisito não encontrado"))</f>
        <v/>
      </c>
      <c r="E22" s="43" t="str">
        <f aca="false">IF(C22="","",IF(ISNUMBER(MATCH(C22&amp;"",Diagnóstico!$B$9:$B$60,0)),INDEX(Diagnóstico!$H$9:$H$60,MATCH(C22&amp;"",Diagnóstico!$B$9:$B$60,0))&amp;"",""))</f>
        <v/>
      </c>
      <c r="F22" s="5"/>
      <c r="G22" s="5"/>
      <c r="H22" s="44"/>
      <c r="I22" s="20"/>
      <c r="J22" s="44"/>
      <c r="K22" s="22" t="str">
        <f aca="true">IF(F22="","",IF(I22="Concluída","Concluída",IF(I22="Cancelada","Cancelada",IF(H22="","Sem prazo",IF(H22&lt;TODAY(),"Atrasada","No prazo")))))</f>
        <v/>
      </c>
    </row>
    <row r="23" customFormat="false" ht="36" hidden="false" customHeight="true" outlineLevel="0" collapsed="false">
      <c r="B23" s="41" t="n">
        <v>17</v>
      </c>
      <c r="C23" s="42"/>
      <c r="D23" s="43" t="str">
        <f aca="false">IF(C23="","",IF(ISNUMBER(MATCH(C23&amp;"",Diagnóstico!$B$9:$B$60,0)),INDEX(Diagnóstico!$C$9:$C$60,MATCH(C23&amp;"",Diagnóstico!$B$9:$B$60,0)),"Requisito não encontrado"))</f>
        <v/>
      </c>
      <c r="E23" s="43" t="str">
        <f aca="false">IF(C23="","",IF(ISNUMBER(MATCH(C23&amp;"",Diagnóstico!$B$9:$B$60,0)),INDEX(Diagnóstico!$H$9:$H$60,MATCH(C23&amp;"",Diagnóstico!$B$9:$B$60,0))&amp;"",""))</f>
        <v/>
      </c>
      <c r="F23" s="5"/>
      <c r="G23" s="5"/>
      <c r="H23" s="44"/>
      <c r="I23" s="20"/>
      <c r="J23" s="44"/>
      <c r="K23" s="22" t="str">
        <f aca="true">IF(F23="","",IF(I23="Concluída","Concluída",IF(I23="Cancelada","Cancelada",IF(H23="","Sem prazo",IF(H23&lt;TODAY(),"Atrasada","No prazo")))))</f>
        <v/>
      </c>
    </row>
    <row r="24" customFormat="false" ht="36" hidden="false" customHeight="true" outlineLevel="0" collapsed="false">
      <c r="B24" s="41" t="n">
        <v>18</v>
      </c>
      <c r="C24" s="42"/>
      <c r="D24" s="43" t="str">
        <f aca="false">IF(C24="","",IF(ISNUMBER(MATCH(C24&amp;"",Diagnóstico!$B$9:$B$60,0)),INDEX(Diagnóstico!$C$9:$C$60,MATCH(C24&amp;"",Diagnóstico!$B$9:$B$60,0)),"Requisito não encontrado"))</f>
        <v/>
      </c>
      <c r="E24" s="43" t="str">
        <f aca="false">IF(C24="","",IF(ISNUMBER(MATCH(C24&amp;"",Diagnóstico!$B$9:$B$60,0)),INDEX(Diagnóstico!$H$9:$H$60,MATCH(C24&amp;"",Diagnóstico!$B$9:$B$60,0))&amp;"",""))</f>
        <v/>
      </c>
      <c r="F24" s="5"/>
      <c r="G24" s="5"/>
      <c r="H24" s="44"/>
      <c r="I24" s="20"/>
      <c r="J24" s="44"/>
      <c r="K24" s="22" t="str">
        <f aca="true">IF(F24="","",IF(I24="Concluída","Concluída",IF(I24="Cancelada","Cancelada",IF(H24="","Sem prazo",IF(H24&lt;TODAY(),"Atrasada","No prazo")))))</f>
        <v/>
      </c>
    </row>
    <row r="25" customFormat="false" ht="36" hidden="false" customHeight="true" outlineLevel="0" collapsed="false">
      <c r="B25" s="41" t="n">
        <v>19</v>
      </c>
      <c r="C25" s="42"/>
      <c r="D25" s="43" t="str">
        <f aca="false">IF(C25="","",IF(ISNUMBER(MATCH(C25&amp;"",Diagnóstico!$B$9:$B$60,0)),INDEX(Diagnóstico!$C$9:$C$60,MATCH(C25&amp;"",Diagnóstico!$B$9:$B$60,0)),"Requisito não encontrado"))</f>
        <v/>
      </c>
      <c r="E25" s="43" t="str">
        <f aca="false">IF(C25="","",IF(ISNUMBER(MATCH(C25&amp;"",Diagnóstico!$B$9:$B$60,0)),INDEX(Diagnóstico!$H$9:$H$60,MATCH(C25&amp;"",Diagnóstico!$B$9:$B$60,0))&amp;"",""))</f>
        <v/>
      </c>
      <c r="F25" s="5"/>
      <c r="G25" s="5"/>
      <c r="H25" s="44"/>
      <c r="I25" s="20"/>
      <c r="J25" s="44"/>
      <c r="K25" s="22" t="str">
        <f aca="true">IF(F25="","",IF(I25="Concluída","Concluída",IF(I25="Cancelada","Cancelada",IF(H25="","Sem prazo",IF(H25&lt;TODAY(),"Atrasada","No prazo")))))</f>
        <v/>
      </c>
    </row>
    <row r="26" customFormat="false" ht="36" hidden="false" customHeight="true" outlineLevel="0" collapsed="false">
      <c r="B26" s="41" t="n">
        <v>20</v>
      </c>
      <c r="C26" s="42"/>
      <c r="D26" s="43" t="str">
        <f aca="false">IF(C26="","",IF(ISNUMBER(MATCH(C26&amp;"",Diagnóstico!$B$9:$B$60,0)),INDEX(Diagnóstico!$C$9:$C$60,MATCH(C26&amp;"",Diagnóstico!$B$9:$B$60,0)),"Requisito não encontrado"))</f>
        <v/>
      </c>
      <c r="E26" s="43" t="str">
        <f aca="false">IF(C26="","",IF(ISNUMBER(MATCH(C26&amp;"",Diagnóstico!$B$9:$B$60,0)),INDEX(Diagnóstico!$H$9:$H$60,MATCH(C26&amp;"",Diagnóstico!$B$9:$B$60,0))&amp;"",""))</f>
        <v/>
      </c>
      <c r="F26" s="5"/>
      <c r="G26" s="5"/>
      <c r="H26" s="44"/>
      <c r="I26" s="20"/>
      <c r="J26" s="44"/>
      <c r="K26" s="22" t="str">
        <f aca="true">IF(F26="","",IF(I26="Concluída","Concluída",IF(I26="Cancelada","Cancelada",IF(H26="","Sem prazo",IF(H26&lt;TODAY(),"Atrasada","No prazo")))))</f>
        <v/>
      </c>
    </row>
    <row r="28" customFormat="false" ht="21.75" hidden="false" customHeight="true" outlineLevel="0" collapsed="false">
      <c r="B28" s="17" t="s">
        <v>242</v>
      </c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21.75" hidden="false" customHeight="true" outlineLevel="0" collapsed="false">
      <c r="B29" s="37" t="s">
        <v>266</v>
      </c>
      <c r="C29" s="37"/>
      <c r="D29" s="37"/>
      <c r="E29" s="36" t="n">
        <f aca="false">COUNTA(F7:F26)</f>
        <v>0</v>
      </c>
    </row>
    <row r="30" customFormat="false" ht="21.75" hidden="false" customHeight="true" outlineLevel="0" collapsed="false">
      <c r="B30" s="37" t="s">
        <v>267</v>
      </c>
      <c r="C30" s="37"/>
      <c r="D30" s="37"/>
      <c r="E30" s="36" t="n">
        <f aca="false">COUNTIF(K7:K26,"Concluída")</f>
        <v>0</v>
      </c>
    </row>
    <row r="31" customFormat="false" ht="21.75" hidden="false" customHeight="true" outlineLevel="0" collapsed="false">
      <c r="B31" s="37" t="s">
        <v>268</v>
      </c>
      <c r="C31" s="37"/>
      <c r="D31" s="37"/>
      <c r="E31" s="36" t="n">
        <f aca="false">COUNTIF(K7:K26,"Atrasada")</f>
        <v>0</v>
      </c>
    </row>
    <row r="32" customFormat="false" ht="21.75" hidden="false" customHeight="true" outlineLevel="0" collapsed="false">
      <c r="B32" s="37" t="s">
        <v>269</v>
      </c>
      <c r="C32" s="37"/>
      <c r="D32" s="37"/>
      <c r="E32" s="31" t="n">
        <f aca="false">IF(E29-COUNTIF(K7:K26,"Cancelada")&lt;=0,0,E30/(E29-COUNTIF(K7:K26,"Cancelada")))</f>
        <v>0</v>
      </c>
    </row>
    <row r="33" customFormat="false" ht="21.75" hidden="false" customHeight="true" outlineLevel="0" collapsed="false">
      <c r="B33" s="37" t="s">
        <v>270</v>
      </c>
      <c r="C33" s="37"/>
      <c r="D33" s="37"/>
      <c r="E33" s="36" t="n">
        <f aca="false">SUMPRODUCT((Diagnóstico!$E$9:$E$60&lt;&gt;"Não")*((Diagnóstico!$F$9:$F$60="Atende em parte")+(Diagnóstico!$F$9:$F$60="Não atende")))</f>
        <v>0</v>
      </c>
    </row>
    <row r="34" customFormat="false" ht="21.75" hidden="false" customHeight="true" outlineLevel="0" collapsed="false">
      <c r="B34" s="37" t="s">
        <v>271</v>
      </c>
      <c r="C34" s="37"/>
      <c r="D34" s="37"/>
      <c r="E34" s="36" t="n">
        <f aca="false">SUMPRODUCT((Diagnóstico!$E$9:$E$60&lt;&gt;"Não")*((Diagnóstico!$F$9:$F$60="Atende em parte")+(Diagnóstico!$F$9:$F$60="Não atende"))*(COUNTIF($C$7:$C$26,Diagnóstico!$B$9:$B$60)=0))</f>
        <v>0</v>
      </c>
    </row>
    <row r="35" customFormat="false" ht="30" hidden="false" customHeight="true" outlineLevel="0" collapsed="false">
      <c r="B35" s="37" t="s">
        <v>248</v>
      </c>
      <c r="C35" s="37"/>
      <c r="D35" s="37"/>
      <c r="E35" s="22" t="str">
        <f aca="false">IF(E33=0,"Preencha a aba Diagnóstico",IF(E29=0,"Registre as ações",IF(SUMPRODUCT((F7:F26&lt;&gt;"")*(((C7:C26="")+(G7:G26="")+(H7:H26=""))&gt;0))&gt;0,"Há ação sem requisito, responsável ou prazo",IF(E34&gt;0,"Há lacuna sem ação",IF(E31&gt;0,"Há ação atrasada","OK")))))</f>
        <v>Preencha a aba Diagnóstico</v>
      </c>
    </row>
  </sheetData>
  <mergeCells count="10">
    <mergeCell ref="B1:K1"/>
    <mergeCell ref="B2:K2"/>
    <mergeCell ref="B28:K28"/>
    <mergeCell ref="B29:D29"/>
    <mergeCell ref="B30:D30"/>
    <mergeCell ref="B31:D31"/>
    <mergeCell ref="B32:D32"/>
    <mergeCell ref="B33:D33"/>
    <mergeCell ref="B34:D34"/>
    <mergeCell ref="B35:D35"/>
  </mergeCells>
  <conditionalFormatting sqref="I7:I26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K7:K26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1">
      <formula>"Sem prazo"</formula>
    </cfRule>
    <cfRule type="cellIs" priority="8" operator="equal" aboveAverage="0" equalAverage="0" bottom="0" percent="0" rank="0" text="" dxfId="2">
      <formula>"Atrasada"</formula>
    </cfRule>
  </conditionalFormatting>
  <conditionalFormatting sqref="E35">
    <cfRule type="expression" priority="9" aboveAverage="0" equalAverage="0" bottom="0" percent="0" rank="0" text="" dxfId="0">
      <formula>OR(E35="OK")</formula>
    </cfRule>
    <cfRule type="expression" priority="10" aboveAverage="0" equalAverage="0" bottom="0" percent="0" rank="0" text="" dxfId="1">
      <formula>AND(LEN(E35)&gt;0,NOT(OR(E35="OK")))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H7:H26 J7:J26" type="date">
      <formula1>36526</formula1>
      <formula2>0</formula2>
    </dataValidation>
    <dataValidation allowBlank="true" error="Escolha uma das opções da lista." errorStyle="stop" errorTitle="Valor inválido" operator="between" prompt="Número do requisito, como na aba Diagnóstico" promptTitle="Opções" showDropDown="false" showErrorMessage="true" showInputMessage="true" sqref="C7:C26" type="list">
      <formula1>"4.1,4.2,4.3,4.4,5.1.1,5.1.2,5.2,5.3,6.1,6.2,6.3,7.1.1,7.1.3,7.1.4,7.1.5,7.1.6,7.2,7.3,7.4,7.5,8.1,8.2.1,8.2.2,8.2.3,8.2.4,8.3,8.4.1,8.4.2,8.4.3,8.5.1,8.5.2,8.5.3,8.5.4,8.5.5,8.5.6,8.6,8.7,9.1.1,9.1.2,9.1.3,9.2,9.3,10.1,10.2,10.3"</formula1>
      <formula2>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I7:I26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272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273</v>
      </c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15" t="s">
        <v>251</v>
      </c>
      <c r="C4" s="15" t="s">
        <v>67</v>
      </c>
      <c r="D4" s="15" t="s">
        <v>274</v>
      </c>
      <c r="E4" s="15" t="s">
        <v>275</v>
      </c>
      <c r="F4" s="15" t="s">
        <v>276</v>
      </c>
      <c r="G4" s="15" t="s">
        <v>277</v>
      </c>
      <c r="H4" s="15" t="s">
        <v>71</v>
      </c>
    </row>
    <row r="5" customFormat="false" ht="24" hidden="false" customHeight="true" outlineLevel="0" collapsed="false">
      <c r="B5" s="16" t="s">
        <v>260</v>
      </c>
      <c r="C5" s="38" t="s">
        <v>139</v>
      </c>
      <c r="D5" s="16" t="s">
        <v>278</v>
      </c>
      <c r="E5" s="39" t="s">
        <v>279</v>
      </c>
      <c r="F5" s="39" t="s">
        <v>280</v>
      </c>
      <c r="G5" s="39" t="s">
        <v>281</v>
      </c>
      <c r="H5" s="16" t="s">
        <v>282</v>
      </c>
    </row>
    <row r="6" customFormat="false" ht="30" hidden="false" customHeight="true" outlineLevel="0" collapsed="false">
      <c r="B6" s="41" t="n">
        <v>1</v>
      </c>
      <c r="C6" s="18" t="s">
        <v>94</v>
      </c>
      <c r="D6" s="45" t="s">
        <v>283</v>
      </c>
      <c r="E6" s="6" t="s">
        <v>284</v>
      </c>
      <c r="F6" s="5"/>
      <c r="G6" s="5"/>
      <c r="H6" s="20"/>
    </row>
    <row r="7" customFormat="false" ht="34.5" hidden="false" customHeight="true" outlineLevel="0" collapsed="false">
      <c r="B7" s="41" t="n">
        <v>2</v>
      </c>
      <c r="C7" s="18" t="s">
        <v>97</v>
      </c>
      <c r="D7" s="45" t="s">
        <v>283</v>
      </c>
      <c r="E7" s="6" t="s">
        <v>285</v>
      </c>
      <c r="F7" s="5"/>
      <c r="G7" s="5"/>
      <c r="H7" s="20"/>
    </row>
    <row r="8" customFormat="false" ht="34.5" hidden="false" customHeight="true" outlineLevel="0" collapsed="false">
      <c r="B8" s="41" t="n">
        <v>3</v>
      </c>
      <c r="C8" s="18" t="s">
        <v>97</v>
      </c>
      <c r="D8" s="46" t="s">
        <v>278</v>
      </c>
      <c r="E8" s="6" t="s">
        <v>286</v>
      </c>
      <c r="F8" s="5"/>
      <c r="G8" s="5"/>
      <c r="H8" s="20"/>
    </row>
    <row r="9" customFormat="false" ht="30" hidden="false" customHeight="true" outlineLevel="0" collapsed="false">
      <c r="B9" s="41" t="n">
        <v>4</v>
      </c>
      <c r="C9" s="18" t="s">
        <v>107</v>
      </c>
      <c r="D9" s="45" t="s">
        <v>283</v>
      </c>
      <c r="E9" s="6" t="s">
        <v>287</v>
      </c>
      <c r="F9" s="5"/>
      <c r="G9" s="5"/>
      <c r="H9" s="20"/>
    </row>
    <row r="10" customFormat="false" ht="30" hidden="false" customHeight="true" outlineLevel="0" collapsed="false">
      <c r="B10" s="41" t="n">
        <v>5</v>
      </c>
      <c r="C10" s="18" t="s">
        <v>117</v>
      </c>
      <c r="D10" s="45" t="s">
        <v>283</v>
      </c>
      <c r="E10" s="6" t="s">
        <v>288</v>
      </c>
      <c r="F10" s="5"/>
      <c r="G10" s="5"/>
      <c r="H10" s="20"/>
    </row>
    <row r="11" customFormat="false" ht="34.5" hidden="false" customHeight="true" outlineLevel="0" collapsed="false">
      <c r="B11" s="41" t="n">
        <v>6</v>
      </c>
      <c r="C11" s="18" t="s">
        <v>133</v>
      </c>
      <c r="D11" s="46" t="s">
        <v>278</v>
      </c>
      <c r="E11" s="6" t="s">
        <v>289</v>
      </c>
      <c r="F11" s="5"/>
      <c r="G11" s="5"/>
      <c r="H11" s="20"/>
    </row>
    <row r="12" customFormat="false" ht="34.5" hidden="false" customHeight="true" outlineLevel="0" collapsed="false">
      <c r="B12" s="41" t="n">
        <v>7</v>
      </c>
      <c r="C12" s="18" t="s">
        <v>133</v>
      </c>
      <c r="D12" s="46" t="s">
        <v>278</v>
      </c>
      <c r="E12" s="6" t="s">
        <v>290</v>
      </c>
      <c r="F12" s="5"/>
      <c r="G12" s="5"/>
      <c r="H12" s="20"/>
    </row>
    <row r="13" customFormat="false" ht="30" hidden="false" customHeight="true" outlineLevel="0" collapsed="false">
      <c r="B13" s="41" t="n">
        <v>8</v>
      </c>
      <c r="C13" s="18" t="s">
        <v>139</v>
      </c>
      <c r="D13" s="46" t="s">
        <v>278</v>
      </c>
      <c r="E13" s="6" t="s">
        <v>279</v>
      </c>
      <c r="F13" s="5"/>
      <c r="G13" s="5"/>
      <c r="H13" s="20"/>
    </row>
    <row r="14" customFormat="false" ht="34.5" hidden="false" customHeight="true" outlineLevel="0" collapsed="false">
      <c r="B14" s="41" t="n">
        <v>9</v>
      </c>
      <c r="C14" s="18" t="s">
        <v>148</v>
      </c>
      <c r="D14" s="45" t="s">
        <v>283</v>
      </c>
      <c r="E14" s="6" t="s">
        <v>291</v>
      </c>
      <c r="F14" s="5"/>
      <c r="G14" s="5"/>
      <c r="H14" s="20"/>
    </row>
    <row r="15" customFormat="false" ht="47.25" hidden="false" customHeight="true" outlineLevel="0" collapsed="false">
      <c r="B15" s="41" t="n">
        <v>10</v>
      </c>
      <c r="C15" s="18" t="s">
        <v>152</v>
      </c>
      <c r="D15" s="47" t="s">
        <v>292</v>
      </c>
      <c r="E15" s="6" t="s">
        <v>293</v>
      </c>
      <c r="F15" s="5"/>
      <c r="G15" s="5"/>
      <c r="H15" s="20"/>
    </row>
    <row r="16" customFormat="false" ht="34.5" hidden="false" customHeight="true" outlineLevel="0" collapsed="false">
      <c r="B16" s="41" t="n">
        <v>11</v>
      </c>
      <c r="C16" s="18" t="s">
        <v>161</v>
      </c>
      <c r="D16" s="46" t="s">
        <v>278</v>
      </c>
      <c r="E16" s="6" t="s">
        <v>294</v>
      </c>
      <c r="F16" s="5"/>
      <c r="G16" s="5"/>
      <c r="H16" s="20"/>
    </row>
    <row r="17" customFormat="false" ht="34.5" hidden="false" customHeight="true" outlineLevel="0" collapsed="false">
      <c r="B17" s="41" t="n">
        <v>12</v>
      </c>
      <c r="C17" s="18" t="s">
        <v>167</v>
      </c>
      <c r="D17" s="46" t="s">
        <v>278</v>
      </c>
      <c r="E17" s="6" t="s">
        <v>295</v>
      </c>
      <c r="F17" s="5"/>
      <c r="G17" s="5"/>
      <c r="H17" s="20"/>
    </row>
    <row r="18" customFormat="false" ht="34.5" hidden="false" customHeight="true" outlineLevel="0" collapsed="false">
      <c r="B18" s="41" t="n">
        <v>13</v>
      </c>
      <c r="C18" s="18" t="s">
        <v>170</v>
      </c>
      <c r="D18" s="46" t="s">
        <v>278</v>
      </c>
      <c r="E18" s="6" t="s">
        <v>296</v>
      </c>
      <c r="F18" s="5"/>
      <c r="G18" s="5"/>
      <c r="H18" s="20"/>
    </row>
    <row r="19" customFormat="false" ht="34.5" hidden="false" customHeight="true" outlineLevel="0" collapsed="false">
      <c r="B19" s="41" t="n">
        <v>14</v>
      </c>
      <c r="C19" s="18" t="s">
        <v>179</v>
      </c>
      <c r="D19" s="45" t="s">
        <v>283</v>
      </c>
      <c r="E19" s="6" t="s">
        <v>297</v>
      </c>
      <c r="F19" s="5"/>
      <c r="G19" s="5"/>
      <c r="H19" s="20"/>
    </row>
    <row r="20" customFormat="false" ht="34.5" hidden="false" customHeight="true" outlineLevel="0" collapsed="false">
      <c r="B20" s="41" t="n">
        <v>15</v>
      </c>
      <c r="C20" s="18" t="s">
        <v>182</v>
      </c>
      <c r="D20" s="46" t="s">
        <v>278</v>
      </c>
      <c r="E20" s="6" t="s">
        <v>298</v>
      </c>
      <c r="F20" s="5"/>
      <c r="G20" s="5"/>
      <c r="H20" s="20"/>
    </row>
    <row r="21" customFormat="false" ht="34.5" hidden="false" customHeight="true" outlineLevel="0" collapsed="false">
      <c r="B21" s="41" t="n">
        <v>16</v>
      </c>
      <c r="C21" s="18" t="s">
        <v>185</v>
      </c>
      <c r="D21" s="46" t="s">
        <v>278</v>
      </c>
      <c r="E21" s="6" t="s">
        <v>299</v>
      </c>
      <c r="F21" s="5"/>
      <c r="G21" s="5"/>
      <c r="H21" s="20"/>
    </row>
    <row r="22" customFormat="false" ht="34.5" hidden="false" customHeight="true" outlineLevel="0" collapsed="false">
      <c r="B22" s="41" t="n">
        <v>17</v>
      </c>
      <c r="C22" s="18" t="s">
        <v>194</v>
      </c>
      <c r="D22" s="46" t="s">
        <v>278</v>
      </c>
      <c r="E22" s="6" t="s">
        <v>300</v>
      </c>
      <c r="F22" s="5"/>
      <c r="G22" s="5"/>
      <c r="H22" s="20"/>
    </row>
    <row r="23" customFormat="false" ht="34.5" hidden="false" customHeight="true" outlineLevel="0" collapsed="false">
      <c r="B23" s="41" t="n">
        <v>18</v>
      </c>
      <c r="C23" s="18" t="s">
        <v>197</v>
      </c>
      <c r="D23" s="46" t="s">
        <v>278</v>
      </c>
      <c r="E23" s="6" t="s">
        <v>301</v>
      </c>
      <c r="F23" s="5"/>
      <c r="G23" s="5"/>
      <c r="H23" s="20"/>
    </row>
    <row r="24" customFormat="false" ht="34.5" hidden="false" customHeight="true" outlineLevel="0" collapsed="false">
      <c r="B24" s="41" t="n">
        <v>19</v>
      </c>
      <c r="C24" s="18" t="s">
        <v>200</v>
      </c>
      <c r="D24" s="46" t="s">
        <v>278</v>
      </c>
      <c r="E24" s="6" t="s">
        <v>302</v>
      </c>
      <c r="F24" s="5"/>
      <c r="G24" s="5"/>
      <c r="H24" s="20"/>
    </row>
    <row r="25" customFormat="false" ht="30" hidden="false" customHeight="true" outlineLevel="0" collapsed="false">
      <c r="B25" s="41" t="n">
        <v>20</v>
      </c>
      <c r="C25" s="18" t="s">
        <v>204</v>
      </c>
      <c r="D25" s="46" t="s">
        <v>278</v>
      </c>
      <c r="E25" s="6" t="s">
        <v>303</v>
      </c>
      <c r="F25" s="5"/>
      <c r="G25" s="5"/>
      <c r="H25" s="20"/>
    </row>
    <row r="26" customFormat="false" ht="34.5" hidden="false" customHeight="true" outlineLevel="0" collapsed="false">
      <c r="B26" s="41" t="n">
        <v>21</v>
      </c>
      <c r="C26" s="18" t="s">
        <v>213</v>
      </c>
      <c r="D26" s="46" t="s">
        <v>278</v>
      </c>
      <c r="E26" s="6" t="s">
        <v>304</v>
      </c>
      <c r="F26" s="5"/>
      <c r="G26" s="5"/>
      <c r="H26" s="20"/>
    </row>
    <row r="27" customFormat="false" ht="30" hidden="false" customHeight="true" outlineLevel="0" collapsed="false">
      <c r="B27" s="41" t="n">
        <v>22</v>
      </c>
      <c r="C27" s="18" t="s">
        <v>216</v>
      </c>
      <c r="D27" s="46" t="s">
        <v>278</v>
      </c>
      <c r="E27" s="6" t="s">
        <v>305</v>
      </c>
      <c r="F27" s="5"/>
      <c r="G27" s="5"/>
      <c r="H27" s="20"/>
    </row>
    <row r="28" customFormat="false" ht="34.5" hidden="false" customHeight="true" outlineLevel="0" collapsed="false">
      <c r="B28" s="41" t="n">
        <v>23</v>
      </c>
      <c r="C28" s="18" t="s">
        <v>223</v>
      </c>
      <c r="D28" s="46" t="s">
        <v>278</v>
      </c>
      <c r="E28" s="6" t="s">
        <v>306</v>
      </c>
      <c r="F28" s="5"/>
      <c r="G28" s="5"/>
      <c r="H28" s="20"/>
    </row>
    <row r="30" customFormat="false" ht="21.75" hidden="false" customHeight="true" outlineLevel="0" collapsed="false">
      <c r="B30" s="17" t="s">
        <v>242</v>
      </c>
      <c r="C30" s="17"/>
      <c r="D30" s="17"/>
      <c r="E30" s="17"/>
      <c r="F30" s="17"/>
      <c r="G30" s="17"/>
      <c r="H30" s="17"/>
    </row>
    <row r="31" customFormat="false" ht="21.75" hidden="false" customHeight="true" outlineLevel="0" collapsed="false">
      <c r="B31" s="37" t="s">
        <v>307</v>
      </c>
      <c r="C31" s="37"/>
      <c r="D31" s="37"/>
      <c r="E31" s="37"/>
      <c r="F31" s="36" t="n">
        <f aca="false">ROWS(H6:H28)</f>
        <v>23</v>
      </c>
    </row>
    <row r="32" customFormat="false" ht="21.75" hidden="false" customHeight="true" outlineLevel="0" collapsed="false">
      <c r="B32" s="37" t="s">
        <v>308</v>
      </c>
      <c r="C32" s="37"/>
      <c r="D32" s="37"/>
      <c r="E32" s="37"/>
      <c r="F32" s="36" t="n">
        <f aca="false">COUNTIF(H6:H28,"Existe")</f>
        <v>0</v>
      </c>
    </row>
    <row r="33" customFormat="false" ht="21.75" hidden="false" customHeight="true" outlineLevel="0" collapsed="false">
      <c r="B33" s="37" t="s">
        <v>309</v>
      </c>
      <c r="C33" s="37"/>
      <c r="D33" s="37"/>
      <c r="E33" s="37"/>
      <c r="F33" s="36" t="n">
        <f aca="false">COUNTIF(H6:H28,"Em elaboração")</f>
        <v>0</v>
      </c>
    </row>
    <row r="34" customFormat="false" ht="21.75" hidden="false" customHeight="true" outlineLevel="0" collapsed="false">
      <c r="B34" s="37" t="s">
        <v>310</v>
      </c>
      <c r="C34" s="37"/>
      <c r="D34" s="37"/>
      <c r="E34" s="37"/>
      <c r="F34" s="36" t="n">
        <f aca="false">COUNTIF(H6:H28,"Não existe")</f>
        <v>0</v>
      </c>
    </row>
    <row r="35" customFormat="false" ht="21.75" hidden="false" customHeight="true" outlineLevel="0" collapsed="false">
      <c r="B35" s="37" t="s">
        <v>311</v>
      </c>
      <c r="C35" s="37"/>
      <c r="D35" s="37"/>
      <c r="E35" s="37"/>
      <c r="F35" s="36" t="n">
        <f aca="false">COUNTIF(H6:H28,"Não aplicável")</f>
        <v>0</v>
      </c>
    </row>
    <row r="36" customFormat="false" ht="21.75" hidden="false" customHeight="true" outlineLevel="0" collapsed="false">
      <c r="B36" s="37" t="s">
        <v>312</v>
      </c>
      <c r="C36" s="37"/>
      <c r="D36" s="37"/>
      <c r="E36" s="37"/>
      <c r="F36" s="31" t="n">
        <f aca="false">IF(F31-F35&lt;=0,0,F32/(F31-F35))</f>
        <v>0</v>
      </c>
    </row>
    <row r="37" customFormat="false" ht="21.75" hidden="false" customHeight="true" outlineLevel="0" collapsed="false">
      <c r="B37" s="37" t="s">
        <v>248</v>
      </c>
      <c r="C37" s="37"/>
      <c r="D37" s="37"/>
      <c r="E37" s="37"/>
      <c r="F37" s="22" t="str">
        <f aca="false">IF(COUNTA(H6:H28)=0,"Informe a situação de cada item",IF(COUNTBLANK(H6:H28)&gt;0,"Há item sem situação",IF(SUMPRODUCT((H6:H28="Existe")*(F6:F28=""))&gt;0,"Há item existente sem o nome do documento",IF(F34&gt;0,"Há informação documentada exigida que não existe","OK"))))</f>
        <v>Informe a situação de cada item</v>
      </c>
    </row>
  </sheetData>
  <mergeCells count="10">
    <mergeCell ref="B1:H1"/>
    <mergeCell ref="B2:H2"/>
    <mergeCell ref="B30:H30"/>
    <mergeCell ref="B31:E31"/>
    <mergeCell ref="B32:E32"/>
    <mergeCell ref="B33:E33"/>
    <mergeCell ref="B34:E34"/>
    <mergeCell ref="B35:E35"/>
    <mergeCell ref="B36:E36"/>
    <mergeCell ref="B37:E37"/>
  </mergeCells>
  <conditionalFormatting sqref="H6:H28">
    <cfRule type="cellIs" priority="2" operator="equal" aboveAverage="0" equalAverage="0" bottom="0" percent="0" rank="0" text="" dxfId="0">
      <formula>"Existe"</formula>
    </cfRule>
    <cfRule type="cellIs" priority="3" operator="equal" aboveAverage="0" equalAverage="0" bottom="0" percent="0" rank="0" text="" dxfId="1">
      <formula>"Em elaboração"</formula>
    </cfRule>
    <cfRule type="cellIs" priority="4" operator="equal" aboveAverage="0" equalAverage="0" bottom="0" percent="0" rank="0" text="" dxfId="2">
      <formula>"Não existe"</formula>
    </cfRule>
    <cfRule type="cellIs" priority="5" operator="equal" aboveAverage="0" equalAverage="0" bottom="0" percent="0" rank="0" text="" dxfId="3">
      <formula>"Não aplicável"</formula>
    </cfRule>
  </conditionalFormatting>
  <conditionalFormatting sqref="F37">
    <cfRule type="expression" priority="6" aboveAverage="0" equalAverage="0" bottom="0" percent="0" rank="0" text="" dxfId="0">
      <formula>OR(F37="OK")</formula>
    </cfRule>
    <cfRule type="expression" priority="7" aboveAverage="0" equalAverage="0" bottom="0" percent="0" rank="0" text="" dxfId="1">
      <formula>AND(LEN(F37)&gt;0,NOT(OR(F37="OK")))</formula>
    </cfRule>
  </conditionalFormatting>
  <dataValidations count="1">
    <dataValidation allowBlank="true" error="Escolha uma das opções da lista." errorStyle="stop" errorTitle="Valor inválido" operator="between" prompt="Existe, Em elaboração, Não existe ou Não aplicável" promptTitle="Opções" showDropDown="false" showErrorMessage="true" showInputMessage="true" sqref="H6:H28" type="list">
      <formula1>"Existe,Em elaboração,Não existe,Não aplicável"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313</v>
      </c>
      <c r="C1" s="1"/>
      <c r="D1" s="1"/>
      <c r="E1" s="1"/>
    </row>
    <row r="2" customFormat="false" ht="19.5" hidden="false" customHeight="true" outlineLevel="0" collapsed="false">
      <c r="B2" s="2" t="s">
        <v>314</v>
      </c>
      <c r="C2" s="2"/>
      <c r="D2" s="2"/>
      <c r="E2" s="2"/>
    </row>
    <row r="4" customFormat="false" ht="21.75" hidden="false" customHeight="true" outlineLevel="0" collapsed="false">
      <c r="B4" s="15" t="s">
        <v>251</v>
      </c>
      <c r="C4" s="15" t="s">
        <v>315</v>
      </c>
      <c r="D4" s="15" t="s">
        <v>254</v>
      </c>
      <c r="E4" s="15" t="s">
        <v>316</v>
      </c>
    </row>
    <row r="5" customFormat="false" ht="30" hidden="false" customHeight="true" outlineLevel="0" collapsed="false">
      <c r="B5" s="41" t="n">
        <v>1</v>
      </c>
      <c r="C5" s="6" t="s">
        <v>317</v>
      </c>
      <c r="D5" s="20"/>
      <c r="E5" s="5"/>
    </row>
    <row r="6" customFormat="false" ht="30" hidden="false" customHeight="true" outlineLevel="0" collapsed="false">
      <c r="B6" s="41" t="n">
        <v>2</v>
      </c>
      <c r="C6" s="6" t="s">
        <v>318</v>
      </c>
      <c r="D6" s="20"/>
      <c r="E6" s="5"/>
    </row>
    <row r="7" customFormat="false" ht="30" hidden="false" customHeight="true" outlineLevel="0" collapsed="false">
      <c r="B7" s="41" t="n">
        <v>3</v>
      </c>
      <c r="C7" s="6" t="s">
        <v>319</v>
      </c>
      <c r="D7" s="20"/>
      <c r="E7" s="5"/>
    </row>
    <row r="8" customFormat="false" ht="30" hidden="false" customHeight="true" outlineLevel="0" collapsed="false">
      <c r="B8" s="41" t="n">
        <v>4</v>
      </c>
      <c r="C8" s="6" t="s">
        <v>320</v>
      </c>
      <c r="D8" s="20"/>
      <c r="E8" s="5"/>
    </row>
    <row r="9" customFormat="false" ht="30" hidden="false" customHeight="true" outlineLevel="0" collapsed="false">
      <c r="B9" s="41" t="n">
        <v>5</v>
      </c>
      <c r="C9" s="6" t="s">
        <v>321</v>
      </c>
      <c r="D9" s="20"/>
      <c r="E9" s="5"/>
    </row>
    <row r="10" customFormat="false" ht="30" hidden="false" customHeight="true" outlineLevel="0" collapsed="false">
      <c r="B10" s="41" t="n">
        <v>6</v>
      </c>
      <c r="C10" s="6" t="s">
        <v>322</v>
      </c>
      <c r="D10" s="20"/>
      <c r="E10" s="5"/>
    </row>
    <row r="11" customFormat="false" ht="30" hidden="false" customHeight="true" outlineLevel="0" collapsed="false">
      <c r="B11" s="41" t="n">
        <v>7</v>
      </c>
      <c r="C11" s="6" t="s">
        <v>323</v>
      </c>
      <c r="D11" s="20"/>
      <c r="E11" s="5"/>
    </row>
    <row r="12" customFormat="false" ht="30" hidden="false" customHeight="true" outlineLevel="0" collapsed="false">
      <c r="B12" s="41" t="n">
        <v>8</v>
      </c>
      <c r="C12" s="6" t="s">
        <v>324</v>
      </c>
      <c r="D12" s="20"/>
      <c r="E12" s="5"/>
    </row>
    <row r="13" customFormat="false" ht="30" hidden="false" customHeight="true" outlineLevel="0" collapsed="false">
      <c r="B13" s="41" t="n">
        <v>9</v>
      </c>
      <c r="C13" s="6" t="s">
        <v>325</v>
      </c>
      <c r="D13" s="20"/>
      <c r="E13" s="5"/>
    </row>
    <row r="14" customFormat="false" ht="30" hidden="false" customHeight="true" outlineLevel="0" collapsed="false">
      <c r="B14" s="41" t="n">
        <v>10</v>
      </c>
      <c r="C14" s="6" t="s">
        <v>326</v>
      </c>
      <c r="D14" s="20"/>
      <c r="E14" s="5"/>
    </row>
    <row r="15" customFormat="false" ht="30" hidden="false" customHeight="true" outlineLevel="0" collapsed="false">
      <c r="B15" s="41" t="n">
        <v>11</v>
      </c>
      <c r="C15" s="6" t="s">
        <v>327</v>
      </c>
      <c r="D15" s="20"/>
      <c r="E15" s="5"/>
    </row>
    <row r="16" customFormat="false" ht="30" hidden="false" customHeight="true" outlineLevel="0" collapsed="false">
      <c r="B16" s="41" t="n">
        <v>12</v>
      </c>
      <c r="C16" s="6" t="s">
        <v>328</v>
      </c>
      <c r="D16" s="20"/>
      <c r="E16" s="5"/>
    </row>
    <row r="18" customFormat="false" ht="21.75" hidden="false" customHeight="true" outlineLevel="0" collapsed="false">
      <c r="B18" s="17" t="s">
        <v>242</v>
      </c>
      <c r="C18" s="17"/>
      <c r="D18" s="17"/>
      <c r="E18" s="17"/>
    </row>
    <row r="19" customFormat="false" ht="19.5" hidden="false" customHeight="true" outlineLevel="0" collapsed="false">
      <c r="B19" s="37" t="s">
        <v>329</v>
      </c>
      <c r="C19" s="37"/>
      <c r="D19" s="36" t="n">
        <f aca="false">COUNTIF(D5:D16,"Sim")</f>
        <v>0</v>
      </c>
    </row>
    <row r="20" customFormat="false" ht="19.5" hidden="false" customHeight="true" outlineLevel="0" collapsed="false">
      <c r="B20" s="37" t="s">
        <v>330</v>
      </c>
      <c r="C20" s="37"/>
      <c r="D20" s="36" t="n">
        <f aca="false">COUNTIF(D5:D16,"Parcial")</f>
        <v>0</v>
      </c>
    </row>
    <row r="21" customFormat="false" ht="19.5" hidden="false" customHeight="true" outlineLevel="0" collapsed="false">
      <c r="B21" s="37" t="s">
        <v>331</v>
      </c>
      <c r="C21" s="37"/>
      <c r="D21" s="36" t="n">
        <f aca="false">COUNTIF(D5:D16,"Não")</f>
        <v>0</v>
      </c>
    </row>
    <row r="22" customFormat="false" ht="19.5" hidden="false" customHeight="true" outlineLevel="0" collapsed="false">
      <c r="B22" s="37" t="s">
        <v>332</v>
      </c>
      <c r="C22" s="37"/>
      <c r="D22" s="36" t="n">
        <f aca="false">COUNTBLANK(D5:D16)</f>
        <v>12</v>
      </c>
    </row>
    <row r="23" customFormat="false" ht="19.5" hidden="false" customHeight="true" outlineLevel="0" collapsed="false">
      <c r="B23" s="37" t="s">
        <v>333</v>
      </c>
      <c r="C23" s="37"/>
      <c r="D23" s="31" t="n">
        <f aca="false">D19/ROWS(D5:D16)</f>
        <v>0</v>
      </c>
    </row>
    <row r="24" customFormat="false" ht="19.5" hidden="false" customHeight="true" outlineLevel="0" collapsed="false">
      <c r="B24" s="37" t="s">
        <v>71</v>
      </c>
      <c r="C24" s="37"/>
      <c r="D24" s="36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6" min="4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true" outlineLevel="0" max="10" min="10" style="0" width="8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61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334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335</v>
      </c>
      <c r="C4" s="4"/>
      <c r="D4" s="48" t="s">
        <v>336</v>
      </c>
      <c r="E4" s="48"/>
      <c r="F4" s="48"/>
      <c r="G4" s="48"/>
      <c r="H4" s="48"/>
      <c r="I4" s="48"/>
    </row>
    <row r="5" customFormat="false" ht="21.75" hidden="false" customHeight="true" outlineLevel="0" collapsed="false">
      <c r="B5" s="4" t="s">
        <v>258</v>
      </c>
      <c r="C5" s="4"/>
      <c r="D5" s="49" t="n">
        <v>46297</v>
      </c>
      <c r="E5" s="49"/>
      <c r="F5" s="49"/>
      <c r="G5" s="49"/>
      <c r="H5" s="49"/>
      <c r="I5" s="49"/>
    </row>
    <row r="6" customFormat="false" ht="21.75" hidden="false" customHeight="true" outlineLevel="0" collapsed="false">
      <c r="B6" s="4" t="s">
        <v>66</v>
      </c>
      <c r="C6" s="4"/>
      <c r="D6" s="48" t="s">
        <v>337</v>
      </c>
      <c r="E6" s="48"/>
      <c r="F6" s="48"/>
      <c r="G6" s="48"/>
      <c r="H6" s="48"/>
      <c r="I6" s="48"/>
    </row>
    <row r="7" customFormat="false" ht="21.75" hidden="false" customHeight="true" outlineLevel="0" collapsed="false">
      <c r="B7" s="4" t="s">
        <v>65</v>
      </c>
      <c r="C7" s="4"/>
      <c r="D7" s="48" t="s">
        <v>338</v>
      </c>
      <c r="E7" s="48"/>
      <c r="F7" s="48"/>
      <c r="G7" s="48"/>
      <c r="H7" s="48"/>
      <c r="I7" s="48"/>
    </row>
    <row r="8" customFormat="false" ht="21.75" hidden="false" customHeight="true" outlineLevel="0" collapsed="false">
      <c r="B8" s="4" t="s">
        <v>339</v>
      </c>
      <c r="C8" s="4"/>
      <c r="D8" s="48" t="s">
        <v>340</v>
      </c>
      <c r="E8" s="48"/>
      <c r="F8" s="48"/>
      <c r="G8" s="48"/>
      <c r="H8" s="48"/>
      <c r="I8" s="48"/>
    </row>
    <row r="9" customFormat="false" ht="21.75" hidden="false" customHeight="true" outlineLevel="0" collapsed="false">
      <c r="B9" s="4" t="s">
        <v>341</v>
      </c>
      <c r="C9" s="4"/>
      <c r="D9" s="48" t="s">
        <v>342</v>
      </c>
      <c r="E9" s="48"/>
      <c r="F9" s="48"/>
      <c r="G9" s="48"/>
      <c r="H9" s="48"/>
      <c r="I9" s="48"/>
    </row>
    <row r="11" customFormat="false" ht="24" hidden="false" customHeight="true" outlineLevel="0" collapsed="false">
      <c r="B11" s="15" t="s">
        <v>67</v>
      </c>
      <c r="C11" s="15" t="s">
        <v>68</v>
      </c>
      <c r="D11" s="15" t="s">
        <v>71</v>
      </c>
      <c r="E11" s="15" t="s">
        <v>72</v>
      </c>
      <c r="F11" s="15"/>
      <c r="G11" s="15" t="s">
        <v>73</v>
      </c>
      <c r="H11" s="15"/>
      <c r="I11" s="15" t="s">
        <v>74</v>
      </c>
      <c r="J11" s="15" t="s">
        <v>76</v>
      </c>
    </row>
    <row r="12" customFormat="false" ht="21.75" hidden="false" customHeight="true" outlineLevel="0" collapsed="false">
      <c r="B12" s="17" t="s">
        <v>86</v>
      </c>
      <c r="C12" s="17"/>
      <c r="D12" s="17"/>
      <c r="E12" s="17"/>
      <c r="F12" s="17"/>
      <c r="G12" s="17"/>
      <c r="H12" s="17"/>
      <c r="I12" s="17"/>
    </row>
    <row r="13" customFormat="false" ht="30" hidden="false" customHeight="true" outlineLevel="0" collapsed="false">
      <c r="B13" s="18" t="s">
        <v>87</v>
      </c>
      <c r="C13" s="4" t="s">
        <v>88</v>
      </c>
      <c r="D13" s="50" t="s">
        <v>14</v>
      </c>
      <c r="E13" s="7" t="s">
        <v>343</v>
      </c>
      <c r="F13" s="7"/>
      <c r="G13" s="7" t="s">
        <v>344</v>
      </c>
      <c r="H13" s="7"/>
      <c r="I13" s="21" t="n">
        <f aca="false">IF(D13="Atende",1,IF(D13="Atende em parte",0.5,0))</f>
        <v>0.5</v>
      </c>
      <c r="J13" s="23" t="n">
        <v>4</v>
      </c>
    </row>
    <row r="14" customFormat="false" ht="34.5" hidden="false" customHeight="true" outlineLevel="0" collapsed="false">
      <c r="B14" s="18" t="s">
        <v>91</v>
      </c>
      <c r="C14" s="4" t="s">
        <v>92</v>
      </c>
      <c r="D14" s="50" t="s">
        <v>14</v>
      </c>
      <c r="E14" s="7" t="s">
        <v>345</v>
      </c>
      <c r="F14" s="7"/>
      <c r="G14" s="7" t="s">
        <v>346</v>
      </c>
      <c r="H14" s="7"/>
      <c r="I14" s="21" t="n">
        <f aca="false">IF(D14="Atende",1,IF(D14="Atende em parte",0.5,0))</f>
        <v>0.5</v>
      </c>
      <c r="J14" s="23" t="n">
        <v>4</v>
      </c>
    </row>
    <row r="15" customFormat="false" ht="34.5" hidden="false" customHeight="true" outlineLevel="0" collapsed="false">
      <c r="B15" s="18" t="s">
        <v>94</v>
      </c>
      <c r="C15" s="4" t="s">
        <v>95</v>
      </c>
      <c r="D15" s="50" t="s">
        <v>16</v>
      </c>
      <c r="E15" s="7" t="s">
        <v>347</v>
      </c>
      <c r="F15" s="7"/>
      <c r="G15" s="7" t="s">
        <v>261</v>
      </c>
      <c r="H15" s="7"/>
      <c r="I15" s="21" t="n">
        <f aca="false">IF(D15="Atende",1,IF(D15="Atende em parte",0.5,0))</f>
        <v>0</v>
      </c>
      <c r="J15" s="23" t="n">
        <v>4</v>
      </c>
    </row>
    <row r="16" customFormat="false" ht="34.5" hidden="false" customHeight="true" outlineLevel="0" collapsed="false">
      <c r="B16" s="18" t="s">
        <v>97</v>
      </c>
      <c r="C16" s="4" t="s">
        <v>98</v>
      </c>
      <c r="D16" s="50" t="s">
        <v>14</v>
      </c>
      <c r="E16" s="7" t="s">
        <v>348</v>
      </c>
      <c r="F16" s="7"/>
      <c r="G16" s="7" t="s">
        <v>349</v>
      </c>
      <c r="H16" s="7"/>
      <c r="I16" s="21" t="n">
        <f aca="false">IF(D16="Atende",1,IF(D16="Atende em parte",0.5,0))</f>
        <v>0.5</v>
      </c>
      <c r="J16" s="23" t="n">
        <v>4</v>
      </c>
    </row>
    <row r="17" customFormat="false" ht="21.75" hidden="false" customHeight="true" outlineLevel="0" collapsed="false">
      <c r="B17" s="17" t="s">
        <v>100</v>
      </c>
      <c r="C17" s="17"/>
      <c r="D17" s="17"/>
      <c r="E17" s="17"/>
      <c r="F17" s="17"/>
      <c r="G17" s="17"/>
      <c r="H17" s="17"/>
      <c r="I17" s="17"/>
    </row>
    <row r="18" customFormat="false" ht="34.5" hidden="false" customHeight="true" outlineLevel="0" collapsed="false">
      <c r="B18" s="18" t="s">
        <v>101</v>
      </c>
      <c r="C18" s="4" t="s">
        <v>102</v>
      </c>
      <c r="D18" s="50" t="s">
        <v>12</v>
      </c>
      <c r="E18" s="7" t="s">
        <v>350</v>
      </c>
      <c r="F18" s="7"/>
      <c r="G18" s="7"/>
      <c r="H18" s="7"/>
      <c r="I18" s="21" t="n">
        <f aca="false">IF(D18="Atende",1,IF(D18="Atende em parte",0.5,0))</f>
        <v>1</v>
      </c>
      <c r="J18" s="23" t="n">
        <v>5</v>
      </c>
    </row>
    <row r="19" customFormat="false" ht="34.5" hidden="false" customHeight="true" outlineLevel="0" collapsed="false">
      <c r="B19" s="18" t="s">
        <v>104</v>
      </c>
      <c r="C19" s="4" t="s">
        <v>105</v>
      </c>
      <c r="D19" s="50" t="s">
        <v>12</v>
      </c>
      <c r="E19" s="7" t="s">
        <v>351</v>
      </c>
      <c r="F19" s="7"/>
      <c r="G19" s="7"/>
      <c r="H19" s="7"/>
      <c r="I19" s="21" t="n">
        <f aca="false">IF(D19="Atende",1,IF(D19="Atende em parte",0.5,0))</f>
        <v>1</v>
      </c>
      <c r="J19" s="23" t="n">
        <v>5</v>
      </c>
    </row>
    <row r="20" customFormat="false" ht="34.5" hidden="false" customHeight="true" outlineLevel="0" collapsed="false">
      <c r="B20" s="18" t="s">
        <v>107</v>
      </c>
      <c r="C20" s="4" t="s">
        <v>108</v>
      </c>
      <c r="D20" s="50" t="s">
        <v>16</v>
      </c>
      <c r="E20" s="7" t="s">
        <v>352</v>
      </c>
      <c r="F20" s="7"/>
      <c r="G20" s="7" t="s">
        <v>353</v>
      </c>
      <c r="H20" s="7"/>
      <c r="I20" s="21" t="n">
        <f aca="false">IF(D20="Atende",1,IF(D20="Atende em parte",0.5,0))</f>
        <v>0</v>
      </c>
      <c r="J20" s="23" t="n">
        <v>5</v>
      </c>
    </row>
    <row r="21" customFormat="false" ht="34.5" hidden="false" customHeight="true" outlineLevel="0" collapsed="false">
      <c r="B21" s="18" t="s">
        <v>110</v>
      </c>
      <c r="C21" s="4" t="s">
        <v>111</v>
      </c>
      <c r="D21" s="50" t="s">
        <v>12</v>
      </c>
      <c r="E21" s="7" t="s">
        <v>354</v>
      </c>
      <c r="F21" s="7"/>
      <c r="G21" s="7"/>
      <c r="H21" s="7"/>
      <c r="I21" s="21" t="n">
        <f aca="false">IF(D21="Atende",1,IF(D21="Atende em parte",0.5,0))</f>
        <v>1</v>
      </c>
      <c r="J21" s="23" t="n">
        <v>5</v>
      </c>
    </row>
    <row r="22" customFormat="false" ht="21.75" hidden="false" customHeight="true" outlineLevel="0" collapsed="false">
      <c r="B22" s="24" t="s">
        <v>113</v>
      </c>
      <c r="C22" s="24"/>
      <c r="D22" s="24"/>
      <c r="E22" s="24"/>
      <c r="F22" s="24"/>
      <c r="G22" s="24"/>
      <c r="H22" s="24"/>
      <c r="I22" s="24"/>
    </row>
    <row r="23" customFormat="false" ht="34.5" hidden="false" customHeight="true" outlineLevel="0" collapsed="false">
      <c r="B23" s="18" t="s">
        <v>114</v>
      </c>
      <c r="C23" s="4" t="s">
        <v>115</v>
      </c>
      <c r="D23" s="50" t="s">
        <v>14</v>
      </c>
      <c r="E23" s="7" t="s">
        <v>355</v>
      </c>
      <c r="F23" s="7"/>
      <c r="G23" s="7" t="s">
        <v>356</v>
      </c>
      <c r="H23" s="7"/>
      <c r="I23" s="21" t="n">
        <f aca="false">IF(D23="Atende",1,IF(D23="Atende em parte",0.5,0))</f>
        <v>0.5</v>
      </c>
      <c r="J23" s="23" t="n">
        <v>6</v>
      </c>
    </row>
    <row r="24" customFormat="false" ht="34.5" hidden="false" customHeight="true" outlineLevel="0" collapsed="false">
      <c r="B24" s="18" t="s">
        <v>117</v>
      </c>
      <c r="C24" s="4" t="s">
        <v>118</v>
      </c>
      <c r="D24" s="50" t="s">
        <v>14</v>
      </c>
      <c r="E24" s="7" t="s">
        <v>357</v>
      </c>
      <c r="F24" s="7"/>
      <c r="G24" s="7" t="s">
        <v>358</v>
      </c>
      <c r="H24" s="7"/>
      <c r="I24" s="21" t="n">
        <f aca="false">IF(D24="Atende",1,IF(D24="Atende em parte",0.5,0))</f>
        <v>0.5</v>
      </c>
      <c r="J24" s="23" t="n">
        <v>6</v>
      </c>
    </row>
    <row r="25" customFormat="false" ht="34.5" hidden="false" customHeight="true" outlineLevel="0" collapsed="false">
      <c r="B25" s="18" t="s">
        <v>120</v>
      </c>
      <c r="C25" s="4" t="s">
        <v>121</v>
      </c>
      <c r="D25" s="50" t="s">
        <v>16</v>
      </c>
      <c r="E25" s="7" t="s">
        <v>359</v>
      </c>
      <c r="F25" s="7"/>
      <c r="G25" s="7" t="s">
        <v>360</v>
      </c>
      <c r="H25" s="7"/>
      <c r="I25" s="21" t="n">
        <f aca="false">IF(D25="Atende",1,IF(D25="Atende em parte",0.5,0))</f>
        <v>0</v>
      </c>
      <c r="J25" s="23" t="n">
        <v>6</v>
      </c>
    </row>
    <row r="26" customFormat="false" ht="21.75" hidden="false" customHeight="true" outlineLevel="0" collapsed="false">
      <c r="B26" s="25" t="s">
        <v>123</v>
      </c>
      <c r="C26" s="25"/>
      <c r="D26" s="25"/>
      <c r="E26" s="25"/>
      <c r="F26" s="25"/>
      <c r="G26" s="25"/>
      <c r="H26" s="25"/>
      <c r="I26" s="25"/>
    </row>
    <row r="27" customFormat="false" ht="34.5" hidden="false" customHeight="true" outlineLevel="0" collapsed="false">
      <c r="B27" s="18" t="s">
        <v>124</v>
      </c>
      <c r="C27" s="4" t="s">
        <v>125</v>
      </c>
      <c r="D27" s="50" t="s">
        <v>12</v>
      </c>
      <c r="E27" s="7" t="s">
        <v>361</v>
      </c>
      <c r="F27" s="7"/>
      <c r="G27" s="7"/>
      <c r="H27" s="7"/>
      <c r="I27" s="21" t="n">
        <f aca="false">IF(D27="Atende",1,IF(D27="Atende em parte",0.5,0))</f>
        <v>1</v>
      </c>
      <c r="J27" s="23" t="n">
        <v>7</v>
      </c>
    </row>
    <row r="28" customFormat="false" ht="34.5" hidden="false" customHeight="true" outlineLevel="0" collapsed="false">
      <c r="B28" s="18" t="s">
        <v>127</v>
      </c>
      <c r="C28" s="4" t="s">
        <v>128</v>
      </c>
      <c r="D28" s="50" t="s">
        <v>12</v>
      </c>
      <c r="E28" s="7" t="s">
        <v>362</v>
      </c>
      <c r="F28" s="7"/>
      <c r="G28" s="7"/>
      <c r="H28" s="7"/>
      <c r="I28" s="21" t="n">
        <f aca="false">IF(D28="Atende",1,IF(D28="Atende em parte",0.5,0))</f>
        <v>1</v>
      </c>
      <c r="J28" s="23" t="n">
        <v>7</v>
      </c>
    </row>
    <row r="29" customFormat="false" ht="34.5" hidden="false" customHeight="true" outlineLevel="0" collapsed="false">
      <c r="B29" s="18" t="s">
        <v>130</v>
      </c>
      <c r="C29" s="4" t="s">
        <v>131</v>
      </c>
      <c r="D29" s="50" t="s">
        <v>12</v>
      </c>
      <c r="E29" s="7" t="s">
        <v>363</v>
      </c>
      <c r="F29" s="7"/>
      <c r="G29" s="7"/>
      <c r="H29" s="7"/>
      <c r="I29" s="21" t="n">
        <f aca="false">IF(D29="Atende",1,IF(D29="Atende em parte",0.5,0))</f>
        <v>1</v>
      </c>
      <c r="J29" s="23" t="n">
        <v>7</v>
      </c>
    </row>
    <row r="30" customFormat="false" ht="34.5" hidden="false" customHeight="true" outlineLevel="0" collapsed="false">
      <c r="B30" s="18" t="s">
        <v>133</v>
      </c>
      <c r="C30" s="4" t="s">
        <v>134</v>
      </c>
      <c r="D30" s="50" t="s">
        <v>14</v>
      </c>
      <c r="E30" s="7" t="s">
        <v>364</v>
      </c>
      <c r="F30" s="7"/>
      <c r="G30" s="7" t="s">
        <v>365</v>
      </c>
      <c r="H30" s="7"/>
      <c r="I30" s="21" t="n">
        <f aca="false">IF(D30="Atende",1,IF(D30="Atende em parte",0.5,0))</f>
        <v>0.5</v>
      </c>
      <c r="J30" s="23" t="n">
        <v>7</v>
      </c>
    </row>
    <row r="31" customFormat="false" ht="34.5" hidden="false" customHeight="true" outlineLevel="0" collapsed="false">
      <c r="B31" s="18" t="s">
        <v>136</v>
      </c>
      <c r="C31" s="4" t="s">
        <v>137</v>
      </c>
      <c r="D31" s="50" t="s">
        <v>14</v>
      </c>
      <c r="E31" s="7" t="s">
        <v>366</v>
      </c>
      <c r="F31" s="7"/>
      <c r="G31" s="7" t="s">
        <v>367</v>
      </c>
      <c r="H31" s="7"/>
      <c r="I31" s="21" t="n">
        <f aca="false">IF(D31="Atende",1,IF(D31="Atende em parte",0.5,0))</f>
        <v>0.5</v>
      </c>
      <c r="J31" s="23" t="n">
        <v>7</v>
      </c>
    </row>
    <row r="32" customFormat="false" ht="34.5" hidden="false" customHeight="true" outlineLevel="0" collapsed="false">
      <c r="B32" s="18" t="s">
        <v>139</v>
      </c>
      <c r="C32" s="4" t="s">
        <v>140</v>
      </c>
      <c r="D32" s="50" t="s">
        <v>14</v>
      </c>
      <c r="E32" s="7" t="s">
        <v>368</v>
      </c>
      <c r="F32" s="7"/>
      <c r="G32" s="7" t="s">
        <v>369</v>
      </c>
      <c r="H32" s="7"/>
      <c r="I32" s="21" t="n">
        <f aca="false">IF(D32="Atende",1,IF(D32="Atende em parte",0.5,0))</f>
        <v>0.5</v>
      </c>
      <c r="J32" s="23" t="n">
        <v>7</v>
      </c>
    </row>
    <row r="33" customFormat="false" ht="34.5" hidden="false" customHeight="true" outlineLevel="0" collapsed="false">
      <c r="B33" s="18" t="s">
        <v>142</v>
      </c>
      <c r="C33" s="4" t="s">
        <v>143</v>
      </c>
      <c r="D33" s="50" t="s">
        <v>14</v>
      </c>
      <c r="E33" s="7" t="s">
        <v>370</v>
      </c>
      <c r="F33" s="7"/>
      <c r="G33" s="7" t="s">
        <v>371</v>
      </c>
      <c r="H33" s="7"/>
      <c r="I33" s="21" t="n">
        <f aca="false">IF(D33="Atende",1,IF(D33="Atende em parte",0.5,0))</f>
        <v>0.5</v>
      </c>
      <c r="J33" s="23" t="n">
        <v>7</v>
      </c>
    </row>
    <row r="34" customFormat="false" ht="34.5" hidden="false" customHeight="true" outlineLevel="0" collapsed="false">
      <c r="B34" s="18" t="s">
        <v>145</v>
      </c>
      <c r="C34" s="4" t="s">
        <v>146</v>
      </c>
      <c r="D34" s="50" t="s">
        <v>12</v>
      </c>
      <c r="E34" s="7" t="s">
        <v>372</v>
      </c>
      <c r="F34" s="7"/>
      <c r="G34" s="7"/>
      <c r="H34" s="7"/>
      <c r="I34" s="21" t="n">
        <f aca="false">IF(D34="Atende",1,IF(D34="Atende em parte",0.5,0))</f>
        <v>1</v>
      </c>
      <c r="J34" s="23" t="n">
        <v>7</v>
      </c>
    </row>
    <row r="35" customFormat="false" ht="34.5" hidden="false" customHeight="true" outlineLevel="0" collapsed="false">
      <c r="B35" s="18" t="s">
        <v>148</v>
      </c>
      <c r="C35" s="4" t="s">
        <v>149</v>
      </c>
      <c r="D35" s="50" t="s">
        <v>14</v>
      </c>
      <c r="E35" s="7" t="s">
        <v>373</v>
      </c>
      <c r="F35" s="7"/>
      <c r="G35" s="7" t="s">
        <v>374</v>
      </c>
      <c r="H35" s="7"/>
      <c r="I35" s="21" t="n">
        <f aca="false">IF(D35="Atende",1,IF(D35="Atende em parte",0.5,0))</f>
        <v>0.5</v>
      </c>
      <c r="J35" s="23" t="n">
        <v>7</v>
      </c>
    </row>
    <row r="36" customFormat="false" ht="21.75" hidden="false" customHeight="true" outlineLevel="0" collapsed="false">
      <c r="B36" s="25" t="s">
        <v>151</v>
      </c>
      <c r="C36" s="25"/>
      <c r="D36" s="25"/>
      <c r="E36" s="25"/>
      <c r="F36" s="25"/>
      <c r="G36" s="25"/>
      <c r="H36" s="25"/>
      <c r="I36" s="25"/>
    </row>
    <row r="37" customFormat="false" ht="34.5" hidden="false" customHeight="true" outlineLevel="0" collapsed="false">
      <c r="B37" s="18" t="s">
        <v>152</v>
      </c>
      <c r="C37" s="4" t="s">
        <v>153</v>
      </c>
      <c r="D37" s="50" t="s">
        <v>12</v>
      </c>
      <c r="E37" s="7" t="s">
        <v>375</v>
      </c>
      <c r="F37" s="7"/>
      <c r="G37" s="7"/>
      <c r="H37" s="7"/>
      <c r="I37" s="21" t="n">
        <f aca="false">IF(D37="Atende",1,IF(D37="Atende em parte",0.5,0))</f>
        <v>1</v>
      </c>
      <c r="J37" s="23" t="n">
        <v>8</v>
      </c>
    </row>
    <row r="38" customFormat="false" ht="34.5" hidden="false" customHeight="true" outlineLevel="0" collapsed="false">
      <c r="B38" s="18" t="s">
        <v>155</v>
      </c>
      <c r="C38" s="4" t="s">
        <v>156</v>
      </c>
      <c r="D38" s="50" t="s">
        <v>12</v>
      </c>
      <c r="E38" s="7" t="s">
        <v>376</v>
      </c>
      <c r="F38" s="7"/>
      <c r="G38" s="7"/>
      <c r="H38" s="7"/>
      <c r="I38" s="21" t="n">
        <f aca="false">IF(D38="Atende",1,IF(D38="Atende em parte",0.5,0))</f>
        <v>1</v>
      </c>
      <c r="J38" s="23" t="n">
        <v>8</v>
      </c>
    </row>
    <row r="39" customFormat="false" ht="34.5" hidden="false" customHeight="true" outlineLevel="0" collapsed="false">
      <c r="B39" s="18" t="s">
        <v>158</v>
      </c>
      <c r="C39" s="4" t="s">
        <v>159</v>
      </c>
      <c r="D39" s="50" t="s">
        <v>12</v>
      </c>
      <c r="E39" s="7" t="s">
        <v>377</v>
      </c>
      <c r="F39" s="7"/>
      <c r="G39" s="7"/>
      <c r="H39" s="7"/>
      <c r="I39" s="21" t="n">
        <f aca="false">IF(D39="Atende",1,IF(D39="Atende em parte",0.5,0))</f>
        <v>1</v>
      </c>
      <c r="J39" s="23" t="n">
        <v>8</v>
      </c>
    </row>
    <row r="40" customFormat="false" ht="47.25" hidden="false" customHeight="true" outlineLevel="0" collapsed="false">
      <c r="B40" s="18" t="s">
        <v>161</v>
      </c>
      <c r="C40" s="4" t="s">
        <v>162</v>
      </c>
      <c r="D40" s="50" t="s">
        <v>14</v>
      </c>
      <c r="E40" s="7" t="s">
        <v>378</v>
      </c>
      <c r="F40" s="7"/>
      <c r="G40" s="7" t="s">
        <v>379</v>
      </c>
      <c r="H40" s="7"/>
      <c r="I40" s="21" t="n">
        <f aca="false">IF(D40="Atende",1,IF(D40="Atende em parte",0.5,0))</f>
        <v>0.5</v>
      </c>
      <c r="J40" s="23" t="n">
        <v>8</v>
      </c>
    </row>
    <row r="41" customFormat="false" ht="34.5" hidden="false" customHeight="true" outlineLevel="0" collapsed="false">
      <c r="B41" s="18" t="s">
        <v>164</v>
      </c>
      <c r="C41" s="4" t="s">
        <v>165</v>
      </c>
      <c r="D41" s="50" t="s">
        <v>12</v>
      </c>
      <c r="E41" s="7" t="s">
        <v>380</v>
      </c>
      <c r="F41" s="7"/>
      <c r="G41" s="7"/>
      <c r="H41" s="7"/>
      <c r="I41" s="21" t="n">
        <f aca="false">IF(D41="Atende",1,IF(D41="Atende em parte",0.5,0))</f>
        <v>1</v>
      </c>
      <c r="J41" s="23" t="n">
        <v>8</v>
      </c>
    </row>
    <row r="42" customFormat="false" ht="34.5" hidden="false" customHeight="true" outlineLevel="0" collapsed="false">
      <c r="B42" s="18" t="s">
        <v>167</v>
      </c>
      <c r="C42" s="4" t="s">
        <v>168</v>
      </c>
      <c r="D42" s="50" t="s">
        <v>14</v>
      </c>
      <c r="E42" s="7" t="s">
        <v>381</v>
      </c>
      <c r="F42" s="7"/>
      <c r="G42" s="7" t="s">
        <v>382</v>
      </c>
      <c r="H42" s="7"/>
      <c r="I42" s="21" t="n">
        <f aca="false">IF(D42="Atende",1,IF(D42="Atende em parte",0.5,0))</f>
        <v>0.5</v>
      </c>
      <c r="J42" s="23" t="n">
        <v>8</v>
      </c>
    </row>
    <row r="43" customFormat="false" ht="34.5" hidden="false" customHeight="true" outlineLevel="0" collapsed="false">
      <c r="B43" s="18" t="s">
        <v>170</v>
      </c>
      <c r="C43" s="4" t="s">
        <v>171</v>
      </c>
      <c r="D43" s="50" t="s">
        <v>14</v>
      </c>
      <c r="E43" s="7" t="s">
        <v>383</v>
      </c>
      <c r="F43" s="7"/>
      <c r="G43" s="7" t="s">
        <v>384</v>
      </c>
      <c r="H43" s="7"/>
      <c r="I43" s="21" t="n">
        <f aca="false">IF(D43="Atende",1,IF(D43="Atende em parte",0.5,0))</f>
        <v>0.5</v>
      </c>
      <c r="J43" s="23" t="n">
        <v>8</v>
      </c>
    </row>
    <row r="44" customFormat="false" ht="34.5" hidden="false" customHeight="true" outlineLevel="0" collapsed="false">
      <c r="B44" s="18" t="s">
        <v>173</v>
      </c>
      <c r="C44" s="4" t="s">
        <v>174</v>
      </c>
      <c r="D44" s="50" t="s">
        <v>12</v>
      </c>
      <c r="E44" s="7" t="s">
        <v>385</v>
      </c>
      <c r="F44" s="7"/>
      <c r="G44" s="7"/>
      <c r="H44" s="7"/>
      <c r="I44" s="21" t="n">
        <f aca="false">IF(D44="Atende",1,IF(D44="Atende em parte",0.5,0))</f>
        <v>1</v>
      </c>
      <c r="J44" s="23" t="n">
        <v>8</v>
      </c>
    </row>
    <row r="45" customFormat="false" ht="34.5" hidden="false" customHeight="true" outlineLevel="0" collapsed="false">
      <c r="B45" s="18" t="s">
        <v>176</v>
      </c>
      <c r="C45" s="4" t="s">
        <v>177</v>
      </c>
      <c r="D45" s="50" t="s">
        <v>12</v>
      </c>
      <c r="E45" s="7" t="s">
        <v>386</v>
      </c>
      <c r="F45" s="7"/>
      <c r="G45" s="7"/>
      <c r="H45" s="7"/>
      <c r="I45" s="21" t="n">
        <f aca="false">IF(D45="Atende",1,IF(D45="Atende em parte",0.5,0))</f>
        <v>1</v>
      </c>
      <c r="J45" s="23" t="n">
        <v>8</v>
      </c>
    </row>
    <row r="46" customFormat="false" ht="47.25" hidden="false" customHeight="true" outlineLevel="0" collapsed="false">
      <c r="B46" s="18" t="s">
        <v>179</v>
      </c>
      <c r="C46" s="4" t="s">
        <v>180</v>
      </c>
      <c r="D46" s="50" t="s">
        <v>12</v>
      </c>
      <c r="E46" s="7" t="s">
        <v>387</v>
      </c>
      <c r="F46" s="7"/>
      <c r="G46" s="7"/>
      <c r="H46" s="7"/>
      <c r="I46" s="21" t="n">
        <f aca="false">IF(D46="Atende",1,IF(D46="Atende em parte",0.5,0))</f>
        <v>1</v>
      </c>
      <c r="J46" s="23" t="n">
        <v>8</v>
      </c>
    </row>
    <row r="47" customFormat="false" ht="34.5" hidden="false" customHeight="true" outlineLevel="0" collapsed="false">
      <c r="B47" s="18" t="s">
        <v>182</v>
      </c>
      <c r="C47" s="4" t="s">
        <v>183</v>
      </c>
      <c r="D47" s="50" t="s">
        <v>12</v>
      </c>
      <c r="E47" s="7" t="s">
        <v>388</v>
      </c>
      <c r="F47" s="7"/>
      <c r="G47" s="7"/>
      <c r="H47" s="7"/>
      <c r="I47" s="21" t="n">
        <f aca="false">IF(D47="Atende",1,IF(D47="Atende em parte",0.5,0))</f>
        <v>1</v>
      </c>
      <c r="J47" s="23" t="n">
        <v>8</v>
      </c>
    </row>
    <row r="48" customFormat="false" ht="34.5" hidden="false" customHeight="true" outlineLevel="0" collapsed="false">
      <c r="B48" s="18" t="s">
        <v>185</v>
      </c>
      <c r="C48" s="4" t="s">
        <v>186</v>
      </c>
      <c r="D48" s="50" t="s">
        <v>14</v>
      </c>
      <c r="E48" s="7" t="s">
        <v>389</v>
      </c>
      <c r="F48" s="7"/>
      <c r="G48" s="7" t="s">
        <v>390</v>
      </c>
      <c r="H48" s="7"/>
      <c r="I48" s="21" t="n">
        <f aca="false">IF(D48="Atende",1,IF(D48="Atende em parte",0.5,0))</f>
        <v>0.5</v>
      </c>
      <c r="J48" s="23" t="n">
        <v>8</v>
      </c>
    </row>
    <row r="49" customFormat="false" ht="34.5" hidden="false" customHeight="true" outlineLevel="0" collapsed="false">
      <c r="B49" s="18" t="s">
        <v>188</v>
      </c>
      <c r="C49" s="4" t="s">
        <v>189</v>
      </c>
      <c r="D49" s="50" t="s">
        <v>12</v>
      </c>
      <c r="E49" s="7" t="s">
        <v>391</v>
      </c>
      <c r="F49" s="7"/>
      <c r="G49" s="7"/>
      <c r="H49" s="7"/>
      <c r="I49" s="21" t="n">
        <f aca="false">IF(D49="Atende",1,IF(D49="Atende em parte",0.5,0))</f>
        <v>1</v>
      </c>
      <c r="J49" s="23" t="n">
        <v>8</v>
      </c>
    </row>
    <row r="50" customFormat="false" ht="34.5" hidden="false" customHeight="true" outlineLevel="0" collapsed="false">
      <c r="B50" s="18" t="s">
        <v>191</v>
      </c>
      <c r="C50" s="4" t="s">
        <v>192</v>
      </c>
      <c r="D50" s="50" t="s">
        <v>12</v>
      </c>
      <c r="E50" s="7" t="s">
        <v>392</v>
      </c>
      <c r="F50" s="7"/>
      <c r="G50" s="7"/>
      <c r="H50" s="7"/>
      <c r="I50" s="21" t="n">
        <f aca="false">IF(D50="Atende",1,IF(D50="Atende em parte",0.5,0))</f>
        <v>1</v>
      </c>
      <c r="J50" s="23" t="n">
        <v>8</v>
      </c>
    </row>
    <row r="51" customFormat="false" ht="34.5" hidden="false" customHeight="true" outlineLevel="0" collapsed="false">
      <c r="B51" s="18" t="s">
        <v>194</v>
      </c>
      <c r="C51" s="4" t="s">
        <v>195</v>
      </c>
      <c r="D51" s="50" t="s">
        <v>16</v>
      </c>
      <c r="E51" s="7" t="s">
        <v>393</v>
      </c>
      <c r="F51" s="7"/>
      <c r="G51" s="7" t="s">
        <v>394</v>
      </c>
      <c r="H51" s="7"/>
      <c r="I51" s="21" t="n">
        <f aca="false">IF(D51="Atende",1,IF(D51="Atende em parte",0.5,0))</f>
        <v>0</v>
      </c>
      <c r="J51" s="23" t="n">
        <v>8</v>
      </c>
    </row>
    <row r="52" customFormat="false" ht="34.5" hidden="false" customHeight="true" outlineLevel="0" collapsed="false">
      <c r="B52" s="18" t="s">
        <v>197</v>
      </c>
      <c r="C52" s="4" t="s">
        <v>198</v>
      </c>
      <c r="D52" s="50" t="s">
        <v>12</v>
      </c>
      <c r="E52" s="7" t="s">
        <v>395</v>
      </c>
      <c r="F52" s="7"/>
      <c r="G52" s="7"/>
      <c r="H52" s="7"/>
      <c r="I52" s="21" t="n">
        <f aca="false">IF(D52="Atende",1,IF(D52="Atende em parte",0.5,0))</f>
        <v>1</v>
      </c>
      <c r="J52" s="23" t="n">
        <v>8</v>
      </c>
    </row>
    <row r="53" customFormat="false" ht="34.5" hidden="false" customHeight="true" outlineLevel="0" collapsed="false">
      <c r="B53" s="18" t="s">
        <v>200</v>
      </c>
      <c r="C53" s="4" t="s">
        <v>201</v>
      </c>
      <c r="D53" s="50" t="s">
        <v>14</v>
      </c>
      <c r="E53" s="7" t="s">
        <v>396</v>
      </c>
      <c r="F53" s="7"/>
      <c r="G53" s="7" t="s">
        <v>397</v>
      </c>
      <c r="H53" s="7"/>
      <c r="I53" s="21" t="n">
        <f aca="false">IF(D53="Atende",1,IF(D53="Atende em parte",0.5,0))</f>
        <v>0.5</v>
      </c>
      <c r="J53" s="23" t="n">
        <v>8</v>
      </c>
    </row>
    <row r="54" customFormat="false" ht="21.75" hidden="false" customHeight="true" outlineLevel="0" collapsed="false">
      <c r="B54" s="26" t="s">
        <v>203</v>
      </c>
      <c r="C54" s="26"/>
      <c r="D54" s="26"/>
      <c r="E54" s="26"/>
      <c r="F54" s="26"/>
      <c r="G54" s="26"/>
      <c r="H54" s="26"/>
      <c r="I54" s="26"/>
    </row>
    <row r="55" customFormat="false" ht="34.5" hidden="false" customHeight="true" outlineLevel="0" collapsed="false">
      <c r="B55" s="18" t="s">
        <v>204</v>
      </c>
      <c r="C55" s="4" t="s">
        <v>205</v>
      </c>
      <c r="D55" s="50" t="s">
        <v>12</v>
      </c>
      <c r="E55" s="7" t="s">
        <v>398</v>
      </c>
      <c r="F55" s="7"/>
      <c r="G55" s="7"/>
      <c r="H55" s="7"/>
      <c r="I55" s="21" t="n">
        <f aca="false">IF(D55="Atende",1,IF(D55="Atende em parte",0.5,0))</f>
        <v>1</v>
      </c>
      <c r="J55" s="23" t="n">
        <v>9</v>
      </c>
    </row>
    <row r="56" customFormat="false" ht="34.5" hidden="false" customHeight="true" outlineLevel="0" collapsed="false">
      <c r="B56" s="18" t="s">
        <v>207</v>
      </c>
      <c r="C56" s="4" t="s">
        <v>208</v>
      </c>
      <c r="D56" s="50" t="s">
        <v>14</v>
      </c>
      <c r="E56" s="7" t="s">
        <v>399</v>
      </c>
      <c r="F56" s="7"/>
      <c r="G56" s="7" t="s">
        <v>400</v>
      </c>
      <c r="H56" s="7"/>
      <c r="I56" s="21" t="n">
        <f aca="false">IF(D56="Atende",1,IF(D56="Atende em parte",0.5,0))</f>
        <v>0.5</v>
      </c>
      <c r="J56" s="23" t="n">
        <v>9</v>
      </c>
    </row>
    <row r="57" customFormat="false" ht="34.5" hidden="false" customHeight="true" outlineLevel="0" collapsed="false">
      <c r="B57" s="18" t="s">
        <v>210</v>
      </c>
      <c r="C57" s="4" t="s">
        <v>211</v>
      </c>
      <c r="D57" s="50" t="s">
        <v>14</v>
      </c>
      <c r="E57" s="7" t="s">
        <v>401</v>
      </c>
      <c r="F57" s="7"/>
      <c r="G57" s="7" t="s">
        <v>402</v>
      </c>
      <c r="H57" s="7"/>
      <c r="I57" s="21" t="n">
        <f aca="false">IF(D57="Atende",1,IF(D57="Atende em parte",0.5,0))</f>
        <v>0.5</v>
      </c>
      <c r="J57" s="23" t="n">
        <v>9</v>
      </c>
    </row>
    <row r="58" customFormat="false" ht="34.5" hidden="false" customHeight="true" outlineLevel="0" collapsed="false">
      <c r="B58" s="18" t="s">
        <v>213</v>
      </c>
      <c r="C58" s="4" t="s">
        <v>214</v>
      </c>
      <c r="D58" s="50" t="s">
        <v>14</v>
      </c>
      <c r="E58" s="7" t="s">
        <v>403</v>
      </c>
      <c r="F58" s="7"/>
      <c r="G58" s="7" t="s">
        <v>404</v>
      </c>
      <c r="H58" s="7"/>
      <c r="I58" s="21" t="n">
        <f aca="false">IF(D58="Atende",1,IF(D58="Atende em parte",0.5,0))</f>
        <v>0.5</v>
      </c>
      <c r="J58" s="23" t="n">
        <v>9</v>
      </c>
    </row>
    <row r="59" customFormat="false" ht="34.5" hidden="false" customHeight="true" outlineLevel="0" collapsed="false">
      <c r="B59" s="18" t="s">
        <v>216</v>
      </c>
      <c r="C59" s="4" t="s">
        <v>217</v>
      </c>
      <c r="D59" s="50" t="s">
        <v>16</v>
      </c>
      <c r="E59" s="7" t="s">
        <v>405</v>
      </c>
      <c r="F59" s="7"/>
      <c r="G59" s="7" t="s">
        <v>406</v>
      </c>
      <c r="H59" s="7"/>
      <c r="I59" s="21" t="n">
        <f aca="false">IF(D59="Atende",1,IF(D59="Atende em parte",0.5,0))</f>
        <v>0</v>
      </c>
      <c r="J59" s="23" t="n">
        <v>9</v>
      </c>
    </row>
    <row r="60" customFormat="false" ht="21.75" hidden="false" customHeight="true" outlineLevel="0" collapsed="false">
      <c r="B60" s="27" t="s">
        <v>219</v>
      </c>
      <c r="C60" s="27"/>
      <c r="D60" s="27"/>
      <c r="E60" s="27"/>
      <c r="F60" s="27"/>
      <c r="G60" s="27"/>
      <c r="H60" s="27"/>
      <c r="I60" s="27"/>
    </row>
    <row r="61" customFormat="false" ht="34.5" hidden="false" customHeight="true" outlineLevel="0" collapsed="false">
      <c r="B61" s="18" t="s">
        <v>220</v>
      </c>
      <c r="C61" s="4" t="s">
        <v>221</v>
      </c>
      <c r="D61" s="50" t="s">
        <v>12</v>
      </c>
      <c r="E61" s="7" t="s">
        <v>407</v>
      </c>
      <c r="F61" s="7"/>
      <c r="G61" s="7"/>
      <c r="H61" s="7"/>
      <c r="I61" s="21" t="n">
        <f aca="false">IF(D61="Atende",1,IF(D61="Atende em parte",0.5,0))</f>
        <v>1</v>
      </c>
      <c r="J61" s="23" t="n">
        <v>10</v>
      </c>
    </row>
    <row r="62" customFormat="false" ht="34.5" hidden="false" customHeight="true" outlineLevel="0" collapsed="false">
      <c r="B62" s="18" t="s">
        <v>223</v>
      </c>
      <c r="C62" s="4" t="s">
        <v>224</v>
      </c>
      <c r="D62" s="50" t="s">
        <v>14</v>
      </c>
      <c r="E62" s="7" t="s">
        <v>408</v>
      </c>
      <c r="F62" s="7"/>
      <c r="G62" s="7" t="s">
        <v>409</v>
      </c>
      <c r="H62" s="7"/>
      <c r="I62" s="21" t="n">
        <f aca="false">IF(D62="Atende",1,IF(D62="Atende em parte",0.5,0))</f>
        <v>0.5</v>
      </c>
      <c r="J62" s="23" t="n">
        <v>10</v>
      </c>
    </row>
    <row r="63" customFormat="false" ht="34.5" hidden="false" customHeight="true" outlineLevel="0" collapsed="false">
      <c r="B63" s="18" t="s">
        <v>226</v>
      </c>
      <c r="C63" s="4" t="s">
        <v>227</v>
      </c>
      <c r="D63" s="50" t="s">
        <v>12</v>
      </c>
      <c r="E63" s="7" t="s">
        <v>410</v>
      </c>
      <c r="F63" s="7"/>
      <c r="G63" s="7"/>
      <c r="H63" s="7"/>
      <c r="I63" s="21" t="n">
        <f aca="false">IF(D63="Atende",1,IF(D63="Atende em parte",0.5,0))</f>
        <v>1</v>
      </c>
      <c r="J63" s="23" t="n">
        <v>10</v>
      </c>
    </row>
    <row r="65" customFormat="false" ht="21.75" hidden="false" customHeight="true" outlineLevel="0" collapsed="false">
      <c r="B65" s="17" t="s">
        <v>411</v>
      </c>
      <c r="C65" s="17"/>
      <c r="D65" s="17"/>
      <c r="E65" s="17"/>
      <c r="F65" s="17"/>
      <c r="G65" s="17"/>
      <c r="H65" s="17"/>
      <c r="I65" s="17"/>
    </row>
    <row r="66" customFormat="false" ht="24" hidden="false" customHeight="true" outlineLevel="0" collapsed="false">
      <c r="B66" s="15" t="s">
        <v>76</v>
      </c>
      <c r="C66" s="15" t="s">
        <v>68</v>
      </c>
      <c r="D66" s="15" t="s">
        <v>49</v>
      </c>
      <c r="E66" s="15" t="s">
        <v>232</v>
      </c>
      <c r="F66" s="15" t="s">
        <v>12</v>
      </c>
      <c r="G66" s="15" t="s">
        <v>14</v>
      </c>
      <c r="H66" s="15" t="s">
        <v>16</v>
      </c>
      <c r="I66" s="15" t="s">
        <v>233</v>
      </c>
    </row>
    <row r="67" customFormat="false" ht="19.5" hidden="false" customHeight="true" outlineLevel="0" collapsed="false">
      <c r="B67" s="15" t="n">
        <v>4</v>
      </c>
      <c r="C67" s="4" t="s">
        <v>234</v>
      </c>
      <c r="D67" s="30" t="n">
        <f aca="false">SUMPRODUCT(($J$12:$J$63=4))</f>
        <v>4</v>
      </c>
      <c r="E67" s="30" t="n">
        <f aca="false">SUMPRODUCT(($J$12:$J$63=4)*($D$12:$D$63&lt;&gt;""))</f>
        <v>4</v>
      </c>
      <c r="F67" s="30" t="n">
        <f aca="false">SUMPRODUCT(($J$12:$J$63=4)*($D$12:$D$63="Atende"))</f>
        <v>0</v>
      </c>
      <c r="G67" s="30" t="n">
        <f aca="false">SUMPRODUCT(($J$12:$J$63=4)*($D$12:$D$63="Atende em parte"))</f>
        <v>3</v>
      </c>
      <c r="H67" s="30" t="n">
        <f aca="false">SUMPRODUCT(($J$12:$J$63=4)*($D$12:$D$63="Não atende"))</f>
        <v>1</v>
      </c>
      <c r="I67" s="31" t="n">
        <f aca="false">IF(E67=0,"",(F67+0.5*G67)/E67)</f>
        <v>0.375</v>
      </c>
    </row>
    <row r="68" customFormat="false" ht="19.5" hidden="false" customHeight="true" outlineLevel="0" collapsed="false">
      <c r="B68" s="15" t="n">
        <v>5</v>
      </c>
      <c r="C68" s="4" t="s">
        <v>235</v>
      </c>
      <c r="D68" s="30" t="n">
        <f aca="false">SUMPRODUCT(($J$12:$J$63=5))</f>
        <v>4</v>
      </c>
      <c r="E68" s="30" t="n">
        <f aca="false">SUMPRODUCT(($J$12:$J$63=5)*($D$12:$D$63&lt;&gt;""))</f>
        <v>4</v>
      </c>
      <c r="F68" s="30" t="n">
        <f aca="false">SUMPRODUCT(($J$12:$J$63=5)*($D$12:$D$63="Atende"))</f>
        <v>3</v>
      </c>
      <c r="G68" s="30" t="n">
        <f aca="false">SUMPRODUCT(($J$12:$J$63=5)*($D$12:$D$63="Atende em parte"))</f>
        <v>0</v>
      </c>
      <c r="H68" s="30" t="n">
        <f aca="false">SUMPRODUCT(($J$12:$J$63=5)*($D$12:$D$63="Não atende"))</f>
        <v>1</v>
      </c>
      <c r="I68" s="31" t="n">
        <f aca="false">IF(E68=0,"",(F68+0.5*G68)/E68)</f>
        <v>0.75</v>
      </c>
    </row>
    <row r="69" customFormat="false" ht="19.5" hidden="false" customHeight="true" outlineLevel="0" collapsed="false">
      <c r="B69" s="32" t="n">
        <v>6</v>
      </c>
      <c r="C69" s="4" t="s">
        <v>236</v>
      </c>
      <c r="D69" s="30" t="n">
        <f aca="false">SUMPRODUCT(($J$12:$J$63=6))</f>
        <v>3</v>
      </c>
      <c r="E69" s="30" t="n">
        <f aca="false">SUMPRODUCT(($J$12:$J$63=6)*($D$12:$D$63&lt;&gt;""))</f>
        <v>3</v>
      </c>
      <c r="F69" s="30" t="n">
        <f aca="false">SUMPRODUCT(($J$12:$J$63=6)*($D$12:$D$63="Atende"))</f>
        <v>0</v>
      </c>
      <c r="G69" s="30" t="n">
        <f aca="false">SUMPRODUCT(($J$12:$J$63=6)*($D$12:$D$63="Atende em parte"))</f>
        <v>2</v>
      </c>
      <c r="H69" s="30" t="n">
        <f aca="false">SUMPRODUCT(($J$12:$J$63=6)*($D$12:$D$63="Não atende"))</f>
        <v>1</v>
      </c>
      <c r="I69" s="31" t="n">
        <f aca="false">IF(E69=0,"",(F69+0.5*G69)/E69)</f>
        <v>0.333333333333333</v>
      </c>
    </row>
    <row r="70" customFormat="false" ht="19.5" hidden="false" customHeight="true" outlineLevel="0" collapsed="false">
      <c r="B70" s="33" t="n">
        <v>7</v>
      </c>
      <c r="C70" s="4" t="s">
        <v>237</v>
      </c>
      <c r="D70" s="30" t="n">
        <f aca="false">SUMPRODUCT(($J$12:$J$63=7))</f>
        <v>9</v>
      </c>
      <c r="E70" s="30" t="n">
        <f aca="false">SUMPRODUCT(($J$12:$J$63=7)*($D$12:$D$63&lt;&gt;""))</f>
        <v>9</v>
      </c>
      <c r="F70" s="30" t="n">
        <f aca="false">SUMPRODUCT(($J$12:$J$63=7)*($D$12:$D$63="Atende"))</f>
        <v>4</v>
      </c>
      <c r="G70" s="30" t="n">
        <f aca="false">SUMPRODUCT(($J$12:$J$63=7)*($D$12:$D$63="Atende em parte"))</f>
        <v>5</v>
      </c>
      <c r="H70" s="30" t="n">
        <f aca="false">SUMPRODUCT(($J$12:$J$63=7)*($D$12:$D$63="Não atende"))</f>
        <v>0</v>
      </c>
      <c r="I70" s="31" t="n">
        <f aca="false">IF(E70=0,"",(F70+0.5*G70)/E70)</f>
        <v>0.722222222222222</v>
      </c>
    </row>
    <row r="71" customFormat="false" ht="19.5" hidden="false" customHeight="true" outlineLevel="0" collapsed="false">
      <c r="B71" s="33" t="n">
        <v>8</v>
      </c>
      <c r="C71" s="4" t="s">
        <v>238</v>
      </c>
      <c r="D71" s="30" t="n">
        <f aca="false">SUMPRODUCT(($J$12:$J$63=8))</f>
        <v>17</v>
      </c>
      <c r="E71" s="30" t="n">
        <f aca="false">SUMPRODUCT(($J$12:$J$63=8)*($D$12:$D$63&lt;&gt;""))</f>
        <v>17</v>
      </c>
      <c r="F71" s="30" t="n">
        <f aca="false">SUMPRODUCT(($J$12:$J$63=8)*($D$12:$D$63="Atende"))</f>
        <v>11</v>
      </c>
      <c r="G71" s="30" t="n">
        <f aca="false">SUMPRODUCT(($J$12:$J$63=8)*($D$12:$D$63="Atende em parte"))</f>
        <v>5</v>
      </c>
      <c r="H71" s="30" t="n">
        <f aca="false">SUMPRODUCT(($J$12:$J$63=8)*($D$12:$D$63="Não atende"))</f>
        <v>1</v>
      </c>
      <c r="I71" s="31" t="n">
        <f aca="false">IF(E71=0,"",(F71+0.5*G71)/E71)</f>
        <v>0.794117647058824</v>
      </c>
    </row>
    <row r="72" customFormat="false" ht="19.5" hidden="false" customHeight="true" outlineLevel="0" collapsed="false">
      <c r="B72" s="34" t="n">
        <v>9</v>
      </c>
      <c r="C72" s="4" t="s">
        <v>239</v>
      </c>
      <c r="D72" s="30" t="n">
        <f aca="false">SUMPRODUCT(($J$12:$J$63=9))</f>
        <v>5</v>
      </c>
      <c r="E72" s="30" t="n">
        <f aca="false">SUMPRODUCT(($J$12:$J$63=9)*($D$12:$D$63&lt;&gt;""))</f>
        <v>5</v>
      </c>
      <c r="F72" s="30" t="n">
        <f aca="false">SUMPRODUCT(($J$12:$J$63=9)*($D$12:$D$63="Atende"))</f>
        <v>1</v>
      </c>
      <c r="G72" s="30" t="n">
        <f aca="false">SUMPRODUCT(($J$12:$J$63=9)*($D$12:$D$63="Atende em parte"))</f>
        <v>3</v>
      </c>
      <c r="H72" s="30" t="n">
        <f aca="false">SUMPRODUCT(($J$12:$J$63=9)*($D$12:$D$63="Não atende"))</f>
        <v>1</v>
      </c>
      <c r="I72" s="31" t="n">
        <f aca="false">IF(E72=0,"",(F72+0.5*G72)/E72)</f>
        <v>0.5</v>
      </c>
    </row>
    <row r="73" customFormat="false" ht="19.5" hidden="false" customHeight="true" outlineLevel="0" collapsed="false">
      <c r="B73" s="35" t="n">
        <v>10</v>
      </c>
      <c r="C73" s="4" t="s">
        <v>240</v>
      </c>
      <c r="D73" s="30" t="n">
        <f aca="false">SUMPRODUCT(($J$12:$J$63=10))</f>
        <v>3</v>
      </c>
      <c r="E73" s="30" t="n">
        <f aca="false">SUMPRODUCT(($J$12:$J$63=10)*($D$12:$D$63&lt;&gt;""))</f>
        <v>3</v>
      </c>
      <c r="F73" s="30" t="n">
        <f aca="false">SUMPRODUCT(($J$12:$J$63=10)*($D$12:$D$63="Atende"))</f>
        <v>2</v>
      </c>
      <c r="G73" s="30" t="n">
        <f aca="false">SUMPRODUCT(($J$12:$J$63=10)*($D$12:$D$63="Atende em parte"))</f>
        <v>1</v>
      </c>
      <c r="H73" s="30" t="n">
        <f aca="false">SUMPRODUCT(($J$12:$J$63=10)*($D$12:$D$63="Não atende"))</f>
        <v>0</v>
      </c>
      <c r="I73" s="31" t="n">
        <f aca="false">IF(E73=0,"",(F73+0.5*G73)/E73)</f>
        <v>0.833333333333333</v>
      </c>
    </row>
    <row r="74" customFormat="false" ht="19.5" hidden="false" customHeight="true" outlineLevel="0" collapsed="false">
      <c r="B74" s="15" t="s">
        <v>241</v>
      </c>
      <c r="C74" s="15"/>
      <c r="D74" s="36" t="n">
        <f aca="false">SUM(D67:D73)</f>
        <v>45</v>
      </c>
      <c r="E74" s="36" t="n">
        <f aca="false">SUM(E67:E73)</f>
        <v>45</v>
      </c>
      <c r="F74" s="36" t="n">
        <f aca="false">SUM(F67:F73)</f>
        <v>21</v>
      </c>
      <c r="G74" s="36" t="n">
        <f aca="false">SUM(G67:G73)</f>
        <v>19</v>
      </c>
      <c r="H74" s="36" t="n">
        <f aca="false">SUM(H67:H73)</f>
        <v>5</v>
      </c>
      <c r="I74" s="31" t="n">
        <f aca="false">IF(E74=0,"",(F74+0.5*G74)/E74)</f>
        <v>0.677777777777778</v>
      </c>
    </row>
    <row r="76" customFormat="false" ht="21.75" hidden="false" customHeight="true" outlineLevel="0" collapsed="false">
      <c r="B76" s="17" t="s">
        <v>242</v>
      </c>
      <c r="C76" s="17"/>
      <c r="D76" s="17"/>
      <c r="E76" s="17"/>
      <c r="F76" s="17"/>
      <c r="G76" s="17"/>
      <c r="H76" s="17"/>
      <c r="I76" s="17"/>
    </row>
    <row r="77" customFormat="false" ht="21" hidden="false" customHeight="true" outlineLevel="0" collapsed="false">
      <c r="B77" s="37" t="s">
        <v>245</v>
      </c>
      <c r="C77" s="37"/>
      <c r="D77" s="37"/>
      <c r="E77" s="31" t="n">
        <f aca="false">I74</f>
        <v>0.677777777777778</v>
      </c>
      <c r="F77" s="31"/>
      <c r="G77" s="31"/>
      <c r="H77" s="31"/>
      <c r="I77" s="31"/>
    </row>
    <row r="78" customFormat="false" ht="21" hidden="false" customHeight="true" outlineLevel="0" collapsed="false">
      <c r="B78" s="37" t="s">
        <v>246</v>
      </c>
      <c r="C78" s="37"/>
      <c r="D78" s="37"/>
      <c r="E78" s="36" t="str">
        <f aca="false">INDEX(C67:C73,MATCH(MIN(I67:I73),I67:I73,0))</f>
        <v>6 · Planejamento</v>
      </c>
      <c r="F78" s="36"/>
      <c r="G78" s="36"/>
      <c r="H78" s="36"/>
      <c r="I78" s="36"/>
    </row>
    <row r="79" customFormat="false" ht="21" hidden="false" customHeight="true" outlineLevel="0" collapsed="false">
      <c r="B79" s="37" t="s">
        <v>247</v>
      </c>
      <c r="C79" s="37"/>
      <c r="D79" s="37"/>
      <c r="E79" s="36" t="str">
        <f aca="false">IF(I74="","Sem avaliação",IF(I74&lt;0.5,"Inicial",IF(I74&lt;0.8,"Em implantação",IF(H74&gt;0,"Em implantação: há requisito não atendido","Pronto para a auditoria interna"))))</f>
        <v>Em implantação</v>
      </c>
      <c r="F79" s="36"/>
      <c r="G79" s="36"/>
      <c r="H79" s="36"/>
      <c r="I79" s="36"/>
    </row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</sheetData>
  <mergeCells count="122">
    <mergeCell ref="B1:I1"/>
    <mergeCell ref="B2:I2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E11:F11"/>
    <mergeCell ref="G11:H11"/>
    <mergeCell ref="B12:I12"/>
    <mergeCell ref="E13:F13"/>
    <mergeCell ref="G13:H13"/>
    <mergeCell ref="E14:F14"/>
    <mergeCell ref="G14:H14"/>
    <mergeCell ref="E15:F15"/>
    <mergeCell ref="G15:H15"/>
    <mergeCell ref="E16:F16"/>
    <mergeCell ref="G16:H16"/>
    <mergeCell ref="B17:I17"/>
    <mergeCell ref="E18:F18"/>
    <mergeCell ref="G18:H18"/>
    <mergeCell ref="E19:F19"/>
    <mergeCell ref="G19:H19"/>
    <mergeCell ref="E20:F20"/>
    <mergeCell ref="G20:H20"/>
    <mergeCell ref="E21:F21"/>
    <mergeCell ref="G21:H21"/>
    <mergeCell ref="B22:I22"/>
    <mergeCell ref="E23:F23"/>
    <mergeCell ref="G23:H23"/>
    <mergeCell ref="E24:F24"/>
    <mergeCell ref="G24:H24"/>
    <mergeCell ref="E25:F25"/>
    <mergeCell ref="G25:H25"/>
    <mergeCell ref="B26:I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B36:I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B54:I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B60:I60"/>
    <mergeCell ref="E61:F61"/>
    <mergeCell ref="G61:H61"/>
    <mergeCell ref="E62:F62"/>
    <mergeCell ref="G62:H62"/>
    <mergeCell ref="E63:F63"/>
    <mergeCell ref="G63:H63"/>
    <mergeCell ref="B65:I65"/>
    <mergeCell ref="B74:C74"/>
    <mergeCell ref="B76:I76"/>
    <mergeCell ref="B77:D77"/>
    <mergeCell ref="E77:I77"/>
    <mergeCell ref="B78:D78"/>
    <mergeCell ref="E78:I78"/>
    <mergeCell ref="B79:D79"/>
    <mergeCell ref="E79:I79"/>
  </mergeCells>
  <conditionalFormatting sqref="D12:D63">
    <cfRule type="cellIs" priority="2" operator="equal" aboveAverage="0" equalAverage="0" bottom="0" percent="0" rank="0" text="" dxfId="0">
      <formula>"Atende"</formula>
    </cfRule>
    <cfRule type="cellIs" priority="3" operator="equal" aboveAverage="0" equalAverage="0" bottom="0" percent="0" rank="0" text="" dxfId="1">
      <formula>"Atende em parte"</formula>
    </cfRule>
    <cfRule type="cellIs" priority="4" operator="equal" aboveAverage="0" equalAverage="0" bottom="0" percent="0" rank="0" text="" dxfId="2">
      <formula>"Não atende"</formula>
    </cfRule>
  </conditionalFormatting>
  <conditionalFormatting sqref="I67:I74">
    <cfRule type="expression" priority="5" aboveAverage="0" equalAverage="0" bottom="0" percent="0" rank="0" text="" dxfId="0">
      <formula>AND(ISNUMBER(I67),I67&gt;=0.8)</formula>
    </cfRule>
    <cfRule type="expression" priority="6" aboveAverage="0" equalAverage="0" bottom="0" percent="0" rank="0" text="" dxfId="2">
      <formula>AND(ISNUMBER(I67),I67&lt;0.5)</formula>
    </cfRule>
    <cfRule type="expression" priority="7" aboveAverage="0" equalAverage="0" bottom="0" percent="0" rank="0" text="" dxfId="1">
      <formula>ISNUMBER(I67)</formula>
    </cfRule>
  </conditionalFormatting>
  <conditionalFormatting sqref="E79">
    <cfRule type="expression" priority="8" aboveAverage="0" equalAverage="0" bottom="0" percent="0" rank="0" text="" dxfId="0">
      <formula>LEFT(E79,6)="Pronto"</formula>
    </cfRule>
    <cfRule type="expression" priority="9" aboveAverage="0" equalAverage="0" bottom="0" percent="0" rank="0" text="" dxfId="2">
      <formula>E79="Inicial"</formula>
    </cfRule>
    <cfRule type="expression" priority="10" aboveAverage="0" equalAverage="0" bottom="0" percent="0" rank="0" text="" dxfId="1">
      <formula>LEN(E79)&gt;0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4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6" min="4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true" outlineLevel="0" max="10" min="10" style="0" width="8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61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412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335</v>
      </c>
      <c r="C4" s="4"/>
      <c r="D4" s="48" t="s">
        <v>413</v>
      </c>
      <c r="E4" s="48"/>
      <c r="F4" s="48"/>
      <c r="G4" s="48"/>
      <c r="H4" s="48"/>
      <c r="I4" s="48"/>
    </row>
    <row r="5" customFormat="false" ht="21.75" hidden="false" customHeight="true" outlineLevel="0" collapsed="false">
      <c r="B5" s="4" t="s">
        <v>258</v>
      </c>
      <c r="C5" s="4"/>
      <c r="D5" s="49" t="n">
        <v>46290</v>
      </c>
      <c r="E5" s="49"/>
      <c r="F5" s="49"/>
      <c r="G5" s="49"/>
      <c r="H5" s="49"/>
      <c r="I5" s="49"/>
    </row>
    <row r="6" customFormat="false" ht="21.75" hidden="false" customHeight="true" outlineLevel="0" collapsed="false">
      <c r="B6" s="4" t="s">
        <v>66</v>
      </c>
      <c r="C6" s="4"/>
      <c r="D6" s="48" t="s">
        <v>414</v>
      </c>
      <c r="E6" s="48"/>
      <c r="F6" s="48"/>
      <c r="G6" s="48"/>
      <c r="H6" s="48"/>
      <c r="I6" s="48"/>
    </row>
    <row r="7" customFormat="false" ht="21.75" hidden="false" customHeight="true" outlineLevel="0" collapsed="false">
      <c r="B7" s="4" t="s">
        <v>65</v>
      </c>
      <c r="C7" s="4"/>
      <c r="D7" s="48" t="s">
        <v>415</v>
      </c>
      <c r="E7" s="48"/>
      <c r="F7" s="48"/>
      <c r="G7" s="48"/>
      <c r="H7" s="48"/>
      <c r="I7" s="48"/>
    </row>
    <row r="8" customFormat="false" ht="21.75" hidden="false" customHeight="true" outlineLevel="0" collapsed="false">
      <c r="B8" s="4" t="s">
        <v>339</v>
      </c>
      <c r="C8" s="4"/>
      <c r="D8" s="48" t="s">
        <v>416</v>
      </c>
      <c r="E8" s="48"/>
      <c r="F8" s="48"/>
      <c r="G8" s="48"/>
      <c r="H8" s="48"/>
      <c r="I8" s="48"/>
    </row>
    <row r="9" customFormat="false" ht="21.75" hidden="false" customHeight="true" outlineLevel="0" collapsed="false">
      <c r="B9" s="4" t="s">
        <v>341</v>
      </c>
      <c r="C9" s="4"/>
      <c r="D9" s="48" t="s">
        <v>417</v>
      </c>
      <c r="E9" s="48"/>
      <c r="F9" s="48"/>
      <c r="G9" s="48"/>
      <c r="H9" s="48"/>
      <c r="I9" s="48"/>
    </row>
    <row r="11" customFormat="false" ht="24" hidden="false" customHeight="true" outlineLevel="0" collapsed="false">
      <c r="B11" s="15" t="s">
        <v>67</v>
      </c>
      <c r="C11" s="15" t="s">
        <v>68</v>
      </c>
      <c r="D11" s="15" t="s">
        <v>71</v>
      </c>
      <c r="E11" s="15" t="s">
        <v>72</v>
      </c>
      <c r="F11" s="15"/>
      <c r="G11" s="15" t="s">
        <v>73</v>
      </c>
      <c r="H11" s="15"/>
      <c r="I11" s="15" t="s">
        <v>74</v>
      </c>
      <c r="J11" s="15" t="s">
        <v>76</v>
      </c>
    </row>
    <row r="12" customFormat="false" ht="21.75" hidden="false" customHeight="true" outlineLevel="0" collapsed="false">
      <c r="B12" s="17" t="s">
        <v>86</v>
      </c>
      <c r="C12" s="17"/>
      <c r="D12" s="17"/>
      <c r="E12" s="17"/>
      <c r="F12" s="17"/>
      <c r="G12" s="17"/>
      <c r="H12" s="17"/>
      <c r="I12" s="17"/>
    </row>
    <row r="13" customFormat="false" ht="34.5" hidden="false" customHeight="true" outlineLevel="0" collapsed="false">
      <c r="B13" s="18" t="s">
        <v>97</v>
      </c>
      <c r="C13" s="4" t="s">
        <v>98</v>
      </c>
      <c r="D13" s="50" t="s">
        <v>12</v>
      </c>
      <c r="E13" s="7" t="s">
        <v>418</v>
      </c>
      <c r="F13" s="7"/>
      <c r="G13" s="7"/>
      <c r="H13" s="7"/>
      <c r="I13" s="21" t="n">
        <f aca="false">IF(D13="Atende",1,IF(D13="Atende em parte",0.5,0))</f>
        <v>1</v>
      </c>
      <c r="J13" s="23" t="n">
        <v>4</v>
      </c>
    </row>
    <row r="14" customFormat="false" ht="21.75" hidden="false" customHeight="true" outlineLevel="0" collapsed="false">
      <c r="B14" s="17" t="s">
        <v>100</v>
      </c>
      <c r="C14" s="17"/>
      <c r="D14" s="17"/>
      <c r="E14" s="17"/>
      <c r="F14" s="17"/>
      <c r="G14" s="17"/>
      <c r="H14" s="17"/>
      <c r="I14" s="17"/>
    </row>
    <row r="15" customFormat="false" ht="34.5" hidden="false" customHeight="true" outlineLevel="0" collapsed="false">
      <c r="B15" s="18" t="s">
        <v>110</v>
      </c>
      <c r="C15" s="4" t="s">
        <v>111</v>
      </c>
      <c r="D15" s="50" t="s">
        <v>12</v>
      </c>
      <c r="E15" s="7" t="s">
        <v>419</v>
      </c>
      <c r="F15" s="7"/>
      <c r="G15" s="7"/>
      <c r="H15" s="7"/>
      <c r="I15" s="21" t="n">
        <f aca="false">IF(D15="Atende",1,IF(D15="Atende em parte",0.5,0))</f>
        <v>1</v>
      </c>
      <c r="J15" s="23" t="n">
        <v>5</v>
      </c>
    </row>
    <row r="16" customFormat="false" ht="21.75" hidden="false" customHeight="true" outlineLevel="0" collapsed="false">
      <c r="B16" s="24" t="s">
        <v>113</v>
      </c>
      <c r="C16" s="24"/>
      <c r="D16" s="24"/>
      <c r="E16" s="24"/>
      <c r="F16" s="24"/>
      <c r="G16" s="24"/>
      <c r="H16" s="24"/>
      <c r="I16" s="24"/>
    </row>
    <row r="17" customFormat="false" ht="34.5" hidden="false" customHeight="true" outlineLevel="0" collapsed="false">
      <c r="B17" s="18" t="s">
        <v>114</v>
      </c>
      <c r="C17" s="4" t="s">
        <v>115</v>
      </c>
      <c r="D17" s="50" t="s">
        <v>14</v>
      </c>
      <c r="E17" s="7" t="s">
        <v>420</v>
      </c>
      <c r="F17" s="7"/>
      <c r="G17" s="7" t="s">
        <v>421</v>
      </c>
      <c r="H17" s="7"/>
      <c r="I17" s="21" t="n">
        <f aca="false">IF(D17="Atende",1,IF(D17="Atende em parte",0.5,0))</f>
        <v>0.5</v>
      </c>
      <c r="J17" s="23" t="n">
        <v>6</v>
      </c>
    </row>
    <row r="18" customFormat="false" ht="21.75" hidden="false" customHeight="true" outlineLevel="0" collapsed="false">
      <c r="B18" s="25" t="s">
        <v>123</v>
      </c>
      <c r="C18" s="25"/>
      <c r="D18" s="25"/>
      <c r="E18" s="25"/>
      <c r="F18" s="25"/>
      <c r="G18" s="25"/>
      <c r="H18" s="25"/>
      <c r="I18" s="25"/>
    </row>
    <row r="19" customFormat="false" ht="34.5" hidden="false" customHeight="true" outlineLevel="0" collapsed="false">
      <c r="B19" s="18" t="s">
        <v>139</v>
      </c>
      <c r="C19" s="4" t="s">
        <v>140</v>
      </c>
      <c r="D19" s="50" t="s">
        <v>12</v>
      </c>
      <c r="E19" s="7" t="s">
        <v>422</v>
      </c>
      <c r="F19" s="7"/>
      <c r="G19" s="7"/>
      <c r="H19" s="7"/>
      <c r="I19" s="21" t="n">
        <f aca="false">IF(D19="Atende",1,IF(D19="Atende em parte",0.5,0))</f>
        <v>1</v>
      </c>
      <c r="J19" s="23" t="n">
        <v>7</v>
      </c>
    </row>
    <row r="20" customFormat="false" ht="34.5" hidden="false" customHeight="true" outlineLevel="0" collapsed="false">
      <c r="B20" s="18" t="s">
        <v>148</v>
      </c>
      <c r="C20" s="4" t="s">
        <v>149</v>
      </c>
      <c r="D20" s="50" t="s">
        <v>12</v>
      </c>
      <c r="E20" s="7" t="s">
        <v>423</v>
      </c>
      <c r="F20" s="7"/>
      <c r="G20" s="7"/>
      <c r="H20" s="7"/>
      <c r="I20" s="21" t="n">
        <f aca="false">IF(D20="Atende",1,IF(D20="Atende em parte",0.5,0))</f>
        <v>1</v>
      </c>
      <c r="J20" s="23" t="n">
        <v>7</v>
      </c>
    </row>
    <row r="21" customFormat="false" ht="21.75" hidden="false" customHeight="true" outlineLevel="0" collapsed="false">
      <c r="B21" s="25" t="s">
        <v>151</v>
      </c>
      <c r="C21" s="25"/>
      <c r="D21" s="25"/>
      <c r="E21" s="25"/>
      <c r="F21" s="25"/>
      <c r="G21" s="25"/>
      <c r="H21" s="25"/>
      <c r="I21" s="25"/>
    </row>
    <row r="22" customFormat="false" ht="47.25" hidden="false" customHeight="true" outlineLevel="0" collapsed="false">
      <c r="B22" s="18" t="s">
        <v>170</v>
      </c>
      <c r="C22" s="4" t="s">
        <v>171</v>
      </c>
      <c r="D22" s="50" t="s">
        <v>14</v>
      </c>
      <c r="E22" s="7" t="s">
        <v>424</v>
      </c>
      <c r="F22" s="7"/>
      <c r="G22" s="7" t="s">
        <v>425</v>
      </c>
      <c r="H22" s="7"/>
      <c r="I22" s="21" t="n">
        <f aca="false">IF(D22="Atende",1,IF(D22="Atende em parte",0.5,0))</f>
        <v>0.5</v>
      </c>
      <c r="J22" s="23" t="n">
        <v>8</v>
      </c>
    </row>
    <row r="23" customFormat="false" ht="34.5" hidden="false" customHeight="true" outlineLevel="0" collapsed="false">
      <c r="B23" s="18" t="s">
        <v>173</v>
      </c>
      <c r="C23" s="4" t="s">
        <v>174</v>
      </c>
      <c r="D23" s="50" t="s">
        <v>12</v>
      </c>
      <c r="E23" s="7" t="s">
        <v>426</v>
      </c>
      <c r="F23" s="7"/>
      <c r="G23" s="7"/>
      <c r="H23" s="7"/>
      <c r="I23" s="21" t="n">
        <f aca="false">IF(D23="Atende",1,IF(D23="Atende em parte",0.5,0))</f>
        <v>1</v>
      </c>
      <c r="J23" s="23" t="n">
        <v>8</v>
      </c>
    </row>
    <row r="24" customFormat="false" ht="34.5" hidden="false" customHeight="true" outlineLevel="0" collapsed="false">
      <c r="B24" s="18" t="s">
        <v>176</v>
      </c>
      <c r="C24" s="4" t="s">
        <v>177</v>
      </c>
      <c r="D24" s="50" t="s">
        <v>14</v>
      </c>
      <c r="E24" s="7" t="s">
        <v>427</v>
      </c>
      <c r="F24" s="7"/>
      <c r="G24" s="7" t="s">
        <v>428</v>
      </c>
      <c r="H24" s="7"/>
      <c r="I24" s="21" t="n">
        <f aca="false">IF(D24="Atende",1,IF(D24="Atende em parte",0.5,0))</f>
        <v>0.5</v>
      </c>
      <c r="J24" s="23" t="n">
        <v>8</v>
      </c>
    </row>
    <row r="25" customFormat="false" ht="34.5" hidden="false" customHeight="true" outlineLevel="0" collapsed="false">
      <c r="B25" s="18" t="s">
        <v>185</v>
      </c>
      <c r="C25" s="4" t="s">
        <v>186</v>
      </c>
      <c r="D25" s="50" t="s">
        <v>12</v>
      </c>
      <c r="E25" s="7" t="s">
        <v>429</v>
      </c>
      <c r="F25" s="7"/>
      <c r="G25" s="7"/>
      <c r="H25" s="7"/>
      <c r="I25" s="21" t="n">
        <f aca="false">IF(D25="Atende",1,IF(D25="Atende em parte",0.5,0))</f>
        <v>1</v>
      </c>
      <c r="J25" s="23" t="n">
        <v>8</v>
      </c>
    </row>
    <row r="26" customFormat="false" ht="34.5" hidden="false" customHeight="true" outlineLevel="0" collapsed="false">
      <c r="B26" s="18" t="s">
        <v>200</v>
      </c>
      <c r="C26" s="4" t="s">
        <v>201</v>
      </c>
      <c r="D26" s="50" t="s">
        <v>12</v>
      </c>
      <c r="E26" s="7" t="s">
        <v>430</v>
      </c>
      <c r="F26" s="7"/>
      <c r="G26" s="7"/>
      <c r="H26" s="7"/>
      <c r="I26" s="21" t="n">
        <f aca="false">IF(D26="Atende",1,IF(D26="Atende em parte",0.5,0))</f>
        <v>1</v>
      </c>
      <c r="J26" s="23" t="n">
        <v>8</v>
      </c>
    </row>
    <row r="27" customFormat="false" ht="21.75" hidden="false" customHeight="true" outlineLevel="0" collapsed="false">
      <c r="B27" s="26" t="s">
        <v>203</v>
      </c>
      <c r="C27" s="26"/>
      <c r="D27" s="26"/>
      <c r="E27" s="26"/>
      <c r="F27" s="26"/>
      <c r="G27" s="26"/>
      <c r="H27" s="26"/>
      <c r="I27" s="26"/>
    </row>
    <row r="28" customFormat="false" ht="34.5" hidden="false" customHeight="true" outlineLevel="0" collapsed="false">
      <c r="B28" s="18" t="s">
        <v>210</v>
      </c>
      <c r="C28" s="4" t="s">
        <v>211</v>
      </c>
      <c r="D28" s="50" t="s">
        <v>14</v>
      </c>
      <c r="E28" s="7" t="s">
        <v>431</v>
      </c>
      <c r="F28" s="7"/>
      <c r="G28" s="7" t="s">
        <v>432</v>
      </c>
      <c r="H28" s="7"/>
      <c r="I28" s="21" t="n">
        <f aca="false">IF(D28="Atende",1,IF(D28="Atende em parte",0.5,0))</f>
        <v>0.5</v>
      </c>
      <c r="J28" s="23" t="n">
        <v>9</v>
      </c>
    </row>
    <row r="29" customFormat="false" ht="34.5" hidden="false" customHeight="true" outlineLevel="0" collapsed="false">
      <c r="B29" s="18" t="s">
        <v>213</v>
      </c>
      <c r="C29" s="4" t="s">
        <v>214</v>
      </c>
      <c r="D29" s="50" t="s">
        <v>12</v>
      </c>
      <c r="E29" s="7" t="s">
        <v>433</v>
      </c>
      <c r="F29" s="7"/>
      <c r="G29" s="7"/>
      <c r="H29" s="7"/>
      <c r="I29" s="21" t="n">
        <f aca="false">IF(D29="Atende",1,IF(D29="Atende em parte",0.5,0))</f>
        <v>1</v>
      </c>
      <c r="J29" s="23" t="n">
        <v>9</v>
      </c>
    </row>
    <row r="30" customFormat="false" ht="21.75" hidden="false" customHeight="true" outlineLevel="0" collapsed="false">
      <c r="B30" s="27" t="s">
        <v>219</v>
      </c>
      <c r="C30" s="27"/>
      <c r="D30" s="27"/>
      <c r="E30" s="27"/>
      <c r="F30" s="27"/>
      <c r="G30" s="27"/>
      <c r="H30" s="27"/>
      <c r="I30" s="27"/>
    </row>
    <row r="31" customFormat="false" ht="34.5" hidden="false" customHeight="true" outlineLevel="0" collapsed="false">
      <c r="B31" s="18" t="s">
        <v>223</v>
      </c>
      <c r="C31" s="4" t="s">
        <v>224</v>
      </c>
      <c r="D31" s="50" t="s">
        <v>14</v>
      </c>
      <c r="E31" s="7" t="s">
        <v>434</v>
      </c>
      <c r="F31" s="7"/>
      <c r="G31" s="7" t="s">
        <v>435</v>
      </c>
      <c r="H31" s="7"/>
      <c r="I31" s="21" t="n">
        <f aca="false">IF(D31="Atende",1,IF(D31="Atende em parte",0.5,0))</f>
        <v>0.5</v>
      </c>
      <c r="J31" s="23" t="n">
        <v>10</v>
      </c>
    </row>
    <row r="33" customFormat="false" ht="21.75" hidden="false" customHeight="true" outlineLevel="0" collapsed="false">
      <c r="B33" s="17" t="s">
        <v>411</v>
      </c>
      <c r="C33" s="17"/>
      <c r="D33" s="17"/>
      <c r="E33" s="17"/>
      <c r="F33" s="17"/>
      <c r="G33" s="17"/>
      <c r="H33" s="17"/>
      <c r="I33" s="17"/>
    </row>
    <row r="34" customFormat="false" ht="24" hidden="false" customHeight="true" outlineLevel="0" collapsed="false">
      <c r="B34" s="15" t="s">
        <v>76</v>
      </c>
      <c r="C34" s="15" t="s">
        <v>68</v>
      </c>
      <c r="D34" s="15" t="s">
        <v>49</v>
      </c>
      <c r="E34" s="15" t="s">
        <v>232</v>
      </c>
      <c r="F34" s="15" t="s">
        <v>12</v>
      </c>
      <c r="G34" s="15" t="s">
        <v>14</v>
      </c>
      <c r="H34" s="15" t="s">
        <v>16</v>
      </c>
      <c r="I34" s="15" t="s">
        <v>233</v>
      </c>
    </row>
    <row r="35" customFormat="false" ht="19.5" hidden="false" customHeight="true" outlineLevel="0" collapsed="false">
      <c r="B35" s="15" t="n">
        <v>4</v>
      </c>
      <c r="C35" s="4" t="s">
        <v>234</v>
      </c>
      <c r="D35" s="30" t="n">
        <f aca="false">SUMPRODUCT(($J$12:$J$31=4))</f>
        <v>1</v>
      </c>
      <c r="E35" s="30" t="n">
        <f aca="false">SUMPRODUCT(($J$12:$J$31=4)*($D$12:$D$31&lt;&gt;""))</f>
        <v>1</v>
      </c>
      <c r="F35" s="30" t="n">
        <f aca="false">SUMPRODUCT(($J$12:$J$31=4)*($D$12:$D$31="Atende"))</f>
        <v>1</v>
      </c>
      <c r="G35" s="30" t="n">
        <f aca="false">SUMPRODUCT(($J$12:$J$31=4)*($D$12:$D$31="Atende em parte"))</f>
        <v>0</v>
      </c>
      <c r="H35" s="30" t="n">
        <f aca="false">SUMPRODUCT(($J$12:$J$31=4)*($D$12:$D$31="Não atende"))</f>
        <v>0</v>
      </c>
      <c r="I35" s="31" t="n">
        <f aca="false">IF(E35=0,"",(F35+0.5*G35)/E35)</f>
        <v>1</v>
      </c>
    </row>
    <row r="36" customFormat="false" ht="19.5" hidden="false" customHeight="true" outlineLevel="0" collapsed="false">
      <c r="B36" s="15" t="n">
        <v>5</v>
      </c>
      <c r="C36" s="4" t="s">
        <v>235</v>
      </c>
      <c r="D36" s="30" t="n">
        <f aca="false">SUMPRODUCT(($J$12:$J$31=5))</f>
        <v>1</v>
      </c>
      <c r="E36" s="30" t="n">
        <f aca="false">SUMPRODUCT(($J$12:$J$31=5)*($D$12:$D$31&lt;&gt;""))</f>
        <v>1</v>
      </c>
      <c r="F36" s="30" t="n">
        <f aca="false">SUMPRODUCT(($J$12:$J$31=5)*($D$12:$D$31="Atende"))</f>
        <v>1</v>
      </c>
      <c r="G36" s="30" t="n">
        <f aca="false">SUMPRODUCT(($J$12:$J$31=5)*($D$12:$D$31="Atende em parte"))</f>
        <v>0</v>
      </c>
      <c r="H36" s="30" t="n">
        <f aca="false">SUMPRODUCT(($J$12:$J$31=5)*($D$12:$D$31="Não atende"))</f>
        <v>0</v>
      </c>
      <c r="I36" s="31" t="n">
        <f aca="false">IF(E36=0,"",(F36+0.5*G36)/E36)</f>
        <v>1</v>
      </c>
    </row>
    <row r="37" customFormat="false" ht="19.5" hidden="false" customHeight="true" outlineLevel="0" collapsed="false">
      <c r="B37" s="32" t="n">
        <v>6</v>
      </c>
      <c r="C37" s="4" t="s">
        <v>236</v>
      </c>
      <c r="D37" s="30" t="n">
        <f aca="false">SUMPRODUCT(($J$12:$J$31=6))</f>
        <v>1</v>
      </c>
      <c r="E37" s="30" t="n">
        <f aca="false">SUMPRODUCT(($J$12:$J$31=6)*($D$12:$D$31&lt;&gt;""))</f>
        <v>1</v>
      </c>
      <c r="F37" s="30" t="n">
        <f aca="false">SUMPRODUCT(($J$12:$J$31=6)*($D$12:$D$31="Atende"))</f>
        <v>0</v>
      </c>
      <c r="G37" s="30" t="n">
        <f aca="false">SUMPRODUCT(($J$12:$J$31=6)*($D$12:$D$31="Atende em parte"))</f>
        <v>1</v>
      </c>
      <c r="H37" s="30" t="n">
        <f aca="false">SUMPRODUCT(($J$12:$J$31=6)*($D$12:$D$31="Não atende"))</f>
        <v>0</v>
      </c>
      <c r="I37" s="31" t="n">
        <f aca="false">IF(E37=0,"",(F37+0.5*G37)/E37)</f>
        <v>0.5</v>
      </c>
    </row>
    <row r="38" customFormat="false" ht="19.5" hidden="false" customHeight="true" outlineLevel="0" collapsed="false">
      <c r="B38" s="33" t="n">
        <v>7</v>
      </c>
      <c r="C38" s="4" t="s">
        <v>237</v>
      </c>
      <c r="D38" s="30" t="n">
        <f aca="false">SUMPRODUCT(($J$12:$J$31=7))</f>
        <v>2</v>
      </c>
      <c r="E38" s="30" t="n">
        <f aca="false">SUMPRODUCT(($J$12:$J$31=7)*($D$12:$D$31&lt;&gt;""))</f>
        <v>2</v>
      </c>
      <c r="F38" s="30" t="n">
        <f aca="false">SUMPRODUCT(($J$12:$J$31=7)*($D$12:$D$31="Atende"))</f>
        <v>2</v>
      </c>
      <c r="G38" s="30" t="n">
        <f aca="false">SUMPRODUCT(($J$12:$J$31=7)*($D$12:$D$31="Atende em parte"))</f>
        <v>0</v>
      </c>
      <c r="H38" s="30" t="n">
        <f aca="false">SUMPRODUCT(($J$12:$J$31=7)*($D$12:$D$31="Não atende"))</f>
        <v>0</v>
      </c>
      <c r="I38" s="31" t="n">
        <f aca="false">IF(E38=0,"",(F38+0.5*G38)/E38)</f>
        <v>1</v>
      </c>
    </row>
    <row r="39" customFormat="false" ht="19.5" hidden="false" customHeight="true" outlineLevel="0" collapsed="false">
      <c r="B39" s="33" t="n">
        <v>8</v>
      </c>
      <c r="C39" s="4" t="s">
        <v>238</v>
      </c>
      <c r="D39" s="30" t="n">
        <f aca="false">SUMPRODUCT(($J$12:$J$31=8))</f>
        <v>5</v>
      </c>
      <c r="E39" s="30" t="n">
        <f aca="false">SUMPRODUCT(($J$12:$J$31=8)*($D$12:$D$31&lt;&gt;""))</f>
        <v>5</v>
      </c>
      <c r="F39" s="30" t="n">
        <f aca="false">SUMPRODUCT(($J$12:$J$31=8)*($D$12:$D$31="Atende"))</f>
        <v>3</v>
      </c>
      <c r="G39" s="30" t="n">
        <f aca="false">SUMPRODUCT(($J$12:$J$31=8)*($D$12:$D$31="Atende em parte"))</f>
        <v>2</v>
      </c>
      <c r="H39" s="30" t="n">
        <f aca="false">SUMPRODUCT(($J$12:$J$31=8)*($D$12:$D$31="Não atende"))</f>
        <v>0</v>
      </c>
      <c r="I39" s="31" t="n">
        <f aca="false">IF(E39=0,"",(F39+0.5*G39)/E39)</f>
        <v>0.8</v>
      </c>
    </row>
    <row r="40" customFormat="false" ht="19.5" hidden="false" customHeight="true" outlineLevel="0" collapsed="false">
      <c r="B40" s="34" t="n">
        <v>9</v>
      </c>
      <c r="C40" s="4" t="s">
        <v>239</v>
      </c>
      <c r="D40" s="30" t="n">
        <f aca="false">SUMPRODUCT(($J$12:$J$31=9))</f>
        <v>2</v>
      </c>
      <c r="E40" s="30" t="n">
        <f aca="false">SUMPRODUCT(($J$12:$J$31=9)*($D$12:$D$31&lt;&gt;""))</f>
        <v>2</v>
      </c>
      <c r="F40" s="30" t="n">
        <f aca="false">SUMPRODUCT(($J$12:$J$31=9)*($D$12:$D$31="Atende"))</f>
        <v>1</v>
      </c>
      <c r="G40" s="30" t="n">
        <f aca="false">SUMPRODUCT(($J$12:$J$31=9)*($D$12:$D$31="Atende em parte"))</f>
        <v>1</v>
      </c>
      <c r="H40" s="30" t="n">
        <f aca="false">SUMPRODUCT(($J$12:$J$31=9)*($D$12:$D$31="Não atende"))</f>
        <v>0</v>
      </c>
      <c r="I40" s="31" t="n">
        <f aca="false">IF(E40=0,"",(F40+0.5*G40)/E40)</f>
        <v>0.75</v>
      </c>
    </row>
    <row r="41" customFormat="false" ht="19.5" hidden="false" customHeight="true" outlineLevel="0" collapsed="false">
      <c r="B41" s="35" t="n">
        <v>10</v>
      </c>
      <c r="C41" s="4" t="s">
        <v>240</v>
      </c>
      <c r="D41" s="30" t="n">
        <f aca="false">SUMPRODUCT(($J$12:$J$31=10))</f>
        <v>1</v>
      </c>
      <c r="E41" s="30" t="n">
        <f aca="false">SUMPRODUCT(($J$12:$J$31=10)*($D$12:$D$31&lt;&gt;""))</f>
        <v>1</v>
      </c>
      <c r="F41" s="30" t="n">
        <f aca="false">SUMPRODUCT(($J$12:$J$31=10)*($D$12:$D$31="Atende"))</f>
        <v>0</v>
      </c>
      <c r="G41" s="30" t="n">
        <f aca="false">SUMPRODUCT(($J$12:$J$31=10)*($D$12:$D$31="Atende em parte"))</f>
        <v>1</v>
      </c>
      <c r="H41" s="30" t="n">
        <f aca="false">SUMPRODUCT(($J$12:$J$31=10)*($D$12:$D$31="Não atende"))</f>
        <v>0</v>
      </c>
      <c r="I41" s="31" t="n">
        <f aca="false">IF(E41=0,"",(F41+0.5*G41)/E41)</f>
        <v>0.5</v>
      </c>
    </row>
    <row r="42" customFormat="false" ht="19.5" hidden="false" customHeight="true" outlineLevel="0" collapsed="false">
      <c r="B42" s="15" t="s">
        <v>241</v>
      </c>
      <c r="C42" s="15"/>
      <c r="D42" s="36" t="n">
        <f aca="false">SUM(D35:D41)</f>
        <v>13</v>
      </c>
      <c r="E42" s="36" t="n">
        <f aca="false">SUM(E35:E41)</f>
        <v>13</v>
      </c>
      <c r="F42" s="36" t="n">
        <f aca="false">SUM(F35:F41)</f>
        <v>8</v>
      </c>
      <c r="G42" s="36" t="n">
        <f aca="false">SUM(G35:G41)</f>
        <v>5</v>
      </c>
      <c r="H42" s="36" t="n">
        <f aca="false">SUM(H35:H41)</f>
        <v>0</v>
      </c>
      <c r="I42" s="31" t="n">
        <f aca="false">IF(E42=0,"",(F42+0.5*G42)/E42)</f>
        <v>0.807692307692308</v>
      </c>
    </row>
    <row r="44" customFormat="false" ht="21.75" hidden="false" customHeight="true" outlineLevel="0" collapsed="false">
      <c r="B44" s="17" t="s">
        <v>242</v>
      </c>
      <c r="C44" s="17"/>
      <c r="D44" s="17"/>
      <c r="E44" s="17"/>
      <c r="F44" s="17"/>
      <c r="G44" s="17"/>
      <c r="H44" s="17"/>
      <c r="I44" s="17"/>
    </row>
    <row r="45" customFormat="false" ht="21" hidden="false" customHeight="true" outlineLevel="0" collapsed="false">
      <c r="B45" s="37" t="s">
        <v>245</v>
      </c>
      <c r="C45" s="37"/>
      <c r="D45" s="37"/>
      <c r="E45" s="31" t="n">
        <f aca="false">I42</f>
        <v>0.807692307692308</v>
      </c>
      <c r="F45" s="31"/>
      <c r="G45" s="31"/>
      <c r="H45" s="31"/>
      <c r="I45" s="31"/>
    </row>
    <row r="46" customFormat="false" ht="21" hidden="false" customHeight="true" outlineLevel="0" collapsed="false">
      <c r="B46" s="37" t="s">
        <v>246</v>
      </c>
      <c r="C46" s="37"/>
      <c r="D46" s="37"/>
      <c r="E46" s="36" t="str">
        <f aca="false">INDEX(C35:C41,MATCH(MIN(I35:I41),I35:I41,0))</f>
        <v>6 · Planejamento</v>
      </c>
      <c r="F46" s="36"/>
      <c r="G46" s="36"/>
      <c r="H46" s="36"/>
      <c r="I46" s="36"/>
    </row>
    <row r="47" customFormat="false" ht="21" hidden="false" customHeight="true" outlineLevel="0" collapsed="false">
      <c r="B47" s="37" t="s">
        <v>436</v>
      </c>
      <c r="C47" s="37"/>
      <c r="D47" s="37"/>
      <c r="E47" s="36" t="n">
        <f aca="false">G42+H42</f>
        <v>5</v>
      </c>
      <c r="F47" s="36"/>
      <c r="G47" s="36"/>
      <c r="H47" s="36"/>
      <c r="I47" s="36"/>
    </row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</sheetData>
  <mergeCells count="58">
    <mergeCell ref="B1:I1"/>
    <mergeCell ref="B2:I2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E11:F11"/>
    <mergeCell ref="G11:H11"/>
    <mergeCell ref="B12:I12"/>
    <mergeCell ref="E13:F13"/>
    <mergeCell ref="G13:H13"/>
    <mergeCell ref="B14:I14"/>
    <mergeCell ref="E15:F15"/>
    <mergeCell ref="G15:H15"/>
    <mergeCell ref="B16:I16"/>
    <mergeCell ref="E17:F17"/>
    <mergeCell ref="G17:H17"/>
    <mergeCell ref="B18:I18"/>
    <mergeCell ref="E19:F19"/>
    <mergeCell ref="G19:H19"/>
    <mergeCell ref="E20:F20"/>
    <mergeCell ref="G20:H20"/>
    <mergeCell ref="B21:I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B27:I27"/>
    <mergeCell ref="E28:F28"/>
    <mergeCell ref="G28:H28"/>
    <mergeCell ref="E29:F29"/>
    <mergeCell ref="G29:H29"/>
    <mergeCell ref="B30:I30"/>
    <mergeCell ref="E31:F31"/>
    <mergeCell ref="G31:H31"/>
    <mergeCell ref="B33:I33"/>
    <mergeCell ref="B42:C42"/>
    <mergeCell ref="B44:I44"/>
    <mergeCell ref="B45:D45"/>
    <mergeCell ref="E45:I45"/>
    <mergeCell ref="B46:D46"/>
    <mergeCell ref="E46:I46"/>
    <mergeCell ref="B47:D47"/>
    <mergeCell ref="E47:I47"/>
  </mergeCells>
  <conditionalFormatting sqref="D12:D31">
    <cfRule type="cellIs" priority="2" operator="equal" aboveAverage="0" equalAverage="0" bottom="0" percent="0" rank="0" text="" dxfId="0">
      <formula>"Atende"</formula>
    </cfRule>
    <cfRule type="cellIs" priority="3" operator="equal" aboveAverage="0" equalAverage="0" bottom="0" percent="0" rank="0" text="" dxfId="1">
      <formula>"Atende em parte"</formula>
    </cfRule>
    <cfRule type="cellIs" priority="4" operator="equal" aboveAverage="0" equalAverage="0" bottom="0" percent="0" rank="0" text="" dxfId="2">
      <formula>"Não atende"</formula>
    </cfRule>
  </conditionalFormatting>
  <conditionalFormatting sqref="I35:I42">
    <cfRule type="expression" priority="5" aboveAverage="0" equalAverage="0" bottom="0" percent="0" rank="0" text="" dxfId="0">
      <formula>AND(ISNUMBER(I35),I35&gt;=0.8)</formula>
    </cfRule>
    <cfRule type="expression" priority="6" aboveAverage="0" equalAverage="0" bottom="0" percent="0" rank="0" text="" dxfId="2">
      <formula>AND(ISNUMBER(I35),I35&lt;0.5)</formula>
    </cfRule>
    <cfRule type="expression" priority="7" aboveAverage="0" equalAverage="0" bottom="0" percent="0" rank="0" text="" dxfId="1">
      <formula>ISNUMBER(I35)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2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2026-10-01T17:22:38Z</dcterms:created>
  <dc:creator>Modelo ISO 9001</dc:creator>
  <dc:description/>
  <dc:language>pt-BR</dc:language>
  <cp:lastModifiedBy/>
  <dcterms:modified xsi:type="dcterms:W3CDTF">2026-10-01T17:22:38Z</dcterms:modified>
  <cp:revision>0</cp:revision>
  <dc:subject/>
  <dc:title>ISO 9001 — Modelo de diagnóstico, plano de ação e informação documentada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