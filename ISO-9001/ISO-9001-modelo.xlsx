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<sst xmlns="http://schemas.openxmlformats.org/spreadsheetml/2006/main" count="812" uniqueCount="437">
  <si>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</si>
  <si>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</si>
  <si>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</si>
  <si>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</si>
  <si>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</si>
  <si>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</si>
  <si>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</si>
  <si>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</si>
  <si>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</si>
  <si>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</si>
  <si>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</si>
  <si>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</si>
  <si>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</si>
  <si>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</si>
  <si>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</si>
  <si>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</si>
  <si>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</si>
  <si>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</si>
  <si>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</si>
  <si>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</si>
  <si>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</si>
  <si>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</si>
  <si>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</si>
  <si>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</si>
  <si>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</si>
  <si>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</si>
  <si>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</si>
  <si>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</si>
  <si>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</si>
  <si>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</si>
  <si>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</si>
  <si>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</si>
  <si>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</si>
  <si>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</si>
  <si>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</si>
  <si>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</si>
  <si>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</si>
  <si>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</si>
  <si>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</si>
  <si>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</si>
  <si>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</si>
  <si>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</si>
  <si>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</si>
  <si>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</si>
  <si>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</si>
  <si>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</si>
  <si>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</si>
  <si>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</si>
  <si>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</si>
  <si>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</si>
  <si>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reunidos, e os itens dos requisitos 8.3 e 9.3 foram tratados em conjunto.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</si>
  <si>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</si>
  <si>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</si>
  <si>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</si>
  <si>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</si>
  <si>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</si>
  <si>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</si>
  <si>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</si>
  <si>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</si>
  <si>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</si>
  <si>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</si>
  <si>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</si>
  <si>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</si>
  <si>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</si>
  <si>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</si>
  <si>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</si>
  <si>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</si>
  <si>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</si>
  <si>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</si>
  <si>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</si>
  <si>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</si>
  <si>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</si>
  <si>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</si>
  <si>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</si>
  <si>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</si>
  <si>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</si>
  <si>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</si>
  <si>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</si>
  <si>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</si>
  <si>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</si>
  <si>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</si>
  <si>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</si>
  <si>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</si>
  <si>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</si>
  <si>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</si>
  <si>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</si>
  <si>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</si>
  <si>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</si>
  <si>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</si>
  <si>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</si>
  <si>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</si>
  <si>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</si>
  <si>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</si>
  <si>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</si>
  <si>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</si>
  <si>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</si>
  <si>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</si>
  <si>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</si>
  <si>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</si>
  <si>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</si>
  <si>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</si>
  <si>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</si>
  <si>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</si>
  <si>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</si>
  <si>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</si>
  <si>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</si>
  <si>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</si>
  <si>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</si>
  <si>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</si>
  <si>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</si>
  <si>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</si>
  <si>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</si>
  <si>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</si>
  <si>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</si>
  <si>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</si>
  <si>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</si>
  <si>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</si>
  <si>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</si>
  <si>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</si>
  <si>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</si>
  <si>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</si>
  <si>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</si>
  <si>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</si>
  <si>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</si>
  <si>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</si>
  <si>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</si>
  <si>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</si>
  <si>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</si>
  <si>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</si>
  <si>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</si>
  <si>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</si>
  <si>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</si>
  <si>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</si>
  <si>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</si>
  <si>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</si>
  <si>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</si>
  <si>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</si>
  <si>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</si>
  <si>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</si>
  <si>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</si>
  <si>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</si>
  <si>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</si>
  <si>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</si>
  <si>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</si>
  <si>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</si>
  <si>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</si>
  <si>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</si>
  <si>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</si>
  <si>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</si>
  <si>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</si>
  <si>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</si>
  <si>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</si>
  <si>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</si>
  <si>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</si>
  <si>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</si>
  <si>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</si>
  <si>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</si>
  <si>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</si>
  <si>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</si>
  <si>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</si>
  <si>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</si>
  <si>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</si>
  <si>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</si>
  <si>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</si>
  <si>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</si>
  <si>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</si>
  <si>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</si>
  <si>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</si>
  <si>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</si>
  <si>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</si>
  <si>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</si>
  <si>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</si>
  <si>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</si>
  <si>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</si>
  <si>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</si>
  <si>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</si>
  <si>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</si>
  <si>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</si>
  <si>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</si>
  <si>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</si>
  <si>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</si>
  <si>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</si>
  <si>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</si>
  <si>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</si>
  <si>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</si>
  <si>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</si>
  <si>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</si>
  <si>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</si>
  <si>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</si>
  <si>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</si>
  <si>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</si>
  <si>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</si>
  <si>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</si>
  <si>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</si>
  <si>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</si>
  <si>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</si>
  <si>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</si>
  <si>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</si>
  <si>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</si>
  <si>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</si>
  <si>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</si>
  <si>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</si>
  <si>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</si>
  <si>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</si>
  <si>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</si>
  <si>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</si>
  <si>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</si>
  <si>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</si>
  <si>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</si>
  <si>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</si>
  <si>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</si>
  <si>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</si>
  <si>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</si>
  <si>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</si>
  <si>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</si>
  <si>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</si>
  <si>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</si>
  <si>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</si>
  <si>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</si>
  <si>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</si>
  <si>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</si>
  <si>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</si>
  <si>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</si>
  <si>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</si>
  <si>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</si>
  <si>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</si>
  <si>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</si>
  <si>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</si>
  <si>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</si>
  <si>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</si>
  <si>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</si>
  <si>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</si>
  <si>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</si>
  <si>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</si>
  <si>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</si>
  <si>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</si>
  <si>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</si>
  <si>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</si>
  <si>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</si>
  <si>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</si>
  <si>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</si>
  <si>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</si>
  <si>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</si>
  <si>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</si>
  <si>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</si>
  <si>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</si>
  <si>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</si>
  <si>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</si>
  <si>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</si>
  <si>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</si>
  <si>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</si>
  <si>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</si>
  <si>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</si>
  <si>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</si>
  <si>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</si>
  <si>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</si>
  <si>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</si>
  <si>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</si>
  <si>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</si>
  <si>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</si>
  <si>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</si>
  <si>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</si>
  <si>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</si>
  <si>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</si>
  <si>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</si>
  <si>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</si>
  <si>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</si>
  <si>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</si>
  <si>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</si>
  <si>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</si>
  <si>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</si>
  <si>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</si>
  <si>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</si>
  <si>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</si>
  <si>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</si>
  <si>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</si>
  <si>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</si>
  <si>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</si>
  <si>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</si>
  <si>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</si>
  <si>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</si>
  <si>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</si>
  <si>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</si>
  <si>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</si>
  <si>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</si>
  <si>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</si>
  <si>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</si>
  <si>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</si>
  <si>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</si>
  <si>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</si>
  <si>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</si>
  <si>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</si>
  <si>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</si>
  <si>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</si>
  <si>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</si>
  <si>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</si>
  <si>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</si>
  <si>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</si>
  <si>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</si>
  <si>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</si>
  <si>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</si>
  <si>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</si>
  <si>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</si>
  <si>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</si>
  <si>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</si>
  <si>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</si>
  <si>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</si>
  <si>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</si>
  <si>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</si>
  <si>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</si>
  <si>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</si>
  <si>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</si>
  <si>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</si>
  <si>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</si>
  <si>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</si>
  <si>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</si>
  <si>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</si>
  <si>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</si>
  <si>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</si>
  <si>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</si>
  <si>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</si>
  <si>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</si>
  <si>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</si>
  <si>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</si>
  <si>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</si>
  <si>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</si>
  <si>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</si>
  <si>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</si>
  <si>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</si>
  <si>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</si>
  <si>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</si>
  <si>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</si>
  <si>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</si>
  <si>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</si>
  <si>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</si>
  <si>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</si>
  <si>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</si>
  <si>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</si>
  <si>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</si>
  <si>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</si>
  <si>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</si>
  <si>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</si>
  <si>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</si>
  <si>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</si>
  <si>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</si>
  <si>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</si>
  <si>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</si>
  <si>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</si>
  <si>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</si>
  <si>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</si>
  <si>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</si>
  <si>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</si>
  <si>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</si>
  <si>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</si>
  <si>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</si>
  <si>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</si>
  <si>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</si>
  <si>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</si>
  <si>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</si>
  <si>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</si>
  <si>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</si>
  <si>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</si>
  <si>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</si>
  <si>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</si>
  <si>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</si>
  <si>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</si>
  <si>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</si>
  <si>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</si>
  <si>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</si>
  <si>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</si>
  <si>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</si>
  <si>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</si>
  <si>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</si>
  <si>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</si>
  <si>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</si>
  <si>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</si>
  <si>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</si>
  <si>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</si>
  <si>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</si>
  <si>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</si>
  <si>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</si>
  <si>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</si>
  <si>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</si>
  <si>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</si>
  <si>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</si>
  <si>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</si>
  <si>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</si>
  <si>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</si>
  <si>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</si>
  <si>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</si>
  <si>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</si>
  <si>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</si>
  <si>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Reclamação atendida com reposição ou desconto.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</si>
  <si>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</si>
  <si>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</si>
  <si>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</si>
  <si>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</si>
  <si>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</si>
  <si>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</si>
  <si>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</si>
  <si>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</si>
  <si>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</si>
  <si>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</si>
  <si>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</si>
  <si>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</si>
  <si>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</si>
  <si>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</si>
  <si>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</si>
  <si>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</si>
  <si>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</si>
  <si>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</si>
  <si>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</si>
  <si>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</si>
  <si>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</si>
  <si>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</si>
  <si>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</si>
  <si>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</si>
  <si>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</si>
  <si>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</si>
  <si>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</si>
  <si>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</si>
  <si>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os itens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</si>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</sst>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667035"/>
        <c:axId val="13567041"/>
      </c:barChart>
      <c:catAx>
        <c:axId val="66703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567041"/>
        <c:crosses val="autoZero"/>
        <c:auto val="1"/>
        <c:lblAlgn val="ctr"/>
        <c:lblOffset val="100"/>
        <c:noMultiLvlLbl val="0"/>
      </c:catAx>
      <c:valAx>
        <c:axId val="1356704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7035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83770008"/>
        <c:axId val="72310626"/>
      </c:barChart>
      <c:catAx>
        <c:axId val="8377000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310626"/>
        <c:crosses val="autoZero"/>
        <c:auto val="1"/>
        <c:lblAlgn val="ctr"/>
        <c:lblOffset val="100"/>
        <c:noMultiLvlLbl val="0"/>
      </c:catAx>
      <c:valAx>
        <c:axId val="7231062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770008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3006611"/>
        <c:axId val="16144123"/>
      </c:barChart>
      <c:catAx>
        <c:axId val="300661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44123"/>
        <c:crosses val="autoZero"/>
        <c:auto val="1"/>
        <c:lblAlgn val="ctr"/>
        <c:lblOffset val="100"/>
        <c:noMultiLvlLbl val="0"/>
      </c:catAx>
      <c:valAx>
        <c:axId val="1614412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06611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90720</xdr:rowOff>
    </xdr:to>
    <xdr:graphicFrame>
      <xdr:nvGraphicFramePr>
        <xdr:cNvPr id="1" name="Chart 1"/>
        <xdr:cNvGraphicFramePr/>
      </xdr:nvGraphicFramePr>
      <xdr:xfrm>
        <a:off x="141120" y="2908944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34.5" hidden="false" customHeight="true" outlineLevel="0" collapsed="false">
      <c r="B18" s="18" t="s">
        <v>101</v>
      </c>
      <c r="C18" s="4" t="s">
        <v>102</v>
      </c>
      <c r="D18" s="50" t="s">
        <v>12</v>
      </c>
      <c r="E18" s="7" t="s">
        <v>350</v>
      </c>
      <c r="F18" s="7"/>
      <c r="G18" s="7"/>
      <c r="H18" s="7"/>
      <c r="I18" s="21" t="n">
        <f aca="false">IF(D18="Atende",1,IF(D18="Atende em parte",0.5,0))</f>
        <v>1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351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352</v>
      </c>
      <c r="F20" s="7"/>
      <c r="G20" s="7" t="s">
        <v>353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354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355</v>
      </c>
      <c r="F23" s="7"/>
      <c r="G23" s="7" t="s">
        <v>356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357</v>
      </c>
      <c r="F24" s="7"/>
      <c r="G24" s="7" t="s">
        <v>358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359</v>
      </c>
      <c r="F25" s="7"/>
      <c r="G25" s="7" t="s">
        <v>360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361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362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363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364</v>
      </c>
      <c r="F30" s="7"/>
      <c r="G30" s="7" t="s">
        <v>365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366</v>
      </c>
      <c r="F31" s="7"/>
      <c r="G31" s="7" t="s">
        <v>367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368</v>
      </c>
      <c r="F32" s="7"/>
      <c r="G32" s="7" t="s">
        <v>369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370</v>
      </c>
      <c r="F33" s="7"/>
      <c r="G33" s="7" t="s">
        <v>371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372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373</v>
      </c>
      <c r="F35" s="7"/>
      <c r="G35" s="7" t="s">
        <v>374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375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376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377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378</v>
      </c>
      <c r="F40" s="7"/>
      <c r="G40" s="7" t="s">
        <v>379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380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381</v>
      </c>
      <c r="F42" s="7"/>
      <c r="G42" s="7" t="s">
        <v>382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383</v>
      </c>
      <c r="F43" s="7"/>
      <c r="G43" s="7" t="s">
        <v>384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385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386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387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388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389</v>
      </c>
      <c r="F48" s="7"/>
      <c r="G48" s="7" t="s">
        <v>390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391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34.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392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393</v>
      </c>
      <c r="F51" s="7"/>
      <c r="G51" s="7" t="s">
        <v>394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395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396</v>
      </c>
      <c r="F53" s="7"/>
      <c r="G53" s="7" t="s">
        <v>397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398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399</v>
      </c>
      <c r="F56" s="7"/>
      <c r="G56" s="7" t="s">
        <v>400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401</v>
      </c>
      <c r="F57" s="7"/>
      <c r="G57" s="7" t="s">
        <v>402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403</v>
      </c>
      <c r="F58" s="7"/>
      <c r="G58" s="7" t="s">
        <v>404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405</v>
      </c>
      <c r="F59" s="7"/>
      <c r="G59" s="7" t="s">
        <v>406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407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408</v>
      </c>
      <c r="F62" s="7"/>
      <c r="G62" s="7" t="s">
        <v>409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410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411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3</v>
      </c>
      <c r="G68" s="30" t="n">
        <f aca="false">SUMPRODUCT(($J$12:$J$63=5)*($D$12:$D$63="Atende em parte"))</f>
        <v>0</v>
      </c>
      <c r="H68" s="30" t="n">
        <f aca="false">SUMPRODUCT(($J$12:$J$63=5)*($D$12:$D$63="Não atende"))</f>
        <v>1</v>
      </c>
      <c r="I68" s="31" t="n">
        <f aca="false">IF(E68=0,"",(F68+0.5*G68)/E68)</f>
        <v>0.75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21</v>
      </c>
      <c r="G74" s="36" t="n">
        <f aca="false">SUM(G67:G73)</f>
        <v>19</v>
      </c>
      <c r="H74" s="36" t="n">
        <f aca="false">SUM(H67:H73)</f>
        <v>5</v>
      </c>
      <c r="I74" s="31" t="n">
        <f aca="false">IF(E74=0,"",(F74+0.5*G74)/E74)</f>
        <v>0.677777777777778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0.677777777777778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413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414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415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416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417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418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419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420</v>
      </c>
      <c r="F17" s="7"/>
      <c r="G17" s="7" t="s">
        <v>421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422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423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424</v>
      </c>
      <c r="F22" s="7"/>
      <c r="G22" s="7" t="s">
        <v>425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426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427</v>
      </c>
      <c r="F24" s="7"/>
      <c r="G24" s="7" t="s">
        <v>428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429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430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431</v>
      </c>
      <c r="F28" s="7"/>
      <c r="G28" s="7" t="s">
        <v>432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433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434</v>
      </c>
      <c r="F31" s="7"/>
      <c r="G31" s="7" t="s">
        <v>435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411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436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2026-10-01T12:11:01Z</dcterms:created>
  <dc:creator>Modelo ISO 9001</dc:creator>
  <dc:description/>
  <dc:language>pt-BR</dc:language>
  <cp:lastModifiedBy/>
  <dcterms:modified xsi:type="dcterms:W3CDTF">2026-10-01T12:11:01Z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