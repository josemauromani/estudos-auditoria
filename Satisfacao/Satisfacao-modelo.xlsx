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Pesquisa" sheetId="2" state="visible" r:id="rId4"/>
    <sheet name="Respostas" sheetId="3" state="visible" r:id="rId5"/>
    <sheet name="Reclamações" sheetId="4" state="visible" r:id="rId6"/>
    <sheet name="Painel" sheetId="5" state="visible" r:id="rId7"/>
    <sheet name="Checklist" sheetId="6" state="visible" r:id="rId8"/>
    <sheet name="Exemplo 1 - Pizzaria" sheetId="7" state="visible" r:id="rId9"/>
    <sheet name="Exemplo 2 - Indústria" sheetId="8" state="visible" r:id="rId10"/>
  </sheets>
  <definedNames>
    <definedName function="false" hidden="false" localSheetId="5" name="_xlnm.Print_Area" vbProcedure="false">Checklist!$B$1:$E$24</definedName>
    <definedName function="false" hidden="false" localSheetId="6" name="_xlnm.Print_Area" vbProcedure="false">'Exemplo 1 - Pizzaria'!$B$1:$M$37</definedName>
    <definedName function="false" hidden="false" localSheetId="7" name="_xlnm.Print_Area" vbProcedure="false">'Exemplo 2 - Indústria'!$B$1:$M$30</definedName>
    <definedName function="false" hidden="false" localSheetId="0" name="_xlnm.Print_Area" vbProcedure="false">Instruções!$B$1:$C$40</definedName>
    <definedName function="false" hidden="false" localSheetId="4" name="_xlnm.Print_Area" vbProcedure="false">Painel!$B$1:$F$34</definedName>
    <definedName function="false" hidden="false" localSheetId="1" name="_xlnm.Print_Area" vbProcedure="false">Pesquisa!$B$1:$E$29</definedName>
    <definedName function="false" hidden="false" localSheetId="3" name="_xlnm.Print_Area" vbProcedure="false">Reclamações!$B$1:$M$47</definedName>
    <definedName function="false" hidden="false" localSheetId="2" name="_xlnm.Print_Area" vbProcedure="false">Respostas!$B$1:$M$79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B17" authorId="0">
      <text>
        <r>
          <rPr>
            <sz val="10"/>
            <rFont val="Arial"/>
            <family val="2"/>
          </rPr>
          <t xml:space="preserve">Ex.: "Entrega atrasada", "Pizza fria", "Pedido errado ou incompleto".</t>
        </r>
      </text>
    </comment>
    <comment ref="C8" authorId="0">
      <text>
        <r>
          <rPr>
            <sz val="10"/>
            <rFont val="Arial"/>
            <family val="2"/>
          </rPr>
          <t xml:space="preserve">Uma pergunta, uma coisa: "Como foi a entrega?". Evite juntar assuntos.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H4" authorId="0">
      <text>
        <r>
          <rPr>
            <sz val="10"/>
            <rFont val="Arial"/>
            <family val="2"/>
          </rPr>
          <t xml:space="preserve">Data em que o cliente recebeu a primeira resposta: quem cuida e o que vai ser feito. Prazo do modelo: 2 dias úteis.</t>
        </r>
      </text>
    </comment>
    <comment ref="L4" authorId="0">
      <text>
        <r>
          <rPr>
            <sz val="10"/>
            <rFont val="Arial"/>
            <family val="2"/>
          </rPr>
          <t xml:space="preserve">Reclamação grave ou repetida vira registro de não conformidade, com análise de causa.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7" authorId="0">
      <text>
        <r>
          <rPr>
            <sz val="10"/>
            <rFont val="Arial"/>
            <family val="2"/>
          </rPr>
          <t xml:space="preserve">A meta da nota média depende da escala: 4,3 em 5, 8,0 em 10. Informe a sua.</t>
        </r>
      </text>
    </comment>
  </commentList>
</comments>
</file>

<file path=xl/sharedStrings.xml><?xml version="1.0" encoding="utf-8"?>
<sst xmlns="http://schemas.openxmlformats.org/spreadsheetml/2006/main" count="347" uniqueCount="254">
  <si>
    <t xml:space="preserve">Satisfação do cliente — Como usar esta planilha</t>
  </si>
  <si>
    <t xml:space="preserve">Modelo para definir a pesquisa, lançar as respostas, registrar as reclamações e ler os indicadores do período.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</si>
  <si>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</si>
  <si>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</si>
  <si>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</si>
  <si>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</si>
  <si>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médias, classificações, indicadores, avisos).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</si>
  <si>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</si>
  <si>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</si>
  <si>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</si>
  <si>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Colunas de canal, situação e status aceitam apenas as opções da lista. As notas aceitam números dentro da escala.</t>
  </si>
  <si>
    <t xml:space="preserve">Comentários</t>
  </si>
  <si>
    <t xml:space="preserve">Células com triângulo vermelho no canto trazem uma dica de preenchimento. Passe o mouse sobre elas.</t>
  </si>
  <si>
    <t xml:space="preserve">As regras de cálculo</t>
  </si>
  <si>
    <t xml:space="preserve">Escala</t>
  </si>
  <si>
    <t xml:space="preserve">As perguntas usam uma escala só, de 1 a 5 ou de 0 a 10, escolhida na aba Pesquisa. A nota máxima define o limite de satisfeito.</t>
  </si>
  <si>
    <t xml:space="preserve">Satisfeito</t>
  </si>
  <si>
    <t xml:space="preserve">Nota igual ou acima de 80% da escala: 4 em 5, 8 em 10. Percentual de satisfeitos = notas nesse nível sobre as respostas.</t>
  </si>
  <si>
    <t xml:space="preserve">Indicação</t>
  </si>
  <si>
    <t xml:space="preserve">Pergunta de 0 a 10. Promotor dá 9 ou 10; neutro, 7 ou 8; detrator, de 0 a 6. Indicação = promotores menos detratores, em percentual das respostas.</t>
  </si>
  <si>
    <t xml:space="preserve">Reclamações por 100</t>
  </si>
  <si>
    <t xml:space="preserve">Reclamações do período ÷ pedidos do período × 100. Os pedidos são informados na aba Painel.</t>
  </si>
  <si>
    <t xml:space="preserve">Prazos</t>
  </si>
  <si>
    <t xml:space="preserve">Resposta em até 2 dias úteis e solução em até 10 dias, neste modelo. A organização define os seus.</t>
  </si>
  <si>
    <t xml:space="preserve">Ordem recomendada de preenchimento</t>
  </si>
  <si>
    <t xml:space="preserve">Passo 1</t>
  </si>
  <si>
    <t xml:space="preserve">Aba Pesquisa: escreva o período, o canal, a escala e as perguntas, uma por coisa que o cliente valoriza.</t>
  </si>
  <si>
    <t xml:space="preserve">Passo 2</t>
  </si>
  <si>
    <t xml:space="preserve">Aba Respostas: lance cada resposta, com as notas, a indicação e o comentário.</t>
  </si>
  <si>
    <t xml:space="preserve">Passo 3</t>
  </si>
  <si>
    <t xml:space="preserve">Aba Reclamações: registre cada reclamação, com motivo, datas de resposta e de solução, e situação.</t>
  </si>
  <si>
    <t xml:space="preserve">Passo 4</t>
  </si>
  <si>
    <t xml:space="preserve">Aba Painel: informe os pedidos ou clientes do período e as metas, e leia os indicadores.</t>
  </si>
  <si>
    <t xml:space="preserve">Passo 5</t>
  </si>
  <si>
    <t xml:space="preserve">Escolha o motivo mais frequente e decida uma ação. Registre a devolutiva ao cliente.</t>
  </si>
  <si>
    <t xml:space="preserve">Passo 6</t>
  </si>
  <si>
    <t xml:space="preserve">Aba Checklist: valide o sistema de satisfação.</t>
  </si>
  <si>
    <t xml:space="preserve">Abas da planilha</t>
  </si>
  <si>
    <t xml:space="preserve">Pesquisa</t>
  </si>
  <si>
    <t xml:space="preserve">Até 5 perguntas, com a escala, o período e o canal. Calcula o limite de satisfeito.</t>
  </si>
  <si>
    <t xml:space="preserve">Respostas</t>
  </si>
  <si>
    <t xml:space="preserve">Até 60 respostas. Calcula a média por pergunta, o percentual de satisfeitos e a classificação da indicação.</t>
  </si>
  <si>
    <t xml:space="preserve">Reclamações</t>
  </si>
  <si>
    <t xml:space="preserve">Até 30 reclamações. Calcula o prazo de resposta e a situação de cada uma, e conta os motivos.</t>
  </si>
  <si>
    <t xml:space="preserve">Painel</t>
  </si>
  <si>
    <t xml:space="preserve">Os indicadores do período, com meta e situação, e o gráfico das perguntas.</t>
  </si>
  <si>
    <t xml:space="preserve">Checklist</t>
  </si>
  <si>
    <t xml:space="preserve">Doze verificações de qualidade do sistema, com percentual de conclusão.</t>
  </si>
  <si>
    <t xml:space="preserve">Exemplo 1 - Pizzaria</t>
  </si>
  <si>
    <t xml:space="preserve">A pesquisa depois da entrega, por mês, com os motivos e as reclamações.</t>
  </si>
  <si>
    <t xml:space="preserve">Exemplo 2 - Indústria</t>
  </si>
  <si>
    <t xml:space="preserve">A pesquisa anual, por segmento, com os motivos das reclamações.</t>
  </si>
  <si>
    <t xml:space="preserve">Regras e premissas do modelo</t>
  </si>
  <si>
    <t xml:space="preserve">Amostra</t>
  </si>
  <si>
    <t xml:space="preserve">O resultado vale para quem respondeu. A taxa de resposta aparece no Painel ao lado da nota.</t>
  </si>
  <si>
    <t xml:space="preserve">Motivos</t>
  </si>
  <si>
    <t xml:space="preserve">Escreva o motivo da reclamação sempre com as mesmas palavras, para que a contagem por motivo funcione. Use a lista da aba Pesquisa.</t>
  </si>
  <si>
    <t xml:space="preserve">Situação da reclamação</t>
  </si>
  <si>
    <t xml:space="preserve">Aberta: sem resposta. Respondida: com resposta, sem solução. Resolvida: com solução. A situação é calculada pelas datas.</t>
  </si>
  <si>
    <t xml:space="preserve">Exemplos</t>
  </si>
  <si>
    <t xml:space="preserve">Os dados das abas de exemplo são ilustrativos, criados para este material.</t>
  </si>
  <si>
    <t xml:space="preserve">A pesquisa</t>
  </si>
  <si>
    <t xml:space="preserve">Defina o período, o canal, a escala e as perguntas. Uma pergunta por coisa que o cliente valoriza.</t>
  </si>
  <si>
    <t xml:space="preserve">Organização</t>
  </si>
  <si>
    <t xml:space="preserve">Período e canal</t>
  </si>
  <si>
    <t xml:space="preserve">Escala: nota máxima (5 ou 10)</t>
  </si>
  <si>
    <t xml:space="preserve">Nota mínima para contar como satisfeito</t>
  </si>
  <si>
    <t xml:space="preserve">80% da escala: 4 em 5, 8 em 10.</t>
  </si>
  <si>
    <t xml:space="preserve">#</t>
  </si>
  <si>
    <t xml:space="preserve">Pergunta</t>
  </si>
  <si>
    <t xml:space="preserve">O que mede</t>
  </si>
  <si>
    <t xml:space="preserve">Conferência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</si>
  <si>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</si>
  <si>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</si>
  <si>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</si>
  <si>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</si>
  <si>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</si>
  <si>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Pergunta de indicação, de 0 a 10</t>
  </si>
  <si>
    <t xml:space="preserve">Você indicaria a um amigo ou colega?</t>
  </si>
  <si>
    <t xml:space="preserve">Campo aberto</t>
  </si>
  <si>
    <t xml:space="preserve">O que podemos melhorar?</t>
  </si>
  <si>
    <t xml:space="preserve">Motivos de reclamação e de nota baixa: escreva sempre com as mesmas palavras</t>
  </si>
  <si>
    <t xml:space="preserve">Resumo automático</t>
  </si>
  <si>
    <t xml:space="preserve">Perguntas cadastradas</t>
  </si>
  <si>
    <t xml:space="preserve">Aviso</t>
  </si>
  <si>
    <t xml:space="preserve">Respostas da pesquisa</t>
  </si>
  <si>
    <t xml:space="preserve">Uma linha por resposta. As notas seguem a escala da aba Pesquisa. A indicação é sempre de 0 a 10.</t>
  </si>
  <si>
    <t xml:space="preserve">Data</t>
  </si>
  <si>
    <t xml:space="preserve">Cliente ou pedido</t>
  </si>
  <si>
    <t xml:space="preserve">Indicação (0 a 10)</t>
  </si>
  <si>
    <t xml:space="preserve">Classificação</t>
  </si>
  <si>
    <t xml:space="preserve">Comentário</t>
  </si>
  <si>
    <t xml:space="preserve">As perguntas vêm da aba Pesquisa</t>
  </si>
  <si>
    <t xml:space="preserve">Da resposta</t>
  </si>
  <si>
    <t xml:space="preserve">Identificação</t>
  </si>
  <si>
    <t xml:space="preserve">Nota</t>
  </si>
  <si>
    <t xml:space="preserve">0 a 10</t>
  </si>
  <si>
    <t xml:space="preserve">Calculada</t>
  </si>
  <si>
    <t xml:space="preserve">Leitura por pergunta</t>
  </si>
  <si>
    <t xml:space="preserve">Média</t>
  </si>
  <si>
    <t xml:space="preserve">Satisfeitos</t>
  </si>
  <si>
    <t xml:space="preserve">Respostas registradas</t>
  </si>
  <si>
    <t xml:space="preserve">Média geral</t>
  </si>
  <si>
    <t xml:space="preserve">Promotores, neutros e detratores</t>
  </si>
  <si>
    <t xml:space="preserve">Uma linha por reclamação, de qualquer canal. O prazo de resposta e a situação são calculados pelas datas.</t>
  </si>
  <si>
    <t xml:space="preserve">Canal</t>
  </si>
  <si>
    <t xml:space="preserve">Motivo</t>
  </si>
  <si>
    <t xml:space="preserve">Descrição</t>
  </si>
  <si>
    <t xml:space="preserve">Respondida em</t>
  </si>
  <si>
    <t xml:space="preserve">Resolvida em</t>
  </si>
  <si>
    <t xml:space="preserve">Dias até a resposta</t>
  </si>
  <si>
    <t xml:space="preserve">Tratamento</t>
  </si>
  <si>
    <t xml:space="preserve">RNC nº</t>
  </si>
  <si>
    <t xml:space="preserve">Situação</t>
  </si>
  <si>
    <t xml:space="preserve">Do registro</t>
  </si>
  <si>
    <t xml:space="preserve">Escolha na lista</t>
  </si>
  <si>
    <t xml:space="preserve">Da lista da aba Pesquisa</t>
  </si>
  <si>
    <t xml:space="preserve">O que aconteceu e o que o cliente pede</t>
  </si>
  <si>
    <t xml:space="preserve">Primeira resposta</t>
  </si>
  <si>
    <t xml:space="preserve">Solução</t>
  </si>
  <si>
    <t xml:space="preserve">O que foi feito</t>
  </si>
  <si>
    <t xml:space="preserve">Se virou RNC</t>
  </si>
  <si>
    <t xml:space="preserve">Ex.</t>
  </si>
  <si>
    <t xml:space="preserve">Pedido 2.671</t>
  </si>
  <si>
    <t xml:space="preserve">Telefone</t>
  </si>
  <si>
    <t xml:space="preserve">Pizza fria</t>
  </si>
  <si>
    <t xml:space="preserve">Pizza fria em condomínio: 15 minutos na portaria.</t>
  </si>
  <si>
    <t xml:space="preserve">Pizza reposta. Entrega na porta combinada com a portaria.</t>
  </si>
  <si>
    <t xml:space="preserve">Resolvida</t>
  </si>
  <si>
    <t xml:space="preserve">Reclamações por motivo</t>
  </si>
  <si>
    <t xml:space="preserve">Reclamações registradas</t>
  </si>
  <si>
    <t xml:space="preserve">Abertas, sem resposta</t>
  </si>
  <si>
    <t xml:space="preserve">Respondidas no prazo</t>
  </si>
  <si>
    <t xml:space="preserve">Dias até a resposta, em média</t>
  </si>
  <si>
    <t xml:space="preserve">Resolvidas</t>
  </si>
  <si>
    <t xml:space="preserve">Painel da satisfação</t>
  </si>
  <si>
    <t xml:space="preserve">Os indicadores do período, com meta e situação. Informe os pedidos do período e as metas.</t>
  </si>
  <si>
    <t xml:space="preserve">Pedidos ou clientes atendidos no período</t>
  </si>
  <si>
    <t xml:space="preserve">Base da taxa de resposta e das reclamações por 100.</t>
  </si>
  <si>
    <t xml:space="preserve">Período</t>
  </si>
  <si>
    <t xml:space="preserve">Indicador</t>
  </si>
  <si>
    <t xml:space="preserve">Resultado</t>
  </si>
  <si>
    <t xml:space="preserve">Meta</t>
  </si>
  <si>
    <t xml:space="preserve">Como se lê</t>
  </si>
  <si>
    <t xml:space="preserve">Taxa de resposta</t>
  </si>
  <si>
    <t xml:space="preserve">Respostas sobre pedidos. Leia a nota junto com ela.</t>
  </si>
  <si>
    <t xml:space="preserve">Nota média das perguntas</t>
  </si>
  <si>
    <t xml:space="preserve">Média de todas as notas, na escala da pesquisa.</t>
  </si>
  <si>
    <t xml:space="preserve">Notas iguais ou acima do limite, sobre as notas.</t>
  </si>
  <si>
    <t xml:space="preserve">Promotores menos detratores, de −100 a 100.</t>
  </si>
  <si>
    <t xml:space="preserve">Reclamações por 100 pedidos</t>
  </si>
  <si>
    <t xml:space="preserve">Reclamações sobre pedidos, vezes 100.</t>
  </si>
  <si>
    <t xml:space="preserve">Respostas em até 2 dias, sobre as respondidas.</t>
  </si>
  <si>
    <t xml:space="preserve">Da data do registro à primeira resposta.</t>
  </si>
  <si>
    <t xml:space="preserve">Indicadores na meta</t>
  </si>
  <si>
    <t xml:space="preserve">Motivo mais frequente</t>
  </si>
  <si>
    <t xml:space="preserve">Média por pergunta</t>
  </si>
  <si>
    <t xml:space="preserve">Checklist da satisfação do cliente</t>
  </si>
  <si>
    <t xml:space="preserve">Escolha o status de cada item na lista suspensa (coluna em amarelo-claro).</t>
  </si>
  <si>
    <t xml:space="preserve">Item de verificação</t>
  </si>
  <si>
    <t xml:space="preserve">Status</t>
  </si>
  <si>
    <t xml:space="preserve">Observações</t>
  </si>
  <si>
    <t xml:space="preserve">Está definido quem é o cliente e o que ele valoriza no produto ou no serviço.</t>
  </si>
  <si>
    <t xml:space="preserve">Há pelo menos uma fonte de cada família: o que o cliente diz quando perguntamos, o que diz sem perguntar e o que faz.</t>
  </si>
  <si>
    <t xml:space="preserve">A pesquisa é curta, com perguntas ligadas ao que o cliente valoriza, e tem frequência definida.</t>
  </si>
  <si>
    <t xml:space="preserve">A amostra e a taxa de resposta são conhecidas, e o resultado não é generalizado além delas.</t>
  </si>
  <si>
    <t xml:space="preserve">Toda reclamação é registrada, de qualquer canal, com data, motivo e o que o cliente pede.</t>
  </si>
  <si>
    <t xml:space="preserve">A reclamação recebe resposta no prazo definido, e o cliente sabe quem cuida dela.</t>
  </si>
  <si>
    <t xml:space="preserve">Os motivos das reclamações e das notas baixas são agrupados e analisados.</t>
  </si>
  <si>
    <t xml:space="preserve">Reclamação grave ou repetida vira não conformidade, com análise de causa.</t>
  </si>
  <si>
    <t xml:space="preserve">Os indicadores de satisfação têm meta e entram no painel da organização.</t>
  </si>
  <si>
    <t xml:space="preserve">O resultado é analisado em reunião, com decisões registradas.</t>
  </si>
  <si>
    <t xml:space="preserve">O cliente recebe a devolutiva: o que foi feito com o que ele disse.</t>
  </si>
  <si>
    <t xml:space="preserve">A satisfação do cliente é entrada da análise crítica pela direção.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</si>
  <si>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</si>
  <si>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</si>
  <si>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</si>
  <si>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</si>
  <si>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</si>
  <si>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Satisfação do cliente</t>
  </si>
  <si>
    <t xml:space="preserve">Exemplo preenchido, para consulta. Use as abas Pesquisa, Respostas, Reclamações e Painel para a sua organização.</t>
  </si>
  <si>
    <t xml:space="preserve">Pizzaria (loja com salão e delivery)</t>
  </si>
  <si>
    <t xml:space="preserve">Data e período</t>
  </si>
  <si>
    <t xml:space="preserve">05/05/2027. Fevereiro a abril de 2027</t>
  </si>
  <si>
    <t xml:space="preserve">Código impresso na caixa, lido pelo celular. Três perguntas e um campo de comentário.</t>
  </si>
  <si>
    <t xml:space="preserve">Origem</t>
  </si>
  <si>
    <t xml:space="preserve">Decisão da análise crítica de 14/12/2026: pesquisa de três perguntas, com acesso pelo código impresso na caixa.</t>
  </si>
  <si>
    <t xml:space="preserve">Resultado por mês · escala de 1 a 5</t>
  </si>
  <si>
    <t xml:space="preserve">Mês</t>
  </si>
  <si>
    <t xml:space="preserve">Pedidos</t>
  </si>
  <si>
    <t xml:space="preserve">Taxa</t>
  </si>
  <si>
    <t xml:space="preserve">Promotores</t>
  </si>
  <si>
    <t xml:space="preserve">Detratores</t>
  </si>
  <si>
    <t xml:space="preserve">Fev/2027</t>
  </si>
  <si>
    <t xml:space="preserve">Mar/2027</t>
  </si>
  <si>
    <t xml:space="preserve">Abr/2027</t>
  </si>
  <si>
    <t xml:space="preserve">—</t>
  </si>
  <si>
    <t xml:space="preserve">Motivos das notas 1 e 2 e das reclamações</t>
  </si>
  <si>
    <t xml:space="preserve">Ocorrências</t>
  </si>
  <si>
    <t xml:space="preserve">Percentual</t>
  </si>
  <si>
    <t xml:space="preserve">Acumulado</t>
  </si>
  <si>
    <t xml:space="preserve">Entrega atrasada</t>
  </si>
  <si>
    <t xml:space="preserve">Pedido errado ou incompleto</t>
  </si>
  <si>
    <t xml:space="preserve">Embalagem amassada</t>
  </si>
  <si>
    <t xml:space="preserve">Atendimento</t>
  </si>
  <si>
    <t xml:space="preserve">Reclamações registradas · amostra</t>
  </si>
  <si>
    <t xml:space="preserve">Pedido</t>
  </si>
  <si>
    <t xml:space="preserve">Respondida</t>
  </si>
  <si>
    <t xml:space="preserve">Registro</t>
  </si>
  <si>
    <t xml:space="preserve">Pedido 2.318</t>
  </si>
  <si>
    <t xml:space="preserve">Aplicativo</t>
  </si>
  <si>
    <t xml:space="preserve">Pedido chegou 25 minutos depois do prometido, na noite de chuva.</t>
  </si>
  <si>
    <t xml:space="preserve">Pizza fria no salão de festas: entrega em condomínio, 15 minutos na portaria.</t>
  </si>
  <si>
    <t xml:space="preserve">Pedido 3.104</t>
  </si>
  <si>
    <t xml:space="preserve">Faltou o refrigerante.</t>
  </si>
  <si>
    <t xml:space="preserve">Pedido 3.611</t>
  </si>
  <si>
    <t xml:space="preserve">Mensagem</t>
  </si>
  <si>
    <t xml:space="preserve">Terceira reclamação de pizza fria do mesmo condomínio.</t>
  </si>
  <si>
    <t xml:space="preserve">RNC 2027-04</t>
  </si>
  <si>
    <t xml:space="preserve">Pedido 3.902</t>
  </si>
  <si>
    <t xml:space="preserve">Caixa amassada, pizza colada na tampa.</t>
  </si>
  <si>
    <t xml:space="preserve">Respostas no período</t>
  </si>
  <si>
    <t xml:space="preserve">Média das três perguntas</t>
  </si>
  <si>
    <t xml:space="preserve">Indicação, do primeiro ao último mês</t>
  </si>
  <si>
    <t xml:space="preserve">Reclamações por 100 pedidos, do primeiro ao último mês</t>
  </si>
  <si>
    <t xml:space="preserve">Indústria de embalagens plásticas</t>
  </si>
  <si>
    <t xml:space="preserve">04/12/2026. Pesquisa anual, novembro de 2026, e reclamações de 2026</t>
  </si>
  <si>
    <t xml:space="preserve">Pesquisa por e-mail aos 58 clientes ativos, com cinco perguntas de 0 a 10 e uma de indicação. 41 respostas, 71%.</t>
  </si>
  <si>
    <t xml:space="preserve">Ação da análise crítica de 12/02/2026: rever a pesquisa de satisfação do cliente.</t>
  </si>
  <si>
    <t xml:space="preserve">Resultado por segmento · escala de 0 a 10</t>
  </si>
  <si>
    <t xml:space="preserve">Segmento</t>
  </si>
  <si>
    <t xml:space="preserve">Clientes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</si>
  <si>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</si>
  <si>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</si>
  <si>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</si>
  <si>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</si>
  <si>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</si>
  <si>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Qualidade do produto</t>
  </si>
  <si>
    <t xml:space="preserve">Prazo de entrega</t>
  </si>
  <si>
    <t xml:space="preserve">Atendimento comercial</t>
  </si>
  <si>
    <t xml:space="preserve">Assistência técnica</t>
  </si>
  <si>
    <t xml:space="preserve">Documentação</t>
  </si>
  <si>
    <t xml:space="preserve">Alimentos</t>
  </si>
  <si>
    <t xml:space="preserve">Cosméticos</t>
  </si>
  <si>
    <t xml:space="preserve">Industrial</t>
  </si>
  <si>
    <t xml:space="preserve">Todos</t>
  </si>
  <si>
    <t xml:space="preserve">Reclamações de 2026 por motivo · 7 das 18 são do cliente a, do segmento de alimentos</t>
  </si>
  <si>
    <t xml:space="preserve">Espessura fora da especificação</t>
  </si>
  <si>
    <t xml:space="preserve">Impressão fora do padrão</t>
  </si>
  <si>
    <t xml:space="preserve">Atraso na entrega</t>
  </si>
  <si>
    <t xml:space="preserve">Embalagem de transporte danificada</t>
  </si>
  <si>
    <t xml:space="preserve">Dimensão com a menor nota</t>
  </si>
  <si>
    <t xml:space="preserve">Segmento com a menor média</t>
  </si>
  <si>
    <t xml:space="preserve">Indicação geral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</si>
</sst>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dd/mm/yyyy"/>
    <numFmt numFmtId="167" formatCode="0.0"/>
    <numFmt numFmtId="168" formatCode="0%"/>
    <numFmt numFmtId="169" formatCode="0.00"/>
    <numFmt numFmtId="170" formatCode="@"/>
    <numFmt numFmtId="171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sz val="8"/>
      <color rgb="FF16242E"/>
      <name val="Arial"/>
      <family val="0"/>
      <charset val="1"/>
    </font>
    <font>
      <sz val="9"/>
      <color rgb="FF5B6B76"/>
      <name val="Arial"/>
      <family val="0"/>
      <charset val="1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DCE8F3"/>
      </patternFill>
    </fill>
    <fill>
      <patternFill patternType="solid">
        <fgColor rgb="FFFFF9DB"/>
        <bgColor rgb="FFF8EBCB"/>
      </patternFill>
    </fill>
    <fill>
      <patternFill patternType="solid">
        <fgColor rgb="FFFFFFFF"/>
        <bgColor rgb="FFFFF9DB"/>
      </patternFill>
    </fill>
    <fill>
      <patternFill patternType="solid">
        <fgColor rgb="FF2B5C8A"/>
        <bgColor rgb="FF1E7B73"/>
      </patternFill>
    </fill>
    <fill>
      <patternFill patternType="solid">
        <fgColor rgb="FFB0413E"/>
        <bgColor rgb="FF993300"/>
      </patternFill>
    </fill>
    <fill>
      <patternFill patternType="solid">
        <fgColor rgb="FFA96A12"/>
        <bgColor rgb="FFB0413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DCE8F3"/>
        </patternFill>
      </fill>
    </dxf>
    <dxf>
      <fill>
        <patternFill>
          <bgColor rgb="FFF8EBCB"/>
        </patternFill>
      </fill>
    </dxf>
    <dxf>
      <fill>
        <patternFill>
          <bgColor rgb="FFF5DEDC"/>
        </patternFill>
      </fill>
    </dxf>
    <dxf>
      <fill>
        <patternFill>
          <bgColor rgb="FFF6D9D7"/>
        </patternFill>
      </fill>
    </dxf>
    <dxf>
      <fill>
        <patternFill>
          <bgColor rgb="FFEEF1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8EBCB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D9D9D9"/>
      <rgbColor rgb="FF808080"/>
      <rgbColor rgb="FF9999FF"/>
      <rgbColor rgb="FFB0413E"/>
      <rgbColor rgb="FFFFF9DB"/>
      <rgbColor rgb="FFDCE8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3"/>
      <rgbColor rgb="FFD8EFDD"/>
      <rgbColor rgb="FFFBEBC8"/>
      <rgbColor rgb="FFD3DBE0"/>
      <rgbColor rgb="FFF5DED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"Valor"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Painel!$B$22:$B$26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Painel!$C$22:$C$26</c:f>
              <c:numCache>
                <c:formatCode>General</c:formatCode>
                <c:ptCount val="5"/>
              </c:numCache>
            </c:numRef>
          </c:val>
        </c:ser>
        <c:gapWidth val="60"/>
        <c:overlap val="0"/>
        <c:axId val="54958483"/>
        <c:axId val="62829769"/>
      </c:barChart>
      <c:catAx>
        <c:axId val="549584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29769"/>
        <c:crosses val="autoZero"/>
        <c:auto val="1"/>
        <c:lblAlgn val="ctr"/>
        <c:lblOffset val="100"/>
        <c:noMultiLvlLbl val="0"/>
      </c:catAx>
      <c:valAx>
        <c:axId val="6282976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584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20</xdr:row>
      <xdr:rowOff>0</xdr:rowOff>
    </xdr:from>
    <xdr:to>
      <xdr:col>7</xdr:col>
      <xdr:colOff>246600</xdr:colOff>
      <xdr:row>29</xdr:row>
      <xdr:rowOff>168840</xdr:rowOff>
    </xdr:to>
    <xdr:graphicFrame>
      <xdr:nvGraphicFramePr>
        <xdr:cNvPr id="0" name="Chart 1"/>
        <xdr:cNvGraphicFramePr/>
      </xdr:nvGraphicFramePr>
      <xdr:xfrm>
        <a:off x="3806280" y="5743440"/>
        <a:ext cx="503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2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31.5" hidden="false" customHeight="true" outlineLevel="0" collapsed="false">
      <c r="B12" s="4" t="s">
        <v>14</v>
      </c>
      <c r="C12" s="7" t="s">
        <v>15</v>
      </c>
    </row>
    <row r="13" customFormat="false" ht="31.5" hidden="false" customHeight="true" outlineLevel="0" collapsed="false">
      <c r="B13" s="4" t="s">
        <v>16</v>
      </c>
      <c r="C13" s="7" t="s">
        <v>17</v>
      </c>
    </row>
    <row r="14" customFormat="false" ht="31.5" hidden="false" customHeight="true" outlineLevel="0" collapsed="false">
      <c r="B14" s="4" t="s">
        <v>18</v>
      </c>
      <c r="C14" s="7" t="s">
        <v>19</v>
      </c>
    </row>
    <row r="15" customFormat="false" ht="19.5" hidden="false" customHeight="true" outlineLevel="0" collapsed="false">
      <c r="B15" s="4" t="s">
        <v>20</v>
      </c>
      <c r="C15" s="7" t="s">
        <v>21</v>
      </c>
    </row>
    <row r="16" customFormat="false" ht="19.5" hidden="false" customHeight="true" outlineLevel="0" collapsed="false">
      <c r="B16" s="4" t="s">
        <v>22</v>
      </c>
      <c r="C16" s="7" t="s">
        <v>23</v>
      </c>
    </row>
    <row r="18" customFormat="false" ht="21.75" hidden="false" customHeight="true" outlineLevel="0" collapsed="false">
      <c r="B18" s="3" t="s">
        <v>24</v>
      </c>
      <c r="C18" s="3"/>
    </row>
    <row r="19" customFormat="false" ht="31.5" hidden="false" customHeight="true" outlineLevel="0" collapsed="false">
      <c r="B19" s="4" t="s">
        <v>25</v>
      </c>
      <c r="C19" s="7" t="s">
        <v>26</v>
      </c>
    </row>
    <row r="20" customFormat="false" ht="19.5" hidden="false" customHeight="true" outlineLevel="0" collapsed="false">
      <c r="B20" s="4" t="s">
        <v>27</v>
      </c>
      <c r="C20" s="7" t="s">
        <v>28</v>
      </c>
    </row>
    <row r="21" customFormat="false" ht="19.5" hidden="false" customHeight="true" outlineLevel="0" collapsed="false">
      <c r="B21" s="4" t="s">
        <v>29</v>
      </c>
      <c r="C21" s="7" t="s">
        <v>30</v>
      </c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6" customFormat="false" ht="21.75" hidden="false" customHeight="true" outlineLevel="0" collapsed="false">
      <c r="B26" s="3" t="s">
        <v>37</v>
      </c>
      <c r="C26" s="3"/>
    </row>
    <row r="27" customFormat="false" ht="19.5" hidden="false" customHeight="true" outlineLevel="0" collapsed="false">
      <c r="B27" s="4" t="s">
        <v>38</v>
      </c>
      <c r="C27" s="7" t="s">
        <v>39</v>
      </c>
    </row>
    <row r="28" customFormat="false" ht="31.5" hidden="false" customHeight="true" outlineLevel="0" collapsed="false">
      <c r="B28" s="4" t="s">
        <v>40</v>
      </c>
      <c r="C28" s="7" t="s">
        <v>41</v>
      </c>
    </row>
    <row r="29" customFormat="false" ht="19.5" hidden="false" customHeight="true" outlineLevel="0" collapsed="false">
      <c r="B29" s="4" t="s">
        <v>42</v>
      </c>
      <c r="C29" s="7" t="s">
        <v>43</v>
      </c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3" customFormat="false" ht="19.5" hidden="false" customHeight="true" outlineLevel="0" collapsed="false">
      <c r="B33" s="4" t="s">
        <v>50</v>
      </c>
      <c r="C33" s="7" t="s">
        <v>51</v>
      </c>
    </row>
    <row r="35" customFormat="false" ht="21.75" hidden="false" customHeight="true" outlineLevel="0" collapsed="false">
      <c r="B35" s="3" t="s">
        <v>52</v>
      </c>
      <c r="C35" s="3"/>
    </row>
    <row r="36" customFormat="false" ht="19.5" hidden="false" customHeight="true" outlineLevel="0" collapsed="false">
      <c r="B36" s="4" t="s">
        <v>53</v>
      </c>
      <c r="C36" s="7" t="s">
        <v>54</v>
      </c>
    </row>
    <row r="37" customFormat="false" ht="31.5" hidden="false" customHeight="true" outlineLevel="0" collapsed="false">
      <c r="B37" s="4" t="s">
        <v>55</v>
      </c>
      <c r="C37" s="7" t="s">
        <v>56</v>
      </c>
    </row>
    <row r="38" customFormat="false" ht="31.5" hidden="false" customHeight="true" outlineLevel="0" collapsed="false">
      <c r="B38" s="4" t="s">
        <v>57</v>
      </c>
      <c r="C38" s="7" t="s">
        <v>58</v>
      </c>
    </row>
    <row r="39" customFormat="false" ht="19.5" hidden="false" customHeight="true" outlineLevel="0" collapsed="false">
      <c r="B39" s="4" t="s">
        <v>59</v>
      </c>
      <c r="C39" s="7" t="s">
        <v>60</v>
      </c>
    </row>
  </sheetData>
  <mergeCells count="7">
    <mergeCell ref="B1:C1"/>
    <mergeCell ref="B2:C2"/>
    <mergeCell ref="B4:C4"/>
    <mergeCell ref="B11:C11"/>
    <mergeCell ref="B18:C18"/>
    <mergeCell ref="B26:C26"/>
    <mergeCell ref="B35:C35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E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44"/>
    <col collapsed="false" customWidth="true" hidden="false" outlineLevel="0" max="5" min="4" style="0" width="30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61</v>
      </c>
      <c r="C1" s="1"/>
      <c r="D1" s="1"/>
      <c r="E1" s="1"/>
    </row>
    <row r="2" customFormat="false" ht="19.5" hidden="false" customHeight="true" outlineLevel="0" collapsed="false">
      <c r="B2" s="2" t="s">
        <v>62</v>
      </c>
      <c r="C2" s="2"/>
      <c r="D2" s="2"/>
      <c r="E2" s="2"/>
    </row>
    <row r="4" customFormat="false" ht="21.75" hidden="false" customHeight="true" outlineLevel="0" collapsed="false">
      <c r="B4" s="4" t="s">
        <v>63</v>
      </c>
      <c r="C4" s="4"/>
      <c r="D4" s="5"/>
      <c r="E4" s="5"/>
    </row>
    <row r="5" customFormat="false" ht="21.75" hidden="false" customHeight="true" outlineLevel="0" collapsed="false">
      <c r="B5" s="4" t="s">
        <v>64</v>
      </c>
      <c r="C5" s="4"/>
      <c r="D5" s="5"/>
      <c r="E5" s="5"/>
    </row>
    <row r="6" customFormat="false" ht="21.75" hidden="false" customHeight="true" outlineLevel="0" collapsed="false">
      <c r="B6" s="4" t="s">
        <v>65</v>
      </c>
      <c r="C6" s="4"/>
      <c r="D6" s="5" t="n">
        <v>5</v>
      </c>
      <c r="E6" s="5"/>
    </row>
    <row r="7" customFormat="false" ht="21.75" hidden="false" customHeight="true" outlineLevel="0" collapsed="false">
      <c r="B7" s="4" t="s">
        <v>66</v>
      </c>
      <c r="C7" s="4"/>
      <c r="D7" s="4" t="n">
        <f aca="false">IF(D6="","",CEILING(0.8*D6,1))</f>
        <v>4</v>
      </c>
      <c r="E7" s="8" t="s">
        <v>67</v>
      </c>
    </row>
    <row r="8" customFormat="false" ht="21.75" hidden="false" customHeight="true" outlineLevel="0" collapsed="false">
      <c r="B8" s="9" t="s">
        <v>68</v>
      </c>
      <c r="C8" s="9" t="s">
        <v>69</v>
      </c>
      <c r="D8" s="9" t="s">
        <v>70</v>
      </c>
      <c r="E8" s="9" t="s">
        <v>71</v>
      </c>
    </row>
    <row r="9" customFormat="false" ht="27" hidden="false" customHeight="true" outlineLevel="0" collapsed="false">
      <c r="B9" s="10" t="s">
        <v>72</v>
      </c>
      <c r="C9" s="5"/>
      <c r="D9" s="5"/>
      <c r="E9" s="11" t="str">
        <f aca="false">IF(C9="","",IF(LEN(C9)&gt;80,"Pergunta longa: encurte",IF(OR(ISNUMBER(SEARCH(" e ",C9)),ISNUMBER(SEARCH(",",C9))),"Pode estar juntando dois assuntos","OK")))</f>
        <v/>
      </c>
    </row>
    <row r="10" customFormat="false" ht="27" hidden="false" customHeight="true" outlineLevel="0" collapsed="false">
      <c r="B10" s="10" t="s">
        <v>73</v>
      </c>
      <c r="C10" s="5"/>
      <c r="D10" s="5"/>
      <c r="E10" s="11" t="str">
        <f aca="false">IF(C10="","",IF(LEN(C10)&gt;80,"Pergunta longa: encurte",IF(OR(ISNUMBER(SEARCH(" e ",C10)),ISNUMBER(SEARCH(",",C10))),"Pode estar juntando dois assuntos","OK")))</f>
        <v/>
      </c>
    </row>
    <row r="11" customFormat="false" ht="27" hidden="false" customHeight="true" outlineLevel="0" collapsed="false">
      <c r="B11" s="10" t="s">
        <v>74</v>
      </c>
      <c r="C11" s="5"/>
      <c r="D11" s="5"/>
      <c r="E11" s="11" t="str">
        <f aca="false">IF(C11="","",IF(LEN(C11)&gt;80,"Pergunta longa: encurte",IF(OR(ISNUMBER(SEARCH(" e ",C11)),ISNUMBER(SEARCH(",",C11))),"Pode estar juntando dois assuntos","OK")))</f>
        <v/>
      </c>
    </row>
    <row r="12" customFormat="false" ht="27" hidden="false" customHeight="true" outlineLevel="0" collapsed="false">
      <c r="B12" s="10" t="s">
        <v>75</v>
      </c>
      <c r="C12" s="5"/>
      <c r="D12" s="5"/>
      <c r="E12" s="11" t="str">
        <f aca="false">IF(C12="","",IF(LEN(C12)&gt;80,"Pergunta longa: encurte",IF(OR(ISNUMBER(SEARCH(" e ",C12)),ISNUMBER(SEARCH(",",C12))),"Pode estar juntando dois assuntos","OK")))</f>
        <v/>
      </c>
    </row>
    <row r="13" customFormat="false" ht="27" hidden="false" customHeight="true" outlineLevel="0" collapsed="false">
      <c r="B13" s="10" t="s">
        <v>76</v>
      </c>
      <c r="C13" s="5"/>
      <c r="D13" s="5"/>
      <c r="E13" s="11" t="str">
        <f aca="false">IF(C13="","",IF(LEN(C13)&gt;80,"Pergunta longa: encurte",IF(OR(ISNUMBER(SEARCH(" e ",C13)),ISNUMBER(SEARCH(",",C13))),"Pode estar juntando dois assuntos","OK")))</f>
        <v/>
      </c>
    </row>
    <row r="15" customFormat="false" ht="15" hidden="false" customHeight="true" outlineLevel="0" collapsed="false">
      <c r="B15" s="4" t="s">
        <v>77</v>
      </c>
      <c r="C15" s="4"/>
      <c r="D15" s="6" t="s">
        <v>78</v>
      </c>
      <c r="E15" s="6"/>
    </row>
    <row r="16" customFormat="false" ht="15" hidden="false" customHeight="true" outlineLevel="0" collapsed="false">
      <c r="B16" s="4" t="s">
        <v>79</v>
      </c>
      <c r="C16" s="4"/>
      <c r="D16" s="6" t="s">
        <v>80</v>
      </c>
      <c r="E16" s="6"/>
    </row>
    <row r="17" customFormat="false" ht="21.75" hidden="false" customHeight="true" outlineLevel="0" collapsed="false">
      <c r="B17" s="12" t="s">
        <v>81</v>
      </c>
      <c r="C17" s="12"/>
      <c r="D17" s="12"/>
      <c r="E17" s="12"/>
    </row>
    <row r="18" customFormat="false" ht="19.5" hidden="false" customHeight="true" outlineLevel="0" collapsed="false">
      <c r="B18" s="10" t="n">
        <v>1</v>
      </c>
      <c r="C18" s="5"/>
      <c r="D18" s="5"/>
      <c r="E18" s="5"/>
    </row>
    <row r="19" customFormat="false" ht="19.5" hidden="false" customHeight="true" outlineLevel="0" collapsed="false">
      <c r="B19" s="10" t="n">
        <v>2</v>
      </c>
      <c r="C19" s="5"/>
      <c r="D19" s="5"/>
      <c r="E19" s="5"/>
    </row>
    <row r="20" customFormat="false" ht="19.5" hidden="false" customHeight="true" outlineLevel="0" collapsed="false">
      <c r="B20" s="10" t="n">
        <v>3</v>
      </c>
      <c r="C20" s="5"/>
      <c r="D20" s="5"/>
      <c r="E20" s="5"/>
    </row>
    <row r="21" customFormat="false" ht="19.5" hidden="false" customHeight="true" outlineLevel="0" collapsed="false">
      <c r="B21" s="10" t="n">
        <v>4</v>
      </c>
      <c r="C21" s="5"/>
      <c r="D21" s="5"/>
      <c r="E21" s="5"/>
    </row>
    <row r="22" customFormat="false" ht="19.5" hidden="false" customHeight="true" outlineLevel="0" collapsed="false">
      <c r="B22" s="10" t="n">
        <v>5</v>
      </c>
      <c r="C22" s="5"/>
      <c r="D22" s="5"/>
      <c r="E22" s="5"/>
    </row>
    <row r="23" customFormat="false" ht="19.5" hidden="false" customHeight="true" outlineLevel="0" collapsed="false">
      <c r="B23" s="10" t="n">
        <v>6</v>
      </c>
      <c r="C23" s="5"/>
      <c r="D23" s="5"/>
      <c r="E23" s="5"/>
    </row>
    <row r="24" customFormat="false" ht="19.5" hidden="false" customHeight="true" outlineLevel="0" collapsed="false">
      <c r="B24" s="10" t="n">
        <v>7</v>
      </c>
      <c r="C24" s="5"/>
      <c r="D24" s="5"/>
      <c r="E24" s="5"/>
    </row>
    <row r="25" customFormat="false" ht="19.5" hidden="false" customHeight="true" outlineLevel="0" collapsed="false">
      <c r="B25" s="10" t="n">
        <v>8</v>
      </c>
      <c r="C25" s="5"/>
      <c r="D25" s="5"/>
      <c r="E25" s="5"/>
    </row>
    <row r="27" customFormat="false" ht="21.75" hidden="false" customHeight="true" outlineLevel="0" collapsed="false">
      <c r="B27" s="12" t="s">
        <v>82</v>
      </c>
      <c r="C27" s="12"/>
      <c r="D27" s="12"/>
      <c r="E27" s="12"/>
    </row>
    <row r="28" customFormat="false" ht="21.75" hidden="false" customHeight="true" outlineLevel="0" collapsed="false">
      <c r="B28" s="13" t="s">
        <v>83</v>
      </c>
      <c r="C28" s="13"/>
      <c r="D28" s="14" t="n">
        <f aca="false">COUNTA(C9:C13)</f>
        <v>0</v>
      </c>
    </row>
    <row r="29" customFormat="false" ht="21.75" hidden="false" customHeight="true" outlineLevel="0" collapsed="false">
      <c r="B29" s="13" t="s">
        <v>84</v>
      </c>
      <c r="C29" s="13"/>
      <c r="D29" s="11" t="str">
        <f aca="false">IF(D6="","Informe a escala",IF(D28=0,"Cadastre as perguntas",IF(COUNTIF(E9:E13,"OK")&lt;D28,"Há pergunta a rever",IF(COUNTA(C18:C25)=0,"Cadastre os motivos","OK"))))</f>
        <v>Cadastre as perguntas</v>
      </c>
      <c r="E29" s="11"/>
    </row>
  </sheetData>
  <mergeCells count="26">
    <mergeCell ref="B1:E1"/>
    <mergeCell ref="B2:E2"/>
    <mergeCell ref="B4:C4"/>
    <mergeCell ref="D4:E4"/>
    <mergeCell ref="B5:C5"/>
    <mergeCell ref="D5:E5"/>
    <mergeCell ref="B6:C6"/>
    <mergeCell ref="D6:E6"/>
    <mergeCell ref="B7:C7"/>
    <mergeCell ref="B15:C15"/>
    <mergeCell ref="D15:E15"/>
    <mergeCell ref="B16:C16"/>
    <mergeCell ref="D16:E16"/>
    <mergeCell ref="B17:E17"/>
    <mergeCell ref="C18:E18"/>
    <mergeCell ref="C19:E19"/>
    <mergeCell ref="C20:E20"/>
    <mergeCell ref="C21:E21"/>
    <mergeCell ref="C22:E22"/>
    <mergeCell ref="C23:E23"/>
    <mergeCell ref="C24:E24"/>
    <mergeCell ref="C25:E25"/>
    <mergeCell ref="B27:E27"/>
    <mergeCell ref="B28:C28"/>
    <mergeCell ref="B29:C29"/>
    <mergeCell ref="D29:E29"/>
  </mergeCells>
  <conditionalFormatting sqref="E9:E13">
    <cfRule type="expression" priority="2" aboveAverage="0" equalAverage="0" bottom="0" percent="0" rank="0" text="" dxfId="0">
      <formula>OR(E9="OK")</formula>
    </cfRule>
    <cfRule type="expression" priority="3" aboveAverage="0" equalAverage="0" bottom="0" percent="0" rank="0" text="" dxfId="1">
      <formula>AND(LEN(E9)&gt;0,NOT(OR(E9="OK")))</formula>
    </cfRule>
  </conditionalFormatting>
  <conditionalFormatting sqref="D29:E29">
    <cfRule type="expression" priority="4" aboveAverage="0" equalAverage="0" bottom="0" percent="0" rank="0" text="" dxfId="0">
      <formula>OR(D29="OK")</formula>
    </cfRule>
    <cfRule type="expression" priority="5" aboveAverage="0" equalAverage="0" bottom="0" percent="0" rank="0" text="" dxfId="1">
      <formula>AND(LEN(D29)&gt;0,NOT(OR(D29="OK")))</formula>
    </cfRule>
  </conditionalFormatting>
  <dataValidations count="1">
    <dataValidation allowBlank="true" error="Digite um número de 5 a 10." errorStyle="stop" errorTitle="Número inválido" operator="between" prompt="5 para a escala de 1 a 5; 10 para a escala de 0 a 10." promptTitle="Número" showDropDown="false" showErrorMessage="true" showInputMessage="true" sqref="D6" type="whole">
      <formula1>5</formula1>
      <formula2>10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M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9" min="5" style="0" width="9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40"/>
    <col collapsed="false" customWidth="true" hidden="false" outlineLevel="0" max="13" min="13" style="0" width="22"/>
    <col collapsed="false" customWidth="true" hidden="false" outlineLevel="0" max="14" min="14" style="0" width="2"/>
  </cols>
  <sheetData>
    <row r="1" customFormat="false" ht="31.5" hidden="false" customHeight="true" outlineLevel="0" collapsed="false">
      <c r="B1" s="1" t="s">
        <v>85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B2" s="2" t="s">
        <v>86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3" hidden="false" customHeight="true" outlineLevel="0" collapsed="false">
      <c r="B4" s="9" t="s">
        <v>68</v>
      </c>
      <c r="C4" s="9" t="s">
        <v>87</v>
      </c>
      <c r="D4" s="9" t="s">
        <v>88</v>
      </c>
      <c r="E4" s="9" t="s">
        <v>72</v>
      </c>
      <c r="F4" s="9" t="s">
        <v>73</v>
      </c>
      <c r="G4" s="9" t="s">
        <v>74</v>
      </c>
      <c r="H4" s="9" t="s">
        <v>75</v>
      </c>
      <c r="I4" s="9" t="s">
        <v>76</v>
      </c>
      <c r="J4" s="9" t="s">
        <v>89</v>
      </c>
      <c r="K4" s="9" t="s">
        <v>90</v>
      </c>
      <c r="L4" s="9" t="s">
        <v>91</v>
      </c>
      <c r="M4" s="9" t="s">
        <v>71</v>
      </c>
    </row>
    <row r="5" customFormat="false" ht="39.75" hidden="false" customHeight="true" outlineLevel="0" collapsed="false">
      <c r="B5" s="6"/>
      <c r="C5" s="15" t="s">
        <v>92</v>
      </c>
      <c r="D5" s="15"/>
      <c r="E5" s="16" t="str">
        <f aca="false">IF(Pesquisa!C9="","",Pesquisa!C9)</f>
        <v/>
      </c>
      <c r="F5" s="16" t="str">
        <f aca="false">IF(Pesquisa!C10="","",Pesquisa!C10)</f>
        <v/>
      </c>
      <c r="G5" s="16" t="str">
        <f aca="false">IF(Pesquisa!C11="","",Pesquisa!C11)</f>
        <v/>
      </c>
      <c r="H5" s="16" t="str">
        <f aca="false">IF(Pesquisa!C12="","",Pesquisa!C12)</f>
        <v/>
      </c>
      <c r="I5" s="16" t="str">
        <f aca="false">IF(Pesquisa!C13="","",Pesquisa!C13)</f>
        <v/>
      </c>
      <c r="J5" s="6"/>
      <c r="K5" s="6"/>
      <c r="L5" s="6"/>
      <c r="M5" s="6"/>
    </row>
    <row r="6" customFormat="false" ht="30" hidden="false" customHeight="true" outlineLevel="0" collapsed="false">
      <c r="B6" s="15"/>
      <c r="C6" s="15" t="s">
        <v>93</v>
      </c>
      <c r="D6" s="15" t="s">
        <v>94</v>
      </c>
      <c r="E6" s="15" t="s">
        <v>95</v>
      </c>
      <c r="F6" s="15" t="s">
        <v>95</v>
      </c>
      <c r="G6" s="15" t="s">
        <v>95</v>
      </c>
      <c r="H6" s="15" t="s">
        <v>95</v>
      </c>
      <c r="I6" s="15" t="s">
        <v>95</v>
      </c>
      <c r="J6" s="15" t="s">
        <v>96</v>
      </c>
      <c r="K6" s="15" t="s">
        <v>97</v>
      </c>
      <c r="L6" s="15" t="s">
        <v>79</v>
      </c>
      <c r="M6" s="15" t="s">
        <v>97</v>
      </c>
    </row>
    <row r="7" customFormat="false" ht="19.5" hidden="false" customHeight="true" outlineLevel="0" collapsed="false">
      <c r="B7" s="10" t="n">
        <v>1</v>
      </c>
      <c r="C7" s="17"/>
      <c r="D7" s="5"/>
      <c r="E7" s="18"/>
      <c r="F7" s="18"/>
      <c r="G7" s="18"/>
      <c r="H7" s="18"/>
      <c r="I7" s="18"/>
      <c r="J7" s="18"/>
      <c r="K7" s="11" t="str">
        <f aca="false">IF(J7="","",IF(J7&gt;=9,"Promotor",IF(J7&gt;=7,"Neutro","Detrator")))</f>
        <v/>
      </c>
      <c r="L7" s="5"/>
      <c r="M7" s="11" t="str">
        <f aca="false">IF(AND(D7="",COUNT(E7:J7)=0),"",IF(COUNT(E7:I7)=0,"Sem notas",IF(MAX(E7:I7)&gt;Pesquisa!$D$6,"Nota acima da escala",IF(COUNT(E7:I7)&lt;Pesquisa!$D$28,"Faltam notas","Completa"))))</f>
        <v/>
      </c>
    </row>
    <row r="8" customFormat="false" ht="19.5" hidden="false" customHeight="true" outlineLevel="0" collapsed="false">
      <c r="B8" s="10" t="n">
        <v>2</v>
      </c>
      <c r="C8" s="17"/>
      <c r="D8" s="5"/>
      <c r="E8" s="18"/>
      <c r="F8" s="18"/>
      <c r="G8" s="18"/>
      <c r="H8" s="18"/>
      <c r="I8" s="18"/>
      <c r="J8" s="18"/>
      <c r="K8" s="11" t="str">
        <f aca="false">IF(J8="","",IF(J8&gt;=9,"Promotor",IF(J8&gt;=7,"Neutro","Detrator")))</f>
        <v/>
      </c>
      <c r="L8" s="5"/>
      <c r="M8" s="11" t="str">
        <f aca="false">IF(AND(D8="",COUNT(E8:J8)=0),"",IF(COUNT(E8:I8)=0,"Sem notas",IF(MAX(E8:I8)&gt;Pesquisa!$D$6,"Nota acima da escala",IF(COUNT(E8:I8)&lt;Pesquisa!$D$28,"Faltam notas","Completa"))))</f>
        <v/>
      </c>
    </row>
    <row r="9" customFormat="false" ht="19.5" hidden="false" customHeight="true" outlineLevel="0" collapsed="false">
      <c r="B9" s="10" t="n">
        <v>3</v>
      </c>
      <c r="C9" s="17"/>
      <c r="D9" s="5"/>
      <c r="E9" s="18"/>
      <c r="F9" s="18"/>
      <c r="G9" s="18"/>
      <c r="H9" s="18"/>
      <c r="I9" s="18"/>
      <c r="J9" s="18"/>
      <c r="K9" s="11" t="str">
        <f aca="false">IF(J9="","",IF(J9&gt;=9,"Promotor",IF(J9&gt;=7,"Neutro","Detrator")))</f>
        <v/>
      </c>
      <c r="L9" s="5"/>
      <c r="M9" s="11" t="str">
        <f aca="false">IF(AND(D9="",COUNT(E9:J9)=0),"",IF(COUNT(E9:I9)=0,"Sem notas",IF(MAX(E9:I9)&gt;Pesquisa!$D$6,"Nota acima da escala",IF(COUNT(E9:I9)&lt;Pesquisa!$D$28,"Faltam notas","Completa"))))</f>
        <v/>
      </c>
    </row>
    <row r="10" customFormat="false" ht="19.5" hidden="false" customHeight="true" outlineLevel="0" collapsed="false">
      <c r="B10" s="10" t="n">
        <v>4</v>
      </c>
      <c r="C10" s="17"/>
      <c r="D10" s="5"/>
      <c r="E10" s="18"/>
      <c r="F10" s="18"/>
      <c r="G10" s="18"/>
      <c r="H10" s="18"/>
      <c r="I10" s="18"/>
      <c r="J10" s="18"/>
      <c r="K10" s="11" t="str">
        <f aca="false">IF(J10="","",IF(J10&gt;=9,"Promotor",IF(J10&gt;=7,"Neutro","Detrator")))</f>
        <v/>
      </c>
      <c r="L10" s="5"/>
      <c r="M10" s="11" t="str">
        <f aca="false">IF(AND(D10="",COUNT(E10:J10)=0),"",IF(COUNT(E10:I10)=0,"Sem notas",IF(MAX(E10:I10)&gt;Pesquisa!$D$6,"Nota acima da escala",IF(COUNT(E10:I10)&lt;Pesquisa!$D$28,"Faltam notas","Completa"))))</f>
        <v/>
      </c>
    </row>
    <row r="11" customFormat="false" ht="19.5" hidden="false" customHeight="true" outlineLevel="0" collapsed="false">
      <c r="B11" s="10" t="n">
        <v>5</v>
      </c>
      <c r="C11" s="17"/>
      <c r="D11" s="5"/>
      <c r="E11" s="18"/>
      <c r="F11" s="18"/>
      <c r="G11" s="18"/>
      <c r="H11" s="18"/>
      <c r="I11" s="18"/>
      <c r="J11" s="18"/>
      <c r="K11" s="11" t="str">
        <f aca="false">IF(J11="","",IF(J11&gt;=9,"Promotor",IF(J11&gt;=7,"Neutro","Detrator")))</f>
        <v/>
      </c>
      <c r="L11" s="5"/>
      <c r="M11" s="11" t="str">
        <f aca="false">IF(AND(D11="",COUNT(E11:J11)=0),"",IF(COUNT(E11:I11)=0,"Sem notas",IF(MAX(E11:I11)&gt;Pesquisa!$D$6,"Nota acima da escala",IF(COUNT(E11:I11)&lt;Pesquisa!$D$28,"Faltam notas","Completa"))))</f>
        <v/>
      </c>
    </row>
    <row r="12" customFormat="false" ht="19.5" hidden="false" customHeight="true" outlineLevel="0" collapsed="false">
      <c r="B12" s="10" t="n">
        <v>6</v>
      </c>
      <c r="C12" s="17"/>
      <c r="D12" s="5"/>
      <c r="E12" s="18"/>
      <c r="F12" s="18"/>
      <c r="G12" s="18"/>
      <c r="H12" s="18"/>
      <c r="I12" s="18"/>
      <c r="J12" s="18"/>
      <c r="K12" s="11" t="str">
        <f aca="false">IF(J12="","",IF(J12&gt;=9,"Promotor",IF(J12&gt;=7,"Neutro","Detrator")))</f>
        <v/>
      </c>
      <c r="L12" s="5"/>
      <c r="M12" s="11" t="str">
        <f aca="false">IF(AND(D12="",COUNT(E12:J12)=0),"",IF(COUNT(E12:I12)=0,"Sem notas",IF(MAX(E12:I12)&gt;Pesquisa!$D$6,"Nota acima da escala",IF(COUNT(E12:I12)&lt;Pesquisa!$D$28,"Faltam notas","Completa"))))</f>
        <v/>
      </c>
    </row>
    <row r="13" customFormat="false" ht="19.5" hidden="false" customHeight="true" outlineLevel="0" collapsed="false">
      <c r="B13" s="10" t="n">
        <v>7</v>
      </c>
      <c r="C13" s="17"/>
      <c r="D13" s="5"/>
      <c r="E13" s="18"/>
      <c r="F13" s="18"/>
      <c r="G13" s="18"/>
      <c r="H13" s="18"/>
      <c r="I13" s="18"/>
      <c r="J13" s="18"/>
      <c r="K13" s="11" t="str">
        <f aca="false">IF(J13="","",IF(J13&gt;=9,"Promotor",IF(J13&gt;=7,"Neutro","Detrator")))</f>
        <v/>
      </c>
      <c r="L13" s="5"/>
      <c r="M13" s="11" t="str">
        <f aca="false">IF(AND(D13="",COUNT(E13:J13)=0),"",IF(COUNT(E13:I13)=0,"Sem notas",IF(MAX(E13:I13)&gt;Pesquisa!$D$6,"Nota acima da escala",IF(COUNT(E13:I13)&lt;Pesquisa!$D$28,"Faltam notas","Completa"))))</f>
        <v/>
      </c>
    </row>
    <row r="14" customFormat="false" ht="19.5" hidden="false" customHeight="true" outlineLevel="0" collapsed="false">
      <c r="B14" s="10" t="n">
        <v>8</v>
      </c>
      <c r="C14" s="17"/>
      <c r="D14" s="5"/>
      <c r="E14" s="18"/>
      <c r="F14" s="18"/>
      <c r="G14" s="18"/>
      <c r="H14" s="18"/>
      <c r="I14" s="18"/>
      <c r="J14" s="18"/>
      <c r="K14" s="11" t="str">
        <f aca="false">IF(J14="","",IF(J14&gt;=9,"Promotor",IF(J14&gt;=7,"Neutro","Detrator")))</f>
        <v/>
      </c>
      <c r="L14" s="5"/>
      <c r="M14" s="11" t="str">
        <f aca="false">IF(AND(D14="",COUNT(E14:J14)=0),"",IF(COUNT(E14:I14)=0,"Sem notas",IF(MAX(E14:I14)&gt;Pesquisa!$D$6,"Nota acima da escala",IF(COUNT(E14:I14)&lt;Pesquisa!$D$28,"Faltam notas","Completa"))))</f>
        <v/>
      </c>
    </row>
    <row r="15" customFormat="false" ht="19.5" hidden="false" customHeight="true" outlineLevel="0" collapsed="false">
      <c r="B15" s="10" t="n">
        <v>9</v>
      </c>
      <c r="C15" s="17"/>
      <c r="D15" s="5"/>
      <c r="E15" s="18"/>
      <c r="F15" s="18"/>
      <c r="G15" s="18"/>
      <c r="H15" s="18"/>
      <c r="I15" s="18"/>
      <c r="J15" s="18"/>
      <c r="K15" s="11" t="str">
        <f aca="false">IF(J15="","",IF(J15&gt;=9,"Promotor",IF(J15&gt;=7,"Neutro","Detrator")))</f>
        <v/>
      </c>
      <c r="L15" s="5"/>
      <c r="M15" s="11" t="str">
        <f aca="false">IF(AND(D15="",COUNT(E15:J15)=0),"",IF(COUNT(E15:I15)=0,"Sem notas",IF(MAX(E15:I15)&gt;Pesquisa!$D$6,"Nota acima da escala",IF(COUNT(E15:I15)&lt;Pesquisa!$D$28,"Faltam notas","Completa"))))</f>
        <v/>
      </c>
    </row>
    <row r="16" customFormat="false" ht="19.5" hidden="false" customHeight="true" outlineLevel="0" collapsed="false">
      <c r="B16" s="10" t="n">
        <v>10</v>
      </c>
      <c r="C16" s="17"/>
      <c r="D16" s="5"/>
      <c r="E16" s="18"/>
      <c r="F16" s="18"/>
      <c r="G16" s="18"/>
      <c r="H16" s="18"/>
      <c r="I16" s="18"/>
      <c r="J16" s="18"/>
      <c r="K16" s="11" t="str">
        <f aca="false">IF(J16="","",IF(J16&gt;=9,"Promotor",IF(J16&gt;=7,"Neutro","Detrator")))</f>
        <v/>
      </c>
      <c r="L16" s="5"/>
      <c r="M16" s="11" t="str">
        <f aca="false">IF(AND(D16="",COUNT(E16:J16)=0),"",IF(COUNT(E16:I16)=0,"Sem notas",IF(MAX(E16:I16)&gt;Pesquisa!$D$6,"Nota acima da escala",IF(COUNT(E16:I16)&lt;Pesquisa!$D$28,"Faltam notas","Completa"))))</f>
        <v/>
      </c>
    </row>
    <row r="17" customFormat="false" ht="19.5" hidden="false" customHeight="true" outlineLevel="0" collapsed="false">
      <c r="B17" s="10" t="n">
        <v>11</v>
      </c>
      <c r="C17" s="17"/>
      <c r="D17" s="5"/>
      <c r="E17" s="18"/>
      <c r="F17" s="18"/>
      <c r="G17" s="18"/>
      <c r="H17" s="18"/>
      <c r="I17" s="18"/>
      <c r="J17" s="18"/>
      <c r="K17" s="11" t="str">
        <f aca="false">IF(J17="","",IF(J17&gt;=9,"Promotor",IF(J17&gt;=7,"Neutro","Detrator")))</f>
        <v/>
      </c>
      <c r="L17" s="5"/>
      <c r="M17" s="11" t="str">
        <f aca="false">IF(AND(D17="",COUNT(E17:J17)=0),"",IF(COUNT(E17:I17)=0,"Sem notas",IF(MAX(E17:I17)&gt;Pesquisa!$D$6,"Nota acima da escala",IF(COUNT(E17:I17)&lt;Pesquisa!$D$28,"Faltam notas","Completa"))))</f>
        <v/>
      </c>
    </row>
    <row r="18" customFormat="false" ht="19.5" hidden="false" customHeight="true" outlineLevel="0" collapsed="false">
      <c r="B18" s="10" t="n">
        <v>12</v>
      </c>
      <c r="C18" s="17"/>
      <c r="D18" s="5"/>
      <c r="E18" s="18"/>
      <c r="F18" s="18"/>
      <c r="G18" s="18"/>
      <c r="H18" s="18"/>
      <c r="I18" s="18"/>
      <c r="J18" s="18"/>
      <c r="K18" s="11" t="str">
        <f aca="false">IF(J18="","",IF(J18&gt;=9,"Promotor",IF(J18&gt;=7,"Neutro","Detrator")))</f>
        <v/>
      </c>
      <c r="L18" s="5"/>
      <c r="M18" s="11" t="str">
        <f aca="false">IF(AND(D18="",COUNT(E18:J18)=0),"",IF(COUNT(E18:I18)=0,"Sem notas",IF(MAX(E18:I18)&gt;Pesquisa!$D$6,"Nota acima da escala",IF(COUNT(E18:I18)&lt;Pesquisa!$D$28,"Faltam notas","Completa"))))</f>
        <v/>
      </c>
    </row>
    <row r="19" customFormat="false" ht="19.5" hidden="false" customHeight="true" outlineLevel="0" collapsed="false">
      <c r="B19" s="10" t="n">
        <v>13</v>
      </c>
      <c r="C19" s="17"/>
      <c r="D19" s="5"/>
      <c r="E19" s="18"/>
      <c r="F19" s="18"/>
      <c r="G19" s="18"/>
      <c r="H19" s="18"/>
      <c r="I19" s="18"/>
      <c r="J19" s="18"/>
      <c r="K19" s="11" t="str">
        <f aca="false">IF(J19="","",IF(J19&gt;=9,"Promotor",IF(J19&gt;=7,"Neutro","Detrator")))</f>
        <v/>
      </c>
      <c r="L19" s="5"/>
      <c r="M19" s="11" t="str">
        <f aca="false">IF(AND(D19="",COUNT(E19:J19)=0),"",IF(COUNT(E19:I19)=0,"Sem notas",IF(MAX(E19:I19)&gt;Pesquisa!$D$6,"Nota acima da escala",IF(COUNT(E19:I19)&lt;Pesquisa!$D$28,"Faltam notas","Completa"))))</f>
        <v/>
      </c>
    </row>
    <row r="20" customFormat="false" ht="19.5" hidden="false" customHeight="true" outlineLevel="0" collapsed="false">
      <c r="B20" s="10" t="n">
        <v>14</v>
      </c>
      <c r="C20" s="17"/>
      <c r="D20" s="5"/>
      <c r="E20" s="18"/>
      <c r="F20" s="18"/>
      <c r="G20" s="18"/>
      <c r="H20" s="18"/>
      <c r="I20" s="18"/>
      <c r="J20" s="18"/>
      <c r="K20" s="11" t="str">
        <f aca="false">IF(J20="","",IF(J20&gt;=9,"Promotor",IF(J20&gt;=7,"Neutro","Detrator")))</f>
        <v/>
      </c>
      <c r="L20" s="5"/>
      <c r="M20" s="11" t="str">
        <f aca="false">IF(AND(D20="",COUNT(E20:J20)=0),"",IF(COUNT(E20:I20)=0,"Sem notas",IF(MAX(E20:I20)&gt;Pesquisa!$D$6,"Nota acima da escala",IF(COUNT(E20:I20)&lt;Pesquisa!$D$28,"Faltam notas","Completa"))))</f>
        <v/>
      </c>
    </row>
    <row r="21" customFormat="false" ht="19.5" hidden="false" customHeight="true" outlineLevel="0" collapsed="false">
      <c r="B21" s="10" t="n">
        <v>15</v>
      </c>
      <c r="C21" s="17"/>
      <c r="D21" s="5"/>
      <c r="E21" s="18"/>
      <c r="F21" s="18"/>
      <c r="G21" s="18"/>
      <c r="H21" s="18"/>
      <c r="I21" s="18"/>
      <c r="J21" s="18"/>
      <c r="K21" s="11" t="str">
        <f aca="false">IF(J21="","",IF(J21&gt;=9,"Promotor",IF(J21&gt;=7,"Neutro","Detrator")))</f>
        <v/>
      </c>
      <c r="L21" s="5"/>
      <c r="M21" s="11" t="str">
        <f aca="false">IF(AND(D21="",COUNT(E21:J21)=0),"",IF(COUNT(E21:I21)=0,"Sem notas",IF(MAX(E21:I21)&gt;Pesquisa!$D$6,"Nota acima da escala",IF(COUNT(E21:I21)&lt;Pesquisa!$D$28,"Faltam notas","Completa"))))</f>
        <v/>
      </c>
    </row>
    <row r="22" customFormat="false" ht="19.5" hidden="false" customHeight="true" outlineLevel="0" collapsed="false">
      <c r="B22" s="10" t="n">
        <v>16</v>
      </c>
      <c r="C22" s="17"/>
      <c r="D22" s="5"/>
      <c r="E22" s="18"/>
      <c r="F22" s="18"/>
      <c r="G22" s="18"/>
      <c r="H22" s="18"/>
      <c r="I22" s="18"/>
      <c r="J22" s="18"/>
      <c r="K22" s="11" t="str">
        <f aca="false">IF(J22="","",IF(J22&gt;=9,"Promotor",IF(J22&gt;=7,"Neutro","Detrator")))</f>
        <v/>
      </c>
      <c r="L22" s="5"/>
      <c r="M22" s="11" t="str">
        <f aca="false">IF(AND(D22="",COUNT(E22:J22)=0),"",IF(COUNT(E22:I22)=0,"Sem notas",IF(MAX(E22:I22)&gt;Pesquisa!$D$6,"Nota acima da escala",IF(COUNT(E22:I22)&lt;Pesquisa!$D$28,"Faltam notas","Completa"))))</f>
        <v/>
      </c>
    </row>
    <row r="23" customFormat="false" ht="19.5" hidden="false" customHeight="true" outlineLevel="0" collapsed="false">
      <c r="B23" s="10" t="n">
        <v>17</v>
      </c>
      <c r="C23" s="17"/>
      <c r="D23" s="5"/>
      <c r="E23" s="18"/>
      <c r="F23" s="18"/>
      <c r="G23" s="18"/>
      <c r="H23" s="18"/>
      <c r="I23" s="18"/>
      <c r="J23" s="18"/>
      <c r="K23" s="11" t="str">
        <f aca="false">IF(J23="","",IF(J23&gt;=9,"Promotor",IF(J23&gt;=7,"Neutro","Detrator")))</f>
        <v/>
      </c>
      <c r="L23" s="5"/>
      <c r="M23" s="11" t="str">
        <f aca="false">IF(AND(D23="",COUNT(E23:J23)=0),"",IF(COUNT(E23:I23)=0,"Sem notas",IF(MAX(E23:I23)&gt;Pesquisa!$D$6,"Nota acima da escala",IF(COUNT(E23:I23)&lt;Pesquisa!$D$28,"Faltam notas","Completa"))))</f>
        <v/>
      </c>
    </row>
    <row r="24" customFormat="false" ht="19.5" hidden="false" customHeight="true" outlineLevel="0" collapsed="false">
      <c r="B24" s="10" t="n">
        <v>18</v>
      </c>
      <c r="C24" s="17"/>
      <c r="D24" s="5"/>
      <c r="E24" s="18"/>
      <c r="F24" s="18"/>
      <c r="G24" s="18"/>
      <c r="H24" s="18"/>
      <c r="I24" s="18"/>
      <c r="J24" s="18"/>
      <c r="K24" s="11" t="str">
        <f aca="false">IF(J24="","",IF(J24&gt;=9,"Promotor",IF(J24&gt;=7,"Neutro","Detrator")))</f>
        <v/>
      </c>
      <c r="L24" s="5"/>
      <c r="M24" s="11" t="str">
        <f aca="false">IF(AND(D24="",COUNT(E24:J24)=0),"",IF(COUNT(E24:I24)=0,"Sem notas",IF(MAX(E24:I24)&gt;Pesquisa!$D$6,"Nota acima da escala",IF(COUNT(E24:I24)&lt;Pesquisa!$D$28,"Faltam notas","Completa"))))</f>
        <v/>
      </c>
    </row>
    <row r="25" customFormat="false" ht="19.5" hidden="false" customHeight="true" outlineLevel="0" collapsed="false">
      <c r="B25" s="10" t="n">
        <v>19</v>
      </c>
      <c r="C25" s="17"/>
      <c r="D25" s="5"/>
      <c r="E25" s="18"/>
      <c r="F25" s="18"/>
      <c r="G25" s="18"/>
      <c r="H25" s="18"/>
      <c r="I25" s="18"/>
      <c r="J25" s="18"/>
      <c r="K25" s="11" t="str">
        <f aca="false">IF(J25="","",IF(J25&gt;=9,"Promotor",IF(J25&gt;=7,"Neutro","Detrator")))</f>
        <v/>
      </c>
      <c r="L25" s="5"/>
      <c r="M25" s="11" t="str">
        <f aca="false">IF(AND(D25="",COUNT(E25:J25)=0),"",IF(COUNT(E25:I25)=0,"Sem notas",IF(MAX(E25:I25)&gt;Pesquisa!$D$6,"Nota acima da escala",IF(COUNT(E25:I25)&lt;Pesquisa!$D$28,"Faltam notas","Completa"))))</f>
        <v/>
      </c>
    </row>
    <row r="26" customFormat="false" ht="19.5" hidden="false" customHeight="true" outlineLevel="0" collapsed="false">
      <c r="B26" s="10" t="n">
        <v>20</v>
      </c>
      <c r="C26" s="17"/>
      <c r="D26" s="5"/>
      <c r="E26" s="18"/>
      <c r="F26" s="18"/>
      <c r="G26" s="18"/>
      <c r="H26" s="18"/>
      <c r="I26" s="18"/>
      <c r="J26" s="18"/>
      <c r="K26" s="11" t="str">
        <f aca="false">IF(J26="","",IF(J26&gt;=9,"Promotor",IF(J26&gt;=7,"Neutro","Detrator")))</f>
        <v/>
      </c>
      <c r="L26" s="5"/>
      <c r="M26" s="11" t="str">
        <f aca="false">IF(AND(D26="",COUNT(E26:J26)=0),"",IF(COUNT(E26:I26)=0,"Sem notas",IF(MAX(E26:I26)&gt;Pesquisa!$D$6,"Nota acima da escala",IF(COUNT(E26:I26)&lt;Pesquisa!$D$28,"Faltam notas","Completa"))))</f>
        <v/>
      </c>
    </row>
    <row r="27" customFormat="false" ht="19.5" hidden="false" customHeight="true" outlineLevel="0" collapsed="false">
      <c r="B27" s="10" t="n">
        <v>21</v>
      </c>
      <c r="C27" s="17"/>
      <c r="D27" s="5"/>
      <c r="E27" s="18"/>
      <c r="F27" s="18"/>
      <c r="G27" s="18"/>
      <c r="H27" s="18"/>
      <c r="I27" s="18"/>
      <c r="J27" s="18"/>
      <c r="K27" s="11" t="str">
        <f aca="false">IF(J27="","",IF(J27&gt;=9,"Promotor",IF(J27&gt;=7,"Neutro","Detrator")))</f>
        <v/>
      </c>
      <c r="L27" s="5"/>
      <c r="M27" s="11" t="str">
        <f aca="false">IF(AND(D27="",COUNT(E27:J27)=0),"",IF(COUNT(E27:I27)=0,"Sem notas",IF(MAX(E27:I27)&gt;Pesquisa!$D$6,"Nota acima da escala",IF(COUNT(E27:I27)&lt;Pesquisa!$D$28,"Faltam notas","Completa"))))</f>
        <v/>
      </c>
    </row>
    <row r="28" customFormat="false" ht="19.5" hidden="false" customHeight="true" outlineLevel="0" collapsed="false">
      <c r="B28" s="10" t="n">
        <v>22</v>
      </c>
      <c r="C28" s="17"/>
      <c r="D28" s="5"/>
      <c r="E28" s="18"/>
      <c r="F28" s="18"/>
      <c r="G28" s="18"/>
      <c r="H28" s="18"/>
      <c r="I28" s="18"/>
      <c r="J28" s="18"/>
      <c r="K28" s="11" t="str">
        <f aca="false">IF(J28="","",IF(J28&gt;=9,"Promotor",IF(J28&gt;=7,"Neutro","Detrator")))</f>
        <v/>
      </c>
      <c r="L28" s="5"/>
      <c r="M28" s="11" t="str">
        <f aca="false">IF(AND(D28="",COUNT(E28:J28)=0),"",IF(COUNT(E28:I28)=0,"Sem notas",IF(MAX(E28:I28)&gt;Pesquisa!$D$6,"Nota acima da escala",IF(COUNT(E28:I28)&lt;Pesquisa!$D$28,"Faltam notas","Completa"))))</f>
        <v/>
      </c>
    </row>
    <row r="29" customFormat="false" ht="19.5" hidden="false" customHeight="true" outlineLevel="0" collapsed="false">
      <c r="B29" s="10" t="n">
        <v>23</v>
      </c>
      <c r="C29" s="17"/>
      <c r="D29" s="5"/>
      <c r="E29" s="18"/>
      <c r="F29" s="18"/>
      <c r="G29" s="18"/>
      <c r="H29" s="18"/>
      <c r="I29" s="18"/>
      <c r="J29" s="18"/>
      <c r="K29" s="11" t="str">
        <f aca="false">IF(J29="","",IF(J29&gt;=9,"Promotor",IF(J29&gt;=7,"Neutro","Detrator")))</f>
        <v/>
      </c>
      <c r="L29" s="5"/>
      <c r="M29" s="11" t="str">
        <f aca="false">IF(AND(D29="",COUNT(E29:J29)=0),"",IF(COUNT(E29:I29)=0,"Sem notas",IF(MAX(E29:I29)&gt;Pesquisa!$D$6,"Nota acima da escala",IF(COUNT(E29:I29)&lt;Pesquisa!$D$28,"Faltam notas","Completa"))))</f>
        <v/>
      </c>
    </row>
    <row r="30" customFormat="false" ht="19.5" hidden="false" customHeight="true" outlineLevel="0" collapsed="false">
      <c r="B30" s="10" t="n">
        <v>24</v>
      </c>
      <c r="C30" s="17"/>
      <c r="D30" s="5"/>
      <c r="E30" s="18"/>
      <c r="F30" s="18"/>
      <c r="G30" s="18"/>
      <c r="H30" s="18"/>
      <c r="I30" s="18"/>
      <c r="J30" s="18"/>
      <c r="K30" s="11" t="str">
        <f aca="false">IF(J30="","",IF(J30&gt;=9,"Promotor",IF(J30&gt;=7,"Neutro","Detrator")))</f>
        <v/>
      </c>
      <c r="L30" s="5"/>
      <c r="M30" s="11" t="str">
        <f aca="false">IF(AND(D30="",COUNT(E30:J30)=0),"",IF(COUNT(E30:I30)=0,"Sem notas",IF(MAX(E30:I30)&gt;Pesquisa!$D$6,"Nota acima da escala",IF(COUNT(E30:I30)&lt;Pesquisa!$D$28,"Faltam notas","Completa"))))</f>
        <v/>
      </c>
    </row>
    <row r="31" customFormat="false" ht="19.5" hidden="false" customHeight="true" outlineLevel="0" collapsed="false">
      <c r="B31" s="10" t="n">
        <v>25</v>
      </c>
      <c r="C31" s="17"/>
      <c r="D31" s="5"/>
      <c r="E31" s="18"/>
      <c r="F31" s="18"/>
      <c r="G31" s="18"/>
      <c r="H31" s="18"/>
      <c r="I31" s="18"/>
      <c r="J31" s="18"/>
      <c r="K31" s="11" t="str">
        <f aca="false">IF(J31="","",IF(J31&gt;=9,"Promotor",IF(J31&gt;=7,"Neutro","Detrator")))</f>
        <v/>
      </c>
      <c r="L31" s="5"/>
      <c r="M31" s="11" t="str">
        <f aca="false">IF(AND(D31="",COUNT(E31:J31)=0),"",IF(COUNT(E31:I31)=0,"Sem notas",IF(MAX(E31:I31)&gt;Pesquisa!$D$6,"Nota acima da escala",IF(COUNT(E31:I31)&lt;Pesquisa!$D$28,"Faltam notas","Completa"))))</f>
        <v/>
      </c>
    </row>
    <row r="32" customFormat="false" ht="19.5" hidden="false" customHeight="true" outlineLevel="0" collapsed="false">
      <c r="B32" s="10" t="n">
        <v>26</v>
      </c>
      <c r="C32" s="17"/>
      <c r="D32" s="5"/>
      <c r="E32" s="18"/>
      <c r="F32" s="18"/>
      <c r="G32" s="18"/>
      <c r="H32" s="18"/>
      <c r="I32" s="18"/>
      <c r="J32" s="18"/>
      <c r="K32" s="11" t="str">
        <f aca="false">IF(J32="","",IF(J32&gt;=9,"Promotor",IF(J32&gt;=7,"Neutro","Detrator")))</f>
        <v/>
      </c>
      <c r="L32" s="5"/>
      <c r="M32" s="11" t="str">
        <f aca="false">IF(AND(D32="",COUNT(E32:J32)=0),"",IF(COUNT(E32:I32)=0,"Sem notas",IF(MAX(E32:I32)&gt;Pesquisa!$D$6,"Nota acima da escala",IF(COUNT(E32:I32)&lt;Pesquisa!$D$28,"Faltam notas","Completa"))))</f>
        <v/>
      </c>
    </row>
    <row r="33" customFormat="false" ht="19.5" hidden="false" customHeight="true" outlineLevel="0" collapsed="false">
      <c r="B33" s="10" t="n">
        <v>27</v>
      </c>
      <c r="C33" s="17"/>
      <c r="D33" s="5"/>
      <c r="E33" s="18"/>
      <c r="F33" s="18"/>
      <c r="G33" s="18"/>
      <c r="H33" s="18"/>
      <c r="I33" s="18"/>
      <c r="J33" s="18"/>
      <c r="K33" s="11" t="str">
        <f aca="false">IF(J33="","",IF(J33&gt;=9,"Promotor",IF(J33&gt;=7,"Neutro","Detrator")))</f>
        <v/>
      </c>
      <c r="L33" s="5"/>
      <c r="M33" s="11" t="str">
        <f aca="false">IF(AND(D33="",COUNT(E33:J33)=0),"",IF(COUNT(E33:I33)=0,"Sem notas",IF(MAX(E33:I33)&gt;Pesquisa!$D$6,"Nota acima da escala",IF(COUNT(E33:I33)&lt;Pesquisa!$D$28,"Faltam notas","Completa"))))</f>
        <v/>
      </c>
    </row>
    <row r="34" customFormat="false" ht="19.5" hidden="false" customHeight="true" outlineLevel="0" collapsed="false">
      <c r="B34" s="10" t="n">
        <v>28</v>
      </c>
      <c r="C34" s="17"/>
      <c r="D34" s="5"/>
      <c r="E34" s="18"/>
      <c r="F34" s="18"/>
      <c r="G34" s="18"/>
      <c r="H34" s="18"/>
      <c r="I34" s="18"/>
      <c r="J34" s="18"/>
      <c r="K34" s="11" t="str">
        <f aca="false">IF(J34="","",IF(J34&gt;=9,"Promotor",IF(J34&gt;=7,"Neutro","Detrator")))</f>
        <v/>
      </c>
      <c r="L34" s="5"/>
      <c r="M34" s="11" t="str">
        <f aca="false">IF(AND(D34="",COUNT(E34:J34)=0),"",IF(COUNT(E34:I34)=0,"Sem notas",IF(MAX(E34:I34)&gt;Pesquisa!$D$6,"Nota acima da escala",IF(COUNT(E34:I34)&lt;Pesquisa!$D$28,"Faltam notas","Completa"))))</f>
        <v/>
      </c>
    </row>
    <row r="35" customFormat="false" ht="19.5" hidden="false" customHeight="true" outlineLevel="0" collapsed="false">
      <c r="B35" s="10" t="n">
        <v>29</v>
      </c>
      <c r="C35" s="17"/>
      <c r="D35" s="5"/>
      <c r="E35" s="18"/>
      <c r="F35" s="18"/>
      <c r="G35" s="18"/>
      <c r="H35" s="18"/>
      <c r="I35" s="18"/>
      <c r="J35" s="18"/>
      <c r="K35" s="11" t="str">
        <f aca="false">IF(J35="","",IF(J35&gt;=9,"Promotor",IF(J35&gt;=7,"Neutro","Detrator")))</f>
        <v/>
      </c>
      <c r="L35" s="5"/>
      <c r="M35" s="11" t="str">
        <f aca="false">IF(AND(D35="",COUNT(E35:J35)=0),"",IF(COUNT(E35:I35)=0,"Sem notas",IF(MAX(E35:I35)&gt;Pesquisa!$D$6,"Nota acima da escala",IF(COUNT(E35:I35)&lt;Pesquisa!$D$28,"Faltam notas","Completa"))))</f>
        <v/>
      </c>
    </row>
    <row r="36" customFormat="false" ht="19.5" hidden="false" customHeight="true" outlineLevel="0" collapsed="false">
      <c r="B36" s="10" t="n">
        <v>30</v>
      </c>
      <c r="C36" s="17"/>
      <c r="D36" s="5"/>
      <c r="E36" s="18"/>
      <c r="F36" s="18"/>
      <c r="G36" s="18"/>
      <c r="H36" s="18"/>
      <c r="I36" s="18"/>
      <c r="J36" s="18"/>
      <c r="K36" s="11" t="str">
        <f aca="false">IF(J36="","",IF(J36&gt;=9,"Promotor",IF(J36&gt;=7,"Neutro","Detrator")))</f>
        <v/>
      </c>
      <c r="L36" s="5"/>
      <c r="M36" s="11" t="str">
        <f aca="false">IF(AND(D36="",COUNT(E36:J36)=0),"",IF(COUNT(E36:I36)=0,"Sem notas",IF(MAX(E36:I36)&gt;Pesquisa!$D$6,"Nota acima da escala",IF(COUNT(E36:I36)&lt;Pesquisa!$D$28,"Faltam notas","Completa"))))</f>
        <v/>
      </c>
    </row>
    <row r="37" customFormat="false" ht="19.5" hidden="false" customHeight="true" outlineLevel="0" collapsed="false">
      <c r="B37" s="10" t="n">
        <v>31</v>
      </c>
      <c r="C37" s="17"/>
      <c r="D37" s="5"/>
      <c r="E37" s="18"/>
      <c r="F37" s="18"/>
      <c r="G37" s="18"/>
      <c r="H37" s="18"/>
      <c r="I37" s="18"/>
      <c r="J37" s="18"/>
      <c r="K37" s="11" t="str">
        <f aca="false">IF(J37="","",IF(J37&gt;=9,"Promotor",IF(J37&gt;=7,"Neutro","Detrator")))</f>
        <v/>
      </c>
      <c r="L37" s="5"/>
      <c r="M37" s="11" t="str">
        <f aca="false">IF(AND(D37="",COUNT(E37:J37)=0),"",IF(COUNT(E37:I37)=0,"Sem notas",IF(MAX(E37:I37)&gt;Pesquisa!$D$6,"Nota acima da escala",IF(COUNT(E37:I37)&lt;Pesquisa!$D$28,"Faltam notas","Completa"))))</f>
        <v/>
      </c>
    </row>
    <row r="38" customFormat="false" ht="19.5" hidden="false" customHeight="true" outlineLevel="0" collapsed="false">
      <c r="B38" s="10" t="n">
        <v>32</v>
      </c>
      <c r="C38" s="17"/>
      <c r="D38" s="5"/>
      <c r="E38" s="18"/>
      <c r="F38" s="18"/>
      <c r="G38" s="18"/>
      <c r="H38" s="18"/>
      <c r="I38" s="18"/>
      <c r="J38" s="18"/>
      <c r="K38" s="11" t="str">
        <f aca="false">IF(J38="","",IF(J38&gt;=9,"Promotor",IF(J38&gt;=7,"Neutro","Detrator")))</f>
        <v/>
      </c>
      <c r="L38" s="5"/>
      <c r="M38" s="11" t="str">
        <f aca="false">IF(AND(D38="",COUNT(E38:J38)=0),"",IF(COUNT(E38:I38)=0,"Sem notas",IF(MAX(E38:I38)&gt;Pesquisa!$D$6,"Nota acima da escala",IF(COUNT(E38:I38)&lt;Pesquisa!$D$28,"Faltam notas","Completa"))))</f>
        <v/>
      </c>
    </row>
    <row r="39" customFormat="false" ht="19.5" hidden="false" customHeight="true" outlineLevel="0" collapsed="false">
      <c r="B39" s="10" t="n">
        <v>33</v>
      </c>
      <c r="C39" s="17"/>
      <c r="D39" s="5"/>
      <c r="E39" s="18"/>
      <c r="F39" s="18"/>
      <c r="G39" s="18"/>
      <c r="H39" s="18"/>
      <c r="I39" s="18"/>
      <c r="J39" s="18"/>
      <c r="K39" s="11" t="str">
        <f aca="false">IF(J39="","",IF(J39&gt;=9,"Promotor",IF(J39&gt;=7,"Neutro","Detrator")))</f>
        <v/>
      </c>
      <c r="L39" s="5"/>
      <c r="M39" s="11" t="str">
        <f aca="false">IF(AND(D39="",COUNT(E39:J39)=0),"",IF(COUNT(E39:I39)=0,"Sem notas",IF(MAX(E39:I39)&gt;Pesquisa!$D$6,"Nota acima da escala",IF(COUNT(E39:I39)&lt;Pesquisa!$D$28,"Faltam notas","Completa"))))</f>
        <v/>
      </c>
    </row>
    <row r="40" customFormat="false" ht="19.5" hidden="false" customHeight="true" outlineLevel="0" collapsed="false">
      <c r="B40" s="10" t="n">
        <v>34</v>
      </c>
      <c r="C40" s="17"/>
      <c r="D40" s="5"/>
      <c r="E40" s="18"/>
      <c r="F40" s="18"/>
      <c r="G40" s="18"/>
      <c r="H40" s="18"/>
      <c r="I40" s="18"/>
      <c r="J40" s="18"/>
      <c r="K40" s="11" t="str">
        <f aca="false">IF(J40="","",IF(J40&gt;=9,"Promotor",IF(J40&gt;=7,"Neutro","Detrator")))</f>
        <v/>
      </c>
      <c r="L40" s="5"/>
      <c r="M40" s="11" t="str">
        <f aca="false">IF(AND(D40="",COUNT(E40:J40)=0),"",IF(COUNT(E40:I40)=0,"Sem notas",IF(MAX(E40:I40)&gt;Pesquisa!$D$6,"Nota acima da escala",IF(COUNT(E40:I40)&lt;Pesquisa!$D$28,"Faltam notas","Completa"))))</f>
        <v/>
      </c>
    </row>
    <row r="41" customFormat="false" ht="19.5" hidden="false" customHeight="true" outlineLevel="0" collapsed="false">
      <c r="B41" s="10" t="n">
        <v>35</v>
      </c>
      <c r="C41" s="17"/>
      <c r="D41" s="5"/>
      <c r="E41" s="18"/>
      <c r="F41" s="18"/>
      <c r="G41" s="18"/>
      <c r="H41" s="18"/>
      <c r="I41" s="18"/>
      <c r="J41" s="18"/>
      <c r="K41" s="11" t="str">
        <f aca="false">IF(J41="","",IF(J41&gt;=9,"Promotor",IF(J41&gt;=7,"Neutro","Detrator")))</f>
        <v/>
      </c>
      <c r="L41" s="5"/>
      <c r="M41" s="11" t="str">
        <f aca="false">IF(AND(D41="",COUNT(E41:J41)=0),"",IF(COUNT(E41:I41)=0,"Sem notas",IF(MAX(E41:I41)&gt;Pesquisa!$D$6,"Nota acima da escala",IF(COUNT(E41:I41)&lt;Pesquisa!$D$28,"Faltam notas","Completa"))))</f>
        <v/>
      </c>
    </row>
    <row r="42" customFormat="false" ht="19.5" hidden="false" customHeight="true" outlineLevel="0" collapsed="false">
      <c r="B42" s="10" t="n">
        <v>36</v>
      </c>
      <c r="C42" s="17"/>
      <c r="D42" s="5"/>
      <c r="E42" s="18"/>
      <c r="F42" s="18"/>
      <c r="G42" s="18"/>
      <c r="H42" s="18"/>
      <c r="I42" s="18"/>
      <c r="J42" s="18"/>
      <c r="K42" s="11" t="str">
        <f aca="false">IF(J42="","",IF(J42&gt;=9,"Promotor",IF(J42&gt;=7,"Neutro","Detrator")))</f>
        <v/>
      </c>
      <c r="L42" s="5"/>
      <c r="M42" s="11" t="str">
        <f aca="false">IF(AND(D42="",COUNT(E42:J42)=0),"",IF(COUNT(E42:I42)=0,"Sem notas",IF(MAX(E42:I42)&gt;Pesquisa!$D$6,"Nota acima da escala",IF(COUNT(E42:I42)&lt;Pesquisa!$D$28,"Faltam notas","Completa"))))</f>
        <v/>
      </c>
    </row>
    <row r="43" customFormat="false" ht="19.5" hidden="false" customHeight="true" outlineLevel="0" collapsed="false">
      <c r="B43" s="10" t="n">
        <v>37</v>
      </c>
      <c r="C43" s="17"/>
      <c r="D43" s="5"/>
      <c r="E43" s="18"/>
      <c r="F43" s="18"/>
      <c r="G43" s="18"/>
      <c r="H43" s="18"/>
      <c r="I43" s="18"/>
      <c r="J43" s="18"/>
      <c r="K43" s="11" t="str">
        <f aca="false">IF(J43="","",IF(J43&gt;=9,"Promotor",IF(J43&gt;=7,"Neutro","Detrator")))</f>
        <v/>
      </c>
      <c r="L43" s="5"/>
      <c r="M43" s="11" t="str">
        <f aca="false">IF(AND(D43="",COUNT(E43:J43)=0),"",IF(COUNT(E43:I43)=0,"Sem notas",IF(MAX(E43:I43)&gt;Pesquisa!$D$6,"Nota acima da escala",IF(COUNT(E43:I43)&lt;Pesquisa!$D$28,"Faltam notas","Completa"))))</f>
        <v/>
      </c>
    </row>
    <row r="44" customFormat="false" ht="19.5" hidden="false" customHeight="true" outlineLevel="0" collapsed="false">
      <c r="B44" s="10" t="n">
        <v>38</v>
      </c>
      <c r="C44" s="17"/>
      <c r="D44" s="5"/>
      <c r="E44" s="18"/>
      <c r="F44" s="18"/>
      <c r="G44" s="18"/>
      <c r="H44" s="18"/>
      <c r="I44" s="18"/>
      <c r="J44" s="18"/>
      <c r="K44" s="11" t="str">
        <f aca="false">IF(J44="","",IF(J44&gt;=9,"Promotor",IF(J44&gt;=7,"Neutro","Detrator")))</f>
        <v/>
      </c>
      <c r="L44" s="5"/>
      <c r="M44" s="11" t="str">
        <f aca="false">IF(AND(D44="",COUNT(E44:J44)=0),"",IF(COUNT(E44:I44)=0,"Sem notas",IF(MAX(E44:I44)&gt;Pesquisa!$D$6,"Nota acima da escala",IF(COUNT(E44:I44)&lt;Pesquisa!$D$28,"Faltam notas","Completa"))))</f>
        <v/>
      </c>
    </row>
    <row r="45" customFormat="false" ht="19.5" hidden="false" customHeight="true" outlineLevel="0" collapsed="false">
      <c r="B45" s="10" t="n">
        <v>39</v>
      </c>
      <c r="C45" s="17"/>
      <c r="D45" s="5"/>
      <c r="E45" s="18"/>
      <c r="F45" s="18"/>
      <c r="G45" s="18"/>
      <c r="H45" s="18"/>
      <c r="I45" s="18"/>
      <c r="J45" s="18"/>
      <c r="K45" s="11" t="str">
        <f aca="false">IF(J45="","",IF(J45&gt;=9,"Promotor",IF(J45&gt;=7,"Neutro","Detrator")))</f>
        <v/>
      </c>
      <c r="L45" s="5"/>
      <c r="M45" s="11" t="str">
        <f aca="false">IF(AND(D45="",COUNT(E45:J45)=0),"",IF(COUNT(E45:I45)=0,"Sem notas",IF(MAX(E45:I45)&gt;Pesquisa!$D$6,"Nota acima da escala",IF(COUNT(E45:I45)&lt;Pesquisa!$D$28,"Faltam notas","Completa"))))</f>
        <v/>
      </c>
    </row>
    <row r="46" customFormat="false" ht="19.5" hidden="false" customHeight="true" outlineLevel="0" collapsed="false">
      <c r="B46" s="10" t="n">
        <v>40</v>
      </c>
      <c r="C46" s="17"/>
      <c r="D46" s="5"/>
      <c r="E46" s="18"/>
      <c r="F46" s="18"/>
      <c r="G46" s="18"/>
      <c r="H46" s="18"/>
      <c r="I46" s="18"/>
      <c r="J46" s="18"/>
      <c r="K46" s="11" t="str">
        <f aca="false">IF(J46="","",IF(J46&gt;=9,"Promotor",IF(J46&gt;=7,"Neutro","Detrator")))</f>
        <v/>
      </c>
      <c r="L46" s="5"/>
      <c r="M46" s="11" t="str">
        <f aca="false">IF(AND(D46="",COUNT(E46:J46)=0),"",IF(COUNT(E46:I46)=0,"Sem notas",IF(MAX(E46:I46)&gt;Pesquisa!$D$6,"Nota acima da escala",IF(COUNT(E46:I46)&lt;Pesquisa!$D$28,"Faltam notas","Completa"))))</f>
        <v/>
      </c>
    </row>
    <row r="47" customFormat="false" ht="19.5" hidden="false" customHeight="true" outlineLevel="0" collapsed="false">
      <c r="B47" s="10" t="n">
        <v>41</v>
      </c>
      <c r="C47" s="17"/>
      <c r="D47" s="5"/>
      <c r="E47" s="18"/>
      <c r="F47" s="18"/>
      <c r="G47" s="18"/>
      <c r="H47" s="18"/>
      <c r="I47" s="18"/>
      <c r="J47" s="18"/>
      <c r="K47" s="11" t="str">
        <f aca="false">IF(J47="","",IF(J47&gt;=9,"Promotor",IF(J47&gt;=7,"Neutro","Detrator")))</f>
        <v/>
      </c>
      <c r="L47" s="5"/>
      <c r="M47" s="11" t="str">
        <f aca="false">IF(AND(D47="",COUNT(E47:J47)=0),"",IF(COUNT(E47:I47)=0,"Sem notas",IF(MAX(E47:I47)&gt;Pesquisa!$D$6,"Nota acima da escala",IF(COUNT(E47:I47)&lt;Pesquisa!$D$28,"Faltam notas","Completa"))))</f>
        <v/>
      </c>
    </row>
    <row r="48" customFormat="false" ht="19.5" hidden="false" customHeight="true" outlineLevel="0" collapsed="false">
      <c r="B48" s="10" t="n">
        <v>42</v>
      </c>
      <c r="C48" s="17"/>
      <c r="D48" s="5"/>
      <c r="E48" s="18"/>
      <c r="F48" s="18"/>
      <c r="G48" s="18"/>
      <c r="H48" s="18"/>
      <c r="I48" s="18"/>
      <c r="J48" s="18"/>
      <c r="K48" s="11" t="str">
        <f aca="false">IF(J48="","",IF(J48&gt;=9,"Promotor",IF(J48&gt;=7,"Neutro","Detrator")))</f>
        <v/>
      </c>
      <c r="L48" s="5"/>
      <c r="M48" s="11" t="str">
        <f aca="false">IF(AND(D48="",COUNT(E48:J48)=0),"",IF(COUNT(E48:I48)=0,"Sem notas",IF(MAX(E48:I48)&gt;Pesquisa!$D$6,"Nota acima da escala",IF(COUNT(E48:I48)&lt;Pesquisa!$D$28,"Faltam notas","Completa"))))</f>
        <v/>
      </c>
    </row>
    <row r="49" customFormat="false" ht="19.5" hidden="false" customHeight="true" outlineLevel="0" collapsed="false">
      <c r="B49" s="10" t="n">
        <v>43</v>
      </c>
      <c r="C49" s="17"/>
      <c r="D49" s="5"/>
      <c r="E49" s="18"/>
      <c r="F49" s="18"/>
      <c r="G49" s="18"/>
      <c r="H49" s="18"/>
      <c r="I49" s="18"/>
      <c r="J49" s="18"/>
      <c r="K49" s="11" t="str">
        <f aca="false">IF(J49="","",IF(J49&gt;=9,"Promotor",IF(J49&gt;=7,"Neutro","Detrator")))</f>
        <v/>
      </c>
      <c r="L49" s="5"/>
      <c r="M49" s="11" t="str">
        <f aca="false">IF(AND(D49="",COUNT(E49:J49)=0),"",IF(COUNT(E49:I49)=0,"Sem notas",IF(MAX(E49:I49)&gt;Pesquisa!$D$6,"Nota acima da escala",IF(COUNT(E49:I49)&lt;Pesquisa!$D$28,"Faltam notas","Completa"))))</f>
        <v/>
      </c>
    </row>
    <row r="50" customFormat="false" ht="19.5" hidden="false" customHeight="true" outlineLevel="0" collapsed="false">
      <c r="B50" s="10" t="n">
        <v>44</v>
      </c>
      <c r="C50" s="17"/>
      <c r="D50" s="5"/>
      <c r="E50" s="18"/>
      <c r="F50" s="18"/>
      <c r="G50" s="18"/>
      <c r="H50" s="18"/>
      <c r="I50" s="18"/>
      <c r="J50" s="18"/>
      <c r="K50" s="11" t="str">
        <f aca="false">IF(J50="","",IF(J50&gt;=9,"Promotor",IF(J50&gt;=7,"Neutro","Detrator")))</f>
        <v/>
      </c>
      <c r="L50" s="5"/>
      <c r="M50" s="11" t="str">
        <f aca="false">IF(AND(D50="",COUNT(E50:J50)=0),"",IF(COUNT(E50:I50)=0,"Sem notas",IF(MAX(E50:I50)&gt;Pesquisa!$D$6,"Nota acima da escala",IF(COUNT(E50:I50)&lt;Pesquisa!$D$28,"Faltam notas","Completa"))))</f>
        <v/>
      </c>
    </row>
    <row r="51" customFormat="false" ht="19.5" hidden="false" customHeight="true" outlineLevel="0" collapsed="false">
      <c r="B51" s="10" t="n">
        <v>45</v>
      </c>
      <c r="C51" s="17"/>
      <c r="D51" s="5"/>
      <c r="E51" s="18"/>
      <c r="F51" s="18"/>
      <c r="G51" s="18"/>
      <c r="H51" s="18"/>
      <c r="I51" s="18"/>
      <c r="J51" s="18"/>
      <c r="K51" s="11" t="str">
        <f aca="false">IF(J51="","",IF(J51&gt;=9,"Promotor",IF(J51&gt;=7,"Neutro","Detrator")))</f>
        <v/>
      </c>
      <c r="L51" s="5"/>
      <c r="M51" s="11" t="str">
        <f aca="false">IF(AND(D51="",COUNT(E51:J51)=0),"",IF(COUNT(E51:I51)=0,"Sem notas",IF(MAX(E51:I51)&gt;Pesquisa!$D$6,"Nota acima da escala",IF(COUNT(E51:I51)&lt;Pesquisa!$D$28,"Faltam notas","Completa"))))</f>
        <v/>
      </c>
    </row>
    <row r="52" customFormat="false" ht="19.5" hidden="false" customHeight="true" outlineLevel="0" collapsed="false">
      <c r="B52" s="10" t="n">
        <v>46</v>
      </c>
      <c r="C52" s="17"/>
      <c r="D52" s="5"/>
      <c r="E52" s="18"/>
      <c r="F52" s="18"/>
      <c r="G52" s="18"/>
      <c r="H52" s="18"/>
      <c r="I52" s="18"/>
      <c r="J52" s="18"/>
      <c r="K52" s="11" t="str">
        <f aca="false">IF(J52="","",IF(J52&gt;=9,"Promotor",IF(J52&gt;=7,"Neutro","Detrator")))</f>
        <v/>
      </c>
      <c r="L52" s="5"/>
      <c r="M52" s="11" t="str">
        <f aca="false">IF(AND(D52="",COUNT(E52:J52)=0),"",IF(COUNT(E52:I52)=0,"Sem notas",IF(MAX(E52:I52)&gt;Pesquisa!$D$6,"Nota acima da escala",IF(COUNT(E52:I52)&lt;Pesquisa!$D$28,"Faltam notas","Completa"))))</f>
        <v/>
      </c>
    </row>
    <row r="53" customFormat="false" ht="19.5" hidden="false" customHeight="true" outlineLevel="0" collapsed="false">
      <c r="B53" s="10" t="n">
        <v>47</v>
      </c>
      <c r="C53" s="17"/>
      <c r="D53" s="5"/>
      <c r="E53" s="18"/>
      <c r="F53" s="18"/>
      <c r="G53" s="18"/>
      <c r="H53" s="18"/>
      <c r="I53" s="18"/>
      <c r="J53" s="18"/>
      <c r="K53" s="11" t="str">
        <f aca="false">IF(J53="","",IF(J53&gt;=9,"Promotor",IF(J53&gt;=7,"Neutro","Detrator")))</f>
        <v/>
      </c>
      <c r="L53" s="5"/>
      <c r="M53" s="11" t="str">
        <f aca="false">IF(AND(D53="",COUNT(E53:J53)=0),"",IF(COUNT(E53:I53)=0,"Sem notas",IF(MAX(E53:I53)&gt;Pesquisa!$D$6,"Nota acima da escala",IF(COUNT(E53:I53)&lt;Pesquisa!$D$28,"Faltam notas","Completa"))))</f>
        <v/>
      </c>
    </row>
    <row r="54" customFormat="false" ht="19.5" hidden="false" customHeight="true" outlineLevel="0" collapsed="false">
      <c r="B54" s="10" t="n">
        <v>48</v>
      </c>
      <c r="C54" s="17"/>
      <c r="D54" s="5"/>
      <c r="E54" s="18"/>
      <c r="F54" s="18"/>
      <c r="G54" s="18"/>
      <c r="H54" s="18"/>
      <c r="I54" s="18"/>
      <c r="J54" s="18"/>
      <c r="K54" s="11" t="str">
        <f aca="false">IF(J54="","",IF(J54&gt;=9,"Promotor",IF(J54&gt;=7,"Neutro","Detrator")))</f>
        <v/>
      </c>
      <c r="L54" s="5"/>
      <c r="M54" s="11" t="str">
        <f aca="false">IF(AND(D54="",COUNT(E54:J54)=0),"",IF(COUNT(E54:I54)=0,"Sem notas",IF(MAX(E54:I54)&gt;Pesquisa!$D$6,"Nota acima da escala",IF(COUNT(E54:I54)&lt;Pesquisa!$D$28,"Faltam notas","Completa"))))</f>
        <v/>
      </c>
    </row>
    <row r="55" customFormat="false" ht="19.5" hidden="false" customHeight="true" outlineLevel="0" collapsed="false">
      <c r="B55" s="10" t="n">
        <v>49</v>
      </c>
      <c r="C55" s="17"/>
      <c r="D55" s="5"/>
      <c r="E55" s="18"/>
      <c r="F55" s="18"/>
      <c r="G55" s="18"/>
      <c r="H55" s="18"/>
      <c r="I55" s="18"/>
      <c r="J55" s="18"/>
      <c r="K55" s="11" t="str">
        <f aca="false">IF(J55="","",IF(J55&gt;=9,"Promotor",IF(J55&gt;=7,"Neutro","Detrator")))</f>
        <v/>
      </c>
      <c r="L55" s="5"/>
      <c r="M55" s="11" t="str">
        <f aca="false">IF(AND(D55="",COUNT(E55:J55)=0),"",IF(COUNT(E55:I55)=0,"Sem notas",IF(MAX(E55:I55)&gt;Pesquisa!$D$6,"Nota acima da escala",IF(COUNT(E55:I55)&lt;Pesquisa!$D$28,"Faltam notas","Completa"))))</f>
        <v/>
      </c>
    </row>
    <row r="56" customFormat="false" ht="19.5" hidden="false" customHeight="true" outlineLevel="0" collapsed="false">
      <c r="B56" s="10" t="n">
        <v>50</v>
      </c>
      <c r="C56" s="17"/>
      <c r="D56" s="5"/>
      <c r="E56" s="18"/>
      <c r="F56" s="18"/>
      <c r="G56" s="18"/>
      <c r="H56" s="18"/>
      <c r="I56" s="18"/>
      <c r="J56" s="18"/>
      <c r="K56" s="11" t="str">
        <f aca="false">IF(J56="","",IF(J56&gt;=9,"Promotor",IF(J56&gt;=7,"Neutro","Detrator")))</f>
        <v/>
      </c>
      <c r="L56" s="5"/>
      <c r="M56" s="11" t="str">
        <f aca="false">IF(AND(D56="",COUNT(E56:J56)=0),"",IF(COUNT(E56:I56)=0,"Sem notas",IF(MAX(E56:I56)&gt;Pesquisa!$D$6,"Nota acima da escala",IF(COUNT(E56:I56)&lt;Pesquisa!$D$28,"Faltam notas","Completa"))))</f>
        <v/>
      </c>
    </row>
    <row r="57" customFormat="false" ht="19.5" hidden="false" customHeight="true" outlineLevel="0" collapsed="false">
      <c r="B57" s="10" t="n">
        <v>51</v>
      </c>
      <c r="C57" s="17"/>
      <c r="D57" s="5"/>
      <c r="E57" s="18"/>
      <c r="F57" s="18"/>
      <c r="G57" s="18"/>
      <c r="H57" s="18"/>
      <c r="I57" s="18"/>
      <c r="J57" s="18"/>
      <c r="K57" s="11" t="str">
        <f aca="false">IF(J57="","",IF(J57&gt;=9,"Promotor",IF(J57&gt;=7,"Neutro","Detrator")))</f>
        <v/>
      </c>
      <c r="L57" s="5"/>
      <c r="M57" s="11" t="str">
        <f aca="false">IF(AND(D57="",COUNT(E57:J57)=0),"",IF(COUNT(E57:I57)=0,"Sem notas",IF(MAX(E57:I57)&gt;Pesquisa!$D$6,"Nota acima da escala",IF(COUNT(E57:I57)&lt;Pesquisa!$D$28,"Faltam notas","Completa"))))</f>
        <v/>
      </c>
    </row>
    <row r="58" customFormat="false" ht="19.5" hidden="false" customHeight="true" outlineLevel="0" collapsed="false">
      <c r="B58" s="10" t="n">
        <v>52</v>
      </c>
      <c r="C58" s="17"/>
      <c r="D58" s="5"/>
      <c r="E58" s="18"/>
      <c r="F58" s="18"/>
      <c r="G58" s="18"/>
      <c r="H58" s="18"/>
      <c r="I58" s="18"/>
      <c r="J58" s="18"/>
      <c r="K58" s="11" t="str">
        <f aca="false">IF(J58="","",IF(J58&gt;=9,"Promotor",IF(J58&gt;=7,"Neutro","Detrator")))</f>
        <v/>
      </c>
      <c r="L58" s="5"/>
      <c r="M58" s="11" t="str">
        <f aca="false">IF(AND(D58="",COUNT(E58:J58)=0),"",IF(COUNT(E58:I58)=0,"Sem notas",IF(MAX(E58:I58)&gt;Pesquisa!$D$6,"Nota acima da escala",IF(COUNT(E58:I58)&lt;Pesquisa!$D$28,"Faltam notas","Completa"))))</f>
        <v/>
      </c>
    </row>
    <row r="59" customFormat="false" ht="19.5" hidden="false" customHeight="true" outlineLevel="0" collapsed="false">
      <c r="B59" s="10" t="n">
        <v>53</v>
      </c>
      <c r="C59" s="17"/>
      <c r="D59" s="5"/>
      <c r="E59" s="18"/>
      <c r="F59" s="18"/>
      <c r="G59" s="18"/>
      <c r="H59" s="18"/>
      <c r="I59" s="18"/>
      <c r="J59" s="18"/>
      <c r="K59" s="11" t="str">
        <f aca="false">IF(J59="","",IF(J59&gt;=9,"Promotor",IF(J59&gt;=7,"Neutro","Detrator")))</f>
        <v/>
      </c>
      <c r="L59" s="5"/>
      <c r="M59" s="11" t="str">
        <f aca="false">IF(AND(D59="",COUNT(E59:J59)=0),"",IF(COUNT(E59:I59)=0,"Sem notas",IF(MAX(E59:I59)&gt;Pesquisa!$D$6,"Nota acima da escala",IF(COUNT(E59:I59)&lt;Pesquisa!$D$28,"Faltam notas","Completa"))))</f>
        <v/>
      </c>
    </row>
    <row r="60" customFormat="false" ht="19.5" hidden="false" customHeight="true" outlineLevel="0" collapsed="false">
      <c r="B60" s="10" t="n">
        <v>54</v>
      </c>
      <c r="C60" s="17"/>
      <c r="D60" s="5"/>
      <c r="E60" s="18"/>
      <c r="F60" s="18"/>
      <c r="G60" s="18"/>
      <c r="H60" s="18"/>
      <c r="I60" s="18"/>
      <c r="J60" s="18"/>
      <c r="K60" s="11" t="str">
        <f aca="false">IF(J60="","",IF(J60&gt;=9,"Promotor",IF(J60&gt;=7,"Neutro","Detrator")))</f>
        <v/>
      </c>
      <c r="L60" s="5"/>
      <c r="M60" s="11" t="str">
        <f aca="false">IF(AND(D60="",COUNT(E60:J60)=0),"",IF(COUNT(E60:I60)=0,"Sem notas",IF(MAX(E60:I60)&gt;Pesquisa!$D$6,"Nota acima da escala",IF(COUNT(E60:I60)&lt;Pesquisa!$D$28,"Faltam notas","Completa"))))</f>
        <v/>
      </c>
    </row>
    <row r="61" customFormat="false" ht="19.5" hidden="false" customHeight="true" outlineLevel="0" collapsed="false">
      <c r="B61" s="10" t="n">
        <v>55</v>
      </c>
      <c r="C61" s="17"/>
      <c r="D61" s="5"/>
      <c r="E61" s="18"/>
      <c r="F61" s="18"/>
      <c r="G61" s="18"/>
      <c r="H61" s="18"/>
      <c r="I61" s="18"/>
      <c r="J61" s="18"/>
      <c r="K61" s="11" t="str">
        <f aca="false">IF(J61="","",IF(J61&gt;=9,"Promotor",IF(J61&gt;=7,"Neutro","Detrator")))</f>
        <v/>
      </c>
      <c r="L61" s="5"/>
      <c r="M61" s="11" t="str">
        <f aca="false">IF(AND(D61="",COUNT(E61:J61)=0),"",IF(COUNT(E61:I61)=0,"Sem notas",IF(MAX(E61:I61)&gt;Pesquisa!$D$6,"Nota acima da escala",IF(COUNT(E61:I61)&lt;Pesquisa!$D$28,"Faltam notas","Completa"))))</f>
        <v/>
      </c>
    </row>
    <row r="62" customFormat="false" ht="19.5" hidden="false" customHeight="true" outlineLevel="0" collapsed="false">
      <c r="B62" s="10" t="n">
        <v>56</v>
      </c>
      <c r="C62" s="17"/>
      <c r="D62" s="5"/>
      <c r="E62" s="18"/>
      <c r="F62" s="18"/>
      <c r="G62" s="18"/>
      <c r="H62" s="18"/>
      <c r="I62" s="18"/>
      <c r="J62" s="18"/>
      <c r="K62" s="11" t="str">
        <f aca="false">IF(J62="","",IF(J62&gt;=9,"Promotor",IF(J62&gt;=7,"Neutro","Detrator")))</f>
        <v/>
      </c>
      <c r="L62" s="5"/>
      <c r="M62" s="11" t="str">
        <f aca="false">IF(AND(D62="",COUNT(E62:J62)=0),"",IF(COUNT(E62:I62)=0,"Sem notas",IF(MAX(E62:I62)&gt;Pesquisa!$D$6,"Nota acima da escala",IF(COUNT(E62:I62)&lt;Pesquisa!$D$28,"Faltam notas","Completa"))))</f>
        <v/>
      </c>
    </row>
    <row r="63" customFormat="false" ht="19.5" hidden="false" customHeight="true" outlineLevel="0" collapsed="false">
      <c r="B63" s="10" t="n">
        <v>57</v>
      </c>
      <c r="C63" s="17"/>
      <c r="D63" s="5"/>
      <c r="E63" s="18"/>
      <c r="F63" s="18"/>
      <c r="G63" s="18"/>
      <c r="H63" s="18"/>
      <c r="I63" s="18"/>
      <c r="J63" s="18"/>
      <c r="K63" s="11" t="str">
        <f aca="false">IF(J63="","",IF(J63&gt;=9,"Promotor",IF(J63&gt;=7,"Neutro","Detrator")))</f>
        <v/>
      </c>
      <c r="L63" s="5"/>
      <c r="M63" s="11" t="str">
        <f aca="false">IF(AND(D63="",COUNT(E63:J63)=0),"",IF(COUNT(E63:I63)=0,"Sem notas",IF(MAX(E63:I63)&gt;Pesquisa!$D$6,"Nota acima da escala",IF(COUNT(E63:I63)&lt;Pesquisa!$D$28,"Faltam notas","Completa"))))</f>
        <v/>
      </c>
    </row>
    <row r="64" customFormat="false" ht="19.5" hidden="false" customHeight="true" outlineLevel="0" collapsed="false">
      <c r="B64" s="10" t="n">
        <v>58</v>
      </c>
      <c r="C64" s="17"/>
      <c r="D64" s="5"/>
      <c r="E64" s="18"/>
      <c r="F64" s="18"/>
      <c r="G64" s="18"/>
      <c r="H64" s="18"/>
      <c r="I64" s="18"/>
      <c r="J64" s="18"/>
      <c r="K64" s="11" t="str">
        <f aca="false">IF(J64="","",IF(J64&gt;=9,"Promotor",IF(J64&gt;=7,"Neutro","Detrator")))</f>
        <v/>
      </c>
      <c r="L64" s="5"/>
      <c r="M64" s="11" t="str">
        <f aca="false">IF(AND(D64="",COUNT(E64:J64)=0),"",IF(COUNT(E64:I64)=0,"Sem notas",IF(MAX(E64:I64)&gt;Pesquisa!$D$6,"Nota acima da escala",IF(COUNT(E64:I64)&lt;Pesquisa!$D$28,"Faltam notas","Completa"))))</f>
        <v/>
      </c>
    </row>
    <row r="65" customFormat="false" ht="19.5" hidden="false" customHeight="true" outlineLevel="0" collapsed="false">
      <c r="B65" s="10" t="n">
        <v>59</v>
      </c>
      <c r="C65" s="17"/>
      <c r="D65" s="5"/>
      <c r="E65" s="18"/>
      <c r="F65" s="18"/>
      <c r="G65" s="18"/>
      <c r="H65" s="18"/>
      <c r="I65" s="18"/>
      <c r="J65" s="18"/>
      <c r="K65" s="11" t="str">
        <f aca="false">IF(J65="","",IF(J65&gt;=9,"Promotor",IF(J65&gt;=7,"Neutro","Detrator")))</f>
        <v/>
      </c>
      <c r="L65" s="5"/>
      <c r="M65" s="11" t="str">
        <f aca="false">IF(AND(D65="",COUNT(E65:J65)=0),"",IF(COUNT(E65:I65)=0,"Sem notas",IF(MAX(E65:I65)&gt;Pesquisa!$D$6,"Nota acima da escala",IF(COUNT(E65:I65)&lt;Pesquisa!$D$28,"Faltam notas","Completa"))))</f>
        <v/>
      </c>
    </row>
    <row r="66" customFormat="false" ht="19.5" hidden="false" customHeight="true" outlineLevel="0" collapsed="false">
      <c r="B66" s="10" t="n">
        <v>60</v>
      </c>
      <c r="C66" s="17"/>
      <c r="D66" s="5"/>
      <c r="E66" s="18"/>
      <c r="F66" s="18"/>
      <c r="G66" s="18"/>
      <c r="H66" s="18"/>
      <c r="I66" s="18"/>
      <c r="J66" s="18"/>
      <c r="K66" s="11" t="str">
        <f aca="false">IF(J66="","",IF(J66&gt;=9,"Promotor",IF(J66&gt;=7,"Neutro","Detrator")))</f>
        <v/>
      </c>
      <c r="L66" s="5"/>
      <c r="M66" s="11" t="str">
        <f aca="false">IF(AND(D66="",COUNT(E66:J66)=0),"",IF(COUNT(E66:I66)=0,"Sem notas",IF(MAX(E66:I66)&gt;Pesquisa!$D$6,"Nota acima da escala",IF(COUNT(E66:I66)&lt;Pesquisa!$D$28,"Faltam notas","Completa"))))</f>
        <v/>
      </c>
    </row>
    <row r="68" customFormat="false" ht="21.75" hidden="false" customHeight="true" outlineLevel="0" collapsed="false">
      <c r="B68" s="12" t="s">
        <v>98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customFormat="false" ht="21.75" hidden="false" customHeight="true" outlineLevel="0" collapsed="false">
      <c r="B69" s="13" t="s">
        <v>40</v>
      </c>
      <c r="C69" s="13"/>
      <c r="D69" s="13"/>
      <c r="E69" s="14" t="str">
        <f aca="false">IF(E5="","",COUNT(E7:E66))</f>
        <v/>
      </c>
      <c r="F69" s="14" t="str">
        <f aca="false">IF(F5="","",COUNT(F7:F66))</f>
        <v/>
      </c>
      <c r="G69" s="14" t="str">
        <f aca="false">IF(G5="","",COUNT(G7:G66))</f>
        <v/>
      </c>
      <c r="H69" s="14" t="str">
        <f aca="false">IF(H5="","",COUNT(H7:H66))</f>
        <v/>
      </c>
      <c r="I69" s="14" t="str">
        <f aca="false">IF(I5="","",COUNT(I7:I66))</f>
        <v/>
      </c>
      <c r="J69" s="6"/>
      <c r="K69" s="6"/>
      <c r="L69" s="6"/>
      <c r="M69" s="6"/>
    </row>
    <row r="70" customFormat="false" ht="21.75" hidden="false" customHeight="true" outlineLevel="0" collapsed="false">
      <c r="B70" s="13" t="s">
        <v>99</v>
      </c>
      <c r="C70" s="13"/>
      <c r="D70" s="13"/>
      <c r="E70" s="19" t="str">
        <f aca="false">IF(OR(E5="",COUNT(E7:E66)=0),"",AVERAGE(E7:E66))</f>
        <v/>
      </c>
      <c r="F70" s="19" t="str">
        <f aca="false">IF(OR(F5="",COUNT(F7:F66)=0),"",AVERAGE(F7:F66))</f>
        <v/>
      </c>
      <c r="G70" s="19" t="str">
        <f aca="false">IF(OR(G5="",COUNT(G7:G66)=0),"",AVERAGE(G7:G66))</f>
        <v/>
      </c>
      <c r="H70" s="19" t="str">
        <f aca="false">IF(OR(H5="",COUNT(H7:H66)=0),"",AVERAGE(H7:H66))</f>
        <v/>
      </c>
      <c r="I70" s="19" t="str">
        <f aca="false">IF(OR(I5="",COUNT(I7:I66)=0),"",AVERAGE(I7:I66))</f>
        <v/>
      </c>
      <c r="J70" s="6"/>
      <c r="K70" s="6"/>
      <c r="L70" s="6"/>
      <c r="M70" s="6"/>
    </row>
    <row r="71" customFormat="false" ht="21.75" hidden="false" customHeight="true" outlineLevel="0" collapsed="false">
      <c r="B71" s="13" t="s">
        <v>100</v>
      </c>
      <c r="C71" s="13"/>
      <c r="D71" s="13"/>
      <c r="E71" s="20" t="str">
        <f aca="false">IF(OR(E5="",COUNT(E7:E66)=0),"",COUNTIF(E7:E66,"&gt;="&amp;Pesquisa!$D$7)/COUNT(E7:E66))</f>
        <v/>
      </c>
      <c r="F71" s="20" t="str">
        <f aca="false">IF(OR(F5="",COUNT(F7:F66)=0),"",COUNTIF(F7:F66,"&gt;="&amp;Pesquisa!$D$7)/COUNT(F7:F66))</f>
        <v/>
      </c>
      <c r="G71" s="20" t="str">
        <f aca="false">IF(OR(G5="",COUNT(G7:G66)=0),"",COUNTIF(G7:G66,"&gt;="&amp;Pesquisa!$D$7)/COUNT(G7:G66))</f>
        <v/>
      </c>
      <c r="H71" s="20" t="str">
        <f aca="false">IF(OR(H5="",COUNT(H7:H66)=0),"",COUNTIF(H7:H66,"&gt;="&amp;Pesquisa!$D$7)/COUNT(H7:H66))</f>
        <v/>
      </c>
      <c r="I71" s="20" t="str">
        <f aca="false">IF(OR(I5="",COUNT(I7:I66)=0),"",COUNTIF(I7:I66,"&gt;="&amp;Pesquisa!$D$7)/COUNT(I7:I66))</f>
        <v/>
      </c>
      <c r="J71" s="6"/>
      <c r="K71" s="6"/>
      <c r="L71" s="6"/>
      <c r="M71" s="6"/>
    </row>
    <row r="73" customFormat="false" ht="21.75" hidden="false" customHeight="true" outlineLevel="0" collapsed="false">
      <c r="B73" s="12" t="s">
        <v>82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</row>
    <row r="74" customFormat="false" ht="21.75" hidden="false" customHeight="true" outlineLevel="0" collapsed="false">
      <c r="B74" s="13" t="s">
        <v>101</v>
      </c>
      <c r="C74" s="13"/>
      <c r="D74" s="13"/>
      <c r="E74" s="14" t="n">
        <f aca="false">COUNTA(D7:D66)</f>
        <v>0</v>
      </c>
      <c r="F74" s="14"/>
      <c r="G74" s="14"/>
      <c r="H74" s="14"/>
    </row>
    <row r="75" customFormat="false" ht="21.75" hidden="false" customHeight="true" outlineLevel="0" collapsed="false">
      <c r="B75" s="13" t="s">
        <v>102</v>
      </c>
      <c r="C75" s="13"/>
      <c r="D75" s="13"/>
      <c r="E75" s="21" t="str">
        <f aca="false">IF(COUNT(E7:I66)=0,"",AVERAGE(E7:I66))</f>
        <v/>
      </c>
      <c r="F75" s="21"/>
      <c r="G75" s="21"/>
      <c r="H75" s="21"/>
    </row>
    <row r="76" customFormat="false" ht="21.75" hidden="false" customHeight="true" outlineLevel="0" collapsed="false">
      <c r="B76" s="13" t="s">
        <v>100</v>
      </c>
      <c r="C76" s="13"/>
      <c r="D76" s="13"/>
      <c r="E76" s="20" t="str">
        <f aca="false">IF(COUNT(E7:I66)=0,"",COUNTIF(E7:I66,"&gt;="&amp;Pesquisa!$D$7)/COUNT(E7:I66))</f>
        <v/>
      </c>
      <c r="F76" s="20"/>
      <c r="G76" s="20"/>
      <c r="H76" s="20"/>
    </row>
    <row r="77" customFormat="false" ht="21.75" hidden="false" customHeight="true" outlineLevel="0" collapsed="false">
      <c r="B77" s="13" t="s">
        <v>103</v>
      </c>
      <c r="C77" s="13"/>
      <c r="D77" s="13"/>
      <c r="E77" s="14" t="str">
        <f aca="false">COUNTIF(K7:K66,"Promotor")&amp;", "&amp;COUNTIF(K7:K66,"Neutro")&amp;" e "&amp;COUNTIF(K7:K66,"Detrator")</f>
        <v>0, 0 e 0</v>
      </c>
      <c r="F77" s="14"/>
      <c r="G77" s="14"/>
      <c r="H77" s="14"/>
    </row>
    <row r="78" customFormat="false" ht="21.75" hidden="false" customHeight="true" outlineLevel="0" collapsed="false">
      <c r="B78" s="13" t="s">
        <v>18</v>
      </c>
      <c r="C78" s="13"/>
      <c r="D78" s="13"/>
      <c r="E78" s="14" t="str">
        <f aca="false">IF(COUNT(J7:J66)=0,"",ROUND(100*(COUNTIF(K7:K66,"Promotor")-COUNTIF(K7:K66,"Detrator"))/COUNT(J7:J66),0))</f>
        <v/>
      </c>
      <c r="F78" s="14"/>
      <c r="G78" s="14"/>
      <c r="H78" s="14"/>
    </row>
    <row r="79" customFormat="false" ht="21.75" hidden="false" customHeight="true" outlineLevel="0" collapsed="false">
      <c r="B79" s="13" t="s">
        <v>84</v>
      </c>
      <c r="C79" s="13"/>
      <c r="D79" s="13"/>
      <c r="E79" s="11" t="str">
        <f aca="false">IF(E74=0,"Lance as respostas",IF(COUNTIF(M7:M66,"Nota acima da escala")&gt;0,"Há nota acima da escala",IF(COUNTIF(M7:M66,"Faltam notas")+COUNTIF(M7:M66,"Sem notas")&gt;0,"Há resposta incompleta: veja a coluna Conferência","OK")))</f>
        <v>Lance as respostas</v>
      </c>
      <c r="F79" s="11"/>
      <c r="G79" s="11"/>
      <c r="H79" s="11"/>
    </row>
  </sheetData>
  <mergeCells count="20">
    <mergeCell ref="B1:M1"/>
    <mergeCell ref="B2:M2"/>
    <mergeCell ref="C5:D5"/>
    <mergeCell ref="B68:M68"/>
    <mergeCell ref="B69:D69"/>
    <mergeCell ref="B70:D70"/>
    <mergeCell ref="B71:D71"/>
    <mergeCell ref="B73:M73"/>
    <mergeCell ref="B74:D74"/>
    <mergeCell ref="E74:H74"/>
    <mergeCell ref="B75:D75"/>
    <mergeCell ref="E75:H75"/>
    <mergeCell ref="B76:D76"/>
    <mergeCell ref="E76:H76"/>
    <mergeCell ref="B77:D77"/>
    <mergeCell ref="E77:H77"/>
    <mergeCell ref="B78:D78"/>
    <mergeCell ref="E78:H78"/>
    <mergeCell ref="B79:D79"/>
    <mergeCell ref="E79:H79"/>
  </mergeCells>
  <conditionalFormatting sqref="K7:K66">
    <cfRule type="expression" priority="2" aboveAverage="0" equalAverage="0" bottom="0" percent="0" rank="0" text="" dxfId="2">
      <formula>K7="Promotor"</formula>
    </cfRule>
    <cfRule type="expression" priority="3" aboveAverage="0" equalAverage="0" bottom="0" percent="0" rank="0" text="" dxfId="3">
      <formula>K7="Neutro"</formula>
    </cfRule>
    <cfRule type="expression" priority="4" aboveAverage="0" equalAverage="0" bottom="0" percent="0" rank="0" text="" dxfId="4">
      <formula>K7="Detrator"</formula>
    </cfRule>
  </conditionalFormatting>
  <conditionalFormatting sqref="M7:M66">
    <cfRule type="expression" priority="5" aboveAverage="0" equalAverage="0" bottom="0" percent="0" rank="0" text="" dxfId="0">
      <formula>M7="Completa"</formula>
    </cfRule>
    <cfRule type="expression" priority="6" aboveAverage="0" equalAverage="0" bottom="0" percent="0" rank="0" text="" dxfId="1">
      <formula>LEN(M7)&gt;0</formula>
    </cfRule>
  </conditionalFormatting>
  <conditionalFormatting sqref="E79:H79">
    <cfRule type="expression" priority="7" aboveAverage="0" equalAverage="0" bottom="0" percent="0" rank="0" text="" dxfId="0">
      <formula>OR(E79="OK")</formula>
    </cfRule>
    <cfRule type="expression" priority="8" aboveAverage="0" equalAverage="0" bottom="0" percent="0" rank="0" text="" dxfId="1">
      <formula>AND(LEN(E79)&gt;0,NOT(OR(E79="OK")))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C7:C66" type="date">
      <formula1>36526</formula1>
      <formula2>0</formula2>
    </dataValidation>
    <dataValidation allowBlank="true" error="Digite um número de 0 a 10." errorStyle="stop" errorTitle="Número inválido" operator="between" prompt="Nota, na escala da aba Pesquisa." promptTitle="Número" showDropDown="false" showErrorMessage="true" showInputMessage="true" sqref="E7:I66" type="whole">
      <formula1>0</formula1>
      <formula2>10</formula2>
    </dataValidation>
    <dataValidation allowBlank="true" error="Digite um número de 0 a 10." errorStyle="stop" errorTitle="Número inválido" operator="between" prompt="Indicação, de 0 a 10." promptTitle="Número" showDropDown="false" showErrorMessage="true" showInputMessage="true" sqref="J7:J66" type="whole">
      <formula1>0</formula1>
      <formula2>10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M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1" min="11" style="0" width="30"/>
    <col collapsed="false" customWidth="true" hidden="false" outlineLevel="0" max="12" min="12" style="0" width="12"/>
    <col collapsed="false" customWidth="true" hidden="false" outlineLevel="0" max="13" min="13" style="0" width="24"/>
    <col collapsed="false" customWidth="true" hidden="false" outlineLevel="0" max="14" min="14" style="0" width="2"/>
  </cols>
  <sheetData>
    <row r="1" customFormat="false" ht="31.5" hidden="false" customHeight="true" outlineLevel="0" collapsed="false">
      <c r="B1" s="1" t="s">
        <v>42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B2" s="2" t="s">
        <v>104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3" hidden="false" customHeight="true" outlineLevel="0" collapsed="false">
      <c r="B4" s="9" t="s">
        <v>68</v>
      </c>
      <c r="C4" s="9" t="s">
        <v>87</v>
      </c>
      <c r="D4" s="9" t="s">
        <v>88</v>
      </c>
      <c r="E4" s="9" t="s">
        <v>105</v>
      </c>
      <c r="F4" s="9" t="s">
        <v>106</v>
      </c>
      <c r="G4" s="9" t="s">
        <v>107</v>
      </c>
      <c r="H4" s="9" t="s">
        <v>108</v>
      </c>
      <c r="I4" s="9" t="s">
        <v>109</v>
      </c>
      <c r="J4" s="9" t="s">
        <v>110</v>
      </c>
      <c r="K4" s="9" t="s">
        <v>111</v>
      </c>
      <c r="L4" s="9" t="s">
        <v>112</v>
      </c>
      <c r="M4" s="9" t="s">
        <v>113</v>
      </c>
    </row>
    <row r="5" customFormat="false" ht="30" hidden="false" customHeight="true" outlineLevel="0" collapsed="false">
      <c r="B5" s="15"/>
      <c r="C5" s="15" t="s">
        <v>114</v>
      </c>
      <c r="D5" s="15" t="s">
        <v>94</v>
      </c>
      <c r="E5" s="15" t="s">
        <v>115</v>
      </c>
      <c r="F5" s="15" t="s">
        <v>116</v>
      </c>
      <c r="G5" s="15" t="s">
        <v>117</v>
      </c>
      <c r="H5" s="15" t="s">
        <v>118</v>
      </c>
      <c r="I5" s="15" t="s">
        <v>119</v>
      </c>
      <c r="J5" s="15" t="s">
        <v>97</v>
      </c>
      <c r="K5" s="15" t="s">
        <v>120</v>
      </c>
      <c r="L5" s="15" t="s">
        <v>121</v>
      </c>
      <c r="M5" s="15" t="s">
        <v>97</v>
      </c>
    </row>
    <row r="6" customFormat="false" ht="30" hidden="false" customHeight="true" outlineLevel="0" collapsed="false">
      <c r="B6" s="15" t="s">
        <v>122</v>
      </c>
      <c r="C6" s="22" t="n">
        <v>46438</v>
      </c>
      <c r="D6" s="8" t="s">
        <v>123</v>
      </c>
      <c r="E6" s="15" t="s">
        <v>124</v>
      </c>
      <c r="F6" s="8" t="s">
        <v>125</v>
      </c>
      <c r="G6" s="8" t="s">
        <v>126</v>
      </c>
      <c r="H6" s="22" t="n">
        <v>46438</v>
      </c>
      <c r="I6" s="22" t="n">
        <v>46440</v>
      </c>
      <c r="J6" s="15" t="n">
        <v>0</v>
      </c>
      <c r="K6" s="8" t="s">
        <v>127</v>
      </c>
      <c r="L6" s="15"/>
      <c r="M6" s="15" t="s">
        <v>128</v>
      </c>
    </row>
    <row r="7" customFormat="false" ht="30" hidden="false" customHeight="true" outlineLevel="0" collapsed="false">
      <c r="B7" s="10" t="n">
        <v>1</v>
      </c>
      <c r="C7" s="17"/>
      <c r="D7" s="5"/>
      <c r="E7" s="18"/>
      <c r="F7" s="5"/>
      <c r="G7" s="5"/>
      <c r="H7" s="17"/>
      <c r="I7" s="17"/>
      <c r="J7" s="23" t="str">
        <f aca="false">IF(OR(C7="",H7=""),"",H7-C7)</f>
        <v/>
      </c>
      <c r="K7" s="5"/>
      <c r="L7" s="24"/>
      <c r="M7" s="11" t="str">
        <f aca="false">IF(G7="","",IF(C7="","Falta a data",IF(F7="","Falta o motivo",IF(I7&lt;&gt;"","Resolvida",IF(H7&lt;&gt;"","Respondida","Aberta")))))</f>
        <v/>
      </c>
    </row>
    <row r="8" customFormat="false" ht="30" hidden="false" customHeight="true" outlineLevel="0" collapsed="false">
      <c r="B8" s="10" t="n">
        <v>2</v>
      </c>
      <c r="C8" s="17"/>
      <c r="D8" s="5"/>
      <c r="E8" s="18"/>
      <c r="F8" s="5"/>
      <c r="G8" s="5"/>
      <c r="H8" s="17"/>
      <c r="I8" s="17"/>
      <c r="J8" s="23" t="str">
        <f aca="false">IF(OR(C8="",H8=""),"",H8-C8)</f>
        <v/>
      </c>
      <c r="K8" s="5"/>
      <c r="L8" s="24"/>
      <c r="M8" s="11" t="str">
        <f aca="false">IF(G8="","",IF(C8="","Falta a data",IF(F8="","Falta o motivo",IF(I8&lt;&gt;"","Resolvida",IF(H8&lt;&gt;"","Respondida","Aberta")))))</f>
        <v/>
      </c>
    </row>
    <row r="9" customFormat="false" ht="30" hidden="false" customHeight="true" outlineLevel="0" collapsed="false">
      <c r="B9" s="10" t="n">
        <v>3</v>
      </c>
      <c r="C9" s="17"/>
      <c r="D9" s="5"/>
      <c r="E9" s="18"/>
      <c r="F9" s="5"/>
      <c r="G9" s="5"/>
      <c r="H9" s="17"/>
      <c r="I9" s="17"/>
      <c r="J9" s="23" t="str">
        <f aca="false">IF(OR(C9="",H9=""),"",H9-C9)</f>
        <v/>
      </c>
      <c r="K9" s="5"/>
      <c r="L9" s="24"/>
      <c r="M9" s="11" t="str">
        <f aca="false">IF(G9="","",IF(C9="","Falta a data",IF(F9="","Falta o motivo",IF(I9&lt;&gt;"","Resolvida",IF(H9&lt;&gt;"","Respondida","Aberta")))))</f>
        <v/>
      </c>
    </row>
    <row r="10" customFormat="false" ht="30" hidden="false" customHeight="true" outlineLevel="0" collapsed="false">
      <c r="B10" s="10" t="n">
        <v>4</v>
      </c>
      <c r="C10" s="17"/>
      <c r="D10" s="5"/>
      <c r="E10" s="18"/>
      <c r="F10" s="5"/>
      <c r="G10" s="5"/>
      <c r="H10" s="17"/>
      <c r="I10" s="17"/>
      <c r="J10" s="23" t="str">
        <f aca="false">IF(OR(C10="",H10=""),"",H10-C10)</f>
        <v/>
      </c>
      <c r="K10" s="5"/>
      <c r="L10" s="24"/>
      <c r="M10" s="11" t="str">
        <f aca="false">IF(G10="","",IF(C10="","Falta a data",IF(F10="","Falta o motivo",IF(I10&lt;&gt;"","Resolvida",IF(H10&lt;&gt;"","Respondida","Aberta")))))</f>
        <v/>
      </c>
    </row>
    <row r="11" customFormat="false" ht="30" hidden="false" customHeight="true" outlineLevel="0" collapsed="false">
      <c r="B11" s="10" t="n">
        <v>5</v>
      </c>
      <c r="C11" s="17"/>
      <c r="D11" s="5"/>
      <c r="E11" s="18"/>
      <c r="F11" s="5"/>
      <c r="G11" s="5"/>
      <c r="H11" s="17"/>
      <c r="I11" s="17"/>
      <c r="J11" s="23" t="str">
        <f aca="false">IF(OR(C11="",H11=""),"",H11-C11)</f>
        <v/>
      </c>
      <c r="K11" s="5"/>
      <c r="L11" s="24"/>
      <c r="M11" s="11" t="str">
        <f aca="false">IF(G11="","",IF(C11="","Falta a data",IF(F11="","Falta o motivo",IF(I11&lt;&gt;"","Resolvida",IF(H11&lt;&gt;"","Respondida","Aberta")))))</f>
        <v/>
      </c>
    </row>
    <row r="12" customFormat="false" ht="30" hidden="false" customHeight="true" outlineLevel="0" collapsed="false">
      <c r="B12" s="10" t="n">
        <v>6</v>
      </c>
      <c r="C12" s="17"/>
      <c r="D12" s="5"/>
      <c r="E12" s="18"/>
      <c r="F12" s="5"/>
      <c r="G12" s="5"/>
      <c r="H12" s="17"/>
      <c r="I12" s="17"/>
      <c r="J12" s="23" t="str">
        <f aca="false">IF(OR(C12="",H12=""),"",H12-C12)</f>
        <v/>
      </c>
      <c r="K12" s="5"/>
      <c r="L12" s="24"/>
      <c r="M12" s="11" t="str">
        <f aca="false">IF(G12="","",IF(C12="","Falta a data",IF(F12="","Falta o motivo",IF(I12&lt;&gt;"","Resolvida",IF(H12&lt;&gt;"","Respondida","Aberta")))))</f>
        <v/>
      </c>
    </row>
    <row r="13" customFormat="false" ht="30" hidden="false" customHeight="true" outlineLevel="0" collapsed="false">
      <c r="B13" s="10" t="n">
        <v>7</v>
      </c>
      <c r="C13" s="17"/>
      <c r="D13" s="5"/>
      <c r="E13" s="18"/>
      <c r="F13" s="5"/>
      <c r="G13" s="5"/>
      <c r="H13" s="17"/>
      <c r="I13" s="17"/>
      <c r="J13" s="23" t="str">
        <f aca="false">IF(OR(C13="",H13=""),"",H13-C13)</f>
        <v/>
      </c>
      <c r="K13" s="5"/>
      <c r="L13" s="24"/>
      <c r="M13" s="11" t="str">
        <f aca="false">IF(G13="","",IF(C13="","Falta a data",IF(F13="","Falta o motivo",IF(I13&lt;&gt;"","Resolvida",IF(H13&lt;&gt;"","Respondida","Aberta")))))</f>
        <v/>
      </c>
    </row>
    <row r="14" customFormat="false" ht="30" hidden="false" customHeight="true" outlineLevel="0" collapsed="false">
      <c r="B14" s="10" t="n">
        <v>8</v>
      </c>
      <c r="C14" s="17"/>
      <c r="D14" s="5"/>
      <c r="E14" s="18"/>
      <c r="F14" s="5"/>
      <c r="G14" s="5"/>
      <c r="H14" s="17"/>
      <c r="I14" s="17"/>
      <c r="J14" s="23" t="str">
        <f aca="false">IF(OR(C14="",H14=""),"",H14-C14)</f>
        <v/>
      </c>
      <c r="K14" s="5"/>
      <c r="L14" s="24"/>
      <c r="M14" s="11" t="str">
        <f aca="false">IF(G14="","",IF(C14="","Falta a data",IF(F14="","Falta o motivo",IF(I14&lt;&gt;"","Resolvida",IF(H14&lt;&gt;"","Respondida","Aberta")))))</f>
        <v/>
      </c>
    </row>
    <row r="15" customFormat="false" ht="30" hidden="false" customHeight="true" outlineLevel="0" collapsed="false">
      <c r="B15" s="10" t="n">
        <v>9</v>
      </c>
      <c r="C15" s="17"/>
      <c r="D15" s="5"/>
      <c r="E15" s="18"/>
      <c r="F15" s="5"/>
      <c r="G15" s="5"/>
      <c r="H15" s="17"/>
      <c r="I15" s="17"/>
      <c r="J15" s="23" t="str">
        <f aca="false">IF(OR(C15="",H15=""),"",H15-C15)</f>
        <v/>
      </c>
      <c r="K15" s="5"/>
      <c r="L15" s="24"/>
      <c r="M15" s="11" t="str">
        <f aca="false">IF(G15="","",IF(C15="","Falta a data",IF(F15="","Falta o motivo",IF(I15&lt;&gt;"","Resolvida",IF(H15&lt;&gt;"","Respondida","Aberta")))))</f>
        <v/>
      </c>
    </row>
    <row r="16" customFormat="false" ht="30" hidden="false" customHeight="true" outlineLevel="0" collapsed="false">
      <c r="B16" s="10" t="n">
        <v>10</v>
      </c>
      <c r="C16" s="17"/>
      <c r="D16" s="5"/>
      <c r="E16" s="18"/>
      <c r="F16" s="5"/>
      <c r="G16" s="5"/>
      <c r="H16" s="17"/>
      <c r="I16" s="17"/>
      <c r="J16" s="23" t="str">
        <f aca="false">IF(OR(C16="",H16=""),"",H16-C16)</f>
        <v/>
      </c>
      <c r="K16" s="5"/>
      <c r="L16" s="24"/>
      <c r="M16" s="11" t="str">
        <f aca="false">IF(G16="","",IF(C16="","Falta a data",IF(F16="","Falta o motivo",IF(I16&lt;&gt;"","Resolvida",IF(H16&lt;&gt;"","Respondida","Aberta")))))</f>
        <v/>
      </c>
    </row>
    <row r="17" customFormat="false" ht="30" hidden="false" customHeight="true" outlineLevel="0" collapsed="false">
      <c r="B17" s="10" t="n">
        <v>11</v>
      </c>
      <c r="C17" s="17"/>
      <c r="D17" s="5"/>
      <c r="E17" s="18"/>
      <c r="F17" s="5"/>
      <c r="G17" s="5"/>
      <c r="H17" s="17"/>
      <c r="I17" s="17"/>
      <c r="J17" s="23" t="str">
        <f aca="false">IF(OR(C17="",H17=""),"",H17-C17)</f>
        <v/>
      </c>
      <c r="K17" s="5"/>
      <c r="L17" s="24"/>
      <c r="M17" s="11" t="str">
        <f aca="false">IF(G17="","",IF(C17="","Falta a data",IF(F17="","Falta o motivo",IF(I17&lt;&gt;"","Resolvida",IF(H17&lt;&gt;"","Respondida","Aberta")))))</f>
        <v/>
      </c>
    </row>
    <row r="18" customFormat="false" ht="30" hidden="false" customHeight="true" outlineLevel="0" collapsed="false">
      <c r="B18" s="10" t="n">
        <v>12</v>
      </c>
      <c r="C18" s="17"/>
      <c r="D18" s="5"/>
      <c r="E18" s="18"/>
      <c r="F18" s="5"/>
      <c r="G18" s="5"/>
      <c r="H18" s="17"/>
      <c r="I18" s="17"/>
      <c r="J18" s="23" t="str">
        <f aca="false">IF(OR(C18="",H18=""),"",H18-C18)</f>
        <v/>
      </c>
      <c r="K18" s="5"/>
      <c r="L18" s="24"/>
      <c r="M18" s="11" t="str">
        <f aca="false">IF(G18="","",IF(C18="","Falta a data",IF(F18="","Falta o motivo",IF(I18&lt;&gt;"","Resolvida",IF(H18&lt;&gt;"","Respondida","Aberta")))))</f>
        <v/>
      </c>
    </row>
    <row r="19" customFormat="false" ht="30" hidden="false" customHeight="true" outlineLevel="0" collapsed="false">
      <c r="B19" s="10" t="n">
        <v>13</v>
      </c>
      <c r="C19" s="17"/>
      <c r="D19" s="5"/>
      <c r="E19" s="18"/>
      <c r="F19" s="5"/>
      <c r="G19" s="5"/>
      <c r="H19" s="17"/>
      <c r="I19" s="17"/>
      <c r="J19" s="23" t="str">
        <f aca="false">IF(OR(C19="",H19=""),"",H19-C19)</f>
        <v/>
      </c>
      <c r="K19" s="5"/>
      <c r="L19" s="24"/>
      <c r="M19" s="11" t="str">
        <f aca="false">IF(G19="","",IF(C19="","Falta a data",IF(F19="","Falta o motivo",IF(I19&lt;&gt;"","Resolvida",IF(H19&lt;&gt;"","Respondida","Aberta")))))</f>
        <v/>
      </c>
    </row>
    <row r="20" customFormat="false" ht="30" hidden="false" customHeight="true" outlineLevel="0" collapsed="false">
      <c r="B20" s="10" t="n">
        <v>14</v>
      </c>
      <c r="C20" s="17"/>
      <c r="D20" s="5"/>
      <c r="E20" s="18"/>
      <c r="F20" s="5"/>
      <c r="G20" s="5"/>
      <c r="H20" s="17"/>
      <c r="I20" s="17"/>
      <c r="J20" s="23" t="str">
        <f aca="false">IF(OR(C20="",H20=""),"",H20-C20)</f>
        <v/>
      </c>
      <c r="K20" s="5"/>
      <c r="L20" s="24"/>
      <c r="M20" s="11" t="str">
        <f aca="false">IF(G20="","",IF(C20="","Falta a data",IF(F20="","Falta o motivo",IF(I20&lt;&gt;"","Resolvida",IF(H20&lt;&gt;"","Respondida","Aberta")))))</f>
        <v/>
      </c>
    </row>
    <row r="21" customFormat="false" ht="30" hidden="false" customHeight="true" outlineLevel="0" collapsed="false">
      <c r="B21" s="10" t="n">
        <v>15</v>
      </c>
      <c r="C21" s="17"/>
      <c r="D21" s="5"/>
      <c r="E21" s="18"/>
      <c r="F21" s="5"/>
      <c r="G21" s="5"/>
      <c r="H21" s="17"/>
      <c r="I21" s="17"/>
      <c r="J21" s="23" t="str">
        <f aca="false">IF(OR(C21="",H21=""),"",H21-C21)</f>
        <v/>
      </c>
      <c r="K21" s="5"/>
      <c r="L21" s="24"/>
      <c r="M21" s="11" t="str">
        <f aca="false">IF(G21="","",IF(C21="","Falta a data",IF(F21="","Falta o motivo",IF(I21&lt;&gt;"","Resolvida",IF(H21&lt;&gt;"","Respondida","Aberta")))))</f>
        <v/>
      </c>
    </row>
    <row r="22" customFormat="false" ht="30" hidden="false" customHeight="true" outlineLevel="0" collapsed="false">
      <c r="B22" s="10" t="n">
        <v>16</v>
      </c>
      <c r="C22" s="17"/>
      <c r="D22" s="5"/>
      <c r="E22" s="18"/>
      <c r="F22" s="5"/>
      <c r="G22" s="5"/>
      <c r="H22" s="17"/>
      <c r="I22" s="17"/>
      <c r="J22" s="23" t="str">
        <f aca="false">IF(OR(C22="",H22=""),"",H22-C22)</f>
        <v/>
      </c>
      <c r="K22" s="5"/>
      <c r="L22" s="24"/>
      <c r="M22" s="11" t="str">
        <f aca="false">IF(G22="","",IF(C22="","Falta a data",IF(F22="","Falta o motivo",IF(I22&lt;&gt;"","Resolvida",IF(H22&lt;&gt;"","Respondida","Aberta")))))</f>
        <v/>
      </c>
    </row>
    <row r="23" customFormat="false" ht="30" hidden="false" customHeight="true" outlineLevel="0" collapsed="false">
      <c r="B23" s="10" t="n">
        <v>17</v>
      </c>
      <c r="C23" s="17"/>
      <c r="D23" s="5"/>
      <c r="E23" s="18"/>
      <c r="F23" s="5"/>
      <c r="G23" s="5"/>
      <c r="H23" s="17"/>
      <c r="I23" s="17"/>
      <c r="J23" s="23" t="str">
        <f aca="false">IF(OR(C23="",H23=""),"",H23-C23)</f>
        <v/>
      </c>
      <c r="K23" s="5"/>
      <c r="L23" s="24"/>
      <c r="M23" s="11" t="str">
        <f aca="false">IF(G23="","",IF(C23="","Falta a data",IF(F23="","Falta o motivo",IF(I23&lt;&gt;"","Resolvida",IF(H23&lt;&gt;"","Respondida","Aberta")))))</f>
        <v/>
      </c>
    </row>
    <row r="24" customFormat="false" ht="30" hidden="false" customHeight="true" outlineLevel="0" collapsed="false">
      <c r="B24" s="10" t="n">
        <v>18</v>
      </c>
      <c r="C24" s="17"/>
      <c r="D24" s="5"/>
      <c r="E24" s="18"/>
      <c r="F24" s="5"/>
      <c r="G24" s="5"/>
      <c r="H24" s="17"/>
      <c r="I24" s="17"/>
      <c r="J24" s="23" t="str">
        <f aca="false">IF(OR(C24="",H24=""),"",H24-C24)</f>
        <v/>
      </c>
      <c r="K24" s="5"/>
      <c r="L24" s="24"/>
      <c r="M24" s="11" t="str">
        <f aca="false">IF(G24="","",IF(C24="","Falta a data",IF(F24="","Falta o motivo",IF(I24&lt;&gt;"","Resolvida",IF(H24&lt;&gt;"","Respondida","Aberta")))))</f>
        <v/>
      </c>
    </row>
    <row r="25" customFormat="false" ht="30" hidden="false" customHeight="true" outlineLevel="0" collapsed="false">
      <c r="B25" s="10" t="n">
        <v>19</v>
      </c>
      <c r="C25" s="17"/>
      <c r="D25" s="5"/>
      <c r="E25" s="18"/>
      <c r="F25" s="5"/>
      <c r="G25" s="5"/>
      <c r="H25" s="17"/>
      <c r="I25" s="17"/>
      <c r="J25" s="23" t="str">
        <f aca="false">IF(OR(C25="",H25=""),"",H25-C25)</f>
        <v/>
      </c>
      <c r="K25" s="5"/>
      <c r="L25" s="24"/>
      <c r="M25" s="11" t="str">
        <f aca="false">IF(G25="","",IF(C25="","Falta a data",IF(F25="","Falta o motivo",IF(I25&lt;&gt;"","Resolvida",IF(H25&lt;&gt;"","Respondida","Aberta")))))</f>
        <v/>
      </c>
    </row>
    <row r="26" customFormat="false" ht="30" hidden="false" customHeight="true" outlineLevel="0" collapsed="false">
      <c r="B26" s="10" t="n">
        <v>20</v>
      </c>
      <c r="C26" s="17"/>
      <c r="D26" s="5"/>
      <c r="E26" s="18"/>
      <c r="F26" s="5"/>
      <c r="G26" s="5"/>
      <c r="H26" s="17"/>
      <c r="I26" s="17"/>
      <c r="J26" s="23" t="str">
        <f aca="false">IF(OR(C26="",H26=""),"",H26-C26)</f>
        <v/>
      </c>
      <c r="K26" s="5"/>
      <c r="L26" s="24"/>
      <c r="M26" s="11" t="str">
        <f aca="false">IF(G26="","",IF(C26="","Falta a data",IF(F26="","Falta o motivo",IF(I26&lt;&gt;"","Resolvida",IF(H26&lt;&gt;"","Respondida","Aberta")))))</f>
        <v/>
      </c>
    </row>
    <row r="27" customFormat="false" ht="30" hidden="false" customHeight="true" outlineLevel="0" collapsed="false">
      <c r="B27" s="10" t="n">
        <v>21</v>
      </c>
      <c r="C27" s="17"/>
      <c r="D27" s="5"/>
      <c r="E27" s="18"/>
      <c r="F27" s="5"/>
      <c r="G27" s="5"/>
      <c r="H27" s="17"/>
      <c r="I27" s="17"/>
      <c r="J27" s="23" t="str">
        <f aca="false">IF(OR(C27="",H27=""),"",H27-C27)</f>
        <v/>
      </c>
      <c r="K27" s="5"/>
      <c r="L27" s="24"/>
      <c r="M27" s="11" t="str">
        <f aca="false">IF(G27="","",IF(C27="","Falta a data",IF(F27="","Falta o motivo",IF(I27&lt;&gt;"","Resolvida",IF(H27&lt;&gt;"","Respondida","Aberta")))))</f>
        <v/>
      </c>
    </row>
    <row r="28" customFormat="false" ht="30" hidden="false" customHeight="true" outlineLevel="0" collapsed="false">
      <c r="B28" s="10" t="n">
        <v>22</v>
      </c>
      <c r="C28" s="17"/>
      <c r="D28" s="5"/>
      <c r="E28" s="18"/>
      <c r="F28" s="5"/>
      <c r="G28" s="5"/>
      <c r="H28" s="17"/>
      <c r="I28" s="17"/>
      <c r="J28" s="23" t="str">
        <f aca="false">IF(OR(C28="",H28=""),"",H28-C28)</f>
        <v/>
      </c>
      <c r="K28" s="5"/>
      <c r="L28" s="24"/>
      <c r="M28" s="11" t="str">
        <f aca="false">IF(G28="","",IF(C28="","Falta a data",IF(F28="","Falta o motivo",IF(I28&lt;&gt;"","Resolvida",IF(H28&lt;&gt;"","Respondida","Aberta")))))</f>
        <v/>
      </c>
    </row>
    <row r="29" customFormat="false" ht="30" hidden="false" customHeight="true" outlineLevel="0" collapsed="false">
      <c r="B29" s="10" t="n">
        <v>23</v>
      </c>
      <c r="C29" s="17"/>
      <c r="D29" s="5"/>
      <c r="E29" s="18"/>
      <c r="F29" s="5"/>
      <c r="G29" s="5"/>
      <c r="H29" s="17"/>
      <c r="I29" s="17"/>
      <c r="J29" s="23" t="str">
        <f aca="false">IF(OR(C29="",H29=""),"",H29-C29)</f>
        <v/>
      </c>
      <c r="K29" s="5"/>
      <c r="L29" s="24"/>
      <c r="M29" s="11" t="str">
        <f aca="false">IF(G29="","",IF(C29="","Falta a data",IF(F29="","Falta o motivo",IF(I29&lt;&gt;"","Resolvida",IF(H29&lt;&gt;"","Respondida","Aberta")))))</f>
        <v/>
      </c>
    </row>
    <row r="30" customFormat="false" ht="30" hidden="false" customHeight="true" outlineLevel="0" collapsed="false">
      <c r="B30" s="10" t="n">
        <v>24</v>
      </c>
      <c r="C30" s="17"/>
      <c r="D30" s="5"/>
      <c r="E30" s="18"/>
      <c r="F30" s="5"/>
      <c r="G30" s="5"/>
      <c r="H30" s="17"/>
      <c r="I30" s="17"/>
      <c r="J30" s="23" t="str">
        <f aca="false">IF(OR(C30="",H30=""),"",H30-C30)</f>
        <v/>
      </c>
      <c r="K30" s="5"/>
      <c r="L30" s="24"/>
      <c r="M30" s="11" t="str">
        <f aca="false">IF(G30="","",IF(C30="","Falta a data",IF(F30="","Falta o motivo",IF(I30&lt;&gt;"","Resolvida",IF(H30&lt;&gt;"","Respondida","Aberta")))))</f>
        <v/>
      </c>
    </row>
    <row r="31" customFormat="false" ht="30" hidden="false" customHeight="true" outlineLevel="0" collapsed="false">
      <c r="B31" s="10" t="n">
        <v>25</v>
      </c>
      <c r="C31" s="17"/>
      <c r="D31" s="5"/>
      <c r="E31" s="18"/>
      <c r="F31" s="5"/>
      <c r="G31" s="5"/>
      <c r="H31" s="17"/>
      <c r="I31" s="17"/>
      <c r="J31" s="23" t="str">
        <f aca="false">IF(OR(C31="",H31=""),"",H31-C31)</f>
        <v/>
      </c>
      <c r="K31" s="5"/>
      <c r="L31" s="24"/>
      <c r="M31" s="11" t="str">
        <f aca="false">IF(G31="","",IF(C31="","Falta a data",IF(F31="","Falta o motivo",IF(I31&lt;&gt;"","Resolvida",IF(H31&lt;&gt;"","Respondida","Aberta")))))</f>
        <v/>
      </c>
    </row>
    <row r="32" customFormat="false" ht="30" hidden="false" customHeight="true" outlineLevel="0" collapsed="false">
      <c r="B32" s="10" t="n">
        <v>26</v>
      </c>
      <c r="C32" s="17"/>
      <c r="D32" s="5"/>
      <c r="E32" s="18"/>
      <c r="F32" s="5"/>
      <c r="G32" s="5"/>
      <c r="H32" s="17"/>
      <c r="I32" s="17"/>
      <c r="J32" s="23" t="str">
        <f aca="false">IF(OR(C32="",H32=""),"",H32-C32)</f>
        <v/>
      </c>
      <c r="K32" s="5"/>
      <c r="L32" s="24"/>
      <c r="M32" s="11" t="str">
        <f aca="false">IF(G32="","",IF(C32="","Falta a data",IF(F32="","Falta o motivo",IF(I32&lt;&gt;"","Resolvida",IF(H32&lt;&gt;"","Respondida","Aberta")))))</f>
        <v/>
      </c>
    </row>
    <row r="33" customFormat="false" ht="30" hidden="false" customHeight="true" outlineLevel="0" collapsed="false">
      <c r="B33" s="10" t="n">
        <v>27</v>
      </c>
      <c r="C33" s="17"/>
      <c r="D33" s="5"/>
      <c r="E33" s="18"/>
      <c r="F33" s="5"/>
      <c r="G33" s="5"/>
      <c r="H33" s="17"/>
      <c r="I33" s="17"/>
      <c r="J33" s="23" t="str">
        <f aca="false">IF(OR(C33="",H33=""),"",H33-C33)</f>
        <v/>
      </c>
      <c r="K33" s="5"/>
      <c r="L33" s="24"/>
      <c r="M33" s="11" t="str">
        <f aca="false">IF(G33="","",IF(C33="","Falta a data",IF(F33="","Falta o motivo",IF(I33&lt;&gt;"","Resolvida",IF(H33&lt;&gt;"","Respondida","Aberta")))))</f>
        <v/>
      </c>
    </row>
    <row r="34" customFormat="false" ht="30" hidden="false" customHeight="true" outlineLevel="0" collapsed="false">
      <c r="B34" s="10" t="n">
        <v>28</v>
      </c>
      <c r="C34" s="17"/>
      <c r="D34" s="5"/>
      <c r="E34" s="18"/>
      <c r="F34" s="5"/>
      <c r="G34" s="5"/>
      <c r="H34" s="17"/>
      <c r="I34" s="17"/>
      <c r="J34" s="23" t="str">
        <f aca="false">IF(OR(C34="",H34=""),"",H34-C34)</f>
        <v/>
      </c>
      <c r="K34" s="5"/>
      <c r="L34" s="24"/>
      <c r="M34" s="11" t="str">
        <f aca="false">IF(G34="","",IF(C34="","Falta a data",IF(F34="","Falta o motivo",IF(I34&lt;&gt;"","Resolvida",IF(H34&lt;&gt;"","Respondida","Aberta")))))</f>
        <v/>
      </c>
    </row>
    <row r="35" customFormat="false" ht="30" hidden="false" customHeight="true" outlineLevel="0" collapsed="false">
      <c r="B35" s="10" t="n">
        <v>29</v>
      </c>
      <c r="C35" s="17"/>
      <c r="D35" s="5"/>
      <c r="E35" s="18"/>
      <c r="F35" s="5"/>
      <c r="G35" s="5"/>
      <c r="H35" s="17"/>
      <c r="I35" s="17"/>
      <c r="J35" s="23" t="str">
        <f aca="false">IF(OR(C35="",H35=""),"",H35-C35)</f>
        <v/>
      </c>
      <c r="K35" s="5"/>
      <c r="L35" s="24"/>
      <c r="M35" s="11" t="str">
        <f aca="false">IF(G35="","",IF(C35="","Falta a data",IF(F35="","Falta o motivo",IF(I35&lt;&gt;"","Resolvida",IF(H35&lt;&gt;"","Respondida","Aberta")))))</f>
        <v/>
      </c>
    </row>
    <row r="36" customFormat="false" ht="30" hidden="false" customHeight="true" outlineLevel="0" collapsed="false">
      <c r="B36" s="10" t="n">
        <v>30</v>
      </c>
      <c r="C36" s="17"/>
      <c r="D36" s="5"/>
      <c r="E36" s="18"/>
      <c r="F36" s="5"/>
      <c r="G36" s="5"/>
      <c r="H36" s="17"/>
      <c r="I36" s="17"/>
      <c r="J36" s="23" t="str">
        <f aca="false">IF(OR(C36="",H36=""),"",H36-C36)</f>
        <v/>
      </c>
      <c r="K36" s="5"/>
      <c r="L36" s="24"/>
      <c r="M36" s="11" t="str">
        <f aca="false">IF(G36="","",IF(C36="","Falta a data",IF(F36="","Falta o motivo",IF(I36&lt;&gt;"","Resolvida",IF(H36&lt;&gt;"","Respondida","Aberta")))))</f>
        <v/>
      </c>
    </row>
    <row r="38" customFormat="false" ht="21.75" hidden="false" customHeight="true" outlineLevel="0" collapsed="false">
      <c r="B38" s="12" t="s">
        <v>82</v>
      </c>
      <c r="C38" s="12"/>
      <c r="D38" s="12"/>
      <c r="E38" s="12"/>
      <c r="F38" s="12"/>
      <c r="G38" s="12"/>
      <c r="I38" s="12" t="s">
        <v>129</v>
      </c>
      <c r="J38" s="12"/>
      <c r="K38" s="12"/>
      <c r="L38" s="12"/>
      <c r="M38" s="12"/>
    </row>
    <row r="39" customFormat="false" ht="21.75" hidden="false" customHeight="true" outlineLevel="0" collapsed="false">
      <c r="B39" s="13" t="s">
        <v>130</v>
      </c>
      <c r="C39" s="13"/>
      <c r="D39" s="13"/>
      <c r="E39" s="14" t="n">
        <f aca="false">COUNTA(G7:G36)</f>
        <v>0</v>
      </c>
      <c r="F39" s="14"/>
      <c r="G39" s="14"/>
      <c r="I39" s="25" t="str">
        <f aca="false">IF(Pesquisa!C18="","",Pesquisa!C18)</f>
        <v/>
      </c>
      <c r="J39" s="25"/>
      <c r="K39" s="25"/>
      <c r="L39" s="25"/>
      <c r="M39" s="14" t="str">
        <f aca="false">IF(Pesquisa!C18="","",COUNTIF(F7:F36,Pesquisa!C18))</f>
        <v/>
      </c>
    </row>
    <row r="40" customFormat="false" ht="21.75" hidden="false" customHeight="true" outlineLevel="0" collapsed="false">
      <c r="B40" s="13" t="s">
        <v>131</v>
      </c>
      <c r="C40" s="13"/>
      <c r="D40" s="13"/>
      <c r="E40" s="14" t="n">
        <f aca="false">COUNTIF(M7:M36,"Aberta")</f>
        <v>0</v>
      </c>
      <c r="F40" s="14"/>
      <c r="G40" s="14"/>
      <c r="I40" s="25" t="str">
        <f aca="false">IF(Pesquisa!C19="","",Pesquisa!C19)</f>
        <v/>
      </c>
      <c r="J40" s="25"/>
      <c r="K40" s="25"/>
      <c r="L40" s="25"/>
      <c r="M40" s="14" t="str">
        <f aca="false">IF(Pesquisa!C19="","",COUNTIF(F7:F36,Pesquisa!C19))</f>
        <v/>
      </c>
    </row>
    <row r="41" customFormat="false" ht="21.75" hidden="false" customHeight="true" outlineLevel="0" collapsed="false">
      <c r="B41" s="13" t="s">
        <v>132</v>
      </c>
      <c r="C41" s="13"/>
      <c r="D41" s="13"/>
      <c r="E41" s="20" t="str">
        <f aca="false">IF(COUNT(J7:J36)=0,"",COUNTIF(J7:J36,"&lt;=2")/COUNT(J7:J36))</f>
        <v/>
      </c>
      <c r="F41" s="20"/>
      <c r="G41" s="20"/>
      <c r="I41" s="25" t="str">
        <f aca="false">IF(Pesquisa!C20="","",Pesquisa!C20)</f>
        <v/>
      </c>
      <c r="J41" s="25"/>
      <c r="K41" s="25"/>
      <c r="L41" s="25"/>
      <c r="M41" s="14" t="str">
        <f aca="false">IF(Pesquisa!C20="","",COUNTIF(F7:F36,Pesquisa!C20))</f>
        <v/>
      </c>
    </row>
    <row r="42" customFormat="false" ht="21.75" hidden="false" customHeight="true" outlineLevel="0" collapsed="false">
      <c r="B42" s="13" t="s">
        <v>133</v>
      </c>
      <c r="C42" s="13"/>
      <c r="D42" s="13"/>
      <c r="E42" s="19" t="str">
        <f aca="false">IF(COUNT(J7:J36)=0,"",AVERAGE(J7:J36))</f>
        <v/>
      </c>
      <c r="F42" s="19"/>
      <c r="G42" s="19"/>
      <c r="I42" s="25" t="str">
        <f aca="false">IF(Pesquisa!C21="","",Pesquisa!C21)</f>
        <v/>
      </c>
      <c r="J42" s="25"/>
      <c r="K42" s="25"/>
      <c r="L42" s="25"/>
      <c r="M42" s="14" t="str">
        <f aca="false">IF(Pesquisa!C21="","",COUNTIF(F7:F36,Pesquisa!C21))</f>
        <v/>
      </c>
    </row>
    <row r="43" customFormat="false" ht="21.75" hidden="false" customHeight="true" outlineLevel="0" collapsed="false">
      <c r="B43" s="13" t="s">
        <v>134</v>
      </c>
      <c r="C43" s="13"/>
      <c r="D43" s="13"/>
      <c r="E43" s="14" t="n">
        <f aca="false">COUNTIF(M7:M36,"Resolvida")</f>
        <v>0</v>
      </c>
      <c r="F43" s="14"/>
      <c r="G43" s="14"/>
      <c r="I43" s="25" t="str">
        <f aca="false">IF(Pesquisa!C22="","",Pesquisa!C22)</f>
        <v/>
      </c>
      <c r="J43" s="25"/>
      <c r="K43" s="25"/>
      <c r="L43" s="25"/>
      <c r="M43" s="14" t="str">
        <f aca="false">IF(Pesquisa!C22="","",COUNTIF(F7:F36,Pesquisa!C22))</f>
        <v/>
      </c>
    </row>
    <row r="44" customFormat="false" ht="21.75" hidden="false" customHeight="true" outlineLevel="0" collapsed="false">
      <c r="B44" s="13" t="s">
        <v>84</v>
      </c>
      <c r="C44" s="13"/>
      <c r="D44" s="13"/>
      <c r="E44" s="11" t="str">
        <f aca="false">IF(E39=0,"Registre as reclamações",IF(COUNTIF(M7:M36,"Falta*")&gt;0,"Há reclamação com campos em branco: veja a coluna Situação",IF(E40&gt;0,"Há reclamação sem resposta",IF(COUNTIF(J7:J36,"&gt;2")&gt;0,"Há resposta fora do prazo","OK"))))</f>
        <v>Registre as reclamações</v>
      </c>
      <c r="F44" s="11"/>
      <c r="G44" s="11"/>
      <c r="I44" s="25" t="str">
        <f aca="false">IF(Pesquisa!C23="","",Pesquisa!C23)</f>
        <v/>
      </c>
      <c r="J44" s="25"/>
      <c r="K44" s="25"/>
      <c r="L44" s="25"/>
      <c r="M44" s="14" t="str">
        <f aca="false">IF(Pesquisa!C23="","",COUNTIF(F7:F36,Pesquisa!C23))</f>
        <v/>
      </c>
    </row>
    <row r="45" customFormat="false" ht="18" hidden="false" customHeight="true" outlineLevel="0" collapsed="false">
      <c r="I45" s="25" t="str">
        <f aca="false">IF(Pesquisa!C24="","",Pesquisa!C24)</f>
        <v/>
      </c>
      <c r="J45" s="25"/>
      <c r="K45" s="25"/>
      <c r="L45" s="25"/>
      <c r="M45" s="14" t="str">
        <f aca="false">IF(Pesquisa!C24="","",COUNTIF(F7:F36,Pesquisa!C24))</f>
        <v/>
      </c>
    </row>
    <row r="46" customFormat="false" ht="18" hidden="false" customHeight="true" outlineLevel="0" collapsed="false">
      <c r="I46" s="25" t="str">
        <f aca="false">IF(Pesquisa!C25="","",Pesquisa!C25)</f>
        <v/>
      </c>
      <c r="J46" s="25"/>
      <c r="K46" s="25"/>
      <c r="L46" s="25"/>
      <c r="M46" s="14" t="str">
        <f aca="false">IF(Pesquisa!C25="","",COUNTIF(F7:F36,Pesquisa!C25))</f>
        <v/>
      </c>
    </row>
  </sheetData>
  <mergeCells count="24">
    <mergeCell ref="B1:M1"/>
    <mergeCell ref="B2:M2"/>
    <mergeCell ref="B38:G38"/>
    <mergeCell ref="I38:M38"/>
    <mergeCell ref="B39:D39"/>
    <mergeCell ref="E39:G39"/>
    <mergeCell ref="I39:L39"/>
    <mergeCell ref="B40:D40"/>
    <mergeCell ref="E40:G40"/>
    <mergeCell ref="I40:L40"/>
    <mergeCell ref="B41:D41"/>
    <mergeCell ref="E41:G41"/>
    <mergeCell ref="I41:L41"/>
    <mergeCell ref="B42:D42"/>
    <mergeCell ref="E42:G42"/>
    <mergeCell ref="I42:L42"/>
    <mergeCell ref="B43:D43"/>
    <mergeCell ref="E43:G43"/>
    <mergeCell ref="I43:L43"/>
    <mergeCell ref="B44:D44"/>
    <mergeCell ref="E44:G44"/>
    <mergeCell ref="I44:L44"/>
    <mergeCell ref="I45:L45"/>
    <mergeCell ref="I46:L46"/>
  </mergeCells>
  <conditionalFormatting sqref="M7:M36">
    <cfRule type="expression" priority="2" aboveAverage="0" equalAverage="0" bottom="0" percent="0" rank="0" text="" dxfId="0">
      <formula>M7="Resolvida"</formula>
    </cfRule>
    <cfRule type="expression" priority="3" aboveAverage="0" equalAverage="0" bottom="0" percent="0" rank="0" text="" dxfId="2">
      <formula>M7="Respondida"</formula>
    </cfRule>
    <cfRule type="expression" priority="4" aboveAverage="0" equalAverage="0" bottom="0" percent="0" rank="0" text="" dxfId="5">
      <formula>M7="Aberta"</formula>
    </cfRule>
    <cfRule type="expression" priority="5" aboveAverage="0" equalAverage="0" bottom="0" percent="0" rank="0" text="" dxfId="1">
      <formula>LEN(M7)&gt;0</formula>
    </cfRule>
  </conditionalFormatting>
  <conditionalFormatting sqref="J7:J36">
    <cfRule type="expression" priority="6" aboveAverage="0" equalAverage="0" bottom="0" percent="0" rank="0" text="" dxfId="1">
      <formula>AND(ISNUMBER(J7),J7&gt;2)</formula>
    </cfRule>
  </conditionalFormatting>
  <conditionalFormatting sqref="E44:G44">
    <cfRule type="expression" priority="7" aboveAverage="0" equalAverage="0" bottom="0" percent="0" rank="0" text="" dxfId="0">
      <formula>OR(E44="OK")</formula>
    </cfRule>
    <cfRule type="expression" priority="8" aboveAverage="0" equalAverage="0" bottom="0" percent="0" rank="0" text="" dxfId="1">
      <formula>AND(LEN(E44)&gt;0,NOT(OR(E44="OK")))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C7:C36 H7:I36" type="date">
      <formula1>36526</formula1>
      <formula2>0</formula2>
    </dataValidation>
    <dataValidation allowBlank="true" error="Escolha uma das opções da lista." errorStyle="stop" errorTitle="Valor inválido" operator="between" prompt="Canal por onde a reclamação chegou" promptTitle="Opções" showDropDown="false" showErrorMessage="true" showInputMessage="true" sqref="E7:E36" type="list">
      <formula1>"Telefone,Mensagem,Aplicativo,E-mail,Presencial,Site"</formula1>
      <formula2>0</formula2>
    </dataValidation>
    <dataValidation allowBlank="true" error="Escolha um motivo cadastrado na aba Pesquisa." errorStyle="stop" errorTitle="Motivo inválido" operator="between" prompt="Escolha um motivo da lista da aba Pesquisa." promptTitle="Motivo" showDropDown="false" showErrorMessage="true" showInputMessage="true" sqref="F7:F36" type="list">
      <formula1>Pesquisa!$C$18:$C$25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135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136</v>
      </c>
      <c r="C2" s="2"/>
      <c r="D2" s="2"/>
      <c r="E2" s="2"/>
      <c r="F2" s="2"/>
    </row>
    <row r="4" customFormat="false" ht="21.75" hidden="false" customHeight="true" outlineLevel="0" collapsed="false">
      <c r="B4" s="4" t="s">
        <v>137</v>
      </c>
      <c r="C4" s="18"/>
      <c r="D4" s="8" t="s">
        <v>138</v>
      </c>
      <c r="E4" s="8"/>
      <c r="F4" s="8"/>
    </row>
    <row r="5" customFormat="false" ht="21.75" hidden="false" customHeight="true" outlineLevel="0" collapsed="false">
      <c r="B5" s="4" t="s">
        <v>139</v>
      </c>
      <c r="C5" s="26" t="str">
        <f aca="false">IF(Pesquisa!D5="","",Pesquisa!D5)</f>
        <v/>
      </c>
      <c r="D5" s="26"/>
      <c r="E5" s="26"/>
      <c r="F5" s="26"/>
    </row>
    <row r="7" customFormat="false" ht="21.75" hidden="false" customHeight="true" outlineLevel="0" collapsed="false">
      <c r="B7" s="9" t="s">
        <v>140</v>
      </c>
      <c r="C7" s="9" t="s">
        <v>141</v>
      </c>
      <c r="D7" s="9" t="s">
        <v>142</v>
      </c>
      <c r="E7" s="9" t="s">
        <v>113</v>
      </c>
      <c r="F7" s="9" t="s">
        <v>143</v>
      </c>
    </row>
    <row r="8" customFormat="false" ht="27" hidden="false" customHeight="true" outlineLevel="0" collapsed="false">
      <c r="B8" s="4" t="s">
        <v>144</v>
      </c>
      <c r="C8" s="20" t="str">
        <f aca="false">IF(OR(C4="",Respostas!E74=0),"",Respostas!E74/C4)</f>
        <v/>
      </c>
      <c r="D8" s="27" t="n">
        <v>0.1</v>
      </c>
      <c r="E8" s="11" t="str">
        <f aca="false">IF(C8="","Sem dados",IF(D8="","Sem meta",IF(C8&gt;=D8,"Na meta","Fora da meta")))</f>
        <v>Sem dados</v>
      </c>
      <c r="F8" s="28" t="s">
        <v>145</v>
      </c>
    </row>
    <row r="9" customFormat="false" ht="27" hidden="false" customHeight="true" outlineLevel="0" collapsed="false">
      <c r="B9" s="4" t="s">
        <v>146</v>
      </c>
      <c r="C9" s="21" t="str">
        <f aca="false">IF(Respostas!E75="","",Respostas!E75)</f>
        <v/>
      </c>
      <c r="D9" s="29"/>
      <c r="E9" s="11" t="str">
        <f aca="false">IF(C9="","Sem dados",IF(D9="","Sem meta",IF(C9&gt;=D9,"Na meta","Fora da meta")))</f>
        <v>Sem dados</v>
      </c>
      <c r="F9" s="28" t="s">
        <v>147</v>
      </c>
    </row>
    <row r="10" customFormat="false" ht="27" hidden="false" customHeight="true" outlineLevel="0" collapsed="false">
      <c r="B10" s="4" t="s">
        <v>100</v>
      </c>
      <c r="C10" s="20" t="str">
        <f aca="false">IF(Respostas!E76="","",Respostas!E76)</f>
        <v/>
      </c>
      <c r="D10" s="27" t="n">
        <v>0.8</v>
      </c>
      <c r="E10" s="11" t="str">
        <f aca="false">IF(C10="","Sem dados",IF(D10="","Sem meta",IF(C10&gt;=D10,"Na meta","Fora da meta")))</f>
        <v>Sem dados</v>
      </c>
      <c r="F10" s="28" t="s">
        <v>148</v>
      </c>
    </row>
    <row r="11" customFormat="false" ht="27" hidden="false" customHeight="true" outlineLevel="0" collapsed="false">
      <c r="B11" s="4" t="s">
        <v>18</v>
      </c>
      <c r="C11" s="30" t="str">
        <f aca="false">IF(Respostas!E78="","",Respostas!E78)</f>
        <v/>
      </c>
      <c r="D11" s="31" t="n">
        <v>50</v>
      </c>
      <c r="E11" s="11" t="str">
        <f aca="false">IF(C11="","Sem dados",IF(D11="","Sem meta",IF(C11&gt;=D11,"Na meta","Fora da meta")))</f>
        <v>Sem dados</v>
      </c>
      <c r="F11" s="28" t="s">
        <v>149</v>
      </c>
    </row>
    <row r="12" customFormat="false" ht="27" hidden="false" customHeight="true" outlineLevel="0" collapsed="false">
      <c r="B12" s="4" t="s">
        <v>150</v>
      </c>
      <c r="C12" s="19" t="str">
        <f aca="false">IF(OR(C4="",Reclamações!E39=0),"",100*Reclamações!E39/C4)</f>
        <v/>
      </c>
      <c r="D12" s="32" t="n">
        <v>2</v>
      </c>
      <c r="E12" s="11" t="str">
        <f aca="false">IF(C12="","Sem dados",IF(D12="","Sem meta",IF(C12&lt;=D12,"Na meta","Fora da meta")))</f>
        <v>Sem dados</v>
      </c>
      <c r="F12" s="28" t="s">
        <v>151</v>
      </c>
    </row>
    <row r="13" customFormat="false" ht="27" hidden="false" customHeight="true" outlineLevel="0" collapsed="false">
      <c r="B13" s="4" t="s">
        <v>132</v>
      </c>
      <c r="C13" s="20" t="str">
        <f aca="false">IF(Reclamações!E41="","",Reclamações!E41)</f>
        <v/>
      </c>
      <c r="D13" s="27" t="n">
        <v>0.9</v>
      </c>
      <c r="E13" s="11" t="str">
        <f aca="false">IF(C13="","Sem dados",IF(D13="","Sem meta",IF(C13&gt;=D13,"Na meta","Fora da meta")))</f>
        <v>Sem dados</v>
      </c>
      <c r="F13" s="28" t="s">
        <v>152</v>
      </c>
    </row>
    <row r="14" customFormat="false" ht="27" hidden="false" customHeight="true" outlineLevel="0" collapsed="false">
      <c r="B14" s="4" t="s">
        <v>133</v>
      </c>
      <c r="C14" s="19" t="str">
        <f aca="false">IF(Reclamações!E42="","",Reclamações!E42)</f>
        <v/>
      </c>
      <c r="D14" s="32" t="n">
        <v>1</v>
      </c>
      <c r="E14" s="11" t="str">
        <f aca="false">IF(C14="","Sem dados",IF(D14="","Sem meta",IF(C14&lt;=D14,"Na meta","Fora da meta")))</f>
        <v>Sem dados</v>
      </c>
      <c r="F14" s="28" t="s">
        <v>153</v>
      </c>
    </row>
    <row r="16" customFormat="false" ht="21.75" hidden="false" customHeight="true" outlineLevel="0" collapsed="false">
      <c r="B16" s="12" t="s">
        <v>82</v>
      </c>
      <c r="C16" s="12"/>
      <c r="D16" s="12"/>
      <c r="E16" s="12"/>
      <c r="F16" s="12"/>
    </row>
    <row r="17" customFormat="false" ht="21.75" hidden="false" customHeight="true" outlineLevel="0" collapsed="false">
      <c r="B17" s="13" t="s">
        <v>154</v>
      </c>
      <c r="C17" s="14" t="str">
        <f aca="false">COUNTIF(E8:E14,"Na meta")&amp;" de "&amp;COUNTIF(E8:E14,"&lt;&gt;Sem dados")</f>
        <v>0 de 0</v>
      </c>
    </row>
    <row r="18" customFormat="false" ht="21.75" hidden="false" customHeight="true" outlineLevel="0" collapsed="false">
      <c r="B18" s="13" t="s">
        <v>155</v>
      </c>
      <c r="C18" s="26" t="str">
        <f aca="false">IF(SUM(Reclamações!M39:M46)=0,"",INDEX(Reclamações!I39:I46,MATCH(MAX(Reclamações!M39:M46),Reclamações!M39:M46,0)))</f>
        <v/>
      </c>
      <c r="D18" s="26"/>
      <c r="E18" s="26"/>
      <c r="F18" s="26"/>
    </row>
    <row r="19" customFormat="false" ht="21.75" hidden="false" customHeight="true" outlineLevel="0" collapsed="false">
      <c r="B19" s="13" t="s">
        <v>84</v>
      </c>
      <c r="C19" s="11" t="str">
        <f aca="false">IF(C4="","Informe os pedidos do período",IF(COUNTIF(E8:E14,"Sem dados")=7,"Lance as respostas e as reclamações",IF(COUNTIF(E8:E14,"Fora da meta")&gt;0,"Há indicador fora da meta: decida sobre o motivo mais frequente","OK")))</f>
        <v>Informe os pedidos do período</v>
      </c>
      <c r="D19" s="11"/>
      <c r="E19" s="11"/>
      <c r="F19" s="11"/>
    </row>
    <row r="21" customFormat="false" ht="21.75" hidden="false" customHeight="true" outlineLevel="0" collapsed="false">
      <c r="B21" s="12" t="s">
        <v>156</v>
      </c>
      <c r="C21" s="12"/>
      <c r="D21" s="12"/>
      <c r="E21" s="12"/>
      <c r="F21" s="12"/>
    </row>
    <row r="22" customFormat="false" ht="18" hidden="false" customHeight="true" outlineLevel="0" collapsed="false">
      <c r="B22" s="33" t="str">
        <f aca="false">IF(Pesquisa!C9="","P1","P1 · "&amp;Pesquisa!C9)</f>
        <v>P1</v>
      </c>
      <c r="C22" s="19" t="str">
        <f aca="false">IF(Respostas!E70="","",Respostas!E70)</f>
        <v/>
      </c>
    </row>
    <row r="23" customFormat="false" ht="18" hidden="false" customHeight="true" outlineLevel="0" collapsed="false">
      <c r="B23" s="33" t="str">
        <f aca="false">IF(Pesquisa!C10="","P2","P2 · "&amp;Pesquisa!C10)</f>
        <v>P2</v>
      </c>
      <c r="C23" s="19" t="str">
        <f aca="false">IF(Respostas!F70="","",Respostas!F70)</f>
        <v/>
      </c>
    </row>
    <row r="24" customFormat="false" ht="18" hidden="false" customHeight="true" outlineLevel="0" collapsed="false">
      <c r="B24" s="33" t="str">
        <f aca="false">IF(Pesquisa!C11="","P3","P3 · "&amp;Pesquisa!C11)</f>
        <v>P3</v>
      </c>
      <c r="C24" s="19" t="str">
        <f aca="false">IF(Respostas!G70="","",Respostas!G70)</f>
        <v/>
      </c>
    </row>
    <row r="25" customFormat="false" ht="18" hidden="false" customHeight="true" outlineLevel="0" collapsed="false">
      <c r="B25" s="33" t="str">
        <f aca="false">IF(Pesquisa!C12="","P4","P4 · "&amp;Pesquisa!C12)</f>
        <v>P4</v>
      </c>
      <c r="C25" s="19" t="str">
        <f aca="false">IF(Respostas!H70="","",Respostas!H70)</f>
        <v/>
      </c>
    </row>
    <row r="26" customFormat="false" ht="18" hidden="false" customHeight="true" outlineLevel="0" collapsed="false">
      <c r="B26" s="33" t="str">
        <f aca="false">IF(Pesquisa!C13="","P5","P5 · "&amp;Pesquisa!C13)</f>
        <v>P5</v>
      </c>
      <c r="C26" s="19" t="str">
        <f aca="false">IF(Respostas!I70="","",Respostas!I70)</f>
        <v/>
      </c>
    </row>
  </sheetData>
  <mergeCells count="8">
    <mergeCell ref="B1:F1"/>
    <mergeCell ref="B2:F2"/>
    <mergeCell ref="D4:F4"/>
    <mergeCell ref="C5:F5"/>
    <mergeCell ref="B16:F16"/>
    <mergeCell ref="C18:F18"/>
    <mergeCell ref="C19:F19"/>
    <mergeCell ref="B21:F21"/>
  </mergeCells>
  <conditionalFormatting sqref="E8:E14">
    <cfRule type="expression" priority="2" aboveAverage="0" equalAverage="0" bottom="0" percent="0" rank="0" text="" dxfId="0">
      <formula>E8="Na meta"</formula>
    </cfRule>
    <cfRule type="expression" priority="3" aboveAverage="0" equalAverage="0" bottom="0" percent="0" rank="0" text="" dxfId="5">
      <formula>E8="Fora da meta"</formula>
    </cfRule>
    <cfRule type="expression" priority="4" aboveAverage="0" equalAverage="0" bottom="0" percent="0" rank="0" text="" dxfId="1">
      <formula>E8="Sem meta"</formula>
    </cfRule>
    <cfRule type="expression" priority="5" aboveAverage="0" equalAverage="0" bottom="0" percent="0" rank="0" text="" dxfId="6">
      <formula>E8="Sem dados"</formula>
    </cfRule>
  </conditionalFormatting>
  <conditionalFormatting sqref="C19:F19">
    <cfRule type="expression" priority="6" aboveAverage="0" equalAverage="0" bottom="0" percent="0" rank="0" text="" dxfId="0">
      <formula>OR(C19="OK")</formula>
    </cfRule>
    <cfRule type="expression" priority="7" aboveAverage="0" equalAverage="0" bottom="0" percent="0" rank="0" text="" dxfId="1">
      <formula>AND(LEN(C19)&gt;0,NOT(OR(C19="OK")))</formula>
    </cfRule>
  </conditionalFormatting>
  <dataValidations count="1">
    <dataValidation allowBlank="true" error="Digite um número de 1 a 10000000." errorStyle="stop" errorTitle="Número inválido" operator="between" prompt="Quantidade de pedidos, entregas ou clientes do período." promptTitle="Número" showDropDown="false" showErrorMessage="true" showInputMessage="true" sqref="C4" type="whole">
      <formula1>1</formula1>
      <formula2>10000000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157</v>
      </c>
      <c r="C1" s="1"/>
      <c r="D1" s="1"/>
      <c r="E1" s="1"/>
    </row>
    <row r="2" customFormat="false" ht="19.5" hidden="false" customHeight="true" outlineLevel="0" collapsed="false">
      <c r="B2" s="2" t="s">
        <v>158</v>
      </c>
      <c r="C2" s="2"/>
      <c r="D2" s="2"/>
      <c r="E2" s="2"/>
    </row>
    <row r="4" customFormat="false" ht="21.75" hidden="false" customHeight="true" outlineLevel="0" collapsed="false">
      <c r="B4" s="9" t="s">
        <v>68</v>
      </c>
      <c r="C4" s="9" t="s">
        <v>159</v>
      </c>
      <c r="D4" s="9" t="s">
        <v>160</v>
      </c>
      <c r="E4" s="9" t="s">
        <v>161</v>
      </c>
    </row>
    <row r="5" customFormat="false" ht="30" hidden="false" customHeight="true" outlineLevel="0" collapsed="false">
      <c r="B5" s="10" t="n">
        <v>1</v>
      </c>
      <c r="C5" s="6" t="s">
        <v>162</v>
      </c>
      <c r="D5" s="18"/>
      <c r="E5" s="5"/>
    </row>
    <row r="6" customFormat="false" ht="30" hidden="false" customHeight="true" outlineLevel="0" collapsed="false">
      <c r="B6" s="10" t="n">
        <v>2</v>
      </c>
      <c r="C6" s="6" t="s">
        <v>163</v>
      </c>
      <c r="D6" s="18"/>
      <c r="E6" s="5"/>
    </row>
    <row r="7" customFormat="false" ht="30" hidden="false" customHeight="true" outlineLevel="0" collapsed="false">
      <c r="B7" s="10" t="n">
        <v>3</v>
      </c>
      <c r="C7" s="6" t="s">
        <v>164</v>
      </c>
      <c r="D7" s="18"/>
      <c r="E7" s="5"/>
    </row>
    <row r="8" customFormat="false" ht="30" hidden="false" customHeight="true" outlineLevel="0" collapsed="false">
      <c r="B8" s="10" t="n">
        <v>4</v>
      </c>
      <c r="C8" s="6" t="s">
        <v>165</v>
      </c>
      <c r="D8" s="18"/>
      <c r="E8" s="5"/>
    </row>
    <row r="9" customFormat="false" ht="30" hidden="false" customHeight="true" outlineLevel="0" collapsed="false">
      <c r="B9" s="10" t="n">
        <v>5</v>
      </c>
      <c r="C9" s="6" t="s">
        <v>166</v>
      </c>
      <c r="D9" s="18"/>
      <c r="E9" s="5"/>
    </row>
    <row r="10" customFormat="false" ht="30" hidden="false" customHeight="true" outlineLevel="0" collapsed="false">
      <c r="B10" s="10" t="n">
        <v>6</v>
      </c>
      <c r="C10" s="6" t="s">
        <v>167</v>
      </c>
      <c r="D10" s="18"/>
      <c r="E10" s="5"/>
    </row>
    <row r="11" customFormat="false" ht="30" hidden="false" customHeight="true" outlineLevel="0" collapsed="false">
      <c r="B11" s="10" t="n">
        <v>7</v>
      </c>
      <c r="C11" s="6" t="s">
        <v>168</v>
      </c>
      <c r="D11" s="18"/>
      <c r="E11" s="5"/>
    </row>
    <row r="12" customFormat="false" ht="30" hidden="false" customHeight="true" outlineLevel="0" collapsed="false">
      <c r="B12" s="10" t="n">
        <v>8</v>
      </c>
      <c r="C12" s="6" t="s">
        <v>169</v>
      </c>
      <c r="D12" s="18"/>
      <c r="E12" s="5"/>
    </row>
    <row r="13" customFormat="false" ht="30" hidden="false" customHeight="true" outlineLevel="0" collapsed="false">
      <c r="B13" s="10" t="n">
        <v>9</v>
      </c>
      <c r="C13" s="6" t="s">
        <v>170</v>
      </c>
      <c r="D13" s="18"/>
      <c r="E13" s="5"/>
    </row>
    <row r="14" customFormat="false" ht="30" hidden="false" customHeight="true" outlineLevel="0" collapsed="false">
      <c r="B14" s="10" t="n">
        <v>10</v>
      </c>
      <c r="C14" s="6" t="s">
        <v>171</v>
      </c>
      <c r="D14" s="18"/>
      <c r="E14" s="5"/>
    </row>
    <row r="15" customFormat="false" ht="30" hidden="false" customHeight="true" outlineLevel="0" collapsed="false">
      <c r="B15" s="10" t="n">
        <v>11</v>
      </c>
      <c r="C15" s="6" t="s">
        <v>172</v>
      </c>
      <c r="D15" s="18"/>
      <c r="E15" s="5"/>
    </row>
    <row r="16" customFormat="false" ht="30" hidden="false" customHeight="true" outlineLevel="0" collapsed="false">
      <c r="B16" s="10" t="n">
        <v>12</v>
      </c>
      <c r="C16" s="6" t="s">
        <v>173</v>
      </c>
      <c r="D16" s="18"/>
      <c r="E16" s="5"/>
    </row>
    <row r="18" customFormat="false" ht="21.75" hidden="false" customHeight="true" outlineLevel="0" collapsed="false">
      <c r="B18" s="12" t="s">
        <v>82</v>
      </c>
      <c r="C18" s="12"/>
      <c r="D18" s="12"/>
      <c r="E18" s="12"/>
    </row>
    <row r="19" customFormat="false" ht="19.5" hidden="false" customHeight="true" outlineLevel="0" collapsed="false">
      <c r="B19" s="13" t="s">
        <v>174</v>
      </c>
      <c r="C19" s="13"/>
      <c r="D19" s="14" t="n">
        <f aca="false">COUNTIF(D5:D16,"Sim")</f>
        <v>0</v>
      </c>
    </row>
    <row r="20" customFormat="false" ht="19.5" hidden="false" customHeight="true" outlineLevel="0" collapsed="false">
      <c r="B20" s="13" t="s">
        <v>175</v>
      </c>
      <c r="C20" s="13"/>
      <c r="D20" s="14" t="n">
        <f aca="false">COUNTIF(D5:D16,"Parcial")</f>
        <v>0</v>
      </c>
    </row>
    <row r="21" customFormat="false" ht="19.5" hidden="false" customHeight="true" outlineLevel="0" collapsed="false">
      <c r="B21" s="13" t="s">
        <v>176</v>
      </c>
      <c r="C21" s="13"/>
      <c r="D21" s="14" t="n">
        <f aca="false">COUNTIF(D5:D16,"Não")</f>
        <v>0</v>
      </c>
    </row>
    <row r="22" customFormat="false" ht="19.5" hidden="false" customHeight="true" outlineLevel="0" collapsed="false">
      <c r="B22" s="13" t="s">
        <v>177</v>
      </c>
      <c r="C22" s="13"/>
      <c r="D22" s="14" t="n">
        <f aca="false">COUNTBLANK(D5:D16)</f>
        <v>12</v>
      </c>
    </row>
    <row r="23" customFormat="false" ht="19.5" hidden="false" customHeight="true" outlineLevel="0" collapsed="false">
      <c r="B23" s="13" t="s">
        <v>178</v>
      </c>
      <c r="C23" s="13"/>
      <c r="D23" s="20" t="n">
        <f aca="false">D19/ROWS(D5:D16)</f>
        <v>0</v>
      </c>
    </row>
    <row r="24" customFormat="false" ht="19.5" hidden="false" customHeight="true" outlineLevel="0" collapsed="false">
      <c r="B24" s="13" t="s">
        <v>113</v>
      </c>
      <c r="C24" s="13"/>
      <c r="D24" s="14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5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M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8" min="6" style="0" width="10"/>
    <col collapsed="false" customWidth="true" hidden="false" outlineLevel="0" max="9" min="9" style="0" width="9"/>
    <col collapsed="false" customWidth="true" hidden="false" outlineLevel="0" max="12" min="10" style="0" width="11"/>
    <col collapsed="false" customWidth="true" hidden="false" outlineLevel="0" max="13" min="13" style="0" width="13"/>
    <col collapsed="false" customWidth="true" hidden="false" outlineLevel="0" max="14" min="14" style="0" width="2"/>
  </cols>
  <sheetData>
    <row r="1" customFormat="false" ht="31.5" hidden="false" customHeight="true" outlineLevel="0" collapsed="false">
      <c r="B1" s="1" t="s">
        <v>179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B2" s="2" t="s">
        <v>180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9.5" hidden="false" customHeight="true" outlineLevel="0" collapsed="false">
      <c r="B4" s="4" t="s">
        <v>63</v>
      </c>
      <c r="C4" s="4"/>
      <c r="D4" s="34" t="s">
        <v>181</v>
      </c>
      <c r="E4" s="34"/>
      <c r="F4" s="34"/>
      <c r="G4" s="34"/>
      <c r="H4" s="34"/>
      <c r="I4" s="34"/>
      <c r="J4" s="34"/>
      <c r="K4" s="34"/>
      <c r="L4" s="34"/>
      <c r="M4" s="34"/>
    </row>
    <row r="5" customFormat="false" ht="19.5" hidden="false" customHeight="true" outlineLevel="0" collapsed="false">
      <c r="B5" s="4" t="s">
        <v>182</v>
      </c>
      <c r="C5" s="4"/>
      <c r="D5" s="34" t="s">
        <v>183</v>
      </c>
      <c r="E5" s="34"/>
      <c r="F5" s="34"/>
      <c r="G5" s="34"/>
      <c r="H5" s="34"/>
      <c r="I5" s="34"/>
      <c r="J5" s="34"/>
      <c r="K5" s="34"/>
      <c r="L5" s="34"/>
      <c r="M5" s="34"/>
    </row>
    <row r="6" customFormat="false" ht="19.5" hidden="false" customHeight="true" outlineLevel="0" collapsed="false">
      <c r="B6" s="4" t="s">
        <v>38</v>
      </c>
      <c r="C6" s="4"/>
      <c r="D6" s="34" t="s">
        <v>184</v>
      </c>
      <c r="E6" s="34"/>
      <c r="F6" s="34"/>
      <c r="G6" s="34"/>
      <c r="H6" s="34"/>
      <c r="I6" s="34"/>
      <c r="J6" s="34"/>
      <c r="K6" s="34"/>
      <c r="L6" s="34"/>
      <c r="M6" s="34"/>
    </row>
    <row r="7" customFormat="false" ht="30.75" hidden="false" customHeight="true" outlineLevel="0" collapsed="false">
      <c r="B7" s="4" t="s">
        <v>185</v>
      </c>
      <c r="C7" s="4"/>
      <c r="D7" s="34" t="s">
        <v>186</v>
      </c>
      <c r="E7" s="34"/>
      <c r="F7" s="34"/>
      <c r="G7" s="34"/>
      <c r="H7" s="34"/>
      <c r="I7" s="34"/>
      <c r="J7" s="34"/>
      <c r="K7" s="34"/>
      <c r="L7" s="34"/>
      <c r="M7" s="34"/>
    </row>
    <row r="9" customFormat="false" ht="21.75" hidden="false" customHeight="true" outlineLevel="0" collapsed="false">
      <c r="B9" s="35" t="s">
        <v>187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</row>
    <row r="10" customFormat="false" ht="33" hidden="false" customHeight="true" outlineLevel="0" collapsed="false">
      <c r="B10" s="14" t="s">
        <v>188</v>
      </c>
      <c r="C10" s="14" t="s">
        <v>189</v>
      </c>
      <c r="D10" s="14" t="s">
        <v>40</v>
      </c>
      <c r="E10" s="14" t="s">
        <v>190</v>
      </c>
      <c r="F10" s="14" t="s">
        <v>72</v>
      </c>
      <c r="G10" s="14" t="s">
        <v>73</v>
      </c>
      <c r="H10" s="14" t="s">
        <v>74</v>
      </c>
      <c r="I10" s="14" t="s">
        <v>99</v>
      </c>
      <c r="J10" s="14" t="s">
        <v>191</v>
      </c>
      <c r="K10" s="14" t="s">
        <v>192</v>
      </c>
      <c r="L10" s="14" t="s">
        <v>18</v>
      </c>
      <c r="M10" s="14" t="s">
        <v>20</v>
      </c>
    </row>
    <row r="11" customFormat="false" ht="21.75" hidden="false" customHeight="true" outlineLevel="0" collapsed="false">
      <c r="B11" s="36" t="s">
        <v>193</v>
      </c>
      <c r="C11" s="37" t="n">
        <v>840</v>
      </c>
      <c r="D11" s="37" t="n">
        <v>96</v>
      </c>
      <c r="E11" s="38" t="n">
        <f aca="false">D11/C11</f>
        <v>0.114285714285714</v>
      </c>
      <c r="F11" s="39" t="n">
        <v>4.1</v>
      </c>
      <c r="G11" s="39" t="n">
        <v>4.4</v>
      </c>
      <c r="H11" s="39" t="n">
        <v>4.5</v>
      </c>
      <c r="I11" s="21" t="n">
        <f aca="false">AVERAGE(F11:H11)</f>
        <v>4.33333333333333</v>
      </c>
      <c r="J11" s="37" t="n">
        <v>52</v>
      </c>
      <c r="K11" s="37" t="n">
        <v>13</v>
      </c>
      <c r="L11" s="14" t="n">
        <f aca="false">ROUND(100*(J11-K11)/D11,0)</f>
        <v>41</v>
      </c>
      <c r="M11" s="40" t="n">
        <f aca="false">100*16/C11</f>
        <v>1.9047619047619</v>
      </c>
    </row>
    <row r="12" customFormat="false" ht="21.75" hidden="false" customHeight="true" outlineLevel="0" collapsed="false">
      <c r="B12" s="36" t="s">
        <v>194</v>
      </c>
      <c r="C12" s="37" t="n">
        <v>910</v>
      </c>
      <c r="D12" s="37" t="n">
        <v>108</v>
      </c>
      <c r="E12" s="38" t="n">
        <f aca="false">D12/C12</f>
        <v>0.118681318681319</v>
      </c>
      <c r="F12" s="39" t="n">
        <v>4.3</v>
      </c>
      <c r="G12" s="39" t="n">
        <v>4.4</v>
      </c>
      <c r="H12" s="39" t="n">
        <v>4.6</v>
      </c>
      <c r="I12" s="21" t="n">
        <f aca="false">AVERAGE(F12:H12)</f>
        <v>4.43333333333333</v>
      </c>
      <c r="J12" s="37" t="n">
        <v>63</v>
      </c>
      <c r="K12" s="37" t="n">
        <v>13</v>
      </c>
      <c r="L12" s="14" t="n">
        <f aca="false">ROUND(100*(J12-K12)/D12,0)</f>
        <v>46</v>
      </c>
      <c r="M12" s="40" t="n">
        <f aca="false">100*15/C12</f>
        <v>1.64835164835165</v>
      </c>
    </row>
    <row r="13" customFormat="false" ht="21.75" hidden="false" customHeight="true" outlineLevel="0" collapsed="false">
      <c r="B13" s="36" t="s">
        <v>195</v>
      </c>
      <c r="C13" s="37" t="n">
        <v>870</v>
      </c>
      <c r="D13" s="37" t="n">
        <v>108</v>
      </c>
      <c r="E13" s="38" t="n">
        <f aca="false">D13/C13</f>
        <v>0.124137931034483</v>
      </c>
      <c r="F13" s="39" t="n">
        <v>4.5</v>
      </c>
      <c r="G13" s="39" t="n">
        <v>4.5</v>
      </c>
      <c r="H13" s="39" t="n">
        <v>4.6</v>
      </c>
      <c r="I13" s="21" t="n">
        <f aca="false">AVERAGE(F13:H13)</f>
        <v>4.53333333333333</v>
      </c>
      <c r="J13" s="37" t="n">
        <v>71</v>
      </c>
      <c r="K13" s="37" t="n">
        <v>9</v>
      </c>
      <c r="L13" s="14" t="n">
        <f aca="false">ROUND(100*(J13-K13)/D13,0)</f>
        <v>57</v>
      </c>
      <c r="M13" s="40" t="n">
        <f aca="false">100*12/C13</f>
        <v>1.37931034482759</v>
      </c>
    </row>
    <row r="14" customFormat="false" ht="19.5" hidden="false" customHeight="true" outlineLevel="0" collapsed="false">
      <c r="B14" s="4" t="s">
        <v>142</v>
      </c>
      <c r="C14" s="41" t="s">
        <v>196</v>
      </c>
      <c r="D14" s="41" t="s">
        <v>196</v>
      </c>
      <c r="E14" s="41" t="s">
        <v>196</v>
      </c>
      <c r="F14" s="40" t="n">
        <v>4.3</v>
      </c>
      <c r="G14" s="40" t="n">
        <v>4.3</v>
      </c>
      <c r="H14" s="40" t="n">
        <v>4.3</v>
      </c>
      <c r="I14" s="40" t="n">
        <v>4.3</v>
      </c>
      <c r="J14" s="41" t="s">
        <v>196</v>
      </c>
      <c r="K14" s="41" t="s">
        <v>196</v>
      </c>
      <c r="L14" s="41" t="n">
        <v>50</v>
      </c>
      <c r="M14" s="40" t="n">
        <v>2</v>
      </c>
    </row>
    <row r="16" customFormat="false" ht="21.75" hidden="false" customHeight="true" outlineLevel="0" collapsed="false">
      <c r="B16" s="42" t="s">
        <v>197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</row>
    <row r="17" customFormat="false" ht="24" hidden="false" customHeight="true" outlineLevel="0" collapsed="false">
      <c r="B17" s="14" t="s">
        <v>106</v>
      </c>
      <c r="C17" s="14"/>
      <c r="D17" s="14"/>
      <c r="E17" s="14"/>
      <c r="F17" s="14" t="s">
        <v>198</v>
      </c>
      <c r="G17" s="14" t="s">
        <v>199</v>
      </c>
      <c r="H17" s="14" t="s">
        <v>200</v>
      </c>
    </row>
    <row r="18" customFormat="false" ht="19.5" hidden="false" customHeight="true" outlineLevel="0" collapsed="false">
      <c r="B18" s="36" t="s">
        <v>201</v>
      </c>
      <c r="C18" s="36"/>
      <c r="D18" s="36"/>
      <c r="E18" s="36"/>
      <c r="F18" s="37" t="n">
        <v>34</v>
      </c>
      <c r="G18" s="38" t="n">
        <f aca="false">F18/SUM(F$18:F$22)</f>
        <v>0.453333333333333</v>
      </c>
      <c r="H18" s="38" t="n">
        <f aca="false">SUM(F$18:F18)/SUM(F$18:F$22)</f>
        <v>0.453333333333333</v>
      </c>
    </row>
    <row r="19" customFormat="false" ht="19.5" hidden="false" customHeight="true" outlineLevel="0" collapsed="false">
      <c r="B19" s="36" t="s">
        <v>125</v>
      </c>
      <c r="C19" s="36"/>
      <c r="D19" s="36"/>
      <c r="E19" s="36"/>
      <c r="F19" s="37" t="n">
        <v>19</v>
      </c>
      <c r="G19" s="38" t="n">
        <f aca="false">F19/SUM(F$18:F$22)</f>
        <v>0.253333333333333</v>
      </c>
      <c r="H19" s="38" t="n">
        <f aca="false">SUM(F$18:F19)/SUM(F$18:F$22)</f>
        <v>0.706666666666667</v>
      </c>
    </row>
    <row r="20" customFormat="false" ht="19.5" hidden="false" customHeight="true" outlineLevel="0" collapsed="false">
      <c r="B20" s="36" t="s">
        <v>202</v>
      </c>
      <c r="C20" s="36"/>
      <c r="D20" s="36"/>
      <c r="E20" s="36"/>
      <c r="F20" s="37" t="n">
        <v>11</v>
      </c>
      <c r="G20" s="38" t="n">
        <f aca="false">F20/SUM(F$18:F$22)</f>
        <v>0.146666666666667</v>
      </c>
      <c r="H20" s="38" t="n">
        <f aca="false">SUM(F$18:F20)/SUM(F$18:F$22)</f>
        <v>0.853333333333333</v>
      </c>
    </row>
    <row r="21" customFormat="false" ht="19.5" hidden="false" customHeight="true" outlineLevel="0" collapsed="false">
      <c r="B21" s="36" t="s">
        <v>203</v>
      </c>
      <c r="C21" s="36"/>
      <c r="D21" s="36"/>
      <c r="E21" s="36"/>
      <c r="F21" s="37" t="n">
        <v>7</v>
      </c>
      <c r="G21" s="38" t="n">
        <f aca="false">F21/SUM(F$18:F$22)</f>
        <v>0.0933333333333333</v>
      </c>
      <c r="H21" s="38" t="n">
        <f aca="false">SUM(F$18:F21)/SUM(F$18:F$22)</f>
        <v>0.946666666666667</v>
      </c>
    </row>
    <row r="22" customFormat="false" ht="19.5" hidden="false" customHeight="true" outlineLevel="0" collapsed="false">
      <c r="B22" s="36" t="s">
        <v>204</v>
      </c>
      <c r="C22" s="36"/>
      <c r="D22" s="36"/>
      <c r="E22" s="36"/>
      <c r="F22" s="37" t="n">
        <v>4</v>
      </c>
      <c r="G22" s="38" t="n">
        <f aca="false">F22/SUM(F$18:F$22)</f>
        <v>0.0533333333333333</v>
      </c>
      <c r="H22" s="38" t="n">
        <f aca="false">SUM(F$18:F22)/SUM(F$18:F$22)</f>
        <v>1</v>
      </c>
    </row>
    <row r="24" customFormat="false" ht="21.75" hidden="false" customHeight="true" outlineLevel="0" collapsed="false">
      <c r="B24" s="43" t="s">
        <v>205</v>
      </c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</row>
    <row r="25" customFormat="false" ht="24" hidden="false" customHeight="true" outlineLevel="0" collapsed="false">
      <c r="B25" s="14" t="s">
        <v>87</v>
      </c>
      <c r="C25" s="14" t="s">
        <v>206</v>
      </c>
      <c r="D25" s="14" t="s">
        <v>105</v>
      </c>
      <c r="E25" s="44" t="s">
        <v>106</v>
      </c>
      <c r="F25" s="44"/>
      <c r="G25" s="14" t="s">
        <v>107</v>
      </c>
      <c r="H25" s="14"/>
      <c r="I25" s="14"/>
      <c r="J25" s="14" t="s">
        <v>207</v>
      </c>
      <c r="K25" s="14" t="s">
        <v>128</v>
      </c>
      <c r="L25" s="14" t="s">
        <v>208</v>
      </c>
      <c r="M25" s="14" t="s">
        <v>113</v>
      </c>
    </row>
    <row r="26" customFormat="false" ht="42.75" hidden="false" customHeight="true" outlineLevel="0" collapsed="false">
      <c r="B26" s="45" t="n">
        <v>46424</v>
      </c>
      <c r="C26" s="7" t="s">
        <v>209</v>
      </c>
      <c r="D26" s="7" t="s">
        <v>210</v>
      </c>
      <c r="E26" s="7" t="s">
        <v>201</v>
      </c>
      <c r="F26" s="7"/>
      <c r="G26" s="7" t="s">
        <v>211</v>
      </c>
      <c r="H26" s="7"/>
      <c r="I26" s="7"/>
      <c r="J26" s="45" t="n">
        <v>46424</v>
      </c>
      <c r="K26" s="45" t="n">
        <v>46425</v>
      </c>
      <c r="L26" s="37"/>
      <c r="M26" s="11" t="str">
        <f aca="false">IF(K26&lt;&gt;"","Resolvida",IF(J26&lt;&gt;"","Respondida","Aberta"))</f>
        <v>Resolvida</v>
      </c>
    </row>
    <row r="27" customFormat="false" ht="42.75" hidden="false" customHeight="true" outlineLevel="0" collapsed="false">
      <c r="B27" s="45" t="n">
        <v>46438</v>
      </c>
      <c r="C27" s="7" t="s">
        <v>123</v>
      </c>
      <c r="D27" s="7" t="s">
        <v>124</v>
      </c>
      <c r="E27" s="7" t="s">
        <v>125</v>
      </c>
      <c r="F27" s="7"/>
      <c r="G27" s="7" t="s">
        <v>212</v>
      </c>
      <c r="H27" s="7"/>
      <c r="I27" s="7"/>
      <c r="J27" s="45" t="n">
        <v>46438</v>
      </c>
      <c r="K27" s="45" t="n">
        <v>46440</v>
      </c>
      <c r="L27" s="37"/>
      <c r="M27" s="11" t="str">
        <f aca="false">IF(K27&lt;&gt;"","Resolvida",IF(J27&lt;&gt;"","Respondida","Aberta"))</f>
        <v>Resolvida</v>
      </c>
    </row>
    <row r="28" customFormat="false" ht="21.75" hidden="false" customHeight="true" outlineLevel="0" collapsed="false">
      <c r="B28" s="45" t="n">
        <v>46459</v>
      </c>
      <c r="C28" s="7" t="s">
        <v>213</v>
      </c>
      <c r="D28" s="7" t="s">
        <v>210</v>
      </c>
      <c r="E28" s="7" t="s">
        <v>202</v>
      </c>
      <c r="F28" s="7"/>
      <c r="G28" s="7" t="s">
        <v>214</v>
      </c>
      <c r="H28" s="7"/>
      <c r="I28" s="7"/>
      <c r="J28" s="45" t="n">
        <v>46459</v>
      </c>
      <c r="K28" s="45" t="n">
        <v>46459</v>
      </c>
      <c r="L28" s="37"/>
      <c r="M28" s="11" t="str">
        <f aca="false">IF(K28&lt;&gt;"","Resolvida",IF(J28&lt;&gt;"","Respondida","Aberta"))</f>
        <v>Resolvida</v>
      </c>
    </row>
    <row r="29" customFormat="false" ht="30.75" hidden="false" customHeight="true" outlineLevel="0" collapsed="false">
      <c r="B29" s="45" t="n">
        <v>46480</v>
      </c>
      <c r="C29" s="7" t="s">
        <v>215</v>
      </c>
      <c r="D29" s="7" t="s">
        <v>216</v>
      </c>
      <c r="E29" s="7" t="s">
        <v>125</v>
      </c>
      <c r="F29" s="7"/>
      <c r="G29" s="7" t="s">
        <v>217</v>
      </c>
      <c r="H29" s="7"/>
      <c r="I29" s="7"/>
      <c r="J29" s="45" t="n">
        <v>46480</v>
      </c>
      <c r="K29" s="45" t="n">
        <v>46487</v>
      </c>
      <c r="L29" s="37" t="s">
        <v>218</v>
      </c>
      <c r="M29" s="11" t="str">
        <f aca="false">IF(K29&lt;&gt;"","Resolvida",IF(J29&lt;&gt;"","Respondida","Aberta"))</f>
        <v>Resolvida</v>
      </c>
    </row>
    <row r="30" customFormat="false" ht="30.75" hidden="false" customHeight="true" outlineLevel="0" collapsed="false">
      <c r="B30" s="45" t="n">
        <v>46501</v>
      </c>
      <c r="C30" s="7" t="s">
        <v>219</v>
      </c>
      <c r="D30" s="7" t="s">
        <v>210</v>
      </c>
      <c r="E30" s="7" t="s">
        <v>203</v>
      </c>
      <c r="F30" s="7"/>
      <c r="G30" s="7" t="s">
        <v>220</v>
      </c>
      <c r="H30" s="7"/>
      <c r="I30" s="7"/>
      <c r="J30" s="45" t="n">
        <v>46504</v>
      </c>
      <c r="K30" s="45"/>
      <c r="L30" s="37"/>
      <c r="M30" s="11" t="str">
        <f aca="false">IF(K30&lt;&gt;"","Resolvida",IF(J30&lt;&gt;"","Respondida","Aberta"))</f>
        <v>Respondida</v>
      </c>
    </row>
    <row r="32" customFormat="false" ht="21.75" hidden="false" customHeight="true" outlineLevel="0" collapsed="false">
      <c r="B32" s="12" t="s">
        <v>82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customFormat="false" ht="21.75" hidden="false" customHeight="true" outlineLevel="0" collapsed="false">
      <c r="B33" s="13" t="s">
        <v>221</v>
      </c>
      <c r="C33" s="13"/>
      <c r="D33" s="13"/>
      <c r="E33" s="13"/>
      <c r="F33" s="13"/>
      <c r="G33" s="14" t="n">
        <f aca="false">SUM(D11:D13)</f>
        <v>312</v>
      </c>
      <c r="H33" s="14"/>
      <c r="I33" s="14"/>
    </row>
    <row r="34" customFormat="false" ht="21.75" hidden="false" customHeight="true" outlineLevel="0" collapsed="false">
      <c r="B34" s="13" t="s">
        <v>222</v>
      </c>
      <c r="C34" s="13"/>
      <c r="D34" s="13"/>
      <c r="E34" s="13"/>
      <c r="F34" s="13"/>
      <c r="G34" s="21" t="n">
        <f aca="false">AVERAGE(I11:I13)</f>
        <v>4.43333333333333</v>
      </c>
      <c r="H34" s="21"/>
      <c r="I34" s="21"/>
    </row>
    <row r="35" customFormat="false" ht="21.75" hidden="false" customHeight="true" outlineLevel="0" collapsed="false">
      <c r="B35" s="13" t="s">
        <v>223</v>
      </c>
      <c r="C35" s="13"/>
      <c r="D35" s="13"/>
      <c r="E35" s="13"/>
      <c r="F35" s="13"/>
      <c r="G35" s="14" t="str">
        <f aca="false">L11&amp;" → "&amp;L13</f>
        <v>41 → 57</v>
      </c>
      <c r="H35" s="14"/>
      <c r="I35" s="14"/>
    </row>
    <row r="36" customFormat="false" ht="21.75" hidden="false" customHeight="true" outlineLevel="0" collapsed="false">
      <c r="B36" s="13" t="s">
        <v>224</v>
      </c>
      <c r="C36" s="13"/>
      <c r="D36" s="13"/>
      <c r="E36" s="13"/>
      <c r="F36" s="13"/>
      <c r="G36" s="14" t="str">
        <f aca="false">TEXT(M11,"0,0")&amp;" → "&amp;TEXT(M13,"0,0")</f>
        <v>1,9 → 1,4</v>
      </c>
      <c r="H36" s="14"/>
      <c r="I36" s="14"/>
    </row>
    <row r="37" customFormat="false" ht="21.75" hidden="false" customHeight="true" outlineLevel="0" collapsed="false">
      <c r="B37" s="13" t="s">
        <v>155</v>
      </c>
      <c r="C37" s="13"/>
      <c r="D37" s="13"/>
      <c r="E37" s="13"/>
      <c r="F37" s="13"/>
      <c r="G37" s="14" t="str">
        <f aca="false">INDEX(B17:B21,MATCH(MAX(F17:F21),F17:F21,0))</f>
        <v>Entrega atrasada</v>
      </c>
      <c r="H37" s="14"/>
      <c r="I37" s="14"/>
    </row>
  </sheetData>
  <mergeCells count="42">
    <mergeCell ref="B1:M1"/>
    <mergeCell ref="B2:M2"/>
    <mergeCell ref="B4:C4"/>
    <mergeCell ref="D4:M4"/>
    <mergeCell ref="B5:C5"/>
    <mergeCell ref="D5:M5"/>
    <mergeCell ref="B6:C6"/>
    <mergeCell ref="D6:M6"/>
    <mergeCell ref="B7:C7"/>
    <mergeCell ref="D7:M7"/>
    <mergeCell ref="B9:M9"/>
    <mergeCell ref="B16:M16"/>
    <mergeCell ref="B17:E17"/>
    <mergeCell ref="B18:E18"/>
    <mergeCell ref="B19:E19"/>
    <mergeCell ref="B20:E20"/>
    <mergeCell ref="B21:E21"/>
    <mergeCell ref="B22:E22"/>
    <mergeCell ref="B24:M24"/>
    <mergeCell ref="E25:F25"/>
    <mergeCell ref="G25:I25"/>
    <mergeCell ref="E26:F26"/>
    <mergeCell ref="G26:I26"/>
    <mergeCell ref="E27:F27"/>
    <mergeCell ref="G27:I27"/>
    <mergeCell ref="E28:F28"/>
    <mergeCell ref="G28:I28"/>
    <mergeCell ref="E29:F29"/>
    <mergeCell ref="G29:I29"/>
    <mergeCell ref="E30:F30"/>
    <mergeCell ref="G30:I30"/>
    <mergeCell ref="B32:M32"/>
    <mergeCell ref="B33:F33"/>
    <mergeCell ref="G33:I33"/>
    <mergeCell ref="B34:F34"/>
    <mergeCell ref="G34:I34"/>
    <mergeCell ref="B35:F35"/>
    <mergeCell ref="G35:I35"/>
    <mergeCell ref="B36:F36"/>
    <mergeCell ref="G36:I36"/>
    <mergeCell ref="B37:F37"/>
    <mergeCell ref="G37:I37"/>
  </mergeCells>
  <conditionalFormatting sqref="F11:F13">
    <cfRule type="expression" priority="2" aboveAverage="0" equalAverage="0" bottom="0" percent="0" rank="0" text="" dxfId="4">
      <formula>F11&lt;F$14</formula>
    </cfRule>
  </conditionalFormatting>
  <conditionalFormatting sqref="G11:G13">
    <cfRule type="expression" priority="3" aboveAverage="0" equalAverage="0" bottom="0" percent="0" rank="0" text="" dxfId="4">
      <formula>G11&lt;G$14</formula>
    </cfRule>
  </conditionalFormatting>
  <conditionalFormatting sqref="H11:H13">
    <cfRule type="expression" priority="4" aboveAverage="0" equalAverage="0" bottom="0" percent="0" rank="0" text="" dxfId="4">
      <formula>H11&lt;H$14</formula>
    </cfRule>
  </conditionalFormatting>
  <conditionalFormatting sqref="I11:I13">
    <cfRule type="expression" priority="5" aboveAverage="0" equalAverage="0" bottom="0" percent="0" rank="0" text="" dxfId="4">
      <formula>I11&lt;I$14</formula>
    </cfRule>
  </conditionalFormatting>
  <conditionalFormatting sqref="M26:M30">
    <cfRule type="expression" priority="6" aboveAverage="0" equalAverage="0" bottom="0" percent="0" rank="0" text="" dxfId="0">
      <formula>M26="Resolvida"</formula>
    </cfRule>
    <cfRule type="expression" priority="7" aboveAverage="0" equalAverage="0" bottom="0" percent="0" rank="0" text="" dxfId="2">
      <formula>M26="Respondida"</formula>
    </cfRule>
    <cfRule type="expression" priority="8" aboveAverage="0" equalAverage="0" bottom="0" percent="0" rank="0" text="" dxfId="5">
      <formula>M26="Aberta"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3" man="true" max="16383" min="0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9" min="5" style="0" width="10"/>
    <col collapsed="false" customWidth="true" hidden="false" outlineLevel="0" max="10" min="10" style="0" width="9"/>
    <col collapsed="false" customWidth="true" hidden="false" outlineLevel="0" max="13" min="11" style="0" width="11"/>
    <col collapsed="false" customWidth="true" hidden="false" outlineLevel="0" max="14" min="14" style="0" width="2"/>
  </cols>
  <sheetData>
    <row r="1" customFormat="false" ht="31.5" hidden="false" customHeight="true" outlineLevel="0" collapsed="false">
      <c r="B1" s="1" t="s">
        <v>179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B2" s="2" t="s">
        <v>180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9.5" hidden="false" customHeight="true" outlineLevel="0" collapsed="false">
      <c r="B4" s="4" t="s">
        <v>63</v>
      </c>
      <c r="C4" s="4"/>
      <c r="D4" s="34" t="s">
        <v>225</v>
      </c>
      <c r="E4" s="34"/>
      <c r="F4" s="34"/>
      <c r="G4" s="34"/>
      <c r="H4" s="34"/>
      <c r="I4" s="34"/>
      <c r="J4" s="34"/>
      <c r="K4" s="34"/>
      <c r="L4" s="34"/>
      <c r="M4" s="34"/>
    </row>
    <row r="5" customFormat="false" ht="19.5" hidden="false" customHeight="true" outlineLevel="0" collapsed="false">
      <c r="B5" s="4" t="s">
        <v>182</v>
      </c>
      <c r="C5" s="4"/>
      <c r="D5" s="34" t="s">
        <v>226</v>
      </c>
      <c r="E5" s="34"/>
      <c r="F5" s="34"/>
      <c r="G5" s="34"/>
      <c r="H5" s="34"/>
      <c r="I5" s="34"/>
      <c r="J5" s="34"/>
      <c r="K5" s="34"/>
      <c r="L5" s="34"/>
      <c r="M5" s="34"/>
    </row>
    <row r="6" customFormat="false" ht="30.75" hidden="false" customHeight="true" outlineLevel="0" collapsed="false">
      <c r="B6" s="4" t="s">
        <v>38</v>
      </c>
      <c r="C6" s="4"/>
      <c r="D6" s="34" t="s">
        <v>227</v>
      </c>
      <c r="E6" s="34"/>
      <c r="F6" s="34"/>
      <c r="G6" s="34"/>
      <c r="H6" s="34"/>
      <c r="I6" s="34"/>
      <c r="J6" s="34"/>
      <c r="K6" s="34"/>
      <c r="L6" s="34"/>
      <c r="M6" s="34"/>
    </row>
    <row r="7" customFormat="false" ht="19.5" hidden="false" customHeight="true" outlineLevel="0" collapsed="false">
      <c r="B7" s="4" t="s">
        <v>185</v>
      </c>
      <c r="C7" s="4"/>
      <c r="D7" s="34" t="s">
        <v>228</v>
      </c>
      <c r="E7" s="34"/>
      <c r="F7" s="34"/>
      <c r="G7" s="34"/>
      <c r="H7" s="34"/>
      <c r="I7" s="34"/>
      <c r="J7" s="34"/>
      <c r="K7" s="34"/>
      <c r="L7" s="34"/>
      <c r="M7" s="34"/>
    </row>
    <row r="9" customFormat="false" ht="21.75" hidden="false" customHeight="true" outlineLevel="0" collapsed="false">
      <c r="B9" s="35" t="s">
        <v>229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</row>
    <row r="10" customFormat="false" ht="24" hidden="false" customHeight="true" outlineLevel="0" collapsed="false">
      <c r="B10" s="14" t="s">
        <v>230</v>
      </c>
      <c r="C10" s="14" t="s">
        <v>231</v>
      </c>
      <c r="D10" s="14" t="s">
        <v>40</v>
      </c>
      <c r="E10" s="14" t="s">
        <v>232</v>
      </c>
      <c r="F10" s="14" t="s">
        <v>233</v>
      </c>
      <c r="G10" s="14" t="s">
        <v>234</v>
      </c>
      <c r="H10" s="14" t="s">
        <v>235</v>
      </c>
      <c r="I10" s="14" t="s">
        <v>236</v>
      </c>
      <c r="J10" s="14" t="s">
        <v>99</v>
      </c>
      <c r="K10" s="14" t="s">
        <v>191</v>
      </c>
      <c r="L10" s="14" t="s">
        <v>192</v>
      </c>
      <c r="M10" s="14" t="s">
        <v>18</v>
      </c>
    </row>
    <row r="11" customFormat="false" ht="36" hidden="false" customHeight="true" outlineLevel="0" collapsed="false">
      <c r="B11" s="6"/>
      <c r="C11" s="6"/>
      <c r="D11" s="6"/>
      <c r="E11" s="16" t="s">
        <v>237</v>
      </c>
      <c r="F11" s="16" t="s">
        <v>238</v>
      </c>
      <c r="G11" s="16" t="s">
        <v>239</v>
      </c>
      <c r="H11" s="16" t="s">
        <v>240</v>
      </c>
      <c r="I11" s="16" t="s">
        <v>241</v>
      </c>
      <c r="J11" s="6"/>
      <c r="K11" s="6"/>
      <c r="L11" s="6"/>
      <c r="M11" s="6"/>
    </row>
    <row r="12" customFormat="false" ht="21.75" hidden="false" customHeight="true" outlineLevel="0" collapsed="false">
      <c r="B12" s="36" t="s">
        <v>242</v>
      </c>
      <c r="C12" s="37" t="n">
        <v>24</v>
      </c>
      <c r="D12" s="37" t="n">
        <v>19</v>
      </c>
      <c r="E12" s="39" t="n">
        <v>8.5</v>
      </c>
      <c r="F12" s="39" t="n">
        <v>7.8</v>
      </c>
      <c r="G12" s="39" t="n">
        <v>8.9</v>
      </c>
      <c r="H12" s="39" t="n">
        <v>7.9</v>
      </c>
      <c r="I12" s="39" t="n">
        <v>8.3</v>
      </c>
      <c r="J12" s="21" t="n">
        <f aca="false">AVERAGE(E12:I12)</f>
        <v>8.28</v>
      </c>
      <c r="K12" s="37" t="n">
        <v>9</v>
      </c>
      <c r="L12" s="37" t="n">
        <v>2</v>
      </c>
      <c r="M12" s="14" t="n">
        <f aca="false">ROUND(100*(K12-L12)/D12,0)</f>
        <v>37</v>
      </c>
    </row>
    <row r="13" customFormat="false" ht="21.75" hidden="false" customHeight="true" outlineLevel="0" collapsed="false">
      <c r="B13" s="36" t="s">
        <v>243</v>
      </c>
      <c r="C13" s="37" t="n">
        <v>18</v>
      </c>
      <c r="D13" s="37" t="n">
        <v>12</v>
      </c>
      <c r="E13" s="39" t="n">
        <v>8.9</v>
      </c>
      <c r="F13" s="39" t="n">
        <v>8.4</v>
      </c>
      <c r="G13" s="39" t="n">
        <v>9</v>
      </c>
      <c r="H13" s="39" t="n">
        <v>8.2</v>
      </c>
      <c r="I13" s="39" t="n">
        <v>8.1</v>
      </c>
      <c r="J13" s="21" t="n">
        <f aca="false">AVERAGE(E13:I13)</f>
        <v>8.52</v>
      </c>
      <c r="K13" s="37" t="n">
        <v>7</v>
      </c>
      <c r="L13" s="37" t="n">
        <v>1</v>
      </c>
      <c r="M13" s="14" t="n">
        <f aca="false">ROUND(100*(K13-L13)/D13,0)</f>
        <v>50</v>
      </c>
    </row>
    <row r="14" customFormat="false" ht="21.75" hidden="false" customHeight="true" outlineLevel="0" collapsed="false">
      <c r="B14" s="36" t="s">
        <v>244</v>
      </c>
      <c r="C14" s="37" t="n">
        <v>16</v>
      </c>
      <c r="D14" s="37" t="n">
        <v>10</v>
      </c>
      <c r="E14" s="39" t="n">
        <v>8.8</v>
      </c>
      <c r="F14" s="39" t="n">
        <v>8.3</v>
      </c>
      <c r="G14" s="39" t="n">
        <v>8.8</v>
      </c>
      <c r="H14" s="39" t="n">
        <v>8</v>
      </c>
      <c r="I14" s="39" t="n">
        <v>8.2</v>
      </c>
      <c r="J14" s="21" t="n">
        <f aca="false">AVERAGE(E14:I14)</f>
        <v>8.42</v>
      </c>
      <c r="K14" s="37" t="n">
        <v>4</v>
      </c>
      <c r="L14" s="37" t="n">
        <v>1</v>
      </c>
      <c r="M14" s="14" t="n">
        <f aca="false">ROUND(100*(K14-L14)/D14,0)</f>
        <v>30</v>
      </c>
    </row>
    <row r="15" customFormat="false" ht="21.75" hidden="false" customHeight="true" outlineLevel="0" collapsed="false">
      <c r="B15" s="4" t="s">
        <v>245</v>
      </c>
      <c r="C15" s="14" t="n">
        <f aca="false">SUM(C12:C14)</f>
        <v>58</v>
      </c>
      <c r="D15" s="14" t="n">
        <f aca="false">SUM(D12:D14)</f>
        <v>41</v>
      </c>
      <c r="E15" s="19" t="n">
        <f aca="false">SUMPRODUCT(E12:E14,$D12:$D14)/$D15</f>
        <v>8.69024390243903</v>
      </c>
      <c r="F15" s="19" t="n">
        <f aca="false">SUMPRODUCT(F12:F14,$D12:$D14)/$D15</f>
        <v>8.09756097560976</v>
      </c>
      <c r="G15" s="19" t="n">
        <f aca="false">SUMPRODUCT(G12:G14,$D12:$D14)/$D15</f>
        <v>8.90487804878049</v>
      </c>
      <c r="H15" s="19" t="n">
        <f aca="false">SUMPRODUCT(H12:H14,$D12:$D14)/$D15</f>
        <v>8.01219512195122</v>
      </c>
      <c r="I15" s="19" t="n">
        <f aca="false">SUMPRODUCT(I12:I14,$D12:$D14)/$D15</f>
        <v>8.21707317073171</v>
      </c>
      <c r="J15" s="21" t="n">
        <f aca="false">AVERAGE(E15:I15)</f>
        <v>8.38439024390244</v>
      </c>
      <c r="K15" s="14" t="n">
        <f aca="false">SUM(K12:K14)</f>
        <v>20</v>
      </c>
      <c r="L15" s="14" t="n">
        <f aca="false">SUM(L12:L14)</f>
        <v>4</v>
      </c>
      <c r="M15" s="14" t="n">
        <f aca="false">ROUND(100*(K15-L15)/D15,0)</f>
        <v>39</v>
      </c>
    </row>
    <row r="16" customFormat="false" ht="19.5" hidden="false" customHeight="true" outlineLevel="0" collapsed="false">
      <c r="B16" s="4" t="s">
        <v>142</v>
      </c>
      <c r="C16" s="41" t="s">
        <v>196</v>
      </c>
      <c r="D16" s="41" t="s">
        <v>196</v>
      </c>
      <c r="E16" s="40" t="n">
        <v>8</v>
      </c>
      <c r="F16" s="40" t="n">
        <v>8</v>
      </c>
      <c r="G16" s="40" t="n">
        <v>8</v>
      </c>
      <c r="H16" s="40" t="n">
        <v>8</v>
      </c>
      <c r="I16" s="40" t="n">
        <v>8</v>
      </c>
      <c r="J16" s="40" t="n">
        <v>8</v>
      </c>
      <c r="K16" s="41" t="s">
        <v>196</v>
      </c>
      <c r="L16" s="41" t="s">
        <v>196</v>
      </c>
      <c r="M16" s="41" t="n">
        <v>40</v>
      </c>
    </row>
    <row r="18" customFormat="false" ht="21.75" hidden="false" customHeight="true" outlineLevel="0" collapsed="false">
      <c r="B18" s="42" t="s">
        <v>246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</row>
    <row r="19" customFormat="false" ht="24" hidden="false" customHeight="true" outlineLevel="0" collapsed="false">
      <c r="B19" s="14" t="s">
        <v>106</v>
      </c>
      <c r="C19" s="14"/>
      <c r="D19" s="14"/>
      <c r="E19" s="14"/>
      <c r="F19" s="14" t="s">
        <v>42</v>
      </c>
      <c r="G19" s="14" t="s">
        <v>199</v>
      </c>
      <c r="H19" s="14" t="s">
        <v>200</v>
      </c>
    </row>
    <row r="20" customFormat="false" ht="19.5" hidden="false" customHeight="true" outlineLevel="0" collapsed="false">
      <c r="B20" s="36" t="s">
        <v>247</v>
      </c>
      <c r="C20" s="36"/>
      <c r="D20" s="36"/>
      <c r="E20" s="36"/>
      <c r="F20" s="37" t="n">
        <v>8</v>
      </c>
      <c r="G20" s="38" t="n">
        <f aca="false">F20/SUM(F$20:F$23)</f>
        <v>0.444444444444444</v>
      </c>
      <c r="H20" s="38" t="n">
        <f aca="false">SUM(F$20:F20)/SUM(F$20:F$23)</f>
        <v>0.444444444444444</v>
      </c>
    </row>
    <row r="21" customFormat="false" ht="19.5" hidden="false" customHeight="true" outlineLevel="0" collapsed="false">
      <c r="B21" s="36" t="s">
        <v>248</v>
      </c>
      <c r="C21" s="36"/>
      <c r="D21" s="36"/>
      <c r="E21" s="36"/>
      <c r="F21" s="37" t="n">
        <v>4</v>
      </c>
      <c r="G21" s="38" t="n">
        <f aca="false">F21/SUM(F$20:F$23)</f>
        <v>0.222222222222222</v>
      </c>
      <c r="H21" s="38" t="n">
        <f aca="false">SUM(F$20:F21)/SUM(F$20:F$23)</f>
        <v>0.666666666666667</v>
      </c>
    </row>
    <row r="22" customFormat="false" ht="19.5" hidden="false" customHeight="true" outlineLevel="0" collapsed="false">
      <c r="B22" s="36" t="s">
        <v>249</v>
      </c>
      <c r="C22" s="36"/>
      <c r="D22" s="36"/>
      <c r="E22" s="36"/>
      <c r="F22" s="37" t="n">
        <v>4</v>
      </c>
      <c r="G22" s="38" t="n">
        <f aca="false">F22/SUM(F$20:F$23)</f>
        <v>0.222222222222222</v>
      </c>
      <c r="H22" s="38" t="n">
        <f aca="false">SUM(F$20:F22)/SUM(F$20:F$23)</f>
        <v>0.888888888888889</v>
      </c>
    </row>
    <row r="23" customFormat="false" ht="19.5" hidden="false" customHeight="true" outlineLevel="0" collapsed="false">
      <c r="B23" s="36" t="s">
        <v>250</v>
      </c>
      <c r="C23" s="36"/>
      <c r="D23" s="36"/>
      <c r="E23" s="36"/>
      <c r="F23" s="37" t="n">
        <v>2</v>
      </c>
      <c r="G23" s="38" t="n">
        <f aca="false">F23/SUM(F$20:F$23)</f>
        <v>0.111111111111111</v>
      </c>
      <c r="H23" s="38" t="n">
        <f aca="false">SUM(F$20:F23)/SUM(F$20:F$23)</f>
        <v>1</v>
      </c>
    </row>
    <row r="25" customFormat="false" ht="21.75" hidden="false" customHeight="true" outlineLevel="0" collapsed="false">
      <c r="B25" s="12" t="s">
        <v>82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customFormat="false" ht="21.75" hidden="false" customHeight="true" outlineLevel="0" collapsed="false">
      <c r="B26" s="13" t="s">
        <v>144</v>
      </c>
      <c r="C26" s="13"/>
      <c r="D26" s="13"/>
      <c r="E26" s="13"/>
      <c r="F26" s="13"/>
      <c r="G26" s="20" t="n">
        <f aca="false">D15/C15</f>
        <v>0.706896551724138</v>
      </c>
      <c r="H26" s="20"/>
      <c r="I26" s="20"/>
    </row>
    <row r="27" customFormat="false" ht="21.75" hidden="false" customHeight="true" outlineLevel="0" collapsed="false">
      <c r="B27" s="13" t="s">
        <v>102</v>
      </c>
      <c r="C27" s="13"/>
      <c r="D27" s="13"/>
      <c r="E27" s="13"/>
      <c r="F27" s="13"/>
      <c r="G27" s="21" t="n">
        <f aca="false">J15</f>
        <v>8.38439024390244</v>
      </c>
      <c r="H27" s="21"/>
      <c r="I27" s="21"/>
    </row>
    <row r="28" customFormat="false" ht="21.75" hidden="false" customHeight="true" outlineLevel="0" collapsed="false">
      <c r="B28" s="13" t="s">
        <v>251</v>
      </c>
      <c r="C28" s="13"/>
      <c r="D28" s="13"/>
      <c r="E28" s="13"/>
      <c r="F28" s="13"/>
      <c r="G28" s="14" t="str">
        <f aca="false">INDEX(E11:I11,MATCH(MIN(E15:I15),E15:I15,0))</f>
        <v>Assistência técnica</v>
      </c>
      <c r="H28" s="14"/>
      <c r="I28" s="14"/>
    </row>
    <row r="29" customFormat="false" ht="21.75" hidden="false" customHeight="true" outlineLevel="0" collapsed="false">
      <c r="B29" s="13" t="s">
        <v>252</v>
      </c>
      <c r="C29" s="13"/>
      <c r="D29" s="13"/>
      <c r="E29" s="13"/>
      <c r="F29" s="13"/>
      <c r="G29" s="14" t="str">
        <f aca="false">INDEX(B12:B14,MATCH(MIN(J12:J14),J12:J14,0))</f>
        <v>Alimentos</v>
      </c>
      <c r="H29" s="14"/>
      <c r="I29" s="14"/>
    </row>
    <row r="30" customFormat="false" ht="21.75" hidden="false" customHeight="true" outlineLevel="0" collapsed="false">
      <c r="B30" s="13" t="s">
        <v>253</v>
      </c>
      <c r="C30" s="13"/>
      <c r="D30" s="13"/>
      <c r="E30" s="13"/>
      <c r="F30" s="13"/>
      <c r="G30" s="14" t="n">
        <f aca="false">M15</f>
        <v>39</v>
      </c>
      <c r="H30" s="14"/>
      <c r="I30" s="14"/>
    </row>
  </sheetData>
  <mergeCells count="29">
    <mergeCell ref="B1:M1"/>
    <mergeCell ref="B2:M2"/>
    <mergeCell ref="B4:C4"/>
    <mergeCell ref="D4:M4"/>
    <mergeCell ref="B5:C5"/>
    <mergeCell ref="D5:M5"/>
    <mergeCell ref="B6:C6"/>
    <mergeCell ref="D6:M6"/>
    <mergeCell ref="B7:C7"/>
    <mergeCell ref="D7:M7"/>
    <mergeCell ref="B9:M9"/>
    <mergeCell ref="C11:D11"/>
    <mergeCell ref="B18:M18"/>
    <mergeCell ref="B19:E19"/>
    <mergeCell ref="B20:E20"/>
    <mergeCell ref="B21:E21"/>
    <mergeCell ref="B22:E22"/>
    <mergeCell ref="B23:E23"/>
    <mergeCell ref="B25:M25"/>
    <mergeCell ref="B26:F26"/>
    <mergeCell ref="G26:I26"/>
    <mergeCell ref="B27:F27"/>
    <mergeCell ref="G27:I27"/>
    <mergeCell ref="B28:F28"/>
    <mergeCell ref="G28:I28"/>
    <mergeCell ref="B29:F29"/>
    <mergeCell ref="G29:I29"/>
    <mergeCell ref="B30:F30"/>
    <mergeCell ref="G30:I30"/>
  </mergeCells>
  <conditionalFormatting sqref="E12:E15">
    <cfRule type="expression" priority="2" aboveAverage="0" equalAverage="0" bottom="0" percent="0" rank="0" text="" dxfId="4">
      <formula>E12&lt;E$16</formula>
    </cfRule>
  </conditionalFormatting>
  <conditionalFormatting sqref="F12:F15">
    <cfRule type="expression" priority="3" aboveAverage="0" equalAverage="0" bottom="0" percent="0" rank="0" text="" dxfId="4">
      <formula>F12&lt;F$16</formula>
    </cfRule>
  </conditionalFormatting>
  <conditionalFormatting sqref="G12:G15">
    <cfRule type="expression" priority="4" aboveAverage="0" equalAverage="0" bottom="0" percent="0" rank="0" text="" dxfId="4">
      <formula>G12&lt;G$16</formula>
    </cfRule>
  </conditionalFormatting>
  <conditionalFormatting sqref="H12:H15">
    <cfRule type="expression" priority="5" aboveAverage="0" equalAverage="0" bottom="0" percent="0" rank="0" text="" dxfId="4">
      <formula>H12&lt;H$16</formula>
    </cfRule>
  </conditionalFormatting>
  <conditionalFormatting sqref="I12:I15">
    <cfRule type="expression" priority="6" aboveAverage="0" equalAverage="0" bottom="0" percent="0" rank="0" text="" dxfId="4">
      <formula>I12&lt;I$16</formula>
    </cfRule>
  </conditionalFormatting>
  <conditionalFormatting sqref="J12:J15">
    <cfRule type="expression" priority="7" aboveAverage="0" equalAverage="0" bottom="0" percent="0" rank="0" text="" dxfId="4">
      <formula>J12&lt;J$16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2026-09-30T12:17:36Z</dcterms:created>
  <dc:creator>Modelo Satisfação</dc:creator>
  <dc:description/>
  <dc:language>pt-BR</dc:language>
  <cp:lastModifiedBy/>
  <dcterms:modified xsi:type="dcterms:W3CDTF">2026-09-30T12:17:36Z</dcterms:modified>
  <cp:revision>0</cp:revision>
  <dc:subject/>
  <dc:title>Satisfação do cliente — Modelo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