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Reunião" sheetId="2" state="visible" r:id="rId4"/>
    <sheet name="Ações anteriores" sheetId="3" state="visible" r:id="rId5"/>
    <sheet name="Entradas" sheetId="4" state="visible" r:id="rId6"/>
    <sheet name="Saídas" sheetId="5" state="visible" r:id="rId7"/>
    <sheet name="Checklist" sheetId="6" state="visible" r:id="rId8"/>
    <sheet name="Exemplo 1 - Pizzaria" sheetId="7" state="visible" r:id="rId9"/>
    <sheet name="Exemplo 2 - Indústria" sheetId="8" state="visible" r:id="rId10"/>
  </sheets>
  <definedNames>
    <definedName function="false" hidden="false" localSheetId="2" name="_xlnm.Print_Area" vbProcedure="false">'Ações anteriores'!$B$1:$K$44</definedName>
    <definedName function="false" hidden="false" localSheetId="5" name="_xlnm.Print_Area" vbProcedure="false">Checklist!$B$1:$E$24</definedName>
    <definedName function="false" hidden="false" localSheetId="3" name="_xlnm.Print_Area" vbProcedure="false">Entradas!$B$1:$L$26</definedName>
    <definedName function="false" hidden="false" localSheetId="6" name="_xlnm.Print_Area" vbProcedure="false">'Exemplo 1 - Pizzaria'!$B$1:$J$50</definedName>
    <definedName function="false" hidden="false" localSheetId="7" name="_xlnm.Print_Area" vbProcedure="false">'Exemplo 2 - Indústria'!$B$1:$J$76</definedName>
    <definedName function="false" hidden="false" localSheetId="0" name="_xlnm.Print_Area" vbProcedure="false">Instruções!$B$1:$C$42</definedName>
    <definedName function="false" hidden="false" localSheetId="1" name="_xlnm.Print_Area" vbProcedure="false">Reunião!$B$1:$G$41</definedName>
    <definedName function="false" hidden="false" localSheetId="4" name="_xlnm.Print_Area" vbProcedure="false">Saídas!$B$1:$K$29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B8" authorId="0">
      <text>
        <r>
          <rPr>
            <sz val="10"/>
            <rFont val="Arial"/>
            <family val="2"/>
          </rPr>
          <t xml:space="preserve">A análise crítica é conduzida pela alta direção: dono, sócio, diretor ou quem dirige a parte da empresa coberta pelo sistema.</t>
        </r>
      </text>
    </comment>
    <comment ref="B10" authorId="0">
      <text>
        <r>
          <rPr>
            <sz val="10"/>
            <rFont val="Arial"/>
            <family val="2"/>
          </rPr>
          <t xml:space="preserve">Deixe em branco na primeira análise crítica.</t>
        </r>
      </text>
    </comment>
    <comment ref="B29" authorId="0">
      <text>
        <r>
          <rPr>
            <sz val="10"/>
            <rFont val="Arial"/>
            <family val="2"/>
          </rPr>
          <t xml:space="preserve">Os processos, os documentos e os objetivos correspondem ao que a organização faz.</t>
        </r>
      </text>
    </comment>
    <comment ref="B30" authorId="0">
      <text>
        <r>
          <rPr>
            <sz val="10"/>
            <rFont val="Arial"/>
            <family val="2"/>
          </rPr>
          <t xml:space="preserve">Não há processo, requisito ou risco importante fora do sistema.</t>
        </r>
      </text>
    </comment>
    <comment ref="B31" authorId="0">
      <text>
        <r>
          <rPr>
            <sz val="10"/>
            <rFont val="Arial"/>
            <family val="2"/>
          </rPr>
          <t xml:space="preserve">Os objetivos são alcançados, e os problemas não voltam.</t>
        </r>
      </text>
    </comment>
    <comment ref="B32" authorId="0">
      <text>
        <r>
          <rPr>
            <sz val="10"/>
            <rFont val="Arial"/>
            <family val="2"/>
          </rPr>
          <t xml:space="preserve">Os objetivos da qualidade apoiam a estratégia do negócio.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I6" authorId="0">
      <text>
        <r>
          <rPr>
            <sz val="10"/>
            <rFont val="Arial"/>
            <family val="2"/>
          </rPr>
          <t xml:space="preserve">Concluir não é o mesmo que resolver. Diga se a ação trouxe o resultado esperado.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6" authorId="0">
      <text>
        <r>
          <rPr>
            <sz val="10"/>
            <rFont val="Arial"/>
            <family val="2"/>
          </rPr>
          <t xml:space="preserve">Onde buscar: ata da análise anterior e plano de ação.</t>
        </r>
      </text>
    </comment>
    <comment ref="C7" authorId="0">
      <text>
        <r>
          <rPr>
            <sz val="10"/>
            <rFont val="Arial"/>
            <family val="2"/>
          </rPr>
          <t xml:space="preserve">Onde buscar: matriz SWOT atualizada.</t>
        </r>
      </text>
    </comment>
    <comment ref="C8" authorId="0">
      <text>
        <r>
          <rPr>
            <sz val="10"/>
            <rFont val="Arial"/>
            <family val="2"/>
          </rPr>
          <t xml:space="preserve">Onde buscar: pesquisa, reclamações e elogios.</t>
        </r>
      </text>
    </comment>
    <comment ref="C9" authorId="0">
      <text>
        <r>
          <rPr>
            <sz val="10"/>
            <rFont val="Arial"/>
            <family val="2"/>
          </rPr>
          <t xml:space="preserve">Onde buscar: quadro de objetivos, com meta e resultado.</t>
        </r>
      </text>
    </comment>
    <comment ref="C10" authorId="0">
      <text>
        <r>
          <rPr>
            <sz val="10"/>
            <rFont val="Arial"/>
            <family val="2"/>
          </rPr>
          <t xml:space="preserve">Onde buscar: indicadores dos processos e de produto.</t>
        </r>
      </text>
    </comment>
    <comment ref="C11" authorId="0">
      <text>
        <r>
          <rPr>
            <sz val="10"/>
            <rFont val="Arial"/>
            <family val="2"/>
          </rPr>
          <t xml:space="preserve">Onde buscar: controle das não conformidades.</t>
        </r>
      </text>
    </comment>
    <comment ref="C12" authorId="0">
      <text>
        <r>
          <rPr>
            <sz val="10"/>
            <rFont val="Arial"/>
            <family val="2"/>
          </rPr>
          <t xml:space="preserve">Onde buscar: painel de indicadores.</t>
        </r>
      </text>
    </comment>
    <comment ref="C13" authorId="0">
      <text>
        <r>
          <rPr>
            <sz val="10"/>
            <rFont val="Arial"/>
            <family val="2"/>
          </rPr>
          <t xml:space="preserve">Onde buscar: relatórios e programa de auditoria.</t>
        </r>
      </text>
    </comment>
    <comment ref="C14" authorId="0">
      <text>
        <r>
          <rPr>
            <sz val="10"/>
            <rFont val="Arial"/>
            <family val="2"/>
          </rPr>
          <t xml:space="preserve">Onde buscar: avaliação de fornecedores.</t>
        </r>
      </text>
    </comment>
    <comment ref="C15" authorId="0">
      <text>
        <r>
          <rPr>
            <sz val="10"/>
            <rFont val="Arial"/>
            <family val="2"/>
          </rPr>
          <t xml:space="preserve">Onde buscar: pedidos das áreas e orçamento.</t>
        </r>
      </text>
    </comment>
    <comment ref="C16" authorId="0">
      <text>
        <r>
          <rPr>
            <sz val="10"/>
            <rFont val="Arial"/>
            <family val="2"/>
          </rPr>
          <t xml:space="preserve">Onde buscar: matriz de riscos, com o risco residual.</t>
        </r>
      </text>
    </comment>
    <comment ref="C17" authorId="0">
      <text>
        <r>
          <rPr>
            <sz val="10"/>
            <rFont val="Arial"/>
            <family val="2"/>
          </rPr>
          <t xml:space="preserve">Onde buscar: sugestões, projetos e ciclos PDCA.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4" authorId="0">
      <text>
        <r>
          <rPr>
            <sz val="10"/>
            <rFont val="Arial"/>
            <family val="2"/>
          </rPr>
          <t xml:space="preserve">Melhoria: o que será feito melhor.
Mudança no sistema: o que muda em processos, documentos, objetivos ou indicadores.
Recursos: pessoas, equipamentos ou dinheiro.</t>
        </r>
      </text>
    </comment>
    <comment ref="F4" authorId="0">
      <text>
        <r>
          <rPr>
            <sz val="10"/>
            <rFont val="Arial"/>
            <family val="2"/>
          </rPr>
          <t xml:space="preserve">Comece com verbo: aprovar, contratar, rever, auditar.
Evite: "melhorar a comunicação", "verificar a possibilidade".</t>
        </r>
      </text>
    </comment>
  </commentList>
</comments>
</file>

<file path=xl/sharedStrings.xml><?xml version="1.0" encoding="utf-8"?>
<sst xmlns="http://schemas.openxmlformats.org/spreadsheetml/2006/main" count="697" uniqueCount="391">
  <si>
    <t xml:space="preserve">Análise crítica pela direção — Como usar esta planilha</t>
  </si>
  <si>
    <t xml:space="preserve">Modelo para preparar a pauta, registrar as entradas e as decisões, e acompanhar as ações das análises anteriores.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</si>
  <si>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</si>
  <si>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</si>
  <si>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</si>
  <si>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</si>
  <si>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entradas da norma, contagens,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</si>
  <si>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</si>
  <si>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</si>
  <si>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</si>
  <si>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Colunas de tendência, situação, tipo, status e avaliação aceitam apenas as opções da lista.</t>
  </si>
  <si>
    <t xml:space="preserve">Comentários</t>
  </si>
  <si>
    <t xml:space="preserve">Células com triângulo vermelho no canto trazem uma dica de preenchimento. Passe o mouse sobre elas.</t>
  </si>
  <si>
    <t xml:space="preserve">As três situações de uma entrada</t>
  </si>
  <si>
    <t xml:space="preserve">Favorável</t>
  </si>
  <si>
    <t xml:space="preserve">O resultado atende ao planejado, e a tendência não preocupa. A direção registra a conclusão.</t>
  </si>
  <si>
    <t xml:space="preserve">Atenção</t>
  </si>
  <si>
    <t xml:space="preserve">O resultado não atende em parte, ou a tendência é de piora. A direção decide, ou registra por que não vai agir agora.</t>
  </si>
  <si>
    <t xml:space="preserve">Crítica</t>
  </si>
  <si>
    <t xml:space="preserve">O resultado compromete um objetivo, um cliente ou a operação. A direção decide na reunião.</t>
  </si>
  <si>
    <t xml:space="preserve">Ordem recomendada de preenchimento</t>
  </si>
  <si>
    <t xml:space="preserve">Passo 1</t>
  </si>
  <si>
    <t xml:space="preserve">Aba Reunião: escreva a data, o período analisado e os participantes.</t>
  </si>
  <si>
    <t xml:space="preserve">Passo 2</t>
  </si>
  <si>
    <t xml:space="preserve">Aba Ações anteriores: liste as ações decididas nas análises anteriores, com prazo e status.</t>
  </si>
  <si>
    <t xml:space="preserve">Passo 3</t>
  </si>
  <si>
    <t xml:space="preserve">Aba Entradas: escreva o resultado, a tendência e a situação de cada entrada. Use “nada a relatar” quando for o caso.</t>
  </si>
  <si>
    <t xml:space="preserve">Passo 4</t>
  </si>
  <si>
    <t xml:space="preserve">Aba Entradas: na reunião, escreva a conclusão da direção sobre cada entrada.</t>
  </si>
  <si>
    <t xml:space="preserve">Passo 5</t>
  </si>
  <si>
    <t xml:space="preserve">Aba Saídas: registre cada decisão, com a entrada de origem, o tipo, o responsável, o prazo e o recurso.</t>
  </si>
  <si>
    <t xml:space="preserve">Passo 6</t>
  </si>
  <si>
    <t xml:space="preserve">Aba Reunião: responda às quatro perguntas da avaliação do sistema, com justificativa.</t>
  </si>
  <si>
    <t xml:space="preserve">Passo 7</t>
  </si>
  <si>
    <t xml:space="preserve">Aba Checklist: valide a análise crítica.</t>
  </si>
  <si>
    <t xml:space="preserve">Abas da planilha</t>
  </si>
  <si>
    <t xml:space="preserve">Reunião</t>
  </si>
  <si>
    <t xml:space="preserve">Dados da reunião, até 10 participantes, avaliação do sistema e situação da ata.</t>
  </si>
  <si>
    <t xml:space="preserve">Ações anteriores</t>
  </si>
  <si>
    <t xml:space="preserve">Até 15 ações das análises anteriores, com a situação de cada uma na data da reunião, e gráfico.</t>
  </si>
  <si>
    <t xml:space="preserve">Entradas</t>
  </si>
  <si>
    <t xml:space="preserve">As doze entradas, com resultado, tendência, situação, conclusão e número de decisões.</t>
  </si>
  <si>
    <t xml:space="preserve">Saídas</t>
  </si>
  <si>
    <t xml:space="preserve">Até 15 decisões, com conferência dos campos, contagem por tipo e valor total.</t>
  </si>
  <si>
    <t xml:space="preserve">Checklist</t>
  </si>
  <si>
    <t xml:space="preserve">Doze verificações de qualidade da análise crítica, com percentual de conclusão.</t>
  </si>
  <si>
    <t xml:space="preserve">Exemplo 1 - Pizzaria</t>
  </si>
  <si>
    <t xml:space="preserve">A primeira análise crítica de uma loja: entradas, decisões e avaliação do sistema.</t>
  </si>
  <si>
    <t xml:space="preserve">Exemplo 2 - Indústria</t>
  </si>
  <si>
    <t xml:space="preserve">Uma análise crítica semestral, com as ações das análises anteriores.</t>
  </si>
  <si>
    <t xml:space="preserve">Regras e premissas do modelo</t>
  </si>
  <si>
    <t xml:space="preserve">As doze entradas</t>
  </si>
  <si>
    <t xml:space="preserve">São os itens do requisito 9.3.2 da ISO 9001:2015, resumidos com palavras próprias. O item “c” tem sete partes, de c1 a c7.</t>
  </si>
  <si>
    <t xml:space="preserve">Situação da entrada</t>
  </si>
  <si>
    <t xml:space="preserve">As três situações são uma convenção deste modelo. A norma não classifica as entradas.</t>
  </si>
  <si>
    <t xml:space="preserve">Entrada crítica</t>
  </si>
  <si>
    <t xml:space="preserve">Pede pelo menos uma decisão na aba Saídas. Sem ela, a conferência mostra “Falta a decisão”.</t>
  </si>
  <si>
    <t xml:space="preserve">Entrada em atenção</t>
  </si>
  <si>
    <t xml:space="preserve">Pode ficar sem decisão, e o motivo vai na conclusão. A conferência mostra “Atenção sem decisão”, como lembrete.</t>
  </si>
  <si>
    <t xml:space="preserve">Situação da ação</t>
  </si>
  <si>
    <t xml:space="preserve">É calculada pela data da reunião, informada na aba Reunião. Se a data estiver em branco, a planilha usa a data de hoje.</t>
  </si>
  <si>
    <t xml:space="preserve">Primeira análise</t>
  </si>
  <si>
    <t xml:space="preserve">Na primeira análise crítica, a aba Ações anteriores fica em branco, e o aviso dela informa que não há ações.</t>
  </si>
  <si>
    <t xml:space="preserve">Exemplos</t>
  </si>
  <si>
    <t xml:space="preserve">Os dados das abas de exemplo são ilustrativos, criados para este material.</t>
  </si>
  <si>
    <t xml:space="preserve">Reunião de análise crítica</t>
  </si>
  <si>
    <t xml:space="preserve">Dados da reunião, participantes e avaliação do sistema. A situação da ata é calculada no fim da página.</t>
  </si>
  <si>
    <t xml:space="preserve">Organização</t>
  </si>
  <si>
    <t xml:space="preserve">Data da reunião</t>
  </si>
  <si>
    <t xml:space="preserve">Período analisado</t>
  </si>
  <si>
    <t xml:space="preserve">Local</t>
  </si>
  <si>
    <t xml:space="preserve">Quem conduz</t>
  </si>
  <si>
    <t xml:space="preserve">Quem redige a ata</t>
  </si>
  <si>
    <t xml:space="preserve">Data da análise anterior</t>
  </si>
  <si>
    <t xml:space="preserve">Data prevista da próxima análise</t>
  </si>
  <si>
    <t xml:space="preserve">Participantes</t>
  </si>
  <si>
    <t xml:space="preserve">#</t>
  </si>
  <si>
    <t xml:space="preserve">Nome</t>
  </si>
  <si>
    <t xml:space="preserve">Função</t>
  </si>
  <si>
    <t xml:space="preserve">Alta direção?</t>
  </si>
  <si>
    <t xml:space="preserve">Presença</t>
  </si>
  <si>
    <t xml:space="preserve">Observação</t>
  </si>
  <si>
    <t xml:space="preserve">Ex.</t>
  </si>
  <si>
    <t xml:space="preserve">Maria Souza</t>
  </si>
  <si>
    <t xml:space="preserve">Diretora geral</t>
  </si>
  <si>
    <t xml:space="preserve">Sim</t>
  </si>
  <si>
    <t xml:space="preserve">Presente</t>
  </si>
  <si>
    <t xml:space="preserve">Conduz a reunião</t>
  </si>
  <si>
    <t xml:space="preserve">Avaliação do sistema</t>
  </si>
  <si>
    <t xml:space="preserve">Critério</t>
  </si>
  <si>
    <t xml:space="preserve">Pergunta</t>
  </si>
  <si>
    <t xml:space="preserve">Resposta</t>
  </si>
  <si>
    <t xml:space="preserve">Justificativa</t>
  </si>
  <si>
    <t xml:space="preserve">Adequado</t>
  </si>
  <si>
    <t xml:space="preserve">O sistema serve para a organização como ela é hoje?</t>
  </si>
  <si>
    <t xml:space="preserve">Suficiente</t>
  </si>
  <si>
    <t xml:space="preserve">O sistema cobre tudo o que precisa cobrir?</t>
  </si>
  <si>
    <t xml:space="preserve">Eficaz</t>
  </si>
  <si>
    <t xml:space="preserve">O sistema entrega os resultados planejados?</t>
  </si>
  <si>
    <t xml:space="preserve">Alinhado</t>
  </si>
  <si>
    <t xml:space="preserve">O sistema aponta para onde a direção quer ir?</t>
  </si>
  <si>
    <t xml:space="preserve">Resumo automático</t>
  </si>
  <si>
    <t xml:space="preserve">Participantes presentes</t>
  </si>
  <si>
    <t xml:space="preserve">Alta direção presente</t>
  </si>
  <si>
    <t xml:space="preserve">Meses desde a análise anterior</t>
  </si>
  <si>
    <t xml:space="preserve">Entradas analisadas, de 12</t>
  </si>
  <si>
    <t xml:space="preserve">Decisões registradas</t>
  </si>
  <si>
    <t xml:space="preserve">Ações anteriores atrasadas</t>
  </si>
  <si>
    <t xml:space="preserve">Situação da ata</t>
  </si>
  <si>
    <t xml:space="preserve">Ações das análises anteriores</t>
  </si>
  <si>
    <t xml:space="preserve">Entrada “a”. Uma ação por linha, com o que foi decidido nas análises anteriores. Na primeira análise, deixe em branco.</t>
  </si>
  <si>
    <t xml:space="preserve">Data de referência</t>
  </si>
  <si>
    <t xml:space="preserve">É a data da reunião. Se ela estiver em branco, a planilha usa a data de hoje.</t>
  </si>
  <si>
    <t xml:space="preserve">Data da análise</t>
  </si>
  <si>
    <t xml:space="preserve">Ação decidida</t>
  </si>
  <si>
    <t xml:space="preserve">Responsável</t>
  </si>
  <si>
    <t xml:space="preserve">Prazo</t>
  </si>
  <si>
    <t xml:space="preserve">Status</t>
  </si>
  <si>
    <t xml:space="preserve">Concluída em</t>
  </si>
  <si>
    <t xml:space="preserve">Eficaz?</t>
  </si>
  <si>
    <t xml:space="preserve">Resultado ou observação</t>
  </si>
  <si>
    <t xml:space="preserve">Situação</t>
  </si>
  <si>
    <t xml:space="preserve">Da reunião que decidiu</t>
  </si>
  <si>
    <t xml:space="preserve">Como está na ata</t>
  </si>
  <si>
    <t xml:space="preserve">Nome ou cargo</t>
  </si>
  <si>
    <t xml:space="preserve">Combinado na ata</t>
  </si>
  <si>
    <t xml:space="preserve">Escolha na lista</t>
  </si>
  <si>
    <t xml:space="preserve">Só para as concluídas</t>
  </si>
  <si>
    <t xml:space="preserve">Funcionou?</t>
  </si>
  <si>
    <t xml:space="preserve">O que mudou depois da ação</t>
  </si>
  <si>
    <t xml:space="preserve">Calculada</t>
  </si>
  <si>
    <t xml:space="preserve">Contratar um analista para o Laboratório.</t>
  </si>
  <si>
    <t xml:space="preserve">Gerente de RH</t>
  </si>
  <si>
    <t xml:space="preserve">Concluída</t>
  </si>
  <si>
    <t xml:space="preserve">Admissão em 15/05.</t>
  </si>
  <si>
    <t xml:space="preserve">Concluída com atraso</t>
  </si>
  <si>
    <t xml:space="preserve">Ações por situação</t>
  </si>
  <si>
    <t xml:space="preserve">Ações registradas</t>
  </si>
  <si>
    <t xml:space="preserve">Concluída no prazo</t>
  </si>
  <si>
    <t xml:space="preserve">Concluídas</t>
  </si>
  <si>
    <t xml:space="preserve">Percentual concluído, sem as canceladas</t>
  </si>
  <si>
    <t xml:space="preserve">No prazo</t>
  </si>
  <si>
    <t xml:space="preserve">Atrasadas</t>
  </si>
  <si>
    <t xml:space="preserve">Atrasada</t>
  </si>
  <si>
    <t xml:space="preserve">Concluídas e eficazes</t>
  </si>
  <si>
    <t xml:space="preserve">Cancelada</t>
  </si>
  <si>
    <t xml:space="preserve">Aviso</t>
  </si>
  <si>
    <t xml:space="preserve">Entradas da análise crítica</t>
  </si>
  <si>
    <t xml:space="preserve">As doze entradas que a direção precisa considerar. Preencha antes da reunião. A conclusão é escrita na reunião.</t>
  </si>
  <si>
    <t xml:space="preserve">Item</t>
  </si>
  <si>
    <t xml:space="preserve">Entrada</t>
  </si>
  <si>
    <t xml:space="preserve">O que a direção quer saber</t>
  </si>
  <si>
    <t xml:space="preserve">Quem apresenta</t>
  </si>
  <si>
    <t xml:space="preserve">Fonte</t>
  </si>
  <si>
    <t xml:space="preserve">Resultado no período</t>
  </si>
  <si>
    <t xml:space="preserve">Tendência</t>
  </si>
  <si>
    <t xml:space="preserve">Conclusão da direção</t>
  </si>
  <si>
    <t xml:space="preserve">Decisões</t>
  </si>
  <si>
    <t xml:space="preserve">Conferência</t>
  </si>
  <si>
    <t xml:space="preserve">9.3.2</t>
  </si>
  <si>
    <t xml:space="preserve">Fixa</t>
  </si>
  <si>
    <t xml:space="preserve">Fixo</t>
  </si>
  <si>
    <t xml:space="preserve">Documento ou sistema</t>
  </si>
  <si>
    <t xml:space="preserve">Fatos e números. Se não houver, escreva “nada a relatar”</t>
  </si>
  <si>
    <t xml:space="preserve">Uma frase, escrita na reunião</t>
  </si>
  <si>
    <t xml:space="preserve">Da aba Saídas</t>
  </si>
  <si>
    <t xml:space="preserve">a</t>
  </si>
  <si>
    <t xml:space="preserve">O que foi decidido nas análises anteriores, e o que foi feito.</t>
  </si>
  <si>
    <t xml:space="preserve">b</t>
  </si>
  <si>
    <t xml:space="preserve">Mudanças no contexto</t>
  </si>
  <si>
    <t xml:space="preserve">O que mudou fora e dentro da organização, e afeta o sistema.</t>
  </si>
  <si>
    <t xml:space="preserve">c1</t>
  </si>
  <si>
    <t xml:space="preserve">Satisfação do cliente</t>
  </si>
  <si>
    <t xml:space="preserve">O que os clientes e as outras partes interessadas dizem.</t>
  </si>
  <si>
    <t xml:space="preserve">c2</t>
  </si>
  <si>
    <t xml:space="preserve">Objetivos da qualidade</t>
  </si>
  <si>
    <t xml:space="preserve">Quanto de cada objetivo foi alcançado.</t>
  </si>
  <si>
    <t xml:space="preserve">c3</t>
  </si>
  <si>
    <t xml:space="preserve">Processos e produtos</t>
  </si>
  <si>
    <t xml:space="preserve">Como os processos se saíram, e se o produto saiu conforme.</t>
  </si>
  <si>
    <t xml:space="preserve">c4</t>
  </si>
  <si>
    <t xml:space="preserve">Não conformidades</t>
  </si>
  <si>
    <t xml:space="preserve">Quantas houve, de que tipo, e se as ações funcionaram.</t>
  </si>
  <si>
    <t xml:space="preserve">c5</t>
  </si>
  <si>
    <t xml:space="preserve">Monitoramento e medição</t>
  </si>
  <si>
    <t xml:space="preserve">O que as medições do período mostram.</t>
  </si>
  <si>
    <t xml:space="preserve">c6</t>
  </si>
  <si>
    <t xml:space="preserve">Auditorias</t>
  </si>
  <si>
    <t xml:space="preserve">O que as auditorias internas e externas constataram.</t>
  </si>
  <si>
    <t xml:space="preserve">c7</t>
  </si>
  <si>
    <t xml:space="preserve">Provedores externos</t>
  </si>
  <si>
    <t xml:space="preserve">Como os fornecedores e os terceirizados se saíram.</t>
  </si>
  <si>
    <t xml:space="preserve">d</t>
  </si>
  <si>
    <t xml:space="preserve">Recursos</t>
  </si>
  <si>
    <t xml:space="preserve">Se as pessoas, os equipamentos e os sistemas são suficientes.</t>
  </si>
  <si>
    <t xml:space="preserve">e</t>
  </si>
  <si>
    <t xml:space="preserve">Riscos e oportunidades</t>
  </si>
  <si>
    <t xml:space="preserve">Se as ações sobre os riscos e as oportunidades funcionaram.</t>
  </si>
  <si>
    <t xml:space="preserve">f</t>
  </si>
  <si>
    <t xml:space="preserve">Oportunidades de melhoria</t>
  </si>
  <si>
    <t xml:space="preserve">O que pode ser feito melhor, mesmo sem problema.</t>
  </si>
  <si>
    <t xml:space="preserve">Favoráveis</t>
  </si>
  <si>
    <t xml:space="preserve">Em atenção</t>
  </si>
  <si>
    <t xml:space="preserve">Críticas</t>
  </si>
  <si>
    <t xml:space="preserve">Com tendência de piora</t>
  </si>
  <si>
    <t xml:space="preserve">Críticas sem decisão</t>
  </si>
  <si>
    <t xml:space="preserve">Saídas: decisões e ações</t>
  </si>
  <si>
    <t xml:space="preserve">Uma decisão por linha. Comece com verbo, e informe de que entrada a decisão veio.</t>
  </si>
  <si>
    <t xml:space="preserve">Nome da entrada</t>
  </si>
  <si>
    <t xml:space="preserve">Tipo</t>
  </si>
  <si>
    <t xml:space="preserve">Decisão</t>
  </si>
  <si>
    <t xml:space="preserve">Recurso necessário</t>
  </si>
  <si>
    <t xml:space="preserve">Valor</t>
  </si>
  <si>
    <t xml:space="preserve">Item, de a até f</t>
  </si>
  <si>
    <t xml:space="preserve">Da aba Entradas</t>
  </si>
  <si>
    <t xml:space="preserve">O que será feito</t>
  </si>
  <si>
    <t xml:space="preserve">Depois da reunião</t>
  </si>
  <si>
    <t xml:space="preserve">Pessoas, equipamento, serviço</t>
  </si>
  <si>
    <t xml:space="preserve">Em reais</t>
  </si>
  <si>
    <t xml:space="preserve">Aprovar a compra do medidor de espessura em linha para as extrusoras 3 e 4.</t>
  </si>
  <si>
    <t xml:space="preserve">Diretor geral</t>
  </si>
  <si>
    <t xml:space="preserve">Dois medidores, com instalação</t>
  </si>
  <si>
    <t xml:space="preserve">Completa</t>
  </si>
  <si>
    <t xml:space="preserve">De melhoria</t>
  </si>
  <si>
    <t xml:space="preserve">De mudança no sistema</t>
  </si>
  <si>
    <t xml:space="preserve">De recursos</t>
  </si>
  <si>
    <t xml:space="preserve">Valor total aprovado</t>
  </si>
  <si>
    <t xml:space="preserve">Checklist da análise crítica</t>
  </si>
  <si>
    <t xml:space="preserve">Escolha o status de cada item na lista suspensa (coluna em amarelo-claro).</t>
  </si>
  <si>
    <t xml:space="preserve">Item de verificação</t>
  </si>
  <si>
    <t xml:space="preserve">Observações</t>
  </si>
  <si>
    <t xml:space="preserve">A análise crítica está no calendário, com intervalo definido.</t>
  </si>
  <si>
    <t xml:space="preserve">A alta direção conduz a reunião e participa dela.</t>
  </si>
  <si>
    <t xml:space="preserve">A pauta traz todas as entradas que a norma pede.</t>
  </si>
  <si>
    <t xml:space="preserve">As entradas foram enviadas aos participantes antes da reunião.</t>
  </si>
  <si>
    <t xml:space="preserve">As ações das análises anteriores foram conferidas, uma a uma.</t>
  </si>
  <si>
    <t xml:space="preserve">Cada entrada traz fatos e dados, com a tendência do período.</t>
  </si>
  <si>
    <t xml:space="preserve">Cada entrada tem uma conclusão escrita.</t>
  </si>
  <si>
    <t xml:space="preserve">As decisões tratam de melhoria, de mudanças no sistema e de recursos.</t>
  </si>
  <si>
    <t xml:space="preserve">Cada decisão tem responsável e prazo.</t>
  </si>
  <si>
    <t xml:space="preserve">Os recursos necessários foram aprovados na própria reunião.</t>
  </si>
  <si>
    <t xml:space="preserve">A ata registra a avaliação do sistema: adequado, suficiente, eficaz e alinhado.</t>
  </si>
  <si>
    <t xml:space="preserve">A ata foi guardada, e as decisões são acompanhadas até o fim.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</si>
  <si>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</si>
  <si>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</si>
  <si>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</si>
  <si>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</si>
  <si>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</si>
  <si>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Análise crítica pela direção</t>
  </si>
  <si>
    <t xml:space="preserve">Exemplo preenchido, para consulta. Use as abas Reunião, Ações anteriores, Entradas e Saídas para a sua análise.</t>
  </si>
  <si>
    <t xml:space="preserve">Pizzaria (loja com salão e delivery)</t>
  </si>
  <si>
    <t xml:space="preserve">Janeiro a novembro de 2026</t>
  </si>
  <si>
    <t xml:space="preserve">Dono da loja, Gerente da loja, Atendente líder, Pizzaiolo líder, Líder da expedição.</t>
  </si>
  <si>
    <t xml:space="preserve">Análise anterior</t>
  </si>
  <si>
    <t xml:space="preserve">Não houve: é a primeira análise crítica.</t>
  </si>
  <si>
    <t xml:space="preserve">Origem</t>
  </si>
  <si>
    <t xml:space="preserve">Lacuna do requisito 9.3 no diagnóstico de 02/10/2026: a loja nunca tinha feito análise crítica.</t>
  </si>
  <si>
    <t xml:space="preserve">Entradas analisadas</t>
  </si>
  <si>
    <t xml:space="preserve">Gerente da loja</t>
  </si>
  <si>
    <t xml:space="preserve">Primeira análise crítica: não há ações anteriores. O ponto de partida é o diagnóstico, com 67% de atendimento.</t>
  </si>
  <si>
    <t xml:space="preserve">Sem histórico</t>
  </si>
  <si>
    <t xml:space="preserve">As lacunas do diagnóstico entram nesta pauta, cada uma na sua entrada.</t>
  </si>
  <si>
    <t xml:space="preserve">Dono da loja</t>
  </si>
  <si>
    <t xml:space="preserve">Sistema de pedidos trocado em julho. Duas pizzarias novas no bairro. Preço do queijo em alta.</t>
  </si>
  <si>
    <t xml:space="preserve">Estável</t>
  </si>
  <si>
    <t xml:space="preserve">A concorrência pede atenção ao salão, que não tem padrão de atendimento.</t>
  </si>
  <si>
    <t xml:space="preserve">Atendente líder</t>
  </si>
  <si>
    <t xml:space="preserve">Reclamações por 100 pedidos: 3,4 em outubro de 2025 e 1,7 em novembro de 2026. Não há pesquisa de satisfação.</t>
  </si>
  <si>
    <t xml:space="preserve">Melhorando</t>
  </si>
  <si>
    <t xml:space="preserve">A reclamação caiu, mas a loja só ouve quem reclama.</t>
  </si>
  <si>
    <t xml:space="preserve">Entregas em até 40 minutos: 95% em novembro, para uma meta de 95%. Os quatro indicadores estão na meta.</t>
  </si>
  <si>
    <t xml:space="preserve">Os objetivos do delivery foram alcançados. Manter.</t>
  </si>
  <si>
    <t xml:space="preserve">63% dos elementos dos processos estão definidos. Quatro processos não têm indicador. O salão não tem padrão.</t>
  </si>
  <si>
    <t xml:space="preserve">O sistema cobre bem o delivery, e pouco o restante da loja.</t>
  </si>
  <si>
    <t xml:space="preserve">Três registros abertos pela auditoria 2026-03. O RNC 2026-05 foi encerrado como eficaz. Os outros dois estão em verificação.</t>
  </si>
  <si>
    <t xml:space="preserve">O tratamento funciona. Manter.</t>
  </si>
  <si>
    <t xml:space="preserve">Pizzaiolo líder</t>
  </si>
  <si>
    <t xml:space="preserve">Temperatura registrada em todos os turnos desde outubro. Pedidos refeitos: 2,0% em setembro e 1,4% em novembro.</t>
  </si>
  <si>
    <t xml:space="preserve">As medições são feitas e usadas. Manter.</t>
  </si>
  <si>
    <t xml:space="preserve">A auditoria 2026-03, no delivery: três não conformidades menores. O salão e as compras nunca foram auditados.</t>
  </si>
  <si>
    <t xml:space="preserve">O programa de auditoria precisa cobrir os outros processos.</t>
  </si>
  <si>
    <t xml:space="preserve">O fornecedor de queijo atrasou três entregas no ano. O segundo fornecedor foi homologado em novembro. Não há avaliação registrada.</t>
  </si>
  <si>
    <t xml:space="preserve">O desempenho dos fornecedores é conhecido de memória, sem registro.</t>
  </si>
  <si>
    <t xml:space="preserve">Nas noites de sexta e de sábado, o atendente do delivery também atende o salão. As motos e o forno atendem à demanda.</t>
  </si>
  <si>
    <t xml:space="preserve">Falta uma pessoa no salão nas noites de pico.</t>
  </si>
  <si>
    <t xml:space="preserve">Sete riscos com ação: seis ações concluídas. O treinamento do segundo pizzaiolo, do risco R6, está atrasado.</t>
  </si>
  <si>
    <t xml:space="preserve">As ações funcionaram nas duas noites de chuva de novembro. Falta concluir a do risco R6.</t>
  </si>
  <si>
    <t xml:space="preserve">Todos</t>
  </si>
  <si>
    <t xml:space="preserve">Três sugestões: pesquisa de satisfação na caixa, cardápio com fotos no salão e pedido por aplicativo de mensagens com roteiro.</t>
  </si>
  <si>
    <t xml:space="preserve">A pesquisa de satisfação entra como decisão. As outras duas ficam para junho.</t>
  </si>
  <si>
    <t xml:space="preserve">Nº</t>
  </si>
  <si>
    <t xml:space="preserve">a · Ações das análises anteriores</t>
  </si>
  <si>
    <t xml:space="preserve">Mudança no sistema</t>
  </si>
  <si>
    <t xml:space="preserve">Fazer a análise crítica a cada seis meses, com a pauta das doze entradas.</t>
  </si>
  <si>
    <t xml:space="preserve">b · Mudanças no contexto</t>
  </si>
  <si>
    <t xml:space="preserve">Descrever o atendimento no salão, com SIPOC e padrão de atendimento.</t>
  </si>
  <si>
    <t xml:space="preserve">c1 · Satisfação do cliente</t>
  </si>
  <si>
    <t xml:space="preserve">Melhoria</t>
  </si>
  <si>
    <t xml:space="preserve">Criar uma pesquisa de satisfação de três perguntas, com acesso pelo código impresso na caixa.</t>
  </si>
  <si>
    <t xml:space="preserve">Impressão das etiquetas</t>
  </si>
  <si>
    <t xml:space="preserve">c3 · Processos e produtos</t>
  </si>
  <si>
    <t xml:space="preserve">Definir indicador e meta para os quatro processos que não têm.</t>
  </si>
  <si>
    <t xml:space="preserve">c6 · Auditorias</t>
  </si>
  <si>
    <t xml:space="preserve">Aprovar o programa de auditoria de 2027, com o salão e as compras.</t>
  </si>
  <si>
    <t xml:space="preserve">c7 · Provedores externos</t>
  </si>
  <si>
    <t xml:space="preserve">Avaliar os fornecedores de insumos críticos a cada semestre, com registro.</t>
  </si>
  <si>
    <t xml:space="preserve">d · Recursos</t>
  </si>
  <si>
    <t xml:space="preserve">Contratar um atendente de salão para as noites de sexta e de sábado.</t>
  </si>
  <si>
    <t xml:space="preserve">Um atendente, duas noites por semana, por seis meses</t>
  </si>
  <si>
    <t xml:space="preserve">e · Riscos e oportunidades</t>
  </si>
  <si>
    <t xml:space="preserve">Treinar o segundo pizzaiolo na regulagem do forno, como previsto no risco R6.</t>
  </si>
  <si>
    <t xml:space="preserve">Oito horas de treinamento</t>
  </si>
  <si>
    <t xml:space="preserve">Os padrões descrevem o que a loja faz no delivery.</t>
  </si>
  <si>
    <t xml:space="preserve">Parcial</t>
  </si>
  <si>
    <t xml:space="preserve">O salão, as compras e o treinamento ainda estão fora do sistema.</t>
  </si>
  <si>
    <t xml:space="preserve">Eficaz no delivery. Nos outros processos, não há indicador para dizer.</t>
  </si>
  <si>
    <t xml:space="preserve">Os objetivos apoiam a estratégia de crescer no delivery sem perder o salão.</t>
  </si>
  <si>
    <t xml:space="preserve">Favoráveis, em atenção e críticas</t>
  </si>
  <si>
    <t xml:space="preserve">De melhoria, de mudança no sistema e de recursos</t>
  </si>
  <si>
    <t xml:space="preserve">Indústria de embalagens plásticas</t>
  </si>
  <si>
    <t xml:space="preserve">Julho a dezembro de 2026, com o fechamento do ano</t>
  </si>
  <si>
    <t xml:space="preserve">Diretor geral, Gerente industrial, Gerente comercial, Gerente de Suprimentos, Gerente de RH, Coordenador da Qualidade.</t>
  </si>
  <si>
    <t xml:space="preserve">Calendário do sistema de gestão: análise crítica em fevereiro e em agosto.</t>
  </si>
  <si>
    <t xml:space="preserve">Entrada “a” · ações das análises anteriores</t>
  </si>
  <si>
    <t xml:space="preserve">Eficácia e resultado</t>
  </si>
  <si>
    <t xml:space="preserve">Supervisor de manutenção</t>
  </si>
  <si>
    <t xml:space="preserve">Implantar a manutenção preventiva das extrusoras.</t>
  </si>
  <si>
    <t xml:space="preserve">Eficaz: sim. Paradas por quebra: de 14 para 5 por mês.</t>
  </si>
  <si>
    <t xml:space="preserve">Eficaz: sim. Admissão em 15/05.</t>
  </si>
  <si>
    <t xml:space="preserve">Gerente industrial</t>
  </si>
  <si>
    <t xml:space="preserve">Abrir um projeto de redução do refugo, com ciclo PDCA.</t>
  </si>
  <si>
    <t xml:space="preserve">Eficaz: parcial. Refugo de 3,4% para 2,6%. A meta é 2,0%.</t>
  </si>
  <si>
    <t xml:space="preserve">Gerente comercial</t>
  </si>
  <si>
    <t xml:space="preserve">Rever a pesquisa de satisfação do cliente.</t>
  </si>
  <si>
    <t xml:space="preserve">Eficaz: sim. Pesquisa aplicada em novembro, com 41 respostas.</t>
  </si>
  <si>
    <t xml:space="preserve">Coordenador da Qualidade</t>
  </si>
  <si>
    <t xml:space="preserve">Treinar os auditores internos nas diretrizes da ISO 19011.</t>
  </si>
  <si>
    <t xml:space="preserve">Eficaz: sim. Seis auditores treinados.</t>
  </si>
  <si>
    <t xml:space="preserve">Atualizar o mapa de processos com a nova linha de produção.</t>
  </si>
  <si>
    <t xml:space="preserve">Eficaz: sim. Mapa rev. 4.</t>
  </si>
  <si>
    <t xml:space="preserve">Gerente de engenharia</t>
  </si>
  <si>
    <t xml:space="preserve">Orçar os medidores de espessura em linha para as extrusoras 3 e 4.</t>
  </si>
  <si>
    <t xml:space="preserve">Orçamento recebido. Compra não aprovada.</t>
  </si>
  <si>
    <t xml:space="preserve">Em andamento</t>
  </si>
  <si>
    <t xml:space="preserve">Definir o indicador de prazo de entrega por cliente.</t>
  </si>
  <si>
    <t xml:space="preserve">Não iniciada</t>
  </si>
  <si>
    <t xml:space="preserve">Oito ações decididas em 2026: seis concluídas, uma delas com atraso, e duas atrasadas.</t>
  </si>
  <si>
    <t xml:space="preserve">As duas ações atrasadas dependem de decisão da direção.</t>
  </si>
  <si>
    <t xml:space="preserve">Extrusora 4 em operação desde setembro. Dois grandes clientes passam a exigir a certificação ISO 9001. Preço da resina ligado ao dólar.</t>
  </si>
  <si>
    <t xml:space="preserve">A certificação deixou de ser um projeto e virou condição de venda.</t>
  </si>
  <si>
    <t xml:space="preserve">Nota da pesquisa: 8,4, para uma meta de 8,0. Reclamações por milhão de peças: 62, para um máximo de 50. Um só cliente fez 40% das reclamações.</t>
  </si>
  <si>
    <t xml:space="preserve">A satisfação geral é boa. O problema está concentrado em um cliente.</t>
  </si>
  <si>
    <t xml:space="preserve">Cinco objetivos: três na meta, um em atenção e um fora da meta. O refugo fechou o ano em 2,6%, para um máximo de 2,0%.</t>
  </si>
  <si>
    <t xml:space="preserve">O objetivo de refugo não foi alcançado pelo segundo ano.</t>
  </si>
  <si>
    <t xml:space="preserve">Refugo acima da meta nos doze meses. Lotes reprovados na inspeção final: 1,1%. A variação de espessura é a primeira causa, nas extrusoras 3 e 4.</t>
  </si>
  <si>
    <t xml:space="preserve">O ciclo PDCA reduziu o refugo, mas a causa principal depende de equipamento.</t>
  </si>
  <si>
    <t xml:space="preserve">38 registros em 2026: 30 encerrados, 27 deles como eficazes, e 8 em tratamento. O prazo médio de encerramento foi de 74 dias.</t>
  </si>
  <si>
    <t xml:space="preserve">O tratamento é eficaz, mas lento. Dois registros têm prazo vencido.</t>
  </si>
  <si>
    <t xml:space="preserve">Painel com 18 indicadores: 12 na meta, 4 em atenção e 2 fora da meta. Instrumentos calibrados no prazo: 100%.</t>
  </si>
  <si>
    <t xml:space="preserve">As medições são feitas e analisadas todo mês. Manter.</t>
  </si>
  <si>
    <t xml:space="preserve">Programa cumprido: 12 auditorias, nos 9 processos. Foram 10 não conformidades e 14 oportunidades de melhoria. A Produção teve 3 não conformidades.</t>
  </si>
  <si>
    <t xml:space="preserve">A Produção concentra as não conformidades pelo segundo ciclo.</t>
  </si>
  <si>
    <t xml:space="preserve">Gerente de Suprimentos</t>
  </si>
  <si>
    <t xml:space="preserve">Doze fornecedores críticos avaliados: nove aprovados, dois com plano de ação e um reprovado. Nenhuma devolução por item errado desde novembro.</t>
  </si>
  <si>
    <t xml:space="preserve">As ações do RNC 2026-31 funcionaram. Manter a avaliação semestral.</t>
  </si>
  <si>
    <t xml:space="preserve">O Laboratório tem um analista a mais desde maio. A Qualidade tem seis auditores para doze auditorias, e as extrusoras 3 e 4 não têm medidor de espessura.</t>
  </si>
  <si>
    <t xml:space="preserve">Faltam auditores e o equipamento de medição.</t>
  </si>
  <si>
    <t xml:space="preserve">Oito riscos: cinco ações concluídas e uma atrasada. O segundo fornecedor de resina, do risco C1, não foi homologado. O risco continua crítico.</t>
  </si>
  <si>
    <t xml:space="preserve">Um atraso do fornecedor único para a produção. A homologação depende de ensaios externos.</t>
  </si>
  <si>
    <t xml:space="preserve">Três oportunidades em andamento: linha com material reciclado, certificação e resina reciclada de menor custo.</t>
  </si>
  <si>
    <t xml:space="preserve">O lote piloto com resina reciclada pode começar no primeiro semestre.</t>
  </si>
  <si>
    <t xml:space="preserve">Acompanhar as ações da análise crítica na reunião mensal de indicadores, a começar pelas duas atrasadas.</t>
  </si>
  <si>
    <t xml:space="preserve">Contratar a auditoria de certificação ISO 9001 para o segundo semestre.</t>
  </si>
  <si>
    <t xml:space="preserve">Organismo de certificação</t>
  </si>
  <si>
    <t xml:space="preserve">Visitar o cliente que concentra as reclamações e combinar um plano conjunto.</t>
  </si>
  <si>
    <t xml:space="preserve">c2 · Objetivos da qualidade</t>
  </si>
  <si>
    <t xml:space="preserve">Abrir novo ciclo PDCA do refugo, com meta de 2,0% até dezembro.</t>
  </si>
  <si>
    <t xml:space="preserve">c4 · Não conformidades</t>
  </si>
  <si>
    <t xml:space="preserve">Definir prazo máximo de 60 dias para o tratamento das não conformidades.</t>
  </si>
  <si>
    <t xml:space="preserve">Auditar a Produção a cada quatro meses, no programa de 2027.</t>
  </si>
  <si>
    <t xml:space="preserve">Formar mais quatro auditores internos.</t>
  </si>
  <si>
    <t xml:space="preserve">Curso de 16 horas</t>
  </si>
  <si>
    <t xml:space="preserve">Contratar os ensaios externos para concluir a homologação do segundo fornecedor de resina.</t>
  </si>
  <si>
    <t xml:space="preserve">Laboratório externo</t>
  </si>
  <si>
    <t xml:space="preserve">f · Oportunidades de melhoria</t>
  </si>
  <si>
    <t xml:space="preserve">Produzir o lote piloto com resina reciclada e medir o resultado.</t>
  </si>
  <si>
    <t xml:space="preserve">Uma tonelada de resina</t>
  </si>
  <si>
    <t xml:space="preserve">O mapa de processos foi atualizado com a nova linha de produção.</t>
  </si>
  <si>
    <t xml:space="preserve">Os nove processos têm dono, indicador e auditoria no programa.</t>
  </si>
  <si>
    <t xml:space="preserve">Três dos cinco objetivos foram alcançados. O refugo e o risco da resina seguem sem solução.</t>
  </si>
  <si>
    <t xml:space="preserve">A certificação e a linha com material reciclado estão nos objetivos de 2027.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</si>
</sst>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General"/>
    <numFmt numFmtId="167" formatCode="0%"/>
    <numFmt numFmtId="168" formatCode="0"/>
    <numFmt numFmtId="169" formatCode="@"/>
    <numFmt numFmtId="170" formatCode="&quot;R$ &quot;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  <font>
      <sz val="9"/>
      <color rgb="FF5B6B7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CE8F3"/>
      </patternFill>
    </fill>
    <fill>
      <patternFill patternType="solid">
        <fgColor rgb="FFFFF9DB"/>
        <bgColor rgb="FFF8EBCB"/>
      </patternFill>
    </fill>
    <fill>
      <patternFill patternType="solid">
        <fgColor rgb="FF2B5C8A"/>
        <bgColor rgb="FF1E7B73"/>
      </patternFill>
    </fill>
    <fill>
      <patternFill patternType="solid">
        <fgColor rgb="FFDCE8F3"/>
        <bgColor rgb="FFD8EFDD"/>
      </patternFill>
    </fill>
    <fill>
      <patternFill patternType="solid">
        <fgColor rgb="FFD19A2E"/>
        <bgColor rgb="FFFF8080"/>
      </patternFill>
    </fill>
    <fill>
      <patternFill patternType="solid">
        <fgColor rgb="FFF8EBCB"/>
        <bgColor rgb="FFFBEBC8"/>
      </patternFill>
    </fill>
    <fill>
      <patternFill patternType="solid">
        <fgColor rgb="FFB0413E"/>
        <bgColor rgb="FF993300"/>
      </patternFill>
    </fill>
    <fill>
      <patternFill patternType="solid">
        <fgColor rgb="FFF5DEDC"/>
        <bgColor rgb="FFF6D9D7"/>
      </patternFill>
    </fill>
    <fill>
      <patternFill patternType="solid">
        <fgColor rgb="FFFFFFFF"/>
        <bgColor rgb="FFFFF9DB"/>
      </patternFill>
    </fill>
    <fill>
      <patternFill patternType="solid">
        <fgColor rgb="FFA96A12"/>
        <bgColor rgb="FFB0413E"/>
      </patternFill>
    </fill>
    <fill>
      <patternFill patternType="solid">
        <fgColor rgb="FF1E7B7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  <dxf>
      <fill>
        <patternFill>
          <bgColor rgb="FFDCE8F3"/>
        </patternFill>
      </fill>
    </dxf>
    <dxf>
      <fill>
        <patternFill>
          <bgColor rgb="FFF8EBCB"/>
        </patternFill>
      </fill>
    </dxf>
    <dxf>
      <fill>
        <patternFill>
          <bgColor rgb="FFF5DEDC"/>
        </patternFill>
      </fill>
    </dxf>
    <dxf>
      <fill>
        <patternFill>
          <bgColor rgb="FFEEF1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8EBCB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DCE8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3"/>
      <rgbColor rgb="FFD8EFDD"/>
      <rgbColor rgb="FFFBEBC8"/>
      <rgbColor rgb="FFD3DBE0"/>
      <rgbColor rgb="FFF5DEDC"/>
      <rgbColor rgb="FFCC99FF"/>
      <rgbColor rgb="FFF6D9D7"/>
      <rgbColor rgb="FF3366FF"/>
      <rgbColor rgb="FF33CCCC"/>
      <rgbColor rgb="FF99CC00"/>
      <rgbColor rgb="FFFFCC00"/>
      <rgbColor rgb="FFD19A2E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"Ações"</c:f>
              <c:strCache>
                <c:ptCount val="1"/>
                <c:pt idx="0">
                  <c:v>Ações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'Ações anteriores'!$H$26:$H$30</c:f>
              <c:strCache>
                <c:ptCount val="5"/>
                <c:pt idx="0">
                  <c:v>Concluída no prazo</c:v>
                </c:pt>
                <c:pt idx="1">
                  <c:v>Concluída com atraso</c:v>
                </c:pt>
                <c:pt idx="2">
                  <c:v>No prazo</c:v>
                </c:pt>
                <c:pt idx="3">
                  <c:v>Atrasada</c:v>
                </c:pt>
                <c:pt idx="4">
                  <c:v>Cancelada</c:v>
                </c:pt>
              </c:strCache>
            </c:strRef>
          </c:cat>
          <c:val>
            <c:numRef>
              <c:f>'Ações anteriores'!$K$26:$K$30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60"/>
        <c:overlap val="0"/>
        <c:axId val="57271520"/>
        <c:axId val="26069386"/>
      </c:barChart>
      <c:catAx>
        <c:axId val="5727152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69386"/>
        <c:crosses val="autoZero"/>
        <c:auto val="1"/>
        <c:lblAlgn val="ctr"/>
        <c:lblOffset val="100"/>
        <c:noMultiLvlLbl val="0"/>
      </c:catAx>
      <c:valAx>
        <c:axId val="2606938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71520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"Ações"</c:f>
              <c:strCache>
                <c:ptCount val="1"/>
                <c:pt idx="0">
                  <c:v>Ações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Indústria'!$B$23:$B$27</c:f>
              <c:strCache>
                <c:ptCount val="5"/>
                <c:pt idx="0">
                  <c:v>Concluída no prazo</c:v>
                </c:pt>
                <c:pt idx="1">
                  <c:v>Concluída com atraso</c:v>
                </c:pt>
                <c:pt idx="2">
                  <c:v>No prazo</c:v>
                </c:pt>
                <c:pt idx="3">
                  <c:v>Atrasada</c:v>
                </c:pt>
                <c:pt idx="4">
                  <c:v>Cancelada</c:v>
                </c:pt>
              </c:strCache>
            </c:strRef>
          </c:cat>
          <c:val>
            <c:numRef>
              <c:f>'Exemplo 2 - Indústria'!$E$23:$E$27</c:f>
              <c:numCache>
                <c:formatCode>General</c:formatCode>
                <c:ptCount val="5"/>
                <c:pt idx="0">
                  <c:v>5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</c:ser>
        <c:gapWidth val="60"/>
        <c:overlap val="0"/>
        <c:axId val="18422225"/>
        <c:axId val="86636209"/>
      </c:barChart>
      <c:catAx>
        <c:axId val="1842222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36209"/>
        <c:crosses val="autoZero"/>
        <c:auto val="1"/>
        <c:lblAlgn val="ctr"/>
        <c:lblOffset val="100"/>
        <c:noMultiLvlLbl val="0"/>
      </c:catAx>
      <c:valAx>
        <c:axId val="8663620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22225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31</xdr:row>
      <xdr:rowOff>0</xdr:rowOff>
    </xdr:from>
    <xdr:to>
      <xdr:col>10</xdr:col>
      <xdr:colOff>1679040</xdr:colOff>
      <xdr:row>42</xdr:row>
      <xdr:rowOff>136080</xdr:rowOff>
    </xdr:to>
    <xdr:graphicFrame>
      <xdr:nvGraphicFramePr>
        <xdr:cNvPr id="0" name="Chart 1"/>
        <xdr:cNvGraphicFramePr/>
      </xdr:nvGraphicFramePr>
      <xdr:xfrm>
        <a:off x="8317080" y="10134720"/>
        <a:ext cx="611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21</xdr:row>
      <xdr:rowOff>0</xdr:rowOff>
    </xdr:from>
    <xdr:to>
      <xdr:col>9</xdr:col>
      <xdr:colOff>410400</xdr:colOff>
      <xdr:row>28</xdr:row>
      <xdr:rowOff>82080</xdr:rowOff>
    </xdr:to>
    <xdr:graphicFrame>
      <xdr:nvGraphicFramePr>
        <xdr:cNvPr id="1" name="Chart 1"/>
        <xdr:cNvGraphicFramePr/>
      </xdr:nvGraphicFramePr>
      <xdr:xfrm>
        <a:off x="7400880" y="6324480"/>
        <a:ext cx="6119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8" t="s">
        <v>14</v>
      </c>
      <c r="C12" s="9" t="s">
        <v>15</v>
      </c>
    </row>
    <row r="13" customFormat="false" ht="31.5" hidden="false" customHeight="true" outlineLevel="0" collapsed="false">
      <c r="B13" s="10" t="s">
        <v>16</v>
      </c>
      <c r="C13" s="11" t="s">
        <v>17</v>
      </c>
    </row>
    <row r="14" customFormat="false" ht="19.5" hidden="false" customHeight="true" outlineLevel="0" collapsed="false">
      <c r="B14" s="12" t="s">
        <v>18</v>
      </c>
      <c r="C14" s="13" t="s">
        <v>19</v>
      </c>
    </row>
    <row r="16" customFormat="false" ht="21.75" hidden="false" customHeight="true" outlineLevel="0" collapsed="false">
      <c r="B16" s="3" t="s">
        <v>20</v>
      </c>
      <c r="C16" s="3"/>
    </row>
    <row r="17" customFormat="false" ht="19.5" hidden="false" customHeight="true" outlineLevel="0" collapsed="false">
      <c r="B17" s="4" t="s">
        <v>21</v>
      </c>
      <c r="C17" s="7" t="s">
        <v>22</v>
      </c>
    </row>
    <row r="18" customFormat="false" ht="19.5" hidden="false" customHeight="true" outlineLevel="0" collapsed="false">
      <c r="B18" s="4" t="s">
        <v>23</v>
      </c>
      <c r="C18" s="7" t="s">
        <v>24</v>
      </c>
    </row>
    <row r="19" customFormat="false" ht="31.5" hidden="false" customHeight="true" outlineLevel="0" collapsed="false">
      <c r="B19" s="4" t="s">
        <v>25</v>
      </c>
      <c r="C19" s="7" t="s">
        <v>26</v>
      </c>
    </row>
    <row r="20" customFormat="false" ht="19.5" hidden="false" customHeight="true" outlineLevel="0" collapsed="false">
      <c r="B20" s="4" t="s">
        <v>27</v>
      </c>
      <c r="C20" s="7" t="s">
        <v>28</v>
      </c>
    </row>
    <row r="21" customFormat="false" ht="31.5" hidden="false" customHeight="true" outlineLevel="0" collapsed="false">
      <c r="B21" s="4" t="s">
        <v>29</v>
      </c>
      <c r="C21" s="7" t="s">
        <v>30</v>
      </c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5" customFormat="false" ht="21.75" hidden="false" customHeight="true" outlineLevel="0" collapsed="false">
      <c r="B25" s="3" t="s">
        <v>35</v>
      </c>
      <c r="C25" s="3"/>
    </row>
    <row r="26" customFormat="false" ht="19.5" hidden="false" customHeight="true" outlineLevel="0" collapsed="false">
      <c r="B26" s="4" t="s">
        <v>36</v>
      </c>
      <c r="C26" s="7" t="s">
        <v>37</v>
      </c>
    </row>
    <row r="27" customFormat="false" ht="19.5" hidden="false" customHeight="true" outlineLevel="0" collapsed="false">
      <c r="B27" s="4" t="s">
        <v>38</v>
      </c>
      <c r="C27" s="7" t="s">
        <v>39</v>
      </c>
    </row>
    <row r="28" customFormat="false" ht="19.5" hidden="false" customHeight="true" outlineLevel="0" collapsed="false">
      <c r="B28" s="4" t="s">
        <v>40</v>
      </c>
      <c r="C28" s="7" t="s">
        <v>41</v>
      </c>
    </row>
    <row r="29" customFormat="false" ht="19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4" customFormat="false" ht="21.75" hidden="false" customHeight="true" outlineLevel="0" collapsed="false">
      <c r="B34" s="3" t="s">
        <v>50</v>
      </c>
      <c r="C34" s="3"/>
    </row>
    <row r="35" customFormat="false" ht="31.5" hidden="false" customHeight="true" outlineLevel="0" collapsed="false">
      <c r="B35" s="4" t="s">
        <v>51</v>
      </c>
      <c r="C35" s="7" t="s">
        <v>52</v>
      </c>
    </row>
    <row r="36" customFormat="false" ht="19.5" hidden="false" customHeight="true" outlineLevel="0" collapsed="false">
      <c r="B36" s="4" t="s">
        <v>53</v>
      </c>
      <c r="C36" s="7" t="s">
        <v>54</v>
      </c>
    </row>
    <row r="37" customFormat="false" ht="19.5" hidden="false" customHeight="true" outlineLevel="0" collapsed="false">
      <c r="B37" s="4" t="s">
        <v>55</v>
      </c>
      <c r="C37" s="7" t="s">
        <v>56</v>
      </c>
    </row>
    <row r="38" customFormat="false" ht="31.5" hidden="false" customHeight="true" outlineLevel="0" collapsed="false">
      <c r="B38" s="4" t="s">
        <v>57</v>
      </c>
      <c r="C38" s="7" t="s">
        <v>58</v>
      </c>
    </row>
    <row r="39" customFormat="false" ht="31.5" hidden="false" customHeight="true" outlineLevel="0" collapsed="false">
      <c r="B39" s="4" t="s">
        <v>59</v>
      </c>
      <c r="C39" s="7" t="s">
        <v>60</v>
      </c>
    </row>
    <row r="40" customFormat="false" ht="31.5" hidden="false" customHeight="true" outlineLevel="0" collapsed="false">
      <c r="B40" s="4" t="s">
        <v>61</v>
      </c>
      <c r="C40" s="7" t="s">
        <v>62</v>
      </c>
    </row>
    <row r="41" customFormat="false" ht="19.5" hidden="false" customHeight="true" outlineLevel="0" collapsed="false">
      <c r="B41" s="4" t="s">
        <v>63</v>
      </c>
      <c r="C41" s="7" t="s">
        <v>64</v>
      </c>
    </row>
  </sheetData>
  <mergeCells count="7">
    <mergeCell ref="B1:C1"/>
    <mergeCell ref="B2:C2"/>
    <mergeCell ref="B4:C4"/>
    <mergeCell ref="B11:C11"/>
    <mergeCell ref="B16:C16"/>
    <mergeCell ref="B25:C25"/>
    <mergeCell ref="B34:C3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G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44"/>
    <col collapsed="false" customWidth="true" hidden="false" outlineLevel="0" max="8" min="8" style="0" width="2"/>
  </cols>
  <sheetData>
    <row r="1" customFormat="false" ht="31.5" hidden="false" customHeight="true" outlineLevel="0" collapsed="false">
      <c r="B1" s="1" t="s">
        <v>65</v>
      </c>
      <c r="C1" s="1"/>
      <c r="D1" s="1"/>
      <c r="E1" s="1"/>
      <c r="F1" s="1"/>
      <c r="G1" s="1"/>
    </row>
    <row r="2" customFormat="false" ht="19.5" hidden="false" customHeight="true" outlineLevel="0" collapsed="false">
      <c r="B2" s="2" t="s">
        <v>66</v>
      </c>
      <c r="C2" s="2"/>
      <c r="D2" s="2"/>
      <c r="E2" s="2"/>
      <c r="F2" s="2"/>
      <c r="G2" s="2"/>
    </row>
    <row r="4" customFormat="false" ht="21.75" hidden="false" customHeight="true" outlineLevel="0" collapsed="false">
      <c r="B4" s="4" t="s">
        <v>67</v>
      </c>
      <c r="C4" s="4"/>
      <c r="D4" s="5"/>
      <c r="E4" s="5"/>
      <c r="F4" s="5"/>
      <c r="G4" s="5"/>
    </row>
    <row r="5" customFormat="false" ht="21.75" hidden="false" customHeight="true" outlineLevel="0" collapsed="false">
      <c r="B5" s="4" t="s">
        <v>68</v>
      </c>
      <c r="C5" s="4"/>
      <c r="D5" s="14"/>
      <c r="E5" s="14"/>
      <c r="F5" s="14"/>
      <c r="G5" s="14"/>
    </row>
    <row r="6" customFormat="false" ht="21.75" hidden="false" customHeight="true" outlineLevel="0" collapsed="false">
      <c r="B6" s="4" t="s">
        <v>69</v>
      </c>
      <c r="C6" s="4"/>
      <c r="D6" s="5"/>
      <c r="E6" s="5"/>
      <c r="F6" s="5"/>
      <c r="G6" s="5"/>
    </row>
    <row r="7" customFormat="false" ht="21.75" hidden="false" customHeight="true" outlineLevel="0" collapsed="false">
      <c r="B7" s="4" t="s">
        <v>70</v>
      </c>
      <c r="C7" s="4"/>
      <c r="D7" s="5"/>
      <c r="E7" s="5"/>
      <c r="F7" s="5"/>
      <c r="G7" s="5"/>
    </row>
    <row r="8" customFormat="false" ht="21.75" hidden="false" customHeight="true" outlineLevel="0" collapsed="false">
      <c r="B8" s="4" t="s">
        <v>71</v>
      </c>
      <c r="C8" s="4"/>
      <c r="D8" s="5"/>
      <c r="E8" s="5"/>
      <c r="F8" s="5"/>
      <c r="G8" s="5"/>
    </row>
    <row r="9" customFormat="false" ht="21.75" hidden="false" customHeight="true" outlineLevel="0" collapsed="false">
      <c r="B9" s="4" t="s">
        <v>72</v>
      </c>
      <c r="C9" s="4"/>
      <c r="D9" s="5"/>
      <c r="E9" s="5"/>
      <c r="F9" s="5"/>
      <c r="G9" s="5"/>
    </row>
    <row r="10" customFormat="false" ht="21.75" hidden="false" customHeight="true" outlineLevel="0" collapsed="false">
      <c r="B10" s="4" t="s">
        <v>73</v>
      </c>
      <c r="C10" s="4"/>
      <c r="D10" s="14"/>
      <c r="E10" s="14"/>
      <c r="F10" s="14"/>
      <c r="G10" s="14"/>
    </row>
    <row r="11" customFormat="false" ht="21.75" hidden="false" customHeight="true" outlineLevel="0" collapsed="false">
      <c r="B11" s="4" t="s">
        <v>74</v>
      </c>
      <c r="C11" s="4"/>
      <c r="D11" s="14"/>
      <c r="E11" s="14"/>
      <c r="F11" s="14"/>
      <c r="G11" s="14"/>
    </row>
    <row r="13" customFormat="false" ht="21.75" hidden="false" customHeight="true" outlineLevel="0" collapsed="false">
      <c r="B13" s="15" t="s">
        <v>75</v>
      </c>
      <c r="C13" s="15"/>
      <c r="D13" s="15"/>
      <c r="E13" s="15"/>
      <c r="F13" s="15"/>
      <c r="G13" s="15"/>
    </row>
    <row r="14" customFormat="false" ht="21.75" hidden="false" customHeight="true" outlineLevel="0" collapsed="false">
      <c r="B14" s="16" t="s">
        <v>76</v>
      </c>
      <c r="C14" s="16" t="s">
        <v>77</v>
      </c>
      <c r="D14" s="16" t="s">
        <v>78</v>
      </c>
      <c r="E14" s="16" t="s">
        <v>79</v>
      </c>
      <c r="F14" s="16" t="s">
        <v>80</v>
      </c>
      <c r="G14" s="16" t="s">
        <v>81</v>
      </c>
    </row>
    <row r="15" customFormat="false" ht="21.75" hidden="false" customHeight="true" outlineLevel="0" collapsed="false">
      <c r="B15" s="17" t="s">
        <v>82</v>
      </c>
      <c r="C15" s="18" t="s">
        <v>83</v>
      </c>
      <c r="D15" s="18" t="s">
        <v>84</v>
      </c>
      <c r="E15" s="17" t="s">
        <v>85</v>
      </c>
      <c r="F15" s="17" t="s">
        <v>86</v>
      </c>
      <c r="G15" s="18" t="s">
        <v>87</v>
      </c>
    </row>
    <row r="16" customFormat="false" ht="21.75" hidden="false" customHeight="true" outlineLevel="0" collapsed="false">
      <c r="B16" s="19" t="n">
        <v>1</v>
      </c>
      <c r="C16" s="5"/>
      <c r="D16" s="5"/>
      <c r="E16" s="20"/>
      <c r="F16" s="20"/>
      <c r="G16" s="5"/>
    </row>
    <row r="17" customFormat="false" ht="21.75" hidden="false" customHeight="true" outlineLevel="0" collapsed="false">
      <c r="B17" s="19" t="n">
        <v>2</v>
      </c>
      <c r="C17" s="5"/>
      <c r="D17" s="5"/>
      <c r="E17" s="20"/>
      <c r="F17" s="20"/>
      <c r="G17" s="5"/>
    </row>
    <row r="18" customFormat="false" ht="21.75" hidden="false" customHeight="true" outlineLevel="0" collapsed="false">
      <c r="B18" s="19" t="n">
        <v>3</v>
      </c>
      <c r="C18" s="5"/>
      <c r="D18" s="5"/>
      <c r="E18" s="20"/>
      <c r="F18" s="20"/>
      <c r="G18" s="5"/>
    </row>
    <row r="19" customFormat="false" ht="21.75" hidden="false" customHeight="true" outlineLevel="0" collapsed="false">
      <c r="B19" s="19" t="n">
        <v>4</v>
      </c>
      <c r="C19" s="5"/>
      <c r="D19" s="5"/>
      <c r="E19" s="20"/>
      <c r="F19" s="20"/>
      <c r="G19" s="5"/>
    </row>
    <row r="20" customFormat="false" ht="21.75" hidden="false" customHeight="true" outlineLevel="0" collapsed="false">
      <c r="B20" s="19" t="n">
        <v>5</v>
      </c>
      <c r="C20" s="5"/>
      <c r="D20" s="5"/>
      <c r="E20" s="20"/>
      <c r="F20" s="20"/>
      <c r="G20" s="5"/>
    </row>
    <row r="21" customFormat="false" ht="21.75" hidden="false" customHeight="true" outlineLevel="0" collapsed="false">
      <c r="B21" s="19" t="n">
        <v>6</v>
      </c>
      <c r="C21" s="5"/>
      <c r="D21" s="5"/>
      <c r="E21" s="20"/>
      <c r="F21" s="20"/>
      <c r="G21" s="5"/>
    </row>
    <row r="22" customFormat="false" ht="21.75" hidden="false" customHeight="true" outlineLevel="0" collapsed="false">
      <c r="B22" s="19" t="n">
        <v>7</v>
      </c>
      <c r="C22" s="5"/>
      <c r="D22" s="5"/>
      <c r="E22" s="20"/>
      <c r="F22" s="20"/>
      <c r="G22" s="5"/>
    </row>
    <row r="23" customFormat="false" ht="21.75" hidden="false" customHeight="true" outlineLevel="0" collapsed="false">
      <c r="B23" s="19" t="n">
        <v>8</v>
      </c>
      <c r="C23" s="5"/>
      <c r="D23" s="5"/>
      <c r="E23" s="20"/>
      <c r="F23" s="20"/>
      <c r="G23" s="5"/>
    </row>
    <row r="24" customFormat="false" ht="21.75" hidden="false" customHeight="true" outlineLevel="0" collapsed="false">
      <c r="B24" s="19" t="n">
        <v>9</v>
      </c>
      <c r="C24" s="5"/>
      <c r="D24" s="5"/>
      <c r="E24" s="20"/>
      <c r="F24" s="20"/>
      <c r="G24" s="5"/>
    </row>
    <row r="25" customFormat="false" ht="21.75" hidden="false" customHeight="true" outlineLevel="0" collapsed="false">
      <c r="B25" s="19" t="n">
        <v>10</v>
      </c>
      <c r="C25" s="5"/>
      <c r="D25" s="5"/>
      <c r="E25" s="20"/>
      <c r="F25" s="20"/>
      <c r="G25" s="5"/>
    </row>
    <row r="27" customFormat="false" ht="21.75" hidden="false" customHeight="true" outlineLevel="0" collapsed="false">
      <c r="B27" s="15" t="s">
        <v>88</v>
      </c>
      <c r="C27" s="15"/>
      <c r="D27" s="15"/>
      <c r="E27" s="15"/>
      <c r="F27" s="15"/>
      <c r="G27" s="15"/>
    </row>
    <row r="28" customFormat="false" ht="21.75" hidden="false" customHeight="true" outlineLevel="0" collapsed="false">
      <c r="B28" s="16" t="s">
        <v>89</v>
      </c>
      <c r="C28" s="16"/>
      <c r="D28" s="16" t="s">
        <v>90</v>
      </c>
      <c r="E28" s="16"/>
      <c r="F28" s="16" t="s">
        <v>91</v>
      </c>
      <c r="G28" s="16" t="s">
        <v>92</v>
      </c>
    </row>
    <row r="29" customFormat="false" ht="33" hidden="false" customHeight="true" outlineLevel="0" collapsed="false">
      <c r="B29" s="4" t="s">
        <v>93</v>
      </c>
      <c r="C29" s="4"/>
      <c r="D29" s="6" t="s">
        <v>94</v>
      </c>
      <c r="E29" s="6"/>
      <c r="F29" s="20"/>
      <c r="G29" s="5"/>
    </row>
    <row r="30" customFormat="false" ht="33" hidden="false" customHeight="true" outlineLevel="0" collapsed="false">
      <c r="B30" s="4" t="s">
        <v>95</v>
      </c>
      <c r="C30" s="4"/>
      <c r="D30" s="6" t="s">
        <v>96</v>
      </c>
      <c r="E30" s="6"/>
      <c r="F30" s="20"/>
      <c r="G30" s="5"/>
    </row>
    <row r="31" customFormat="false" ht="33" hidden="false" customHeight="true" outlineLevel="0" collapsed="false">
      <c r="B31" s="4" t="s">
        <v>97</v>
      </c>
      <c r="C31" s="4"/>
      <c r="D31" s="6" t="s">
        <v>98</v>
      </c>
      <c r="E31" s="6"/>
      <c r="F31" s="20"/>
      <c r="G31" s="5"/>
    </row>
    <row r="32" customFormat="false" ht="33" hidden="false" customHeight="true" outlineLevel="0" collapsed="false">
      <c r="B32" s="4" t="s">
        <v>99</v>
      </c>
      <c r="C32" s="4"/>
      <c r="D32" s="6" t="s">
        <v>100</v>
      </c>
      <c r="E32" s="6"/>
      <c r="F32" s="20"/>
      <c r="G32" s="5"/>
    </row>
    <row r="34" customFormat="false" ht="21.75" hidden="false" customHeight="true" outlineLevel="0" collapsed="false">
      <c r="B34" s="15" t="s">
        <v>101</v>
      </c>
      <c r="C34" s="15"/>
      <c r="D34" s="15"/>
      <c r="E34" s="15"/>
      <c r="F34" s="15"/>
      <c r="G34" s="15"/>
    </row>
    <row r="35" customFormat="false" ht="21.75" hidden="false" customHeight="true" outlineLevel="0" collapsed="false">
      <c r="B35" s="21" t="s">
        <v>102</v>
      </c>
      <c r="C35" s="21"/>
      <c r="D35" s="21"/>
      <c r="E35" s="22" t="n">
        <f aca="false">COUNTIF(F16:F25,"Presente")</f>
        <v>0</v>
      </c>
      <c r="F35" s="22"/>
      <c r="G35" s="22"/>
    </row>
    <row r="36" customFormat="false" ht="21.75" hidden="false" customHeight="true" outlineLevel="0" collapsed="false">
      <c r="B36" s="21" t="s">
        <v>103</v>
      </c>
      <c r="C36" s="21"/>
      <c r="D36" s="21"/>
      <c r="E36" s="22" t="n">
        <f aca="false">COUNTIFS(E16:E25,"Sim",F16:F25,"Presente")</f>
        <v>0</v>
      </c>
      <c r="F36" s="22"/>
      <c r="G36" s="22"/>
    </row>
    <row r="37" customFormat="false" ht="21.75" hidden="false" customHeight="true" outlineLevel="0" collapsed="false">
      <c r="B37" s="21" t="s">
        <v>104</v>
      </c>
      <c r="C37" s="21"/>
      <c r="D37" s="21"/>
      <c r="E37" s="22" t="str">
        <f aca="false">IF(OR(D5="",D10=""),"",ROUND((D5-D10)/30.4375,0))</f>
        <v/>
      </c>
      <c r="F37" s="22"/>
      <c r="G37" s="22"/>
    </row>
    <row r="38" customFormat="false" ht="21.75" hidden="false" customHeight="true" outlineLevel="0" collapsed="false">
      <c r="B38" s="21" t="s">
        <v>105</v>
      </c>
      <c r="C38" s="21"/>
      <c r="D38" s="21"/>
      <c r="E38" s="22" t="n">
        <f aca="false">Entradas!E20</f>
        <v>0</v>
      </c>
      <c r="F38" s="22"/>
      <c r="G38" s="22"/>
    </row>
    <row r="39" customFormat="false" ht="21.75" hidden="false" customHeight="true" outlineLevel="0" collapsed="false">
      <c r="B39" s="21" t="s">
        <v>106</v>
      </c>
      <c r="C39" s="21"/>
      <c r="D39" s="21"/>
      <c r="E39" s="22" t="n">
        <f aca="false">Saídas!E24</f>
        <v>0</v>
      </c>
      <c r="F39" s="22"/>
      <c r="G39" s="22"/>
    </row>
    <row r="40" customFormat="false" ht="21.75" hidden="false" customHeight="true" outlineLevel="0" collapsed="false">
      <c r="B40" s="21" t="s">
        <v>107</v>
      </c>
      <c r="C40" s="21"/>
      <c r="D40" s="21"/>
      <c r="E40" s="22" t="n">
        <f aca="false">'Ações anteriores'!E29</f>
        <v>0</v>
      </c>
      <c r="F40" s="22"/>
      <c r="G40" s="22"/>
    </row>
    <row r="41" customFormat="false" ht="21.75" hidden="false" customHeight="true" outlineLevel="0" collapsed="false">
      <c r="B41" s="21" t="s">
        <v>108</v>
      </c>
      <c r="C41" s="21"/>
      <c r="D41" s="21"/>
      <c r="E41" s="23" t="str">
        <f aca="false">IF(D5="","Informe a data da reunião",IF(E36=0,"Falta a presença da alta direção",IF(E38&lt;12,"Há entrada sem análise: veja a aba Entradas",IF(Entradas!E25&gt;0,"Há entrada crítica sem decisão",IF(COUNTIF(Saídas!K7:K21,"Falta*")+COUNTIF(Saídas!K7:K21,"Prazo*")&gt;0,"Há decisão com o registro incompleto",IF(COUNTA(F29:F32)&lt;4,"Falta a avaliação do sistema",IF(COUNTA(G29:G32)&lt;4,"Falta a justificativa da avaliação",IF(D11="","Marque a data da próxima análise",IF(D11&lt;=D5,"A próxima análise tem data anterior à reunião","OK")))))))))</f>
        <v>Informe a data da reunião</v>
      </c>
      <c r="F41" s="23"/>
      <c r="G41" s="23"/>
    </row>
  </sheetData>
  <mergeCells count="45">
    <mergeCell ref="B1:G1"/>
    <mergeCell ref="B2:G2"/>
    <mergeCell ref="B4:C4"/>
    <mergeCell ref="D4:G4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0:C10"/>
    <mergeCell ref="D10:G10"/>
    <mergeCell ref="B11:C11"/>
    <mergeCell ref="D11:G11"/>
    <mergeCell ref="B13:G13"/>
    <mergeCell ref="B27:G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4:G34"/>
    <mergeCell ref="B35:D35"/>
    <mergeCell ref="E35:G35"/>
    <mergeCell ref="B36:D36"/>
    <mergeCell ref="E36:G36"/>
    <mergeCell ref="B37:D37"/>
    <mergeCell ref="E37:G37"/>
    <mergeCell ref="B38:D38"/>
    <mergeCell ref="E38:G38"/>
    <mergeCell ref="B39:D39"/>
    <mergeCell ref="E39:G39"/>
    <mergeCell ref="B40:D40"/>
    <mergeCell ref="E40:G40"/>
    <mergeCell ref="B41:D41"/>
    <mergeCell ref="E41:G41"/>
  </mergeCells>
  <conditionalFormatting sqref="F29:F32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conditionalFormatting sqref="E41:G41">
    <cfRule type="expression" priority="5" aboveAverage="0" equalAverage="0" bottom="0" percent="0" rank="0" text="" dxfId="0">
      <formula>OR(E41="OK")</formula>
    </cfRule>
    <cfRule type="expression" priority="6" aboveAverage="0" equalAverage="0" bottom="0" percent="0" rank="0" text="" dxfId="1">
      <formula>AND(LEN(E41)&gt;0,NOT(OR(E41="OK")))</formula>
    </cfRule>
  </conditionalFormatting>
  <dataValidations count="4">
    <dataValidation allowBlank="true" error="Digite uma data no formato dia/mês/ano." errorStyle="stop" errorTitle="Data inválida" operator="greaterThanOrEqual" showDropDown="false" showErrorMessage="true" showInputMessage="false" sqref="D5 D10:D11" type="date">
      <formula1>36526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E16:E25" type="list">
      <formula1>"Sim,Não"</formula1>
      <formula2>0</formula2>
    </dataValidation>
    <dataValidation allowBlank="true" error="Escolha uma das opções da lista." errorStyle="stop" errorTitle="Valor inválido" operator="between" prompt="Presente, Ausente ou Justificado" promptTitle="Opções" showDropDown="false" showErrorMessage="true" showInputMessage="true" sqref="F16:F25" type="list">
      <formula1>"Presente,Ausente,Justificado"</formula1>
      <formula2>0</formula2>
    </dataValidation>
    <dataValidation allowBlank="true" error="Escolha uma das opções da lista." errorStyle="stop" errorTitle="Valor inválido" operator="between" prompt="Sim, Parcial ou Não" promptTitle="Opções" showDropDown="false" showErrorMessage="true" showInputMessage="true" sqref="F29:F32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38"/>
    <col collapsed="false" customWidth="true" hidden="false" outlineLevel="0" max="11" min="11" style="0" width="24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109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110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B4" s="4" t="s">
        <v>111</v>
      </c>
      <c r="C4" s="4"/>
      <c r="D4" s="24" t="str">
        <f aca="false">IF(Reunião!D5="","",Reunião!D5)</f>
        <v/>
      </c>
      <c r="E4" s="18" t="s">
        <v>112</v>
      </c>
      <c r="F4" s="18"/>
      <c r="G4" s="18"/>
      <c r="H4" s="18"/>
      <c r="I4" s="18"/>
      <c r="J4" s="18"/>
      <c r="K4" s="18"/>
    </row>
    <row r="6" customFormat="false" ht="24" hidden="false" customHeight="true" outlineLevel="0" collapsed="false">
      <c r="B6" s="16" t="s">
        <v>76</v>
      </c>
      <c r="C6" s="16" t="s">
        <v>113</v>
      </c>
      <c r="D6" s="16" t="s">
        <v>114</v>
      </c>
      <c r="E6" s="16" t="s">
        <v>115</v>
      </c>
      <c r="F6" s="16" t="s">
        <v>116</v>
      </c>
      <c r="G6" s="16" t="s">
        <v>117</v>
      </c>
      <c r="H6" s="16" t="s">
        <v>118</v>
      </c>
      <c r="I6" s="16" t="s">
        <v>119</v>
      </c>
      <c r="J6" s="16" t="s">
        <v>120</v>
      </c>
      <c r="K6" s="16" t="s">
        <v>121</v>
      </c>
    </row>
    <row r="7" customFormat="false" ht="30" hidden="false" customHeight="true" outlineLevel="0" collapsed="false">
      <c r="B7" s="17"/>
      <c r="C7" s="17" t="s">
        <v>122</v>
      </c>
      <c r="D7" s="17" t="s">
        <v>123</v>
      </c>
      <c r="E7" s="17" t="s">
        <v>124</v>
      </c>
      <c r="F7" s="17" t="s">
        <v>125</v>
      </c>
      <c r="G7" s="17" t="s">
        <v>126</v>
      </c>
      <c r="H7" s="17" t="s">
        <v>127</v>
      </c>
      <c r="I7" s="17" t="s">
        <v>128</v>
      </c>
      <c r="J7" s="17" t="s">
        <v>129</v>
      </c>
      <c r="K7" s="17" t="s">
        <v>130</v>
      </c>
    </row>
    <row r="8" customFormat="false" ht="24" hidden="false" customHeight="true" outlineLevel="0" collapsed="false">
      <c r="B8" s="17" t="s">
        <v>82</v>
      </c>
      <c r="C8" s="25" t="n">
        <v>46065</v>
      </c>
      <c r="D8" s="18" t="s">
        <v>131</v>
      </c>
      <c r="E8" s="18" t="s">
        <v>132</v>
      </c>
      <c r="F8" s="25" t="n">
        <v>46142</v>
      </c>
      <c r="G8" s="17" t="s">
        <v>133</v>
      </c>
      <c r="H8" s="25" t="n">
        <v>46157</v>
      </c>
      <c r="I8" s="17" t="s">
        <v>85</v>
      </c>
      <c r="J8" s="18" t="s">
        <v>134</v>
      </c>
      <c r="K8" s="17" t="s">
        <v>135</v>
      </c>
    </row>
    <row r="9" customFormat="false" ht="30" hidden="false" customHeight="true" outlineLevel="0" collapsed="false">
      <c r="B9" s="19" t="n">
        <v>1</v>
      </c>
      <c r="C9" s="26"/>
      <c r="D9" s="5"/>
      <c r="E9" s="5"/>
      <c r="F9" s="26"/>
      <c r="G9" s="20"/>
      <c r="H9" s="26"/>
      <c r="I9" s="20"/>
      <c r="J9" s="5"/>
      <c r="K9" s="27" t="str">
        <f aca="true">IF(D9="","",IF(F9="","Falta o prazo",IF(G9="","Falta o status",IF(G9="Cancelada","Cancelada",IF(G9="Concluída",IF(H9="","Falta a data de conclusão",IF(H9&lt;=F9,"Concluída no prazo","Concluída com atraso")),IF(F9&lt;IF($D$4="",TODAY(),$D$4),"Atrasada","No prazo"))))))</f>
        <v/>
      </c>
    </row>
    <row r="10" customFormat="false" ht="30" hidden="false" customHeight="true" outlineLevel="0" collapsed="false">
      <c r="B10" s="19" t="n">
        <v>2</v>
      </c>
      <c r="C10" s="26"/>
      <c r="D10" s="5"/>
      <c r="E10" s="5"/>
      <c r="F10" s="26"/>
      <c r="G10" s="20"/>
      <c r="H10" s="26"/>
      <c r="I10" s="20"/>
      <c r="J10" s="5"/>
      <c r="K10" s="27" t="str">
        <f aca="true">IF(D10="","",IF(F10="","Falta o prazo",IF(G10="","Falta o status",IF(G10="Cancelada","Cancelada",IF(G10="Concluída",IF(H10="","Falta a data de conclusão",IF(H10&lt;=F10,"Concluída no prazo","Concluída com atraso")),IF(F10&lt;IF($D$4="",TODAY(),$D$4),"Atrasada","No prazo"))))))</f>
        <v/>
      </c>
    </row>
    <row r="11" customFormat="false" ht="30" hidden="false" customHeight="true" outlineLevel="0" collapsed="false">
      <c r="B11" s="19" t="n">
        <v>3</v>
      </c>
      <c r="C11" s="26"/>
      <c r="D11" s="5"/>
      <c r="E11" s="5"/>
      <c r="F11" s="26"/>
      <c r="G11" s="20"/>
      <c r="H11" s="26"/>
      <c r="I11" s="20"/>
      <c r="J11" s="5"/>
      <c r="K11" s="27" t="str">
        <f aca="true">IF(D11="","",IF(F11="","Falta o prazo",IF(G11="","Falta o status",IF(G11="Cancelada","Cancelada",IF(G11="Concluída",IF(H11="","Falta a data de conclusão",IF(H11&lt;=F11,"Concluída no prazo","Concluída com atraso")),IF(F11&lt;IF($D$4="",TODAY(),$D$4),"Atrasada","No prazo"))))))</f>
        <v/>
      </c>
    </row>
    <row r="12" customFormat="false" ht="30" hidden="false" customHeight="true" outlineLevel="0" collapsed="false">
      <c r="B12" s="19" t="n">
        <v>4</v>
      </c>
      <c r="C12" s="26"/>
      <c r="D12" s="5"/>
      <c r="E12" s="5"/>
      <c r="F12" s="26"/>
      <c r="G12" s="20"/>
      <c r="H12" s="26"/>
      <c r="I12" s="20"/>
      <c r="J12" s="5"/>
      <c r="K12" s="27" t="str">
        <f aca="true">IF(D12="","",IF(F12="","Falta o prazo",IF(G12="","Falta o status",IF(G12="Cancelada","Cancelada",IF(G12="Concluída",IF(H12="","Falta a data de conclusão",IF(H12&lt;=F12,"Concluída no prazo","Concluída com atraso")),IF(F12&lt;IF($D$4="",TODAY(),$D$4),"Atrasada","No prazo"))))))</f>
        <v/>
      </c>
    </row>
    <row r="13" customFormat="false" ht="30" hidden="false" customHeight="true" outlineLevel="0" collapsed="false">
      <c r="B13" s="19" t="n">
        <v>5</v>
      </c>
      <c r="C13" s="26"/>
      <c r="D13" s="5"/>
      <c r="E13" s="5"/>
      <c r="F13" s="26"/>
      <c r="G13" s="20"/>
      <c r="H13" s="26"/>
      <c r="I13" s="20"/>
      <c r="J13" s="5"/>
      <c r="K13" s="27" t="str">
        <f aca="true">IF(D13="","",IF(F13="","Falta o prazo",IF(G13="","Falta o status",IF(G13="Cancelada","Cancelada",IF(G13="Concluída",IF(H13="","Falta a data de conclusão",IF(H13&lt;=F13,"Concluída no prazo","Concluída com atraso")),IF(F13&lt;IF($D$4="",TODAY(),$D$4),"Atrasada","No prazo"))))))</f>
        <v/>
      </c>
    </row>
    <row r="14" customFormat="false" ht="30" hidden="false" customHeight="true" outlineLevel="0" collapsed="false">
      <c r="B14" s="19" t="n">
        <v>6</v>
      </c>
      <c r="C14" s="26"/>
      <c r="D14" s="5"/>
      <c r="E14" s="5"/>
      <c r="F14" s="26"/>
      <c r="G14" s="20"/>
      <c r="H14" s="26"/>
      <c r="I14" s="20"/>
      <c r="J14" s="5"/>
      <c r="K14" s="27" t="str">
        <f aca="true">IF(D14="","",IF(F14="","Falta o prazo",IF(G14="","Falta o status",IF(G14="Cancelada","Cancelada",IF(G14="Concluída",IF(H14="","Falta a data de conclusão",IF(H14&lt;=F14,"Concluída no prazo","Concluída com atraso")),IF(F14&lt;IF($D$4="",TODAY(),$D$4),"Atrasada","No prazo"))))))</f>
        <v/>
      </c>
    </row>
    <row r="15" customFormat="false" ht="30" hidden="false" customHeight="true" outlineLevel="0" collapsed="false">
      <c r="B15" s="19" t="n">
        <v>7</v>
      </c>
      <c r="C15" s="26"/>
      <c r="D15" s="5"/>
      <c r="E15" s="5"/>
      <c r="F15" s="26"/>
      <c r="G15" s="20"/>
      <c r="H15" s="26"/>
      <c r="I15" s="20"/>
      <c r="J15" s="5"/>
      <c r="K15" s="27" t="str">
        <f aca="true">IF(D15="","",IF(F15="","Falta o prazo",IF(G15="","Falta o status",IF(G15="Cancelada","Cancelada",IF(G15="Concluída",IF(H15="","Falta a data de conclusão",IF(H15&lt;=F15,"Concluída no prazo","Concluída com atraso")),IF(F15&lt;IF($D$4="",TODAY(),$D$4),"Atrasada","No prazo"))))))</f>
        <v/>
      </c>
    </row>
    <row r="16" customFormat="false" ht="30" hidden="false" customHeight="true" outlineLevel="0" collapsed="false">
      <c r="B16" s="19" t="n">
        <v>8</v>
      </c>
      <c r="C16" s="26"/>
      <c r="D16" s="5"/>
      <c r="E16" s="5"/>
      <c r="F16" s="26"/>
      <c r="G16" s="20"/>
      <c r="H16" s="26"/>
      <c r="I16" s="20"/>
      <c r="J16" s="5"/>
      <c r="K16" s="27" t="str">
        <f aca="true">IF(D16="","",IF(F16="","Falta o prazo",IF(G16="","Falta o status",IF(G16="Cancelada","Cancelada",IF(G16="Concluída",IF(H16="","Falta a data de conclusão",IF(H16&lt;=F16,"Concluída no prazo","Concluída com atraso")),IF(F16&lt;IF($D$4="",TODAY(),$D$4),"Atrasada","No prazo"))))))</f>
        <v/>
      </c>
    </row>
    <row r="17" customFormat="false" ht="30" hidden="false" customHeight="true" outlineLevel="0" collapsed="false">
      <c r="B17" s="19" t="n">
        <v>9</v>
      </c>
      <c r="C17" s="26"/>
      <c r="D17" s="5"/>
      <c r="E17" s="5"/>
      <c r="F17" s="26"/>
      <c r="G17" s="20"/>
      <c r="H17" s="26"/>
      <c r="I17" s="20"/>
      <c r="J17" s="5"/>
      <c r="K17" s="27" t="str">
        <f aca="true">IF(D17="","",IF(F17="","Falta o prazo",IF(G17="","Falta o status",IF(G17="Cancelada","Cancelada",IF(G17="Concluída",IF(H17="","Falta a data de conclusão",IF(H17&lt;=F17,"Concluída no prazo","Concluída com atraso")),IF(F17&lt;IF($D$4="",TODAY(),$D$4),"Atrasada","No prazo"))))))</f>
        <v/>
      </c>
    </row>
    <row r="18" customFormat="false" ht="30" hidden="false" customHeight="true" outlineLevel="0" collapsed="false">
      <c r="B18" s="19" t="n">
        <v>10</v>
      </c>
      <c r="C18" s="26"/>
      <c r="D18" s="5"/>
      <c r="E18" s="5"/>
      <c r="F18" s="26"/>
      <c r="G18" s="20"/>
      <c r="H18" s="26"/>
      <c r="I18" s="20"/>
      <c r="J18" s="5"/>
      <c r="K18" s="27" t="str">
        <f aca="true">IF(D18="","",IF(F18="","Falta o prazo",IF(G18="","Falta o status",IF(G18="Cancelada","Cancelada",IF(G18="Concluída",IF(H18="","Falta a data de conclusão",IF(H18&lt;=F18,"Concluída no prazo","Concluída com atraso")),IF(F18&lt;IF($D$4="",TODAY(),$D$4),"Atrasada","No prazo"))))))</f>
        <v/>
      </c>
    </row>
    <row r="19" customFormat="false" ht="30" hidden="false" customHeight="true" outlineLevel="0" collapsed="false">
      <c r="B19" s="19" t="n">
        <v>11</v>
      </c>
      <c r="C19" s="26"/>
      <c r="D19" s="5"/>
      <c r="E19" s="5"/>
      <c r="F19" s="26"/>
      <c r="G19" s="20"/>
      <c r="H19" s="26"/>
      <c r="I19" s="20"/>
      <c r="J19" s="5"/>
      <c r="K19" s="27" t="str">
        <f aca="true">IF(D19="","",IF(F19="","Falta o prazo",IF(G19="","Falta o status",IF(G19="Cancelada","Cancelada",IF(G19="Concluída",IF(H19="","Falta a data de conclusão",IF(H19&lt;=F19,"Concluída no prazo","Concluída com atraso")),IF(F19&lt;IF($D$4="",TODAY(),$D$4),"Atrasada","No prazo"))))))</f>
        <v/>
      </c>
    </row>
    <row r="20" customFormat="false" ht="30" hidden="false" customHeight="true" outlineLevel="0" collapsed="false">
      <c r="B20" s="19" t="n">
        <v>12</v>
      </c>
      <c r="C20" s="26"/>
      <c r="D20" s="5"/>
      <c r="E20" s="5"/>
      <c r="F20" s="26"/>
      <c r="G20" s="20"/>
      <c r="H20" s="26"/>
      <c r="I20" s="20"/>
      <c r="J20" s="5"/>
      <c r="K20" s="27" t="str">
        <f aca="true">IF(D20="","",IF(F20="","Falta o prazo",IF(G20="","Falta o status",IF(G20="Cancelada","Cancelada",IF(G20="Concluída",IF(H20="","Falta a data de conclusão",IF(H20&lt;=F20,"Concluída no prazo","Concluída com atraso")),IF(F20&lt;IF($D$4="",TODAY(),$D$4),"Atrasada","No prazo"))))))</f>
        <v/>
      </c>
    </row>
    <row r="21" customFormat="false" ht="30" hidden="false" customHeight="true" outlineLevel="0" collapsed="false">
      <c r="B21" s="19" t="n">
        <v>13</v>
      </c>
      <c r="C21" s="26"/>
      <c r="D21" s="5"/>
      <c r="E21" s="5"/>
      <c r="F21" s="26"/>
      <c r="G21" s="20"/>
      <c r="H21" s="26"/>
      <c r="I21" s="20"/>
      <c r="J21" s="5"/>
      <c r="K21" s="27" t="str">
        <f aca="true">IF(D21="","",IF(F21="","Falta o prazo",IF(G21="","Falta o status",IF(G21="Cancelada","Cancelada",IF(G21="Concluída",IF(H21="","Falta a data de conclusão",IF(H21&lt;=F21,"Concluída no prazo","Concluída com atraso")),IF(F21&lt;IF($D$4="",TODAY(),$D$4),"Atrasada","No prazo"))))))</f>
        <v/>
      </c>
    </row>
    <row r="22" customFormat="false" ht="30" hidden="false" customHeight="true" outlineLevel="0" collapsed="false">
      <c r="B22" s="19" t="n">
        <v>14</v>
      </c>
      <c r="C22" s="26"/>
      <c r="D22" s="5"/>
      <c r="E22" s="5"/>
      <c r="F22" s="26"/>
      <c r="G22" s="20"/>
      <c r="H22" s="26"/>
      <c r="I22" s="20"/>
      <c r="J22" s="5"/>
      <c r="K22" s="27" t="str">
        <f aca="true">IF(D22="","",IF(F22="","Falta o prazo",IF(G22="","Falta o status",IF(G22="Cancelada","Cancelada",IF(G22="Concluída",IF(H22="","Falta a data de conclusão",IF(H22&lt;=F22,"Concluída no prazo","Concluída com atraso")),IF(F22&lt;IF($D$4="",TODAY(),$D$4),"Atrasada","No prazo"))))))</f>
        <v/>
      </c>
    </row>
    <row r="23" customFormat="false" ht="30" hidden="false" customHeight="true" outlineLevel="0" collapsed="false">
      <c r="B23" s="19" t="n">
        <v>15</v>
      </c>
      <c r="C23" s="26"/>
      <c r="D23" s="5"/>
      <c r="E23" s="5"/>
      <c r="F23" s="26"/>
      <c r="G23" s="20"/>
      <c r="H23" s="26"/>
      <c r="I23" s="20"/>
      <c r="J23" s="5"/>
      <c r="K23" s="27" t="str">
        <f aca="true">IF(D23="","",IF(F23="","Falta o prazo",IF(G23="","Falta o status",IF(G23="Cancelada","Cancelada",IF(G23="Concluída",IF(H23="","Falta a data de conclusão",IF(H23&lt;=F23,"Concluída no prazo","Concluída com atraso")),IF(F23&lt;IF($D$4="",TODAY(),$D$4),"Atrasada","No prazo"))))))</f>
        <v/>
      </c>
    </row>
    <row r="25" customFormat="false" ht="21.75" hidden="false" customHeight="true" outlineLevel="0" collapsed="false">
      <c r="B25" s="15" t="s">
        <v>101</v>
      </c>
      <c r="C25" s="15"/>
      <c r="D25" s="15"/>
      <c r="E25" s="15"/>
      <c r="F25" s="15"/>
      <c r="H25" s="15" t="s">
        <v>136</v>
      </c>
      <c r="I25" s="15"/>
      <c r="J25" s="15"/>
      <c r="K25" s="15"/>
    </row>
    <row r="26" customFormat="false" ht="21.75" hidden="false" customHeight="true" outlineLevel="0" collapsed="false">
      <c r="B26" s="21" t="s">
        <v>137</v>
      </c>
      <c r="C26" s="21"/>
      <c r="D26" s="21"/>
      <c r="E26" s="22" t="n">
        <f aca="false">COUNTA(D9:D23)</f>
        <v>0</v>
      </c>
      <c r="F26" s="22"/>
      <c r="H26" s="4" t="s">
        <v>138</v>
      </c>
      <c r="I26" s="4"/>
      <c r="J26" s="4"/>
      <c r="K26" s="22" t="n">
        <f aca="false">COUNTIF(K9:K23,"Concluída no prazo")</f>
        <v>0</v>
      </c>
    </row>
    <row r="27" customFormat="false" ht="21.75" hidden="false" customHeight="true" outlineLevel="0" collapsed="false">
      <c r="B27" s="21" t="s">
        <v>139</v>
      </c>
      <c r="C27" s="21"/>
      <c r="D27" s="21"/>
      <c r="E27" s="22" t="n">
        <f aca="false">COUNTIF(K9:K23,"Concluída*")</f>
        <v>0</v>
      </c>
      <c r="F27" s="22"/>
      <c r="H27" s="4" t="s">
        <v>135</v>
      </c>
      <c r="I27" s="4"/>
      <c r="J27" s="4"/>
      <c r="K27" s="22" t="n">
        <f aca="false">COUNTIF(K9:K23,"Concluída com atraso")</f>
        <v>0</v>
      </c>
    </row>
    <row r="28" customFormat="false" ht="21.75" hidden="false" customHeight="true" outlineLevel="0" collapsed="false">
      <c r="B28" s="21" t="s">
        <v>140</v>
      </c>
      <c r="C28" s="21"/>
      <c r="D28" s="21"/>
      <c r="E28" s="28" t="str">
        <f aca="false">IF(E26-COUNTIF(K9:K23,"Cancelada")=0,"",E27/(E26-COUNTIF(K9:K23,"Cancelada")))</f>
        <v/>
      </c>
      <c r="F28" s="28"/>
      <c r="H28" s="4" t="s">
        <v>141</v>
      </c>
      <c r="I28" s="4"/>
      <c r="J28" s="4"/>
      <c r="K28" s="22" t="n">
        <f aca="false">COUNTIF(K9:K23,"No prazo")</f>
        <v>0</v>
      </c>
    </row>
    <row r="29" customFormat="false" ht="21.75" hidden="false" customHeight="true" outlineLevel="0" collapsed="false">
      <c r="B29" s="21" t="s">
        <v>142</v>
      </c>
      <c r="C29" s="21"/>
      <c r="D29" s="21"/>
      <c r="E29" s="22" t="n">
        <f aca="false">COUNTIF(K9:K23,"Atrasada")</f>
        <v>0</v>
      </c>
      <c r="F29" s="22"/>
      <c r="H29" s="4" t="s">
        <v>143</v>
      </c>
      <c r="I29" s="4"/>
      <c r="J29" s="4"/>
      <c r="K29" s="22" t="n">
        <f aca="false">COUNTIF(K9:K23,"Atrasada")</f>
        <v>0</v>
      </c>
    </row>
    <row r="30" customFormat="false" ht="21.75" hidden="false" customHeight="true" outlineLevel="0" collapsed="false">
      <c r="B30" s="21" t="s">
        <v>144</v>
      </c>
      <c r="C30" s="21"/>
      <c r="D30" s="21"/>
      <c r="E30" s="22" t="n">
        <f aca="false">COUNTIFS(G9:G23,"Concluída",I9:I23,"Sim")</f>
        <v>0</v>
      </c>
      <c r="F30" s="22"/>
      <c r="H30" s="4" t="s">
        <v>145</v>
      </c>
      <c r="I30" s="4"/>
      <c r="J30" s="4"/>
      <c r="K30" s="22" t="n">
        <f aca="false">COUNTIF(K9:K23,"Cancelada")</f>
        <v>0</v>
      </c>
    </row>
    <row r="31" customFormat="false" ht="21.75" hidden="false" customHeight="true" outlineLevel="0" collapsed="false">
      <c r="B31" s="21" t="s">
        <v>146</v>
      </c>
      <c r="C31" s="21"/>
      <c r="D31" s="21"/>
      <c r="E31" s="23" t="str">
        <f aca="false">IF(E26=0,"Sem ações anteriores",IF(COUNTIF(K9:K23,"Falta*")&gt;0,"Há ação com o registro incompleto: veja a coluna Situação",IF(COUNTIFS(G9:G23,"Concluída",I9:I23,"")&gt;0,"Há ação concluída sem avaliação da eficácia",IF(E29&gt;0,"Há ação atrasada: leve à reunião","OK"))))</f>
        <v>Sem ações anteriores</v>
      </c>
      <c r="F31" s="23"/>
    </row>
  </sheetData>
  <mergeCells count="23">
    <mergeCell ref="B1:K1"/>
    <mergeCell ref="B2:K2"/>
    <mergeCell ref="B4:C4"/>
    <mergeCell ref="E4:K4"/>
    <mergeCell ref="B25:F25"/>
    <mergeCell ref="H25:K25"/>
    <mergeCell ref="B26:D26"/>
    <mergeCell ref="E26:F26"/>
    <mergeCell ref="H26:J26"/>
    <mergeCell ref="B27:D27"/>
    <mergeCell ref="E27:F27"/>
    <mergeCell ref="H27:J27"/>
    <mergeCell ref="B28:D28"/>
    <mergeCell ref="E28:F28"/>
    <mergeCell ref="H28:J28"/>
    <mergeCell ref="B29:D29"/>
    <mergeCell ref="E29:F29"/>
    <mergeCell ref="H29:J29"/>
    <mergeCell ref="B30:D30"/>
    <mergeCell ref="E30:F30"/>
    <mergeCell ref="H30:J30"/>
    <mergeCell ref="B31:D31"/>
    <mergeCell ref="E31:F31"/>
  </mergeCells>
  <conditionalFormatting sqref="I9:I23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conditionalFormatting sqref="K9:K23">
    <cfRule type="cellIs" priority="5" operator="equal" aboveAverage="0" equalAverage="0" bottom="0" percent="0" rank="0" text="" dxfId="0">
      <formula>"Concluída no prazo"</formula>
    </cfRule>
    <cfRule type="cellIs" priority="6" operator="equal" aboveAverage="0" equalAverage="0" bottom="0" percent="0" rank="0" text="" dxfId="1">
      <formula>"Concluída com atraso"</formula>
    </cfRule>
    <cfRule type="cellIs" priority="7" operator="equal" aboveAverage="0" equalAverage="0" bottom="0" percent="0" rank="0" text="" dxfId="2">
      <formula>"Atrasada"</formula>
    </cfRule>
    <cfRule type="expression" priority="8" aboveAverage="0" equalAverage="0" bottom="0" percent="0" rank="0" text="" dxfId="1">
      <formula>LEFT(K9,5)="Falta"</formula>
    </cfRule>
  </conditionalFormatting>
  <conditionalFormatting sqref="E31:F31">
    <cfRule type="expression" priority="9" aboveAverage="0" equalAverage="0" bottom="0" percent="0" rank="0" text="" dxfId="0">
      <formula>OR(E31="OK")</formula>
    </cfRule>
    <cfRule type="expression" priority="10" aboveAverage="0" equalAverage="0" bottom="0" percent="0" rank="0" text="" dxfId="1">
      <formula>AND(LEN(E31)&gt;0,NOT(OR(E31="OK")))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C9:C23 F9:F23 H9:H23" type="date">
      <formula1>36526</formula1>
      <formula2>0</formula2>
    </dataValidation>
    <dataValidation allowBlank="true" error="Escolha uma das opções da lista." errorStyle="stop" errorTitle="Valor inválido" operator="between" prompt="Concluída, Em andamento, Não iniciada ou Cancelada" promptTitle="Opções" showDropDown="false" showErrorMessage="true" showInputMessage="true" sqref="G9:G23" type="list">
      <formula1>"Concluída,Em andamento,Não iniciada,Cancelada"</formula1>
      <formula2>0</formula2>
    </dataValidation>
    <dataValidation allowBlank="true" error="Escolha uma das opções da lista." errorStyle="stop" errorTitle="Valor inválido" operator="between" prompt="Sim, Parcial ou Não" promptTitle="Opções" showDropDown="false" showErrorMessage="true" showInputMessage="true" sqref="I9:I23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48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40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147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148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4" hidden="false" customHeight="true" outlineLevel="0" collapsed="false">
      <c r="B4" s="16" t="s">
        <v>149</v>
      </c>
      <c r="C4" s="16" t="s">
        <v>150</v>
      </c>
      <c r="D4" s="16" t="s">
        <v>151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121</v>
      </c>
      <c r="J4" s="16" t="s">
        <v>156</v>
      </c>
      <c r="K4" s="16" t="s">
        <v>157</v>
      </c>
      <c r="L4" s="16" t="s">
        <v>158</v>
      </c>
    </row>
    <row r="5" customFormat="false" ht="30" hidden="false" customHeight="true" outlineLevel="0" collapsed="false">
      <c r="B5" s="17" t="s">
        <v>159</v>
      </c>
      <c r="C5" s="17" t="s">
        <v>160</v>
      </c>
      <c r="D5" s="17" t="s">
        <v>161</v>
      </c>
      <c r="E5" s="17" t="s">
        <v>124</v>
      </c>
      <c r="F5" s="17" t="s">
        <v>162</v>
      </c>
      <c r="G5" s="17" t="s">
        <v>163</v>
      </c>
      <c r="H5" s="17" t="s">
        <v>126</v>
      </c>
      <c r="I5" s="17" t="s">
        <v>126</v>
      </c>
      <c r="J5" s="17" t="s">
        <v>164</v>
      </c>
      <c r="K5" s="17" t="s">
        <v>165</v>
      </c>
      <c r="L5" s="17" t="s">
        <v>130</v>
      </c>
    </row>
    <row r="6" customFormat="false" ht="45" hidden="false" customHeight="true" outlineLevel="0" collapsed="false">
      <c r="B6" s="29" t="s">
        <v>166</v>
      </c>
      <c r="C6" s="4" t="s">
        <v>109</v>
      </c>
      <c r="D6" s="30" t="s">
        <v>167</v>
      </c>
      <c r="E6" s="5"/>
      <c r="F6" s="5"/>
      <c r="G6" s="5"/>
      <c r="H6" s="20"/>
      <c r="I6" s="20"/>
      <c r="J6" s="5"/>
      <c r="K6" s="31" t="n">
        <f aca="false">COUNTIF(Saídas!$C$7:$C$21,B6)</f>
        <v>0</v>
      </c>
      <c r="L6" s="27" t="str">
        <f aca="false">IF(COUNTA(E6:J6)=0,"Não analisada",IF(G6="","Falta o resultado",IF(H6="","Falta a tendência",IF(I6="","Falta a situação",IF(J6="","Falta a conclusão",IF(AND(I6="Crítica",K6=0),"Falta a decisão",IF(AND(I6="Atenção",K6=0),"Atenção sem decisão","Completa")))))))</f>
        <v>Não analisada</v>
      </c>
    </row>
    <row r="7" customFormat="false" ht="45" hidden="false" customHeight="true" outlineLevel="0" collapsed="false">
      <c r="B7" s="29" t="s">
        <v>168</v>
      </c>
      <c r="C7" s="4" t="s">
        <v>169</v>
      </c>
      <c r="D7" s="30" t="s">
        <v>170</v>
      </c>
      <c r="E7" s="5"/>
      <c r="F7" s="5"/>
      <c r="G7" s="5"/>
      <c r="H7" s="20"/>
      <c r="I7" s="20"/>
      <c r="J7" s="5"/>
      <c r="K7" s="31" t="n">
        <f aca="false">COUNTIF(Saídas!$C$7:$C$21,B7)</f>
        <v>0</v>
      </c>
      <c r="L7" s="27" t="str">
        <f aca="false">IF(COUNTA(E7:J7)=0,"Não analisada",IF(G7="","Falta o resultado",IF(H7="","Falta a tendência",IF(I7="","Falta a situação",IF(J7="","Falta a conclusão",IF(AND(I7="Crítica",K7=0),"Falta a decisão",IF(AND(I7="Atenção",K7=0),"Atenção sem decisão","Completa")))))))</f>
        <v>Não analisada</v>
      </c>
    </row>
    <row r="8" customFormat="false" ht="45" hidden="false" customHeight="true" outlineLevel="0" collapsed="false">
      <c r="B8" s="29" t="s">
        <v>171</v>
      </c>
      <c r="C8" s="4" t="s">
        <v>172</v>
      </c>
      <c r="D8" s="30" t="s">
        <v>173</v>
      </c>
      <c r="E8" s="5"/>
      <c r="F8" s="5"/>
      <c r="G8" s="5"/>
      <c r="H8" s="20"/>
      <c r="I8" s="20"/>
      <c r="J8" s="5"/>
      <c r="K8" s="31" t="n">
        <f aca="false">COUNTIF(Saídas!$C$7:$C$21,B8)</f>
        <v>0</v>
      </c>
      <c r="L8" s="27" t="str">
        <f aca="false">IF(COUNTA(E8:J8)=0,"Não analisada",IF(G8="","Falta o resultado",IF(H8="","Falta a tendência",IF(I8="","Falta a situação",IF(J8="","Falta a conclusão",IF(AND(I8="Crítica",K8=0),"Falta a decisão",IF(AND(I8="Atenção",K8=0),"Atenção sem decisão","Completa")))))))</f>
        <v>Não analisada</v>
      </c>
    </row>
    <row r="9" customFormat="false" ht="45" hidden="false" customHeight="true" outlineLevel="0" collapsed="false">
      <c r="B9" s="29" t="s">
        <v>174</v>
      </c>
      <c r="C9" s="4" t="s">
        <v>175</v>
      </c>
      <c r="D9" s="30" t="s">
        <v>176</v>
      </c>
      <c r="E9" s="5"/>
      <c r="F9" s="5"/>
      <c r="G9" s="5"/>
      <c r="H9" s="20"/>
      <c r="I9" s="20"/>
      <c r="J9" s="5"/>
      <c r="K9" s="31" t="n">
        <f aca="false">COUNTIF(Saídas!$C$7:$C$21,B9)</f>
        <v>0</v>
      </c>
      <c r="L9" s="27" t="str">
        <f aca="false">IF(COUNTA(E9:J9)=0,"Não analisada",IF(G9="","Falta o resultado",IF(H9="","Falta a tendência",IF(I9="","Falta a situação",IF(J9="","Falta a conclusão",IF(AND(I9="Crítica",K9=0),"Falta a decisão",IF(AND(I9="Atenção",K9=0),"Atenção sem decisão","Completa")))))))</f>
        <v>Não analisada</v>
      </c>
    </row>
    <row r="10" customFormat="false" ht="45" hidden="false" customHeight="true" outlineLevel="0" collapsed="false">
      <c r="B10" s="29" t="s">
        <v>177</v>
      </c>
      <c r="C10" s="4" t="s">
        <v>178</v>
      </c>
      <c r="D10" s="30" t="s">
        <v>179</v>
      </c>
      <c r="E10" s="5"/>
      <c r="F10" s="5"/>
      <c r="G10" s="5"/>
      <c r="H10" s="20"/>
      <c r="I10" s="20"/>
      <c r="J10" s="5"/>
      <c r="K10" s="31" t="n">
        <f aca="false">COUNTIF(Saídas!$C$7:$C$21,B10)</f>
        <v>0</v>
      </c>
      <c r="L10" s="27" t="str">
        <f aca="false">IF(COUNTA(E10:J10)=0,"Não analisada",IF(G10="","Falta o resultado",IF(H10="","Falta a tendência",IF(I10="","Falta a situação",IF(J10="","Falta a conclusão",IF(AND(I10="Crítica",K10=0),"Falta a decisão",IF(AND(I10="Atenção",K10=0),"Atenção sem decisão","Completa")))))))</f>
        <v>Não analisada</v>
      </c>
    </row>
    <row r="11" customFormat="false" ht="45" hidden="false" customHeight="true" outlineLevel="0" collapsed="false">
      <c r="B11" s="29" t="s">
        <v>180</v>
      </c>
      <c r="C11" s="4" t="s">
        <v>181</v>
      </c>
      <c r="D11" s="30" t="s">
        <v>182</v>
      </c>
      <c r="E11" s="5"/>
      <c r="F11" s="5"/>
      <c r="G11" s="5"/>
      <c r="H11" s="20"/>
      <c r="I11" s="20"/>
      <c r="J11" s="5"/>
      <c r="K11" s="31" t="n">
        <f aca="false">COUNTIF(Saídas!$C$7:$C$21,B11)</f>
        <v>0</v>
      </c>
      <c r="L11" s="27" t="str">
        <f aca="false">IF(COUNTA(E11:J11)=0,"Não analisada",IF(G11="","Falta o resultado",IF(H11="","Falta a tendência",IF(I11="","Falta a situação",IF(J11="","Falta a conclusão",IF(AND(I11="Crítica",K11=0),"Falta a decisão",IF(AND(I11="Atenção",K11=0),"Atenção sem decisão","Completa")))))))</f>
        <v>Não analisada</v>
      </c>
    </row>
    <row r="12" customFormat="false" ht="45" hidden="false" customHeight="true" outlineLevel="0" collapsed="false">
      <c r="B12" s="29" t="s">
        <v>183</v>
      </c>
      <c r="C12" s="4" t="s">
        <v>184</v>
      </c>
      <c r="D12" s="30" t="s">
        <v>185</v>
      </c>
      <c r="E12" s="5"/>
      <c r="F12" s="5"/>
      <c r="G12" s="5"/>
      <c r="H12" s="20"/>
      <c r="I12" s="20"/>
      <c r="J12" s="5"/>
      <c r="K12" s="31" t="n">
        <f aca="false">COUNTIF(Saídas!$C$7:$C$21,B12)</f>
        <v>0</v>
      </c>
      <c r="L12" s="27" t="str">
        <f aca="false">IF(COUNTA(E12:J12)=0,"Não analisada",IF(G12="","Falta o resultado",IF(H12="","Falta a tendência",IF(I12="","Falta a situação",IF(J12="","Falta a conclusão",IF(AND(I12="Crítica",K12=0),"Falta a decisão",IF(AND(I12="Atenção",K12=0),"Atenção sem decisão","Completa")))))))</f>
        <v>Não analisada</v>
      </c>
    </row>
    <row r="13" customFormat="false" ht="45" hidden="false" customHeight="true" outlineLevel="0" collapsed="false">
      <c r="B13" s="29" t="s">
        <v>186</v>
      </c>
      <c r="C13" s="4" t="s">
        <v>187</v>
      </c>
      <c r="D13" s="30" t="s">
        <v>188</v>
      </c>
      <c r="E13" s="5"/>
      <c r="F13" s="5"/>
      <c r="G13" s="5"/>
      <c r="H13" s="20"/>
      <c r="I13" s="20"/>
      <c r="J13" s="5"/>
      <c r="K13" s="31" t="n">
        <f aca="false">COUNTIF(Saídas!$C$7:$C$21,B13)</f>
        <v>0</v>
      </c>
      <c r="L13" s="27" t="str">
        <f aca="false">IF(COUNTA(E13:J13)=0,"Não analisada",IF(G13="","Falta o resultado",IF(H13="","Falta a tendência",IF(I13="","Falta a situação",IF(J13="","Falta a conclusão",IF(AND(I13="Crítica",K13=0),"Falta a decisão",IF(AND(I13="Atenção",K13=0),"Atenção sem decisão","Completa")))))))</f>
        <v>Não analisada</v>
      </c>
    </row>
    <row r="14" customFormat="false" ht="45" hidden="false" customHeight="true" outlineLevel="0" collapsed="false">
      <c r="B14" s="29" t="s">
        <v>189</v>
      </c>
      <c r="C14" s="4" t="s">
        <v>190</v>
      </c>
      <c r="D14" s="30" t="s">
        <v>191</v>
      </c>
      <c r="E14" s="5"/>
      <c r="F14" s="5"/>
      <c r="G14" s="5"/>
      <c r="H14" s="20"/>
      <c r="I14" s="20"/>
      <c r="J14" s="5"/>
      <c r="K14" s="31" t="n">
        <f aca="false">COUNTIF(Saídas!$C$7:$C$21,B14)</f>
        <v>0</v>
      </c>
      <c r="L14" s="27" t="str">
        <f aca="false">IF(COUNTA(E14:J14)=0,"Não analisada",IF(G14="","Falta o resultado",IF(H14="","Falta a tendência",IF(I14="","Falta a situação",IF(J14="","Falta a conclusão",IF(AND(I14="Crítica",K14=0),"Falta a decisão",IF(AND(I14="Atenção",K14=0),"Atenção sem decisão","Completa")))))))</f>
        <v>Não analisada</v>
      </c>
    </row>
    <row r="15" customFormat="false" ht="45" hidden="false" customHeight="true" outlineLevel="0" collapsed="false">
      <c r="B15" s="29" t="s">
        <v>192</v>
      </c>
      <c r="C15" s="4" t="s">
        <v>193</v>
      </c>
      <c r="D15" s="30" t="s">
        <v>194</v>
      </c>
      <c r="E15" s="5"/>
      <c r="F15" s="5"/>
      <c r="G15" s="5"/>
      <c r="H15" s="20"/>
      <c r="I15" s="20"/>
      <c r="J15" s="5"/>
      <c r="K15" s="31" t="n">
        <f aca="false">COUNTIF(Saídas!$C$7:$C$21,B15)</f>
        <v>0</v>
      </c>
      <c r="L15" s="27" t="str">
        <f aca="false">IF(COUNTA(E15:J15)=0,"Não analisada",IF(G15="","Falta o resultado",IF(H15="","Falta a tendência",IF(I15="","Falta a situação",IF(J15="","Falta a conclusão",IF(AND(I15="Crítica",K15=0),"Falta a decisão",IF(AND(I15="Atenção",K15=0),"Atenção sem decisão","Completa")))))))</f>
        <v>Não analisada</v>
      </c>
    </row>
    <row r="16" customFormat="false" ht="45" hidden="false" customHeight="true" outlineLevel="0" collapsed="false">
      <c r="B16" s="29" t="s">
        <v>195</v>
      </c>
      <c r="C16" s="4" t="s">
        <v>196</v>
      </c>
      <c r="D16" s="30" t="s">
        <v>197</v>
      </c>
      <c r="E16" s="5"/>
      <c r="F16" s="5"/>
      <c r="G16" s="5"/>
      <c r="H16" s="20"/>
      <c r="I16" s="20"/>
      <c r="J16" s="5"/>
      <c r="K16" s="31" t="n">
        <f aca="false">COUNTIF(Saídas!$C$7:$C$21,B16)</f>
        <v>0</v>
      </c>
      <c r="L16" s="27" t="str">
        <f aca="false">IF(COUNTA(E16:J16)=0,"Não analisada",IF(G16="","Falta o resultado",IF(H16="","Falta a tendência",IF(I16="","Falta a situação",IF(J16="","Falta a conclusão",IF(AND(I16="Crítica",K16=0),"Falta a decisão",IF(AND(I16="Atenção",K16=0),"Atenção sem decisão","Completa")))))))</f>
        <v>Não analisada</v>
      </c>
    </row>
    <row r="17" customFormat="false" ht="45" hidden="false" customHeight="true" outlineLevel="0" collapsed="false">
      <c r="B17" s="29" t="s">
        <v>198</v>
      </c>
      <c r="C17" s="4" t="s">
        <v>199</v>
      </c>
      <c r="D17" s="30" t="s">
        <v>200</v>
      </c>
      <c r="E17" s="5"/>
      <c r="F17" s="5"/>
      <c r="G17" s="5"/>
      <c r="H17" s="20"/>
      <c r="I17" s="20"/>
      <c r="J17" s="5"/>
      <c r="K17" s="31" t="n">
        <f aca="false">COUNTIF(Saídas!$C$7:$C$21,B17)</f>
        <v>0</v>
      </c>
      <c r="L17" s="27" t="str">
        <f aca="false">IF(COUNTA(E17:J17)=0,"Não analisada",IF(G17="","Falta o resultado",IF(H17="","Falta a tendência",IF(I17="","Falta a situação",IF(J17="","Falta a conclusão",IF(AND(I17="Crítica",K17=0),"Falta a decisão",IF(AND(I17="Atenção",K17=0),"Atenção sem decisão","Completa")))))))</f>
        <v>Não analisada</v>
      </c>
    </row>
    <row r="19" customFormat="false" ht="21.75" hidden="false" customHeight="true" outlineLevel="0" collapsed="false">
      <c r="B19" s="15" t="s">
        <v>101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customFormat="false" ht="21.75" hidden="false" customHeight="true" outlineLevel="0" collapsed="false">
      <c r="B20" s="21" t="s">
        <v>105</v>
      </c>
      <c r="C20" s="21"/>
      <c r="D20" s="21"/>
      <c r="E20" s="22" t="n">
        <f aca="false">SUMPRODUCT((G6:G17&lt;&gt;"")*(I6:I17&lt;&gt;"")*(J6:J17&lt;&gt;""))</f>
        <v>0</v>
      </c>
      <c r="F20" s="22"/>
      <c r="G20" s="22"/>
    </row>
    <row r="21" customFormat="false" ht="21.75" hidden="false" customHeight="true" outlineLevel="0" collapsed="false">
      <c r="B21" s="21" t="s">
        <v>201</v>
      </c>
      <c r="C21" s="21"/>
      <c r="D21" s="21"/>
      <c r="E21" s="22" t="n">
        <f aca="false">COUNTIF(I6:I17,"Favorável")</f>
        <v>0</v>
      </c>
      <c r="F21" s="22"/>
      <c r="G21" s="22"/>
    </row>
    <row r="22" customFormat="false" ht="21.75" hidden="false" customHeight="true" outlineLevel="0" collapsed="false">
      <c r="B22" s="21" t="s">
        <v>202</v>
      </c>
      <c r="C22" s="21"/>
      <c r="D22" s="21"/>
      <c r="E22" s="22" t="n">
        <f aca="false">COUNTIF(I6:I17,"Atenção")</f>
        <v>0</v>
      </c>
      <c r="F22" s="22"/>
      <c r="G22" s="22"/>
    </row>
    <row r="23" customFormat="false" ht="21.75" hidden="false" customHeight="true" outlineLevel="0" collapsed="false">
      <c r="B23" s="21" t="s">
        <v>203</v>
      </c>
      <c r="C23" s="21"/>
      <c r="D23" s="21"/>
      <c r="E23" s="22" t="n">
        <f aca="false">COUNTIF(I6:I17,"Crítica")</f>
        <v>0</v>
      </c>
      <c r="F23" s="22"/>
      <c r="G23" s="22"/>
    </row>
    <row r="24" customFormat="false" ht="21.75" hidden="false" customHeight="true" outlineLevel="0" collapsed="false">
      <c r="B24" s="21" t="s">
        <v>204</v>
      </c>
      <c r="C24" s="21"/>
      <c r="D24" s="21"/>
      <c r="E24" s="22" t="n">
        <f aca="false">COUNTIF(H6:H17,"Piorando")</f>
        <v>0</v>
      </c>
      <c r="F24" s="22"/>
      <c r="G24" s="22"/>
    </row>
    <row r="25" customFormat="false" ht="21.75" hidden="false" customHeight="true" outlineLevel="0" collapsed="false">
      <c r="B25" s="21" t="s">
        <v>205</v>
      </c>
      <c r="C25" s="21"/>
      <c r="D25" s="21"/>
      <c r="E25" s="22" t="n">
        <f aca="false">COUNTIFS(I6:I17,"Crítica",K6:K17,0)</f>
        <v>0</v>
      </c>
      <c r="F25" s="22"/>
      <c r="G25" s="22"/>
    </row>
    <row r="26" customFormat="false" ht="21.75" hidden="false" customHeight="true" outlineLevel="0" collapsed="false">
      <c r="B26" s="21" t="s">
        <v>146</v>
      </c>
      <c r="C26" s="21"/>
      <c r="D26" s="21"/>
      <c r="E26" s="23" t="str">
        <f aca="false">IF(COUNTIF(L6:L17,"Não analisada")=12,"Preencha as entradas",IF(COUNTIF(L6:L17,"Não analisada")&gt;0,"Há entrada sem análise",IF(COUNTIF(L6:L17,"Falta a decisão")&gt;0,"Há entrada crítica sem decisão: registre na aba Saídas",IF(COUNTIF(L6:L17,"Falta*")&gt;0,"Há entrada com o registro incompleto: veja a coluna Conferência",IF(COUNTIF(L6:L17,"Atenção sem decisão")&gt;0,"Há entrada em atenção sem decisão: confira se o motivo está na conclusão","OK")))))</f>
        <v>Preencha as entradas</v>
      </c>
      <c r="F26" s="23"/>
      <c r="G26" s="23"/>
    </row>
  </sheetData>
  <mergeCells count="17">
    <mergeCell ref="B1:L1"/>
    <mergeCell ref="B2:L2"/>
    <mergeCell ref="B19:L19"/>
    <mergeCell ref="B20:D20"/>
    <mergeCell ref="E20:G20"/>
    <mergeCell ref="B21:D21"/>
    <mergeCell ref="E21:G21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</mergeCells>
  <conditionalFormatting sqref="I6:I17">
    <cfRule type="cellIs" priority="2" operator="equal" aboveAverage="0" equalAverage="0" bottom="0" percent="0" rank="0" text="" dxfId="3">
      <formula>"Favorável"</formula>
    </cfRule>
    <cfRule type="cellIs" priority="3" operator="equal" aboveAverage="0" equalAverage="0" bottom="0" percent="0" rank="0" text="" dxfId="4">
      <formula>"Atenção"</formula>
    </cfRule>
    <cfRule type="cellIs" priority="4" operator="equal" aboveAverage="0" equalAverage="0" bottom="0" percent="0" rank="0" text="" dxfId="5">
      <formula>"Crítica"</formula>
    </cfRule>
  </conditionalFormatting>
  <conditionalFormatting sqref="L6:L17">
    <cfRule type="expression" priority="5" aboveAverage="0" equalAverage="0" bottom="0" percent="0" rank="0" text="" dxfId="0">
      <formula>L6="Completa"</formula>
    </cfRule>
    <cfRule type="expression" priority="6" aboveAverage="0" equalAverage="0" bottom="0" percent="0" rank="0" text="" dxfId="6">
      <formula>L6="Não analisada"</formula>
    </cfRule>
    <cfRule type="expression" priority="7" aboveAverage="0" equalAverage="0" bottom="0" percent="0" rank="0" text="" dxfId="1">
      <formula>LEN(L6)&gt;0</formula>
    </cfRule>
  </conditionalFormatting>
  <conditionalFormatting sqref="E26:G26">
    <cfRule type="expression" priority="8" aboveAverage="0" equalAverage="0" bottom="0" percent="0" rank="0" text="" dxfId="0">
      <formula>OR(E26="OK")</formula>
    </cfRule>
    <cfRule type="expression" priority="9" aboveAverage="0" equalAverage="0" bottom="0" percent="0" rank="0" text="" dxfId="1">
      <formula>AND(LEN(E26)&gt;0,NOT(OR(E26="OK")))</formula>
    </cfRule>
  </conditionalFormatting>
  <dataValidations count="2">
    <dataValidation allowBlank="true" error="Escolha uma das opções da lista." errorStyle="stop" errorTitle="Valor inválido" operator="between" prompt="Melhorando, Estável, Piorando ou Sem histórico" promptTitle="Opções" showDropDown="false" showErrorMessage="true" showInputMessage="true" sqref="H6:H17" type="list">
      <formula1>"Melhorando,Estável,Piorando,Sem histórico"</formula1>
      <formula2>0</formula2>
    </dataValidation>
    <dataValidation allowBlank="true" error="Escolha uma das opções da lista." errorStyle="stop" errorTitle="Valor inválido" operator="between" prompt="Favorável, Atenção ou Crítica" promptTitle="Opções" showDropDown="false" showErrorMessage="true" showInputMessage="true" sqref="I6:I17" type="list">
      <formula1>"Favorável,Atenção,Crítica"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50"/>
    <col collapsed="false" customWidth="true" hidden="false" outlineLevel="0" max="7" min="7" style="0" width="24"/>
    <col collapsed="false" customWidth="true" hidden="false" outlineLevel="0" max="8" min="8" style="0" width="13"/>
    <col collapsed="false" customWidth="true" hidden="false" outlineLevel="0" max="9" min="9" style="0" width="32"/>
    <col collapsed="false" customWidth="true" hidden="false" outlineLevel="0" max="10" min="10" style="0" width="15"/>
    <col collapsed="false" customWidth="true" hidden="false" outlineLevel="0" max="11" min="11" style="0" width="28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206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207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24" hidden="false" customHeight="true" outlineLevel="0" collapsed="false">
      <c r="B4" s="16" t="s">
        <v>76</v>
      </c>
      <c r="C4" s="16" t="s">
        <v>150</v>
      </c>
      <c r="D4" s="16" t="s">
        <v>208</v>
      </c>
      <c r="E4" s="16" t="s">
        <v>209</v>
      </c>
      <c r="F4" s="16" t="s">
        <v>210</v>
      </c>
      <c r="G4" s="16" t="s">
        <v>115</v>
      </c>
      <c r="H4" s="16" t="s">
        <v>116</v>
      </c>
      <c r="I4" s="16" t="s">
        <v>211</v>
      </c>
      <c r="J4" s="16" t="s">
        <v>212</v>
      </c>
      <c r="K4" s="16" t="s">
        <v>158</v>
      </c>
    </row>
    <row r="5" customFormat="false" ht="30" hidden="false" customHeight="true" outlineLevel="0" collapsed="false">
      <c r="B5" s="17"/>
      <c r="C5" s="17" t="s">
        <v>213</v>
      </c>
      <c r="D5" s="17" t="s">
        <v>214</v>
      </c>
      <c r="E5" s="17" t="s">
        <v>126</v>
      </c>
      <c r="F5" s="17" t="s">
        <v>215</v>
      </c>
      <c r="G5" s="17" t="s">
        <v>124</v>
      </c>
      <c r="H5" s="17" t="s">
        <v>216</v>
      </c>
      <c r="I5" s="17" t="s">
        <v>217</v>
      </c>
      <c r="J5" s="17" t="s">
        <v>218</v>
      </c>
      <c r="K5" s="17" t="s">
        <v>130</v>
      </c>
    </row>
    <row r="6" customFormat="false" ht="30" hidden="false" customHeight="true" outlineLevel="0" collapsed="false">
      <c r="B6" s="17" t="s">
        <v>82</v>
      </c>
      <c r="C6" s="32" t="s">
        <v>177</v>
      </c>
      <c r="D6" s="18" t="s">
        <v>178</v>
      </c>
      <c r="E6" s="17" t="s">
        <v>193</v>
      </c>
      <c r="F6" s="18" t="s">
        <v>219</v>
      </c>
      <c r="G6" s="18" t="s">
        <v>220</v>
      </c>
      <c r="H6" s="25" t="n">
        <v>46568</v>
      </c>
      <c r="I6" s="18" t="s">
        <v>221</v>
      </c>
      <c r="J6" s="33" t="n">
        <v>96000</v>
      </c>
      <c r="K6" s="17" t="s">
        <v>222</v>
      </c>
    </row>
    <row r="7" customFormat="false" ht="33" hidden="false" customHeight="true" outlineLevel="0" collapsed="false">
      <c r="B7" s="19" t="n">
        <v>1</v>
      </c>
      <c r="C7" s="34"/>
      <c r="D7" s="35" t="str">
        <f aca="false">IF(C7="","",IFERROR(VLOOKUP(C7,Entradas!$B$6:$C$17,2,FALSE()),"Entrada desconhecida"))</f>
        <v/>
      </c>
      <c r="E7" s="20"/>
      <c r="F7" s="5"/>
      <c r="G7" s="5"/>
      <c r="H7" s="26"/>
      <c r="I7" s="5"/>
      <c r="J7" s="36"/>
      <c r="K7" s="23" t="str">
        <f aca="false">IF(COUNTA(C7,E7:J7)=0,"",IF(F7="","Falta a decisão",IF(C7="","Falta a entrada",IF(D7="Entrada desconhecida","Entrada desconhecida",IF(E7="","Falta o tipo",IF(G7="","Falta o responsável",IF(H7="","Falta o prazo",IF(AND(Reunião!$D$5&lt;&gt;"",H7&lt;Reunião!$D$5),"Prazo anterior à reunião",IF(AND(E7="Recursos",I7="",J7=""),"Falta descrever o recurso","Completa")))))))))</f>
        <v/>
      </c>
    </row>
    <row r="8" customFormat="false" ht="33" hidden="false" customHeight="true" outlineLevel="0" collapsed="false">
      <c r="B8" s="19" t="n">
        <v>2</v>
      </c>
      <c r="C8" s="34"/>
      <c r="D8" s="35" t="str">
        <f aca="false">IF(C8="","",IFERROR(VLOOKUP(C8,Entradas!$B$6:$C$17,2,FALSE()),"Entrada desconhecida"))</f>
        <v/>
      </c>
      <c r="E8" s="20"/>
      <c r="F8" s="5"/>
      <c r="G8" s="5"/>
      <c r="H8" s="26"/>
      <c r="I8" s="5"/>
      <c r="J8" s="36"/>
      <c r="K8" s="23" t="str">
        <f aca="false">IF(COUNTA(C8,E8:J8)=0,"",IF(F8="","Falta a decisão",IF(C8="","Falta a entrada",IF(D8="Entrada desconhecida","Entrada desconhecida",IF(E8="","Falta o tipo",IF(G8="","Falta o responsável",IF(H8="","Falta o prazo",IF(AND(Reunião!$D$5&lt;&gt;"",H8&lt;Reunião!$D$5),"Prazo anterior à reunião",IF(AND(E8="Recursos",I8="",J8=""),"Falta descrever o recurso","Completa")))))))))</f>
        <v/>
      </c>
    </row>
    <row r="9" customFormat="false" ht="33" hidden="false" customHeight="true" outlineLevel="0" collapsed="false">
      <c r="B9" s="19" t="n">
        <v>3</v>
      </c>
      <c r="C9" s="34"/>
      <c r="D9" s="35" t="str">
        <f aca="false">IF(C9="","",IFERROR(VLOOKUP(C9,Entradas!$B$6:$C$17,2,FALSE()),"Entrada desconhecida"))</f>
        <v/>
      </c>
      <c r="E9" s="20"/>
      <c r="F9" s="5"/>
      <c r="G9" s="5"/>
      <c r="H9" s="26"/>
      <c r="I9" s="5"/>
      <c r="J9" s="36"/>
      <c r="K9" s="23" t="str">
        <f aca="false">IF(COUNTA(C9,E9:J9)=0,"",IF(F9="","Falta a decisão",IF(C9="","Falta a entrada",IF(D9="Entrada desconhecida","Entrada desconhecida",IF(E9="","Falta o tipo",IF(G9="","Falta o responsável",IF(H9="","Falta o prazo",IF(AND(Reunião!$D$5&lt;&gt;"",H9&lt;Reunião!$D$5),"Prazo anterior à reunião",IF(AND(E9="Recursos",I9="",J9=""),"Falta descrever o recurso","Completa")))))))))</f>
        <v/>
      </c>
    </row>
    <row r="10" customFormat="false" ht="33" hidden="false" customHeight="true" outlineLevel="0" collapsed="false">
      <c r="B10" s="19" t="n">
        <v>4</v>
      </c>
      <c r="C10" s="34"/>
      <c r="D10" s="35" t="str">
        <f aca="false">IF(C10="","",IFERROR(VLOOKUP(C10,Entradas!$B$6:$C$17,2,FALSE()),"Entrada desconhecida"))</f>
        <v/>
      </c>
      <c r="E10" s="20"/>
      <c r="F10" s="5"/>
      <c r="G10" s="5"/>
      <c r="H10" s="26"/>
      <c r="I10" s="5"/>
      <c r="J10" s="36"/>
      <c r="K10" s="23" t="str">
        <f aca="false">IF(COUNTA(C10,E10:J10)=0,"",IF(F10="","Falta a decisão",IF(C10="","Falta a entrada",IF(D10="Entrada desconhecida","Entrada desconhecida",IF(E10="","Falta o tipo",IF(G10="","Falta o responsável",IF(H10="","Falta o prazo",IF(AND(Reunião!$D$5&lt;&gt;"",H10&lt;Reunião!$D$5),"Prazo anterior à reunião",IF(AND(E10="Recursos",I10="",J10=""),"Falta descrever o recurso","Completa")))))))))</f>
        <v/>
      </c>
    </row>
    <row r="11" customFormat="false" ht="33" hidden="false" customHeight="true" outlineLevel="0" collapsed="false">
      <c r="B11" s="19" t="n">
        <v>5</v>
      </c>
      <c r="C11" s="34"/>
      <c r="D11" s="35" t="str">
        <f aca="false">IF(C11="","",IFERROR(VLOOKUP(C11,Entradas!$B$6:$C$17,2,FALSE()),"Entrada desconhecida"))</f>
        <v/>
      </c>
      <c r="E11" s="20"/>
      <c r="F11" s="5"/>
      <c r="G11" s="5"/>
      <c r="H11" s="26"/>
      <c r="I11" s="5"/>
      <c r="J11" s="36"/>
      <c r="K11" s="23" t="str">
        <f aca="false">IF(COUNTA(C11,E11:J11)=0,"",IF(F11="","Falta a decisão",IF(C11="","Falta a entrada",IF(D11="Entrada desconhecida","Entrada desconhecida",IF(E11="","Falta o tipo",IF(G11="","Falta o responsável",IF(H11="","Falta o prazo",IF(AND(Reunião!$D$5&lt;&gt;"",H11&lt;Reunião!$D$5),"Prazo anterior à reunião",IF(AND(E11="Recursos",I11="",J11=""),"Falta descrever o recurso","Completa")))))))))</f>
        <v/>
      </c>
    </row>
    <row r="12" customFormat="false" ht="33" hidden="false" customHeight="true" outlineLevel="0" collapsed="false">
      <c r="B12" s="19" t="n">
        <v>6</v>
      </c>
      <c r="C12" s="34"/>
      <c r="D12" s="35" t="str">
        <f aca="false">IF(C12="","",IFERROR(VLOOKUP(C12,Entradas!$B$6:$C$17,2,FALSE()),"Entrada desconhecida"))</f>
        <v/>
      </c>
      <c r="E12" s="20"/>
      <c r="F12" s="5"/>
      <c r="G12" s="5"/>
      <c r="H12" s="26"/>
      <c r="I12" s="5"/>
      <c r="J12" s="36"/>
      <c r="K12" s="23" t="str">
        <f aca="false">IF(COUNTA(C12,E12:J12)=0,"",IF(F12="","Falta a decisão",IF(C12="","Falta a entrada",IF(D12="Entrada desconhecida","Entrada desconhecida",IF(E12="","Falta o tipo",IF(G12="","Falta o responsável",IF(H12="","Falta o prazo",IF(AND(Reunião!$D$5&lt;&gt;"",H12&lt;Reunião!$D$5),"Prazo anterior à reunião",IF(AND(E12="Recursos",I12="",J12=""),"Falta descrever o recurso","Completa")))))))))</f>
        <v/>
      </c>
    </row>
    <row r="13" customFormat="false" ht="33" hidden="false" customHeight="true" outlineLevel="0" collapsed="false">
      <c r="B13" s="19" t="n">
        <v>7</v>
      </c>
      <c r="C13" s="34"/>
      <c r="D13" s="35" t="str">
        <f aca="false">IF(C13="","",IFERROR(VLOOKUP(C13,Entradas!$B$6:$C$17,2,FALSE()),"Entrada desconhecida"))</f>
        <v/>
      </c>
      <c r="E13" s="20"/>
      <c r="F13" s="5"/>
      <c r="G13" s="5"/>
      <c r="H13" s="26"/>
      <c r="I13" s="5"/>
      <c r="J13" s="36"/>
      <c r="K13" s="23" t="str">
        <f aca="false">IF(COUNTA(C13,E13:J13)=0,"",IF(F13="","Falta a decisão",IF(C13="","Falta a entrada",IF(D13="Entrada desconhecida","Entrada desconhecida",IF(E13="","Falta o tipo",IF(G13="","Falta o responsável",IF(H13="","Falta o prazo",IF(AND(Reunião!$D$5&lt;&gt;"",H13&lt;Reunião!$D$5),"Prazo anterior à reunião",IF(AND(E13="Recursos",I13="",J13=""),"Falta descrever o recurso","Completa")))))))))</f>
        <v/>
      </c>
    </row>
    <row r="14" customFormat="false" ht="33" hidden="false" customHeight="true" outlineLevel="0" collapsed="false">
      <c r="B14" s="19" t="n">
        <v>8</v>
      </c>
      <c r="C14" s="34"/>
      <c r="D14" s="35" t="str">
        <f aca="false">IF(C14="","",IFERROR(VLOOKUP(C14,Entradas!$B$6:$C$17,2,FALSE()),"Entrada desconhecida"))</f>
        <v/>
      </c>
      <c r="E14" s="20"/>
      <c r="F14" s="5"/>
      <c r="G14" s="5"/>
      <c r="H14" s="26"/>
      <c r="I14" s="5"/>
      <c r="J14" s="36"/>
      <c r="K14" s="23" t="str">
        <f aca="false">IF(COUNTA(C14,E14:J14)=0,"",IF(F14="","Falta a decisão",IF(C14="","Falta a entrada",IF(D14="Entrada desconhecida","Entrada desconhecida",IF(E14="","Falta o tipo",IF(G14="","Falta o responsável",IF(H14="","Falta o prazo",IF(AND(Reunião!$D$5&lt;&gt;"",H14&lt;Reunião!$D$5),"Prazo anterior à reunião",IF(AND(E14="Recursos",I14="",J14=""),"Falta descrever o recurso","Completa")))))))))</f>
        <v/>
      </c>
    </row>
    <row r="15" customFormat="false" ht="33" hidden="false" customHeight="true" outlineLevel="0" collapsed="false">
      <c r="B15" s="19" t="n">
        <v>9</v>
      </c>
      <c r="C15" s="34"/>
      <c r="D15" s="35" t="str">
        <f aca="false">IF(C15="","",IFERROR(VLOOKUP(C15,Entradas!$B$6:$C$17,2,FALSE()),"Entrada desconhecida"))</f>
        <v/>
      </c>
      <c r="E15" s="20"/>
      <c r="F15" s="5"/>
      <c r="G15" s="5"/>
      <c r="H15" s="26"/>
      <c r="I15" s="5"/>
      <c r="J15" s="36"/>
      <c r="K15" s="23" t="str">
        <f aca="false">IF(COUNTA(C15,E15:J15)=0,"",IF(F15="","Falta a decisão",IF(C15="","Falta a entrada",IF(D15="Entrada desconhecida","Entrada desconhecida",IF(E15="","Falta o tipo",IF(G15="","Falta o responsável",IF(H15="","Falta o prazo",IF(AND(Reunião!$D$5&lt;&gt;"",H15&lt;Reunião!$D$5),"Prazo anterior à reunião",IF(AND(E15="Recursos",I15="",J15=""),"Falta descrever o recurso","Completa")))))))))</f>
        <v/>
      </c>
    </row>
    <row r="16" customFormat="false" ht="33" hidden="false" customHeight="true" outlineLevel="0" collapsed="false">
      <c r="B16" s="19" t="n">
        <v>10</v>
      </c>
      <c r="C16" s="34"/>
      <c r="D16" s="35" t="str">
        <f aca="false">IF(C16="","",IFERROR(VLOOKUP(C16,Entradas!$B$6:$C$17,2,FALSE()),"Entrada desconhecida"))</f>
        <v/>
      </c>
      <c r="E16" s="20"/>
      <c r="F16" s="5"/>
      <c r="G16" s="5"/>
      <c r="H16" s="26"/>
      <c r="I16" s="5"/>
      <c r="J16" s="36"/>
      <c r="K16" s="23" t="str">
        <f aca="false">IF(COUNTA(C16,E16:J16)=0,"",IF(F16="","Falta a decisão",IF(C16="","Falta a entrada",IF(D16="Entrada desconhecida","Entrada desconhecida",IF(E16="","Falta o tipo",IF(G16="","Falta o responsável",IF(H16="","Falta o prazo",IF(AND(Reunião!$D$5&lt;&gt;"",H16&lt;Reunião!$D$5),"Prazo anterior à reunião",IF(AND(E16="Recursos",I16="",J16=""),"Falta descrever o recurso","Completa")))))))))</f>
        <v/>
      </c>
    </row>
    <row r="17" customFormat="false" ht="33" hidden="false" customHeight="true" outlineLevel="0" collapsed="false">
      <c r="B17" s="19" t="n">
        <v>11</v>
      </c>
      <c r="C17" s="34"/>
      <c r="D17" s="35" t="str">
        <f aca="false">IF(C17="","",IFERROR(VLOOKUP(C17,Entradas!$B$6:$C$17,2,FALSE()),"Entrada desconhecida"))</f>
        <v/>
      </c>
      <c r="E17" s="20"/>
      <c r="F17" s="5"/>
      <c r="G17" s="5"/>
      <c r="H17" s="26"/>
      <c r="I17" s="5"/>
      <c r="J17" s="36"/>
      <c r="K17" s="23" t="str">
        <f aca="false">IF(COUNTA(C17,E17:J17)=0,"",IF(F17="","Falta a decisão",IF(C17="","Falta a entrada",IF(D17="Entrada desconhecida","Entrada desconhecida",IF(E17="","Falta o tipo",IF(G17="","Falta o responsável",IF(H17="","Falta o prazo",IF(AND(Reunião!$D$5&lt;&gt;"",H17&lt;Reunião!$D$5),"Prazo anterior à reunião",IF(AND(E17="Recursos",I17="",J17=""),"Falta descrever o recurso","Completa")))))))))</f>
        <v/>
      </c>
    </row>
    <row r="18" customFormat="false" ht="33" hidden="false" customHeight="true" outlineLevel="0" collapsed="false">
      <c r="B18" s="19" t="n">
        <v>12</v>
      </c>
      <c r="C18" s="34"/>
      <c r="D18" s="35" t="str">
        <f aca="false">IF(C18="","",IFERROR(VLOOKUP(C18,Entradas!$B$6:$C$17,2,FALSE()),"Entrada desconhecida"))</f>
        <v/>
      </c>
      <c r="E18" s="20"/>
      <c r="F18" s="5"/>
      <c r="G18" s="5"/>
      <c r="H18" s="26"/>
      <c r="I18" s="5"/>
      <c r="J18" s="36"/>
      <c r="K18" s="23" t="str">
        <f aca="false">IF(COUNTA(C18,E18:J18)=0,"",IF(F18="","Falta a decisão",IF(C18="","Falta a entrada",IF(D18="Entrada desconhecida","Entrada desconhecida",IF(E18="","Falta o tipo",IF(G18="","Falta o responsável",IF(H18="","Falta o prazo",IF(AND(Reunião!$D$5&lt;&gt;"",H18&lt;Reunião!$D$5),"Prazo anterior à reunião",IF(AND(E18="Recursos",I18="",J18=""),"Falta descrever o recurso","Completa")))))))))</f>
        <v/>
      </c>
    </row>
    <row r="19" customFormat="false" ht="33" hidden="false" customHeight="true" outlineLevel="0" collapsed="false">
      <c r="B19" s="19" t="n">
        <v>13</v>
      </c>
      <c r="C19" s="34"/>
      <c r="D19" s="35" t="str">
        <f aca="false">IF(C19="","",IFERROR(VLOOKUP(C19,Entradas!$B$6:$C$17,2,FALSE()),"Entrada desconhecida"))</f>
        <v/>
      </c>
      <c r="E19" s="20"/>
      <c r="F19" s="5"/>
      <c r="G19" s="5"/>
      <c r="H19" s="26"/>
      <c r="I19" s="5"/>
      <c r="J19" s="36"/>
      <c r="K19" s="23" t="str">
        <f aca="false">IF(COUNTA(C19,E19:J19)=0,"",IF(F19="","Falta a decisão",IF(C19="","Falta a entrada",IF(D19="Entrada desconhecida","Entrada desconhecida",IF(E19="","Falta o tipo",IF(G19="","Falta o responsável",IF(H19="","Falta o prazo",IF(AND(Reunião!$D$5&lt;&gt;"",H19&lt;Reunião!$D$5),"Prazo anterior à reunião",IF(AND(E19="Recursos",I19="",J19=""),"Falta descrever o recurso","Completa")))))))))</f>
        <v/>
      </c>
    </row>
    <row r="20" customFormat="false" ht="33" hidden="false" customHeight="true" outlineLevel="0" collapsed="false">
      <c r="B20" s="19" t="n">
        <v>14</v>
      </c>
      <c r="C20" s="34"/>
      <c r="D20" s="35" t="str">
        <f aca="false">IF(C20="","",IFERROR(VLOOKUP(C20,Entradas!$B$6:$C$17,2,FALSE()),"Entrada desconhecida"))</f>
        <v/>
      </c>
      <c r="E20" s="20"/>
      <c r="F20" s="5"/>
      <c r="G20" s="5"/>
      <c r="H20" s="26"/>
      <c r="I20" s="5"/>
      <c r="J20" s="36"/>
      <c r="K20" s="23" t="str">
        <f aca="false">IF(COUNTA(C20,E20:J20)=0,"",IF(F20="","Falta a decisão",IF(C20="","Falta a entrada",IF(D20="Entrada desconhecida","Entrada desconhecida",IF(E20="","Falta o tipo",IF(G20="","Falta o responsável",IF(H20="","Falta o prazo",IF(AND(Reunião!$D$5&lt;&gt;"",H20&lt;Reunião!$D$5),"Prazo anterior à reunião",IF(AND(E20="Recursos",I20="",J20=""),"Falta descrever o recurso","Completa")))))))))</f>
        <v/>
      </c>
    </row>
    <row r="21" customFormat="false" ht="33" hidden="false" customHeight="true" outlineLevel="0" collapsed="false">
      <c r="B21" s="19" t="n">
        <v>15</v>
      </c>
      <c r="C21" s="34"/>
      <c r="D21" s="35" t="str">
        <f aca="false">IF(C21="","",IFERROR(VLOOKUP(C21,Entradas!$B$6:$C$17,2,FALSE()),"Entrada desconhecida"))</f>
        <v/>
      </c>
      <c r="E21" s="20"/>
      <c r="F21" s="5"/>
      <c r="G21" s="5"/>
      <c r="H21" s="26"/>
      <c r="I21" s="5"/>
      <c r="J21" s="36"/>
      <c r="K21" s="23" t="str">
        <f aca="false">IF(COUNTA(C21,E21:J21)=0,"",IF(F21="","Falta a decisão",IF(C21="","Falta a entrada",IF(D21="Entrada desconhecida","Entrada desconhecida",IF(E21="","Falta o tipo",IF(G21="","Falta o responsável",IF(H21="","Falta o prazo",IF(AND(Reunião!$D$5&lt;&gt;"",H21&lt;Reunião!$D$5),"Prazo anterior à reunião",IF(AND(E21="Recursos",I21="",J21=""),"Falta descrever o recurso","Completa")))))))))</f>
        <v/>
      </c>
    </row>
    <row r="23" customFormat="false" ht="21.75" hidden="false" customHeight="true" outlineLevel="0" collapsed="false">
      <c r="B23" s="15" t="s">
        <v>101</v>
      </c>
      <c r="C23" s="15"/>
      <c r="D23" s="15"/>
      <c r="E23" s="15"/>
      <c r="F23" s="15"/>
      <c r="G23" s="15"/>
      <c r="H23" s="15"/>
      <c r="I23" s="15"/>
      <c r="J23" s="15"/>
      <c r="K23" s="15"/>
    </row>
    <row r="24" customFormat="false" ht="21.75" hidden="false" customHeight="true" outlineLevel="0" collapsed="false">
      <c r="B24" s="21" t="s">
        <v>106</v>
      </c>
      <c r="C24" s="21"/>
      <c r="D24" s="21"/>
      <c r="E24" s="22" t="n">
        <f aca="false">COUNTA(F7:F21)</f>
        <v>0</v>
      </c>
      <c r="F24" s="22"/>
    </row>
    <row r="25" customFormat="false" ht="21.75" hidden="false" customHeight="true" outlineLevel="0" collapsed="false">
      <c r="B25" s="21" t="s">
        <v>223</v>
      </c>
      <c r="C25" s="21"/>
      <c r="D25" s="21"/>
      <c r="E25" s="22" t="n">
        <f aca="false">COUNTIF(E7:E21,"Melhoria")</f>
        <v>0</v>
      </c>
      <c r="F25" s="22"/>
    </row>
    <row r="26" customFormat="false" ht="21.75" hidden="false" customHeight="true" outlineLevel="0" collapsed="false">
      <c r="B26" s="21" t="s">
        <v>224</v>
      </c>
      <c r="C26" s="21"/>
      <c r="D26" s="21"/>
      <c r="E26" s="22" t="n">
        <f aca="false">COUNTIF(E7:E21,"Mudança no sistema")</f>
        <v>0</v>
      </c>
      <c r="F26" s="22"/>
    </row>
    <row r="27" customFormat="false" ht="21.75" hidden="false" customHeight="true" outlineLevel="0" collapsed="false">
      <c r="B27" s="21" t="s">
        <v>225</v>
      </c>
      <c r="C27" s="21"/>
      <c r="D27" s="21"/>
      <c r="E27" s="22" t="n">
        <f aca="false">COUNTIF(E7:E21,"Recursos")</f>
        <v>0</v>
      </c>
      <c r="F27" s="22"/>
    </row>
    <row r="28" customFormat="false" ht="21.75" hidden="false" customHeight="true" outlineLevel="0" collapsed="false">
      <c r="B28" s="21" t="s">
        <v>226</v>
      </c>
      <c r="C28" s="21"/>
      <c r="D28" s="21"/>
      <c r="E28" s="37" t="n">
        <f aca="false">SUM(J7:J21)</f>
        <v>0</v>
      </c>
      <c r="F28" s="37"/>
    </row>
    <row r="29" customFormat="false" ht="21.75" hidden="false" customHeight="true" outlineLevel="0" collapsed="false">
      <c r="B29" s="21" t="s">
        <v>146</v>
      </c>
      <c r="C29" s="21"/>
      <c r="D29" s="21"/>
      <c r="E29" s="23" t="str">
        <f aca="false">IF(E24=0,"Registre as decisões",IF(COUNTIF(K7:K21,"Falta*")+COUNTIF(K7:K21,"Prazo*")&gt;0,"Há decisão com o registro incompleto: veja a coluna Conferência",IF(COUNTIF(D7:D21,"Entrada desconhecida")&gt;0,"Há decisão com entrada desconhecida: use os itens de a até f",IF(Entradas!E25&gt;0,"Há entrada crítica sem decisão","OK"))))</f>
        <v>Registre as decisões</v>
      </c>
      <c r="F29" s="23"/>
    </row>
  </sheetData>
  <mergeCells count="15">
    <mergeCell ref="B1:K1"/>
    <mergeCell ref="B2:K2"/>
    <mergeCell ref="B23:K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</mergeCells>
  <conditionalFormatting sqref="K7:K21">
    <cfRule type="expression" priority="2" aboveAverage="0" equalAverage="0" bottom="0" percent="0" rank="0" text="" dxfId="0">
      <formula>K7="Completa"</formula>
    </cfRule>
    <cfRule type="expression" priority="3" aboveAverage="0" equalAverage="0" bottom="0" percent="0" rank="0" text="" dxfId="1">
      <formula>LEN(K7)&gt;0</formula>
    </cfRule>
  </conditionalFormatting>
  <conditionalFormatting sqref="E29:F29">
    <cfRule type="expression" priority="4" aboveAverage="0" equalAverage="0" bottom="0" percent="0" rank="0" text="" dxfId="0">
      <formula>OR(E29="OK")</formula>
    </cfRule>
    <cfRule type="expression" priority="5" aboveAverage="0" equalAverage="0" bottom="0" percent="0" rank="0" text="" dxfId="1">
      <formula>AND(LEN(E29)&gt;0,NOT(OR(E29="OK")))</formula>
    </cfRule>
  </conditionalFormatting>
  <dataValidations count="4">
    <dataValidation allowBlank="true" error="Digite uma data no formato dia/mês/ano." errorStyle="stop" errorTitle="Data inválida" operator="greaterThanOrEqual" showDropDown="false" showErrorMessage="true" showInputMessage="false" sqref="H7:H21" type="date">
      <formula1>36526</formula1>
      <formula2>0</formula2>
    </dataValidation>
    <dataValidation allowBlank="true" error="Escolha uma das opções da lista." errorStyle="stop" errorTitle="Valor inválido" operator="between" prompt="Item da entrada: a, b, c1 a c7, d, e ou f" promptTitle="Opções" showDropDown="false" showErrorMessage="true" showInputMessage="true" sqref="C7:C21" type="list">
      <formula1>"a,b,c1,c2,c3,c4,c5,c6,c7,d,e,f"</formula1>
      <formula2>0</formula2>
    </dataValidation>
    <dataValidation allowBlank="true" error="Escolha uma das opções da lista." errorStyle="stop" errorTitle="Valor inválido" operator="between" prompt="Melhoria, Mudança no sistema ou Recursos" promptTitle="Opções" showDropDown="false" showErrorMessage="true" showInputMessage="true" sqref="E7:E21" type="list">
      <formula1>"Melhoria,Mudança no sistema,Recursos"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J7:J21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227</v>
      </c>
      <c r="C1" s="1"/>
      <c r="D1" s="1"/>
      <c r="E1" s="1"/>
    </row>
    <row r="2" customFormat="false" ht="19.5" hidden="false" customHeight="true" outlineLevel="0" collapsed="false">
      <c r="B2" s="2" t="s">
        <v>228</v>
      </c>
      <c r="C2" s="2"/>
      <c r="D2" s="2"/>
      <c r="E2" s="2"/>
    </row>
    <row r="4" customFormat="false" ht="21.75" hidden="false" customHeight="true" outlineLevel="0" collapsed="false">
      <c r="B4" s="16" t="s">
        <v>76</v>
      </c>
      <c r="C4" s="16" t="s">
        <v>229</v>
      </c>
      <c r="D4" s="16" t="s">
        <v>117</v>
      </c>
      <c r="E4" s="16" t="s">
        <v>230</v>
      </c>
    </row>
    <row r="5" customFormat="false" ht="30" hidden="false" customHeight="true" outlineLevel="0" collapsed="false">
      <c r="B5" s="19" t="n">
        <v>1</v>
      </c>
      <c r="C5" s="6" t="s">
        <v>231</v>
      </c>
      <c r="D5" s="20"/>
      <c r="E5" s="5"/>
    </row>
    <row r="6" customFormat="false" ht="30" hidden="false" customHeight="true" outlineLevel="0" collapsed="false">
      <c r="B6" s="19" t="n">
        <v>2</v>
      </c>
      <c r="C6" s="6" t="s">
        <v>232</v>
      </c>
      <c r="D6" s="20"/>
      <c r="E6" s="5"/>
    </row>
    <row r="7" customFormat="false" ht="30" hidden="false" customHeight="true" outlineLevel="0" collapsed="false">
      <c r="B7" s="19" t="n">
        <v>3</v>
      </c>
      <c r="C7" s="6" t="s">
        <v>233</v>
      </c>
      <c r="D7" s="20"/>
      <c r="E7" s="5"/>
    </row>
    <row r="8" customFormat="false" ht="30" hidden="false" customHeight="true" outlineLevel="0" collapsed="false">
      <c r="B8" s="19" t="n">
        <v>4</v>
      </c>
      <c r="C8" s="6" t="s">
        <v>234</v>
      </c>
      <c r="D8" s="20"/>
      <c r="E8" s="5"/>
    </row>
    <row r="9" customFormat="false" ht="30" hidden="false" customHeight="true" outlineLevel="0" collapsed="false">
      <c r="B9" s="19" t="n">
        <v>5</v>
      </c>
      <c r="C9" s="6" t="s">
        <v>235</v>
      </c>
      <c r="D9" s="20"/>
      <c r="E9" s="5"/>
    </row>
    <row r="10" customFormat="false" ht="30" hidden="false" customHeight="true" outlineLevel="0" collapsed="false">
      <c r="B10" s="19" t="n">
        <v>6</v>
      </c>
      <c r="C10" s="6" t="s">
        <v>236</v>
      </c>
      <c r="D10" s="20"/>
      <c r="E10" s="5"/>
    </row>
    <row r="11" customFormat="false" ht="30" hidden="false" customHeight="true" outlineLevel="0" collapsed="false">
      <c r="B11" s="19" t="n">
        <v>7</v>
      </c>
      <c r="C11" s="6" t="s">
        <v>237</v>
      </c>
      <c r="D11" s="20"/>
      <c r="E11" s="5"/>
    </row>
    <row r="12" customFormat="false" ht="30" hidden="false" customHeight="true" outlineLevel="0" collapsed="false">
      <c r="B12" s="19" t="n">
        <v>8</v>
      </c>
      <c r="C12" s="6" t="s">
        <v>238</v>
      </c>
      <c r="D12" s="20"/>
      <c r="E12" s="5"/>
    </row>
    <row r="13" customFormat="false" ht="30" hidden="false" customHeight="true" outlineLevel="0" collapsed="false">
      <c r="B13" s="19" t="n">
        <v>9</v>
      </c>
      <c r="C13" s="6" t="s">
        <v>239</v>
      </c>
      <c r="D13" s="20"/>
      <c r="E13" s="5"/>
    </row>
    <row r="14" customFormat="false" ht="30" hidden="false" customHeight="true" outlineLevel="0" collapsed="false">
      <c r="B14" s="19" t="n">
        <v>10</v>
      </c>
      <c r="C14" s="6" t="s">
        <v>240</v>
      </c>
      <c r="D14" s="20"/>
      <c r="E14" s="5"/>
    </row>
    <row r="15" customFormat="false" ht="30" hidden="false" customHeight="true" outlineLevel="0" collapsed="false">
      <c r="B15" s="19" t="n">
        <v>11</v>
      </c>
      <c r="C15" s="6" t="s">
        <v>241</v>
      </c>
      <c r="D15" s="20"/>
      <c r="E15" s="5"/>
    </row>
    <row r="16" customFormat="false" ht="30" hidden="false" customHeight="true" outlineLevel="0" collapsed="false">
      <c r="B16" s="19" t="n">
        <v>12</v>
      </c>
      <c r="C16" s="6" t="s">
        <v>242</v>
      </c>
      <c r="D16" s="20"/>
      <c r="E16" s="5"/>
    </row>
    <row r="18" customFormat="false" ht="21.75" hidden="false" customHeight="true" outlineLevel="0" collapsed="false">
      <c r="B18" s="15" t="s">
        <v>101</v>
      </c>
      <c r="C18" s="15"/>
      <c r="D18" s="15"/>
      <c r="E18" s="15"/>
    </row>
    <row r="19" customFormat="false" ht="19.5" hidden="false" customHeight="true" outlineLevel="0" collapsed="false">
      <c r="B19" s="21" t="s">
        <v>243</v>
      </c>
      <c r="C19" s="21"/>
      <c r="D19" s="22" t="n">
        <f aca="false">COUNTIF(D5:D16,"Sim")</f>
        <v>0</v>
      </c>
    </row>
    <row r="20" customFormat="false" ht="19.5" hidden="false" customHeight="true" outlineLevel="0" collapsed="false">
      <c r="B20" s="21" t="s">
        <v>244</v>
      </c>
      <c r="C20" s="21"/>
      <c r="D20" s="22" t="n">
        <f aca="false">COUNTIF(D5:D16,"Parcial")</f>
        <v>0</v>
      </c>
    </row>
    <row r="21" customFormat="false" ht="19.5" hidden="false" customHeight="true" outlineLevel="0" collapsed="false">
      <c r="B21" s="21" t="s">
        <v>245</v>
      </c>
      <c r="C21" s="21"/>
      <c r="D21" s="22" t="n">
        <f aca="false">COUNTIF(D5:D16,"Não")</f>
        <v>0</v>
      </c>
    </row>
    <row r="22" customFormat="false" ht="19.5" hidden="false" customHeight="true" outlineLevel="0" collapsed="false">
      <c r="B22" s="21" t="s">
        <v>246</v>
      </c>
      <c r="C22" s="21"/>
      <c r="D22" s="22" t="n">
        <f aca="false">COUNTBLANK(D5:D16)</f>
        <v>12</v>
      </c>
    </row>
    <row r="23" customFormat="false" ht="19.5" hidden="false" customHeight="true" outlineLevel="0" collapsed="false">
      <c r="B23" s="21" t="s">
        <v>247</v>
      </c>
      <c r="C23" s="21"/>
      <c r="D23" s="28" t="n">
        <f aca="false">D19/ROWS(D5:D16)</f>
        <v>0</v>
      </c>
    </row>
    <row r="24" customFormat="false" ht="19.5" hidden="false" customHeight="true" outlineLevel="0" collapsed="false">
      <c r="B24" s="21" t="s">
        <v>121</v>
      </c>
      <c r="C24" s="21"/>
      <c r="D24" s="22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J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48"/>
    <col collapsed="false" customWidth="true" hidden="false" outlineLevel="0" max="7" min="6" style="0" width="14"/>
    <col collapsed="false" customWidth="true" hidden="false" outlineLevel="0" max="8" min="8" style="0" width="40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1" t="s">
        <v>248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249</v>
      </c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B4" s="4" t="s">
        <v>67</v>
      </c>
      <c r="C4" s="4"/>
      <c r="D4" s="38" t="s">
        <v>250</v>
      </c>
      <c r="E4" s="38"/>
      <c r="F4" s="38"/>
      <c r="G4" s="38"/>
      <c r="H4" s="38"/>
      <c r="I4" s="38"/>
      <c r="J4" s="38"/>
    </row>
    <row r="5" customFormat="false" ht="19.5" hidden="false" customHeight="true" outlineLevel="0" collapsed="false">
      <c r="B5" s="4" t="s">
        <v>68</v>
      </c>
      <c r="C5" s="4"/>
      <c r="D5" s="39" t="n">
        <v>46370</v>
      </c>
      <c r="E5" s="39"/>
      <c r="F5" s="39"/>
      <c r="G5" s="39"/>
      <c r="H5" s="39"/>
      <c r="I5" s="39"/>
      <c r="J5" s="39"/>
    </row>
    <row r="6" customFormat="false" ht="19.5" hidden="false" customHeight="true" outlineLevel="0" collapsed="false">
      <c r="B6" s="4" t="s">
        <v>69</v>
      </c>
      <c r="C6" s="4"/>
      <c r="D6" s="38" t="s">
        <v>251</v>
      </c>
      <c r="E6" s="38"/>
      <c r="F6" s="38"/>
      <c r="G6" s="38"/>
      <c r="H6" s="38"/>
      <c r="I6" s="38"/>
      <c r="J6" s="38"/>
    </row>
    <row r="7" customFormat="false" ht="19.5" hidden="false" customHeight="true" outlineLevel="0" collapsed="false">
      <c r="B7" s="4" t="s">
        <v>75</v>
      </c>
      <c r="C7" s="4"/>
      <c r="D7" s="38" t="s">
        <v>252</v>
      </c>
      <c r="E7" s="38"/>
      <c r="F7" s="38"/>
      <c r="G7" s="38"/>
      <c r="H7" s="38"/>
      <c r="I7" s="38"/>
      <c r="J7" s="38"/>
    </row>
    <row r="8" customFormat="false" ht="19.5" hidden="false" customHeight="true" outlineLevel="0" collapsed="false">
      <c r="B8" s="4" t="s">
        <v>253</v>
      </c>
      <c r="C8" s="4"/>
      <c r="D8" s="38" t="s">
        <v>254</v>
      </c>
      <c r="E8" s="38"/>
      <c r="F8" s="38"/>
      <c r="G8" s="38"/>
      <c r="H8" s="38"/>
      <c r="I8" s="38"/>
      <c r="J8" s="38"/>
    </row>
    <row r="9" customFormat="false" ht="19.5" hidden="false" customHeight="true" outlineLevel="0" collapsed="false">
      <c r="B9" s="4" t="s">
        <v>255</v>
      </c>
      <c r="C9" s="4"/>
      <c r="D9" s="38" t="s">
        <v>256</v>
      </c>
      <c r="E9" s="38"/>
      <c r="F9" s="38"/>
      <c r="G9" s="38"/>
      <c r="H9" s="38"/>
      <c r="I9" s="38"/>
      <c r="J9" s="38"/>
    </row>
    <row r="11" customFormat="false" ht="21.75" hidden="false" customHeight="true" outlineLevel="0" collapsed="false">
      <c r="B11" s="40" t="s">
        <v>257</v>
      </c>
      <c r="C11" s="40"/>
      <c r="D11" s="40"/>
      <c r="E11" s="40"/>
      <c r="F11" s="40"/>
      <c r="G11" s="40"/>
      <c r="H11" s="40"/>
      <c r="I11" s="40"/>
      <c r="J11" s="40"/>
    </row>
    <row r="12" customFormat="false" ht="24" hidden="false" customHeight="true" outlineLevel="0" collapsed="false">
      <c r="B12" s="22" t="s">
        <v>149</v>
      </c>
      <c r="C12" s="22" t="s">
        <v>150</v>
      </c>
      <c r="D12" s="22" t="s">
        <v>152</v>
      </c>
      <c r="E12" s="22" t="s">
        <v>154</v>
      </c>
      <c r="F12" s="22" t="s">
        <v>155</v>
      </c>
      <c r="G12" s="22" t="s">
        <v>121</v>
      </c>
      <c r="H12" s="22" t="s">
        <v>156</v>
      </c>
      <c r="I12" s="22" t="s">
        <v>157</v>
      </c>
      <c r="J12" s="22" t="s">
        <v>158</v>
      </c>
    </row>
    <row r="13" customFormat="false" ht="42.75" hidden="false" customHeight="true" outlineLevel="0" collapsed="false">
      <c r="B13" s="29" t="s">
        <v>166</v>
      </c>
      <c r="C13" s="41" t="s">
        <v>109</v>
      </c>
      <c r="D13" s="7" t="s">
        <v>258</v>
      </c>
      <c r="E13" s="7" t="s">
        <v>259</v>
      </c>
      <c r="F13" s="42" t="s">
        <v>260</v>
      </c>
      <c r="G13" s="42" t="s">
        <v>16</v>
      </c>
      <c r="H13" s="7" t="s">
        <v>261</v>
      </c>
      <c r="I13" s="31" t="n">
        <f aca="false">COUNTIF($C$28:$C$35,B13&amp;" ·*")</f>
        <v>1</v>
      </c>
      <c r="J13" s="27" t="str">
        <f aca="false">IF(COUNTA(D13:H13)=0,"Não analisada",IF(E13="","Falta o resultado",IF(F13="","Falta a tendência",IF(G13="","Falta a situação",IF(H13="","Falta a conclusão",IF(AND(G13="Crítica",I13=0),"Falta a decisão",IF(AND(G13="Atenção",I13=0),"Atenção sem decisão","Completa")))))))</f>
        <v>Completa</v>
      </c>
    </row>
    <row r="14" customFormat="false" ht="30.75" hidden="false" customHeight="true" outlineLevel="0" collapsed="false">
      <c r="B14" s="29" t="s">
        <v>168</v>
      </c>
      <c r="C14" s="41" t="s">
        <v>169</v>
      </c>
      <c r="D14" s="7" t="s">
        <v>262</v>
      </c>
      <c r="E14" s="7" t="s">
        <v>263</v>
      </c>
      <c r="F14" s="42" t="s">
        <v>264</v>
      </c>
      <c r="G14" s="42" t="s">
        <v>16</v>
      </c>
      <c r="H14" s="7" t="s">
        <v>265</v>
      </c>
      <c r="I14" s="31" t="n">
        <f aca="false">COUNTIF($C$28:$C$35,B14&amp;" ·*")</f>
        <v>1</v>
      </c>
      <c r="J14" s="27" t="str">
        <f aca="false">IF(COUNTA(D14:H14)=0,"Não analisada",IF(E14="","Falta o resultado",IF(F14="","Falta a tendência",IF(G14="","Falta a situação",IF(H14="","Falta a conclusão",IF(AND(G14="Crítica",I14=0),"Falta a decisão",IF(AND(G14="Atenção",I14=0),"Atenção sem decisão","Completa")))))))</f>
        <v>Completa</v>
      </c>
    </row>
    <row r="15" customFormat="false" ht="42.75" hidden="false" customHeight="true" outlineLevel="0" collapsed="false">
      <c r="B15" s="29" t="s">
        <v>171</v>
      </c>
      <c r="C15" s="41" t="s">
        <v>172</v>
      </c>
      <c r="D15" s="7" t="s">
        <v>266</v>
      </c>
      <c r="E15" s="7" t="s">
        <v>267</v>
      </c>
      <c r="F15" s="42" t="s">
        <v>268</v>
      </c>
      <c r="G15" s="42" t="s">
        <v>16</v>
      </c>
      <c r="H15" s="7" t="s">
        <v>269</v>
      </c>
      <c r="I15" s="31" t="n">
        <f aca="false">COUNTIF($C$28:$C$35,B15&amp;" ·*")</f>
        <v>1</v>
      </c>
      <c r="J15" s="27" t="str">
        <f aca="false">IF(COUNTA(D15:H15)=0,"Não analisada",IF(E15="","Falta o resultado",IF(F15="","Falta a tendência",IF(G15="","Falta a situação",IF(H15="","Falta a conclusão",IF(AND(G15="Crítica",I15=0),"Falta a decisão",IF(AND(G15="Atenção",I15=0),"Atenção sem decisão","Completa")))))))</f>
        <v>Completa</v>
      </c>
    </row>
    <row r="16" customFormat="false" ht="42.75" hidden="false" customHeight="true" outlineLevel="0" collapsed="false">
      <c r="B16" s="29" t="s">
        <v>174</v>
      </c>
      <c r="C16" s="41" t="s">
        <v>175</v>
      </c>
      <c r="D16" s="7" t="s">
        <v>258</v>
      </c>
      <c r="E16" s="7" t="s">
        <v>270</v>
      </c>
      <c r="F16" s="42" t="s">
        <v>268</v>
      </c>
      <c r="G16" s="42" t="s">
        <v>14</v>
      </c>
      <c r="H16" s="7" t="s">
        <v>271</v>
      </c>
      <c r="I16" s="31" t="n">
        <f aca="false">COUNTIF($C$28:$C$35,B16&amp;" ·*")</f>
        <v>0</v>
      </c>
      <c r="J16" s="27" t="str">
        <f aca="false">IF(COUNTA(D16:H16)=0,"Não analisada",IF(E16="","Falta o resultado",IF(F16="","Falta a tendência",IF(G16="","Falta a situação",IF(H16="","Falta a conclusão",IF(AND(G16="Crítica",I16=0),"Falta a decisão",IF(AND(G16="Atenção",I16=0),"Atenção sem decisão","Completa")))))))</f>
        <v>Completa</v>
      </c>
    </row>
    <row r="17" customFormat="false" ht="42.75" hidden="false" customHeight="true" outlineLevel="0" collapsed="false">
      <c r="B17" s="29" t="s">
        <v>177</v>
      </c>
      <c r="C17" s="41" t="s">
        <v>178</v>
      </c>
      <c r="D17" s="7" t="s">
        <v>258</v>
      </c>
      <c r="E17" s="7" t="s">
        <v>272</v>
      </c>
      <c r="F17" s="42" t="s">
        <v>260</v>
      </c>
      <c r="G17" s="42" t="s">
        <v>16</v>
      </c>
      <c r="H17" s="7" t="s">
        <v>273</v>
      </c>
      <c r="I17" s="31" t="n">
        <f aca="false">COUNTIF($C$28:$C$35,B17&amp;" ·*")</f>
        <v>1</v>
      </c>
      <c r="J17" s="27" t="str">
        <f aca="false">IF(COUNTA(D17:H17)=0,"Não analisada",IF(E17="","Falta o resultado",IF(F17="","Falta a tendência",IF(G17="","Falta a situação",IF(H17="","Falta a conclusão",IF(AND(G17="Crítica",I17=0),"Falta a decisão",IF(AND(G17="Atenção",I17=0),"Atenção sem decisão","Completa")))))))</f>
        <v>Completa</v>
      </c>
    </row>
    <row r="18" customFormat="false" ht="42.75" hidden="false" customHeight="true" outlineLevel="0" collapsed="false">
      <c r="B18" s="29" t="s">
        <v>180</v>
      </c>
      <c r="C18" s="41" t="s">
        <v>181</v>
      </c>
      <c r="D18" s="7" t="s">
        <v>258</v>
      </c>
      <c r="E18" s="7" t="s">
        <v>274</v>
      </c>
      <c r="F18" s="42" t="s">
        <v>260</v>
      </c>
      <c r="G18" s="42" t="s">
        <v>14</v>
      </c>
      <c r="H18" s="7" t="s">
        <v>275</v>
      </c>
      <c r="I18" s="31" t="n">
        <f aca="false">COUNTIF($C$28:$C$35,B18&amp;" ·*")</f>
        <v>0</v>
      </c>
      <c r="J18" s="27" t="str">
        <f aca="false">IF(COUNTA(D18:H18)=0,"Não analisada",IF(E18="","Falta o resultado",IF(F18="","Falta a tendência",IF(G18="","Falta a situação",IF(H18="","Falta a conclusão",IF(AND(G18="Crítica",I18=0),"Falta a decisão",IF(AND(G18="Atenção",I18=0),"Atenção sem decisão","Completa")))))))</f>
        <v>Completa</v>
      </c>
    </row>
    <row r="19" customFormat="false" ht="42.75" hidden="false" customHeight="true" outlineLevel="0" collapsed="false">
      <c r="B19" s="29" t="s">
        <v>183</v>
      </c>
      <c r="C19" s="41" t="s">
        <v>184</v>
      </c>
      <c r="D19" s="7" t="s">
        <v>276</v>
      </c>
      <c r="E19" s="7" t="s">
        <v>277</v>
      </c>
      <c r="F19" s="42" t="s">
        <v>268</v>
      </c>
      <c r="G19" s="42" t="s">
        <v>14</v>
      </c>
      <c r="H19" s="7" t="s">
        <v>278</v>
      </c>
      <c r="I19" s="31" t="n">
        <f aca="false">COUNTIF($C$28:$C$35,B19&amp;" ·*")</f>
        <v>0</v>
      </c>
      <c r="J19" s="27" t="str">
        <f aca="false">IF(COUNTA(D19:H19)=0,"Não analisada",IF(E19="","Falta o resultado",IF(F19="","Falta a tendência",IF(G19="","Falta a situação",IF(H19="","Falta a conclusão",IF(AND(G19="Crítica",I19=0),"Falta a decisão",IF(AND(G19="Atenção",I19=0),"Atenção sem decisão","Completa")))))))</f>
        <v>Completa</v>
      </c>
    </row>
    <row r="20" customFormat="false" ht="42.75" hidden="false" customHeight="true" outlineLevel="0" collapsed="false">
      <c r="B20" s="29" t="s">
        <v>186</v>
      </c>
      <c r="C20" s="41" t="s">
        <v>187</v>
      </c>
      <c r="D20" s="7" t="s">
        <v>266</v>
      </c>
      <c r="E20" s="7" t="s">
        <v>279</v>
      </c>
      <c r="F20" s="42" t="s">
        <v>260</v>
      </c>
      <c r="G20" s="42" t="s">
        <v>16</v>
      </c>
      <c r="H20" s="7" t="s">
        <v>280</v>
      </c>
      <c r="I20" s="31" t="n">
        <f aca="false">COUNTIF($C$28:$C$35,B20&amp;" ·*")</f>
        <v>1</v>
      </c>
      <c r="J20" s="27" t="str">
        <f aca="false">IF(COUNTA(D20:H20)=0,"Não analisada",IF(E20="","Falta o resultado",IF(F20="","Falta a tendência",IF(G20="","Falta a situação",IF(H20="","Falta a conclusão",IF(AND(G20="Crítica",I20=0),"Falta a decisão",IF(AND(G20="Atenção",I20=0),"Atenção sem decisão","Completa")))))))</f>
        <v>Completa</v>
      </c>
    </row>
    <row r="21" customFormat="false" ht="42.75" hidden="false" customHeight="true" outlineLevel="0" collapsed="false">
      <c r="B21" s="29" t="s">
        <v>189</v>
      </c>
      <c r="C21" s="41" t="s">
        <v>190</v>
      </c>
      <c r="D21" s="7" t="s">
        <v>258</v>
      </c>
      <c r="E21" s="7" t="s">
        <v>281</v>
      </c>
      <c r="F21" s="42" t="s">
        <v>268</v>
      </c>
      <c r="G21" s="42" t="s">
        <v>16</v>
      </c>
      <c r="H21" s="7" t="s">
        <v>282</v>
      </c>
      <c r="I21" s="31" t="n">
        <f aca="false">COUNTIF($C$28:$C$35,B21&amp;" ·*")</f>
        <v>1</v>
      </c>
      <c r="J21" s="27" t="str">
        <f aca="false">IF(COUNTA(D21:H21)=0,"Não analisada",IF(E21="","Falta o resultado",IF(F21="","Falta a tendência",IF(G21="","Falta a situação",IF(H21="","Falta a conclusão",IF(AND(G21="Crítica",I21=0),"Falta a decisão",IF(AND(G21="Atenção",I21=0),"Atenção sem decisão","Completa")))))))</f>
        <v>Completa</v>
      </c>
    </row>
    <row r="22" customFormat="false" ht="42.75" hidden="false" customHeight="true" outlineLevel="0" collapsed="false">
      <c r="B22" s="29" t="s">
        <v>192</v>
      </c>
      <c r="C22" s="41" t="s">
        <v>193</v>
      </c>
      <c r="D22" s="7" t="s">
        <v>262</v>
      </c>
      <c r="E22" s="7" t="s">
        <v>283</v>
      </c>
      <c r="F22" s="42" t="s">
        <v>264</v>
      </c>
      <c r="G22" s="42" t="s">
        <v>16</v>
      </c>
      <c r="H22" s="7" t="s">
        <v>284</v>
      </c>
      <c r="I22" s="31" t="n">
        <f aca="false">COUNTIF($C$28:$C$35,B22&amp;" ·*")</f>
        <v>1</v>
      </c>
      <c r="J22" s="27" t="str">
        <f aca="false">IF(COUNTA(D22:H22)=0,"Não analisada",IF(E22="","Falta o resultado",IF(F22="","Falta a tendência",IF(G22="","Falta a situação",IF(H22="","Falta a conclusão",IF(AND(G22="Crítica",I22=0),"Falta a decisão",IF(AND(G22="Atenção",I22=0),"Atenção sem decisão","Completa")))))))</f>
        <v>Completa</v>
      </c>
    </row>
    <row r="23" customFormat="false" ht="42.75" hidden="false" customHeight="true" outlineLevel="0" collapsed="false">
      <c r="B23" s="29" t="s">
        <v>195</v>
      </c>
      <c r="C23" s="41" t="s">
        <v>196</v>
      </c>
      <c r="D23" s="7" t="s">
        <v>258</v>
      </c>
      <c r="E23" s="7" t="s">
        <v>285</v>
      </c>
      <c r="F23" s="42" t="s">
        <v>260</v>
      </c>
      <c r="G23" s="42" t="s">
        <v>16</v>
      </c>
      <c r="H23" s="7" t="s">
        <v>286</v>
      </c>
      <c r="I23" s="31" t="n">
        <f aca="false">COUNTIF($C$28:$C$35,B23&amp;" ·*")</f>
        <v>1</v>
      </c>
      <c r="J23" s="27" t="str">
        <f aca="false">IF(COUNTA(D23:H23)=0,"Não analisada",IF(E23="","Falta o resultado",IF(F23="","Falta a tendência",IF(G23="","Falta a situação",IF(H23="","Falta a conclusão",IF(AND(G23="Crítica",I23=0),"Falta a decisão",IF(AND(G23="Atenção",I23=0),"Atenção sem decisão","Completa")))))))</f>
        <v>Completa</v>
      </c>
    </row>
    <row r="24" customFormat="false" ht="42.75" hidden="false" customHeight="true" outlineLevel="0" collapsed="false">
      <c r="B24" s="29" t="s">
        <v>198</v>
      </c>
      <c r="C24" s="41" t="s">
        <v>199</v>
      </c>
      <c r="D24" s="7" t="s">
        <v>287</v>
      </c>
      <c r="E24" s="7" t="s">
        <v>288</v>
      </c>
      <c r="F24" s="42" t="s">
        <v>260</v>
      </c>
      <c r="G24" s="42" t="s">
        <v>14</v>
      </c>
      <c r="H24" s="7" t="s">
        <v>289</v>
      </c>
      <c r="I24" s="31" t="n">
        <f aca="false">COUNTIF($C$28:$C$35,B24&amp;" ·*")</f>
        <v>0</v>
      </c>
      <c r="J24" s="27" t="str">
        <f aca="false">IF(COUNTA(D24:H24)=0,"Não analisada",IF(E24="","Falta o resultado",IF(F24="","Falta a tendência",IF(G24="","Falta a situação",IF(H24="","Falta a conclusão",IF(AND(G24="Crítica",I24=0),"Falta a decisão",IF(AND(G24="Atenção",I24=0),"Atenção sem decisão","Completa")))))))</f>
        <v>Completa</v>
      </c>
    </row>
    <row r="26" customFormat="false" ht="21.75" hidden="false" customHeight="true" outlineLevel="0" collapsed="false">
      <c r="B26" s="43" t="s">
        <v>206</v>
      </c>
      <c r="C26" s="43"/>
      <c r="D26" s="43"/>
      <c r="E26" s="43"/>
      <c r="F26" s="43"/>
      <c r="G26" s="43"/>
      <c r="H26" s="43"/>
      <c r="I26" s="43"/>
      <c r="J26" s="43"/>
    </row>
    <row r="27" customFormat="false" ht="24" hidden="false" customHeight="true" outlineLevel="0" collapsed="false">
      <c r="B27" s="22" t="s">
        <v>290</v>
      </c>
      <c r="C27" s="22" t="s">
        <v>150</v>
      </c>
      <c r="D27" s="22" t="s">
        <v>209</v>
      </c>
      <c r="E27" s="22" t="s">
        <v>210</v>
      </c>
      <c r="F27" s="22" t="s">
        <v>115</v>
      </c>
      <c r="G27" s="22"/>
      <c r="H27" s="22" t="s">
        <v>211</v>
      </c>
      <c r="I27" s="22" t="s">
        <v>116</v>
      </c>
      <c r="J27" s="22" t="s">
        <v>212</v>
      </c>
    </row>
    <row r="28" customFormat="false" ht="30.75" hidden="false" customHeight="true" outlineLevel="0" collapsed="false">
      <c r="B28" s="22" t="n">
        <v>1</v>
      </c>
      <c r="C28" s="7" t="s">
        <v>291</v>
      </c>
      <c r="D28" s="42" t="s">
        <v>292</v>
      </c>
      <c r="E28" s="7" t="s">
        <v>293</v>
      </c>
      <c r="F28" s="7" t="s">
        <v>262</v>
      </c>
      <c r="G28" s="7"/>
      <c r="H28" s="7"/>
      <c r="I28" s="44" t="n">
        <v>46552</v>
      </c>
      <c r="J28" s="45"/>
    </row>
    <row r="29" customFormat="false" ht="30.75" hidden="false" customHeight="true" outlineLevel="0" collapsed="false">
      <c r="B29" s="22" t="n">
        <v>2</v>
      </c>
      <c r="C29" s="7" t="s">
        <v>294</v>
      </c>
      <c r="D29" s="42" t="s">
        <v>292</v>
      </c>
      <c r="E29" s="7" t="s">
        <v>295</v>
      </c>
      <c r="F29" s="7" t="s">
        <v>258</v>
      </c>
      <c r="G29" s="7"/>
      <c r="H29" s="7"/>
      <c r="I29" s="44" t="n">
        <v>46444</v>
      </c>
      <c r="J29" s="45"/>
    </row>
    <row r="30" customFormat="false" ht="30.75" hidden="false" customHeight="true" outlineLevel="0" collapsed="false">
      <c r="B30" s="22" t="n">
        <v>3</v>
      </c>
      <c r="C30" s="7" t="s">
        <v>296</v>
      </c>
      <c r="D30" s="42" t="s">
        <v>297</v>
      </c>
      <c r="E30" s="7" t="s">
        <v>298</v>
      </c>
      <c r="F30" s="7" t="s">
        <v>266</v>
      </c>
      <c r="G30" s="7"/>
      <c r="H30" s="7" t="s">
        <v>299</v>
      </c>
      <c r="I30" s="44" t="n">
        <v>46416</v>
      </c>
      <c r="J30" s="45" t="n">
        <v>300</v>
      </c>
    </row>
    <row r="31" customFormat="false" ht="30.75" hidden="false" customHeight="true" outlineLevel="0" collapsed="false">
      <c r="B31" s="22" t="n">
        <v>4</v>
      </c>
      <c r="C31" s="7" t="s">
        <v>300</v>
      </c>
      <c r="D31" s="42" t="s">
        <v>292</v>
      </c>
      <c r="E31" s="7" t="s">
        <v>301</v>
      </c>
      <c r="F31" s="7" t="s">
        <v>258</v>
      </c>
      <c r="G31" s="7"/>
      <c r="H31" s="7"/>
      <c r="I31" s="44" t="n">
        <v>46444</v>
      </c>
      <c r="J31" s="45"/>
    </row>
    <row r="32" customFormat="false" ht="30.75" hidden="false" customHeight="true" outlineLevel="0" collapsed="false">
      <c r="B32" s="22" t="n">
        <v>5</v>
      </c>
      <c r="C32" s="7" t="s">
        <v>302</v>
      </c>
      <c r="D32" s="42" t="s">
        <v>292</v>
      </c>
      <c r="E32" s="7" t="s">
        <v>303</v>
      </c>
      <c r="F32" s="7" t="s">
        <v>258</v>
      </c>
      <c r="G32" s="7"/>
      <c r="H32" s="7"/>
      <c r="I32" s="44" t="n">
        <v>46402</v>
      </c>
      <c r="J32" s="45"/>
    </row>
    <row r="33" customFormat="false" ht="30.75" hidden="false" customHeight="true" outlineLevel="0" collapsed="false">
      <c r="B33" s="22" t="n">
        <v>6</v>
      </c>
      <c r="C33" s="7" t="s">
        <v>304</v>
      </c>
      <c r="D33" s="42" t="s">
        <v>292</v>
      </c>
      <c r="E33" s="7" t="s">
        <v>305</v>
      </c>
      <c r="F33" s="7" t="s">
        <v>258</v>
      </c>
      <c r="G33" s="7"/>
      <c r="H33" s="7"/>
      <c r="I33" s="44" t="n">
        <v>46416</v>
      </c>
      <c r="J33" s="45"/>
    </row>
    <row r="34" customFormat="false" ht="30.75" hidden="false" customHeight="true" outlineLevel="0" collapsed="false">
      <c r="B34" s="22" t="n">
        <v>7</v>
      </c>
      <c r="C34" s="7" t="s">
        <v>306</v>
      </c>
      <c r="D34" s="42" t="s">
        <v>193</v>
      </c>
      <c r="E34" s="7" t="s">
        <v>307</v>
      </c>
      <c r="F34" s="7" t="s">
        <v>262</v>
      </c>
      <c r="G34" s="7"/>
      <c r="H34" s="7" t="s">
        <v>308</v>
      </c>
      <c r="I34" s="44" t="n">
        <v>46416</v>
      </c>
      <c r="J34" s="45" t="n">
        <v>10800</v>
      </c>
    </row>
    <row r="35" customFormat="false" ht="30.75" hidden="false" customHeight="true" outlineLevel="0" collapsed="false">
      <c r="B35" s="22" t="n">
        <v>8</v>
      </c>
      <c r="C35" s="7" t="s">
        <v>309</v>
      </c>
      <c r="D35" s="42" t="s">
        <v>297</v>
      </c>
      <c r="E35" s="7" t="s">
        <v>310</v>
      </c>
      <c r="F35" s="7" t="s">
        <v>276</v>
      </c>
      <c r="G35" s="7"/>
      <c r="H35" s="7" t="s">
        <v>311</v>
      </c>
      <c r="I35" s="44" t="n">
        <v>46409</v>
      </c>
      <c r="J35" s="45"/>
    </row>
    <row r="37" customFormat="false" ht="21.75" hidden="false" customHeight="true" outlineLevel="0" collapsed="false">
      <c r="B37" s="46" t="s">
        <v>88</v>
      </c>
      <c r="C37" s="46"/>
      <c r="D37" s="46"/>
      <c r="E37" s="46"/>
      <c r="F37" s="46"/>
      <c r="G37" s="46"/>
      <c r="H37" s="46"/>
      <c r="I37" s="46"/>
      <c r="J37" s="46"/>
    </row>
    <row r="38" customFormat="false" ht="24" hidden="false" customHeight="true" outlineLevel="0" collapsed="false">
      <c r="B38" s="22" t="s">
        <v>89</v>
      </c>
      <c r="C38" s="22"/>
      <c r="D38" s="22" t="s">
        <v>90</v>
      </c>
      <c r="E38" s="22"/>
      <c r="F38" s="22" t="s">
        <v>91</v>
      </c>
      <c r="G38" s="47" t="s">
        <v>92</v>
      </c>
      <c r="H38" s="47"/>
      <c r="I38" s="47"/>
      <c r="J38" s="47"/>
    </row>
    <row r="39" customFormat="false" ht="24" hidden="false" customHeight="true" outlineLevel="0" collapsed="false">
      <c r="B39" s="4" t="s">
        <v>93</v>
      </c>
      <c r="C39" s="4"/>
      <c r="D39" s="7" t="s">
        <v>94</v>
      </c>
      <c r="E39" s="7"/>
      <c r="F39" s="42" t="s">
        <v>85</v>
      </c>
      <c r="G39" s="7" t="s">
        <v>312</v>
      </c>
      <c r="H39" s="7"/>
      <c r="I39" s="7"/>
      <c r="J39" s="7"/>
    </row>
    <row r="40" customFormat="false" ht="24" hidden="false" customHeight="true" outlineLevel="0" collapsed="false">
      <c r="B40" s="4" t="s">
        <v>95</v>
      </c>
      <c r="C40" s="4"/>
      <c r="D40" s="7" t="s">
        <v>96</v>
      </c>
      <c r="E40" s="7"/>
      <c r="F40" s="42" t="s">
        <v>313</v>
      </c>
      <c r="G40" s="7" t="s">
        <v>314</v>
      </c>
      <c r="H40" s="7"/>
      <c r="I40" s="7"/>
      <c r="J40" s="7"/>
    </row>
    <row r="41" customFormat="false" ht="24" hidden="false" customHeight="true" outlineLevel="0" collapsed="false">
      <c r="B41" s="4" t="s">
        <v>97</v>
      </c>
      <c r="C41" s="4"/>
      <c r="D41" s="7" t="s">
        <v>98</v>
      </c>
      <c r="E41" s="7"/>
      <c r="F41" s="42" t="s">
        <v>313</v>
      </c>
      <c r="G41" s="7" t="s">
        <v>315</v>
      </c>
      <c r="H41" s="7"/>
      <c r="I41" s="7"/>
      <c r="J41" s="7"/>
    </row>
    <row r="42" customFormat="false" ht="24" hidden="false" customHeight="true" outlineLevel="0" collapsed="false">
      <c r="B42" s="4" t="s">
        <v>99</v>
      </c>
      <c r="C42" s="4"/>
      <c r="D42" s="7" t="s">
        <v>100</v>
      </c>
      <c r="E42" s="7"/>
      <c r="F42" s="42" t="s">
        <v>85</v>
      </c>
      <c r="G42" s="7" t="s">
        <v>316</v>
      </c>
      <c r="H42" s="7"/>
      <c r="I42" s="7"/>
      <c r="J42" s="7"/>
    </row>
    <row r="44" customFormat="false" ht="21.75" hidden="false" customHeight="true" outlineLevel="0" collapsed="false">
      <c r="B44" s="15" t="s">
        <v>101</v>
      </c>
      <c r="C44" s="15"/>
      <c r="D44" s="15"/>
      <c r="E44" s="15"/>
      <c r="F44" s="15"/>
      <c r="G44" s="15"/>
      <c r="H44" s="15"/>
      <c r="I44" s="15"/>
      <c r="J44" s="15"/>
    </row>
    <row r="45" customFormat="false" ht="21.75" hidden="false" customHeight="true" outlineLevel="0" collapsed="false">
      <c r="B45" s="21" t="s">
        <v>105</v>
      </c>
      <c r="C45" s="21"/>
      <c r="D45" s="21"/>
      <c r="E45" s="22" t="n">
        <f aca="false">SUMPRODUCT((E13:E24&lt;&gt;"")*(G13:G24&lt;&gt;"")*(H13:H24&lt;&gt;""))</f>
        <v>12</v>
      </c>
    </row>
    <row r="46" customFormat="false" ht="21.75" hidden="false" customHeight="true" outlineLevel="0" collapsed="false">
      <c r="B46" s="21" t="s">
        <v>317</v>
      </c>
      <c r="C46" s="21"/>
      <c r="D46" s="21"/>
      <c r="E46" s="22" t="str">
        <f aca="false">COUNTIF(G13:G24,"Favorável")&amp;", "&amp;COUNTIF(G13:G24,"Atenção")&amp;" e "&amp;COUNTIF(G13:G24,"Crítica")</f>
        <v>4, 8 e 0</v>
      </c>
    </row>
    <row r="47" customFormat="false" ht="21.75" hidden="false" customHeight="true" outlineLevel="0" collapsed="false">
      <c r="B47" s="21" t="s">
        <v>205</v>
      </c>
      <c r="C47" s="21"/>
      <c r="D47" s="21"/>
      <c r="E47" s="22" t="n">
        <f aca="false">COUNTIFS(G13:G24,"Crítica",I13:I24,0)</f>
        <v>0</v>
      </c>
    </row>
    <row r="48" customFormat="false" ht="21.75" hidden="false" customHeight="true" outlineLevel="0" collapsed="false">
      <c r="B48" s="21" t="s">
        <v>106</v>
      </c>
      <c r="C48" s="21"/>
      <c r="D48" s="21"/>
      <c r="E48" s="22" t="n">
        <f aca="false">COUNTA(E28:E35)</f>
        <v>8</v>
      </c>
    </row>
    <row r="49" customFormat="false" ht="21.75" hidden="false" customHeight="true" outlineLevel="0" collapsed="false">
      <c r="B49" s="21" t="s">
        <v>318</v>
      </c>
      <c r="C49" s="21"/>
      <c r="D49" s="21"/>
      <c r="E49" s="22" t="str">
        <f aca="false">COUNTIF(D28:D35,"Melhoria")&amp;", "&amp;COUNTIF(D28:D35,"Mudança no sistema")&amp;" e "&amp;COUNTIF(D28:D35,"Recursos")</f>
        <v>2, 5 e 1</v>
      </c>
    </row>
    <row r="50" customFormat="false" ht="21.75" hidden="false" customHeight="true" outlineLevel="0" collapsed="false">
      <c r="B50" s="21" t="s">
        <v>226</v>
      </c>
      <c r="C50" s="21"/>
      <c r="D50" s="21"/>
      <c r="E50" s="37" t="n">
        <f aca="false">SUM(J28:J35)</f>
        <v>11100</v>
      </c>
    </row>
  </sheetData>
  <mergeCells count="48">
    <mergeCell ref="B1:J1"/>
    <mergeCell ref="B2:J2"/>
    <mergeCell ref="B4:C4"/>
    <mergeCell ref="D4:J4"/>
    <mergeCell ref="B5:C5"/>
    <mergeCell ref="D5:J5"/>
    <mergeCell ref="B6:C6"/>
    <mergeCell ref="D6:J6"/>
    <mergeCell ref="B7:C7"/>
    <mergeCell ref="D7:J7"/>
    <mergeCell ref="B8:C8"/>
    <mergeCell ref="D8:J8"/>
    <mergeCell ref="B9:C9"/>
    <mergeCell ref="D9:J9"/>
    <mergeCell ref="B11:J11"/>
    <mergeCell ref="B26:J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B37:J37"/>
    <mergeCell ref="B38:C38"/>
    <mergeCell ref="D38:E38"/>
    <mergeCell ref="G38:J38"/>
    <mergeCell ref="B39:C39"/>
    <mergeCell ref="D39:E39"/>
    <mergeCell ref="G39:J39"/>
    <mergeCell ref="B40:C40"/>
    <mergeCell ref="D40:E40"/>
    <mergeCell ref="G40:J40"/>
    <mergeCell ref="B41:C41"/>
    <mergeCell ref="D41:E41"/>
    <mergeCell ref="G41:J41"/>
    <mergeCell ref="B42:C42"/>
    <mergeCell ref="D42:E42"/>
    <mergeCell ref="G42:J42"/>
    <mergeCell ref="B44:J44"/>
    <mergeCell ref="B45:D45"/>
    <mergeCell ref="B46:D46"/>
    <mergeCell ref="B47:D47"/>
    <mergeCell ref="B48:D48"/>
    <mergeCell ref="B49:D49"/>
    <mergeCell ref="B50:D50"/>
  </mergeCells>
  <conditionalFormatting sqref="G13:G24">
    <cfRule type="cellIs" priority="2" operator="equal" aboveAverage="0" equalAverage="0" bottom="0" percent="0" rank="0" text="" dxfId="3">
      <formula>"Favorável"</formula>
    </cfRule>
    <cfRule type="cellIs" priority="3" operator="equal" aboveAverage="0" equalAverage="0" bottom="0" percent="0" rank="0" text="" dxfId="4">
      <formula>"Atenção"</formula>
    </cfRule>
    <cfRule type="cellIs" priority="4" operator="equal" aboveAverage="0" equalAverage="0" bottom="0" percent="0" rank="0" text="" dxfId="5">
      <formula>"Crítica"</formula>
    </cfRule>
  </conditionalFormatting>
  <conditionalFormatting sqref="J13:J24">
    <cfRule type="expression" priority="5" aboveAverage="0" equalAverage="0" bottom="0" percent="0" rank="0" text="" dxfId="0">
      <formula>J13="Completa"</formula>
    </cfRule>
    <cfRule type="expression" priority="6" aboveAverage="0" equalAverage="0" bottom="0" percent="0" rank="0" text="" dxfId="6">
      <formula>J13="Não analisada"</formula>
    </cfRule>
    <cfRule type="expression" priority="7" aboveAverage="0" equalAverage="0" bottom="0" percent="0" rank="0" text="" dxfId="1">
      <formula>LEN(J13)&gt;0</formula>
    </cfRule>
  </conditionalFormatting>
  <conditionalFormatting sqref="F39:F42">
    <cfRule type="cellIs" priority="8" operator="equal" aboveAverage="0" equalAverage="0" bottom="0" percent="0" rank="0" text="" dxfId="0">
      <formula>"Sim"</formula>
    </cfRule>
    <cfRule type="cellIs" priority="9" operator="equal" aboveAverage="0" equalAverage="0" bottom="0" percent="0" rank="0" text="" dxfId="1">
      <formula>"Parcial"</formula>
    </cfRule>
    <cfRule type="cellIs" priority="10" operator="equal" aboveAverage="0" equalAverage="0" bottom="0" percent="0" rank="0" text="" dxfId="2">
      <formula>"Não"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5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J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48"/>
    <col collapsed="false" customWidth="true" hidden="false" outlineLevel="0" max="7" min="6" style="0" width="14"/>
    <col collapsed="false" customWidth="true" hidden="false" outlineLevel="0" max="8" min="8" style="0" width="40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1" t="s">
        <v>248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249</v>
      </c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B4" s="4" t="s">
        <v>67</v>
      </c>
      <c r="C4" s="4"/>
      <c r="D4" s="38" t="s">
        <v>319</v>
      </c>
      <c r="E4" s="38"/>
      <c r="F4" s="38"/>
      <c r="G4" s="38"/>
      <c r="H4" s="38"/>
      <c r="I4" s="38"/>
      <c r="J4" s="38"/>
    </row>
    <row r="5" customFormat="false" ht="19.5" hidden="false" customHeight="true" outlineLevel="0" collapsed="false">
      <c r="B5" s="4" t="s">
        <v>68</v>
      </c>
      <c r="C5" s="4"/>
      <c r="D5" s="39" t="n">
        <v>46436</v>
      </c>
      <c r="E5" s="39"/>
      <c r="F5" s="39"/>
      <c r="G5" s="39"/>
      <c r="H5" s="39"/>
      <c r="I5" s="39"/>
      <c r="J5" s="39"/>
    </row>
    <row r="6" customFormat="false" ht="19.5" hidden="false" customHeight="true" outlineLevel="0" collapsed="false">
      <c r="B6" s="4" t="s">
        <v>69</v>
      </c>
      <c r="C6" s="4"/>
      <c r="D6" s="38" t="s">
        <v>320</v>
      </c>
      <c r="E6" s="38"/>
      <c r="F6" s="38"/>
      <c r="G6" s="38"/>
      <c r="H6" s="38"/>
      <c r="I6" s="38"/>
      <c r="J6" s="38"/>
    </row>
    <row r="7" customFormat="false" ht="19.5" hidden="false" customHeight="true" outlineLevel="0" collapsed="false">
      <c r="B7" s="4" t="s">
        <v>75</v>
      </c>
      <c r="C7" s="4"/>
      <c r="D7" s="38" t="s">
        <v>321</v>
      </c>
      <c r="E7" s="38"/>
      <c r="F7" s="38"/>
      <c r="G7" s="38"/>
      <c r="H7" s="38"/>
      <c r="I7" s="38"/>
      <c r="J7" s="38"/>
    </row>
    <row r="8" customFormat="false" ht="19.5" hidden="false" customHeight="true" outlineLevel="0" collapsed="false">
      <c r="B8" s="4" t="s">
        <v>253</v>
      </c>
      <c r="C8" s="4"/>
      <c r="D8" s="39" t="n">
        <v>46247</v>
      </c>
      <c r="E8" s="39"/>
      <c r="F8" s="39"/>
      <c r="G8" s="39"/>
      <c r="H8" s="39"/>
      <c r="I8" s="39"/>
      <c r="J8" s="39"/>
    </row>
    <row r="9" customFormat="false" ht="19.5" hidden="false" customHeight="true" outlineLevel="0" collapsed="false">
      <c r="B9" s="4" t="s">
        <v>255</v>
      </c>
      <c r="C9" s="4"/>
      <c r="D9" s="38" t="s">
        <v>322</v>
      </c>
      <c r="E9" s="38"/>
      <c r="F9" s="38"/>
      <c r="G9" s="38"/>
      <c r="H9" s="38"/>
      <c r="I9" s="38"/>
      <c r="J9" s="38"/>
    </row>
    <row r="11" customFormat="false" ht="21.75" hidden="false" customHeight="true" outlineLevel="0" collapsed="false">
      <c r="B11" s="48" t="s">
        <v>323</v>
      </c>
      <c r="C11" s="48"/>
      <c r="D11" s="48"/>
      <c r="E11" s="48"/>
      <c r="F11" s="48"/>
      <c r="G11" s="48"/>
      <c r="H11" s="48"/>
      <c r="I11" s="48"/>
      <c r="J11" s="48"/>
    </row>
    <row r="12" customFormat="false" ht="24" hidden="false" customHeight="true" outlineLevel="0" collapsed="false">
      <c r="B12" s="22" t="s">
        <v>290</v>
      </c>
      <c r="C12" s="22" t="s">
        <v>113</v>
      </c>
      <c r="D12" s="22" t="s">
        <v>115</v>
      </c>
      <c r="E12" s="22" t="s">
        <v>114</v>
      </c>
      <c r="F12" s="22" t="s">
        <v>116</v>
      </c>
      <c r="G12" s="22" t="s">
        <v>118</v>
      </c>
      <c r="H12" s="22" t="s">
        <v>324</v>
      </c>
      <c r="I12" s="22" t="s">
        <v>117</v>
      </c>
      <c r="J12" s="22" t="s">
        <v>121</v>
      </c>
    </row>
    <row r="13" customFormat="false" ht="30.75" hidden="false" customHeight="true" outlineLevel="0" collapsed="false">
      <c r="B13" s="22" t="n">
        <v>1</v>
      </c>
      <c r="C13" s="44" t="n">
        <v>46065</v>
      </c>
      <c r="D13" s="7" t="s">
        <v>325</v>
      </c>
      <c r="E13" s="7" t="s">
        <v>326</v>
      </c>
      <c r="F13" s="44" t="n">
        <v>46203</v>
      </c>
      <c r="G13" s="44" t="n">
        <v>46199</v>
      </c>
      <c r="H13" s="7" t="s">
        <v>327</v>
      </c>
      <c r="I13" s="42" t="s">
        <v>133</v>
      </c>
      <c r="J13" s="23" t="str">
        <f aca="false">IF(E13="","",IF(F13="","Falta o prazo",IF(I13="","Falta o status",IF(I13="Cancelada","Cancelada",IF(I13="Concluída",IF(G13="","Falta a data de conclusão",IF(G13&lt;=F13,"Concluída no prazo","Concluída com atraso")),IF(F13&lt;$D$5,"Atrasada","No prazo"))))))</f>
        <v>Concluída no prazo</v>
      </c>
    </row>
    <row r="14" customFormat="false" ht="24" hidden="false" customHeight="true" outlineLevel="0" collapsed="false">
      <c r="B14" s="22" t="n">
        <v>2</v>
      </c>
      <c r="C14" s="44" t="n">
        <v>46065</v>
      </c>
      <c r="D14" s="7" t="s">
        <v>132</v>
      </c>
      <c r="E14" s="7" t="s">
        <v>131</v>
      </c>
      <c r="F14" s="44" t="n">
        <v>46142</v>
      </c>
      <c r="G14" s="44" t="n">
        <v>46157</v>
      </c>
      <c r="H14" s="7" t="s">
        <v>328</v>
      </c>
      <c r="I14" s="42" t="s">
        <v>133</v>
      </c>
      <c r="J14" s="23" t="str">
        <f aca="false">IF(E14="","",IF(F14="","Falta o prazo",IF(I14="","Falta o status",IF(I14="Cancelada","Cancelada",IF(I14="Concluída",IF(G14="","Falta a data de conclusão",IF(G14&lt;=F14,"Concluída no prazo","Concluída com atraso")),IF(F14&lt;$D$5,"Atrasada","No prazo"))))))</f>
        <v>Concluída com atraso</v>
      </c>
    </row>
    <row r="15" customFormat="false" ht="30.75" hidden="false" customHeight="true" outlineLevel="0" collapsed="false">
      <c r="B15" s="22" t="n">
        <v>3</v>
      </c>
      <c r="C15" s="44" t="n">
        <v>46065</v>
      </c>
      <c r="D15" s="7" t="s">
        <v>329</v>
      </c>
      <c r="E15" s="7" t="s">
        <v>330</v>
      </c>
      <c r="F15" s="44" t="n">
        <v>46112</v>
      </c>
      <c r="G15" s="44" t="n">
        <v>46101</v>
      </c>
      <c r="H15" s="7" t="s">
        <v>331</v>
      </c>
      <c r="I15" s="42" t="s">
        <v>133</v>
      </c>
      <c r="J15" s="23" t="str">
        <f aca="false">IF(E15="","",IF(F15="","Falta o prazo",IF(I15="","Falta o status",IF(I15="Cancelada","Cancelada",IF(I15="Concluída",IF(G15="","Falta a data de conclusão",IF(G15&lt;=F15,"Concluída no prazo","Concluída com atraso")),IF(F15&lt;$D$5,"Atrasada","No prazo"))))))</f>
        <v>Concluída no prazo</v>
      </c>
    </row>
    <row r="16" customFormat="false" ht="30.75" hidden="false" customHeight="true" outlineLevel="0" collapsed="false">
      <c r="B16" s="22" t="n">
        <v>4</v>
      </c>
      <c r="C16" s="44" t="n">
        <v>46065</v>
      </c>
      <c r="D16" s="7" t="s">
        <v>332</v>
      </c>
      <c r="E16" s="7" t="s">
        <v>333</v>
      </c>
      <c r="F16" s="44" t="n">
        <v>46171</v>
      </c>
      <c r="G16" s="44" t="n">
        <v>46170</v>
      </c>
      <c r="H16" s="7" t="s">
        <v>334</v>
      </c>
      <c r="I16" s="42" t="s">
        <v>133</v>
      </c>
      <c r="J16" s="23" t="str">
        <f aca="false">IF(E16="","",IF(F16="","Falta o prazo",IF(I16="","Falta o status",IF(I16="Cancelada","Cancelada",IF(I16="Concluída",IF(G16="","Falta a data de conclusão",IF(G16&lt;=F16,"Concluída no prazo","Concluída com atraso")),IF(F16&lt;$D$5,"Atrasada","No prazo"))))))</f>
        <v>Concluída no prazo</v>
      </c>
    </row>
    <row r="17" customFormat="false" ht="30.75" hidden="false" customHeight="true" outlineLevel="0" collapsed="false">
      <c r="B17" s="22" t="n">
        <v>5</v>
      </c>
      <c r="C17" s="44" t="n">
        <v>46247</v>
      </c>
      <c r="D17" s="7" t="s">
        <v>335</v>
      </c>
      <c r="E17" s="7" t="s">
        <v>336</v>
      </c>
      <c r="F17" s="44" t="n">
        <v>46295</v>
      </c>
      <c r="G17" s="44" t="n">
        <v>46276</v>
      </c>
      <c r="H17" s="7" t="s">
        <v>337</v>
      </c>
      <c r="I17" s="42" t="s">
        <v>133</v>
      </c>
      <c r="J17" s="23" t="str">
        <f aca="false">IF(E17="","",IF(F17="","Falta o prazo",IF(I17="","Falta o status",IF(I17="Cancelada","Cancelada",IF(I17="Concluída",IF(G17="","Falta a data de conclusão",IF(G17&lt;=F17,"Concluída no prazo","Concluída com atraso")),IF(F17&lt;$D$5,"Atrasada","No prazo"))))))</f>
        <v>Concluída no prazo</v>
      </c>
    </row>
    <row r="18" customFormat="false" ht="30.75" hidden="false" customHeight="true" outlineLevel="0" collapsed="false">
      <c r="B18" s="22" t="n">
        <v>6</v>
      </c>
      <c r="C18" s="44" t="n">
        <v>46247</v>
      </c>
      <c r="D18" s="7" t="s">
        <v>335</v>
      </c>
      <c r="E18" s="7" t="s">
        <v>338</v>
      </c>
      <c r="F18" s="44" t="n">
        <v>46356</v>
      </c>
      <c r="G18" s="44" t="n">
        <v>46315</v>
      </c>
      <c r="H18" s="7" t="s">
        <v>339</v>
      </c>
      <c r="I18" s="42" t="s">
        <v>133</v>
      </c>
      <c r="J18" s="23" t="str">
        <f aca="false">IF(E18="","",IF(F18="","Falta o prazo",IF(I18="","Falta o status",IF(I18="Cancelada","Cancelada",IF(I18="Concluída",IF(G18="","Falta a data de conclusão",IF(G18&lt;=F18,"Concluída no prazo","Concluída com atraso")),IF(F18&lt;$D$5,"Atrasada","No prazo"))))))</f>
        <v>Concluída no prazo</v>
      </c>
    </row>
    <row r="19" customFormat="false" ht="30.75" hidden="false" customHeight="true" outlineLevel="0" collapsed="false">
      <c r="B19" s="22" t="n">
        <v>7</v>
      </c>
      <c r="C19" s="44" t="n">
        <v>46247</v>
      </c>
      <c r="D19" s="7" t="s">
        <v>340</v>
      </c>
      <c r="E19" s="7" t="s">
        <v>341</v>
      </c>
      <c r="F19" s="44" t="n">
        <v>46356</v>
      </c>
      <c r="G19" s="44"/>
      <c r="H19" s="7" t="s">
        <v>342</v>
      </c>
      <c r="I19" s="42" t="s">
        <v>343</v>
      </c>
      <c r="J19" s="23" t="str">
        <f aca="false">IF(E19="","",IF(F19="","Falta o prazo",IF(I19="","Falta o status",IF(I19="Cancelada","Cancelada",IF(I19="Concluída",IF(G19="","Falta a data de conclusão",IF(G19&lt;=F19,"Concluída no prazo","Concluída com atraso")),IF(F19&lt;$D$5,"Atrasada","No prazo"))))))</f>
        <v>Atrasada</v>
      </c>
    </row>
    <row r="20" customFormat="false" ht="30.75" hidden="false" customHeight="true" outlineLevel="0" collapsed="false">
      <c r="B20" s="22" t="n">
        <v>8</v>
      </c>
      <c r="C20" s="44" t="n">
        <v>46247</v>
      </c>
      <c r="D20" s="7" t="s">
        <v>332</v>
      </c>
      <c r="E20" s="7" t="s">
        <v>344</v>
      </c>
      <c r="F20" s="44" t="n">
        <v>46325</v>
      </c>
      <c r="G20" s="44"/>
      <c r="H20" s="7"/>
      <c r="I20" s="42" t="s">
        <v>345</v>
      </c>
      <c r="J20" s="23" t="str">
        <f aca="false">IF(E20="","",IF(F20="","Falta o prazo",IF(I20="","Falta o status",IF(I20="Cancelada","Cancelada",IF(I20="Concluída",IF(G20="","Falta a data de conclusão",IF(G20&lt;=F20,"Concluída no prazo","Concluída com atraso")),IF(F20&lt;$D$5,"Atrasada","No prazo"))))))</f>
        <v>Atrasada</v>
      </c>
    </row>
    <row r="22" customFormat="false" ht="21.75" hidden="false" customHeight="true" outlineLevel="0" collapsed="false">
      <c r="B22" s="15" t="s">
        <v>136</v>
      </c>
      <c r="C22" s="15"/>
      <c r="D22" s="15"/>
      <c r="E22" s="15"/>
    </row>
    <row r="23" customFormat="false" ht="21.75" hidden="false" customHeight="true" outlineLevel="0" collapsed="false">
      <c r="B23" s="21" t="s">
        <v>138</v>
      </c>
      <c r="C23" s="21"/>
      <c r="D23" s="21"/>
      <c r="E23" s="22" t="n">
        <f aca="false">COUNTIF(J13:J20,"Concluída no prazo")</f>
        <v>5</v>
      </c>
    </row>
    <row r="24" customFormat="false" ht="21.75" hidden="false" customHeight="true" outlineLevel="0" collapsed="false">
      <c r="B24" s="21" t="s">
        <v>135</v>
      </c>
      <c r="C24" s="21"/>
      <c r="D24" s="21"/>
      <c r="E24" s="22" t="n">
        <f aca="false">COUNTIF(J13:J20,"Concluída com atraso")</f>
        <v>1</v>
      </c>
    </row>
    <row r="25" customFormat="false" ht="21.75" hidden="false" customHeight="true" outlineLevel="0" collapsed="false">
      <c r="B25" s="21" t="s">
        <v>141</v>
      </c>
      <c r="C25" s="21"/>
      <c r="D25" s="21"/>
      <c r="E25" s="22" t="n">
        <f aca="false">COUNTIF(J13:J20,"No prazo")</f>
        <v>0</v>
      </c>
    </row>
    <row r="26" customFormat="false" ht="21.75" hidden="false" customHeight="true" outlineLevel="0" collapsed="false">
      <c r="B26" s="21" t="s">
        <v>143</v>
      </c>
      <c r="C26" s="21"/>
      <c r="D26" s="21"/>
      <c r="E26" s="22" t="n">
        <f aca="false">COUNTIF(J13:J20,"Atrasada")</f>
        <v>2</v>
      </c>
    </row>
    <row r="27" customFormat="false" ht="21.75" hidden="false" customHeight="true" outlineLevel="0" collapsed="false">
      <c r="B27" s="21" t="s">
        <v>145</v>
      </c>
      <c r="C27" s="21"/>
      <c r="D27" s="21"/>
      <c r="E27" s="22" t="n">
        <f aca="false">COUNTIF(J13:J20,"Cancelada")</f>
        <v>0</v>
      </c>
    </row>
    <row r="28" customFormat="false" ht="21.75" hidden="false" customHeight="true" outlineLevel="0" collapsed="false">
      <c r="B28" s="21" t="s">
        <v>140</v>
      </c>
      <c r="C28" s="21"/>
      <c r="D28" s="21"/>
      <c r="E28" s="28" t="n">
        <f aca="false">(E23+E24)/(SUM(E23:E27)-E27)</f>
        <v>0.75</v>
      </c>
    </row>
    <row r="34" customFormat="false" ht="21.75" hidden="false" customHeight="true" outlineLevel="0" collapsed="false">
      <c r="B34" s="40" t="s">
        <v>257</v>
      </c>
      <c r="C34" s="40"/>
      <c r="D34" s="40"/>
      <c r="E34" s="40"/>
      <c r="F34" s="40"/>
      <c r="G34" s="40"/>
      <c r="H34" s="40"/>
      <c r="I34" s="40"/>
      <c r="J34" s="40"/>
    </row>
    <row r="35" customFormat="false" ht="24" hidden="false" customHeight="true" outlineLevel="0" collapsed="false">
      <c r="B35" s="22" t="s">
        <v>149</v>
      </c>
      <c r="C35" s="22" t="s">
        <v>150</v>
      </c>
      <c r="D35" s="22" t="s">
        <v>152</v>
      </c>
      <c r="E35" s="22" t="s">
        <v>154</v>
      </c>
      <c r="F35" s="22" t="s">
        <v>155</v>
      </c>
      <c r="G35" s="22" t="s">
        <v>121</v>
      </c>
      <c r="H35" s="22" t="s">
        <v>156</v>
      </c>
      <c r="I35" s="22" t="s">
        <v>157</v>
      </c>
      <c r="J35" s="22" t="s">
        <v>158</v>
      </c>
    </row>
    <row r="36" customFormat="false" ht="30.75" hidden="false" customHeight="true" outlineLevel="0" collapsed="false">
      <c r="B36" s="29" t="s">
        <v>166</v>
      </c>
      <c r="C36" s="41" t="s">
        <v>109</v>
      </c>
      <c r="D36" s="7" t="s">
        <v>335</v>
      </c>
      <c r="E36" s="7" t="s">
        <v>346</v>
      </c>
      <c r="F36" s="42" t="s">
        <v>268</v>
      </c>
      <c r="G36" s="42" t="s">
        <v>16</v>
      </c>
      <c r="H36" s="7" t="s">
        <v>347</v>
      </c>
      <c r="I36" s="31" t="n">
        <f aca="false">COUNTIF($C$51:$C$60,B36&amp;" ·*")</f>
        <v>1</v>
      </c>
      <c r="J36" s="23" t="str">
        <f aca="false">IF(COUNTA(D36:H36)=0,"Não analisada",IF(E36="","Falta o resultado",IF(F36="","Falta a tendência",IF(G36="","Falta a situação",IF(H36="","Falta a conclusão",IF(AND(G36="Crítica",I36=0),"Falta a decisão",IF(AND(G36="Atenção",I36=0),"Atenção sem decisão","Completa")))))))</f>
        <v>Completa</v>
      </c>
    </row>
    <row r="37" customFormat="false" ht="42.75" hidden="false" customHeight="true" outlineLevel="0" collapsed="false">
      <c r="B37" s="29" t="s">
        <v>168</v>
      </c>
      <c r="C37" s="41" t="s">
        <v>169</v>
      </c>
      <c r="D37" s="7" t="s">
        <v>220</v>
      </c>
      <c r="E37" s="7" t="s">
        <v>348</v>
      </c>
      <c r="F37" s="42" t="s">
        <v>264</v>
      </c>
      <c r="G37" s="42" t="s">
        <v>16</v>
      </c>
      <c r="H37" s="7" t="s">
        <v>349</v>
      </c>
      <c r="I37" s="31" t="n">
        <f aca="false">COUNTIF($C$51:$C$60,B37&amp;" ·*")</f>
        <v>1</v>
      </c>
      <c r="J37" s="23" t="str">
        <f aca="false">IF(COUNTA(D37:H37)=0,"Não analisada",IF(E37="","Falta o resultado",IF(F37="","Falta a tendência",IF(G37="","Falta a situação",IF(H37="","Falta a conclusão",IF(AND(G37="Crítica",I37=0),"Falta a decisão",IF(AND(G37="Atenção",I37=0),"Atenção sem decisão","Completa")))))))</f>
        <v>Completa</v>
      </c>
    </row>
    <row r="38" customFormat="false" ht="42.75" hidden="false" customHeight="true" outlineLevel="0" collapsed="false">
      <c r="B38" s="29" t="s">
        <v>171</v>
      </c>
      <c r="C38" s="41" t="s">
        <v>172</v>
      </c>
      <c r="D38" s="7" t="s">
        <v>332</v>
      </c>
      <c r="E38" s="7" t="s">
        <v>350</v>
      </c>
      <c r="F38" s="42" t="s">
        <v>264</v>
      </c>
      <c r="G38" s="42" t="s">
        <v>16</v>
      </c>
      <c r="H38" s="7" t="s">
        <v>351</v>
      </c>
      <c r="I38" s="31" t="n">
        <f aca="false">COUNTIF($C$51:$C$60,B38&amp;" ·*")</f>
        <v>1</v>
      </c>
      <c r="J38" s="23" t="str">
        <f aca="false">IF(COUNTA(D38:H38)=0,"Não analisada",IF(E38="","Falta o resultado",IF(F38="","Falta a tendência",IF(G38="","Falta a situação",IF(H38="","Falta a conclusão",IF(AND(G38="Crítica",I38=0),"Falta a decisão",IF(AND(G38="Atenção",I38=0),"Atenção sem decisão","Completa")))))))</f>
        <v>Completa</v>
      </c>
    </row>
    <row r="39" customFormat="false" ht="42.75" hidden="false" customHeight="true" outlineLevel="0" collapsed="false">
      <c r="B39" s="29" t="s">
        <v>174</v>
      </c>
      <c r="C39" s="41" t="s">
        <v>175</v>
      </c>
      <c r="D39" s="7" t="s">
        <v>335</v>
      </c>
      <c r="E39" s="7" t="s">
        <v>352</v>
      </c>
      <c r="F39" s="42" t="s">
        <v>268</v>
      </c>
      <c r="G39" s="42" t="s">
        <v>16</v>
      </c>
      <c r="H39" s="7" t="s">
        <v>353</v>
      </c>
      <c r="I39" s="31" t="n">
        <f aca="false">COUNTIF($C$51:$C$60,B39&amp;" ·*")</f>
        <v>1</v>
      </c>
      <c r="J39" s="23" t="str">
        <f aca="false">IF(COUNTA(D39:H39)=0,"Não analisada",IF(E39="","Falta o resultado",IF(F39="","Falta a tendência",IF(G39="","Falta a situação",IF(H39="","Falta a conclusão",IF(AND(G39="Crítica",I39=0),"Falta a decisão",IF(AND(G39="Atenção",I39=0),"Atenção sem decisão","Completa")))))))</f>
        <v>Completa</v>
      </c>
    </row>
    <row r="40" customFormat="false" ht="42.75" hidden="false" customHeight="true" outlineLevel="0" collapsed="false">
      <c r="B40" s="29" t="s">
        <v>177</v>
      </c>
      <c r="C40" s="41" t="s">
        <v>178</v>
      </c>
      <c r="D40" s="7" t="s">
        <v>329</v>
      </c>
      <c r="E40" s="7" t="s">
        <v>354</v>
      </c>
      <c r="F40" s="42" t="s">
        <v>268</v>
      </c>
      <c r="G40" s="42" t="s">
        <v>18</v>
      </c>
      <c r="H40" s="7" t="s">
        <v>355</v>
      </c>
      <c r="I40" s="31" t="n">
        <f aca="false">COUNTIF($C$51:$C$60,B40&amp;" ·*")</f>
        <v>1</v>
      </c>
      <c r="J40" s="23" t="str">
        <f aca="false">IF(COUNTA(D40:H40)=0,"Não analisada",IF(E40="","Falta o resultado",IF(F40="","Falta a tendência",IF(G40="","Falta a situação",IF(H40="","Falta a conclusão",IF(AND(G40="Crítica",I40=0),"Falta a decisão",IF(AND(G40="Atenção",I40=0),"Atenção sem decisão","Completa")))))))</f>
        <v>Completa</v>
      </c>
    </row>
    <row r="41" customFormat="false" ht="42.75" hidden="false" customHeight="true" outlineLevel="0" collapsed="false">
      <c r="B41" s="29" t="s">
        <v>180</v>
      </c>
      <c r="C41" s="41" t="s">
        <v>181</v>
      </c>
      <c r="D41" s="7" t="s">
        <v>335</v>
      </c>
      <c r="E41" s="7" t="s">
        <v>356</v>
      </c>
      <c r="F41" s="42" t="s">
        <v>264</v>
      </c>
      <c r="G41" s="42" t="s">
        <v>16</v>
      </c>
      <c r="H41" s="7" t="s">
        <v>357</v>
      </c>
      <c r="I41" s="31" t="n">
        <f aca="false">COUNTIF($C$51:$C$60,B41&amp;" ·*")</f>
        <v>1</v>
      </c>
      <c r="J41" s="23" t="str">
        <f aca="false">IF(COUNTA(D41:H41)=0,"Não analisada",IF(E41="","Falta o resultado",IF(F41="","Falta a tendência",IF(G41="","Falta a situação",IF(H41="","Falta a conclusão",IF(AND(G41="Crítica",I41=0),"Falta a decisão",IF(AND(G41="Atenção",I41=0),"Atenção sem decisão","Completa")))))))</f>
        <v>Completa</v>
      </c>
    </row>
    <row r="42" customFormat="false" ht="42.75" hidden="false" customHeight="true" outlineLevel="0" collapsed="false">
      <c r="B42" s="29" t="s">
        <v>183</v>
      </c>
      <c r="C42" s="41" t="s">
        <v>184</v>
      </c>
      <c r="D42" s="7" t="s">
        <v>335</v>
      </c>
      <c r="E42" s="7" t="s">
        <v>358</v>
      </c>
      <c r="F42" s="42" t="s">
        <v>264</v>
      </c>
      <c r="G42" s="42" t="s">
        <v>14</v>
      </c>
      <c r="H42" s="7" t="s">
        <v>359</v>
      </c>
      <c r="I42" s="31" t="n">
        <f aca="false">COUNTIF($C$51:$C$60,B42&amp;" ·*")</f>
        <v>0</v>
      </c>
      <c r="J42" s="23" t="str">
        <f aca="false">IF(COUNTA(D42:H42)=0,"Não analisada",IF(E42="","Falta o resultado",IF(F42="","Falta a tendência",IF(G42="","Falta a situação",IF(H42="","Falta a conclusão",IF(AND(G42="Crítica",I42=0),"Falta a decisão",IF(AND(G42="Atenção",I42=0),"Atenção sem decisão","Completa")))))))</f>
        <v>Completa</v>
      </c>
    </row>
    <row r="43" customFormat="false" ht="42.75" hidden="false" customHeight="true" outlineLevel="0" collapsed="false">
      <c r="B43" s="29" t="s">
        <v>186</v>
      </c>
      <c r="C43" s="41" t="s">
        <v>187</v>
      </c>
      <c r="D43" s="7" t="s">
        <v>335</v>
      </c>
      <c r="E43" s="7" t="s">
        <v>360</v>
      </c>
      <c r="F43" s="42" t="s">
        <v>264</v>
      </c>
      <c r="G43" s="42" t="s">
        <v>16</v>
      </c>
      <c r="H43" s="7" t="s">
        <v>361</v>
      </c>
      <c r="I43" s="31" t="n">
        <f aca="false">COUNTIF($C$51:$C$60,B43&amp;" ·*")</f>
        <v>1</v>
      </c>
      <c r="J43" s="23" t="str">
        <f aca="false">IF(COUNTA(D43:H43)=0,"Não analisada",IF(E43="","Falta o resultado",IF(F43="","Falta a tendência",IF(G43="","Falta a situação",IF(H43="","Falta a conclusão",IF(AND(G43="Crítica",I43=0),"Falta a decisão",IF(AND(G43="Atenção",I43=0),"Atenção sem decisão","Completa")))))))</f>
        <v>Completa</v>
      </c>
    </row>
    <row r="44" customFormat="false" ht="42.75" hidden="false" customHeight="true" outlineLevel="0" collapsed="false">
      <c r="B44" s="29" t="s">
        <v>189</v>
      </c>
      <c r="C44" s="41" t="s">
        <v>190</v>
      </c>
      <c r="D44" s="7" t="s">
        <v>362</v>
      </c>
      <c r="E44" s="7" t="s">
        <v>363</v>
      </c>
      <c r="F44" s="42" t="s">
        <v>268</v>
      </c>
      <c r="G44" s="42" t="s">
        <v>14</v>
      </c>
      <c r="H44" s="7" t="s">
        <v>364</v>
      </c>
      <c r="I44" s="31" t="n">
        <f aca="false">COUNTIF($C$51:$C$60,B44&amp;" ·*")</f>
        <v>0</v>
      </c>
      <c r="J44" s="23" t="str">
        <f aca="false">IF(COUNTA(D44:H44)=0,"Não analisada",IF(E44="","Falta o resultado",IF(F44="","Falta a tendência",IF(G44="","Falta a situação",IF(H44="","Falta a conclusão",IF(AND(G44="Crítica",I44=0),"Falta a decisão",IF(AND(G44="Atenção",I44=0),"Atenção sem decisão","Completa")))))))</f>
        <v>Completa</v>
      </c>
    </row>
    <row r="45" customFormat="false" ht="54.75" hidden="false" customHeight="true" outlineLevel="0" collapsed="false">
      <c r="B45" s="29" t="s">
        <v>192</v>
      </c>
      <c r="C45" s="41" t="s">
        <v>193</v>
      </c>
      <c r="D45" s="7" t="s">
        <v>132</v>
      </c>
      <c r="E45" s="7" t="s">
        <v>365</v>
      </c>
      <c r="F45" s="42" t="s">
        <v>264</v>
      </c>
      <c r="G45" s="42" t="s">
        <v>16</v>
      </c>
      <c r="H45" s="7" t="s">
        <v>366</v>
      </c>
      <c r="I45" s="31" t="n">
        <f aca="false">COUNTIF($C$51:$C$60,B45&amp;" ·*")</f>
        <v>1</v>
      </c>
      <c r="J45" s="23" t="str">
        <f aca="false">IF(COUNTA(D45:H45)=0,"Não analisada",IF(E45="","Falta o resultado",IF(F45="","Falta a tendência",IF(G45="","Falta a situação",IF(H45="","Falta a conclusão",IF(AND(G45="Crítica",I45=0),"Falta a decisão",IF(AND(G45="Atenção",I45=0),"Atenção sem decisão","Completa")))))))</f>
        <v>Completa</v>
      </c>
    </row>
    <row r="46" customFormat="false" ht="42.75" hidden="false" customHeight="true" outlineLevel="0" collapsed="false">
      <c r="B46" s="29" t="s">
        <v>195</v>
      </c>
      <c r="C46" s="41" t="s">
        <v>196</v>
      </c>
      <c r="D46" s="7" t="s">
        <v>362</v>
      </c>
      <c r="E46" s="7" t="s">
        <v>367</v>
      </c>
      <c r="F46" s="42" t="s">
        <v>264</v>
      </c>
      <c r="G46" s="42" t="s">
        <v>18</v>
      </c>
      <c r="H46" s="7" t="s">
        <v>368</v>
      </c>
      <c r="I46" s="31" t="n">
        <f aca="false">COUNTIF($C$51:$C$60,B46&amp;" ·*")</f>
        <v>1</v>
      </c>
      <c r="J46" s="23" t="str">
        <f aca="false">IF(COUNTA(D46:H46)=0,"Não analisada",IF(E46="","Falta o resultado",IF(F46="","Falta a tendência",IF(G46="","Falta a situação",IF(H46="","Falta a conclusão",IF(AND(G46="Crítica",I46=0),"Falta a decisão",IF(AND(G46="Atenção",I46=0),"Atenção sem decisão","Completa")))))))</f>
        <v>Completa</v>
      </c>
    </row>
    <row r="47" customFormat="false" ht="42.75" hidden="false" customHeight="true" outlineLevel="0" collapsed="false">
      <c r="B47" s="29" t="s">
        <v>198</v>
      </c>
      <c r="C47" s="41" t="s">
        <v>199</v>
      </c>
      <c r="D47" s="7" t="s">
        <v>340</v>
      </c>
      <c r="E47" s="7" t="s">
        <v>369</v>
      </c>
      <c r="F47" s="42" t="s">
        <v>260</v>
      </c>
      <c r="G47" s="42" t="s">
        <v>14</v>
      </c>
      <c r="H47" s="7" t="s">
        <v>370</v>
      </c>
      <c r="I47" s="31" t="n">
        <f aca="false">COUNTIF($C$51:$C$60,B47&amp;" ·*")</f>
        <v>1</v>
      </c>
      <c r="J47" s="23" t="str">
        <f aca="false">IF(COUNTA(D47:H47)=0,"Não analisada",IF(E47="","Falta o resultado",IF(F47="","Falta a tendência",IF(G47="","Falta a situação",IF(H47="","Falta a conclusão",IF(AND(G47="Crítica",I47=0),"Falta a decisão",IF(AND(G47="Atenção",I47=0),"Atenção sem decisão","Completa")))))))</f>
        <v>Completa</v>
      </c>
    </row>
    <row r="49" customFormat="false" ht="21.75" hidden="false" customHeight="true" outlineLevel="0" collapsed="false">
      <c r="B49" s="43" t="s">
        <v>206</v>
      </c>
      <c r="C49" s="43"/>
      <c r="D49" s="43"/>
      <c r="E49" s="43"/>
      <c r="F49" s="43"/>
      <c r="G49" s="43"/>
      <c r="H49" s="43"/>
      <c r="I49" s="43"/>
      <c r="J49" s="43"/>
    </row>
    <row r="50" customFormat="false" ht="24" hidden="false" customHeight="true" outlineLevel="0" collapsed="false">
      <c r="B50" s="22" t="s">
        <v>290</v>
      </c>
      <c r="C50" s="22" t="s">
        <v>150</v>
      </c>
      <c r="D50" s="22" t="s">
        <v>209</v>
      </c>
      <c r="E50" s="22" t="s">
        <v>210</v>
      </c>
      <c r="F50" s="22" t="s">
        <v>115</v>
      </c>
      <c r="G50" s="22"/>
      <c r="H50" s="22" t="s">
        <v>211</v>
      </c>
      <c r="I50" s="22" t="s">
        <v>116</v>
      </c>
      <c r="J50" s="22" t="s">
        <v>212</v>
      </c>
    </row>
    <row r="51" customFormat="false" ht="42.75" hidden="false" customHeight="true" outlineLevel="0" collapsed="false">
      <c r="B51" s="22" t="n">
        <v>1</v>
      </c>
      <c r="C51" s="7" t="s">
        <v>291</v>
      </c>
      <c r="D51" s="42" t="s">
        <v>292</v>
      </c>
      <c r="E51" s="7" t="s">
        <v>371</v>
      </c>
      <c r="F51" s="7" t="s">
        <v>335</v>
      </c>
      <c r="G51" s="7"/>
      <c r="H51" s="7"/>
      <c r="I51" s="44" t="n">
        <v>46451</v>
      </c>
      <c r="J51" s="45"/>
    </row>
    <row r="52" customFormat="false" ht="30.75" hidden="false" customHeight="true" outlineLevel="0" collapsed="false">
      <c r="B52" s="22" t="n">
        <v>2</v>
      </c>
      <c r="C52" s="7" t="s">
        <v>294</v>
      </c>
      <c r="D52" s="42" t="s">
        <v>193</v>
      </c>
      <c r="E52" s="7" t="s">
        <v>372</v>
      </c>
      <c r="F52" s="7" t="s">
        <v>220</v>
      </c>
      <c r="G52" s="7"/>
      <c r="H52" s="7" t="s">
        <v>373</v>
      </c>
      <c r="I52" s="44" t="n">
        <v>46507</v>
      </c>
      <c r="J52" s="45" t="n">
        <v>38000</v>
      </c>
    </row>
    <row r="53" customFormat="false" ht="30.75" hidden="false" customHeight="true" outlineLevel="0" collapsed="false">
      <c r="B53" s="22" t="n">
        <v>3</v>
      </c>
      <c r="C53" s="7" t="s">
        <v>296</v>
      </c>
      <c r="D53" s="42" t="s">
        <v>297</v>
      </c>
      <c r="E53" s="7" t="s">
        <v>374</v>
      </c>
      <c r="F53" s="7" t="s">
        <v>332</v>
      </c>
      <c r="G53" s="7"/>
      <c r="H53" s="7"/>
      <c r="I53" s="44" t="n">
        <v>46465</v>
      </c>
      <c r="J53" s="45"/>
    </row>
    <row r="54" customFormat="false" ht="30.75" hidden="false" customHeight="true" outlineLevel="0" collapsed="false">
      <c r="B54" s="22" t="n">
        <v>4</v>
      </c>
      <c r="C54" s="7" t="s">
        <v>375</v>
      </c>
      <c r="D54" s="42" t="s">
        <v>297</v>
      </c>
      <c r="E54" s="7" t="s">
        <v>376</v>
      </c>
      <c r="F54" s="7" t="s">
        <v>329</v>
      </c>
      <c r="G54" s="7"/>
      <c r="H54" s="7"/>
      <c r="I54" s="44" t="n">
        <v>46477</v>
      </c>
      <c r="J54" s="45"/>
    </row>
    <row r="55" customFormat="false" ht="30.75" hidden="false" customHeight="true" outlineLevel="0" collapsed="false">
      <c r="B55" s="22" t="n">
        <v>5</v>
      </c>
      <c r="C55" s="7" t="s">
        <v>300</v>
      </c>
      <c r="D55" s="42" t="s">
        <v>193</v>
      </c>
      <c r="E55" s="7" t="s">
        <v>219</v>
      </c>
      <c r="F55" s="7" t="s">
        <v>220</v>
      </c>
      <c r="G55" s="7"/>
      <c r="H55" s="7" t="s">
        <v>221</v>
      </c>
      <c r="I55" s="44" t="n">
        <v>46568</v>
      </c>
      <c r="J55" s="45" t="n">
        <v>96000</v>
      </c>
    </row>
    <row r="56" customFormat="false" ht="30.75" hidden="false" customHeight="true" outlineLevel="0" collapsed="false">
      <c r="B56" s="22" t="n">
        <v>6</v>
      </c>
      <c r="C56" s="7" t="s">
        <v>377</v>
      </c>
      <c r="D56" s="42" t="s">
        <v>292</v>
      </c>
      <c r="E56" s="7" t="s">
        <v>378</v>
      </c>
      <c r="F56" s="7" t="s">
        <v>335</v>
      </c>
      <c r="G56" s="7"/>
      <c r="H56" s="7"/>
      <c r="I56" s="44" t="n">
        <v>46477</v>
      </c>
      <c r="J56" s="45"/>
    </row>
    <row r="57" customFormat="false" ht="30.75" hidden="false" customHeight="true" outlineLevel="0" collapsed="false">
      <c r="B57" s="22" t="n">
        <v>7</v>
      </c>
      <c r="C57" s="7" t="s">
        <v>302</v>
      </c>
      <c r="D57" s="42" t="s">
        <v>292</v>
      </c>
      <c r="E57" s="7" t="s">
        <v>379</v>
      </c>
      <c r="F57" s="7" t="s">
        <v>335</v>
      </c>
      <c r="G57" s="7"/>
      <c r="H57" s="7"/>
      <c r="I57" s="44" t="n">
        <v>46458</v>
      </c>
      <c r="J57" s="45"/>
    </row>
    <row r="58" customFormat="false" ht="30" hidden="false" customHeight="true" outlineLevel="0" collapsed="false">
      <c r="B58" s="22" t="n">
        <v>8</v>
      </c>
      <c r="C58" s="7" t="s">
        <v>306</v>
      </c>
      <c r="D58" s="42" t="s">
        <v>193</v>
      </c>
      <c r="E58" s="7" t="s">
        <v>380</v>
      </c>
      <c r="F58" s="7" t="s">
        <v>132</v>
      </c>
      <c r="G58" s="7"/>
      <c r="H58" s="7" t="s">
        <v>381</v>
      </c>
      <c r="I58" s="44" t="n">
        <v>46535</v>
      </c>
      <c r="J58" s="45" t="n">
        <v>6000</v>
      </c>
    </row>
    <row r="59" customFormat="false" ht="30.75" hidden="false" customHeight="true" outlineLevel="0" collapsed="false">
      <c r="B59" s="22" t="n">
        <v>9</v>
      </c>
      <c r="C59" s="7" t="s">
        <v>309</v>
      </c>
      <c r="D59" s="42" t="s">
        <v>193</v>
      </c>
      <c r="E59" s="7" t="s">
        <v>382</v>
      </c>
      <c r="F59" s="7" t="s">
        <v>362</v>
      </c>
      <c r="G59" s="7"/>
      <c r="H59" s="7" t="s">
        <v>383</v>
      </c>
      <c r="I59" s="44" t="n">
        <v>46477</v>
      </c>
      <c r="J59" s="45" t="n">
        <v>12000</v>
      </c>
    </row>
    <row r="60" customFormat="false" ht="30.75" hidden="false" customHeight="true" outlineLevel="0" collapsed="false">
      <c r="B60" s="22" t="n">
        <v>10</v>
      </c>
      <c r="C60" s="7" t="s">
        <v>384</v>
      </c>
      <c r="D60" s="42" t="s">
        <v>297</v>
      </c>
      <c r="E60" s="7" t="s">
        <v>385</v>
      </c>
      <c r="F60" s="7" t="s">
        <v>340</v>
      </c>
      <c r="G60" s="7"/>
      <c r="H60" s="7" t="s">
        <v>386</v>
      </c>
      <c r="I60" s="44" t="n">
        <v>46568</v>
      </c>
      <c r="J60" s="45" t="n">
        <v>9000</v>
      </c>
    </row>
    <row r="62" customFormat="false" ht="21.75" hidden="false" customHeight="true" outlineLevel="0" collapsed="false">
      <c r="B62" s="46" t="s">
        <v>88</v>
      </c>
      <c r="C62" s="46"/>
      <c r="D62" s="46"/>
      <c r="E62" s="46"/>
      <c r="F62" s="46"/>
      <c r="G62" s="46"/>
      <c r="H62" s="46"/>
      <c r="I62" s="46"/>
      <c r="J62" s="46"/>
    </row>
    <row r="63" customFormat="false" ht="24" hidden="false" customHeight="true" outlineLevel="0" collapsed="false">
      <c r="B63" s="22" t="s">
        <v>89</v>
      </c>
      <c r="C63" s="22"/>
      <c r="D63" s="22" t="s">
        <v>90</v>
      </c>
      <c r="E63" s="22"/>
      <c r="F63" s="22" t="s">
        <v>91</v>
      </c>
      <c r="G63" s="47" t="s">
        <v>92</v>
      </c>
      <c r="H63" s="47"/>
      <c r="I63" s="47"/>
      <c r="J63" s="47"/>
    </row>
    <row r="64" customFormat="false" ht="24" hidden="false" customHeight="true" outlineLevel="0" collapsed="false">
      <c r="B64" s="4" t="s">
        <v>93</v>
      </c>
      <c r="C64" s="4"/>
      <c r="D64" s="7" t="s">
        <v>94</v>
      </c>
      <c r="E64" s="7"/>
      <c r="F64" s="42" t="s">
        <v>85</v>
      </c>
      <c r="G64" s="7" t="s">
        <v>387</v>
      </c>
      <c r="H64" s="7"/>
      <c r="I64" s="7"/>
      <c r="J64" s="7"/>
    </row>
    <row r="65" customFormat="false" ht="24" hidden="false" customHeight="true" outlineLevel="0" collapsed="false">
      <c r="B65" s="4" t="s">
        <v>95</v>
      </c>
      <c r="C65" s="4"/>
      <c r="D65" s="7" t="s">
        <v>96</v>
      </c>
      <c r="E65" s="7"/>
      <c r="F65" s="42" t="s">
        <v>85</v>
      </c>
      <c r="G65" s="7" t="s">
        <v>388</v>
      </c>
      <c r="H65" s="7"/>
      <c r="I65" s="7"/>
      <c r="J65" s="7"/>
    </row>
    <row r="66" customFormat="false" ht="24" hidden="false" customHeight="true" outlineLevel="0" collapsed="false">
      <c r="B66" s="4" t="s">
        <v>97</v>
      </c>
      <c r="C66" s="4"/>
      <c r="D66" s="7" t="s">
        <v>98</v>
      </c>
      <c r="E66" s="7"/>
      <c r="F66" s="42" t="s">
        <v>313</v>
      </c>
      <c r="G66" s="7" t="s">
        <v>389</v>
      </c>
      <c r="H66" s="7"/>
      <c r="I66" s="7"/>
      <c r="J66" s="7"/>
    </row>
    <row r="67" customFormat="false" ht="24" hidden="false" customHeight="true" outlineLevel="0" collapsed="false">
      <c r="B67" s="4" t="s">
        <v>99</v>
      </c>
      <c r="C67" s="4"/>
      <c r="D67" s="7" t="s">
        <v>100</v>
      </c>
      <c r="E67" s="7"/>
      <c r="F67" s="42" t="s">
        <v>85</v>
      </c>
      <c r="G67" s="7" t="s">
        <v>390</v>
      </c>
      <c r="H67" s="7"/>
      <c r="I67" s="7"/>
      <c r="J67" s="7"/>
    </row>
    <row r="69" customFormat="false" ht="21.75" hidden="false" customHeight="true" outlineLevel="0" collapsed="false">
      <c r="B69" s="15" t="s">
        <v>101</v>
      </c>
      <c r="C69" s="15"/>
      <c r="D69" s="15"/>
      <c r="E69" s="15"/>
      <c r="F69" s="15"/>
      <c r="G69" s="15"/>
      <c r="H69" s="15"/>
      <c r="I69" s="15"/>
      <c r="J69" s="15"/>
    </row>
    <row r="70" customFormat="false" ht="21.75" hidden="false" customHeight="true" outlineLevel="0" collapsed="false">
      <c r="B70" s="21" t="s">
        <v>105</v>
      </c>
      <c r="C70" s="21"/>
      <c r="D70" s="21"/>
      <c r="E70" s="22" t="n">
        <f aca="false">SUMPRODUCT((E36:E47&lt;&gt;"")*(G36:G47&lt;&gt;"")*(H36:H47&lt;&gt;""))</f>
        <v>12</v>
      </c>
    </row>
    <row r="71" customFormat="false" ht="21.75" hidden="false" customHeight="true" outlineLevel="0" collapsed="false">
      <c r="B71" s="21" t="s">
        <v>317</v>
      </c>
      <c r="C71" s="21"/>
      <c r="D71" s="21"/>
      <c r="E71" s="22" t="str">
        <f aca="false">COUNTIF(G36:G47,"Favorável")&amp;", "&amp;COUNTIF(G36:G47,"Atenção")&amp;" e "&amp;COUNTIF(G36:G47,"Crítica")</f>
        <v>3, 7 e 2</v>
      </c>
    </row>
    <row r="72" customFormat="false" ht="21.75" hidden="false" customHeight="true" outlineLevel="0" collapsed="false">
      <c r="B72" s="21" t="s">
        <v>205</v>
      </c>
      <c r="C72" s="21"/>
      <c r="D72" s="21"/>
      <c r="E72" s="22" t="n">
        <f aca="false">COUNTIFS(G36:G47,"Crítica",I36:I47,0)</f>
        <v>0</v>
      </c>
    </row>
    <row r="73" customFormat="false" ht="21.75" hidden="false" customHeight="true" outlineLevel="0" collapsed="false">
      <c r="B73" s="21" t="s">
        <v>106</v>
      </c>
      <c r="C73" s="21"/>
      <c r="D73" s="21"/>
      <c r="E73" s="22" t="n">
        <f aca="false">COUNTA(E51:E60)</f>
        <v>10</v>
      </c>
    </row>
    <row r="74" customFormat="false" ht="21.75" hidden="false" customHeight="true" outlineLevel="0" collapsed="false">
      <c r="B74" s="21" t="s">
        <v>318</v>
      </c>
      <c r="C74" s="21"/>
      <c r="D74" s="21"/>
      <c r="E74" s="22" t="str">
        <f aca="false">COUNTIF(D51:D60,"Melhoria")&amp;", "&amp;COUNTIF(D51:D60,"Mudança no sistema")&amp;" e "&amp;COUNTIF(D51:D60,"Recursos")</f>
        <v>3, 3 e 4</v>
      </c>
    </row>
    <row r="75" customFormat="false" ht="21.75" hidden="false" customHeight="true" outlineLevel="0" collapsed="false">
      <c r="B75" s="21" t="s">
        <v>226</v>
      </c>
      <c r="C75" s="21"/>
      <c r="D75" s="21"/>
      <c r="E75" s="37" t="n">
        <f aca="false">SUM(J51:J60)</f>
        <v>161000</v>
      </c>
    </row>
    <row r="76" customFormat="false" ht="21.75" hidden="false" customHeight="true" outlineLevel="0" collapsed="false">
      <c r="B76" s="21" t="s">
        <v>107</v>
      </c>
      <c r="C76" s="21"/>
      <c r="D76" s="21"/>
      <c r="E76" s="22" t="n">
        <f aca="false">COUNTIF(J13:J20,"Atrasada")</f>
        <v>2</v>
      </c>
    </row>
  </sheetData>
  <mergeCells count="59">
    <mergeCell ref="B1:J1"/>
    <mergeCell ref="B2:J2"/>
    <mergeCell ref="B4:C4"/>
    <mergeCell ref="D4:J4"/>
    <mergeCell ref="B5:C5"/>
    <mergeCell ref="D5:J5"/>
    <mergeCell ref="B6:C6"/>
    <mergeCell ref="D6:J6"/>
    <mergeCell ref="B7:C7"/>
    <mergeCell ref="D7:J7"/>
    <mergeCell ref="B8:C8"/>
    <mergeCell ref="D8:J8"/>
    <mergeCell ref="B9:C9"/>
    <mergeCell ref="D9:J9"/>
    <mergeCell ref="B11:J11"/>
    <mergeCell ref="B22:E22"/>
    <mergeCell ref="B23:D23"/>
    <mergeCell ref="B24:D24"/>
    <mergeCell ref="B25:D25"/>
    <mergeCell ref="B26:D26"/>
    <mergeCell ref="B27:D27"/>
    <mergeCell ref="B28:D28"/>
    <mergeCell ref="B34:J34"/>
    <mergeCell ref="B49:J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B62:J62"/>
    <mergeCell ref="B63:C63"/>
    <mergeCell ref="D63:E63"/>
    <mergeCell ref="G63:J63"/>
    <mergeCell ref="B64:C64"/>
    <mergeCell ref="D64:E64"/>
    <mergeCell ref="G64:J64"/>
    <mergeCell ref="B65:C65"/>
    <mergeCell ref="D65:E65"/>
    <mergeCell ref="G65:J65"/>
    <mergeCell ref="B66:C66"/>
    <mergeCell ref="D66:E66"/>
    <mergeCell ref="G66:J66"/>
    <mergeCell ref="B67:C67"/>
    <mergeCell ref="D67:E67"/>
    <mergeCell ref="G67:J67"/>
    <mergeCell ref="B69:J69"/>
    <mergeCell ref="B70:D70"/>
    <mergeCell ref="B71:D71"/>
    <mergeCell ref="B72:D72"/>
    <mergeCell ref="B73:D73"/>
    <mergeCell ref="B74:D74"/>
    <mergeCell ref="B75:D75"/>
    <mergeCell ref="B76:D76"/>
  </mergeCells>
  <conditionalFormatting sqref="J13:J20">
    <cfRule type="cellIs" priority="2" operator="equal" aboveAverage="0" equalAverage="0" bottom="0" percent="0" rank="0" text="" dxfId="0">
      <formula>"Concluída no prazo"</formula>
    </cfRule>
    <cfRule type="cellIs" priority="3" operator="equal" aboveAverage="0" equalAverage="0" bottom="0" percent="0" rank="0" text="" dxfId="1">
      <formula>"Concluída com atraso"</formula>
    </cfRule>
    <cfRule type="cellIs" priority="4" operator="equal" aboveAverage="0" equalAverage="0" bottom="0" percent="0" rank="0" text="" dxfId="2">
      <formula>"Atrasada"</formula>
    </cfRule>
  </conditionalFormatting>
  <conditionalFormatting sqref="G36:G47">
    <cfRule type="cellIs" priority="5" operator="equal" aboveAverage="0" equalAverage="0" bottom="0" percent="0" rank="0" text="" dxfId="3">
      <formula>"Favorável"</formula>
    </cfRule>
    <cfRule type="cellIs" priority="6" operator="equal" aboveAverage="0" equalAverage="0" bottom="0" percent="0" rank="0" text="" dxfId="4">
      <formula>"Atenção"</formula>
    </cfRule>
    <cfRule type="cellIs" priority="7" operator="equal" aboveAverage="0" equalAverage="0" bottom="0" percent="0" rank="0" text="" dxfId="5">
      <formula>"Crítica"</formula>
    </cfRule>
  </conditionalFormatting>
  <conditionalFormatting sqref="J36:J47">
    <cfRule type="expression" priority="8" aboveAverage="0" equalAverage="0" bottom="0" percent="0" rank="0" text="" dxfId="0">
      <formula>J36="Completa"</formula>
    </cfRule>
    <cfRule type="expression" priority="9" aboveAverage="0" equalAverage="0" bottom="0" percent="0" rank="0" text="" dxfId="6">
      <formula>J36="Não analisada"</formula>
    </cfRule>
    <cfRule type="expression" priority="10" aboveAverage="0" equalAverage="0" bottom="0" percent="0" rank="0" text="" dxfId="1">
      <formula>LEN(J36)&gt;0</formula>
    </cfRule>
  </conditionalFormatting>
  <conditionalFormatting sqref="F64:F67">
    <cfRule type="cellIs" priority="11" operator="equal" aboveAverage="0" equalAverage="0" bottom="0" percent="0" rank="0" text="" dxfId="0">
      <formula>"Sim"</formula>
    </cfRule>
    <cfRule type="cellIs" priority="12" operator="equal" aboveAverage="0" equalAverage="0" bottom="0" percent="0" rank="0" text="" dxfId="1">
      <formula>"Parcial"</formula>
    </cfRule>
    <cfRule type="cellIs" priority="13" operator="equal" aboveAverage="0" equalAverage="0" bottom="0" percent="0" rank="0" text="" dxfId="2">
      <formula>"Não"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3" man="true" max="16383" min="0"/>
    <brk id="48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2026-10-05T12:05:43Z</dcterms:created>
  <dc:creator>Modelo Análise crítica</dc:creator>
  <dc:description/>
  <dc:language>pt-BR</dc:language>
  <cp:lastModifiedBy/>
  <dcterms:modified xsi:type="dcterms:W3CDTF">2026-10-05T12:05:43Z</dcterms:modified>
  <cp:revision>0</cp:revision>
  <dc:subject/>
  <dc:title>Análise crítica pela direção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