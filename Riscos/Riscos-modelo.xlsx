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Riscos" sheetId="2" state="visible" r:id="rId4"/>
    <sheet name="Mapa" sheetId="3" state="visible" r:id="rId5"/>
    <sheet name="Oportunidades" sheetId="4" state="visible" r:id="rId6"/>
    <sheet name="Escalas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4" name="_xlnm.Print_Area" vbProcedure="false">Escalas!$B$1:$F$30</definedName>
    <definedName function="false" hidden="false" localSheetId="6" name="_xlnm.Print_Area" vbProcedure="false">'Exemplo 1 - Pizzaria'!$B$1:$R$37</definedName>
    <definedName function="false" hidden="false" localSheetId="6" name="_xlnm.Print_Titles" vbProcedure="false">'Exemplo 1 - Pizzaria'!$12:$12</definedName>
    <definedName function="false" hidden="false" localSheetId="7" name="_xlnm.Print_Area" vbProcedure="false">'Exemplo 2 - Compras'!$B$1:$R$37</definedName>
    <definedName function="false" hidden="false" localSheetId="7" name="_xlnm.Print_Titles" vbProcedure="false">'Exemplo 2 - Compras'!$12:$12</definedName>
    <definedName function="false" hidden="false" localSheetId="0" name="_xlnm.Print_Area" vbProcedure="false">Instruções!$B$1:$C$42</definedName>
    <definedName function="false" hidden="false" localSheetId="2" name="_xlnm.Print_Area" vbProcedure="false">Mapa!$B$1:$N$27</definedName>
    <definedName function="false" hidden="false" localSheetId="3" name="_xlnm.Print_Area" vbProcedure="false">Oportunidades!$B$1:$N$23</definedName>
    <definedName function="false" hidden="false" localSheetId="1" name="_xlnm.Print_Area" vbProcedure="false">Riscos!$B$1:$V$38</definedName>
    <definedName function="false" hidden="false" localSheetId="1" name="_xlnm.Print_Titles" vbProcedure="false">Riscos!$7:$8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8" authorId="0">
      <text>
        <r>
          <rPr>
            <sz val="10"/>
            <rFont val="Arial"/>
            <family val="2"/>
          </rPr>
          <t xml:space="preserve">A condição que existe hoje e pode dar origem ao evento.
Ex.: "Um só fornecedor de resina".</t>
        </r>
      </text>
    </comment>
    <comment ref="E8" authorId="0">
      <text>
        <r>
          <rPr>
            <sz val="10"/>
            <rFont val="Arial"/>
            <family val="2"/>
          </rPr>
          <t xml:space="preserve">O que pode acontecer. Se já aconteceu, é um problema: trate como não conformidade.
Ex.: "O fornecedor deixa de entregar".</t>
        </r>
      </text>
    </comment>
    <comment ref="F8" authorId="0">
      <text>
        <r>
          <rPr>
            <sz val="10"/>
            <rFont val="Arial"/>
            <family val="2"/>
          </rPr>
          <t xml:space="preserve">O efeito sobre o objetivo do processo.
Ex.: "Parada da produção por falta de material".</t>
        </r>
      </text>
    </comment>
    <comment ref="K8" authorId="0">
      <text>
        <r>
          <rPr>
            <sz val="10"/>
            <rFont val="Arial"/>
            <family val="2"/>
          </rPr>
          <t xml:space="preserve">Evitar: impedir que aconteça. Reduzir: agir na causa ou na consequência. Compartilhar: dividir o efeito, por contrato ou seguro. Aceitar: não agir agora, com justificativa.</t>
        </r>
      </text>
    </comment>
    <comment ref="P8" authorId="0">
      <text>
        <r>
          <rPr>
            <sz val="10"/>
            <rFont val="Arial"/>
            <family val="2"/>
          </rPr>
          <t xml:space="preserve">Notas estimadas já contando com a ação. No risco aceito, repita as notas iniciais.</t>
        </r>
      </text>
    </comment>
  </commentList>
</comments>
</file>

<file path=xl/sharedStrings.xml><?xml version="1.0" encoding="utf-8"?>
<sst xmlns="http://schemas.openxmlformats.org/spreadsheetml/2006/main" count="553" uniqueCount="357">
  <si>
    <t xml:space="preserve">Matriz de riscos — Como usar esta planilha</t>
  </si>
  <si>
    <t xml:space="preserve">Modelo para descrever os riscos, avaliar o nível, definir a resposta e acompanhar o risco residual.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</si>
  <si>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</si>
  <si>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</si>
  <si>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</si>
  <si>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</si>
  <si>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pontos, níveis,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</si>
  <si>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</si>
  <si>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</si>
  <si>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</si>
  <si>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resposta, decisão e status aceitam apenas as opções da lista. As notas aceitam números inteiros de 1 a 5.</t>
  </si>
  <si>
    <t xml:space="preserve">Comentários</t>
  </si>
  <si>
    <t xml:space="preserve">Células com triângulo vermelho no canto trazem uma dica de preenchimento. Passe o mouse sobre elas.</t>
  </si>
  <si>
    <t xml:space="preserve">Os quatro níveis</t>
  </si>
  <si>
    <t xml:space="preserve">Baixo</t>
  </si>
  <si>
    <t xml:space="preserve">De 1 a 4 pontos. Aceitar e acompanhar na revisão anual.</t>
  </si>
  <si>
    <t xml:space="preserve">Médio</t>
  </si>
  <si>
    <t xml:space="preserve">De 5 a 9 pontos. Tratar quando o custo compensar. Revisar a cada seis meses.</t>
  </si>
  <si>
    <t xml:space="preserve">Alto</t>
  </si>
  <si>
    <t xml:space="preserve">De 10 a 16 pontos. Tratar, com ação, responsável e prazo.</t>
  </si>
  <si>
    <t xml:space="preserve">Crítico</t>
  </si>
  <si>
    <t xml:space="preserve">De 20 a 25 pontos. Tratar de imediato, com decisão da direção.</t>
  </si>
  <si>
    <t xml:space="preserve">Ordem recomendada de preenchimento</t>
  </si>
  <si>
    <t xml:space="preserve">Passo 1</t>
  </si>
  <si>
    <t xml:space="preserve">Aba Escalas: leia as descrições das notas e combine com o grupo como usá-las.</t>
  </si>
  <si>
    <t xml:space="preserve">Passo 2</t>
  </si>
  <si>
    <t xml:space="preserve">Aba Riscos: preencha o cabeçalho e descreva cada risco com causa, evento e consequência.</t>
  </si>
  <si>
    <t xml:space="preserve">Passo 3</t>
  </si>
  <si>
    <t xml:space="preserve">Aba Riscos: dê as notas de probabilidade e de impacto, e leia os pontos e o nível.</t>
  </si>
  <si>
    <t xml:space="preserve">Passo 4</t>
  </si>
  <si>
    <t xml:space="preserve">Aba Riscos: escolha a resposta e escreva a ação, o responsável e o prazo. Se a resposta for aceitar, escreva a justificativa.</t>
  </si>
  <si>
    <t xml:space="preserve">Passo 5</t>
  </si>
  <si>
    <t xml:space="preserve">Aba Riscos: estime a probabilidade e o impacto residuais, já contando com a ação.</t>
  </si>
  <si>
    <t xml:space="preserve">Passo 6</t>
  </si>
  <si>
    <t xml:space="preserve">Aba Mapa: compare a matriz inicial com a residual e leia o resumo.</t>
  </si>
  <si>
    <t xml:space="preserve">Passo 7</t>
  </si>
  <si>
    <t xml:space="preserve">Aba Oportunidades: registre as oportunidades do processo. Aba Checklist: valide a matriz.</t>
  </si>
  <si>
    <t xml:space="preserve">Abas da planilha</t>
  </si>
  <si>
    <t xml:space="preserve">Riscos</t>
  </si>
  <si>
    <t xml:space="preserve">Registro dos riscos, com análise, resposta, risco residual, conferência e alertas.</t>
  </si>
  <si>
    <t xml:space="preserve">Mapa</t>
  </si>
  <si>
    <t xml:space="preserve">As duas matrizes, inicial e residual, com contagem por nível, resumo e gráfico.</t>
  </si>
  <si>
    <t xml:space="preserve">Oportunidades</t>
  </si>
  <si>
    <t xml:space="preserve">Registro das oportunidades, com probabilidade, benefício, prioridade e ação.</t>
  </si>
  <si>
    <t xml:space="preserve">Escalas</t>
  </si>
  <si>
    <t xml:space="preserve">Descrição das notas de probabilidade, de impacto e de benefício, dos níveis e das respostas.</t>
  </si>
  <si>
    <t xml:space="preserve">Checklist</t>
  </si>
  <si>
    <t xml:space="preserve">Doze verificações de qualidade da matriz, com percentual de conclusão.</t>
  </si>
  <si>
    <t xml:space="preserve">Exemplo 1 - Pizzaria</t>
  </si>
  <si>
    <t xml:space="preserve">Riscos do processo de delivery de uma organização pequena.</t>
  </si>
  <si>
    <t xml:space="preserve">Exemplo 2 - Compras</t>
  </si>
  <si>
    <t xml:space="preserve">Riscos do processo de aquisição de uma indústria.</t>
  </si>
  <si>
    <t xml:space="preserve">Regras e premissas do modelo</t>
  </si>
  <si>
    <t xml:space="preserve">Pontos e nível</t>
  </si>
  <si>
    <t xml:space="preserve">Pontos = probabilidade × impacto. De 1 a 4, baixo. De 5 a 9, médio. De 10 a 16, alto. De 20 a 25, crítico. As escalas e as faixas são uma convenção deste modelo.</t>
  </si>
  <si>
    <t xml:space="preserve">Impacto 5</t>
  </si>
  <si>
    <t xml:space="preserve">A multiplicação trata como iguais um risco raro e grave e um risco frequente e leve. Por isso, a coluna Alerta avisa quando o impacto é 5, qualquer que seja o nível.</t>
  </si>
  <si>
    <t xml:space="preserve">Risco residual</t>
  </si>
  <si>
    <t xml:space="preserve">É uma estimativa, feita ao definir a resposta. Depois que a ação estiver implantada, confira com fatos e ajuste as notas.</t>
  </si>
  <si>
    <t xml:space="preserve">Risco aceito</t>
  </si>
  <si>
    <t xml:space="preserve">Na resposta Aceitar, escreva a justificativa na coluna da ação e repita as notas iniciais nas colunas residuais.</t>
  </si>
  <si>
    <t xml:space="preserve">Situação</t>
  </si>
  <si>
    <t xml:space="preserve">Uma ação é considerada atrasada quando o prazo é anterior à data de hoje e ela ainda não foi concluída.</t>
  </si>
  <si>
    <t xml:space="preserve">Exemplos</t>
  </si>
  <si>
    <t xml:space="preserve">Os dados das abas de exemplo são ilustrativos, criados para este material.</t>
  </si>
  <si>
    <t xml:space="preserve">Matriz de riscos</t>
  </si>
  <si>
    <t xml:space="preserve">Um risco por linha. Preencha as células em amarelo-claro. As células cinza são calculadas.</t>
  </si>
  <si>
    <t xml:space="preserve">Organização</t>
  </si>
  <si>
    <t xml:space="preserve">Processo</t>
  </si>
  <si>
    <t xml:space="preserve">Data da análise</t>
  </si>
  <si>
    <t xml:space="preserve">Objetivo do processo</t>
  </si>
  <si>
    <t xml:space="preserve">Participantes</t>
  </si>
  <si>
    <t xml:space="preserve">Data da revisão</t>
  </si>
  <si>
    <t xml:space="preserve">Identificação</t>
  </si>
  <si>
    <t xml:space="preserve">Análise</t>
  </si>
  <si>
    <t xml:space="preserve">Resposta</t>
  </si>
  <si>
    <t xml:space="preserve">Acompanhamento</t>
  </si>
  <si>
    <t xml:space="preserve">#</t>
  </si>
  <si>
    <t xml:space="preserve">Processo ou etapa</t>
  </si>
  <si>
    <t xml:space="preserve">Causa</t>
  </si>
  <si>
    <t xml:space="preserve">Evento</t>
  </si>
  <si>
    <t xml:space="preserve">Consequência</t>
  </si>
  <si>
    <t xml:space="preserve">P</t>
  </si>
  <si>
    <t xml:space="preserve">I</t>
  </si>
  <si>
    <t xml:space="preserve">Pontos</t>
  </si>
  <si>
    <t xml:space="preserve">Nível</t>
  </si>
  <si>
    <t xml:space="preserve">Ação ou justificativa</t>
  </si>
  <si>
    <t xml:space="preserve">Responsável</t>
  </si>
  <si>
    <t xml:space="preserve">Prazo</t>
  </si>
  <si>
    <t xml:space="preserve">Status</t>
  </si>
  <si>
    <t xml:space="preserve">Conferência</t>
  </si>
  <si>
    <t xml:space="preserve">Alerta</t>
  </si>
  <si>
    <t xml:space="preserve">Onde o risco nasce</t>
  </si>
  <si>
    <t xml:space="preserve">O que existe hoje</t>
  </si>
  <si>
    <t xml:space="preserve">O que pode acontecer</t>
  </si>
  <si>
    <t xml:space="preserve">O efeito sobre o objetivo</t>
  </si>
  <si>
    <t xml:space="preserve">1 a 5</t>
  </si>
  <si>
    <t xml:space="preserve">P × I</t>
  </si>
  <si>
    <t xml:space="preserve">Faixa</t>
  </si>
  <si>
    <t xml:space="preserve">Escolha na lista</t>
  </si>
  <si>
    <t xml:space="preserve">Verbo no infinitivo</t>
  </si>
  <si>
    <t xml:space="preserve">Cargo ou nome</t>
  </si>
  <si>
    <t xml:space="preserve">Data</t>
  </si>
  <si>
    <t xml:space="preserve">Da ação</t>
  </si>
  <si>
    <t xml:space="preserve">Calculada</t>
  </si>
  <si>
    <t xml:space="preserve">Campos da linha</t>
  </si>
  <si>
    <t xml:space="preserve">Pontos de atenção</t>
  </si>
  <si>
    <t xml:space="preserve">Ex.</t>
  </si>
  <si>
    <t xml:space="preserve">Planejamento de compras</t>
  </si>
  <si>
    <t xml:space="preserve">Um só fornecedor de resina</t>
  </si>
  <si>
    <t xml:space="preserve">O fornecedor deixa de entregar</t>
  </si>
  <si>
    <t xml:space="preserve">Parada da produção por falta de material</t>
  </si>
  <si>
    <t xml:space="preserve">Reduzir</t>
  </si>
  <si>
    <t xml:space="preserve">Homologar um segundo fornecedor e manter estoque mínimo de 15 dias.</t>
  </si>
  <si>
    <t xml:space="preserve">Gerente de Suprimentos</t>
  </si>
  <si>
    <t xml:space="preserve">Em andamento</t>
  </si>
  <si>
    <t xml:space="preserve">No prazo</t>
  </si>
  <si>
    <t xml:space="preserve">Completo</t>
  </si>
  <si>
    <t xml:space="preserve">Impacto 5: tenha plano de contingência</t>
  </si>
  <si>
    <t xml:space="preserve">Resumo automático</t>
  </si>
  <si>
    <t xml:space="preserve">Riscos registrados</t>
  </si>
  <si>
    <t xml:space="preserve">Riscos com o registro completo</t>
  </si>
  <si>
    <t xml:space="preserve">Riscos aceitos</t>
  </si>
  <si>
    <t xml:space="preserve">Ações atrasadas</t>
  </si>
  <si>
    <t xml:space="preserve">Riscos com alerta</t>
  </si>
  <si>
    <t xml:space="preserve">Aviso</t>
  </si>
  <si>
    <t xml:space="preserve">Mapa de riscos</t>
  </si>
  <si>
    <t xml:space="preserve">Número de riscos em cada célula da matriz, antes e depois das respostas. Calculado a partir da aba Riscos.</t>
  </si>
  <si>
    <t xml:space="preserve">Risco inicial</t>
  </si>
  <si>
    <t xml:space="preserve">5 · Muito alto</t>
  </si>
  <si>
    <t xml:space="preserve">4 · Alto</t>
  </si>
  <si>
    <t xml:space="preserve">3 · Médio</t>
  </si>
  <si>
    <t xml:space="preserve">2 · Baixo</t>
  </si>
  <si>
    <t xml:space="preserve">1 · Muito baixo</t>
  </si>
  <si>
    <t xml:space="preserve">Impacto ↑  Probabilidade →</t>
  </si>
  <si>
    <t xml:space="preserve">1 · Muito baixa</t>
  </si>
  <si>
    <t xml:space="preserve">2 · Baixa</t>
  </si>
  <si>
    <t xml:space="preserve">3 · Média</t>
  </si>
  <si>
    <t xml:space="preserve">4 · Alta</t>
  </si>
  <si>
    <t xml:space="preserve">5 · Muito alta</t>
  </si>
  <si>
    <t xml:space="preserve">Inicial</t>
  </si>
  <si>
    <t xml:space="preserve">Residual</t>
  </si>
  <si>
    <t xml:space="preserve">Riscos avaliados</t>
  </si>
  <si>
    <t xml:space="preserve">Altos e críticos, inicial</t>
  </si>
  <si>
    <t xml:space="preserve">Altos e críticos, residual</t>
  </si>
  <si>
    <t xml:space="preserve">Média dos pontos, inicial</t>
  </si>
  <si>
    <t xml:space="preserve">Média dos pontos, residual</t>
  </si>
  <si>
    <t xml:space="preserve">Uma oportunidade por linha. A conta é a mesma do risco, com o benefício no lugar do impacto.</t>
  </si>
  <si>
    <t xml:space="preserve">Oportunidade</t>
  </si>
  <si>
    <t xml:space="preserve">Probabilidade</t>
  </si>
  <si>
    <t xml:space="preserve">Benefício</t>
  </si>
  <si>
    <t xml:space="preserve">Prioridade</t>
  </si>
  <si>
    <t xml:space="preserve">Decisão</t>
  </si>
  <si>
    <t xml:space="preserve">Ação</t>
  </si>
  <si>
    <t xml:space="preserve">O que pode acontecer de bom</t>
  </si>
  <si>
    <t xml:space="preserve">Onde</t>
  </si>
  <si>
    <t xml:space="preserve">Calculado</t>
  </si>
  <si>
    <t xml:space="preserve">Cliente atual pede embalagem com material reciclado</t>
  </si>
  <si>
    <t xml:space="preserve">Desenvolvimento</t>
  </si>
  <si>
    <t xml:space="preserve">Alta</t>
  </si>
  <si>
    <t xml:space="preserve">Aproveitar</t>
  </si>
  <si>
    <t xml:space="preserve">Abrir projeto de desenvolvimento da nova linha.</t>
  </si>
  <si>
    <t xml:space="preserve">Gerente de engenharia</t>
  </si>
  <si>
    <t xml:space="preserve">Oportunidades registradas</t>
  </si>
  <si>
    <t xml:space="preserve">Prioridade alta</t>
  </si>
  <si>
    <t xml:space="preserve">Com decisão de aproveitar ou testar</t>
  </si>
  <si>
    <t xml:space="preserve">Escalas, níveis e respostas</t>
  </si>
  <si>
    <t xml:space="preserve">Referência para as notas. Ajuste as descrições à sua organização e use as mesmas em todos os processos.</t>
  </si>
  <si>
    <t xml:space="preserve">Probabilidade e impacto</t>
  </si>
  <si>
    <t xml:space="preserve">Nota</t>
  </si>
  <si>
    <t xml:space="preserve">O evento acontece</t>
  </si>
  <si>
    <t xml:space="preserve">Impacto</t>
  </si>
  <si>
    <t xml:space="preserve">Se acontecer</t>
  </si>
  <si>
    <t xml:space="preserve">Muito baixa</t>
  </si>
  <si>
    <t xml:space="preserve">Menos de uma vez a cada cinco anos.</t>
  </si>
  <si>
    <t xml:space="preserve">Muito baixo</t>
  </si>
  <si>
    <t xml:space="preserve">Resolvido na rotina, sem efeito no resultado.</t>
  </si>
  <si>
    <t xml:space="preserve">Baixa</t>
  </si>
  <si>
    <t xml:space="preserve">Uma vez em um período de um a cinco anos.</t>
  </si>
  <si>
    <t xml:space="preserve">Retrabalho interno ou custo pequeno. O cliente não percebe.</t>
  </si>
  <si>
    <t xml:space="preserve">Média</t>
  </si>
  <si>
    <t xml:space="preserve">Cerca de uma vez por ano.</t>
  </si>
  <si>
    <t xml:space="preserve">Atraso ou falha percebida pelo cliente. Reclamação.</t>
  </si>
  <si>
    <t xml:space="preserve">Algumas vezes por ano.</t>
  </si>
  <si>
    <t xml:space="preserve">Vários clientes afetados, perda de cliente ou custo alto.</t>
  </si>
  <si>
    <t xml:space="preserve">Muito alta</t>
  </si>
  <si>
    <t xml:space="preserve">Uma vez por mês, ou mais.</t>
  </si>
  <si>
    <t xml:space="preserve">Muito alto</t>
  </si>
  <si>
    <t xml:space="preserve">Dano a pessoas, descumprimento da lei ou parada da operação.</t>
  </si>
  <si>
    <t xml:space="preserve">Benefício, para as oportunidades</t>
  </si>
  <si>
    <t xml:space="preserve">Ganho pequeno, difícil de perceber.</t>
  </si>
  <si>
    <t xml:space="preserve">Ganho interno, sem efeito para o cliente.</t>
  </si>
  <si>
    <t xml:space="preserve">Ganho percebido pelo cliente ou economia relevante.</t>
  </si>
  <si>
    <t xml:space="preserve">Novo cliente, nova linha ou redução grande de custo.</t>
  </si>
  <si>
    <t xml:space="preserve">Muda a posição da organização no mercado.</t>
  </si>
  <si>
    <t xml:space="preserve">Níveis e conduta</t>
  </si>
  <si>
    <t xml:space="preserve">De 1 a 4 pontos</t>
  </si>
  <si>
    <t xml:space="preserve">Aceitar e acompanhar na revisão anual.</t>
  </si>
  <si>
    <t xml:space="preserve">De 5 a 9 pontos</t>
  </si>
  <si>
    <t xml:space="preserve">Tratar quando o custo compensar. Revisar a cada seis meses.</t>
  </si>
  <si>
    <t xml:space="preserve">De 10 a 16 pontos</t>
  </si>
  <si>
    <t xml:space="preserve">Tratar, com ação, responsável e prazo.</t>
  </si>
  <si>
    <t xml:space="preserve">De 20 a 25 pontos</t>
  </si>
  <si>
    <t xml:space="preserve">Tratar de imediato, com decisão da direção.</t>
  </si>
  <si>
    <t xml:space="preserve">Respostas ao risco</t>
  </si>
  <si>
    <t xml:space="preserve">O que é</t>
  </si>
  <si>
    <t xml:space="preserve">Efeito no risco</t>
  </si>
  <si>
    <t xml:space="preserve">Exemplo</t>
  </si>
  <si>
    <t xml:space="preserve">Evitar</t>
  </si>
  <si>
    <t xml:space="preserve">Deixar de fazer a atividade que gera o risco, ou impedir que ela aconteça.</t>
  </si>
  <si>
    <t xml:space="preserve">A probabilidade cai para o mínimo.</t>
  </si>
  <si>
    <t xml:space="preserve">Bloquear no sistema a compra de fornecedor não homologado.</t>
  </si>
  <si>
    <t xml:space="preserve">Agir sobre a causa, para o evento ficar menos provável, ou sobre a consequência, para o efeito ficar menor.</t>
  </si>
  <si>
    <t xml:space="preserve">A probabilidade ou o impacto diminuem.</t>
  </si>
  <si>
    <t xml:space="preserve">Homologar um segundo fornecedor. Manter estoque mínimo.</t>
  </si>
  <si>
    <t xml:space="preserve">Compartilhar</t>
  </si>
  <si>
    <t xml:space="preserve">Dividir o efeito com outra parte, por contrato ou seguro.</t>
  </si>
  <si>
    <t xml:space="preserve">O impacto para a organização diminui.</t>
  </si>
  <si>
    <t xml:space="preserve">Contratar seguro. Fixar o preço em contrato.</t>
  </si>
  <si>
    <t xml:space="preserve">Aceitar</t>
  </si>
  <si>
    <t xml:space="preserve">Decidir, com consciência, não agir agora, e acompanhar o risco.</t>
  </si>
  <si>
    <t xml:space="preserve">O nível não muda.</t>
  </si>
  <si>
    <t xml:space="preserve">Acompanhar o prazo da transportadora pelo indicador.</t>
  </si>
  <si>
    <t xml:space="preserve">Checklist de validação da matriz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</si>
  <si>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</si>
  <si>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</si>
  <si>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</si>
  <si>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O escopo da análise está definido: processo, objetivo e período.</t>
  </si>
  <si>
    <t xml:space="preserve">As escalas de probabilidade e de impacto estão escritas e foram entendidas pelo grupo.</t>
  </si>
  <si>
    <t xml:space="preserve">Os riscos foram levantados com quem executa o processo.</t>
  </si>
  <si>
    <t xml:space="preserve">Cada risco está descrito com causa, evento e consequência.</t>
  </si>
  <si>
    <t xml:space="preserve">Os problemas que já aconteceram foram separados e tratados como não conformidades.</t>
  </si>
  <si>
    <t xml:space="preserve">As oportunidades também foram levantadas.</t>
  </si>
  <si>
    <t xml:space="preserve">A probabilidade e o impacto de cada risco têm justificativa.</t>
  </si>
  <si>
    <t xml:space="preserve">Os riscos de impacto máximo têm plano de contingência.</t>
  </si>
  <si>
    <t xml:space="preserve">Cada risco alto ou crítico tem resposta, responsável e prazo.</t>
  </si>
  <si>
    <t xml:space="preserve">O risco residual foi avaliado depois das ações.</t>
  </si>
  <si>
    <t xml:space="preserve">A eficácia das ações foi verificada.</t>
  </si>
  <si>
    <t xml:space="preserve">A matriz tem data de revisão definida.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</si>
  <si>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</si>
  <si>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</si>
  <si>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</si>
  <si>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</si>
  <si>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</si>
  <si>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as abas Riscos, Mapa e Oportunidades para a sua matriz.</t>
  </si>
  <si>
    <t xml:space="preserve">Pizzaria (loja com salão e delivery)</t>
  </si>
  <si>
    <t xml:space="preserve">Atender pedido de delivery</t>
  </si>
  <si>
    <t xml:space="preserve">Entregar 95% dos pedidos em até 40 minutos, sem falhas de segurança do alimento.</t>
  </si>
  <si>
    <t xml:space="preserve">Origem dos riscos</t>
  </si>
  <si>
    <t xml:space="preserve">Ameaças da Matriz SWOT e lacuna do requisito 6.1 no diagnóstico de 02/10/2026.</t>
  </si>
  <si>
    <t xml:space="preserve">Data e participantes</t>
  </si>
  <si>
    <t xml:space="preserve">05/10/2026. Gerente da loja, com a equipe dos dois turnos.</t>
  </si>
  <si>
    <t xml:space="preserve">Nº</t>
  </si>
  <si>
    <t xml:space="preserve">R1</t>
  </si>
  <si>
    <t xml:space="preserve">Expedição</t>
  </si>
  <si>
    <t xml:space="preserve">Chuva forte nas noites de pico</t>
  </si>
  <si>
    <t xml:space="preserve">Faltam entregadores</t>
  </si>
  <si>
    <t xml:space="preserve">Entregas fora do prazo e reclamações</t>
  </si>
  <si>
    <t xml:space="preserve">Manter dois entregadores de sobreaviso nos dias com previsão de chuva.</t>
  </si>
  <si>
    <t xml:space="preserve">Líder da expedição</t>
  </si>
  <si>
    <t xml:space="preserve">R2</t>
  </si>
  <si>
    <t xml:space="preserve">Registro do pedido</t>
  </si>
  <si>
    <t xml:space="preserve">Queda da internet ou do sistema</t>
  </si>
  <si>
    <t xml:space="preserve">A loja fica sem registrar pedidos</t>
  </si>
  <si>
    <t xml:space="preserve">Pedidos perdidos e clientes sem resposta</t>
  </si>
  <si>
    <t xml:space="preserve">Ter um celular com internet móvel e um bloco de pedidos em papel para a contingência.</t>
  </si>
  <si>
    <t xml:space="preserve">Atendente líder</t>
  </si>
  <si>
    <t xml:space="preserve">R3</t>
  </si>
  <si>
    <t xml:space="preserve">Armazenamento</t>
  </si>
  <si>
    <t xml:space="preserve">Falha do compressor da câmara fria</t>
  </si>
  <si>
    <t xml:space="preserve">A temperatura sobe sem ninguém perceber</t>
  </si>
  <si>
    <t xml:space="preserve">Perda de insumos e risco para a saúde do cliente</t>
  </si>
  <si>
    <t xml:space="preserve">Fazer a manutenção preventiva a cada seis meses e instalar alarme de temperatura.</t>
  </si>
  <si>
    <t xml:space="preserve">Pizzaiolo líder</t>
  </si>
  <si>
    <t xml:space="preserve">R4</t>
  </si>
  <si>
    <t xml:space="preserve">Compras</t>
  </si>
  <si>
    <t xml:space="preserve">Um só fornecedor de queijo</t>
  </si>
  <si>
    <t xml:space="preserve">O fornecedor atrasa a entrega</t>
  </si>
  <si>
    <t xml:space="preserve">Sabores fora do cardápio no fim de semana</t>
  </si>
  <si>
    <t xml:space="preserve">Homologar um segundo fornecedor de queijo.</t>
  </si>
  <si>
    <t xml:space="preserve">Gerente da loja</t>
  </si>
  <si>
    <t xml:space="preserve">R5</t>
  </si>
  <si>
    <t xml:space="preserve">Pressa e moto sem revisão</t>
  </si>
  <si>
    <t xml:space="preserve">Acidente com o entregador</t>
  </si>
  <si>
    <t xml:space="preserve">Dano à pessoa e entregas interrompidas</t>
  </si>
  <si>
    <t xml:space="preserve">Revisar as motos todo mês, treinar direção segura e contratar seguro.</t>
  </si>
  <si>
    <t xml:space="preserve">R6</t>
  </si>
  <si>
    <t xml:space="preserve">Produção</t>
  </si>
  <si>
    <t xml:space="preserve">Só o pizzaiolo líder sabe regular o forno</t>
  </si>
  <si>
    <t xml:space="preserve">O pizzaiolo líder sai ou se afasta</t>
  </si>
  <si>
    <t xml:space="preserve">Pizzas fora do padrão e atraso na produção</t>
  </si>
  <si>
    <t xml:space="preserve">Registrar a regulagem do forno e treinar um segundo pizzaiolo.</t>
  </si>
  <si>
    <t xml:space="preserve">R7</t>
  </si>
  <si>
    <t xml:space="preserve">Alta no preço dos insumos</t>
  </si>
  <si>
    <t xml:space="preserve">O custo da pizza sobe</t>
  </si>
  <si>
    <t xml:space="preserve">Margem menor ou aumento de preço ao cliente</t>
  </si>
  <si>
    <t xml:space="preserve">O preço dos insumos não depende da loja. O gerente acompanha os preços todo mês.</t>
  </si>
  <si>
    <t xml:space="preserve">Sem ação</t>
  </si>
  <si>
    <t xml:space="preserve">R8</t>
  </si>
  <si>
    <t xml:space="preserve">Sabor novo com ingrediente alergênico</t>
  </si>
  <si>
    <t xml:space="preserve">O cardápio não avisa o cliente</t>
  </si>
  <si>
    <t xml:space="preserve">Reação alérgica e responsabilidade legal</t>
  </si>
  <si>
    <t xml:space="preserve">Só cadastrar sabor novo no sistema com a ficha de alergênicos preenchida.</t>
  </si>
  <si>
    <t xml:space="preserve">Riscos por nível</t>
  </si>
  <si>
    <t xml:space="preserve">Riscos de impacto 5</t>
  </si>
  <si>
    <t xml:space="preserve">Indústria de embalagens plásticas</t>
  </si>
  <si>
    <t xml:space="preserve">Adquirir materiais e serviços</t>
  </si>
  <si>
    <t xml:space="preserve">Fornecer os materiais certos, no prazo, sem parar a produção.</t>
  </si>
  <si>
    <t xml:space="preserve">Diagnóstico de 25/09/2026, auditoria 2026-07 e RNC 2026-31.</t>
  </si>
  <si>
    <t xml:space="preserve">12/10/2026. Gerente de Suprimentos, com compradores, Recebimento e Qualidade.</t>
  </si>
  <si>
    <t xml:space="preserve">C1</t>
  </si>
  <si>
    <t xml:space="preserve">Homologar um segundo fornecedor de resina e manter estoque mínimo de 15 dias.</t>
  </si>
  <si>
    <t xml:space="preserve">C2</t>
  </si>
  <si>
    <t xml:space="preserve">Requisição</t>
  </si>
  <si>
    <t xml:space="preserve">Requisição sem especificação técnica</t>
  </si>
  <si>
    <t xml:space="preserve">O item comprado é diferente do necessário</t>
  </si>
  <si>
    <t xml:space="preserve">Devolução ao fornecedor e atraso de 9 dias</t>
  </si>
  <si>
    <t xml:space="preserve">Ações do RNC 2026-31: campo obrigatório, cadastro dos itens e revisão do procedimento.</t>
  </si>
  <si>
    <t xml:space="preserve">C3</t>
  </si>
  <si>
    <t xml:space="preserve">Avaliação de fornecedores</t>
  </si>
  <si>
    <t xml:space="preserve">Fornecedor crítico sem avaliação de desempenho</t>
  </si>
  <si>
    <t xml:space="preserve">A qualidade do fornecedor cai sem ser percebida</t>
  </si>
  <si>
    <t xml:space="preserve">Material não conforme na produção</t>
  </si>
  <si>
    <t xml:space="preserve">Avaliar os 12 fornecedores críticos a cada semestre, com registro.</t>
  </si>
  <si>
    <t xml:space="preserve">Comprador sênior</t>
  </si>
  <si>
    <t xml:space="preserve">C4</t>
  </si>
  <si>
    <t xml:space="preserve">Negociação</t>
  </si>
  <si>
    <t xml:space="preserve">Resina com preço ligado ao dólar</t>
  </si>
  <si>
    <t xml:space="preserve">O câmbio sobe depois do pedido</t>
  </si>
  <si>
    <t xml:space="preserve">Custo acima do orçamento</t>
  </si>
  <si>
    <t xml:space="preserve">Negociar contrato com preço fixo por seis meses.</t>
  </si>
  <si>
    <t xml:space="preserve">C5</t>
  </si>
  <si>
    <t xml:space="preserve">Compra de urgência</t>
  </si>
  <si>
    <t xml:space="preserve">Pressão de prazo da produção</t>
  </si>
  <si>
    <t xml:space="preserve">Compra de fornecedor não homologado</t>
  </si>
  <si>
    <t xml:space="preserve">Material sem garantia de qualidade</t>
  </si>
  <si>
    <t xml:space="preserve">Bloquear no sistema o pedido para fornecedor não homologado.</t>
  </si>
  <si>
    <t xml:space="preserve">Analista de sistemas</t>
  </si>
  <si>
    <t xml:space="preserve">C6</t>
  </si>
  <si>
    <t xml:space="preserve">Aprovação</t>
  </si>
  <si>
    <t xml:space="preserve">Compra acima da alçada sem conferência</t>
  </si>
  <si>
    <t xml:space="preserve">Favorecimento de um fornecedor</t>
  </si>
  <si>
    <t xml:space="preserve">Perda financeira e dano à imagem</t>
  </si>
  <si>
    <t xml:space="preserve">As três cotações e as alçadas já reduzem a probabilidade ao mínimo. A auditoria confere o controle.</t>
  </si>
  <si>
    <t xml:space="preserve">C7</t>
  </si>
  <si>
    <t xml:space="preserve">Recebimento</t>
  </si>
  <si>
    <t xml:space="preserve">Transportadora com frota reduzida</t>
  </si>
  <si>
    <t xml:space="preserve">O material chega depois do prazo</t>
  </si>
  <si>
    <t xml:space="preserve">Reprogramação da produção</t>
  </si>
  <si>
    <t xml:space="preserve">O efeito é pequeno, e o indicador de prazo do Recebimento acompanha o risco.</t>
  </si>
  <si>
    <t xml:space="preserve">Líder do Recebimento</t>
  </si>
  <si>
    <t xml:space="preserve">C8</t>
  </si>
  <si>
    <t xml:space="preserve">Homologação</t>
  </si>
  <si>
    <t xml:space="preserve">Fornecedor sem licença ambiental</t>
  </si>
  <si>
    <t xml:space="preserve">O fornecedor é autuado ou interditado</t>
  </si>
  <si>
    <t xml:space="preserve">Falta de material e dano à imagem</t>
  </si>
  <si>
    <t xml:space="preserve">Exigir os documentos legais na homologação e a cada renovação.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</si>
</sst>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;\-0;;@"/>
    <numFmt numFmtId="168" formatCode="0.0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14"/>
      <color rgb="FF16242E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10"/>
      <color rgb="FF000000"/>
      <name val="Calibri"/>
      <family val="2"/>
    </font>
    <font>
      <b val="true"/>
      <sz val="12"/>
      <color rgb="FF16242E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E3E8EB"/>
      </patternFill>
    </fill>
    <fill>
      <patternFill patternType="solid">
        <fgColor rgb="FFFFF9DB"/>
        <bgColor rgb="FFF8EBCB"/>
      </patternFill>
    </fill>
    <fill>
      <patternFill patternType="solid">
        <fgColor rgb="FF2A6FB0"/>
        <bgColor rgb="FF2B5C8A"/>
      </patternFill>
    </fill>
    <fill>
      <patternFill patternType="solid">
        <fgColor rgb="FFDCE8F3"/>
        <bgColor rgb="FFE3E8EB"/>
      </patternFill>
    </fill>
    <fill>
      <patternFill patternType="solid">
        <fgColor rgb="FFD19A2E"/>
        <bgColor rgb="FFFF8080"/>
      </patternFill>
    </fill>
    <fill>
      <patternFill patternType="solid">
        <fgColor rgb="FFF8EBCB"/>
        <bgColor rgb="FFFBEBC8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  <fill>
      <patternFill patternType="solid">
        <fgColor rgb="FF7A3E9A"/>
        <bgColor rgb="FF7A4A9A"/>
      </patternFill>
    </fill>
    <fill>
      <patternFill patternType="solid">
        <fgColor rgb="FFE9DEF1"/>
        <bgColor rgb="FFE3E8EB"/>
      </patternFill>
    </fill>
    <fill>
      <patternFill patternType="solid">
        <fgColor rgb="FF2B5C8A"/>
        <bgColor rgb="FF2A6FB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DCE8F3"/>
        </patternFill>
      </fill>
    </dxf>
    <dxf>
      <fill>
        <patternFill>
          <bgColor rgb="FFF8EBCB"/>
        </patternFill>
      </fill>
    </dxf>
    <dxf>
      <fill>
        <patternFill>
          <bgColor rgb="FFF5DEDC"/>
        </patternFill>
      </fill>
    </dxf>
    <dxf>
      <fill>
        <patternFill>
          <bgColor rgb="FFE9DEF1"/>
        </patternFill>
      </fill>
    </dxf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E3E8EB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BCB"/>
      <rgbColor rgb="FFFF00FF"/>
      <rgbColor rgb="FF00FFFF"/>
      <rgbColor rgb="FF800000"/>
      <rgbColor rgb="FF008000"/>
      <rgbColor rgb="FF000080"/>
      <rgbColor rgb="FF808000"/>
      <rgbColor rgb="FF800080"/>
      <rgbColor rgb="FF1E7B73"/>
      <rgbColor rgb="FFD9D9D9"/>
      <rgbColor rgb="FF7A4A9A"/>
      <rgbColor rgb="FFE3E8EB"/>
      <rgbColor rgb="FFB0413E"/>
      <rgbColor rgb="FFFFF9DB"/>
      <rgbColor rgb="FFDCE8F3"/>
      <rgbColor rgb="FF660066"/>
      <rgbColor rgb="FFFF8080"/>
      <rgbColor rgb="FF2A6FB0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E9DEF1"/>
      <rgbColor rgb="FFF6D9D7"/>
      <rgbColor rgb="FF3366FF"/>
      <rgbColor rgb="FF33CCCC"/>
      <rgbColor rgb="FF99CC00"/>
      <rgbColor rgb="FFFFCC00"/>
      <rgbColor rgb="FFD19A2E"/>
      <rgbColor rgb="FFFF6600"/>
      <rgbColor rgb="FF5B6B76"/>
      <rgbColor rgb="FF9BABB6"/>
      <rgbColor rgb="FF003366"/>
      <rgbColor rgb="FF339966"/>
      <rgbColor rgb="FF003300"/>
      <rgbColor rgb="FF333300"/>
      <rgbColor rgb="FF993300"/>
      <rgbColor rgb="FF7A3E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"Inicial"</c:f>
              <c:strCache>
                <c:ptCount val="1"/>
                <c:pt idx="0">
                  <c:v>Inicial</c:v>
                </c:pt>
              </c:strCache>
            </c:strRef>
          </c:tx>
          <c:spPr>
            <a:solidFill>
              <a:srgbClr val="9bab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Mapa!$B$15:$B$18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Mapa!$E$15:$E$18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"Residual"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Mapa!$B$15:$B$18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Mapa!$F$15:$F$18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80"/>
        <c:overlap val="-10"/>
        <c:axId val="13244731"/>
        <c:axId val="34763985"/>
      </c:barChart>
      <c:catAx>
        <c:axId val="132447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63985"/>
        <c:crosses val="autoZero"/>
        <c:auto val="1"/>
        <c:lblAlgn val="ctr"/>
        <c:lblOffset val="100"/>
        <c:noMultiLvlLbl val="0"/>
      </c:catAx>
      <c:valAx>
        <c:axId val="3476398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44731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"Inicial"</c:f>
              <c:strCache>
                <c:ptCount val="1"/>
                <c:pt idx="0">
                  <c:v>Inicial</c:v>
                </c:pt>
              </c:strCache>
            </c:strRef>
          </c:tx>
          <c:spPr>
            <a:solidFill>
              <a:srgbClr val="9bab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Pizzaria'!$B$24:$B$27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'Exemplo 1 - Pizzaria'!$E$24:$E$27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"Residual"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Pizzaria'!$B$24:$B$27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'Exemplo 1 - Pizzaria'!$F$24:$F$27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80"/>
        <c:overlap val="-10"/>
        <c:axId val="4870605"/>
        <c:axId val="83246300"/>
      </c:barChart>
      <c:catAx>
        <c:axId val="48706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46300"/>
        <c:crosses val="autoZero"/>
        <c:auto val="1"/>
        <c:lblAlgn val="ctr"/>
        <c:lblOffset val="100"/>
        <c:noMultiLvlLbl val="0"/>
      </c:catAx>
      <c:valAx>
        <c:axId val="8324630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0605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"Inicial"</c:f>
              <c:strCache>
                <c:ptCount val="1"/>
                <c:pt idx="0">
                  <c:v>Inicial</c:v>
                </c:pt>
              </c:strCache>
            </c:strRef>
          </c:tx>
          <c:spPr>
            <a:solidFill>
              <a:srgbClr val="9bab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Compras'!$B$24:$B$27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'Exemplo 2 - Compras'!$E$24:$E$27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"Residual"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Compras'!$B$24:$B$27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'Exemplo 2 - Compras'!$F$24:$F$27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80"/>
        <c:overlap val="-10"/>
        <c:axId val="10978621"/>
        <c:axId val="40421576"/>
      </c:barChart>
      <c:catAx>
        <c:axId val="10978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21576"/>
        <c:crosses val="autoZero"/>
        <c:auto val="1"/>
        <c:lblAlgn val="ctr"/>
        <c:lblOffset val="100"/>
        <c:noMultiLvlLbl val="0"/>
      </c:catAx>
      <c:valAx>
        <c:axId val="4042157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78621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13</xdr:row>
      <xdr:rowOff>0</xdr:rowOff>
    </xdr:from>
    <xdr:to>
      <xdr:col>14</xdr:col>
      <xdr:colOff>36720</xdr:colOff>
      <xdr:row>23</xdr:row>
      <xdr:rowOff>275400</xdr:rowOff>
    </xdr:to>
    <xdr:graphicFrame>
      <xdr:nvGraphicFramePr>
        <xdr:cNvPr id="0" name="Chart 1"/>
        <xdr:cNvGraphicFramePr/>
      </xdr:nvGraphicFramePr>
      <xdr:xfrm>
        <a:off x="5427360" y="4438800"/>
        <a:ext cx="511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12</xdr:col>
      <xdr:colOff>50400</xdr:colOff>
      <xdr:row>32</xdr:row>
      <xdr:rowOff>70920</xdr:rowOff>
    </xdr:to>
    <xdr:graphicFrame>
      <xdr:nvGraphicFramePr>
        <xdr:cNvPr id="1" name="Chart 1"/>
        <xdr:cNvGraphicFramePr/>
      </xdr:nvGraphicFramePr>
      <xdr:xfrm>
        <a:off x="7612560" y="7115040"/>
        <a:ext cx="575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12</xdr:col>
      <xdr:colOff>50400</xdr:colOff>
      <xdr:row>32</xdr:row>
      <xdr:rowOff>70920</xdr:rowOff>
    </xdr:to>
    <xdr:graphicFrame>
      <xdr:nvGraphicFramePr>
        <xdr:cNvPr id="2" name="Chart 1"/>
        <xdr:cNvGraphicFramePr/>
      </xdr:nvGraphicFramePr>
      <xdr:xfrm>
        <a:off x="7612560" y="7257960"/>
        <a:ext cx="575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5" customFormat="false" ht="19.5" hidden="false" customHeight="true" outlineLevel="0" collapsed="false">
      <c r="B15" s="14" t="s">
        <v>20</v>
      </c>
      <c r="C15" s="15" t="s">
        <v>21</v>
      </c>
    </row>
    <row r="17" customFormat="false" ht="21.75" hidden="false" customHeight="true" outlineLevel="0" collapsed="false">
      <c r="B17" s="3" t="s">
        <v>22</v>
      </c>
      <c r="C17" s="3"/>
    </row>
    <row r="18" customFormat="false" ht="19.5" hidden="false" customHeight="true" outlineLevel="0" collapsed="false">
      <c r="B18" s="4" t="s">
        <v>23</v>
      </c>
      <c r="C18" s="7" t="s">
        <v>24</v>
      </c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31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6" customFormat="false" ht="21.75" hidden="false" customHeight="true" outlineLevel="0" collapsed="false">
      <c r="B26" s="3" t="s">
        <v>37</v>
      </c>
      <c r="C26" s="3"/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5" customFormat="false" ht="21.75" hidden="false" customHeight="true" outlineLevel="0" collapsed="false">
      <c r="B35" s="3" t="s">
        <v>52</v>
      </c>
      <c r="C35" s="3"/>
    </row>
    <row r="36" customFormat="false" ht="31.5" hidden="false" customHeight="true" outlineLevel="0" collapsed="false">
      <c r="B36" s="4" t="s">
        <v>53</v>
      </c>
      <c r="C36" s="7" t="s">
        <v>54</v>
      </c>
    </row>
    <row r="37" customFormat="false" ht="31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19.5" hidden="false" customHeight="true" outlineLevel="0" collapsed="false">
      <c r="B41" s="4" t="s">
        <v>63</v>
      </c>
      <c r="C41" s="7" t="s">
        <v>64</v>
      </c>
    </row>
  </sheetData>
  <mergeCells count="7">
    <mergeCell ref="B1:C1"/>
    <mergeCell ref="B2:C2"/>
    <mergeCell ref="B4:C4"/>
    <mergeCell ref="B11:C11"/>
    <mergeCell ref="B17:C17"/>
    <mergeCell ref="B26:C26"/>
    <mergeCell ref="B35:C3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V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6" min="4" style="0" width="28"/>
    <col collapsed="false" customWidth="true" hidden="false" outlineLevel="0" max="8" min="7" style="0" width="7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36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7" min="16" style="0" width="7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13"/>
    <col collapsed="false" customWidth="true" hidden="false" outlineLevel="0" max="21" min="21" style="0" width="26"/>
    <col collapsed="false" customWidth="true" hidden="false" outlineLevel="0" max="22" min="22" style="0" width="30"/>
    <col collapsed="false" customWidth="true" hidden="false" outlineLevel="0" max="23" min="23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9.5" hidden="false" customHeight="true" outlineLevel="0" collapsed="false">
      <c r="B2" s="2" t="s">
        <v>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24" hidden="false" customHeight="true" outlineLevel="0" collapsed="false">
      <c r="B4" s="4" t="s">
        <v>67</v>
      </c>
      <c r="C4" s="4"/>
      <c r="D4" s="5"/>
      <c r="E4" s="5"/>
      <c r="F4" s="5"/>
      <c r="G4" s="4" t="s">
        <v>68</v>
      </c>
      <c r="H4" s="4"/>
      <c r="I4" s="4"/>
      <c r="J4" s="4"/>
      <c r="K4" s="5"/>
      <c r="L4" s="5"/>
      <c r="M4" s="5"/>
      <c r="N4" s="5"/>
      <c r="O4" s="5"/>
      <c r="P4" s="4" t="s">
        <v>69</v>
      </c>
      <c r="Q4" s="4"/>
      <c r="R4" s="4"/>
      <c r="S4" s="4"/>
      <c r="T4" s="16"/>
      <c r="U4" s="16"/>
      <c r="V4" s="16"/>
    </row>
    <row r="5" customFormat="false" ht="24" hidden="false" customHeight="true" outlineLevel="0" collapsed="false">
      <c r="B5" s="4" t="s">
        <v>70</v>
      </c>
      <c r="C5" s="4"/>
      <c r="D5" s="5"/>
      <c r="E5" s="5"/>
      <c r="F5" s="5"/>
      <c r="G5" s="4" t="s">
        <v>71</v>
      </c>
      <c r="H5" s="4"/>
      <c r="I5" s="4"/>
      <c r="J5" s="4"/>
      <c r="K5" s="5"/>
      <c r="L5" s="5"/>
      <c r="M5" s="5"/>
      <c r="N5" s="5"/>
      <c r="O5" s="5"/>
      <c r="P5" s="4" t="s">
        <v>72</v>
      </c>
      <c r="Q5" s="4"/>
      <c r="R5" s="4"/>
      <c r="S5" s="4"/>
      <c r="T5" s="16"/>
      <c r="U5" s="16"/>
      <c r="V5" s="16"/>
    </row>
    <row r="7" customFormat="false" ht="21.75" hidden="false" customHeight="true" outlineLevel="0" collapsed="false">
      <c r="B7" s="17" t="s">
        <v>73</v>
      </c>
      <c r="C7" s="17"/>
      <c r="D7" s="17"/>
      <c r="E7" s="17"/>
      <c r="F7" s="17"/>
      <c r="G7" s="18" t="s">
        <v>74</v>
      </c>
      <c r="H7" s="18"/>
      <c r="I7" s="18"/>
      <c r="J7" s="18"/>
      <c r="K7" s="17" t="s">
        <v>75</v>
      </c>
      <c r="L7" s="17"/>
      <c r="M7" s="17"/>
      <c r="N7" s="17"/>
      <c r="O7" s="17"/>
      <c r="P7" s="18" t="s">
        <v>57</v>
      </c>
      <c r="Q7" s="18"/>
      <c r="R7" s="18"/>
      <c r="S7" s="18"/>
      <c r="T7" s="17" t="s">
        <v>76</v>
      </c>
      <c r="U7" s="17"/>
      <c r="V7" s="17"/>
    </row>
    <row r="8" customFormat="false" ht="24" hidden="false" customHeight="true" outlineLevel="0" collapsed="false">
      <c r="B8" s="19" t="s">
        <v>77</v>
      </c>
      <c r="C8" s="19" t="s">
        <v>78</v>
      </c>
      <c r="D8" s="19" t="s">
        <v>79</v>
      </c>
      <c r="E8" s="19" t="s">
        <v>80</v>
      </c>
      <c r="F8" s="19" t="s">
        <v>81</v>
      </c>
      <c r="G8" s="19" t="s">
        <v>82</v>
      </c>
      <c r="H8" s="19" t="s">
        <v>83</v>
      </c>
      <c r="I8" s="19" t="s">
        <v>84</v>
      </c>
      <c r="J8" s="19" t="s">
        <v>85</v>
      </c>
      <c r="K8" s="19" t="s">
        <v>75</v>
      </c>
      <c r="L8" s="19" t="s">
        <v>86</v>
      </c>
      <c r="M8" s="19" t="s">
        <v>87</v>
      </c>
      <c r="N8" s="19" t="s">
        <v>88</v>
      </c>
      <c r="O8" s="19" t="s">
        <v>89</v>
      </c>
      <c r="P8" s="19" t="s">
        <v>82</v>
      </c>
      <c r="Q8" s="19" t="s">
        <v>83</v>
      </c>
      <c r="R8" s="19" t="s">
        <v>84</v>
      </c>
      <c r="S8" s="19" t="s">
        <v>85</v>
      </c>
      <c r="T8" s="19" t="s">
        <v>61</v>
      </c>
      <c r="U8" s="19" t="s">
        <v>90</v>
      </c>
      <c r="V8" s="19" t="s">
        <v>91</v>
      </c>
    </row>
    <row r="9" customFormat="false" ht="30" hidden="false" customHeight="true" outlineLevel="0" collapsed="false">
      <c r="B9" s="20"/>
      <c r="C9" s="20" t="s">
        <v>92</v>
      </c>
      <c r="D9" s="20" t="s">
        <v>93</v>
      </c>
      <c r="E9" s="20" t="s">
        <v>94</v>
      </c>
      <c r="F9" s="20" t="s">
        <v>95</v>
      </c>
      <c r="G9" s="20" t="s">
        <v>96</v>
      </c>
      <c r="H9" s="20" t="s">
        <v>96</v>
      </c>
      <c r="I9" s="20" t="s">
        <v>97</v>
      </c>
      <c r="J9" s="20" t="s">
        <v>98</v>
      </c>
      <c r="K9" s="20" t="s">
        <v>99</v>
      </c>
      <c r="L9" s="20" t="s">
        <v>100</v>
      </c>
      <c r="M9" s="20" t="s">
        <v>101</v>
      </c>
      <c r="N9" s="20" t="s">
        <v>102</v>
      </c>
      <c r="O9" s="20" t="s">
        <v>103</v>
      </c>
      <c r="P9" s="20" t="s">
        <v>96</v>
      </c>
      <c r="Q9" s="20" t="s">
        <v>96</v>
      </c>
      <c r="R9" s="20" t="s">
        <v>97</v>
      </c>
      <c r="S9" s="20" t="s">
        <v>98</v>
      </c>
      <c r="T9" s="20" t="s">
        <v>104</v>
      </c>
      <c r="U9" s="20" t="s">
        <v>105</v>
      </c>
      <c r="V9" s="20" t="s">
        <v>106</v>
      </c>
    </row>
    <row r="10" customFormat="false" ht="36" hidden="false" customHeight="true" outlineLevel="0" collapsed="false">
      <c r="B10" s="20" t="s">
        <v>107</v>
      </c>
      <c r="C10" s="21" t="s">
        <v>108</v>
      </c>
      <c r="D10" s="21" t="s">
        <v>109</v>
      </c>
      <c r="E10" s="21" t="s">
        <v>110</v>
      </c>
      <c r="F10" s="21" t="s">
        <v>111</v>
      </c>
      <c r="G10" s="20" t="n">
        <v>4</v>
      </c>
      <c r="H10" s="20" t="n">
        <v>5</v>
      </c>
      <c r="I10" s="20" t="n">
        <v>20</v>
      </c>
      <c r="J10" s="20" t="s">
        <v>20</v>
      </c>
      <c r="K10" s="20" t="s">
        <v>112</v>
      </c>
      <c r="L10" s="21" t="s">
        <v>113</v>
      </c>
      <c r="M10" s="21" t="s">
        <v>114</v>
      </c>
      <c r="N10" s="22" t="n">
        <v>46374</v>
      </c>
      <c r="O10" s="20" t="s">
        <v>115</v>
      </c>
      <c r="P10" s="20" t="n">
        <v>2</v>
      </c>
      <c r="Q10" s="20" t="n">
        <v>3</v>
      </c>
      <c r="R10" s="20" t="n">
        <v>6</v>
      </c>
      <c r="S10" s="20" t="s">
        <v>16</v>
      </c>
      <c r="T10" s="20" t="s">
        <v>116</v>
      </c>
      <c r="U10" s="20" t="s">
        <v>117</v>
      </c>
      <c r="V10" s="20" t="s">
        <v>118</v>
      </c>
    </row>
    <row r="11" customFormat="false" ht="39" hidden="false" customHeight="true" outlineLevel="0" collapsed="false">
      <c r="B11" s="23" t="n">
        <v>1</v>
      </c>
      <c r="C11" s="5"/>
      <c r="D11" s="5"/>
      <c r="E11" s="5"/>
      <c r="F11" s="5"/>
      <c r="G11" s="24"/>
      <c r="H11" s="24"/>
      <c r="I11" s="25" t="str">
        <f aca="false">IF(OR(G11="",H11=""),"",G11*H11)</f>
        <v/>
      </c>
      <c r="J11" s="26" t="str">
        <f aca="false">IF(I11="","",IF(I11&gt;=20,"Crítico",IF(I11&gt;=10,"Alto",IF(I11&gt;=5,"Médio","Baixo"))))</f>
        <v/>
      </c>
      <c r="K11" s="24"/>
      <c r="L11" s="5"/>
      <c r="M11" s="5"/>
      <c r="N11" s="27"/>
      <c r="O11" s="24"/>
      <c r="P11" s="24"/>
      <c r="Q11" s="24"/>
      <c r="R11" s="25" t="str">
        <f aca="false">IF(OR(P11="",Q11=""),"",P11*Q11)</f>
        <v/>
      </c>
      <c r="S11" s="26" t="str">
        <f aca="false">IF(R11="","",IF(R11&gt;=20,"Crítico",IF(R11&gt;=10,"Alto",IF(R11&gt;=5,"Médio","Baixo"))))</f>
        <v/>
      </c>
      <c r="T11" s="28" t="str">
        <f aca="true">IF(OR(E11="",K11=""),"",IF(K11="Aceitar","Aceito",IF(O11="Concluída","Concluída",IF(N11="","Sem prazo",IF(N11&lt;TODAY(),"Atrasada","No prazo")))))</f>
        <v/>
      </c>
      <c r="U11" s="28" t="str">
        <f aca="false">IF(E11="","",IF(OR(D11="",F11=""),"Descreva a causa e a consequência",IF(I11="","Faltam as notas de P e I",IF(K11="","Escolha a resposta",IF(L11="",IF(K11="Aceitar","Justifique a decisão de aceitar","Escreva a ação"),IF(AND(K11&lt;&gt;"Aceitar",OR(M11="",N11="")),"Falta responsável ou prazo",IF(R11="","Avalie o risco residual",IF(R11&gt;I11,"Residual maior que o inicial","Completo"))))))))</f>
        <v/>
      </c>
      <c r="V11" s="28" t="str">
        <f aca="false">IF(I11="","",IF(AND(OR(J11="Alto",J11="Crítico"),K11="Aceitar"),"Risco alto aceito: peça a decisão da direção",IF(OR(S11="Alto",S11="Crítico"),"Residual ainda alto: reforce a resposta",IF(OR(H11=5,Q11=5),"Impacto 5: tenha plano de contingência",""))))</f>
        <v/>
      </c>
    </row>
    <row r="12" customFormat="false" ht="39" hidden="false" customHeight="true" outlineLevel="0" collapsed="false">
      <c r="B12" s="23" t="n">
        <v>2</v>
      </c>
      <c r="C12" s="5"/>
      <c r="D12" s="5"/>
      <c r="E12" s="5"/>
      <c r="F12" s="5"/>
      <c r="G12" s="24"/>
      <c r="H12" s="24"/>
      <c r="I12" s="25" t="str">
        <f aca="false">IF(OR(G12="",H12=""),"",G12*H12)</f>
        <v/>
      </c>
      <c r="J12" s="26" t="str">
        <f aca="false">IF(I12="","",IF(I12&gt;=20,"Crítico",IF(I12&gt;=10,"Alto",IF(I12&gt;=5,"Médio","Baixo"))))</f>
        <v/>
      </c>
      <c r="K12" s="24"/>
      <c r="L12" s="5"/>
      <c r="M12" s="5"/>
      <c r="N12" s="27"/>
      <c r="O12" s="24"/>
      <c r="P12" s="24"/>
      <c r="Q12" s="24"/>
      <c r="R12" s="25" t="str">
        <f aca="false">IF(OR(P12="",Q12=""),"",P12*Q12)</f>
        <v/>
      </c>
      <c r="S12" s="26" t="str">
        <f aca="false">IF(R12="","",IF(R12&gt;=20,"Crítico",IF(R12&gt;=10,"Alto",IF(R12&gt;=5,"Médio","Baixo"))))</f>
        <v/>
      </c>
      <c r="T12" s="28" t="str">
        <f aca="true">IF(OR(E12="",K12=""),"",IF(K12="Aceitar","Aceito",IF(O12="Concluída","Concluída",IF(N12="","Sem prazo",IF(N12&lt;TODAY(),"Atrasada","No prazo")))))</f>
        <v/>
      </c>
      <c r="U12" s="28" t="str">
        <f aca="false">IF(E12="","",IF(OR(D12="",F12=""),"Descreva a causa e a consequência",IF(I12="","Faltam as notas de P e I",IF(K12="","Escolha a resposta",IF(L12="",IF(K12="Aceitar","Justifique a decisão de aceitar","Escreva a ação"),IF(AND(K12&lt;&gt;"Aceitar",OR(M12="",N12="")),"Falta responsável ou prazo",IF(R12="","Avalie o risco residual",IF(R12&gt;I12,"Residual maior que o inicial","Completo"))))))))</f>
        <v/>
      </c>
      <c r="V12" s="28" t="str">
        <f aca="false">IF(I12="","",IF(AND(OR(J12="Alto",J12="Crítico"),K12="Aceitar"),"Risco alto aceito: peça a decisão da direção",IF(OR(S12="Alto",S12="Crítico"),"Residual ainda alto: reforce a resposta",IF(OR(H12=5,Q12=5),"Impacto 5: tenha plano de contingência",""))))</f>
        <v/>
      </c>
    </row>
    <row r="13" customFormat="false" ht="39" hidden="false" customHeight="true" outlineLevel="0" collapsed="false">
      <c r="B13" s="23" t="n">
        <v>3</v>
      </c>
      <c r="C13" s="5"/>
      <c r="D13" s="5"/>
      <c r="E13" s="5"/>
      <c r="F13" s="5"/>
      <c r="G13" s="24"/>
      <c r="H13" s="24"/>
      <c r="I13" s="25" t="str">
        <f aca="false">IF(OR(G13="",H13=""),"",G13*H13)</f>
        <v/>
      </c>
      <c r="J13" s="26" t="str">
        <f aca="false">IF(I13="","",IF(I13&gt;=20,"Crítico",IF(I13&gt;=10,"Alto",IF(I13&gt;=5,"Médio","Baixo"))))</f>
        <v/>
      </c>
      <c r="K13" s="24"/>
      <c r="L13" s="5"/>
      <c r="M13" s="5"/>
      <c r="N13" s="27"/>
      <c r="O13" s="24"/>
      <c r="P13" s="24"/>
      <c r="Q13" s="24"/>
      <c r="R13" s="25" t="str">
        <f aca="false">IF(OR(P13="",Q13=""),"",P13*Q13)</f>
        <v/>
      </c>
      <c r="S13" s="26" t="str">
        <f aca="false">IF(R13="","",IF(R13&gt;=20,"Crítico",IF(R13&gt;=10,"Alto",IF(R13&gt;=5,"Médio","Baixo"))))</f>
        <v/>
      </c>
      <c r="T13" s="28" t="str">
        <f aca="true">IF(OR(E13="",K13=""),"",IF(K13="Aceitar","Aceito",IF(O13="Concluída","Concluída",IF(N13="","Sem prazo",IF(N13&lt;TODAY(),"Atrasada","No prazo")))))</f>
        <v/>
      </c>
      <c r="U13" s="28" t="str">
        <f aca="false">IF(E13="","",IF(OR(D13="",F13=""),"Descreva a causa e a consequência",IF(I13="","Faltam as notas de P e I",IF(K13="","Escolha a resposta",IF(L13="",IF(K13="Aceitar","Justifique a decisão de aceitar","Escreva a ação"),IF(AND(K13&lt;&gt;"Aceitar",OR(M13="",N13="")),"Falta responsável ou prazo",IF(R13="","Avalie o risco residual",IF(R13&gt;I13,"Residual maior que o inicial","Completo"))))))))</f>
        <v/>
      </c>
      <c r="V13" s="28" t="str">
        <f aca="false">IF(I13="","",IF(AND(OR(J13="Alto",J13="Crítico"),K13="Aceitar"),"Risco alto aceito: peça a decisão da direção",IF(OR(S13="Alto",S13="Crítico"),"Residual ainda alto: reforce a resposta",IF(OR(H13=5,Q13=5),"Impacto 5: tenha plano de contingência",""))))</f>
        <v/>
      </c>
    </row>
    <row r="14" customFormat="false" ht="39" hidden="false" customHeight="true" outlineLevel="0" collapsed="false">
      <c r="B14" s="23" t="n">
        <v>4</v>
      </c>
      <c r="C14" s="5"/>
      <c r="D14" s="5"/>
      <c r="E14" s="5"/>
      <c r="F14" s="5"/>
      <c r="G14" s="24"/>
      <c r="H14" s="24"/>
      <c r="I14" s="25" t="str">
        <f aca="false">IF(OR(G14="",H14=""),"",G14*H14)</f>
        <v/>
      </c>
      <c r="J14" s="26" t="str">
        <f aca="false">IF(I14="","",IF(I14&gt;=20,"Crítico",IF(I14&gt;=10,"Alto",IF(I14&gt;=5,"Médio","Baixo"))))</f>
        <v/>
      </c>
      <c r="K14" s="24"/>
      <c r="L14" s="5"/>
      <c r="M14" s="5"/>
      <c r="N14" s="27"/>
      <c r="O14" s="24"/>
      <c r="P14" s="24"/>
      <c r="Q14" s="24"/>
      <c r="R14" s="25" t="str">
        <f aca="false">IF(OR(P14="",Q14=""),"",P14*Q14)</f>
        <v/>
      </c>
      <c r="S14" s="26" t="str">
        <f aca="false">IF(R14="","",IF(R14&gt;=20,"Crítico",IF(R14&gt;=10,"Alto",IF(R14&gt;=5,"Médio","Baixo"))))</f>
        <v/>
      </c>
      <c r="T14" s="28" t="str">
        <f aca="true">IF(OR(E14="",K14=""),"",IF(K14="Aceitar","Aceito",IF(O14="Concluída","Concluída",IF(N14="","Sem prazo",IF(N14&lt;TODAY(),"Atrasada","No prazo")))))</f>
        <v/>
      </c>
      <c r="U14" s="28" t="str">
        <f aca="false">IF(E14="","",IF(OR(D14="",F14=""),"Descreva a causa e a consequência",IF(I14="","Faltam as notas de P e I",IF(K14="","Escolha a resposta",IF(L14="",IF(K14="Aceitar","Justifique a decisão de aceitar","Escreva a ação"),IF(AND(K14&lt;&gt;"Aceitar",OR(M14="",N14="")),"Falta responsável ou prazo",IF(R14="","Avalie o risco residual",IF(R14&gt;I14,"Residual maior que o inicial","Completo"))))))))</f>
        <v/>
      </c>
      <c r="V14" s="28" t="str">
        <f aca="false">IF(I14="","",IF(AND(OR(J14="Alto",J14="Crítico"),K14="Aceitar"),"Risco alto aceito: peça a decisão da direção",IF(OR(S14="Alto",S14="Crítico"),"Residual ainda alto: reforce a resposta",IF(OR(H14=5,Q14=5),"Impacto 5: tenha plano de contingência",""))))</f>
        <v/>
      </c>
    </row>
    <row r="15" customFormat="false" ht="39" hidden="false" customHeight="true" outlineLevel="0" collapsed="false">
      <c r="B15" s="23" t="n">
        <v>5</v>
      </c>
      <c r="C15" s="5"/>
      <c r="D15" s="5"/>
      <c r="E15" s="5"/>
      <c r="F15" s="5"/>
      <c r="G15" s="24"/>
      <c r="H15" s="24"/>
      <c r="I15" s="25" t="str">
        <f aca="false">IF(OR(G15="",H15=""),"",G15*H15)</f>
        <v/>
      </c>
      <c r="J15" s="26" t="str">
        <f aca="false">IF(I15="","",IF(I15&gt;=20,"Crítico",IF(I15&gt;=10,"Alto",IF(I15&gt;=5,"Médio","Baixo"))))</f>
        <v/>
      </c>
      <c r="K15" s="24"/>
      <c r="L15" s="5"/>
      <c r="M15" s="5"/>
      <c r="N15" s="27"/>
      <c r="O15" s="24"/>
      <c r="P15" s="24"/>
      <c r="Q15" s="24"/>
      <c r="R15" s="25" t="str">
        <f aca="false">IF(OR(P15="",Q15=""),"",P15*Q15)</f>
        <v/>
      </c>
      <c r="S15" s="26" t="str">
        <f aca="false">IF(R15="","",IF(R15&gt;=20,"Crítico",IF(R15&gt;=10,"Alto",IF(R15&gt;=5,"Médio","Baixo"))))</f>
        <v/>
      </c>
      <c r="T15" s="28" t="str">
        <f aca="true">IF(OR(E15="",K15=""),"",IF(K15="Aceitar","Aceito",IF(O15="Concluída","Concluída",IF(N15="","Sem prazo",IF(N15&lt;TODAY(),"Atrasada","No prazo")))))</f>
        <v/>
      </c>
      <c r="U15" s="28" t="str">
        <f aca="false">IF(E15="","",IF(OR(D15="",F15=""),"Descreva a causa e a consequência",IF(I15="","Faltam as notas de P e I",IF(K15="","Escolha a resposta",IF(L15="",IF(K15="Aceitar","Justifique a decisão de aceitar","Escreva a ação"),IF(AND(K15&lt;&gt;"Aceitar",OR(M15="",N15="")),"Falta responsável ou prazo",IF(R15="","Avalie o risco residual",IF(R15&gt;I15,"Residual maior que o inicial","Completo"))))))))</f>
        <v/>
      </c>
      <c r="V15" s="28" t="str">
        <f aca="false">IF(I15="","",IF(AND(OR(J15="Alto",J15="Crítico"),K15="Aceitar"),"Risco alto aceito: peça a decisão da direção",IF(OR(S15="Alto",S15="Crítico"),"Residual ainda alto: reforce a resposta",IF(OR(H15=5,Q15=5),"Impacto 5: tenha plano de contingência",""))))</f>
        <v/>
      </c>
    </row>
    <row r="16" customFormat="false" ht="39" hidden="false" customHeight="true" outlineLevel="0" collapsed="false">
      <c r="B16" s="23" t="n">
        <v>6</v>
      </c>
      <c r="C16" s="5"/>
      <c r="D16" s="5"/>
      <c r="E16" s="5"/>
      <c r="F16" s="5"/>
      <c r="G16" s="24"/>
      <c r="H16" s="24"/>
      <c r="I16" s="25" t="str">
        <f aca="false">IF(OR(G16="",H16=""),"",G16*H16)</f>
        <v/>
      </c>
      <c r="J16" s="26" t="str">
        <f aca="false">IF(I16="","",IF(I16&gt;=20,"Crítico",IF(I16&gt;=10,"Alto",IF(I16&gt;=5,"Médio","Baixo"))))</f>
        <v/>
      </c>
      <c r="K16" s="24"/>
      <c r="L16" s="5"/>
      <c r="M16" s="5"/>
      <c r="N16" s="27"/>
      <c r="O16" s="24"/>
      <c r="P16" s="24"/>
      <c r="Q16" s="24"/>
      <c r="R16" s="25" t="str">
        <f aca="false">IF(OR(P16="",Q16=""),"",P16*Q16)</f>
        <v/>
      </c>
      <c r="S16" s="26" t="str">
        <f aca="false">IF(R16="","",IF(R16&gt;=20,"Crítico",IF(R16&gt;=10,"Alto",IF(R16&gt;=5,"Médio","Baixo"))))</f>
        <v/>
      </c>
      <c r="T16" s="28" t="str">
        <f aca="true">IF(OR(E16="",K16=""),"",IF(K16="Aceitar","Aceito",IF(O16="Concluída","Concluída",IF(N16="","Sem prazo",IF(N16&lt;TODAY(),"Atrasada","No prazo")))))</f>
        <v/>
      </c>
      <c r="U16" s="28" t="str">
        <f aca="false">IF(E16="","",IF(OR(D16="",F16=""),"Descreva a causa e a consequência",IF(I16="","Faltam as notas de P e I",IF(K16="","Escolha a resposta",IF(L16="",IF(K16="Aceitar","Justifique a decisão de aceitar","Escreva a ação"),IF(AND(K16&lt;&gt;"Aceitar",OR(M16="",N16="")),"Falta responsável ou prazo",IF(R16="","Avalie o risco residual",IF(R16&gt;I16,"Residual maior que o inicial","Completo"))))))))</f>
        <v/>
      </c>
      <c r="V16" s="28" t="str">
        <f aca="false">IF(I16="","",IF(AND(OR(J16="Alto",J16="Crítico"),K16="Aceitar"),"Risco alto aceito: peça a decisão da direção",IF(OR(S16="Alto",S16="Crítico"),"Residual ainda alto: reforce a resposta",IF(OR(H16=5,Q16=5),"Impacto 5: tenha plano de contingência",""))))</f>
        <v/>
      </c>
    </row>
    <row r="17" customFormat="false" ht="39" hidden="false" customHeight="true" outlineLevel="0" collapsed="false">
      <c r="B17" s="23" t="n">
        <v>7</v>
      </c>
      <c r="C17" s="5"/>
      <c r="D17" s="5"/>
      <c r="E17" s="5"/>
      <c r="F17" s="5"/>
      <c r="G17" s="24"/>
      <c r="H17" s="24"/>
      <c r="I17" s="25" t="str">
        <f aca="false">IF(OR(G17="",H17=""),"",G17*H17)</f>
        <v/>
      </c>
      <c r="J17" s="26" t="str">
        <f aca="false">IF(I17="","",IF(I17&gt;=20,"Crítico",IF(I17&gt;=10,"Alto",IF(I17&gt;=5,"Médio","Baixo"))))</f>
        <v/>
      </c>
      <c r="K17" s="24"/>
      <c r="L17" s="5"/>
      <c r="M17" s="5"/>
      <c r="N17" s="27"/>
      <c r="O17" s="24"/>
      <c r="P17" s="24"/>
      <c r="Q17" s="24"/>
      <c r="R17" s="25" t="str">
        <f aca="false">IF(OR(P17="",Q17=""),"",P17*Q17)</f>
        <v/>
      </c>
      <c r="S17" s="26" t="str">
        <f aca="false">IF(R17="","",IF(R17&gt;=20,"Crítico",IF(R17&gt;=10,"Alto",IF(R17&gt;=5,"Médio","Baixo"))))</f>
        <v/>
      </c>
      <c r="T17" s="28" t="str">
        <f aca="true">IF(OR(E17="",K17=""),"",IF(K17="Aceitar","Aceito",IF(O17="Concluída","Concluída",IF(N17="","Sem prazo",IF(N17&lt;TODAY(),"Atrasada","No prazo")))))</f>
        <v/>
      </c>
      <c r="U17" s="28" t="str">
        <f aca="false">IF(E17="","",IF(OR(D17="",F17=""),"Descreva a causa e a consequência",IF(I17="","Faltam as notas de P e I",IF(K17="","Escolha a resposta",IF(L17="",IF(K17="Aceitar","Justifique a decisão de aceitar","Escreva a ação"),IF(AND(K17&lt;&gt;"Aceitar",OR(M17="",N17="")),"Falta responsável ou prazo",IF(R17="","Avalie o risco residual",IF(R17&gt;I17,"Residual maior que o inicial","Completo"))))))))</f>
        <v/>
      </c>
      <c r="V17" s="28" t="str">
        <f aca="false">IF(I17="","",IF(AND(OR(J17="Alto",J17="Crítico"),K17="Aceitar"),"Risco alto aceito: peça a decisão da direção",IF(OR(S17="Alto",S17="Crítico"),"Residual ainda alto: reforce a resposta",IF(OR(H17=5,Q17=5),"Impacto 5: tenha plano de contingência",""))))</f>
        <v/>
      </c>
    </row>
    <row r="18" customFormat="false" ht="39" hidden="false" customHeight="true" outlineLevel="0" collapsed="false">
      <c r="B18" s="23" t="n">
        <v>8</v>
      </c>
      <c r="C18" s="5"/>
      <c r="D18" s="5"/>
      <c r="E18" s="5"/>
      <c r="F18" s="5"/>
      <c r="G18" s="24"/>
      <c r="H18" s="24"/>
      <c r="I18" s="25" t="str">
        <f aca="false">IF(OR(G18="",H18=""),"",G18*H18)</f>
        <v/>
      </c>
      <c r="J18" s="26" t="str">
        <f aca="false">IF(I18="","",IF(I18&gt;=20,"Crítico",IF(I18&gt;=10,"Alto",IF(I18&gt;=5,"Médio","Baixo"))))</f>
        <v/>
      </c>
      <c r="K18" s="24"/>
      <c r="L18" s="5"/>
      <c r="M18" s="5"/>
      <c r="N18" s="27"/>
      <c r="O18" s="24"/>
      <c r="P18" s="24"/>
      <c r="Q18" s="24"/>
      <c r="R18" s="25" t="str">
        <f aca="false">IF(OR(P18="",Q18=""),"",P18*Q18)</f>
        <v/>
      </c>
      <c r="S18" s="26" t="str">
        <f aca="false">IF(R18="","",IF(R18&gt;=20,"Crítico",IF(R18&gt;=10,"Alto",IF(R18&gt;=5,"Médio","Baixo"))))</f>
        <v/>
      </c>
      <c r="T18" s="28" t="str">
        <f aca="true">IF(OR(E18="",K18=""),"",IF(K18="Aceitar","Aceito",IF(O18="Concluída","Concluída",IF(N18="","Sem prazo",IF(N18&lt;TODAY(),"Atrasada","No prazo")))))</f>
        <v/>
      </c>
      <c r="U18" s="28" t="str">
        <f aca="false">IF(E18="","",IF(OR(D18="",F18=""),"Descreva a causa e a consequência",IF(I18="","Faltam as notas de P e I",IF(K18="","Escolha a resposta",IF(L18="",IF(K18="Aceitar","Justifique a decisão de aceitar","Escreva a ação"),IF(AND(K18&lt;&gt;"Aceitar",OR(M18="",N18="")),"Falta responsável ou prazo",IF(R18="","Avalie o risco residual",IF(R18&gt;I18,"Residual maior que o inicial","Completo"))))))))</f>
        <v/>
      </c>
      <c r="V18" s="28" t="str">
        <f aca="false">IF(I18="","",IF(AND(OR(J18="Alto",J18="Crítico"),K18="Aceitar"),"Risco alto aceito: peça a decisão da direção",IF(OR(S18="Alto",S18="Crítico"),"Residual ainda alto: reforce a resposta",IF(OR(H18=5,Q18=5),"Impacto 5: tenha plano de contingência",""))))</f>
        <v/>
      </c>
    </row>
    <row r="19" customFormat="false" ht="39" hidden="false" customHeight="true" outlineLevel="0" collapsed="false">
      <c r="B19" s="23" t="n">
        <v>9</v>
      </c>
      <c r="C19" s="5"/>
      <c r="D19" s="5"/>
      <c r="E19" s="5"/>
      <c r="F19" s="5"/>
      <c r="G19" s="24"/>
      <c r="H19" s="24"/>
      <c r="I19" s="25" t="str">
        <f aca="false">IF(OR(G19="",H19=""),"",G19*H19)</f>
        <v/>
      </c>
      <c r="J19" s="26" t="str">
        <f aca="false">IF(I19="","",IF(I19&gt;=20,"Crítico",IF(I19&gt;=10,"Alto",IF(I19&gt;=5,"Médio","Baixo"))))</f>
        <v/>
      </c>
      <c r="K19" s="24"/>
      <c r="L19" s="5"/>
      <c r="M19" s="5"/>
      <c r="N19" s="27"/>
      <c r="O19" s="24"/>
      <c r="P19" s="24"/>
      <c r="Q19" s="24"/>
      <c r="R19" s="25" t="str">
        <f aca="false">IF(OR(P19="",Q19=""),"",P19*Q19)</f>
        <v/>
      </c>
      <c r="S19" s="26" t="str">
        <f aca="false">IF(R19="","",IF(R19&gt;=20,"Crítico",IF(R19&gt;=10,"Alto",IF(R19&gt;=5,"Médio","Baixo"))))</f>
        <v/>
      </c>
      <c r="T19" s="28" t="str">
        <f aca="true">IF(OR(E19="",K19=""),"",IF(K19="Aceitar","Aceito",IF(O19="Concluída","Concluída",IF(N19="","Sem prazo",IF(N19&lt;TODAY(),"Atrasada","No prazo")))))</f>
        <v/>
      </c>
      <c r="U19" s="28" t="str">
        <f aca="false">IF(E19="","",IF(OR(D19="",F19=""),"Descreva a causa e a consequência",IF(I19="","Faltam as notas de P e I",IF(K19="","Escolha a resposta",IF(L19="",IF(K19="Aceitar","Justifique a decisão de aceitar","Escreva a ação"),IF(AND(K19&lt;&gt;"Aceitar",OR(M19="",N19="")),"Falta responsável ou prazo",IF(R19="","Avalie o risco residual",IF(R19&gt;I19,"Residual maior que o inicial","Completo"))))))))</f>
        <v/>
      </c>
      <c r="V19" s="28" t="str">
        <f aca="false">IF(I19="","",IF(AND(OR(J19="Alto",J19="Crítico"),K19="Aceitar"),"Risco alto aceito: peça a decisão da direção",IF(OR(S19="Alto",S19="Crítico"),"Residual ainda alto: reforce a resposta",IF(OR(H19=5,Q19=5),"Impacto 5: tenha plano de contingência",""))))</f>
        <v/>
      </c>
    </row>
    <row r="20" customFormat="false" ht="39" hidden="false" customHeight="true" outlineLevel="0" collapsed="false">
      <c r="B20" s="23" t="n">
        <v>10</v>
      </c>
      <c r="C20" s="5"/>
      <c r="D20" s="5"/>
      <c r="E20" s="5"/>
      <c r="F20" s="5"/>
      <c r="G20" s="24"/>
      <c r="H20" s="24"/>
      <c r="I20" s="25" t="str">
        <f aca="false">IF(OR(G20="",H20=""),"",G20*H20)</f>
        <v/>
      </c>
      <c r="J20" s="26" t="str">
        <f aca="false">IF(I20="","",IF(I20&gt;=20,"Crítico",IF(I20&gt;=10,"Alto",IF(I20&gt;=5,"Médio","Baixo"))))</f>
        <v/>
      </c>
      <c r="K20" s="24"/>
      <c r="L20" s="5"/>
      <c r="M20" s="5"/>
      <c r="N20" s="27"/>
      <c r="O20" s="24"/>
      <c r="P20" s="24"/>
      <c r="Q20" s="24"/>
      <c r="R20" s="25" t="str">
        <f aca="false">IF(OR(P20="",Q20=""),"",P20*Q20)</f>
        <v/>
      </c>
      <c r="S20" s="26" t="str">
        <f aca="false">IF(R20="","",IF(R20&gt;=20,"Crítico",IF(R20&gt;=10,"Alto",IF(R20&gt;=5,"Médio","Baixo"))))</f>
        <v/>
      </c>
      <c r="T20" s="28" t="str">
        <f aca="true">IF(OR(E20="",K20=""),"",IF(K20="Aceitar","Aceito",IF(O20="Concluída","Concluída",IF(N20="","Sem prazo",IF(N20&lt;TODAY(),"Atrasada","No prazo")))))</f>
        <v/>
      </c>
      <c r="U20" s="28" t="str">
        <f aca="false">IF(E20="","",IF(OR(D20="",F20=""),"Descreva a causa e a consequência",IF(I20="","Faltam as notas de P e I",IF(K20="","Escolha a resposta",IF(L20="",IF(K20="Aceitar","Justifique a decisão de aceitar","Escreva a ação"),IF(AND(K20&lt;&gt;"Aceitar",OR(M20="",N20="")),"Falta responsável ou prazo",IF(R20="","Avalie o risco residual",IF(R20&gt;I20,"Residual maior que o inicial","Completo"))))))))</f>
        <v/>
      </c>
      <c r="V20" s="28" t="str">
        <f aca="false">IF(I20="","",IF(AND(OR(J20="Alto",J20="Crítico"),K20="Aceitar"),"Risco alto aceito: peça a decisão da direção",IF(OR(S20="Alto",S20="Crítico"),"Residual ainda alto: reforce a resposta",IF(OR(H20=5,Q20=5),"Impacto 5: tenha plano de contingência",""))))</f>
        <v/>
      </c>
    </row>
    <row r="21" customFormat="false" ht="39" hidden="false" customHeight="true" outlineLevel="0" collapsed="false">
      <c r="B21" s="23" t="n">
        <v>11</v>
      </c>
      <c r="C21" s="5"/>
      <c r="D21" s="5"/>
      <c r="E21" s="5"/>
      <c r="F21" s="5"/>
      <c r="G21" s="24"/>
      <c r="H21" s="24"/>
      <c r="I21" s="25" t="str">
        <f aca="false">IF(OR(G21="",H21=""),"",G21*H21)</f>
        <v/>
      </c>
      <c r="J21" s="26" t="str">
        <f aca="false">IF(I21="","",IF(I21&gt;=20,"Crítico",IF(I21&gt;=10,"Alto",IF(I21&gt;=5,"Médio","Baixo"))))</f>
        <v/>
      </c>
      <c r="K21" s="24"/>
      <c r="L21" s="5"/>
      <c r="M21" s="5"/>
      <c r="N21" s="27"/>
      <c r="O21" s="24"/>
      <c r="P21" s="24"/>
      <c r="Q21" s="24"/>
      <c r="R21" s="25" t="str">
        <f aca="false">IF(OR(P21="",Q21=""),"",P21*Q21)</f>
        <v/>
      </c>
      <c r="S21" s="26" t="str">
        <f aca="false">IF(R21="","",IF(R21&gt;=20,"Crítico",IF(R21&gt;=10,"Alto",IF(R21&gt;=5,"Médio","Baixo"))))</f>
        <v/>
      </c>
      <c r="T21" s="28" t="str">
        <f aca="true">IF(OR(E21="",K21=""),"",IF(K21="Aceitar","Aceito",IF(O21="Concluída","Concluída",IF(N21="","Sem prazo",IF(N21&lt;TODAY(),"Atrasada","No prazo")))))</f>
        <v/>
      </c>
      <c r="U21" s="28" t="str">
        <f aca="false">IF(E21="","",IF(OR(D21="",F21=""),"Descreva a causa e a consequência",IF(I21="","Faltam as notas de P e I",IF(K21="","Escolha a resposta",IF(L21="",IF(K21="Aceitar","Justifique a decisão de aceitar","Escreva a ação"),IF(AND(K21&lt;&gt;"Aceitar",OR(M21="",N21="")),"Falta responsável ou prazo",IF(R21="","Avalie o risco residual",IF(R21&gt;I21,"Residual maior que o inicial","Completo"))))))))</f>
        <v/>
      </c>
      <c r="V21" s="28" t="str">
        <f aca="false">IF(I21="","",IF(AND(OR(J21="Alto",J21="Crítico"),K21="Aceitar"),"Risco alto aceito: peça a decisão da direção",IF(OR(S21="Alto",S21="Crítico"),"Residual ainda alto: reforce a resposta",IF(OR(H21=5,Q21=5),"Impacto 5: tenha plano de contingência",""))))</f>
        <v/>
      </c>
    </row>
    <row r="22" customFormat="false" ht="39" hidden="false" customHeight="true" outlineLevel="0" collapsed="false">
      <c r="B22" s="23" t="n">
        <v>12</v>
      </c>
      <c r="C22" s="5"/>
      <c r="D22" s="5"/>
      <c r="E22" s="5"/>
      <c r="F22" s="5"/>
      <c r="G22" s="24"/>
      <c r="H22" s="24"/>
      <c r="I22" s="25" t="str">
        <f aca="false">IF(OR(G22="",H22=""),"",G22*H22)</f>
        <v/>
      </c>
      <c r="J22" s="26" t="str">
        <f aca="false">IF(I22="","",IF(I22&gt;=20,"Crítico",IF(I22&gt;=10,"Alto",IF(I22&gt;=5,"Médio","Baixo"))))</f>
        <v/>
      </c>
      <c r="K22" s="24"/>
      <c r="L22" s="5"/>
      <c r="M22" s="5"/>
      <c r="N22" s="27"/>
      <c r="O22" s="24"/>
      <c r="P22" s="24"/>
      <c r="Q22" s="24"/>
      <c r="R22" s="25" t="str">
        <f aca="false">IF(OR(P22="",Q22=""),"",P22*Q22)</f>
        <v/>
      </c>
      <c r="S22" s="26" t="str">
        <f aca="false">IF(R22="","",IF(R22&gt;=20,"Crítico",IF(R22&gt;=10,"Alto",IF(R22&gt;=5,"Médio","Baixo"))))</f>
        <v/>
      </c>
      <c r="T22" s="28" t="str">
        <f aca="true">IF(OR(E22="",K22=""),"",IF(K22="Aceitar","Aceito",IF(O22="Concluída","Concluída",IF(N22="","Sem prazo",IF(N22&lt;TODAY(),"Atrasada","No prazo")))))</f>
        <v/>
      </c>
      <c r="U22" s="28" t="str">
        <f aca="false">IF(E22="","",IF(OR(D22="",F22=""),"Descreva a causa e a consequência",IF(I22="","Faltam as notas de P e I",IF(K22="","Escolha a resposta",IF(L22="",IF(K22="Aceitar","Justifique a decisão de aceitar","Escreva a ação"),IF(AND(K22&lt;&gt;"Aceitar",OR(M22="",N22="")),"Falta responsável ou prazo",IF(R22="","Avalie o risco residual",IF(R22&gt;I22,"Residual maior que o inicial","Completo"))))))))</f>
        <v/>
      </c>
      <c r="V22" s="28" t="str">
        <f aca="false">IF(I22="","",IF(AND(OR(J22="Alto",J22="Crítico"),K22="Aceitar"),"Risco alto aceito: peça a decisão da direção",IF(OR(S22="Alto",S22="Crítico"),"Residual ainda alto: reforce a resposta",IF(OR(H22=5,Q22=5),"Impacto 5: tenha plano de contingência",""))))</f>
        <v/>
      </c>
    </row>
    <row r="23" customFormat="false" ht="39" hidden="false" customHeight="true" outlineLevel="0" collapsed="false">
      <c r="B23" s="23" t="n">
        <v>13</v>
      </c>
      <c r="C23" s="5"/>
      <c r="D23" s="5"/>
      <c r="E23" s="5"/>
      <c r="F23" s="5"/>
      <c r="G23" s="24"/>
      <c r="H23" s="24"/>
      <c r="I23" s="25" t="str">
        <f aca="false">IF(OR(G23="",H23=""),"",G23*H23)</f>
        <v/>
      </c>
      <c r="J23" s="26" t="str">
        <f aca="false">IF(I23="","",IF(I23&gt;=20,"Crítico",IF(I23&gt;=10,"Alto",IF(I23&gt;=5,"Médio","Baixo"))))</f>
        <v/>
      </c>
      <c r="K23" s="24"/>
      <c r="L23" s="5"/>
      <c r="M23" s="5"/>
      <c r="N23" s="27"/>
      <c r="O23" s="24"/>
      <c r="P23" s="24"/>
      <c r="Q23" s="24"/>
      <c r="R23" s="25" t="str">
        <f aca="false">IF(OR(P23="",Q23=""),"",P23*Q23)</f>
        <v/>
      </c>
      <c r="S23" s="26" t="str">
        <f aca="false">IF(R23="","",IF(R23&gt;=20,"Crítico",IF(R23&gt;=10,"Alto",IF(R23&gt;=5,"Médio","Baixo"))))</f>
        <v/>
      </c>
      <c r="T23" s="28" t="str">
        <f aca="true">IF(OR(E23="",K23=""),"",IF(K23="Aceitar","Aceito",IF(O23="Concluída","Concluída",IF(N23="","Sem prazo",IF(N23&lt;TODAY(),"Atrasada","No prazo")))))</f>
        <v/>
      </c>
      <c r="U23" s="28" t="str">
        <f aca="false">IF(E23="","",IF(OR(D23="",F23=""),"Descreva a causa e a consequência",IF(I23="","Faltam as notas de P e I",IF(K23="","Escolha a resposta",IF(L23="",IF(K23="Aceitar","Justifique a decisão de aceitar","Escreva a ação"),IF(AND(K23&lt;&gt;"Aceitar",OR(M23="",N23="")),"Falta responsável ou prazo",IF(R23="","Avalie o risco residual",IF(R23&gt;I23,"Residual maior que o inicial","Completo"))))))))</f>
        <v/>
      </c>
      <c r="V23" s="28" t="str">
        <f aca="false">IF(I23="","",IF(AND(OR(J23="Alto",J23="Crítico"),K23="Aceitar"),"Risco alto aceito: peça a decisão da direção",IF(OR(S23="Alto",S23="Crítico"),"Residual ainda alto: reforce a resposta",IF(OR(H23=5,Q23=5),"Impacto 5: tenha plano de contingência",""))))</f>
        <v/>
      </c>
    </row>
    <row r="24" customFormat="false" ht="39" hidden="false" customHeight="true" outlineLevel="0" collapsed="false">
      <c r="B24" s="23" t="n">
        <v>14</v>
      </c>
      <c r="C24" s="5"/>
      <c r="D24" s="5"/>
      <c r="E24" s="5"/>
      <c r="F24" s="5"/>
      <c r="G24" s="24"/>
      <c r="H24" s="24"/>
      <c r="I24" s="25" t="str">
        <f aca="false">IF(OR(G24="",H24=""),"",G24*H24)</f>
        <v/>
      </c>
      <c r="J24" s="26" t="str">
        <f aca="false">IF(I24="","",IF(I24&gt;=20,"Crítico",IF(I24&gt;=10,"Alto",IF(I24&gt;=5,"Médio","Baixo"))))</f>
        <v/>
      </c>
      <c r="K24" s="24"/>
      <c r="L24" s="5"/>
      <c r="M24" s="5"/>
      <c r="N24" s="27"/>
      <c r="O24" s="24"/>
      <c r="P24" s="24"/>
      <c r="Q24" s="24"/>
      <c r="R24" s="25" t="str">
        <f aca="false">IF(OR(P24="",Q24=""),"",P24*Q24)</f>
        <v/>
      </c>
      <c r="S24" s="26" t="str">
        <f aca="false">IF(R24="","",IF(R24&gt;=20,"Crítico",IF(R24&gt;=10,"Alto",IF(R24&gt;=5,"Médio","Baixo"))))</f>
        <v/>
      </c>
      <c r="T24" s="28" t="str">
        <f aca="true">IF(OR(E24="",K24=""),"",IF(K24="Aceitar","Aceito",IF(O24="Concluída","Concluída",IF(N24="","Sem prazo",IF(N24&lt;TODAY(),"Atrasada","No prazo")))))</f>
        <v/>
      </c>
      <c r="U24" s="28" t="str">
        <f aca="false">IF(E24="","",IF(OR(D24="",F24=""),"Descreva a causa e a consequência",IF(I24="","Faltam as notas de P e I",IF(K24="","Escolha a resposta",IF(L24="",IF(K24="Aceitar","Justifique a decisão de aceitar","Escreva a ação"),IF(AND(K24&lt;&gt;"Aceitar",OR(M24="",N24="")),"Falta responsável ou prazo",IF(R24="","Avalie o risco residual",IF(R24&gt;I24,"Residual maior que o inicial","Completo"))))))))</f>
        <v/>
      </c>
      <c r="V24" s="28" t="str">
        <f aca="false">IF(I24="","",IF(AND(OR(J24="Alto",J24="Crítico"),K24="Aceitar"),"Risco alto aceito: peça a decisão da direção",IF(OR(S24="Alto",S24="Crítico"),"Residual ainda alto: reforce a resposta",IF(OR(H24=5,Q24=5),"Impacto 5: tenha plano de contingência",""))))</f>
        <v/>
      </c>
    </row>
    <row r="25" customFormat="false" ht="39" hidden="false" customHeight="true" outlineLevel="0" collapsed="false">
      <c r="B25" s="23" t="n">
        <v>15</v>
      </c>
      <c r="C25" s="5"/>
      <c r="D25" s="5"/>
      <c r="E25" s="5"/>
      <c r="F25" s="5"/>
      <c r="G25" s="24"/>
      <c r="H25" s="24"/>
      <c r="I25" s="25" t="str">
        <f aca="false">IF(OR(G25="",H25=""),"",G25*H25)</f>
        <v/>
      </c>
      <c r="J25" s="26" t="str">
        <f aca="false">IF(I25="","",IF(I25&gt;=20,"Crítico",IF(I25&gt;=10,"Alto",IF(I25&gt;=5,"Médio","Baixo"))))</f>
        <v/>
      </c>
      <c r="K25" s="24"/>
      <c r="L25" s="5"/>
      <c r="M25" s="5"/>
      <c r="N25" s="27"/>
      <c r="O25" s="24"/>
      <c r="P25" s="24"/>
      <c r="Q25" s="24"/>
      <c r="R25" s="25" t="str">
        <f aca="false">IF(OR(P25="",Q25=""),"",P25*Q25)</f>
        <v/>
      </c>
      <c r="S25" s="26" t="str">
        <f aca="false">IF(R25="","",IF(R25&gt;=20,"Crítico",IF(R25&gt;=10,"Alto",IF(R25&gt;=5,"Médio","Baixo"))))</f>
        <v/>
      </c>
      <c r="T25" s="28" t="str">
        <f aca="true">IF(OR(E25="",K25=""),"",IF(K25="Aceitar","Aceito",IF(O25="Concluída","Concluída",IF(N25="","Sem prazo",IF(N25&lt;TODAY(),"Atrasada","No prazo")))))</f>
        <v/>
      </c>
      <c r="U25" s="28" t="str">
        <f aca="false">IF(E25="","",IF(OR(D25="",F25=""),"Descreva a causa e a consequência",IF(I25="","Faltam as notas de P e I",IF(K25="","Escolha a resposta",IF(L25="",IF(K25="Aceitar","Justifique a decisão de aceitar","Escreva a ação"),IF(AND(K25&lt;&gt;"Aceitar",OR(M25="",N25="")),"Falta responsável ou prazo",IF(R25="","Avalie o risco residual",IF(R25&gt;I25,"Residual maior que o inicial","Completo"))))))))</f>
        <v/>
      </c>
      <c r="V25" s="28" t="str">
        <f aca="false">IF(I25="","",IF(AND(OR(J25="Alto",J25="Crítico"),K25="Aceitar"),"Risco alto aceito: peça a decisão da direção",IF(OR(S25="Alto",S25="Crítico"),"Residual ainda alto: reforce a resposta",IF(OR(H25=5,Q25=5),"Impacto 5: tenha plano de contingência",""))))</f>
        <v/>
      </c>
    </row>
    <row r="26" customFormat="false" ht="39" hidden="false" customHeight="true" outlineLevel="0" collapsed="false">
      <c r="B26" s="23" t="n">
        <v>16</v>
      </c>
      <c r="C26" s="5"/>
      <c r="D26" s="5"/>
      <c r="E26" s="5"/>
      <c r="F26" s="5"/>
      <c r="G26" s="24"/>
      <c r="H26" s="24"/>
      <c r="I26" s="25" t="str">
        <f aca="false">IF(OR(G26="",H26=""),"",G26*H26)</f>
        <v/>
      </c>
      <c r="J26" s="26" t="str">
        <f aca="false">IF(I26="","",IF(I26&gt;=20,"Crítico",IF(I26&gt;=10,"Alto",IF(I26&gt;=5,"Médio","Baixo"))))</f>
        <v/>
      </c>
      <c r="K26" s="24"/>
      <c r="L26" s="5"/>
      <c r="M26" s="5"/>
      <c r="N26" s="27"/>
      <c r="O26" s="24"/>
      <c r="P26" s="24"/>
      <c r="Q26" s="24"/>
      <c r="R26" s="25" t="str">
        <f aca="false">IF(OR(P26="",Q26=""),"",P26*Q26)</f>
        <v/>
      </c>
      <c r="S26" s="26" t="str">
        <f aca="false">IF(R26="","",IF(R26&gt;=20,"Crítico",IF(R26&gt;=10,"Alto",IF(R26&gt;=5,"Médio","Baixo"))))</f>
        <v/>
      </c>
      <c r="T26" s="28" t="str">
        <f aca="true">IF(OR(E26="",K26=""),"",IF(K26="Aceitar","Aceito",IF(O26="Concluída","Concluída",IF(N26="","Sem prazo",IF(N26&lt;TODAY(),"Atrasada","No prazo")))))</f>
        <v/>
      </c>
      <c r="U26" s="28" t="str">
        <f aca="false">IF(E26="","",IF(OR(D26="",F26=""),"Descreva a causa e a consequência",IF(I26="","Faltam as notas de P e I",IF(K26="","Escolha a resposta",IF(L26="",IF(K26="Aceitar","Justifique a decisão de aceitar","Escreva a ação"),IF(AND(K26&lt;&gt;"Aceitar",OR(M26="",N26="")),"Falta responsável ou prazo",IF(R26="","Avalie o risco residual",IF(R26&gt;I26,"Residual maior que o inicial","Completo"))))))))</f>
        <v/>
      </c>
      <c r="V26" s="28" t="str">
        <f aca="false">IF(I26="","",IF(AND(OR(J26="Alto",J26="Crítico"),K26="Aceitar"),"Risco alto aceito: peça a decisão da direção",IF(OR(S26="Alto",S26="Crítico"),"Residual ainda alto: reforce a resposta",IF(OR(H26=5,Q26=5),"Impacto 5: tenha plano de contingência",""))))</f>
        <v/>
      </c>
    </row>
    <row r="27" customFormat="false" ht="39" hidden="false" customHeight="true" outlineLevel="0" collapsed="false">
      <c r="B27" s="23" t="n">
        <v>17</v>
      </c>
      <c r="C27" s="5"/>
      <c r="D27" s="5"/>
      <c r="E27" s="5"/>
      <c r="F27" s="5"/>
      <c r="G27" s="24"/>
      <c r="H27" s="24"/>
      <c r="I27" s="25" t="str">
        <f aca="false">IF(OR(G27="",H27=""),"",G27*H27)</f>
        <v/>
      </c>
      <c r="J27" s="26" t="str">
        <f aca="false">IF(I27="","",IF(I27&gt;=20,"Crítico",IF(I27&gt;=10,"Alto",IF(I27&gt;=5,"Médio","Baixo"))))</f>
        <v/>
      </c>
      <c r="K27" s="24"/>
      <c r="L27" s="5"/>
      <c r="M27" s="5"/>
      <c r="N27" s="27"/>
      <c r="O27" s="24"/>
      <c r="P27" s="24"/>
      <c r="Q27" s="24"/>
      <c r="R27" s="25" t="str">
        <f aca="false">IF(OR(P27="",Q27=""),"",P27*Q27)</f>
        <v/>
      </c>
      <c r="S27" s="26" t="str">
        <f aca="false">IF(R27="","",IF(R27&gt;=20,"Crítico",IF(R27&gt;=10,"Alto",IF(R27&gt;=5,"Médio","Baixo"))))</f>
        <v/>
      </c>
      <c r="T27" s="28" t="str">
        <f aca="true">IF(OR(E27="",K27=""),"",IF(K27="Aceitar","Aceito",IF(O27="Concluída","Concluída",IF(N27="","Sem prazo",IF(N27&lt;TODAY(),"Atrasada","No prazo")))))</f>
        <v/>
      </c>
      <c r="U27" s="28" t="str">
        <f aca="false">IF(E27="","",IF(OR(D27="",F27=""),"Descreva a causa e a consequência",IF(I27="","Faltam as notas de P e I",IF(K27="","Escolha a resposta",IF(L27="",IF(K27="Aceitar","Justifique a decisão de aceitar","Escreva a ação"),IF(AND(K27&lt;&gt;"Aceitar",OR(M27="",N27="")),"Falta responsável ou prazo",IF(R27="","Avalie o risco residual",IF(R27&gt;I27,"Residual maior que o inicial","Completo"))))))))</f>
        <v/>
      </c>
      <c r="V27" s="28" t="str">
        <f aca="false">IF(I27="","",IF(AND(OR(J27="Alto",J27="Crítico"),K27="Aceitar"),"Risco alto aceito: peça a decisão da direção",IF(OR(S27="Alto",S27="Crítico"),"Residual ainda alto: reforce a resposta",IF(OR(H27=5,Q27=5),"Impacto 5: tenha plano de contingência",""))))</f>
        <v/>
      </c>
    </row>
    <row r="28" customFormat="false" ht="39" hidden="false" customHeight="true" outlineLevel="0" collapsed="false">
      <c r="B28" s="23" t="n">
        <v>18</v>
      </c>
      <c r="C28" s="5"/>
      <c r="D28" s="5"/>
      <c r="E28" s="5"/>
      <c r="F28" s="5"/>
      <c r="G28" s="24"/>
      <c r="H28" s="24"/>
      <c r="I28" s="25" t="str">
        <f aca="false">IF(OR(G28="",H28=""),"",G28*H28)</f>
        <v/>
      </c>
      <c r="J28" s="26" t="str">
        <f aca="false">IF(I28="","",IF(I28&gt;=20,"Crítico",IF(I28&gt;=10,"Alto",IF(I28&gt;=5,"Médio","Baixo"))))</f>
        <v/>
      </c>
      <c r="K28" s="24"/>
      <c r="L28" s="5"/>
      <c r="M28" s="5"/>
      <c r="N28" s="27"/>
      <c r="O28" s="24"/>
      <c r="P28" s="24"/>
      <c r="Q28" s="24"/>
      <c r="R28" s="25" t="str">
        <f aca="false">IF(OR(P28="",Q28=""),"",P28*Q28)</f>
        <v/>
      </c>
      <c r="S28" s="26" t="str">
        <f aca="false">IF(R28="","",IF(R28&gt;=20,"Crítico",IF(R28&gt;=10,"Alto",IF(R28&gt;=5,"Médio","Baixo"))))</f>
        <v/>
      </c>
      <c r="T28" s="28" t="str">
        <f aca="true">IF(OR(E28="",K28=""),"",IF(K28="Aceitar","Aceito",IF(O28="Concluída","Concluída",IF(N28="","Sem prazo",IF(N28&lt;TODAY(),"Atrasada","No prazo")))))</f>
        <v/>
      </c>
      <c r="U28" s="28" t="str">
        <f aca="false">IF(E28="","",IF(OR(D28="",F28=""),"Descreva a causa e a consequência",IF(I28="","Faltam as notas de P e I",IF(K28="","Escolha a resposta",IF(L28="",IF(K28="Aceitar","Justifique a decisão de aceitar","Escreva a ação"),IF(AND(K28&lt;&gt;"Aceitar",OR(M28="",N28="")),"Falta responsável ou prazo",IF(R28="","Avalie o risco residual",IF(R28&gt;I28,"Residual maior que o inicial","Completo"))))))))</f>
        <v/>
      </c>
      <c r="V28" s="28" t="str">
        <f aca="false">IF(I28="","",IF(AND(OR(J28="Alto",J28="Crítico"),K28="Aceitar"),"Risco alto aceito: peça a decisão da direção",IF(OR(S28="Alto",S28="Crítico"),"Residual ainda alto: reforce a resposta",IF(OR(H28=5,Q28=5),"Impacto 5: tenha plano de contingência",""))))</f>
        <v/>
      </c>
    </row>
    <row r="29" customFormat="false" ht="39" hidden="false" customHeight="true" outlineLevel="0" collapsed="false">
      <c r="B29" s="23" t="n">
        <v>19</v>
      </c>
      <c r="C29" s="5"/>
      <c r="D29" s="5"/>
      <c r="E29" s="5"/>
      <c r="F29" s="5"/>
      <c r="G29" s="24"/>
      <c r="H29" s="24"/>
      <c r="I29" s="25" t="str">
        <f aca="false">IF(OR(G29="",H29=""),"",G29*H29)</f>
        <v/>
      </c>
      <c r="J29" s="26" t="str">
        <f aca="false">IF(I29="","",IF(I29&gt;=20,"Crítico",IF(I29&gt;=10,"Alto",IF(I29&gt;=5,"Médio","Baixo"))))</f>
        <v/>
      </c>
      <c r="K29" s="24"/>
      <c r="L29" s="5"/>
      <c r="M29" s="5"/>
      <c r="N29" s="27"/>
      <c r="O29" s="24"/>
      <c r="P29" s="24"/>
      <c r="Q29" s="24"/>
      <c r="R29" s="25" t="str">
        <f aca="false">IF(OR(P29="",Q29=""),"",P29*Q29)</f>
        <v/>
      </c>
      <c r="S29" s="26" t="str">
        <f aca="false">IF(R29="","",IF(R29&gt;=20,"Crítico",IF(R29&gt;=10,"Alto",IF(R29&gt;=5,"Médio","Baixo"))))</f>
        <v/>
      </c>
      <c r="T29" s="28" t="str">
        <f aca="true">IF(OR(E29="",K29=""),"",IF(K29="Aceitar","Aceito",IF(O29="Concluída","Concluída",IF(N29="","Sem prazo",IF(N29&lt;TODAY(),"Atrasada","No prazo")))))</f>
        <v/>
      </c>
      <c r="U29" s="28" t="str">
        <f aca="false">IF(E29="","",IF(OR(D29="",F29=""),"Descreva a causa e a consequência",IF(I29="","Faltam as notas de P e I",IF(K29="","Escolha a resposta",IF(L29="",IF(K29="Aceitar","Justifique a decisão de aceitar","Escreva a ação"),IF(AND(K29&lt;&gt;"Aceitar",OR(M29="",N29="")),"Falta responsável ou prazo",IF(R29="","Avalie o risco residual",IF(R29&gt;I29,"Residual maior que o inicial","Completo"))))))))</f>
        <v/>
      </c>
      <c r="V29" s="28" t="str">
        <f aca="false">IF(I29="","",IF(AND(OR(J29="Alto",J29="Crítico"),K29="Aceitar"),"Risco alto aceito: peça a decisão da direção",IF(OR(S29="Alto",S29="Crítico"),"Residual ainda alto: reforce a resposta",IF(OR(H29=5,Q29=5),"Impacto 5: tenha plano de contingência",""))))</f>
        <v/>
      </c>
    </row>
    <row r="30" customFormat="false" ht="39" hidden="false" customHeight="true" outlineLevel="0" collapsed="false">
      <c r="B30" s="23" t="n">
        <v>20</v>
      </c>
      <c r="C30" s="5"/>
      <c r="D30" s="5"/>
      <c r="E30" s="5"/>
      <c r="F30" s="5"/>
      <c r="G30" s="24"/>
      <c r="H30" s="24"/>
      <c r="I30" s="25" t="str">
        <f aca="false">IF(OR(G30="",H30=""),"",G30*H30)</f>
        <v/>
      </c>
      <c r="J30" s="26" t="str">
        <f aca="false">IF(I30="","",IF(I30&gt;=20,"Crítico",IF(I30&gt;=10,"Alto",IF(I30&gt;=5,"Médio","Baixo"))))</f>
        <v/>
      </c>
      <c r="K30" s="24"/>
      <c r="L30" s="5"/>
      <c r="M30" s="5"/>
      <c r="N30" s="27"/>
      <c r="O30" s="24"/>
      <c r="P30" s="24"/>
      <c r="Q30" s="24"/>
      <c r="R30" s="25" t="str">
        <f aca="false">IF(OR(P30="",Q30=""),"",P30*Q30)</f>
        <v/>
      </c>
      <c r="S30" s="26" t="str">
        <f aca="false">IF(R30="","",IF(R30&gt;=20,"Crítico",IF(R30&gt;=10,"Alto",IF(R30&gt;=5,"Médio","Baixo"))))</f>
        <v/>
      </c>
      <c r="T30" s="28" t="str">
        <f aca="true">IF(OR(E30="",K30=""),"",IF(K30="Aceitar","Aceito",IF(O30="Concluída","Concluída",IF(N30="","Sem prazo",IF(N30&lt;TODAY(),"Atrasada","No prazo")))))</f>
        <v/>
      </c>
      <c r="U30" s="28" t="str">
        <f aca="false">IF(E30="","",IF(OR(D30="",F30=""),"Descreva a causa e a consequência",IF(I30="","Faltam as notas de P e I",IF(K30="","Escolha a resposta",IF(L30="",IF(K30="Aceitar","Justifique a decisão de aceitar","Escreva a ação"),IF(AND(K30&lt;&gt;"Aceitar",OR(M30="",N30="")),"Falta responsável ou prazo",IF(R30="","Avalie o risco residual",IF(R30&gt;I30,"Residual maior que o inicial","Completo"))))))))</f>
        <v/>
      </c>
      <c r="V30" s="28" t="str">
        <f aca="false">IF(I30="","",IF(AND(OR(J30="Alto",J30="Crítico"),K30="Aceitar"),"Risco alto aceito: peça a decisão da direção",IF(OR(S30="Alto",S30="Crítico"),"Residual ainda alto: reforce a resposta",IF(OR(H30=5,Q30=5),"Impacto 5: tenha plano de contingência",""))))</f>
        <v/>
      </c>
    </row>
    <row r="32" customFormat="false" ht="21.75" hidden="false" customHeight="true" outlineLevel="0" collapsed="false">
      <c r="B32" s="17" t="s">
        <v>119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customFormat="false" ht="21.75" hidden="false" customHeight="true" outlineLevel="0" collapsed="false">
      <c r="B33" s="29" t="s">
        <v>120</v>
      </c>
      <c r="C33" s="29"/>
      <c r="D33" s="29"/>
      <c r="E33" s="29"/>
      <c r="F33" s="29"/>
      <c r="G33" s="30" t="n">
        <f aca="false">COUNTA(E11:E30)</f>
        <v>0</v>
      </c>
      <c r="H33" s="30"/>
      <c r="I33" s="30"/>
      <c r="J33" s="30"/>
      <c r="K33" s="30"/>
    </row>
    <row r="34" customFormat="false" ht="21.75" hidden="false" customHeight="true" outlineLevel="0" collapsed="false">
      <c r="B34" s="29" t="s">
        <v>121</v>
      </c>
      <c r="C34" s="29"/>
      <c r="D34" s="29"/>
      <c r="E34" s="29"/>
      <c r="F34" s="29"/>
      <c r="G34" s="30" t="n">
        <f aca="false">COUNTIF(U11:U30,"Completo")</f>
        <v>0</v>
      </c>
      <c r="H34" s="30"/>
      <c r="I34" s="30"/>
      <c r="J34" s="30"/>
      <c r="K34" s="30"/>
    </row>
    <row r="35" customFormat="false" ht="21.75" hidden="false" customHeight="true" outlineLevel="0" collapsed="false">
      <c r="B35" s="29" t="s">
        <v>122</v>
      </c>
      <c r="C35" s="29"/>
      <c r="D35" s="29"/>
      <c r="E35" s="29"/>
      <c r="F35" s="29"/>
      <c r="G35" s="30" t="n">
        <f aca="false">COUNTIF(K11:K30,"Aceitar")</f>
        <v>0</v>
      </c>
      <c r="H35" s="30"/>
      <c r="I35" s="30"/>
      <c r="J35" s="30"/>
      <c r="K35" s="30"/>
    </row>
    <row r="36" customFormat="false" ht="21.75" hidden="false" customHeight="true" outlineLevel="0" collapsed="false">
      <c r="B36" s="29" t="s">
        <v>123</v>
      </c>
      <c r="C36" s="29"/>
      <c r="D36" s="29"/>
      <c r="E36" s="29"/>
      <c r="F36" s="29"/>
      <c r="G36" s="30" t="n">
        <f aca="false">COUNTIF(T11:T30,"Atrasada")</f>
        <v>0</v>
      </c>
      <c r="H36" s="30"/>
      <c r="I36" s="30"/>
      <c r="J36" s="30"/>
      <c r="K36" s="30"/>
    </row>
    <row r="37" customFormat="false" ht="21.75" hidden="false" customHeight="true" outlineLevel="0" collapsed="false">
      <c r="B37" s="29" t="s">
        <v>124</v>
      </c>
      <c r="C37" s="29"/>
      <c r="D37" s="29"/>
      <c r="E37" s="29"/>
      <c r="F37" s="29"/>
      <c r="G37" s="30" t="n">
        <f aca="false">SUMPRODUCT(--(LEN(V11:V30)&gt;0))</f>
        <v>0</v>
      </c>
      <c r="H37" s="30"/>
      <c r="I37" s="30"/>
      <c r="J37" s="30"/>
      <c r="K37" s="30"/>
    </row>
    <row r="38" customFormat="false" ht="21.75" hidden="false" customHeight="true" outlineLevel="0" collapsed="false">
      <c r="B38" s="29" t="s">
        <v>125</v>
      </c>
      <c r="C38" s="29"/>
      <c r="D38" s="29"/>
      <c r="E38" s="29"/>
      <c r="F38" s="29"/>
      <c r="G38" s="28" t="str">
        <f aca="false">IF(G33=0,"Registre os riscos",IF(G34&lt;G33,"Há risco com o registro incompleto: veja a coluna Conferência",IF(G36&gt;0,"Há ação atrasada",IF($T$5="","Marque a data da revisão","OK"))))</f>
        <v>Registre os riscos</v>
      </c>
      <c r="H38" s="28"/>
      <c r="I38" s="28"/>
      <c r="J38" s="28"/>
      <c r="K38" s="28"/>
    </row>
  </sheetData>
  <mergeCells count="32">
    <mergeCell ref="B1:V1"/>
    <mergeCell ref="B2:V2"/>
    <mergeCell ref="B4:C4"/>
    <mergeCell ref="D4:F4"/>
    <mergeCell ref="G4:J4"/>
    <mergeCell ref="K4:O4"/>
    <mergeCell ref="P4:S4"/>
    <mergeCell ref="T4:V4"/>
    <mergeCell ref="B5:C5"/>
    <mergeCell ref="D5:F5"/>
    <mergeCell ref="G5:J5"/>
    <mergeCell ref="K5:O5"/>
    <mergeCell ref="P5:S5"/>
    <mergeCell ref="T5:V5"/>
    <mergeCell ref="B7:F7"/>
    <mergeCell ref="G7:J7"/>
    <mergeCell ref="K7:O7"/>
    <mergeCell ref="P7:S7"/>
    <mergeCell ref="T7:V7"/>
    <mergeCell ref="B32:V32"/>
    <mergeCell ref="B33:F33"/>
    <mergeCell ref="G33:K33"/>
    <mergeCell ref="B34:F34"/>
    <mergeCell ref="G34:K34"/>
    <mergeCell ref="B35:F35"/>
    <mergeCell ref="G35:K35"/>
    <mergeCell ref="B36:F36"/>
    <mergeCell ref="G36:K36"/>
    <mergeCell ref="B37:F37"/>
    <mergeCell ref="G37:K37"/>
    <mergeCell ref="B38:F38"/>
    <mergeCell ref="G38:K38"/>
  </mergeCells>
  <conditionalFormatting sqref="J11:J30">
    <cfRule type="cellIs" priority="2" operator="equal" aboveAverage="0" equalAverage="0" bottom="0" percent="0" rank="0" text="" dxfId="0">
      <formula>"Baixo"</formula>
    </cfRule>
    <cfRule type="cellIs" priority="3" operator="equal" aboveAverage="0" equalAverage="0" bottom="0" percent="0" rank="0" text="" dxfId="1">
      <formula>"Médio"</formula>
    </cfRule>
    <cfRule type="cellIs" priority="4" operator="equal" aboveAverage="0" equalAverage="0" bottom="0" percent="0" rank="0" text="" dxfId="2">
      <formula>"Alto"</formula>
    </cfRule>
    <cfRule type="cellIs" priority="5" operator="equal" aboveAverage="0" equalAverage="0" bottom="0" percent="0" rank="0" text="" dxfId="3">
      <formula>"Crítico"</formula>
    </cfRule>
  </conditionalFormatting>
  <conditionalFormatting sqref="S11:S30">
    <cfRule type="cellIs" priority="6" operator="equal" aboveAverage="0" equalAverage="0" bottom="0" percent="0" rank="0" text="" dxfId="0">
      <formula>"Baixo"</formula>
    </cfRule>
    <cfRule type="cellIs" priority="7" operator="equal" aboveAverage="0" equalAverage="0" bottom="0" percent="0" rank="0" text="" dxfId="1">
      <formula>"Médio"</formula>
    </cfRule>
    <cfRule type="cellIs" priority="8" operator="equal" aboveAverage="0" equalAverage="0" bottom="0" percent="0" rank="0" text="" dxfId="2">
      <formula>"Alto"</formula>
    </cfRule>
    <cfRule type="cellIs" priority="9" operator="equal" aboveAverage="0" equalAverage="0" bottom="0" percent="0" rank="0" text="" dxfId="3">
      <formula>"Crítico"</formula>
    </cfRule>
  </conditionalFormatting>
  <conditionalFormatting sqref="O11:O30">
    <cfRule type="cellIs" priority="10" operator="equal" aboveAverage="0" equalAverage="0" bottom="0" percent="0" rank="0" text="" dxfId="4">
      <formula>"Concluída"</formula>
    </cfRule>
    <cfRule type="cellIs" priority="11" operator="equal" aboveAverage="0" equalAverage="0" bottom="0" percent="0" rank="0" text="" dxfId="5">
      <formula>"Em andamento"</formula>
    </cfRule>
    <cfRule type="cellIs" priority="12" operator="equal" aboveAverage="0" equalAverage="0" bottom="0" percent="0" rank="0" text="" dxfId="6">
      <formula>"Não iniciada"</formula>
    </cfRule>
  </conditionalFormatting>
  <conditionalFormatting sqref="T11:T30">
    <cfRule type="cellIs" priority="13" operator="equal" aboveAverage="0" equalAverage="0" bottom="0" percent="0" rank="0" text="" dxfId="4">
      <formula>"Concluída"</formula>
    </cfRule>
    <cfRule type="cellIs" priority="14" operator="equal" aboveAverage="0" equalAverage="0" bottom="0" percent="0" rank="0" text="" dxfId="4">
      <formula>"No prazo"</formula>
    </cfRule>
    <cfRule type="cellIs" priority="15" operator="equal" aboveAverage="0" equalAverage="0" bottom="0" percent="0" rank="0" text="" dxfId="7">
      <formula>"Aceito"</formula>
    </cfRule>
    <cfRule type="cellIs" priority="16" operator="equal" aboveAverage="0" equalAverage="0" bottom="0" percent="0" rank="0" text="" dxfId="5">
      <formula>"Sem prazo"</formula>
    </cfRule>
    <cfRule type="cellIs" priority="17" operator="equal" aboveAverage="0" equalAverage="0" bottom="0" percent="0" rank="0" text="" dxfId="6">
      <formula>"Atrasada"</formula>
    </cfRule>
  </conditionalFormatting>
  <conditionalFormatting sqref="U11:U30">
    <cfRule type="expression" priority="18" aboveAverage="0" equalAverage="0" bottom="0" percent="0" rank="0" text="" dxfId="4">
      <formula>OR(U11="Completo")</formula>
    </cfRule>
    <cfRule type="expression" priority="19" aboveAverage="0" equalAverage="0" bottom="0" percent="0" rank="0" text="" dxfId="5">
      <formula>AND(LEN(U11)&gt;0,NOT(OR(U11="Completo")))</formula>
    </cfRule>
  </conditionalFormatting>
  <conditionalFormatting sqref="V11:V30">
    <cfRule type="expression" priority="20" aboveAverage="0" equalAverage="0" bottom="0" percent="0" rank="0" text="" dxfId="5">
      <formula>LEN(V11)&gt;0</formula>
    </cfRule>
  </conditionalFormatting>
  <conditionalFormatting sqref="G38:K38">
    <cfRule type="expression" priority="21" aboveAverage="0" equalAverage="0" bottom="0" percent="0" rank="0" text="" dxfId="4">
      <formula>OR(G38="OK")</formula>
    </cfRule>
    <cfRule type="expression" priority="22" aboveAverage="0" equalAverage="0" bottom="0" percent="0" rank="0" text="" dxfId="5">
      <formula>AND(LEN(G38)&gt;0,NOT(OR(G38="OK")))</formula>
    </cfRule>
  </conditionalFormatting>
  <dataValidations count="4">
    <dataValidation allowBlank="true" error="Digite um número inteiro de 1 a 5." errorStyle="stop" errorTitle="Nota inválida" operator="between" prompt="Número inteiro de 1 a 5, conforme a aba Escalas." promptTitle="Nota" showDropDown="false" showErrorMessage="true" showInputMessage="true" sqref="G11:H30 P11:Q30" type="whole">
      <formula1>1</formula1>
      <formula2>5</formula2>
    </dataValidation>
    <dataValidation allowBlank="true" error="Digite uma data no formato dia/mês/ano." errorStyle="stop" errorTitle="Data inválida" operator="greaterThanOrEqual" showDropDown="false" showErrorMessage="true" showInputMessage="false" sqref="T4:T5 N11:N30" type="date">
      <formula1>36526</formula1>
      <formula2>0</formula2>
    </dataValidation>
    <dataValidation allowBlank="true" error="Escolha uma das opções da lista." errorStyle="stop" errorTitle="Valor inválido" operator="between" prompt="Evitar, Reduzir, Compartilhar ou Aceitar" promptTitle="Opções" showDropDown="false" showErrorMessage="true" showInputMessage="true" sqref="K11:K30" type="list">
      <formula1>"Evitar,Reduzir,Compartilhar,Aceitar"</formula1>
      <formula2>0</formula2>
    </dataValidation>
    <dataValidation allowBlank="true" error="Escolha uma das opções da lista." errorStyle="stop" errorTitle="Valor inválido" operator="between" prompt="Não iniciada, Em andamento ou Concluída" promptTitle="Opções" showDropDown="false" showErrorMessage="true" showInputMessage="true" sqref="O11:O30" type="list">
      <formula1>"Não iniciada,Em andamento,Concluída"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7" min="3" style="0" width="11"/>
    <col collapsed="false" customWidth="true" hidden="false" outlineLevel="0" max="8" min="8" style="0" width="3"/>
    <col collapsed="false" customWidth="true" hidden="false" outlineLevel="0" max="9" min="9" style="0" width="17"/>
    <col collapsed="false" customWidth="true" hidden="false" outlineLevel="0" max="14" min="10" style="0" width="11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68</v>
      </c>
      <c r="C4" s="31" t="str">
        <f aca="false">IF(Riscos!K4="","",Riscos!K4)</f>
        <v/>
      </c>
      <c r="D4" s="31"/>
      <c r="E4" s="31"/>
      <c r="F4" s="31"/>
      <c r="G4" s="31"/>
      <c r="I4" s="4" t="s">
        <v>69</v>
      </c>
      <c r="J4" s="32" t="str">
        <f aca="false">IF(Riscos!T4="","",Riscos!T4)</f>
        <v/>
      </c>
      <c r="K4" s="32"/>
      <c r="L4" s="32"/>
      <c r="M4" s="32"/>
      <c r="N4" s="32"/>
    </row>
    <row r="6" customFormat="false" ht="21.75" hidden="false" customHeight="true" outlineLevel="0" collapsed="false">
      <c r="B6" s="17" t="s">
        <v>128</v>
      </c>
      <c r="C6" s="17"/>
      <c r="D6" s="17"/>
      <c r="E6" s="17"/>
      <c r="F6" s="17"/>
      <c r="G6" s="17"/>
      <c r="I6" s="17" t="s">
        <v>57</v>
      </c>
      <c r="J6" s="17"/>
      <c r="K6" s="17"/>
      <c r="L6" s="17"/>
      <c r="M6" s="17"/>
      <c r="N6" s="17"/>
    </row>
    <row r="7" customFormat="false" ht="36" hidden="false" customHeight="true" outlineLevel="0" collapsed="false">
      <c r="B7" s="29" t="s">
        <v>129</v>
      </c>
      <c r="C7" s="33" t="n">
        <f aca="false">COUNTIFS(Riscos!$G$11:$G$30,1,Riscos!$H$11:$H$30,5)</f>
        <v>0</v>
      </c>
      <c r="D7" s="34" t="n">
        <f aca="false">COUNTIFS(Riscos!$G$11:$G$30,2,Riscos!$H$11:$H$30,5)</f>
        <v>0</v>
      </c>
      <c r="E7" s="34" t="n">
        <f aca="false">COUNTIFS(Riscos!$G$11:$G$30,3,Riscos!$H$11:$H$30,5)</f>
        <v>0</v>
      </c>
      <c r="F7" s="35" t="n">
        <f aca="false">COUNTIFS(Riscos!$G$11:$G$30,4,Riscos!$H$11:$H$30,5)</f>
        <v>0</v>
      </c>
      <c r="G7" s="35" t="n">
        <f aca="false">COUNTIFS(Riscos!$G$11:$G$30,5,Riscos!$H$11:$H$30,5)</f>
        <v>0</v>
      </c>
      <c r="I7" s="29" t="s">
        <v>129</v>
      </c>
      <c r="J7" s="33" t="n">
        <f aca="false">COUNTIFS(Riscos!$P$11:$P$30,1,Riscos!$Q$11:$Q$30,5)</f>
        <v>0</v>
      </c>
      <c r="K7" s="34" t="n">
        <f aca="false">COUNTIFS(Riscos!$P$11:$P$30,2,Riscos!$Q$11:$Q$30,5)</f>
        <v>0</v>
      </c>
      <c r="L7" s="34" t="n">
        <f aca="false">COUNTIFS(Riscos!$P$11:$P$30,3,Riscos!$Q$11:$Q$30,5)</f>
        <v>0</v>
      </c>
      <c r="M7" s="35" t="n">
        <f aca="false">COUNTIFS(Riscos!$P$11:$P$30,4,Riscos!$Q$11:$Q$30,5)</f>
        <v>0</v>
      </c>
      <c r="N7" s="35" t="n">
        <f aca="false">COUNTIFS(Riscos!$P$11:$P$30,5,Riscos!$Q$11:$Q$30,5)</f>
        <v>0</v>
      </c>
    </row>
    <row r="8" customFormat="false" ht="36" hidden="false" customHeight="true" outlineLevel="0" collapsed="false">
      <c r="B8" s="29" t="s">
        <v>130</v>
      </c>
      <c r="C8" s="36" t="n">
        <f aca="false">COUNTIFS(Riscos!$G$11:$G$30,1,Riscos!$H$11:$H$30,4)</f>
        <v>0</v>
      </c>
      <c r="D8" s="33" t="n">
        <f aca="false">COUNTIFS(Riscos!$G$11:$G$30,2,Riscos!$H$11:$H$30,4)</f>
        <v>0</v>
      </c>
      <c r="E8" s="34" t="n">
        <f aca="false">COUNTIFS(Riscos!$G$11:$G$30,3,Riscos!$H$11:$H$30,4)</f>
        <v>0</v>
      </c>
      <c r="F8" s="34" t="n">
        <f aca="false">COUNTIFS(Riscos!$G$11:$G$30,4,Riscos!$H$11:$H$30,4)</f>
        <v>0</v>
      </c>
      <c r="G8" s="35" t="n">
        <f aca="false">COUNTIFS(Riscos!$G$11:$G$30,5,Riscos!$H$11:$H$30,4)</f>
        <v>0</v>
      </c>
      <c r="I8" s="29" t="s">
        <v>130</v>
      </c>
      <c r="J8" s="36" t="n">
        <f aca="false">COUNTIFS(Riscos!$P$11:$P$30,1,Riscos!$Q$11:$Q$30,4)</f>
        <v>0</v>
      </c>
      <c r="K8" s="33" t="n">
        <f aca="false">COUNTIFS(Riscos!$P$11:$P$30,2,Riscos!$Q$11:$Q$30,4)</f>
        <v>0</v>
      </c>
      <c r="L8" s="34" t="n">
        <f aca="false">COUNTIFS(Riscos!$P$11:$P$30,3,Riscos!$Q$11:$Q$30,4)</f>
        <v>0</v>
      </c>
      <c r="M8" s="34" t="n">
        <f aca="false">COUNTIFS(Riscos!$P$11:$P$30,4,Riscos!$Q$11:$Q$30,4)</f>
        <v>0</v>
      </c>
      <c r="N8" s="35" t="n">
        <f aca="false">COUNTIFS(Riscos!$P$11:$P$30,5,Riscos!$Q$11:$Q$30,4)</f>
        <v>0</v>
      </c>
    </row>
    <row r="9" customFormat="false" ht="36" hidden="false" customHeight="true" outlineLevel="0" collapsed="false">
      <c r="B9" s="29" t="s">
        <v>131</v>
      </c>
      <c r="C9" s="36" t="n">
        <f aca="false">COUNTIFS(Riscos!$G$11:$G$30,1,Riscos!$H$11:$H$30,3)</f>
        <v>0</v>
      </c>
      <c r="D9" s="33" t="n">
        <f aca="false">COUNTIFS(Riscos!$G$11:$G$30,2,Riscos!$H$11:$H$30,3)</f>
        <v>0</v>
      </c>
      <c r="E9" s="33" t="n">
        <f aca="false">COUNTIFS(Riscos!$G$11:$G$30,3,Riscos!$H$11:$H$30,3)</f>
        <v>0</v>
      </c>
      <c r="F9" s="34" t="n">
        <f aca="false">COUNTIFS(Riscos!$G$11:$G$30,4,Riscos!$H$11:$H$30,3)</f>
        <v>0</v>
      </c>
      <c r="G9" s="34" t="n">
        <f aca="false">COUNTIFS(Riscos!$G$11:$G$30,5,Riscos!$H$11:$H$30,3)</f>
        <v>0</v>
      </c>
      <c r="I9" s="29" t="s">
        <v>131</v>
      </c>
      <c r="J9" s="36" t="n">
        <f aca="false">COUNTIFS(Riscos!$P$11:$P$30,1,Riscos!$Q$11:$Q$30,3)</f>
        <v>0</v>
      </c>
      <c r="K9" s="33" t="n">
        <f aca="false">COUNTIFS(Riscos!$P$11:$P$30,2,Riscos!$Q$11:$Q$30,3)</f>
        <v>0</v>
      </c>
      <c r="L9" s="33" t="n">
        <f aca="false">COUNTIFS(Riscos!$P$11:$P$30,3,Riscos!$Q$11:$Q$30,3)</f>
        <v>0</v>
      </c>
      <c r="M9" s="34" t="n">
        <f aca="false">COUNTIFS(Riscos!$P$11:$P$30,4,Riscos!$Q$11:$Q$30,3)</f>
        <v>0</v>
      </c>
      <c r="N9" s="34" t="n">
        <f aca="false">COUNTIFS(Riscos!$P$11:$P$30,5,Riscos!$Q$11:$Q$30,3)</f>
        <v>0</v>
      </c>
    </row>
    <row r="10" customFormat="false" ht="36" hidden="false" customHeight="true" outlineLevel="0" collapsed="false">
      <c r="B10" s="29" t="s">
        <v>132</v>
      </c>
      <c r="C10" s="36" t="n">
        <f aca="false">COUNTIFS(Riscos!$G$11:$G$30,1,Riscos!$H$11:$H$30,2)</f>
        <v>0</v>
      </c>
      <c r="D10" s="36" t="n">
        <f aca="false">COUNTIFS(Riscos!$G$11:$G$30,2,Riscos!$H$11:$H$30,2)</f>
        <v>0</v>
      </c>
      <c r="E10" s="33" t="n">
        <f aca="false">COUNTIFS(Riscos!$G$11:$G$30,3,Riscos!$H$11:$H$30,2)</f>
        <v>0</v>
      </c>
      <c r="F10" s="33" t="n">
        <f aca="false">COUNTIFS(Riscos!$G$11:$G$30,4,Riscos!$H$11:$H$30,2)</f>
        <v>0</v>
      </c>
      <c r="G10" s="34" t="n">
        <f aca="false">COUNTIFS(Riscos!$G$11:$G$30,5,Riscos!$H$11:$H$30,2)</f>
        <v>0</v>
      </c>
      <c r="I10" s="29" t="s">
        <v>132</v>
      </c>
      <c r="J10" s="36" t="n">
        <f aca="false">COUNTIFS(Riscos!$P$11:$P$30,1,Riscos!$Q$11:$Q$30,2)</f>
        <v>0</v>
      </c>
      <c r="K10" s="36" t="n">
        <f aca="false">COUNTIFS(Riscos!$P$11:$P$30,2,Riscos!$Q$11:$Q$30,2)</f>
        <v>0</v>
      </c>
      <c r="L10" s="33" t="n">
        <f aca="false">COUNTIFS(Riscos!$P$11:$P$30,3,Riscos!$Q$11:$Q$30,2)</f>
        <v>0</v>
      </c>
      <c r="M10" s="33" t="n">
        <f aca="false">COUNTIFS(Riscos!$P$11:$P$30,4,Riscos!$Q$11:$Q$30,2)</f>
        <v>0</v>
      </c>
      <c r="N10" s="34" t="n">
        <f aca="false">COUNTIFS(Riscos!$P$11:$P$30,5,Riscos!$Q$11:$Q$30,2)</f>
        <v>0</v>
      </c>
    </row>
    <row r="11" customFormat="false" ht="36" hidden="false" customHeight="true" outlineLevel="0" collapsed="false">
      <c r="B11" s="29" t="s">
        <v>133</v>
      </c>
      <c r="C11" s="36" t="n">
        <f aca="false">COUNTIFS(Riscos!$G$11:$G$30,1,Riscos!$H$11:$H$30,1)</f>
        <v>0</v>
      </c>
      <c r="D11" s="36" t="n">
        <f aca="false">COUNTIFS(Riscos!$G$11:$G$30,2,Riscos!$H$11:$H$30,1)</f>
        <v>0</v>
      </c>
      <c r="E11" s="36" t="n">
        <f aca="false">COUNTIFS(Riscos!$G$11:$G$30,3,Riscos!$H$11:$H$30,1)</f>
        <v>0</v>
      </c>
      <c r="F11" s="36" t="n">
        <f aca="false">COUNTIFS(Riscos!$G$11:$G$30,4,Riscos!$H$11:$H$30,1)</f>
        <v>0</v>
      </c>
      <c r="G11" s="33" t="n">
        <f aca="false">COUNTIFS(Riscos!$G$11:$G$30,5,Riscos!$H$11:$H$30,1)</f>
        <v>0</v>
      </c>
      <c r="I11" s="29" t="s">
        <v>133</v>
      </c>
      <c r="J11" s="36" t="n">
        <f aca="false">COUNTIFS(Riscos!$P$11:$P$30,1,Riscos!$Q$11:$Q$30,1)</f>
        <v>0</v>
      </c>
      <c r="K11" s="36" t="n">
        <f aca="false">COUNTIFS(Riscos!$P$11:$P$30,2,Riscos!$Q$11:$Q$30,1)</f>
        <v>0</v>
      </c>
      <c r="L11" s="36" t="n">
        <f aca="false">COUNTIFS(Riscos!$P$11:$P$30,3,Riscos!$Q$11:$Q$30,1)</f>
        <v>0</v>
      </c>
      <c r="M11" s="36" t="n">
        <f aca="false">COUNTIFS(Riscos!$P$11:$P$30,4,Riscos!$Q$11:$Q$30,1)</f>
        <v>0</v>
      </c>
      <c r="N11" s="33" t="n">
        <f aca="false">COUNTIFS(Riscos!$P$11:$P$30,5,Riscos!$Q$11:$Q$30,1)</f>
        <v>0</v>
      </c>
    </row>
    <row r="12" customFormat="false" ht="30" hidden="false" customHeight="true" outlineLevel="0" collapsed="false">
      <c r="B12" s="37" t="s">
        <v>134</v>
      </c>
      <c r="C12" s="38" t="s">
        <v>135</v>
      </c>
      <c r="D12" s="38" t="s">
        <v>136</v>
      </c>
      <c r="E12" s="38" t="s">
        <v>137</v>
      </c>
      <c r="F12" s="38" t="s">
        <v>138</v>
      </c>
      <c r="G12" s="38" t="s">
        <v>139</v>
      </c>
      <c r="I12" s="37" t="s">
        <v>134</v>
      </c>
      <c r="J12" s="38" t="s">
        <v>135</v>
      </c>
      <c r="K12" s="38" t="s">
        <v>136</v>
      </c>
      <c r="L12" s="38" t="s">
        <v>137</v>
      </c>
      <c r="M12" s="38" t="s">
        <v>138</v>
      </c>
      <c r="N12" s="38" t="s">
        <v>139</v>
      </c>
    </row>
    <row r="14" customFormat="false" ht="21.75" hidden="false" customHeight="true" outlineLevel="0" collapsed="false">
      <c r="B14" s="19" t="s">
        <v>85</v>
      </c>
      <c r="C14" s="19"/>
      <c r="D14" s="19"/>
      <c r="E14" s="19" t="s">
        <v>140</v>
      </c>
      <c r="F14" s="19" t="s">
        <v>141</v>
      </c>
    </row>
    <row r="15" customFormat="false" ht="21.75" hidden="false" customHeight="true" outlineLevel="0" collapsed="false">
      <c r="B15" s="39" t="s">
        <v>14</v>
      </c>
      <c r="C15" s="39"/>
      <c r="D15" s="39"/>
      <c r="E15" s="40" t="n">
        <f aca="false">COUNTIF(Riscos!$J$11:$J$30,"Baixo")</f>
        <v>0</v>
      </c>
      <c r="F15" s="40" t="n">
        <f aca="false">COUNTIF(Riscos!$S$11:$S$30,"Baixo")</f>
        <v>0</v>
      </c>
    </row>
    <row r="16" customFormat="false" ht="21.75" hidden="false" customHeight="true" outlineLevel="0" collapsed="false">
      <c r="B16" s="41" t="s">
        <v>16</v>
      </c>
      <c r="C16" s="41"/>
      <c r="D16" s="41"/>
      <c r="E16" s="40" t="n">
        <f aca="false">COUNTIF(Riscos!$J$11:$J$30,"Médio")</f>
        <v>0</v>
      </c>
      <c r="F16" s="40" t="n">
        <f aca="false">COUNTIF(Riscos!$S$11:$S$30,"Médio")</f>
        <v>0</v>
      </c>
    </row>
    <row r="17" customFormat="false" ht="21.75" hidden="false" customHeight="true" outlineLevel="0" collapsed="false">
      <c r="B17" s="42" t="s">
        <v>18</v>
      </c>
      <c r="C17" s="42"/>
      <c r="D17" s="42"/>
      <c r="E17" s="40" t="n">
        <f aca="false">COUNTIF(Riscos!$J$11:$J$30,"Alto")</f>
        <v>0</v>
      </c>
      <c r="F17" s="40" t="n">
        <f aca="false">COUNTIF(Riscos!$S$11:$S$30,"Alto")</f>
        <v>0</v>
      </c>
    </row>
    <row r="18" customFormat="false" ht="21.75" hidden="false" customHeight="true" outlineLevel="0" collapsed="false">
      <c r="B18" s="43" t="s">
        <v>20</v>
      </c>
      <c r="C18" s="43"/>
      <c r="D18" s="43"/>
      <c r="E18" s="40" t="n">
        <f aca="false">COUNTIF(Riscos!$J$11:$J$30,"Crítico")</f>
        <v>0</v>
      </c>
      <c r="F18" s="40" t="n">
        <f aca="false">COUNTIF(Riscos!$S$11:$S$30,"Crítico")</f>
        <v>0</v>
      </c>
    </row>
    <row r="20" customFormat="false" ht="21.75" hidden="false" customHeight="true" outlineLevel="0" collapsed="false">
      <c r="B20" s="17" t="s">
        <v>119</v>
      </c>
      <c r="C20" s="17"/>
      <c r="D20" s="17"/>
      <c r="E20" s="17"/>
      <c r="F20" s="17"/>
      <c r="G20" s="17"/>
    </row>
    <row r="21" customFormat="false" ht="21.75" hidden="false" customHeight="true" outlineLevel="0" collapsed="false">
      <c r="B21" s="29" t="s">
        <v>142</v>
      </c>
      <c r="C21" s="29"/>
      <c r="D21" s="29"/>
      <c r="E21" s="30" t="n">
        <f aca="false">COUNT(Riscos!$I$11:$I$30)</f>
        <v>0</v>
      </c>
      <c r="F21" s="30"/>
      <c r="G21" s="30"/>
    </row>
    <row r="22" customFormat="false" ht="21.75" hidden="false" customHeight="true" outlineLevel="0" collapsed="false">
      <c r="B22" s="29" t="s">
        <v>143</v>
      </c>
      <c r="C22" s="29"/>
      <c r="D22" s="29"/>
      <c r="E22" s="30" t="n">
        <f aca="false">E17+E18</f>
        <v>0</v>
      </c>
      <c r="F22" s="30"/>
      <c r="G22" s="30"/>
    </row>
    <row r="23" customFormat="false" ht="21.75" hidden="false" customHeight="true" outlineLevel="0" collapsed="false">
      <c r="B23" s="29" t="s">
        <v>144</v>
      </c>
      <c r="C23" s="29"/>
      <c r="D23" s="29"/>
      <c r="E23" s="30" t="n">
        <f aca="false">F17+F18</f>
        <v>0</v>
      </c>
      <c r="F23" s="30"/>
      <c r="G23" s="30"/>
    </row>
    <row r="24" customFormat="false" ht="21.75" hidden="false" customHeight="true" outlineLevel="0" collapsed="false">
      <c r="B24" s="29" t="s">
        <v>145</v>
      </c>
      <c r="C24" s="29"/>
      <c r="D24" s="29"/>
      <c r="E24" s="44" t="str">
        <f aca="false">IF(COUNT(Riscos!$I$11:$I$30)=0,"",AVERAGE(Riscos!$I$11:$I$30))</f>
        <v/>
      </c>
      <c r="F24" s="44"/>
      <c r="G24" s="44"/>
    </row>
    <row r="25" customFormat="false" ht="21.75" hidden="false" customHeight="true" outlineLevel="0" collapsed="false">
      <c r="B25" s="29" t="s">
        <v>146</v>
      </c>
      <c r="C25" s="29"/>
      <c r="D25" s="29"/>
      <c r="E25" s="44" t="str">
        <f aca="false">IF(COUNT(Riscos!$R$11:$R$30)=0,"",AVERAGE(Riscos!$R$11:$R$30))</f>
        <v/>
      </c>
      <c r="F25" s="44"/>
      <c r="G25" s="44"/>
    </row>
    <row r="26" customFormat="false" ht="30" hidden="false" customHeight="true" outlineLevel="0" collapsed="false">
      <c r="B26" s="29" t="s">
        <v>125</v>
      </c>
      <c r="C26" s="29"/>
      <c r="D26" s="29"/>
      <c r="E26" s="28" t="str">
        <f aca="false">IF(E21=0,"Registre os riscos na aba Riscos",IF(COUNT(Riscos!$R$11:$R$30)&lt;E21,"Há risco sem avaliação residual",IF(E23&gt;0,"Há risco residual alto ou crítico: reforce a resposta","OK")))</f>
        <v>Registre os riscos na aba Riscos</v>
      </c>
      <c r="F26" s="28"/>
      <c r="G26" s="28"/>
    </row>
  </sheetData>
  <mergeCells count="24">
    <mergeCell ref="B1:N1"/>
    <mergeCell ref="B2:N2"/>
    <mergeCell ref="C4:G4"/>
    <mergeCell ref="J4:N4"/>
    <mergeCell ref="B6:G6"/>
    <mergeCell ref="I6:N6"/>
    <mergeCell ref="B14:D14"/>
    <mergeCell ref="B15:D15"/>
    <mergeCell ref="B16:D16"/>
    <mergeCell ref="B17:D17"/>
    <mergeCell ref="B18:D18"/>
    <mergeCell ref="B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</mergeCells>
  <conditionalFormatting sqref="E26:G26">
    <cfRule type="expression" priority="2" aboveAverage="0" equalAverage="0" bottom="0" percent="0" rank="0" text="" dxfId="4">
      <formula>OR(E26="OK")</formula>
    </cfRule>
    <cfRule type="expression" priority="3" aboveAverage="0" equalAverage="0" bottom="0" percent="0" rank="0" text="" dxfId="5">
      <formula>AND(LEN(E26)&gt;0,NOT(OR(E26="OK")))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38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4" hidden="false" customHeight="true" outlineLevel="0" collapsed="false">
      <c r="B4" s="19" t="s">
        <v>77</v>
      </c>
      <c r="C4" s="19" t="s">
        <v>148</v>
      </c>
      <c r="D4" s="19" t="s">
        <v>68</v>
      </c>
      <c r="E4" s="19" t="s">
        <v>149</v>
      </c>
      <c r="F4" s="19" t="s">
        <v>150</v>
      </c>
      <c r="G4" s="19" t="s">
        <v>84</v>
      </c>
      <c r="H4" s="19" t="s">
        <v>151</v>
      </c>
      <c r="I4" s="19" t="s">
        <v>152</v>
      </c>
      <c r="J4" s="19" t="s">
        <v>153</v>
      </c>
      <c r="K4" s="19" t="s">
        <v>87</v>
      </c>
      <c r="L4" s="19" t="s">
        <v>88</v>
      </c>
      <c r="M4" s="19" t="s">
        <v>89</v>
      </c>
      <c r="N4" s="19" t="s">
        <v>61</v>
      </c>
    </row>
    <row r="5" customFormat="false" ht="30" hidden="false" customHeight="true" outlineLevel="0" collapsed="false">
      <c r="B5" s="20"/>
      <c r="C5" s="20" t="s">
        <v>154</v>
      </c>
      <c r="D5" s="20" t="s">
        <v>155</v>
      </c>
      <c r="E5" s="20" t="s">
        <v>96</v>
      </c>
      <c r="F5" s="20" t="s">
        <v>96</v>
      </c>
      <c r="G5" s="20" t="s">
        <v>156</v>
      </c>
      <c r="H5" s="20" t="s">
        <v>98</v>
      </c>
      <c r="I5" s="20" t="s">
        <v>99</v>
      </c>
      <c r="J5" s="20" t="s">
        <v>100</v>
      </c>
      <c r="K5" s="20" t="s">
        <v>101</v>
      </c>
      <c r="L5" s="20" t="s">
        <v>102</v>
      </c>
      <c r="M5" s="20" t="s">
        <v>103</v>
      </c>
      <c r="N5" s="20" t="s">
        <v>104</v>
      </c>
    </row>
    <row r="6" customFormat="false" ht="33" hidden="false" customHeight="true" outlineLevel="0" collapsed="false">
      <c r="B6" s="20" t="s">
        <v>107</v>
      </c>
      <c r="C6" s="21" t="s">
        <v>157</v>
      </c>
      <c r="D6" s="21" t="s">
        <v>158</v>
      </c>
      <c r="E6" s="20" t="n">
        <v>4</v>
      </c>
      <c r="F6" s="20" t="n">
        <v>4</v>
      </c>
      <c r="G6" s="20" t="n">
        <v>16</v>
      </c>
      <c r="H6" s="20" t="s">
        <v>159</v>
      </c>
      <c r="I6" s="20" t="s">
        <v>160</v>
      </c>
      <c r="J6" s="21" t="s">
        <v>161</v>
      </c>
      <c r="K6" s="21" t="s">
        <v>162</v>
      </c>
      <c r="L6" s="22" t="n">
        <v>46356</v>
      </c>
      <c r="M6" s="20" t="s">
        <v>115</v>
      </c>
      <c r="N6" s="20" t="s">
        <v>116</v>
      </c>
    </row>
    <row r="7" customFormat="false" ht="33" hidden="false" customHeight="true" outlineLevel="0" collapsed="false">
      <c r="B7" s="23" t="n">
        <v>1</v>
      </c>
      <c r="C7" s="5"/>
      <c r="D7" s="5"/>
      <c r="E7" s="24"/>
      <c r="F7" s="24"/>
      <c r="G7" s="25" t="str">
        <f aca="false">IF(OR(E7="",F7=""),"",E7*F7)</f>
        <v/>
      </c>
      <c r="H7" s="26" t="str">
        <f aca="false">IF(G7="","",IF(G7&gt;=10,"Alta",IF(G7&gt;=5,"Média","Baixa")))</f>
        <v/>
      </c>
      <c r="I7" s="24"/>
      <c r="J7" s="5"/>
      <c r="K7" s="5"/>
      <c r="L7" s="27"/>
      <c r="M7" s="24"/>
      <c r="N7" s="28" t="str">
        <f aca="true">IF(OR(C7="",I7=""),"",IF(I7="Não agir agora","Sem ação",IF(M7="Concluída","Concluída",IF(L7="","Sem prazo",IF(L7&lt;TODAY(),"Atrasada","No prazo")))))</f>
        <v/>
      </c>
    </row>
    <row r="8" customFormat="false" ht="33" hidden="false" customHeight="true" outlineLevel="0" collapsed="false">
      <c r="B8" s="23" t="n">
        <v>2</v>
      </c>
      <c r="C8" s="5"/>
      <c r="D8" s="5"/>
      <c r="E8" s="24"/>
      <c r="F8" s="24"/>
      <c r="G8" s="25" t="str">
        <f aca="false">IF(OR(E8="",F8=""),"",E8*F8)</f>
        <v/>
      </c>
      <c r="H8" s="26" t="str">
        <f aca="false">IF(G8="","",IF(G8&gt;=10,"Alta",IF(G8&gt;=5,"Média","Baixa")))</f>
        <v/>
      </c>
      <c r="I8" s="24"/>
      <c r="J8" s="5"/>
      <c r="K8" s="5"/>
      <c r="L8" s="27"/>
      <c r="M8" s="24"/>
      <c r="N8" s="28" t="str">
        <f aca="true">IF(OR(C8="",I8=""),"",IF(I8="Não agir agora","Sem ação",IF(M8="Concluída","Concluída",IF(L8="","Sem prazo",IF(L8&lt;TODAY(),"Atrasada","No prazo")))))</f>
        <v/>
      </c>
    </row>
    <row r="9" customFormat="false" ht="33" hidden="false" customHeight="true" outlineLevel="0" collapsed="false">
      <c r="B9" s="23" t="n">
        <v>3</v>
      </c>
      <c r="C9" s="5"/>
      <c r="D9" s="5"/>
      <c r="E9" s="24"/>
      <c r="F9" s="24"/>
      <c r="G9" s="25" t="str">
        <f aca="false">IF(OR(E9="",F9=""),"",E9*F9)</f>
        <v/>
      </c>
      <c r="H9" s="26" t="str">
        <f aca="false">IF(G9="","",IF(G9&gt;=10,"Alta",IF(G9&gt;=5,"Média","Baixa")))</f>
        <v/>
      </c>
      <c r="I9" s="24"/>
      <c r="J9" s="5"/>
      <c r="K9" s="5"/>
      <c r="L9" s="27"/>
      <c r="M9" s="24"/>
      <c r="N9" s="28" t="str">
        <f aca="true">IF(OR(C9="",I9=""),"",IF(I9="Não agir agora","Sem ação",IF(M9="Concluída","Concluída",IF(L9="","Sem prazo",IF(L9&lt;TODAY(),"Atrasada","No prazo")))))</f>
        <v/>
      </c>
    </row>
    <row r="10" customFormat="false" ht="33" hidden="false" customHeight="true" outlineLevel="0" collapsed="false">
      <c r="B10" s="23" t="n">
        <v>4</v>
      </c>
      <c r="C10" s="5"/>
      <c r="D10" s="5"/>
      <c r="E10" s="24"/>
      <c r="F10" s="24"/>
      <c r="G10" s="25" t="str">
        <f aca="false">IF(OR(E10="",F10=""),"",E10*F10)</f>
        <v/>
      </c>
      <c r="H10" s="26" t="str">
        <f aca="false">IF(G10="","",IF(G10&gt;=10,"Alta",IF(G10&gt;=5,"Média","Baixa")))</f>
        <v/>
      </c>
      <c r="I10" s="24"/>
      <c r="J10" s="5"/>
      <c r="K10" s="5"/>
      <c r="L10" s="27"/>
      <c r="M10" s="24"/>
      <c r="N10" s="28" t="str">
        <f aca="true">IF(OR(C10="",I10=""),"",IF(I10="Não agir agora","Sem ação",IF(M10="Concluída","Concluída",IF(L10="","Sem prazo",IF(L10&lt;TODAY(),"Atrasada","No prazo")))))</f>
        <v/>
      </c>
    </row>
    <row r="11" customFormat="false" ht="33" hidden="false" customHeight="true" outlineLevel="0" collapsed="false">
      <c r="B11" s="23" t="n">
        <v>5</v>
      </c>
      <c r="C11" s="5"/>
      <c r="D11" s="5"/>
      <c r="E11" s="24"/>
      <c r="F11" s="24"/>
      <c r="G11" s="25" t="str">
        <f aca="false">IF(OR(E11="",F11=""),"",E11*F11)</f>
        <v/>
      </c>
      <c r="H11" s="26" t="str">
        <f aca="false">IF(G11="","",IF(G11&gt;=10,"Alta",IF(G11&gt;=5,"Média","Baixa")))</f>
        <v/>
      </c>
      <c r="I11" s="24"/>
      <c r="J11" s="5"/>
      <c r="K11" s="5"/>
      <c r="L11" s="27"/>
      <c r="M11" s="24"/>
      <c r="N11" s="28" t="str">
        <f aca="true">IF(OR(C11="",I11=""),"",IF(I11="Não agir agora","Sem ação",IF(M11="Concluída","Concluída",IF(L11="","Sem prazo",IF(L11&lt;TODAY(),"Atrasada","No prazo")))))</f>
        <v/>
      </c>
    </row>
    <row r="12" customFormat="false" ht="33" hidden="false" customHeight="true" outlineLevel="0" collapsed="false">
      <c r="B12" s="23" t="n">
        <v>6</v>
      </c>
      <c r="C12" s="5"/>
      <c r="D12" s="5"/>
      <c r="E12" s="24"/>
      <c r="F12" s="24"/>
      <c r="G12" s="25" t="str">
        <f aca="false">IF(OR(E12="",F12=""),"",E12*F12)</f>
        <v/>
      </c>
      <c r="H12" s="26" t="str">
        <f aca="false">IF(G12="","",IF(G12&gt;=10,"Alta",IF(G12&gt;=5,"Média","Baixa")))</f>
        <v/>
      </c>
      <c r="I12" s="24"/>
      <c r="J12" s="5"/>
      <c r="K12" s="5"/>
      <c r="L12" s="27"/>
      <c r="M12" s="24"/>
      <c r="N12" s="28" t="str">
        <f aca="true">IF(OR(C12="",I12=""),"",IF(I12="Não agir agora","Sem ação",IF(M12="Concluída","Concluída",IF(L12="","Sem prazo",IF(L12&lt;TODAY(),"Atrasada","No prazo")))))</f>
        <v/>
      </c>
    </row>
    <row r="13" customFormat="false" ht="33" hidden="false" customHeight="true" outlineLevel="0" collapsed="false">
      <c r="B13" s="23" t="n">
        <v>7</v>
      </c>
      <c r="C13" s="5"/>
      <c r="D13" s="5"/>
      <c r="E13" s="24"/>
      <c r="F13" s="24"/>
      <c r="G13" s="25" t="str">
        <f aca="false">IF(OR(E13="",F13=""),"",E13*F13)</f>
        <v/>
      </c>
      <c r="H13" s="26" t="str">
        <f aca="false">IF(G13="","",IF(G13&gt;=10,"Alta",IF(G13&gt;=5,"Média","Baixa")))</f>
        <v/>
      </c>
      <c r="I13" s="24"/>
      <c r="J13" s="5"/>
      <c r="K13" s="5"/>
      <c r="L13" s="27"/>
      <c r="M13" s="24"/>
      <c r="N13" s="28" t="str">
        <f aca="true">IF(OR(C13="",I13=""),"",IF(I13="Não agir agora","Sem ação",IF(M13="Concluída","Concluída",IF(L13="","Sem prazo",IF(L13&lt;TODAY(),"Atrasada","No prazo")))))</f>
        <v/>
      </c>
    </row>
    <row r="14" customFormat="false" ht="33" hidden="false" customHeight="true" outlineLevel="0" collapsed="false">
      <c r="B14" s="23" t="n">
        <v>8</v>
      </c>
      <c r="C14" s="5"/>
      <c r="D14" s="5"/>
      <c r="E14" s="24"/>
      <c r="F14" s="24"/>
      <c r="G14" s="25" t="str">
        <f aca="false">IF(OR(E14="",F14=""),"",E14*F14)</f>
        <v/>
      </c>
      <c r="H14" s="26" t="str">
        <f aca="false">IF(G14="","",IF(G14&gt;=10,"Alta",IF(G14&gt;=5,"Média","Baixa")))</f>
        <v/>
      </c>
      <c r="I14" s="24"/>
      <c r="J14" s="5"/>
      <c r="K14" s="5"/>
      <c r="L14" s="27"/>
      <c r="M14" s="24"/>
      <c r="N14" s="28" t="str">
        <f aca="true">IF(OR(C14="",I14=""),"",IF(I14="Não agir agora","Sem ação",IF(M14="Concluída","Concluída",IF(L14="","Sem prazo",IF(L14&lt;TODAY(),"Atrasada","No prazo")))))</f>
        <v/>
      </c>
    </row>
    <row r="15" customFormat="false" ht="33" hidden="false" customHeight="true" outlineLevel="0" collapsed="false">
      <c r="B15" s="23" t="n">
        <v>9</v>
      </c>
      <c r="C15" s="5"/>
      <c r="D15" s="5"/>
      <c r="E15" s="24"/>
      <c r="F15" s="24"/>
      <c r="G15" s="25" t="str">
        <f aca="false">IF(OR(E15="",F15=""),"",E15*F15)</f>
        <v/>
      </c>
      <c r="H15" s="26" t="str">
        <f aca="false">IF(G15="","",IF(G15&gt;=10,"Alta",IF(G15&gt;=5,"Média","Baixa")))</f>
        <v/>
      </c>
      <c r="I15" s="24"/>
      <c r="J15" s="5"/>
      <c r="K15" s="5"/>
      <c r="L15" s="27"/>
      <c r="M15" s="24"/>
      <c r="N15" s="28" t="str">
        <f aca="true">IF(OR(C15="",I15=""),"",IF(I15="Não agir agora","Sem ação",IF(M15="Concluída","Concluída",IF(L15="","Sem prazo",IF(L15&lt;TODAY(),"Atrasada","No prazo")))))</f>
        <v/>
      </c>
    </row>
    <row r="16" customFormat="false" ht="33" hidden="false" customHeight="true" outlineLevel="0" collapsed="false">
      <c r="B16" s="23" t="n">
        <v>10</v>
      </c>
      <c r="C16" s="5"/>
      <c r="D16" s="5"/>
      <c r="E16" s="24"/>
      <c r="F16" s="24"/>
      <c r="G16" s="25" t="str">
        <f aca="false">IF(OR(E16="",F16=""),"",E16*F16)</f>
        <v/>
      </c>
      <c r="H16" s="26" t="str">
        <f aca="false">IF(G16="","",IF(G16&gt;=10,"Alta",IF(G16&gt;=5,"Média","Baixa")))</f>
        <v/>
      </c>
      <c r="I16" s="24"/>
      <c r="J16" s="5"/>
      <c r="K16" s="5"/>
      <c r="L16" s="27"/>
      <c r="M16" s="24"/>
      <c r="N16" s="28" t="str">
        <f aca="true">IF(OR(C16="",I16=""),"",IF(I16="Não agir agora","Sem ação",IF(M16="Concluída","Concluída",IF(L16="","Sem prazo",IF(L16&lt;TODAY(),"Atrasada","No prazo")))))</f>
        <v/>
      </c>
    </row>
    <row r="18" customFormat="false" ht="21.75" hidden="false" customHeight="true" outlineLevel="0" collapsed="false">
      <c r="B18" s="17" t="s">
        <v>119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customFormat="false" ht="21.75" hidden="false" customHeight="true" outlineLevel="0" collapsed="false">
      <c r="B19" s="29" t="s">
        <v>163</v>
      </c>
      <c r="C19" s="29"/>
      <c r="D19" s="29"/>
      <c r="E19" s="30" t="n">
        <f aca="false">COUNTA(C7:C16)</f>
        <v>0</v>
      </c>
      <c r="F19" s="30"/>
      <c r="G19" s="30"/>
      <c r="H19" s="30"/>
      <c r="I19" s="30"/>
    </row>
    <row r="20" customFormat="false" ht="21.75" hidden="false" customHeight="true" outlineLevel="0" collapsed="false">
      <c r="B20" s="29" t="s">
        <v>164</v>
      </c>
      <c r="C20" s="29"/>
      <c r="D20" s="29"/>
      <c r="E20" s="30" t="n">
        <f aca="false">COUNTIF(H7:H16,"Alta")</f>
        <v>0</v>
      </c>
      <c r="F20" s="30"/>
      <c r="G20" s="30"/>
      <c r="H20" s="30"/>
      <c r="I20" s="30"/>
    </row>
    <row r="21" customFormat="false" ht="21.75" hidden="false" customHeight="true" outlineLevel="0" collapsed="false">
      <c r="B21" s="29" t="s">
        <v>165</v>
      </c>
      <c r="C21" s="29"/>
      <c r="D21" s="29"/>
      <c r="E21" s="30" t="n">
        <f aca="false">COUNTIF(I7:I16,"Aproveitar")+COUNTIF(I7:I16,"Testar")</f>
        <v>0</v>
      </c>
      <c r="F21" s="30"/>
      <c r="G21" s="30"/>
      <c r="H21" s="30"/>
      <c r="I21" s="30"/>
    </row>
    <row r="22" customFormat="false" ht="21.75" hidden="false" customHeight="true" outlineLevel="0" collapsed="false">
      <c r="B22" s="29" t="s">
        <v>123</v>
      </c>
      <c r="C22" s="29"/>
      <c r="D22" s="29"/>
      <c r="E22" s="30" t="n">
        <f aca="false">COUNTIF(N7:N16,"Atrasada")</f>
        <v>0</v>
      </c>
      <c r="F22" s="30"/>
      <c r="G22" s="30"/>
      <c r="H22" s="30"/>
      <c r="I22" s="30"/>
    </row>
    <row r="23" customFormat="false" ht="21.75" hidden="false" customHeight="true" outlineLevel="0" collapsed="false">
      <c r="B23" s="29" t="s">
        <v>125</v>
      </c>
      <c r="C23" s="29"/>
      <c r="D23" s="29"/>
      <c r="E23" s="28" t="str">
        <f aca="false">IF(E19=0,"Registre as oportunidades",IF(COUNT(G7:G16)&lt;E19,"Há oportunidade sem as duas notas",IF(COUNTA(I7:I16)&lt;E19,"Há oportunidade sem decisão",IF(SUMPRODUCT((H7:H16="Alta")*(I7:I16="Não agir agora"))&gt;0,"Há oportunidade de prioridade alta sem ação",IF(E22&gt;0,"Há ação atrasada","OK")))))</f>
        <v>Registre as oportunidades</v>
      </c>
      <c r="F23" s="28"/>
      <c r="G23" s="28"/>
      <c r="H23" s="28"/>
      <c r="I23" s="28"/>
    </row>
  </sheetData>
  <mergeCells count="13">
    <mergeCell ref="B1:N1"/>
    <mergeCell ref="B2:N2"/>
    <mergeCell ref="B18:N18"/>
    <mergeCell ref="B19:D19"/>
    <mergeCell ref="E19:I19"/>
    <mergeCell ref="B20:D20"/>
    <mergeCell ref="E20:I20"/>
    <mergeCell ref="B21:D21"/>
    <mergeCell ref="E21:I21"/>
    <mergeCell ref="B22:D22"/>
    <mergeCell ref="E22:I22"/>
    <mergeCell ref="B23:D23"/>
    <mergeCell ref="E23:I23"/>
  </mergeCells>
  <conditionalFormatting sqref="H7:H16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7">
      <formula>"Média"</formula>
    </cfRule>
    <cfRule type="cellIs" priority="4" operator="equal" aboveAverage="0" equalAverage="0" bottom="0" percent="0" rank="0" text="" dxfId="8">
      <formula>"Baixa"</formula>
    </cfRule>
  </conditionalFormatting>
  <conditionalFormatting sqref="M7:M16">
    <cfRule type="cellIs" priority="5" operator="equal" aboveAverage="0" equalAverage="0" bottom="0" percent="0" rank="0" text="" dxfId="4">
      <formula>"Concluída"</formula>
    </cfRule>
    <cfRule type="cellIs" priority="6" operator="equal" aboveAverage="0" equalAverage="0" bottom="0" percent="0" rank="0" text="" dxfId="5">
      <formula>"Em andamento"</formula>
    </cfRule>
    <cfRule type="cellIs" priority="7" operator="equal" aboveAverage="0" equalAverage="0" bottom="0" percent="0" rank="0" text="" dxfId="6">
      <formula>"Não iniciada"</formula>
    </cfRule>
  </conditionalFormatting>
  <conditionalFormatting sqref="N7:N16">
    <cfRule type="cellIs" priority="8" operator="equal" aboveAverage="0" equalAverage="0" bottom="0" percent="0" rank="0" text="" dxfId="4">
      <formula>"Concluída"</formula>
    </cfRule>
    <cfRule type="cellIs" priority="9" operator="equal" aboveAverage="0" equalAverage="0" bottom="0" percent="0" rank="0" text="" dxfId="4">
      <formula>"No prazo"</formula>
    </cfRule>
    <cfRule type="cellIs" priority="10" operator="equal" aboveAverage="0" equalAverage="0" bottom="0" percent="0" rank="0" text="" dxfId="7">
      <formula>"Aceito"</formula>
    </cfRule>
    <cfRule type="cellIs" priority="11" operator="equal" aboveAverage="0" equalAverage="0" bottom="0" percent="0" rank="0" text="" dxfId="5">
      <formula>"Sem prazo"</formula>
    </cfRule>
    <cfRule type="cellIs" priority="12" operator="equal" aboveAverage="0" equalAverage="0" bottom="0" percent="0" rank="0" text="" dxfId="6">
      <formula>"Atrasada"</formula>
    </cfRule>
    <cfRule type="cellIs" priority="13" operator="equal" aboveAverage="0" equalAverage="0" bottom="0" percent="0" rank="0" text="" dxfId="7">
      <formula>"Sem ação"</formula>
    </cfRule>
  </conditionalFormatting>
  <conditionalFormatting sqref="E23:I23">
    <cfRule type="expression" priority="14" aboveAverage="0" equalAverage="0" bottom="0" percent="0" rank="0" text="" dxfId="4">
      <formula>OR(E23="OK")</formula>
    </cfRule>
    <cfRule type="expression" priority="15" aboveAverage="0" equalAverage="0" bottom="0" percent="0" rank="0" text="" dxfId="5">
      <formula>AND(LEN(E23)&gt;0,NOT(OR(E23="OK")))</formula>
    </cfRule>
  </conditionalFormatting>
  <dataValidations count="4">
    <dataValidation allowBlank="true" error="Digite um número inteiro de 1 a 5." errorStyle="stop" errorTitle="Nota inválida" operator="between" prompt="Número inteiro de 1 a 5, conforme a aba Escalas." promptTitle="Nota" showDropDown="false" showErrorMessage="true" showInputMessage="true" sqref="E7:F16" type="whole">
      <formula1>1</formula1>
      <formula2>5</formula2>
    </dataValidation>
    <dataValidation allowBlank="true" error="Escolha uma das opções da lista." errorStyle="stop" errorTitle="Valor inválido" operator="between" prompt="Aproveitar, Testar ou Não agir agora" promptTitle="Opções" showDropDown="false" showErrorMessage="true" showInputMessage="true" sqref="I7:I16" type="list">
      <formula1>"Aproveitar,Testar,Não agir agora"</formula1>
      <formula2>0</formula2>
    </dataValidation>
    <dataValidation allowBlank="true" error="Escolha uma das opções da lista." errorStyle="stop" errorTitle="Valor inválido" operator="between" prompt="Não iniciada, Em andamento ou Concluída" promptTitle="Opções" showDropDown="false" showErrorMessage="true" showInputMessage="true" sqref="M7:M16" type="list">
      <formula1>"Não iniciada,Em andamento,Concluída"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L7:L16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166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167</v>
      </c>
      <c r="C2" s="2"/>
      <c r="D2" s="2"/>
      <c r="E2" s="2"/>
      <c r="F2" s="2"/>
    </row>
    <row r="4" customFormat="false" ht="21.75" hidden="false" customHeight="true" outlineLevel="0" collapsed="false">
      <c r="B4" s="18" t="s">
        <v>168</v>
      </c>
      <c r="C4" s="18"/>
      <c r="D4" s="18"/>
      <c r="E4" s="18"/>
      <c r="F4" s="18"/>
    </row>
    <row r="5" customFormat="false" ht="21.75" hidden="false" customHeight="true" outlineLevel="0" collapsed="false">
      <c r="B5" s="25" t="s">
        <v>169</v>
      </c>
      <c r="C5" s="25" t="s">
        <v>149</v>
      </c>
      <c r="D5" s="25" t="s">
        <v>170</v>
      </c>
      <c r="E5" s="25" t="s">
        <v>171</v>
      </c>
      <c r="F5" s="25" t="s">
        <v>172</v>
      </c>
    </row>
    <row r="6" customFormat="false" ht="27" hidden="false" customHeight="true" outlineLevel="0" collapsed="false">
      <c r="B6" s="45" t="n">
        <v>1</v>
      </c>
      <c r="C6" s="46" t="s">
        <v>173</v>
      </c>
      <c r="D6" s="7" t="s">
        <v>174</v>
      </c>
      <c r="E6" s="46" t="s">
        <v>175</v>
      </c>
      <c r="F6" s="7" t="s">
        <v>176</v>
      </c>
    </row>
    <row r="7" customFormat="false" ht="27" hidden="false" customHeight="true" outlineLevel="0" collapsed="false">
      <c r="B7" s="45" t="n">
        <v>2</v>
      </c>
      <c r="C7" s="46" t="s">
        <v>177</v>
      </c>
      <c r="D7" s="7" t="s">
        <v>178</v>
      </c>
      <c r="E7" s="46" t="s">
        <v>14</v>
      </c>
      <c r="F7" s="7" t="s">
        <v>179</v>
      </c>
    </row>
    <row r="8" customFormat="false" ht="27" hidden="false" customHeight="true" outlineLevel="0" collapsed="false">
      <c r="B8" s="45" t="n">
        <v>3</v>
      </c>
      <c r="C8" s="46" t="s">
        <v>180</v>
      </c>
      <c r="D8" s="7" t="s">
        <v>181</v>
      </c>
      <c r="E8" s="46" t="s">
        <v>16</v>
      </c>
      <c r="F8" s="7" t="s">
        <v>182</v>
      </c>
    </row>
    <row r="9" customFormat="false" ht="27" hidden="false" customHeight="true" outlineLevel="0" collapsed="false">
      <c r="B9" s="45" t="n">
        <v>4</v>
      </c>
      <c r="C9" s="46" t="s">
        <v>159</v>
      </c>
      <c r="D9" s="7" t="s">
        <v>183</v>
      </c>
      <c r="E9" s="46" t="s">
        <v>18</v>
      </c>
      <c r="F9" s="7" t="s">
        <v>184</v>
      </c>
    </row>
    <row r="10" customFormat="false" ht="27" hidden="false" customHeight="true" outlineLevel="0" collapsed="false">
      <c r="B10" s="45" t="n">
        <v>5</v>
      </c>
      <c r="C10" s="46" t="s">
        <v>185</v>
      </c>
      <c r="D10" s="7" t="s">
        <v>186</v>
      </c>
      <c r="E10" s="46" t="s">
        <v>187</v>
      </c>
      <c r="F10" s="7" t="s">
        <v>188</v>
      </c>
    </row>
    <row r="12" customFormat="false" ht="21.75" hidden="false" customHeight="true" outlineLevel="0" collapsed="false">
      <c r="B12" s="47" t="s">
        <v>189</v>
      </c>
      <c r="C12" s="47"/>
      <c r="D12" s="47"/>
      <c r="E12" s="47"/>
      <c r="F12" s="47"/>
    </row>
    <row r="13" customFormat="false" ht="21.75" hidden="false" customHeight="true" outlineLevel="0" collapsed="false">
      <c r="B13" s="45" t="n">
        <v>1</v>
      </c>
      <c r="C13" s="46" t="s">
        <v>175</v>
      </c>
      <c r="D13" s="7" t="s">
        <v>190</v>
      </c>
      <c r="E13" s="7"/>
      <c r="F13" s="7"/>
    </row>
    <row r="14" customFormat="false" ht="21.75" hidden="false" customHeight="true" outlineLevel="0" collapsed="false">
      <c r="B14" s="45" t="n">
        <v>2</v>
      </c>
      <c r="C14" s="46" t="s">
        <v>14</v>
      </c>
      <c r="D14" s="7" t="s">
        <v>191</v>
      </c>
      <c r="E14" s="7"/>
      <c r="F14" s="7"/>
    </row>
    <row r="15" customFormat="false" ht="21.75" hidden="false" customHeight="true" outlineLevel="0" collapsed="false">
      <c r="B15" s="45" t="n">
        <v>3</v>
      </c>
      <c r="C15" s="46" t="s">
        <v>16</v>
      </c>
      <c r="D15" s="7" t="s">
        <v>192</v>
      </c>
      <c r="E15" s="7"/>
      <c r="F15" s="7"/>
    </row>
    <row r="16" customFormat="false" ht="21.75" hidden="false" customHeight="true" outlineLevel="0" collapsed="false">
      <c r="B16" s="45" t="n">
        <v>4</v>
      </c>
      <c r="C16" s="46" t="s">
        <v>18</v>
      </c>
      <c r="D16" s="7" t="s">
        <v>193</v>
      </c>
      <c r="E16" s="7"/>
      <c r="F16" s="7"/>
    </row>
    <row r="17" customFormat="false" ht="21.75" hidden="false" customHeight="true" outlineLevel="0" collapsed="false">
      <c r="B17" s="45" t="n">
        <v>5</v>
      </c>
      <c r="C17" s="46" t="s">
        <v>187</v>
      </c>
      <c r="D17" s="7" t="s">
        <v>194</v>
      </c>
      <c r="E17" s="7"/>
      <c r="F17" s="7"/>
    </row>
    <row r="19" customFormat="false" ht="21.75" hidden="false" customHeight="true" outlineLevel="0" collapsed="false">
      <c r="B19" s="17" t="s">
        <v>195</v>
      </c>
      <c r="C19" s="17"/>
      <c r="D19" s="17"/>
      <c r="E19" s="17"/>
      <c r="F19" s="17"/>
    </row>
    <row r="20" customFormat="false" ht="21.75" hidden="false" customHeight="true" outlineLevel="0" collapsed="false">
      <c r="B20" s="48"/>
      <c r="C20" s="39" t="s">
        <v>14</v>
      </c>
      <c r="D20" s="9" t="s">
        <v>196</v>
      </c>
      <c r="E20" s="9" t="s">
        <v>197</v>
      </c>
      <c r="F20" s="9"/>
    </row>
    <row r="21" customFormat="false" ht="21.75" hidden="false" customHeight="true" outlineLevel="0" collapsed="false">
      <c r="B21" s="49"/>
      <c r="C21" s="41" t="s">
        <v>16</v>
      </c>
      <c r="D21" s="11" t="s">
        <v>198</v>
      </c>
      <c r="E21" s="11" t="s">
        <v>199</v>
      </c>
      <c r="F21" s="11"/>
    </row>
    <row r="22" customFormat="false" ht="21.75" hidden="false" customHeight="true" outlineLevel="0" collapsed="false">
      <c r="B22" s="50"/>
      <c r="C22" s="42" t="s">
        <v>18</v>
      </c>
      <c r="D22" s="13" t="s">
        <v>200</v>
      </c>
      <c r="E22" s="13" t="s">
        <v>201</v>
      </c>
      <c r="F22" s="13"/>
    </row>
    <row r="23" customFormat="false" ht="21.75" hidden="false" customHeight="true" outlineLevel="0" collapsed="false">
      <c r="B23" s="51"/>
      <c r="C23" s="43" t="s">
        <v>20</v>
      </c>
      <c r="D23" s="15" t="s">
        <v>202</v>
      </c>
      <c r="E23" s="15" t="s">
        <v>203</v>
      </c>
      <c r="F23" s="15"/>
    </row>
    <row r="25" customFormat="false" ht="21.75" hidden="false" customHeight="true" outlineLevel="0" collapsed="false">
      <c r="B25" s="17" t="s">
        <v>204</v>
      </c>
      <c r="C25" s="17"/>
      <c r="D25" s="17"/>
      <c r="E25" s="17"/>
      <c r="F25" s="17"/>
    </row>
    <row r="26" customFormat="false" ht="21.75" hidden="false" customHeight="true" outlineLevel="0" collapsed="false">
      <c r="B26" s="6"/>
      <c r="C26" s="25" t="s">
        <v>75</v>
      </c>
      <c r="D26" s="25" t="s">
        <v>205</v>
      </c>
      <c r="E26" s="25" t="s">
        <v>206</v>
      </c>
      <c r="F26" s="25" t="s">
        <v>207</v>
      </c>
    </row>
    <row r="27" customFormat="false" ht="42" hidden="false" customHeight="true" outlineLevel="0" collapsed="false">
      <c r="B27" s="23" t="n">
        <v>1</v>
      </c>
      <c r="C27" s="46" t="s">
        <v>208</v>
      </c>
      <c r="D27" s="7" t="s">
        <v>209</v>
      </c>
      <c r="E27" s="7" t="s">
        <v>210</v>
      </c>
      <c r="F27" s="7" t="s">
        <v>211</v>
      </c>
    </row>
    <row r="28" customFormat="false" ht="42" hidden="false" customHeight="true" outlineLevel="0" collapsed="false">
      <c r="B28" s="23" t="n">
        <v>2</v>
      </c>
      <c r="C28" s="46" t="s">
        <v>112</v>
      </c>
      <c r="D28" s="7" t="s">
        <v>212</v>
      </c>
      <c r="E28" s="7" t="s">
        <v>213</v>
      </c>
      <c r="F28" s="7" t="s">
        <v>214</v>
      </c>
    </row>
    <row r="29" customFormat="false" ht="42" hidden="false" customHeight="true" outlineLevel="0" collapsed="false">
      <c r="B29" s="23" t="n">
        <v>3</v>
      </c>
      <c r="C29" s="46" t="s">
        <v>215</v>
      </c>
      <c r="D29" s="7" t="s">
        <v>216</v>
      </c>
      <c r="E29" s="7" t="s">
        <v>217</v>
      </c>
      <c r="F29" s="7" t="s">
        <v>218</v>
      </c>
    </row>
    <row r="30" customFormat="false" ht="42" hidden="false" customHeight="true" outlineLevel="0" collapsed="false">
      <c r="B30" s="23" t="n">
        <v>4</v>
      </c>
      <c r="C30" s="46" t="s">
        <v>219</v>
      </c>
      <c r="D30" s="7" t="s">
        <v>220</v>
      </c>
      <c r="E30" s="7" t="s">
        <v>221</v>
      </c>
      <c r="F30" s="7" t="s">
        <v>222</v>
      </c>
    </row>
  </sheetData>
  <mergeCells count="15">
    <mergeCell ref="B1:F1"/>
    <mergeCell ref="B2:F2"/>
    <mergeCell ref="B4:F4"/>
    <mergeCell ref="B12:F12"/>
    <mergeCell ref="D13:F13"/>
    <mergeCell ref="D14:F14"/>
    <mergeCell ref="D15:F15"/>
    <mergeCell ref="D16:F16"/>
    <mergeCell ref="D17:F17"/>
    <mergeCell ref="B19:F19"/>
    <mergeCell ref="E20:F20"/>
    <mergeCell ref="E21:F21"/>
    <mergeCell ref="E22:F22"/>
    <mergeCell ref="E23:F23"/>
    <mergeCell ref="B25:F2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223</v>
      </c>
      <c r="C1" s="1"/>
      <c r="D1" s="1"/>
      <c r="E1" s="1"/>
    </row>
    <row r="2" customFormat="false" ht="19.5" hidden="false" customHeight="true" outlineLevel="0" collapsed="false">
      <c r="B2" s="2" t="s">
        <v>224</v>
      </c>
      <c r="C2" s="2"/>
      <c r="D2" s="2"/>
      <c r="E2" s="2"/>
    </row>
    <row r="4" customFormat="false" ht="21.75" hidden="false" customHeight="true" outlineLevel="0" collapsed="false">
      <c r="B4" s="19" t="s">
        <v>77</v>
      </c>
      <c r="C4" s="19" t="s">
        <v>225</v>
      </c>
      <c r="D4" s="19" t="s">
        <v>89</v>
      </c>
      <c r="E4" s="19" t="s">
        <v>226</v>
      </c>
    </row>
    <row r="5" customFormat="false" ht="30" hidden="false" customHeight="true" outlineLevel="0" collapsed="false">
      <c r="B5" s="23" t="n">
        <v>1</v>
      </c>
      <c r="C5" s="6" t="s">
        <v>227</v>
      </c>
      <c r="D5" s="24"/>
      <c r="E5" s="5"/>
    </row>
    <row r="6" customFormat="false" ht="30" hidden="false" customHeight="true" outlineLevel="0" collapsed="false">
      <c r="B6" s="23" t="n">
        <v>2</v>
      </c>
      <c r="C6" s="6" t="s">
        <v>228</v>
      </c>
      <c r="D6" s="24"/>
      <c r="E6" s="5"/>
    </row>
    <row r="7" customFormat="false" ht="30" hidden="false" customHeight="true" outlineLevel="0" collapsed="false">
      <c r="B7" s="23" t="n">
        <v>3</v>
      </c>
      <c r="C7" s="6" t="s">
        <v>229</v>
      </c>
      <c r="D7" s="24"/>
      <c r="E7" s="5"/>
    </row>
    <row r="8" customFormat="false" ht="30" hidden="false" customHeight="true" outlineLevel="0" collapsed="false">
      <c r="B8" s="23" t="n">
        <v>4</v>
      </c>
      <c r="C8" s="6" t="s">
        <v>230</v>
      </c>
      <c r="D8" s="24"/>
      <c r="E8" s="5"/>
    </row>
    <row r="9" customFormat="false" ht="30" hidden="false" customHeight="true" outlineLevel="0" collapsed="false">
      <c r="B9" s="23" t="n">
        <v>5</v>
      </c>
      <c r="C9" s="6" t="s">
        <v>231</v>
      </c>
      <c r="D9" s="24"/>
      <c r="E9" s="5"/>
    </row>
    <row r="10" customFormat="false" ht="30" hidden="false" customHeight="true" outlineLevel="0" collapsed="false">
      <c r="B10" s="23" t="n">
        <v>6</v>
      </c>
      <c r="C10" s="6" t="s">
        <v>232</v>
      </c>
      <c r="D10" s="24"/>
      <c r="E10" s="5"/>
    </row>
    <row r="11" customFormat="false" ht="30" hidden="false" customHeight="true" outlineLevel="0" collapsed="false">
      <c r="B11" s="23" t="n">
        <v>7</v>
      </c>
      <c r="C11" s="6" t="s">
        <v>233</v>
      </c>
      <c r="D11" s="24"/>
      <c r="E11" s="5"/>
    </row>
    <row r="12" customFormat="false" ht="30" hidden="false" customHeight="true" outlineLevel="0" collapsed="false">
      <c r="B12" s="23" t="n">
        <v>8</v>
      </c>
      <c r="C12" s="6" t="s">
        <v>234</v>
      </c>
      <c r="D12" s="24"/>
      <c r="E12" s="5"/>
    </row>
    <row r="13" customFormat="false" ht="30" hidden="false" customHeight="true" outlineLevel="0" collapsed="false">
      <c r="B13" s="23" t="n">
        <v>9</v>
      </c>
      <c r="C13" s="6" t="s">
        <v>235</v>
      </c>
      <c r="D13" s="24"/>
      <c r="E13" s="5"/>
    </row>
    <row r="14" customFormat="false" ht="30" hidden="false" customHeight="true" outlineLevel="0" collapsed="false">
      <c r="B14" s="23" t="n">
        <v>10</v>
      </c>
      <c r="C14" s="6" t="s">
        <v>236</v>
      </c>
      <c r="D14" s="24"/>
      <c r="E14" s="5"/>
    </row>
    <row r="15" customFormat="false" ht="30" hidden="false" customHeight="true" outlineLevel="0" collapsed="false">
      <c r="B15" s="23" t="n">
        <v>11</v>
      </c>
      <c r="C15" s="6" t="s">
        <v>237</v>
      </c>
      <c r="D15" s="24"/>
      <c r="E15" s="5"/>
    </row>
    <row r="16" customFormat="false" ht="30" hidden="false" customHeight="true" outlineLevel="0" collapsed="false">
      <c r="B16" s="23" t="n">
        <v>12</v>
      </c>
      <c r="C16" s="6" t="s">
        <v>238</v>
      </c>
      <c r="D16" s="24"/>
      <c r="E16" s="5"/>
    </row>
    <row r="18" customFormat="false" ht="21.75" hidden="false" customHeight="true" outlineLevel="0" collapsed="false">
      <c r="B18" s="17" t="s">
        <v>119</v>
      </c>
      <c r="C18" s="17"/>
      <c r="D18" s="17"/>
      <c r="E18" s="17"/>
    </row>
    <row r="19" customFormat="false" ht="19.5" hidden="false" customHeight="true" outlineLevel="0" collapsed="false">
      <c r="B19" s="29" t="s">
        <v>239</v>
      </c>
      <c r="C19" s="29"/>
      <c r="D19" s="25" t="n">
        <f aca="false">COUNTIF(D5:D16,"Sim")</f>
        <v>0</v>
      </c>
    </row>
    <row r="20" customFormat="false" ht="19.5" hidden="false" customHeight="true" outlineLevel="0" collapsed="false">
      <c r="B20" s="29" t="s">
        <v>240</v>
      </c>
      <c r="C20" s="29"/>
      <c r="D20" s="25" t="n">
        <f aca="false">COUNTIF(D5:D16,"Parcial")</f>
        <v>0</v>
      </c>
    </row>
    <row r="21" customFormat="false" ht="19.5" hidden="false" customHeight="true" outlineLevel="0" collapsed="false">
      <c r="B21" s="29" t="s">
        <v>241</v>
      </c>
      <c r="C21" s="29"/>
      <c r="D21" s="25" t="n">
        <f aca="false">COUNTIF(D5:D16,"Não")</f>
        <v>0</v>
      </c>
    </row>
    <row r="22" customFormat="false" ht="19.5" hidden="false" customHeight="true" outlineLevel="0" collapsed="false">
      <c r="B22" s="29" t="s">
        <v>242</v>
      </c>
      <c r="C22" s="29"/>
      <c r="D22" s="25" t="n">
        <f aca="false">COUNTBLANK(D5:D16)</f>
        <v>12</v>
      </c>
    </row>
    <row r="23" customFormat="false" ht="19.5" hidden="false" customHeight="true" outlineLevel="0" collapsed="false">
      <c r="B23" s="29" t="s">
        <v>243</v>
      </c>
      <c r="C23" s="29"/>
      <c r="D23" s="52" t="n">
        <f aca="false">D19/ROWS(D5:D16)</f>
        <v>0</v>
      </c>
    </row>
    <row r="24" customFormat="false" ht="19.5" hidden="false" customHeight="true" outlineLevel="0" collapsed="false">
      <c r="B24" s="29" t="s">
        <v>61</v>
      </c>
      <c r="C24" s="29"/>
      <c r="D24" s="25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4">
      <formula>"Sim"</formula>
    </cfRule>
    <cfRule type="cellIs" priority="3" operator="equal" aboveAverage="0" equalAverage="0" bottom="0" percent="0" rank="0" text="" dxfId="5">
      <formula>"Parcial"</formula>
    </cfRule>
    <cfRule type="cellIs" priority="4" operator="equal" aboveAverage="0" equalAverage="0" bottom="0" percent="0" rank="0" text="" dxfId="6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R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5" min="4" style="0" width="24"/>
    <col collapsed="false" customWidth="true" hidden="false" outlineLevel="0" max="6" min="6" style="0" width="26"/>
    <col collapsed="false" customWidth="true" hidden="false" outlineLevel="0" max="8" min="7" style="0" width="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40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6" min="15" style="0" width="7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244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67</v>
      </c>
      <c r="C4" s="4"/>
      <c r="D4" s="53" t="s">
        <v>245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</row>
    <row r="5" customFormat="false" ht="21.75" hidden="false" customHeight="true" outlineLevel="0" collapsed="false">
      <c r="B5" s="4" t="s">
        <v>68</v>
      </c>
      <c r="C5" s="4"/>
      <c r="D5" s="53" t="s">
        <v>246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 customFormat="false" ht="21.75" hidden="false" customHeight="true" outlineLevel="0" collapsed="false">
      <c r="B6" s="4" t="s">
        <v>70</v>
      </c>
      <c r="C6" s="4"/>
      <c r="D6" s="53" t="s">
        <v>247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</row>
    <row r="7" customFormat="false" ht="21.75" hidden="false" customHeight="true" outlineLevel="0" collapsed="false">
      <c r="B7" s="4" t="s">
        <v>248</v>
      </c>
      <c r="C7" s="4"/>
      <c r="D7" s="53" t="s">
        <v>249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customFormat="false" ht="21.75" hidden="false" customHeight="true" outlineLevel="0" collapsed="false">
      <c r="B8" s="4" t="s">
        <v>250</v>
      </c>
      <c r="C8" s="4"/>
      <c r="D8" s="53" t="s">
        <v>251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</row>
    <row r="9" customFormat="false" ht="21.75" hidden="false" customHeight="true" outlineLevel="0" collapsed="false">
      <c r="B9" s="4" t="s">
        <v>72</v>
      </c>
      <c r="C9" s="4"/>
      <c r="D9" s="54" t="n">
        <v>46482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</row>
    <row r="11" customFormat="false" ht="21.75" hidden="false" customHeight="true" outlineLevel="0" collapsed="false">
      <c r="B11" s="17" t="s">
        <v>73</v>
      </c>
      <c r="C11" s="17"/>
      <c r="D11" s="17"/>
      <c r="E11" s="17"/>
      <c r="F11" s="17"/>
      <c r="G11" s="18" t="s">
        <v>74</v>
      </c>
      <c r="H11" s="18"/>
      <c r="I11" s="18"/>
      <c r="J11" s="18"/>
      <c r="K11" s="17" t="s">
        <v>75</v>
      </c>
      <c r="L11" s="17"/>
      <c r="M11" s="17"/>
      <c r="N11" s="17"/>
      <c r="O11" s="18" t="s">
        <v>57</v>
      </c>
      <c r="P11" s="18"/>
      <c r="Q11" s="18"/>
      <c r="R11" s="18"/>
    </row>
    <row r="12" customFormat="false" ht="24" hidden="false" customHeight="true" outlineLevel="0" collapsed="false">
      <c r="B12" s="25" t="s">
        <v>252</v>
      </c>
      <c r="C12" s="25" t="s">
        <v>78</v>
      </c>
      <c r="D12" s="25" t="s">
        <v>79</v>
      </c>
      <c r="E12" s="25" t="s">
        <v>80</v>
      </c>
      <c r="F12" s="25" t="s">
        <v>81</v>
      </c>
      <c r="G12" s="25" t="s">
        <v>82</v>
      </c>
      <c r="H12" s="25" t="s">
        <v>83</v>
      </c>
      <c r="I12" s="25" t="s">
        <v>84</v>
      </c>
      <c r="J12" s="25" t="s">
        <v>85</v>
      </c>
      <c r="K12" s="25" t="s">
        <v>75</v>
      </c>
      <c r="L12" s="25" t="s">
        <v>86</v>
      </c>
      <c r="M12" s="25" t="s">
        <v>87</v>
      </c>
      <c r="N12" s="25" t="s">
        <v>88</v>
      </c>
      <c r="O12" s="25" t="s">
        <v>82</v>
      </c>
      <c r="P12" s="25" t="s">
        <v>83</v>
      </c>
      <c r="Q12" s="25" t="s">
        <v>84</v>
      </c>
      <c r="R12" s="25" t="s">
        <v>85</v>
      </c>
    </row>
    <row r="13" customFormat="false" ht="36" hidden="false" customHeight="true" outlineLevel="0" collapsed="false">
      <c r="B13" s="25" t="s">
        <v>253</v>
      </c>
      <c r="C13" s="7" t="s">
        <v>254</v>
      </c>
      <c r="D13" s="7" t="s">
        <v>255</v>
      </c>
      <c r="E13" s="7" t="s">
        <v>256</v>
      </c>
      <c r="F13" s="7" t="s">
        <v>257</v>
      </c>
      <c r="G13" s="55" t="n">
        <v>4</v>
      </c>
      <c r="H13" s="55" t="n">
        <v>3</v>
      </c>
      <c r="I13" s="25" t="n">
        <f aca="false">G13*H13</f>
        <v>12</v>
      </c>
      <c r="J13" s="26" t="str">
        <f aca="false">IF(I13="","",IF(I13&gt;=20,"Crítico",IF(I13&gt;=10,"Alto",IF(I13&gt;=5,"Médio","Baixo"))))</f>
        <v>Alto</v>
      </c>
      <c r="K13" s="55" t="s">
        <v>112</v>
      </c>
      <c r="L13" s="7" t="s">
        <v>258</v>
      </c>
      <c r="M13" s="7" t="s">
        <v>259</v>
      </c>
      <c r="N13" s="56" t="n">
        <v>46325</v>
      </c>
      <c r="O13" s="55" t="n">
        <v>2</v>
      </c>
      <c r="P13" s="55" t="n">
        <v>3</v>
      </c>
      <c r="Q13" s="25" t="n">
        <f aca="false">O13*P13</f>
        <v>6</v>
      </c>
      <c r="R13" s="26" t="str">
        <f aca="false">IF(Q13="","",IF(Q13&gt;=20,"Crítico",IF(Q13&gt;=10,"Alto",IF(Q13&gt;=5,"Médio","Baixo"))))</f>
        <v>Médio</v>
      </c>
    </row>
    <row r="14" customFormat="false" ht="36" hidden="false" customHeight="true" outlineLevel="0" collapsed="false">
      <c r="B14" s="25" t="s">
        <v>260</v>
      </c>
      <c r="C14" s="7" t="s">
        <v>261</v>
      </c>
      <c r="D14" s="7" t="s">
        <v>262</v>
      </c>
      <c r="E14" s="7" t="s">
        <v>263</v>
      </c>
      <c r="F14" s="7" t="s">
        <v>264</v>
      </c>
      <c r="G14" s="55" t="n">
        <v>3</v>
      </c>
      <c r="H14" s="55" t="n">
        <v>4</v>
      </c>
      <c r="I14" s="25" t="n">
        <f aca="false">G14*H14</f>
        <v>12</v>
      </c>
      <c r="J14" s="26" t="str">
        <f aca="false">IF(I14="","",IF(I14&gt;=20,"Crítico",IF(I14&gt;=10,"Alto",IF(I14&gt;=5,"Médio","Baixo"))))</f>
        <v>Alto</v>
      </c>
      <c r="K14" s="55" t="s">
        <v>112</v>
      </c>
      <c r="L14" s="7" t="s">
        <v>265</v>
      </c>
      <c r="M14" s="7" t="s">
        <v>266</v>
      </c>
      <c r="N14" s="56" t="n">
        <v>46318</v>
      </c>
      <c r="O14" s="55" t="n">
        <v>3</v>
      </c>
      <c r="P14" s="55" t="n">
        <v>2</v>
      </c>
      <c r="Q14" s="25" t="n">
        <f aca="false">O14*P14</f>
        <v>6</v>
      </c>
      <c r="R14" s="26" t="str">
        <f aca="false">IF(Q14="","",IF(Q14&gt;=20,"Crítico",IF(Q14&gt;=10,"Alto",IF(Q14&gt;=5,"Médio","Baixo"))))</f>
        <v>Médio</v>
      </c>
    </row>
    <row r="15" customFormat="false" ht="36" hidden="false" customHeight="true" outlineLevel="0" collapsed="false">
      <c r="B15" s="25" t="s">
        <v>267</v>
      </c>
      <c r="C15" s="7" t="s">
        <v>268</v>
      </c>
      <c r="D15" s="7" t="s">
        <v>269</v>
      </c>
      <c r="E15" s="7" t="s">
        <v>270</v>
      </c>
      <c r="F15" s="7" t="s">
        <v>271</v>
      </c>
      <c r="G15" s="55" t="n">
        <v>2</v>
      </c>
      <c r="H15" s="55" t="n">
        <v>5</v>
      </c>
      <c r="I15" s="25" t="n">
        <f aca="false">G15*H15</f>
        <v>10</v>
      </c>
      <c r="J15" s="26" t="str">
        <f aca="false">IF(I15="","",IF(I15&gt;=20,"Crítico",IF(I15&gt;=10,"Alto",IF(I15&gt;=5,"Médio","Baixo"))))</f>
        <v>Alto</v>
      </c>
      <c r="K15" s="55" t="s">
        <v>112</v>
      </c>
      <c r="L15" s="7" t="s">
        <v>272</v>
      </c>
      <c r="M15" s="7" t="s">
        <v>273</v>
      </c>
      <c r="N15" s="56" t="n">
        <v>46339</v>
      </c>
      <c r="O15" s="55" t="n">
        <v>1</v>
      </c>
      <c r="P15" s="55" t="n">
        <v>5</v>
      </c>
      <c r="Q15" s="25" t="n">
        <f aca="false">O15*P15</f>
        <v>5</v>
      </c>
      <c r="R15" s="26" t="str">
        <f aca="false">IF(Q15="","",IF(Q15&gt;=20,"Crítico",IF(Q15&gt;=10,"Alto",IF(Q15&gt;=5,"Médio","Baixo"))))</f>
        <v>Médio</v>
      </c>
    </row>
    <row r="16" customFormat="false" ht="36" hidden="false" customHeight="true" outlineLevel="0" collapsed="false">
      <c r="B16" s="25" t="s">
        <v>274</v>
      </c>
      <c r="C16" s="7" t="s">
        <v>275</v>
      </c>
      <c r="D16" s="7" t="s">
        <v>276</v>
      </c>
      <c r="E16" s="7" t="s">
        <v>277</v>
      </c>
      <c r="F16" s="7" t="s">
        <v>278</v>
      </c>
      <c r="G16" s="55" t="n">
        <v>3</v>
      </c>
      <c r="H16" s="55" t="n">
        <v>3</v>
      </c>
      <c r="I16" s="25" t="n">
        <f aca="false">G16*H16</f>
        <v>9</v>
      </c>
      <c r="J16" s="26" t="str">
        <f aca="false">IF(I16="","",IF(I16&gt;=20,"Crítico",IF(I16&gt;=10,"Alto",IF(I16&gt;=5,"Médio","Baixo"))))</f>
        <v>Médio</v>
      </c>
      <c r="K16" s="55" t="s">
        <v>112</v>
      </c>
      <c r="L16" s="7" t="s">
        <v>279</v>
      </c>
      <c r="M16" s="7" t="s">
        <v>280</v>
      </c>
      <c r="N16" s="56" t="n">
        <v>46353</v>
      </c>
      <c r="O16" s="55" t="n">
        <v>2</v>
      </c>
      <c r="P16" s="55" t="n">
        <v>2</v>
      </c>
      <c r="Q16" s="25" t="n">
        <f aca="false">O16*P16</f>
        <v>4</v>
      </c>
      <c r="R16" s="26" t="str">
        <f aca="false">IF(Q16="","",IF(Q16&gt;=20,"Crítico",IF(Q16&gt;=10,"Alto",IF(Q16&gt;=5,"Médio","Baixo"))))</f>
        <v>Baixo</v>
      </c>
    </row>
    <row r="17" customFormat="false" ht="36" hidden="false" customHeight="true" outlineLevel="0" collapsed="false">
      <c r="B17" s="25" t="s">
        <v>281</v>
      </c>
      <c r="C17" s="7" t="s">
        <v>254</v>
      </c>
      <c r="D17" s="7" t="s">
        <v>282</v>
      </c>
      <c r="E17" s="7" t="s">
        <v>283</v>
      </c>
      <c r="F17" s="7" t="s">
        <v>284</v>
      </c>
      <c r="G17" s="55" t="n">
        <v>2</v>
      </c>
      <c r="H17" s="55" t="n">
        <v>5</v>
      </c>
      <c r="I17" s="25" t="n">
        <f aca="false">G17*H17</f>
        <v>10</v>
      </c>
      <c r="J17" s="26" t="str">
        <f aca="false">IF(I17="","",IF(I17&gt;=20,"Crítico",IF(I17&gt;=10,"Alto",IF(I17&gt;=5,"Médio","Baixo"))))</f>
        <v>Alto</v>
      </c>
      <c r="K17" s="55" t="s">
        <v>215</v>
      </c>
      <c r="L17" s="7" t="s">
        <v>285</v>
      </c>
      <c r="M17" s="7" t="s">
        <v>259</v>
      </c>
      <c r="N17" s="56" t="n">
        <v>46339</v>
      </c>
      <c r="O17" s="55" t="n">
        <v>1</v>
      </c>
      <c r="P17" s="55" t="n">
        <v>5</v>
      </c>
      <c r="Q17" s="25" t="n">
        <f aca="false">O17*P17</f>
        <v>5</v>
      </c>
      <c r="R17" s="26" t="str">
        <f aca="false">IF(Q17="","",IF(Q17&gt;=20,"Crítico",IF(Q17&gt;=10,"Alto",IF(Q17&gt;=5,"Médio","Baixo"))))</f>
        <v>Médio</v>
      </c>
    </row>
    <row r="18" customFormat="false" ht="36" hidden="false" customHeight="true" outlineLevel="0" collapsed="false">
      <c r="B18" s="25" t="s">
        <v>286</v>
      </c>
      <c r="C18" s="7" t="s">
        <v>287</v>
      </c>
      <c r="D18" s="7" t="s">
        <v>288</v>
      </c>
      <c r="E18" s="7" t="s">
        <v>289</v>
      </c>
      <c r="F18" s="7" t="s">
        <v>290</v>
      </c>
      <c r="G18" s="55" t="n">
        <v>2</v>
      </c>
      <c r="H18" s="55" t="n">
        <v>4</v>
      </c>
      <c r="I18" s="25" t="n">
        <f aca="false">G18*H18</f>
        <v>8</v>
      </c>
      <c r="J18" s="26" t="str">
        <f aca="false">IF(I18="","",IF(I18&gt;=20,"Crítico",IF(I18&gt;=10,"Alto",IF(I18&gt;=5,"Médio","Baixo"))))</f>
        <v>Médio</v>
      </c>
      <c r="K18" s="55" t="s">
        <v>112</v>
      </c>
      <c r="L18" s="7" t="s">
        <v>291</v>
      </c>
      <c r="M18" s="7" t="s">
        <v>273</v>
      </c>
      <c r="N18" s="56" t="n">
        <v>46353</v>
      </c>
      <c r="O18" s="55" t="n">
        <v>2</v>
      </c>
      <c r="P18" s="55" t="n">
        <v>2</v>
      </c>
      <c r="Q18" s="25" t="n">
        <f aca="false">O18*P18</f>
        <v>4</v>
      </c>
      <c r="R18" s="26" t="str">
        <f aca="false">IF(Q18="","",IF(Q18&gt;=20,"Crítico",IF(Q18&gt;=10,"Alto",IF(Q18&gt;=5,"Médio","Baixo"))))</f>
        <v>Baixo</v>
      </c>
    </row>
    <row r="19" customFormat="false" ht="36" hidden="false" customHeight="true" outlineLevel="0" collapsed="false">
      <c r="B19" s="25" t="s">
        <v>292</v>
      </c>
      <c r="C19" s="7" t="s">
        <v>275</v>
      </c>
      <c r="D19" s="7" t="s">
        <v>293</v>
      </c>
      <c r="E19" s="7" t="s">
        <v>294</v>
      </c>
      <c r="F19" s="7" t="s">
        <v>295</v>
      </c>
      <c r="G19" s="55" t="n">
        <v>4</v>
      </c>
      <c r="H19" s="55" t="n">
        <v>2</v>
      </c>
      <c r="I19" s="25" t="n">
        <f aca="false">G19*H19</f>
        <v>8</v>
      </c>
      <c r="J19" s="26" t="str">
        <f aca="false">IF(I19="","",IF(I19&gt;=20,"Crítico",IF(I19&gt;=10,"Alto",IF(I19&gt;=5,"Médio","Baixo"))))</f>
        <v>Médio</v>
      </c>
      <c r="K19" s="55" t="s">
        <v>219</v>
      </c>
      <c r="L19" s="7" t="s">
        <v>296</v>
      </c>
      <c r="M19" s="7" t="s">
        <v>280</v>
      </c>
      <c r="N19" s="56" t="s">
        <v>297</v>
      </c>
      <c r="O19" s="55" t="n">
        <v>4</v>
      </c>
      <c r="P19" s="55" t="n">
        <v>2</v>
      </c>
      <c r="Q19" s="25" t="n">
        <f aca="false">O19*P19</f>
        <v>8</v>
      </c>
      <c r="R19" s="26" t="str">
        <f aca="false">IF(Q19="","",IF(Q19&gt;=20,"Crítico",IF(Q19&gt;=10,"Alto",IF(Q19&gt;=5,"Médio","Baixo"))))</f>
        <v>Médio</v>
      </c>
    </row>
    <row r="20" customFormat="false" ht="36" hidden="false" customHeight="true" outlineLevel="0" collapsed="false">
      <c r="B20" s="25" t="s">
        <v>298</v>
      </c>
      <c r="C20" s="7" t="s">
        <v>287</v>
      </c>
      <c r="D20" s="7" t="s">
        <v>299</v>
      </c>
      <c r="E20" s="7" t="s">
        <v>300</v>
      </c>
      <c r="F20" s="7" t="s">
        <v>301</v>
      </c>
      <c r="G20" s="55" t="n">
        <v>2</v>
      </c>
      <c r="H20" s="55" t="n">
        <v>5</v>
      </c>
      <c r="I20" s="25" t="n">
        <f aca="false">G20*H20</f>
        <v>10</v>
      </c>
      <c r="J20" s="26" t="str">
        <f aca="false">IF(I20="","",IF(I20&gt;=20,"Crítico",IF(I20&gt;=10,"Alto",IF(I20&gt;=5,"Médio","Baixo"))))</f>
        <v>Alto</v>
      </c>
      <c r="K20" s="55" t="s">
        <v>208</v>
      </c>
      <c r="L20" s="7" t="s">
        <v>302</v>
      </c>
      <c r="M20" s="7" t="s">
        <v>280</v>
      </c>
      <c r="N20" s="56" t="n">
        <v>46311</v>
      </c>
      <c r="O20" s="55" t="n">
        <v>1</v>
      </c>
      <c r="P20" s="55" t="n">
        <v>5</v>
      </c>
      <c r="Q20" s="25" t="n">
        <f aca="false">O20*P20</f>
        <v>5</v>
      </c>
      <c r="R20" s="26" t="str">
        <f aca="false">IF(Q20="","",IF(Q20&gt;=20,"Crítico",IF(Q20&gt;=10,"Alto",IF(Q20&gt;=5,"Médio","Baixo"))))</f>
        <v>Médio</v>
      </c>
    </row>
    <row r="22" customFormat="false" ht="21.75" hidden="false" customHeight="true" outlineLevel="0" collapsed="false">
      <c r="B22" s="17" t="s">
        <v>303</v>
      </c>
      <c r="C22" s="17"/>
      <c r="D22" s="17"/>
      <c r="E22" s="17"/>
      <c r="F22" s="17"/>
    </row>
    <row r="23" customFormat="false" ht="21.75" hidden="false" customHeight="true" outlineLevel="0" collapsed="false">
      <c r="B23" s="19" t="s">
        <v>85</v>
      </c>
      <c r="C23" s="19"/>
      <c r="D23" s="19"/>
      <c r="E23" s="19" t="s">
        <v>140</v>
      </c>
      <c r="F23" s="19" t="s">
        <v>141</v>
      </c>
    </row>
    <row r="24" customFormat="false" ht="21.75" hidden="false" customHeight="true" outlineLevel="0" collapsed="false">
      <c r="B24" s="39" t="s">
        <v>14</v>
      </c>
      <c r="C24" s="39"/>
      <c r="D24" s="39"/>
      <c r="E24" s="40" t="n">
        <f aca="false">COUNTIF($J$13:$J$20,"Baixo")</f>
        <v>0</v>
      </c>
      <c r="F24" s="40" t="n">
        <f aca="false">COUNTIF($R$13:$R$20,"Baixo")</f>
        <v>2</v>
      </c>
    </row>
    <row r="25" customFormat="false" ht="21.75" hidden="false" customHeight="true" outlineLevel="0" collapsed="false">
      <c r="B25" s="41" t="s">
        <v>16</v>
      </c>
      <c r="C25" s="41"/>
      <c r="D25" s="41"/>
      <c r="E25" s="40" t="n">
        <f aca="false">COUNTIF($J$13:$J$20,"Médio")</f>
        <v>3</v>
      </c>
      <c r="F25" s="40" t="n">
        <f aca="false">COUNTIF($R$13:$R$20,"Médio")</f>
        <v>6</v>
      </c>
    </row>
    <row r="26" customFormat="false" ht="21.75" hidden="false" customHeight="true" outlineLevel="0" collapsed="false">
      <c r="B26" s="42" t="s">
        <v>18</v>
      </c>
      <c r="C26" s="42"/>
      <c r="D26" s="42"/>
      <c r="E26" s="40" t="n">
        <f aca="false">COUNTIF($J$13:$J$20,"Alto")</f>
        <v>5</v>
      </c>
      <c r="F26" s="40" t="n">
        <f aca="false">COUNTIF($R$13:$R$20,"Alto")</f>
        <v>0</v>
      </c>
    </row>
    <row r="27" customFormat="false" ht="21.75" hidden="false" customHeight="true" outlineLevel="0" collapsed="false">
      <c r="B27" s="43" t="s">
        <v>20</v>
      </c>
      <c r="C27" s="43"/>
      <c r="D27" s="43"/>
      <c r="E27" s="40" t="n">
        <f aca="false">COUNTIF($J$13:$J$20,"Crítico")</f>
        <v>0</v>
      </c>
      <c r="F27" s="40" t="n">
        <f aca="false">COUNTIF($R$13:$R$20,"Crítico")</f>
        <v>0</v>
      </c>
    </row>
    <row r="29" customFormat="false" ht="21.75" hidden="false" customHeight="true" outlineLevel="0" collapsed="false">
      <c r="B29" s="17" t="s">
        <v>119</v>
      </c>
      <c r="C29" s="17"/>
      <c r="D29" s="17"/>
      <c r="E29" s="17"/>
      <c r="F29" s="17"/>
    </row>
    <row r="30" customFormat="false" ht="21.75" hidden="false" customHeight="true" outlineLevel="0" collapsed="false">
      <c r="B30" s="29" t="s">
        <v>142</v>
      </c>
      <c r="C30" s="29"/>
      <c r="D30" s="29"/>
      <c r="E30" s="30" t="n">
        <f aca="false">COUNT(I13:I20)</f>
        <v>8</v>
      </c>
      <c r="F30" s="30"/>
    </row>
    <row r="31" customFormat="false" ht="21.75" hidden="false" customHeight="true" outlineLevel="0" collapsed="false">
      <c r="B31" s="29" t="s">
        <v>143</v>
      </c>
      <c r="C31" s="29"/>
      <c r="D31" s="29"/>
      <c r="E31" s="30" t="n">
        <f aca="false">E26+E27</f>
        <v>5</v>
      </c>
      <c r="F31" s="30"/>
    </row>
    <row r="32" customFormat="false" ht="21.75" hidden="false" customHeight="true" outlineLevel="0" collapsed="false">
      <c r="B32" s="29" t="s">
        <v>144</v>
      </c>
      <c r="C32" s="29"/>
      <c r="D32" s="29"/>
      <c r="E32" s="30" t="n">
        <f aca="false">F26+F27</f>
        <v>0</v>
      </c>
      <c r="F32" s="30"/>
    </row>
    <row r="33" customFormat="false" ht="21.75" hidden="false" customHeight="true" outlineLevel="0" collapsed="false">
      <c r="B33" s="29" t="s">
        <v>145</v>
      </c>
      <c r="C33" s="29"/>
      <c r="D33" s="29"/>
      <c r="E33" s="44" t="n">
        <f aca="false">AVERAGE(I13:I20)</f>
        <v>9.875</v>
      </c>
      <c r="F33" s="44"/>
    </row>
    <row r="34" customFormat="false" ht="21.75" hidden="false" customHeight="true" outlineLevel="0" collapsed="false">
      <c r="B34" s="29" t="s">
        <v>146</v>
      </c>
      <c r="C34" s="29"/>
      <c r="D34" s="29"/>
      <c r="E34" s="44" t="n">
        <f aca="false">AVERAGE(Q13:Q20)</f>
        <v>5.375</v>
      </c>
      <c r="F34" s="44"/>
    </row>
    <row r="35" customFormat="false" ht="21.75" hidden="false" customHeight="true" outlineLevel="0" collapsed="false">
      <c r="B35" s="29" t="s">
        <v>304</v>
      </c>
      <c r="C35" s="29"/>
      <c r="D35" s="29"/>
      <c r="E35" s="30" t="n">
        <f aca="false">COUNTIF(H13:H20,5)</f>
        <v>3</v>
      </c>
      <c r="F35" s="30"/>
    </row>
    <row r="36" customFormat="false" ht="21.75" hidden="false" customHeight="true" outlineLevel="0" collapsed="false">
      <c r="B36" s="29" t="s">
        <v>122</v>
      </c>
      <c r="C36" s="29"/>
      <c r="D36" s="29"/>
      <c r="E36" s="30" t="n">
        <f aca="false">COUNTIF(K13:K20,"Aceitar")</f>
        <v>1</v>
      </c>
      <c r="F36" s="30"/>
    </row>
  </sheetData>
  <mergeCells count="39">
    <mergeCell ref="B1:R1"/>
    <mergeCell ref="B2:R2"/>
    <mergeCell ref="B4:C4"/>
    <mergeCell ref="D4:R4"/>
    <mergeCell ref="B5:C5"/>
    <mergeCell ref="D5:R5"/>
    <mergeCell ref="B6:C6"/>
    <mergeCell ref="D6:R6"/>
    <mergeCell ref="B7:C7"/>
    <mergeCell ref="D7:R7"/>
    <mergeCell ref="B8:C8"/>
    <mergeCell ref="D8:R8"/>
    <mergeCell ref="B9:C9"/>
    <mergeCell ref="D9:R9"/>
    <mergeCell ref="B11:F11"/>
    <mergeCell ref="G11:J11"/>
    <mergeCell ref="K11:N11"/>
    <mergeCell ref="O11:R11"/>
    <mergeCell ref="B22:F22"/>
    <mergeCell ref="B23:D23"/>
    <mergeCell ref="B24:D24"/>
    <mergeCell ref="B25:D25"/>
    <mergeCell ref="B26:D26"/>
    <mergeCell ref="B27:D27"/>
    <mergeCell ref="B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</mergeCells>
  <conditionalFormatting sqref="J13:J20">
    <cfRule type="cellIs" priority="2" operator="equal" aboveAverage="0" equalAverage="0" bottom="0" percent="0" rank="0" text="" dxfId="0">
      <formula>"Baixo"</formula>
    </cfRule>
    <cfRule type="cellIs" priority="3" operator="equal" aboveAverage="0" equalAverage="0" bottom="0" percent="0" rank="0" text="" dxfId="1">
      <formula>"Médio"</formula>
    </cfRule>
    <cfRule type="cellIs" priority="4" operator="equal" aboveAverage="0" equalAverage="0" bottom="0" percent="0" rank="0" text="" dxfId="2">
      <formula>"Alto"</formula>
    </cfRule>
    <cfRule type="cellIs" priority="5" operator="equal" aboveAverage="0" equalAverage="0" bottom="0" percent="0" rank="0" text="" dxfId="3">
      <formula>"Crítico"</formula>
    </cfRule>
  </conditionalFormatting>
  <conditionalFormatting sqref="R13:R20">
    <cfRule type="cellIs" priority="6" operator="equal" aboveAverage="0" equalAverage="0" bottom="0" percent="0" rank="0" text="" dxfId="0">
      <formula>"Baixo"</formula>
    </cfRule>
    <cfRule type="cellIs" priority="7" operator="equal" aboveAverage="0" equalAverage="0" bottom="0" percent="0" rank="0" text="" dxfId="1">
      <formula>"Médio"</formula>
    </cfRule>
    <cfRule type="cellIs" priority="8" operator="equal" aboveAverage="0" equalAverage="0" bottom="0" percent="0" rank="0" text="" dxfId="2">
      <formula>"Alto"</formula>
    </cfRule>
    <cfRule type="cellIs" priority="9" operator="equal" aboveAverage="0" equalAverage="0" bottom="0" percent="0" rank="0" text="" dxfId="3">
      <formula>"Crítico"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1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R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5" min="4" style="0" width="24"/>
    <col collapsed="false" customWidth="true" hidden="false" outlineLevel="0" max="6" min="6" style="0" width="26"/>
    <col collapsed="false" customWidth="true" hidden="false" outlineLevel="0" max="8" min="7" style="0" width="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40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6" min="15" style="0" width="7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244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67</v>
      </c>
      <c r="C4" s="4"/>
      <c r="D4" s="53" t="s">
        <v>305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</row>
    <row r="5" customFormat="false" ht="21.75" hidden="false" customHeight="true" outlineLevel="0" collapsed="false">
      <c r="B5" s="4" t="s">
        <v>68</v>
      </c>
      <c r="C5" s="4"/>
      <c r="D5" s="53" t="s">
        <v>306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 customFormat="false" ht="21.75" hidden="false" customHeight="true" outlineLevel="0" collapsed="false">
      <c r="B6" s="4" t="s">
        <v>70</v>
      </c>
      <c r="C6" s="4"/>
      <c r="D6" s="53" t="s">
        <v>307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</row>
    <row r="7" customFormat="false" ht="21.75" hidden="false" customHeight="true" outlineLevel="0" collapsed="false">
      <c r="B7" s="4" t="s">
        <v>248</v>
      </c>
      <c r="C7" s="4"/>
      <c r="D7" s="53" t="s">
        <v>308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customFormat="false" ht="21.75" hidden="false" customHeight="true" outlineLevel="0" collapsed="false">
      <c r="B8" s="4" t="s">
        <v>250</v>
      </c>
      <c r="C8" s="4"/>
      <c r="D8" s="53" t="s">
        <v>309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</row>
    <row r="9" customFormat="false" ht="21.75" hidden="false" customHeight="true" outlineLevel="0" collapsed="false">
      <c r="B9" s="4" t="s">
        <v>72</v>
      </c>
      <c r="C9" s="4"/>
      <c r="D9" s="54" t="n">
        <v>46489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</row>
    <row r="11" customFormat="false" ht="21.75" hidden="false" customHeight="true" outlineLevel="0" collapsed="false">
      <c r="B11" s="17" t="s">
        <v>73</v>
      </c>
      <c r="C11" s="17"/>
      <c r="D11" s="17"/>
      <c r="E11" s="17"/>
      <c r="F11" s="17"/>
      <c r="G11" s="18" t="s">
        <v>74</v>
      </c>
      <c r="H11" s="18"/>
      <c r="I11" s="18"/>
      <c r="J11" s="18"/>
      <c r="K11" s="17" t="s">
        <v>75</v>
      </c>
      <c r="L11" s="17"/>
      <c r="M11" s="17"/>
      <c r="N11" s="17"/>
      <c r="O11" s="18" t="s">
        <v>57</v>
      </c>
      <c r="P11" s="18"/>
      <c r="Q11" s="18"/>
      <c r="R11" s="18"/>
    </row>
    <row r="12" customFormat="false" ht="24" hidden="false" customHeight="true" outlineLevel="0" collapsed="false">
      <c r="B12" s="25" t="s">
        <v>252</v>
      </c>
      <c r="C12" s="25" t="s">
        <v>78</v>
      </c>
      <c r="D12" s="25" t="s">
        <v>79</v>
      </c>
      <c r="E12" s="25" t="s">
        <v>80</v>
      </c>
      <c r="F12" s="25" t="s">
        <v>81</v>
      </c>
      <c r="G12" s="25" t="s">
        <v>82</v>
      </c>
      <c r="H12" s="25" t="s">
        <v>83</v>
      </c>
      <c r="I12" s="25" t="s">
        <v>84</v>
      </c>
      <c r="J12" s="25" t="s">
        <v>85</v>
      </c>
      <c r="K12" s="25" t="s">
        <v>75</v>
      </c>
      <c r="L12" s="25" t="s">
        <v>86</v>
      </c>
      <c r="M12" s="25" t="s">
        <v>87</v>
      </c>
      <c r="N12" s="25" t="s">
        <v>88</v>
      </c>
      <c r="O12" s="25" t="s">
        <v>82</v>
      </c>
      <c r="P12" s="25" t="s">
        <v>83</v>
      </c>
      <c r="Q12" s="25" t="s">
        <v>84</v>
      </c>
      <c r="R12" s="25" t="s">
        <v>85</v>
      </c>
    </row>
    <row r="13" customFormat="false" ht="36" hidden="false" customHeight="true" outlineLevel="0" collapsed="false">
      <c r="B13" s="25" t="s">
        <v>310</v>
      </c>
      <c r="C13" s="7" t="s">
        <v>108</v>
      </c>
      <c r="D13" s="7" t="s">
        <v>109</v>
      </c>
      <c r="E13" s="7" t="s">
        <v>110</v>
      </c>
      <c r="F13" s="7" t="s">
        <v>111</v>
      </c>
      <c r="G13" s="55" t="n">
        <v>4</v>
      </c>
      <c r="H13" s="55" t="n">
        <v>5</v>
      </c>
      <c r="I13" s="25" t="n">
        <f aca="false">G13*H13</f>
        <v>20</v>
      </c>
      <c r="J13" s="26" t="str">
        <f aca="false">IF(I13="","",IF(I13&gt;=20,"Crítico",IF(I13&gt;=10,"Alto",IF(I13&gt;=5,"Médio","Baixo"))))</f>
        <v>Crítico</v>
      </c>
      <c r="K13" s="55" t="s">
        <v>112</v>
      </c>
      <c r="L13" s="7" t="s">
        <v>311</v>
      </c>
      <c r="M13" s="7" t="s">
        <v>114</v>
      </c>
      <c r="N13" s="56" t="n">
        <v>46374</v>
      </c>
      <c r="O13" s="55" t="n">
        <v>2</v>
      </c>
      <c r="P13" s="55" t="n">
        <v>3</v>
      </c>
      <c r="Q13" s="25" t="n">
        <f aca="false">O13*P13</f>
        <v>6</v>
      </c>
      <c r="R13" s="26" t="str">
        <f aca="false">IF(Q13="","",IF(Q13&gt;=20,"Crítico",IF(Q13&gt;=10,"Alto",IF(Q13&gt;=5,"Médio","Baixo"))))</f>
        <v>Médio</v>
      </c>
    </row>
    <row r="14" customFormat="false" ht="36" hidden="false" customHeight="true" outlineLevel="0" collapsed="false">
      <c r="B14" s="25" t="s">
        <v>312</v>
      </c>
      <c r="C14" s="7" t="s">
        <v>313</v>
      </c>
      <c r="D14" s="7" t="s">
        <v>314</v>
      </c>
      <c r="E14" s="7" t="s">
        <v>315</v>
      </c>
      <c r="F14" s="7" t="s">
        <v>316</v>
      </c>
      <c r="G14" s="55" t="n">
        <v>4</v>
      </c>
      <c r="H14" s="55" t="n">
        <v>3</v>
      </c>
      <c r="I14" s="25" t="n">
        <f aca="false">G14*H14</f>
        <v>12</v>
      </c>
      <c r="J14" s="26" t="str">
        <f aca="false">IF(I14="","",IF(I14&gt;=20,"Crítico",IF(I14&gt;=10,"Alto",IF(I14&gt;=5,"Médio","Baixo"))))</f>
        <v>Alto</v>
      </c>
      <c r="K14" s="55" t="s">
        <v>112</v>
      </c>
      <c r="L14" s="7" t="s">
        <v>317</v>
      </c>
      <c r="M14" s="7" t="s">
        <v>114</v>
      </c>
      <c r="N14" s="56" t="n">
        <v>46318</v>
      </c>
      <c r="O14" s="55" t="n">
        <v>2</v>
      </c>
      <c r="P14" s="55" t="n">
        <v>3</v>
      </c>
      <c r="Q14" s="25" t="n">
        <f aca="false">O14*P14</f>
        <v>6</v>
      </c>
      <c r="R14" s="26" t="str">
        <f aca="false">IF(Q14="","",IF(Q14&gt;=20,"Crítico",IF(Q14&gt;=10,"Alto",IF(Q14&gt;=5,"Médio","Baixo"))))</f>
        <v>Médio</v>
      </c>
    </row>
    <row r="15" customFormat="false" ht="36" hidden="false" customHeight="true" outlineLevel="0" collapsed="false">
      <c r="B15" s="25" t="s">
        <v>318</v>
      </c>
      <c r="C15" s="7" t="s">
        <v>319</v>
      </c>
      <c r="D15" s="7" t="s">
        <v>320</v>
      </c>
      <c r="E15" s="7" t="s">
        <v>321</v>
      </c>
      <c r="F15" s="7" t="s">
        <v>322</v>
      </c>
      <c r="G15" s="55" t="n">
        <v>3</v>
      </c>
      <c r="H15" s="55" t="n">
        <v>4</v>
      </c>
      <c r="I15" s="25" t="n">
        <f aca="false">G15*H15</f>
        <v>12</v>
      </c>
      <c r="J15" s="26" t="str">
        <f aca="false">IF(I15="","",IF(I15&gt;=20,"Crítico",IF(I15&gt;=10,"Alto",IF(I15&gt;=5,"Médio","Baixo"))))</f>
        <v>Alto</v>
      </c>
      <c r="K15" s="55" t="s">
        <v>112</v>
      </c>
      <c r="L15" s="7" t="s">
        <v>323</v>
      </c>
      <c r="M15" s="7" t="s">
        <v>324</v>
      </c>
      <c r="N15" s="56" t="n">
        <v>46325</v>
      </c>
      <c r="O15" s="55" t="n">
        <v>2</v>
      </c>
      <c r="P15" s="55" t="n">
        <v>4</v>
      </c>
      <c r="Q15" s="25" t="n">
        <f aca="false">O15*P15</f>
        <v>8</v>
      </c>
      <c r="R15" s="26" t="str">
        <f aca="false">IF(Q15="","",IF(Q15&gt;=20,"Crítico",IF(Q15&gt;=10,"Alto",IF(Q15&gt;=5,"Médio","Baixo"))))</f>
        <v>Médio</v>
      </c>
    </row>
    <row r="16" customFormat="false" ht="36" hidden="false" customHeight="true" outlineLevel="0" collapsed="false">
      <c r="B16" s="25" t="s">
        <v>325</v>
      </c>
      <c r="C16" s="7" t="s">
        <v>326</v>
      </c>
      <c r="D16" s="7" t="s">
        <v>327</v>
      </c>
      <c r="E16" s="7" t="s">
        <v>328</v>
      </c>
      <c r="F16" s="7" t="s">
        <v>329</v>
      </c>
      <c r="G16" s="55" t="n">
        <v>4</v>
      </c>
      <c r="H16" s="55" t="n">
        <v>3</v>
      </c>
      <c r="I16" s="25" t="n">
        <f aca="false">G16*H16</f>
        <v>12</v>
      </c>
      <c r="J16" s="26" t="str">
        <f aca="false">IF(I16="","",IF(I16&gt;=20,"Crítico",IF(I16&gt;=10,"Alto",IF(I16&gt;=5,"Médio","Baixo"))))</f>
        <v>Alto</v>
      </c>
      <c r="K16" s="55" t="s">
        <v>215</v>
      </c>
      <c r="L16" s="7" t="s">
        <v>330</v>
      </c>
      <c r="M16" s="7" t="s">
        <v>114</v>
      </c>
      <c r="N16" s="56" t="n">
        <v>46353</v>
      </c>
      <c r="O16" s="55" t="n">
        <v>4</v>
      </c>
      <c r="P16" s="55" t="n">
        <v>2</v>
      </c>
      <c r="Q16" s="25" t="n">
        <f aca="false">O16*P16</f>
        <v>8</v>
      </c>
      <c r="R16" s="26" t="str">
        <f aca="false">IF(Q16="","",IF(Q16&gt;=20,"Crítico",IF(Q16&gt;=10,"Alto",IF(Q16&gt;=5,"Médio","Baixo"))))</f>
        <v>Médio</v>
      </c>
    </row>
    <row r="17" customFormat="false" ht="36" hidden="false" customHeight="true" outlineLevel="0" collapsed="false">
      <c r="B17" s="25" t="s">
        <v>331</v>
      </c>
      <c r="C17" s="7" t="s">
        <v>332</v>
      </c>
      <c r="D17" s="7" t="s">
        <v>333</v>
      </c>
      <c r="E17" s="7" t="s">
        <v>334</v>
      </c>
      <c r="F17" s="7" t="s">
        <v>335</v>
      </c>
      <c r="G17" s="55" t="n">
        <v>3</v>
      </c>
      <c r="H17" s="55" t="n">
        <v>4</v>
      </c>
      <c r="I17" s="25" t="n">
        <f aca="false">G17*H17</f>
        <v>12</v>
      </c>
      <c r="J17" s="26" t="str">
        <f aca="false">IF(I17="","",IF(I17&gt;=20,"Crítico",IF(I17&gt;=10,"Alto",IF(I17&gt;=5,"Médio","Baixo"))))</f>
        <v>Alto</v>
      </c>
      <c r="K17" s="55" t="s">
        <v>208</v>
      </c>
      <c r="L17" s="7" t="s">
        <v>336</v>
      </c>
      <c r="M17" s="7" t="s">
        <v>337</v>
      </c>
      <c r="N17" s="56" t="n">
        <v>46339</v>
      </c>
      <c r="O17" s="55" t="n">
        <v>1</v>
      </c>
      <c r="P17" s="55" t="n">
        <v>4</v>
      </c>
      <c r="Q17" s="25" t="n">
        <f aca="false">O17*P17</f>
        <v>4</v>
      </c>
      <c r="R17" s="26" t="str">
        <f aca="false">IF(Q17="","",IF(Q17&gt;=20,"Crítico",IF(Q17&gt;=10,"Alto",IF(Q17&gt;=5,"Médio","Baixo"))))</f>
        <v>Baixo</v>
      </c>
    </row>
    <row r="18" customFormat="false" ht="47.25" hidden="false" customHeight="true" outlineLevel="0" collapsed="false">
      <c r="B18" s="25" t="s">
        <v>338</v>
      </c>
      <c r="C18" s="7" t="s">
        <v>339</v>
      </c>
      <c r="D18" s="7" t="s">
        <v>340</v>
      </c>
      <c r="E18" s="7" t="s">
        <v>341</v>
      </c>
      <c r="F18" s="7" t="s">
        <v>342</v>
      </c>
      <c r="G18" s="55" t="n">
        <v>1</v>
      </c>
      <c r="H18" s="55" t="n">
        <v>5</v>
      </c>
      <c r="I18" s="25" t="n">
        <f aca="false">G18*H18</f>
        <v>5</v>
      </c>
      <c r="J18" s="26" t="str">
        <f aca="false">IF(I18="","",IF(I18&gt;=20,"Crítico",IF(I18&gt;=10,"Alto",IF(I18&gt;=5,"Médio","Baixo"))))</f>
        <v>Médio</v>
      </c>
      <c r="K18" s="55" t="s">
        <v>219</v>
      </c>
      <c r="L18" s="7" t="s">
        <v>343</v>
      </c>
      <c r="M18" s="7" t="s">
        <v>114</v>
      </c>
      <c r="N18" s="56" t="s">
        <v>297</v>
      </c>
      <c r="O18" s="55" t="n">
        <v>1</v>
      </c>
      <c r="P18" s="55" t="n">
        <v>5</v>
      </c>
      <c r="Q18" s="25" t="n">
        <f aca="false">O18*P18</f>
        <v>5</v>
      </c>
      <c r="R18" s="26" t="str">
        <f aca="false">IF(Q18="","",IF(Q18&gt;=20,"Crítico",IF(Q18&gt;=10,"Alto",IF(Q18&gt;=5,"Médio","Baixo"))))</f>
        <v>Médio</v>
      </c>
    </row>
    <row r="19" customFormat="false" ht="36" hidden="false" customHeight="true" outlineLevel="0" collapsed="false">
      <c r="B19" s="25" t="s">
        <v>344</v>
      </c>
      <c r="C19" s="7" t="s">
        <v>345</v>
      </c>
      <c r="D19" s="7" t="s">
        <v>346</v>
      </c>
      <c r="E19" s="7" t="s">
        <v>347</v>
      </c>
      <c r="F19" s="7" t="s">
        <v>348</v>
      </c>
      <c r="G19" s="55" t="n">
        <v>4</v>
      </c>
      <c r="H19" s="55" t="n">
        <v>2</v>
      </c>
      <c r="I19" s="25" t="n">
        <f aca="false">G19*H19</f>
        <v>8</v>
      </c>
      <c r="J19" s="26" t="str">
        <f aca="false">IF(I19="","",IF(I19&gt;=20,"Crítico",IF(I19&gt;=10,"Alto",IF(I19&gt;=5,"Médio","Baixo"))))</f>
        <v>Médio</v>
      </c>
      <c r="K19" s="55" t="s">
        <v>219</v>
      </c>
      <c r="L19" s="7" t="s">
        <v>349</v>
      </c>
      <c r="M19" s="7" t="s">
        <v>350</v>
      </c>
      <c r="N19" s="56" t="s">
        <v>297</v>
      </c>
      <c r="O19" s="55" t="n">
        <v>4</v>
      </c>
      <c r="P19" s="55" t="n">
        <v>2</v>
      </c>
      <c r="Q19" s="25" t="n">
        <f aca="false">O19*P19</f>
        <v>8</v>
      </c>
      <c r="R19" s="26" t="str">
        <f aca="false">IF(Q19="","",IF(Q19&gt;=20,"Crítico",IF(Q19&gt;=10,"Alto",IF(Q19&gt;=5,"Médio","Baixo"))))</f>
        <v>Médio</v>
      </c>
    </row>
    <row r="20" customFormat="false" ht="36" hidden="false" customHeight="true" outlineLevel="0" collapsed="false">
      <c r="B20" s="25" t="s">
        <v>351</v>
      </c>
      <c r="C20" s="7" t="s">
        <v>352</v>
      </c>
      <c r="D20" s="7" t="s">
        <v>353</v>
      </c>
      <c r="E20" s="7" t="s">
        <v>354</v>
      </c>
      <c r="F20" s="7" t="s">
        <v>355</v>
      </c>
      <c r="G20" s="55" t="n">
        <v>2</v>
      </c>
      <c r="H20" s="55" t="n">
        <v>4</v>
      </c>
      <c r="I20" s="25" t="n">
        <f aca="false">G20*H20</f>
        <v>8</v>
      </c>
      <c r="J20" s="26" t="str">
        <f aca="false">IF(I20="","",IF(I20&gt;=20,"Crítico",IF(I20&gt;=10,"Alto",IF(I20&gt;=5,"Médio","Baixo"))))</f>
        <v>Médio</v>
      </c>
      <c r="K20" s="55" t="s">
        <v>112</v>
      </c>
      <c r="L20" s="7" t="s">
        <v>356</v>
      </c>
      <c r="M20" s="7" t="s">
        <v>324</v>
      </c>
      <c r="N20" s="56" t="n">
        <v>46353</v>
      </c>
      <c r="O20" s="55" t="n">
        <v>1</v>
      </c>
      <c r="P20" s="55" t="n">
        <v>4</v>
      </c>
      <c r="Q20" s="25" t="n">
        <f aca="false">O20*P20</f>
        <v>4</v>
      </c>
      <c r="R20" s="26" t="str">
        <f aca="false">IF(Q20="","",IF(Q20&gt;=20,"Crítico",IF(Q20&gt;=10,"Alto",IF(Q20&gt;=5,"Médio","Baixo"))))</f>
        <v>Baixo</v>
      </c>
    </row>
    <row r="22" customFormat="false" ht="21.75" hidden="false" customHeight="true" outlineLevel="0" collapsed="false">
      <c r="B22" s="17" t="s">
        <v>303</v>
      </c>
      <c r="C22" s="17"/>
      <c r="D22" s="17"/>
      <c r="E22" s="17"/>
      <c r="F22" s="17"/>
    </row>
    <row r="23" customFormat="false" ht="21.75" hidden="false" customHeight="true" outlineLevel="0" collapsed="false">
      <c r="B23" s="19" t="s">
        <v>85</v>
      </c>
      <c r="C23" s="19"/>
      <c r="D23" s="19"/>
      <c r="E23" s="19" t="s">
        <v>140</v>
      </c>
      <c r="F23" s="19" t="s">
        <v>141</v>
      </c>
    </row>
    <row r="24" customFormat="false" ht="21.75" hidden="false" customHeight="true" outlineLevel="0" collapsed="false">
      <c r="B24" s="39" t="s">
        <v>14</v>
      </c>
      <c r="C24" s="39"/>
      <c r="D24" s="39"/>
      <c r="E24" s="40" t="n">
        <f aca="false">COUNTIF($J$13:$J$20,"Baixo")</f>
        <v>0</v>
      </c>
      <c r="F24" s="40" t="n">
        <f aca="false">COUNTIF($R$13:$R$20,"Baixo")</f>
        <v>2</v>
      </c>
    </row>
    <row r="25" customFormat="false" ht="21.75" hidden="false" customHeight="true" outlineLevel="0" collapsed="false">
      <c r="B25" s="41" t="s">
        <v>16</v>
      </c>
      <c r="C25" s="41"/>
      <c r="D25" s="41"/>
      <c r="E25" s="40" t="n">
        <f aca="false">COUNTIF($J$13:$J$20,"Médio")</f>
        <v>3</v>
      </c>
      <c r="F25" s="40" t="n">
        <f aca="false">COUNTIF($R$13:$R$20,"Médio")</f>
        <v>6</v>
      </c>
    </row>
    <row r="26" customFormat="false" ht="21.75" hidden="false" customHeight="true" outlineLevel="0" collapsed="false">
      <c r="B26" s="42" t="s">
        <v>18</v>
      </c>
      <c r="C26" s="42"/>
      <c r="D26" s="42"/>
      <c r="E26" s="40" t="n">
        <f aca="false">COUNTIF($J$13:$J$20,"Alto")</f>
        <v>4</v>
      </c>
      <c r="F26" s="40" t="n">
        <f aca="false">COUNTIF($R$13:$R$20,"Alto")</f>
        <v>0</v>
      </c>
    </row>
    <row r="27" customFormat="false" ht="21.75" hidden="false" customHeight="true" outlineLevel="0" collapsed="false">
      <c r="B27" s="43" t="s">
        <v>20</v>
      </c>
      <c r="C27" s="43"/>
      <c r="D27" s="43"/>
      <c r="E27" s="40" t="n">
        <f aca="false">COUNTIF($J$13:$J$20,"Crítico")</f>
        <v>1</v>
      </c>
      <c r="F27" s="40" t="n">
        <f aca="false">COUNTIF($R$13:$R$20,"Crítico")</f>
        <v>0</v>
      </c>
    </row>
    <row r="29" customFormat="false" ht="21.75" hidden="false" customHeight="true" outlineLevel="0" collapsed="false">
      <c r="B29" s="17" t="s">
        <v>119</v>
      </c>
      <c r="C29" s="17"/>
      <c r="D29" s="17"/>
      <c r="E29" s="17"/>
      <c r="F29" s="17"/>
    </row>
    <row r="30" customFormat="false" ht="21.75" hidden="false" customHeight="true" outlineLevel="0" collapsed="false">
      <c r="B30" s="29" t="s">
        <v>142</v>
      </c>
      <c r="C30" s="29"/>
      <c r="D30" s="29"/>
      <c r="E30" s="30" t="n">
        <f aca="false">COUNT(I13:I20)</f>
        <v>8</v>
      </c>
      <c r="F30" s="30"/>
    </row>
    <row r="31" customFormat="false" ht="21.75" hidden="false" customHeight="true" outlineLevel="0" collapsed="false">
      <c r="B31" s="29" t="s">
        <v>143</v>
      </c>
      <c r="C31" s="29"/>
      <c r="D31" s="29"/>
      <c r="E31" s="30" t="n">
        <f aca="false">E26+E27</f>
        <v>5</v>
      </c>
      <c r="F31" s="30"/>
    </row>
    <row r="32" customFormat="false" ht="21.75" hidden="false" customHeight="true" outlineLevel="0" collapsed="false">
      <c r="B32" s="29" t="s">
        <v>144</v>
      </c>
      <c r="C32" s="29"/>
      <c r="D32" s="29"/>
      <c r="E32" s="30" t="n">
        <f aca="false">F26+F27</f>
        <v>0</v>
      </c>
      <c r="F32" s="30"/>
    </row>
    <row r="33" customFormat="false" ht="21.75" hidden="false" customHeight="true" outlineLevel="0" collapsed="false">
      <c r="B33" s="29" t="s">
        <v>145</v>
      </c>
      <c r="C33" s="29"/>
      <c r="D33" s="29"/>
      <c r="E33" s="44" t="n">
        <f aca="false">AVERAGE(I13:I20)</f>
        <v>11.125</v>
      </c>
      <c r="F33" s="44"/>
    </row>
    <row r="34" customFormat="false" ht="21.75" hidden="false" customHeight="true" outlineLevel="0" collapsed="false">
      <c r="B34" s="29" t="s">
        <v>146</v>
      </c>
      <c r="C34" s="29"/>
      <c r="D34" s="29"/>
      <c r="E34" s="44" t="n">
        <f aca="false">AVERAGE(Q13:Q20)</f>
        <v>6.125</v>
      </c>
      <c r="F34" s="44"/>
    </row>
    <row r="35" customFormat="false" ht="21.75" hidden="false" customHeight="true" outlineLevel="0" collapsed="false">
      <c r="B35" s="29" t="s">
        <v>304</v>
      </c>
      <c r="C35" s="29"/>
      <c r="D35" s="29"/>
      <c r="E35" s="30" t="n">
        <f aca="false">COUNTIF(H13:H20,5)</f>
        <v>2</v>
      </c>
      <c r="F35" s="30"/>
    </row>
    <row r="36" customFormat="false" ht="21.75" hidden="false" customHeight="true" outlineLevel="0" collapsed="false">
      <c r="B36" s="29" t="s">
        <v>122</v>
      </c>
      <c r="C36" s="29"/>
      <c r="D36" s="29"/>
      <c r="E36" s="30" t="n">
        <f aca="false">COUNTIF(K13:K20,"Aceitar")</f>
        <v>2</v>
      </c>
      <c r="F36" s="30"/>
    </row>
  </sheetData>
  <mergeCells count="39">
    <mergeCell ref="B1:R1"/>
    <mergeCell ref="B2:R2"/>
    <mergeCell ref="B4:C4"/>
    <mergeCell ref="D4:R4"/>
    <mergeCell ref="B5:C5"/>
    <mergeCell ref="D5:R5"/>
    <mergeCell ref="B6:C6"/>
    <mergeCell ref="D6:R6"/>
    <mergeCell ref="B7:C7"/>
    <mergeCell ref="D7:R7"/>
    <mergeCell ref="B8:C8"/>
    <mergeCell ref="D8:R8"/>
    <mergeCell ref="B9:C9"/>
    <mergeCell ref="D9:R9"/>
    <mergeCell ref="B11:F11"/>
    <mergeCell ref="G11:J11"/>
    <mergeCell ref="K11:N11"/>
    <mergeCell ref="O11:R11"/>
    <mergeCell ref="B22:F22"/>
    <mergeCell ref="B23:D23"/>
    <mergeCell ref="B24:D24"/>
    <mergeCell ref="B25:D25"/>
    <mergeCell ref="B26:D26"/>
    <mergeCell ref="B27:D27"/>
    <mergeCell ref="B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</mergeCells>
  <conditionalFormatting sqref="J13:J20">
    <cfRule type="cellIs" priority="2" operator="equal" aboveAverage="0" equalAverage="0" bottom="0" percent="0" rank="0" text="" dxfId="0">
      <formula>"Baixo"</formula>
    </cfRule>
    <cfRule type="cellIs" priority="3" operator="equal" aboveAverage="0" equalAverage="0" bottom="0" percent="0" rank="0" text="" dxfId="1">
      <formula>"Médio"</formula>
    </cfRule>
    <cfRule type="cellIs" priority="4" operator="equal" aboveAverage="0" equalAverage="0" bottom="0" percent="0" rank="0" text="" dxfId="2">
      <formula>"Alto"</formula>
    </cfRule>
    <cfRule type="cellIs" priority="5" operator="equal" aboveAverage="0" equalAverage="0" bottom="0" percent="0" rank="0" text="" dxfId="3">
      <formula>"Crítico"</formula>
    </cfRule>
  </conditionalFormatting>
  <conditionalFormatting sqref="R13:R20">
    <cfRule type="cellIs" priority="6" operator="equal" aboveAverage="0" equalAverage="0" bottom="0" percent="0" rank="0" text="" dxfId="0">
      <formula>"Baixo"</formula>
    </cfRule>
    <cfRule type="cellIs" priority="7" operator="equal" aboveAverage="0" equalAverage="0" bottom="0" percent="0" rank="0" text="" dxfId="1">
      <formula>"Médio"</formula>
    </cfRule>
    <cfRule type="cellIs" priority="8" operator="equal" aboveAverage="0" equalAverage="0" bottom="0" percent="0" rank="0" text="" dxfId="2">
      <formula>"Alto"</formula>
    </cfRule>
    <cfRule type="cellIs" priority="9" operator="equal" aboveAverage="0" equalAverage="0" bottom="0" percent="0" rank="0" text="" dxfId="3">
      <formula>"Crítico"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1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2026-09-29T20:08:05Z</dcterms:created>
  <dc:creator>Modelo Riscos</dc:creator>
  <dc:description/>
  <dc:language>pt-BR</dc:language>
  <cp:lastModifiedBy/>
  <dcterms:modified xsi:type="dcterms:W3CDTF">2026-09-29T20:08:05Z</dcterms:modified>
  <cp:revision>0</cp:revision>
  <dc:subject/>
  <dc:title>Matriz de riscos — Modelo de riscos, mapa e oportunidades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