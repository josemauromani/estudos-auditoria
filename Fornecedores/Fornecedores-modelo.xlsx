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Cadastro" sheetId="2" state="visible" r:id="rId4"/>
    <sheet name="Homologação" sheetId="3" state="visible" r:id="rId5"/>
    <sheet name="Avaliação" sheetId="4" state="visible" r:id="rId6"/>
    <sheet name="Ocorrências" sheetId="5" state="visible" r:id="rId7"/>
    <sheet name="Checklist" sheetId="6" state="visible" r:id="rId8"/>
    <sheet name="Exemplo 1 - Indústria" sheetId="7" state="visible" r:id="rId9"/>
    <sheet name="Exemplo 2 - Pizzaria" sheetId="8" state="visible" r:id="rId10"/>
  </sheets>
  <definedNames>
    <definedName function="false" hidden="false" localSheetId="3" name="_xlnm.Print_Area" vbProcedure="false">Avaliação!$B$1:$Q$62</definedName>
    <definedName function="false" hidden="false" localSheetId="1" name="_xlnm.Print_Area" vbProcedure="false">Cadastro!$B$1:$L$46</definedName>
    <definedName function="false" hidden="false" localSheetId="5" name="_xlnm.Print_Area" vbProcedure="false">Checklist!$B$1:$E$24</definedName>
    <definedName function="false" hidden="false" localSheetId="6" name="_xlnm.Print_Area" vbProcedure="false">'Exemplo 1 - Indústria'!$B$1:$M$58</definedName>
    <definedName function="false" hidden="false" localSheetId="7" name="_xlnm.Print_Area" vbProcedure="false">'Exemplo 2 - Pizzaria'!$B$1:$M$48</definedName>
    <definedName function="false" hidden="false" localSheetId="2" name="_xlnm.Print_Area" vbProcedure="false">Homologação!$B$1:$E$21</definedName>
    <definedName function="false" hidden="false" localSheetId="0" name="_xlnm.Print_Area" vbProcedure="false">Instruções!$B$1:$C$45</definedName>
    <definedName function="false" hidden="false" localSheetId="4" name="_xlnm.Print_Area" vbProcedure="false">Ocorrências!$B$1:$K$37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8" authorId="0">
      <text>
        <r>
          <rPr>
            <sz val="10"/>
            <rFont val="Arial"/>
            <family val="2"/>
          </rPr>
          <t xml:space="preserve">Crítico: o fornecimento afeta o produto ou o cliente. Fornecedor único de item crítico é também um risco: leve à matriz de riscos.</t>
        </r>
      </text>
    </comment>
    <comment ref="K8" authorId="0">
      <text>
        <r>
          <rPr>
            <sz val="10"/>
            <rFont val="Arial"/>
            <family val="2"/>
          </rPr>
          <t xml:space="preserve">Certidões, licenças e contratos dentro da validade.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B10" authorId="0">
      <text>
        <r>
          <rPr>
            <sz val="10"/>
            <rFont val="Arial"/>
            <family val="2"/>
          </rPr>
          <t xml:space="preserve">Evidência típica: Cadastro, certidões, licença ambiental quando exigida.</t>
        </r>
      </text>
    </comment>
    <comment ref="B11" authorId="0">
      <text>
        <r>
          <rPr>
            <sz val="10"/>
            <rFont val="Arial"/>
            <family val="2"/>
          </rPr>
          <t xml:space="preserve">Evidência típica: Visita, portfólio, referências de clientes.</t>
        </r>
      </text>
    </comment>
    <comment ref="B12" authorId="0">
      <text>
        <r>
          <rPr>
            <sz val="10"/>
            <rFont val="Arial"/>
            <family val="2"/>
          </rPr>
          <t xml:space="preserve">Evidência típica: Laudo de ensaio, inspeção de recebimento.</t>
        </r>
      </text>
    </comment>
    <comment ref="B13" authorId="0">
      <text>
        <r>
          <rPr>
            <sz val="10"/>
            <rFont val="Arial"/>
            <family val="2"/>
          </rPr>
          <t xml:space="preserve">Evidência típica: Certificado ISO 9001, ou auditoria de segunda parte.</t>
        </r>
      </text>
    </comment>
    <comment ref="B14" authorId="0">
      <text>
        <r>
          <rPr>
            <sz val="10"/>
            <rFont val="Arial"/>
            <family val="2"/>
          </rPr>
          <t xml:space="preserve">Evidência típica: Proposta e contrato.</t>
        </r>
      </text>
    </comment>
    <comment ref="B15" authorId="0">
      <text>
        <r>
          <rPr>
            <sz val="10"/>
            <rFont val="Arial"/>
            <family val="2"/>
          </rPr>
          <t xml:space="preserve">Evidência típica: Fichas de segurança, programa de gestão de resíduos.</t>
        </r>
      </text>
    </comment>
    <comment ref="C4" authorId="0">
      <text>
        <r>
          <rPr>
            <sz val="10"/>
            <rFont val="Arial"/>
            <family val="2"/>
          </rPr>
          <t xml:space="preserve">Depois de homologado, registre a data no Cadastro: é lá que a validade é acompanhada.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5" authorId="0">
      <text>
        <r>
          <rPr>
            <sz val="10"/>
            <rFont val="Arial"/>
            <family val="2"/>
          </rPr>
          <t xml:space="preserve">Para serviço, conte os serviços prestados no período. Para transporte, cada carga.</t>
        </r>
      </text>
    </comment>
    <comment ref="J5" authorId="0">
      <text>
        <r>
          <rPr>
            <sz val="10"/>
            <rFont val="Arial"/>
            <family val="2"/>
          </rPr>
          <t xml:space="preserve">Resposta, documentação, flexibilidade, comunicação. Uma nota por período, dada pelo comprador.</t>
        </r>
      </text>
    </comment>
    <comment ref="P5" authorId="0">
      <text>
        <r>
          <rPr>
            <sz val="10"/>
            <rFont val="Arial"/>
            <family val="2"/>
          </rPr>
          <t xml:space="preserve">Classe C: plano de ação com prazo. Classe D: suspensão ou desqualificação, com bloqueio no sistema.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I4" authorId="0">
      <text>
        <r>
          <rPr>
            <sz val="10"/>
            <rFont val="Arial"/>
            <family val="2"/>
          </rPr>
          <t xml:space="preserve">Ocorrência grave, ou repetida, vira registro de não conformidade, com análise de causa.</t>
        </r>
      </text>
    </comment>
  </commentList>
</comments>
</file>

<file path=xl/sharedStrings.xml><?xml version="1.0" encoding="utf-8"?>
<sst xmlns="http://schemas.openxmlformats.org/spreadsheetml/2006/main" count="522" uniqueCount="319">
  <si>
    <t xml:space="preserve">Avaliação de fornecedores — Como usar esta planilha</t>
  </si>
  <si>
    <t xml:space="preserve">Modelo para cadastrar e homologar fornecedores, avaliar o desempenho do período e registrar as ocorrências.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</si>
  <si>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</si>
  <si>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</si>
  <si>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</si>
  <si>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</si>
  <si>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percentuais, índice, classe, conduta,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</si>
  <si>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</si>
  <si>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</si>
  <si>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</si>
  <si>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tipo, criticidade, documentos, resultado e situação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</si>
  <si>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</si>
  <si>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</si>
  <si>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O índice de desempenho e as classes</t>
  </si>
  <si>
    <t xml:space="preserve">Qualidade · peso 50</t>
  </si>
  <si>
    <t xml:space="preserve">Lotes ou serviços aceitos, sobre os recebidos.</t>
  </si>
  <si>
    <t xml:space="preserve">Prazo · peso 30</t>
  </si>
  <si>
    <t xml:space="preserve">Entregas no prazo, sobre as entregas.</t>
  </si>
  <si>
    <t xml:space="preserve">Atendimento · peso 20</t>
  </si>
  <si>
    <t xml:space="preserve">Nota do comprador, de 0 a 10: resposta, documentação, flexibilidade.</t>
  </si>
  <si>
    <t xml:space="preserve">Classe A · Preferencial</t>
  </si>
  <si>
    <t xml:space="preserve">Índice de 90 ou mais. Manter. Pode ter menos inspeção no recebimento.</t>
  </si>
  <si>
    <t xml:space="preserve">Classe B · Aprovado</t>
  </si>
  <si>
    <t xml:space="preserve">Índice de 75 a 89. Manter e acompanhar. Comunicar o resultado ao fornecedor.</t>
  </si>
  <si>
    <t xml:space="preserve">Classe C · Com plano de ação</t>
  </si>
  <si>
    <t xml:space="preserve">Índice de 60 a 74. Pedir plano de ação, com prazo. Reavaliar no período seguinte.</t>
  </si>
  <si>
    <t xml:space="preserve">Classe D · Reprovado</t>
  </si>
  <si>
    <t xml:space="preserve">Índice abaixo de 60. Suspender as compras até um plano aprovado, ou desqualificar.</t>
  </si>
  <si>
    <t xml:space="preserve">Ordem recomendada de preenchimento</t>
  </si>
  <si>
    <t xml:space="preserve">Passo 1</t>
  </si>
  <si>
    <t xml:space="preserve">Aba Cadastro: escreva a organização, a data de referência e a validade padrão da homologação. Cadastre os fornecedores, com o que fornecem, o tipo e a criticidade.</t>
  </si>
  <si>
    <t xml:space="preserve">Passo 2</t>
  </si>
  <si>
    <t xml:space="preserve">Aba Cadastro: para cada fornecedor crítico, registre a data da homologação e se os documentos estão em dia.</t>
  </si>
  <si>
    <t xml:space="preserve">Passo 3</t>
  </si>
  <si>
    <t xml:space="preserve">Aba Homologação: preencha a ficha de um fornecedor novo, critério por critério, e leve a data para o Cadastro quando ele for homologado.</t>
  </si>
  <si>
    <t xml:space="preserve">Passo 4</t>
  </si>
  <si>
    <t xml:space="preserve">Aba Avaliação: no fim do período, lance os dados do recebimento de cada fornecedor crítico e a nota de atendimento.</t>
  </si>
  <si>
    <t xml:space="preserve">Passo 5</t>
  </si>
  <si>
    <t xml:space="preserve">Aba Avaliação: leia o índice, a classe e a conduta, e escreva o plano de ação ou a decisão.</t>
  </si>
  <si>
    <t xml:space="preserve">Passo 6</t>
  </si>
  <si>
    <t xml:space="preserve">Aba Ocorrências: registre as falhas do período, com o tratamento e a situação.</t>
  </si>
  <si>
    <t xml:space="preserve">Passo 7</t>
  </si>
  <si>
    <t xml:space="preserve">Aba Checklist: valide o controle de fornecedores.</t>
  </si>
  <si>
    <t xml:space="preserve">Abas da planilha</t>
  </si>
  <si>
    <t xml:space="preserve">Cadastro</t>
  </si>
  <si>
    <t xml:space="preserve">Até 30 fornecedores, com a validade da homologação e a situação de cada um calculadas.</t>
  </si>
  <si>
    <t xml:space="preserve">Homologação</t>
  </si>
  <si>
    <t xml:space="preserve">A ficha de um fornecedor novo: seis critérios, resultado, evidência e decisão calculada.</t>
  </si>
  <si>
    <t xml:space="preserve">Avaliação</t>
  </si>
  <si>
    <t xml:space="preserve">Até 30 avaliações, com percentuais, índice, classe, conduta e gráfico.</t>
  </si>
  <si>
    <t xml:space="preserve">Ocorrências</t>
  </si>
  <si>
    <t xml:space="preserve">Até 25 ocorrências com fornecedores, com a conferência de cada uma.</t>
  </si>
  <si>
    <t xml:space="preserve">Checklist</t>
  </si>
  <si>
    <t xml:space="preserve">Doze verificações de qualidade do controle de fornecedores, com percentual de conclusão.</t>
  </si>
  <si>
    <t xml:space="preserve">Exemplo 1 - Indústria</t>
  </si>
  <si>
    <t xml:space="preserve">A avaliação semestral dos doze fornecedores críticos de uma indústria.</t>
  </si>
  <si>
    <t xml:space="preserve">Exemplo 2 - Pizzaria</t>
  </si>
  <si>
    <t xml:space="preserve">A primeira avaliação dos fornecedores de uma loja.</t>
  </si>
  <si>
    <t xml:space="preserve">Regras e premissas do modelo</t>
  </si>
  <si>
    <t xml:space="preserve">Índice</t>
  </si>
  <si>
    <t xml:space="preserve">Índice = 50 × qualidade + 30 × prazo + 20 × atendimento, com os três em percentual. Os pesos e as classes são uma convenção deste modelo.</t>
  </si>
  <si>
    <t xml:space="preserve">Dados do índice</t>
  </si>
  <si>
    <t xml:space="preserve">Lotes aceitos não podem passar dos recebidos, nem entregas no prazo das entregas. Quando isso acontece, o índice fica em branco e a conferência avisa.</t>
  </si>
  <si>
    <t xml:space="preserve">Vale 24 meses, neste modelo. A situação “Homologação vencida” aparece quando a validade passa da data de referência.</t>
  </si>
  <si>
    <t xml:space="preserve">Não crítico</t>
  </si>
  <si>
    <t xml:space="preserve">Fornecedor não crítico fica no cadastro, sem homologação nem avaliação obrigatórias.</t>
  </si>
  <si>
    <t xml:space="preserve">Data de referência</t>
  </si>
  <si>
    <t xml:space="preserve">A situação da homologação é calculada pela data de referência da aba Cadastro. Se ela estiver em branco, a planilha usa a data de hoje.</t>
  </si>
  <si>
    <t xml:space="preserve">Exemplos</t>
  </si>
  <si>
    <t xml:space="preserve">Os dados das abas de exemplo são ilustrativos, criados para este material.</t>
  </si>
  <si>
    <t xml:space="preserve">Cadastro de fornecedores</t>
  </si>
  <si>
    <t xml:space="preserve">Um fornecedor por linha. Para os críticos, registre a homologação. A validade e a situação são calculadas.</t>
  </si>
  <si>
    <t xml:space="preserve">Organização</t>
  </si>
  <si>
    <t xml:space="preserve">Em branco, vale a data de hoje.</t>
  </si>
  <si>
    <t xml:space="preserve">Validade padrão da homologação, em meses</t>
  </si>
  <si>
    <t xml:space="preserve">Usada nas linhas sem validade própria.</t>
  </si>
  <si>
    <t xml:space="preserve">Ex.: F-01</t>
  </si>
  <si>
    <t xml:space="preserve">Razão social ou nome</t>
  </si>
  <si>
    <t xml:space="preserve">Item ou serviço</t>
  </si>
  <si>
    <t xml:space="preserve">Escolha na lista</t>
  </si>
  <si>
    <t xml:space="preserve">Data da decisão</t>
  </si>
  <si>
    <t xml:space="preserve">Em branco: padrão</t>
  </si>
  <si>
    <t xml:space="preserve">Calculada</t>
  </si>
  <si>
    <t xml:space="preserve">Sim ou Não</t>
  </si>
  <si>
    <t xml:space="preserve">#</t>
  </si>
  <si>
    <t xml:space="preserve">Código</t>
  </si>
  <si>
    <t xml:space="preserve">Fornecedor</t>
  </si>
  <si>
    <t xml:space="preserve">O que fornece</t>
  </si>
  <si>
    <t xml:space="preserve">Tipo</t>
  </si>
  <si>
    <t xml:space="preserve">Criticidade</t>
  </si>
  <si>
    <t xml:space="preserve">Homologado em</t>
  </si>
  <si>
    <t xml:space="preserve">Validade (meses)</t>
  </si>
  <si>
    <t xml:space="preserve">Válida até</t>
  </si>
  <si>
    <t xml:space="preserve">Documentos em dia?</t>
  </si>
  <si>
    <t xml:space="preserve">Situação</t>
  </si>
  <si>
    <t xml:space="preserve">Resumo automático</t>
  </si>
  <si>
    <t xml:space="preserve">Fornecedores cadastrados</t>
  </si>
  <si>
    <t xml:space="preserve">Críticos</t>
  </si>
  <si>
    <t xml:space="preserve">Críticos homologados, em dia</t>
  </si>
  <si>
    <t xml:space="preserve">Com homologação vencida ou documentos pendentes</t>
  </si>
  <si>
    <t xml:space="preserve">Críticos sem homologação</t>
  </si>
  <si>
    <t xml:space="preserve">Aviso</t>
  </si>
  <si>
    <t xml:space="preserve">Ficha de homologação</t>
  </si>
  <si>
    <t xml:space="preserve">Um fornecedor por ficha. Para o seguinte, duplique a aba ou salve uma cópia do arquivo.</t>
  </si>
  <si>
    <t xml:space="preserve">Código e fornecedor</t>
  </si>
  <si>
    <t xml:space="preserve">Data da avaliação</t>
  </si>
  <si>
    <t xml:space="preserve">Quem avaliou</t>
  </si>
  <si>
    <t xml:space="preserve">Critério</t>
  </si>
  <si>
    <t xml:space="preserve">O que se confere</t>
  </si>
  <si>
    <t xml:space="preserve">Resultado</t>
  </si>
  <si>
    <t xml:space="preserve">Evidência</t>
  </si>
  <si>
    <t xml:space="preserve">Documentos legais</t>
  </si>
  <si>
    <t xml:space="preserve">Empresa regular, com as licenças da atividade.</t>
  </si>
  <si>
    <t xml:space="preserve">Capacidade técnica</t>
  </si>
  <si>
    <t xml:space="preserve">Consegue fazer o que se pede, na quantidade e no prazo.</t>
  </si>
  <si>
    <t xml:space="preserve">Qualidade do produto</t>
  </si>
  <si>
    <t xml:space="preserve">A amostra ou o lote piloto atende à especificação.</t>
  </si>
  <si>
    <t xml:space="preserve">Sistema de gestão</t>
  </si>
  <si>
    <t xml:space="preserve">Tem controle do próprio processo.</t>
  </si>
  <si>
    <t xml:space="preserve">Condições comerciais</t>
  </si>
  <si>
    <t xml:space="preserve">Preço, prazo de pagamento e de entrega compatíveis.</t>
  </si>
  <si>
    <t xml:space="preserve">Segurança e meio ambiente</t>
  </si>
  <si>
    <t xml:space="preserve">Cumpre o que a lei e o cliente exigem.</t>
  </si>
  <si>
    <t xml:space="preserve">Decisão</t>
  </si>
  <si>
    <t xml:space="preserve">Critérios atendidos</t>
  </si>
  <si>
    <t xml:space="preserve">Aprovado por</t>
  </si>
  <si>
    <t xml:space="preserve">Avaliação de desempenho</t>
  </si>
  <si>
    <t xml:space="preserve">Uma linha por fornecedor e período. Lance os dados do recebimento e a nota de atendimento: o índice, a classe e a conduta são calculados.</t>
  </si>
  <si>
    <t xml:space="preserve">Período avaliado</t>
  </si>
  <si>
    <t xml:space="preserve">Ex.: julho a dezembro de 2026</t>
  </si>
  <si>
    <t xml:space="preserve">Período</t>
  </si>
  <si>
    <t xml:space="preserve">Lotes recebidos</t>
  </si>
  <si>
    <t xml:space="preserve">Lotes aceitos</t>
  </si>
  <si>
    <t xml:space="preserve">Entregas</t>
  </si>
  <si>
    <t xml:space="preserve">Entregas no prazo</t>
  </si>
  <si>
    <t xml:space="preserve">Nota (0 a 10)</t>
  </si>
  <si>
    <t xml:space="preserve">Qualidade</t>
  </si>
  <si>
    <t xml:space="preserve">Prazo</t>
  </si>
  <si>
    <t xml:space="preserve">Classe</t>
  </si>
  <si>
    <t xml:space="preserve">Conduta</t>
  </si>
  <si>
    <t xml:space="preserve">Plano de ação ou decisão</t>
  </si>
  <si>
    <t xml:space="preserve">Conferência</t>
  </si>
  <si>
    <t xml:space="preserve">Do Cadastro</t>
  </si>
  <si>
    <t xml:space="preserve">Semestre, ano</t>
  </si>
  <si>
    <t xml:space="preserve">Ou serviços prestados</t>
  </si>
  <si>
    <t xml:space="preserve">Sem recusa</t>
  </si>
  <si>
    <t xml:space="preserve">No período</t>
  </si>
  <si>
    <t xml:space="preserve">Na data combinada</t>
  </si>
  <si>
    <t xml:space="preserve">Do comprador</t>
  </si>
  <si>
    <t xml:space="preserve">Calculado</t>
  </si>
  <si>
    <t xml:space="preserve">O que foi combinado com o fornecedor</t>
  </si>
  <si>
    <t xml:space="preserve">Índice por fornecedor</t>
  </si>
  <si>
    <t xml:space="preserve">Fornecedores avaliados</t>
  </si>
  <si>
    <t xml:space="preserve">Classe A, B, C e D</t>
  </si>
  <si>
    <t xml:space="preserve">Média do índice</t>
  </si>
  <si>
    <t xml:space="preserve">Classe C ou D sem plano ou decisão</t>
  </si>
  <si>
    <t xml:space="preserve">Ocorrências com fornecedores</t>
  </si>
  <si>
    <t xml:space="preserve">Uma linha para cada falha registrada pelo recebimento: lote recusado, atraso, documento errado, atendimento.</t>
  </si>
  <si>
    <t xml:space="preserve">Data</t>
  </si>
  <si>
    <t xml:space="preserve">Descrição</t>
  </si>
  <si>
    <t xml:space="preserve">Tratamento</t>
  </si>
  <si>
    <t xml:space="preserve">RNC nº</t>
  </si>
  <si>
    <t xml:space="preserve">Da ocorrência</t>
  </si>
  <si>
    <t xml:space="preserve">O que aconteceu, com o lote ou o pedido</t>
  </si>
  <si>
    <t xml:space="preserve">Devolução, reposição, plano do fornecedor</t>
  </si>
  <si>
    <t xml:space="preserve">Se abriu RNC</t>
  </si>
  <si>
    <t xml:space="preserve">Ex.</t>
  </si>
  <si>
    <t xml:space="preserve">F-08</t>
  </si>
  <si>
    <t xml:space="preserve">Paletes Rápido</t>
  </si>
  <si>
    <t xml:space="preserve">Lote de 40 paletes com madeira sem tratamento. Nota fiscal 1.223.</t>
  </si>
  <si>
    <t xml:space="preserve">Lote devolvido. Reposição em 5 dias.</t>
  </si>
  <si>
    <t xml:space="preserve">2026-35</t>
  </si>
  <si>
    <t xml:space="preserve">Encerrada</t>
  </si>
  <si>
    <t xml:space="preserve">Completa</t>
  </si>
  <si>
    <t xml:space="preserve">Ocorrências registradas</t>
  </si>
  <si>
    <t xml:space="preserve">Abertas</t>
  </si>
  <si>
    <t xml:space="preserve">Qualidade, prazo, documentação e atendimento</t>
  </si>
  <si>
    <t xml:space="preserve">Checklist do controle de fornecedores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</si>
  <si>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</si>
  <si>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</si>
  <si>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</si>
  <si>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</si>
  <si>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Os itens e serviços críticos estão identificados, com o motivo.</t>
  </si>
  <si>
    <t xml:space="preserve">Os critérios de homologação estão escritos e são os mesmos para todos os fornecedores do mesmo tipo.</t>
  </si>
  <si>
    <t xml:space="preserve">Todo fornecedor crítico tem homologação registrada e dentro da validade.</t>
  </si>
  <si>
    <t xml:space="preserve">O pedido de compra informa os requisitos do produto ou do serviço.</t>
  </si>
  <si>
    <t xml:space="preserve">O recebimento confere o que chega, com registro, antes da liberação.</t>
  </si>
  <si>
    <t xml:space="preserve">Os indicadores de desempenho e os pesos estão definidos e foram comunicados aos fornecedores.</t>
  </si>
  <si>
    <t xml:space="preserve">A avaliação é feita no período definido, com os dados do recebimento.</t>
  </si>
  <si>
    <t xml:space="preserve">Cada fornecedor avaliado tem classe e conduta registradas.</t>
  </si>
  <si>
    <t xml:space="preserve">Os fornecedores com plano de ação têm prazo e responsável.</t>
  </si>
  <si>
    <t xml:space="preserve">Os fornecedores reprovados estão bloqueados no sistema de compras.</t>
  </si>
  <si>
    <t xml:space="preserve">As ocorrências com fornecedores são registradas e tratadas.</t>
  </si>
  <si>
    <t xml:space="preserve">Os processos terceirizados têm o controle definido: o que a organização confere e quando.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</si>
  <si>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</si>
  <si>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</si>
  <si>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</si>
  <si>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</si>
  <si>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</si>
  <si>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Avaliação de fornecedores</t>
  </si>
  <si>
    <t xml:space="preserve">Exemplo preenchido, para consulta. Use as abas Cadastro, Homologação, Avaliação e Ocorrências para os seus fornecedores.</t>
  </si>
  <si>
    <t xml:space="preserve">Indústria de embalagens plásticas · Suprimentos</t>
  </si>
  <si>
    <t xml:space="preserve">Julho a dezembro de 2026</t>
  </si>
  <si>
    <t xml:space="preserve">Comprador sênior, com o Gerente de Suprimentos e a Qualidade</t>
  </si>
  <si>
    <t xml:space="preserve">Origem</t>
  </si>
  <si>
    <t xml:space="preserve">Constatação nº 2 da auditoria 2026-07: cinco fornecedores críticos sem avaliação em 2026. Avaliação semestral, PR-SUP-02 rev. 2.</t>
  </si>
  <si>
    <t xml:space="preserve">Cadastro e homologação</t>
  </si>
  <si>
    <t xml:space="preserve">Docs. em dia?</t>
  </si>
  <si>
    <t xml:space="preserve">F-01</t>
  </si>
  <si>
    <t xml:space="preserve">Polímeros do Vale</t>
  </si>
  <si>
    <t xml:space="preserve">Resina de polietileno</t>
  </si>
  <si>
    <t xml:space="preserve">Produto</t>
  </si>
  <si>
    <t xml:space="preserve">Crítico</t>
  </si>
  <si>
    <t xml:space="preserve">Sim</t>
  </si>
  <si>
    <t xml:space="preserve">F-02</t>
  </si>
  <si>
    <t xml:space="preserve">Petroquímica Sul</t>
  </si>
  <si>
    <t xml:space="preserve">Resina de polipropileno</t>
  </si>
  <si>
    <t xml:space="preserve">F-03</t>
  </si>
  <si>
    <t xml:space="preserve">Colorfix</t>
  </si>
  <si>
    <t xml:space="preserve">Masterbatch e pigmentos</t>
  </si>
  <si>
    <t xml:space="preserve">F-04</t>
  </si>
  <si>
    <t xml:space="preserve">Tintas Gráficas Ltda.</t>
  </si>
  <si>
    <t xml:space="preserve">Tintas de impressão</t>
  </si>
  <si>
    <t xml:space="preserve">F-05</t>
  </si>
  <si>
    <t xml:space="preserve">Cliché Print</t>
  </si>
  <si>
    <t xml:space="preserve">Clichês e matrizes</t>
  </si>
  <si>
    <t xml:space="preserve">F-06</t>
  </si>
  <si>
    <t xml:space="preserve">Filmes Técnicos</t>
  </si>
  <si>
    <t xml:space="preserve">Filme para laminação</t>
  </si>
  <si>
    <t xml:space="preserve">F-07</t>
  </si>
  <si>
    <t xml:space="preserve">Papelão Oeste</t>
  </si>
  <si>
    <t xml:space="preserve">Caixas de papelão</t>
  </si>
  <si>
    <t xml:space="preserve">Paletes de madeira</t>
  </si>
  <si>
    <t xml:space="preserve">Não</t>
  </si>
  <si>
    <t xml:space="preserve">F-09</t>
  </si>
  <si>
    <t xml:space="preserve">Transportes Horizonte</t>
  </si>
  <si>
    <t xml:space="preserve">Transporte de produto acabado</t>
  </si>
  <si>
    <t xml:space="preserve">Serviço</t>
  </si>
  <si>
    <t xml:space="preserve">F-10</t>
  </si>
  <si>
    <t xml:space="preserve">Mantec</t>
  </si>
  <si>
    <t xml:space="preserve">Manutenção de extrusoras</t>
  </si>
  <si>
    <t xml:space="preserve">F-11</t>
  </si>
  <si>
    <t xml:space="preserve">Laboratório Analítica</t>
  </si>
  <si>
    <t xml:space="preserve">Ensaios de migração e espessura</t>
  </si>
  <si>
    <t xml:space="preserve">F-12</t>
  </si>
  <si>
    <t xml:space="preserve">Ferramentaria Precisa</t>
  </si>
  <si>
    <t xml:space="preserve">Usinagem de moldes</t>
  </si>
  <si>
    <t xml:space="preserve">Processo terceirizado</t>
  </si>
  <si>
    <t xml:space="preserve">Avaliação de desempenho · julho a dezembro de 2026</t>
  </si>
  <si>
    <t xml:space="preserve">Lotes recebidos · aceitos</t>
  </si>
  <si>
    <t xml:space="preserve">Entregas · no prazo</t>
  </si>
  <si>
    <t xml:space="preserve">Nota</t>
  </si>
  <si>
    <t xml:space="preserve">Observação e conduta</t>
  </si>
  <si>
    <t xml:space="preserve">26 · 26</t>
  </si>
  <si>
    <t xml:space="preserve">26 · 24</t>
  </si>
  <si>
    <t xml:space="preserve">Fornecedor único da resina. Segundo fornecedor em homologação. Conduta: Manter. Pode ter menos inspeção no recebimento.</t>
  </si>
  <si>
    <t xml:space="preserve">14 · 14</t>
  </si>
  <si>
    <t xml:space="preserve">Conduta: Manter. Pode ter menos inspeção no recebimento.</t>
  </si>
  <si>
    <t xml:space="preserve">18 · 13</t>
  </si>
  <si>
    <t xml:space="preserve">18 · 15</t>
  </si>
  <si>
    <t xml:space="preserve">Cinco lotes com tonalidade fora do padrão, devolvidos. Três entregas atrasadas. Conduta: Pedir plano de ação, com prazo. Reavaliar no período seguinte.</t>
  </si>
  <si>
    <t xml:space="preserve">9 · 9</t>
  </si>
  <si>
    <t xml:space="preserve">22 · 21</t>
  </si>
  <si>
    <t xml:space="preserve">22 · 20</t>
  </si>
  <si>
    <t xml:space="preserve">11 · 11</t>
  </si>
  <si>
    <t xml:space="preserve">Primeira avaliação depois da homologação. Conduta: Manter. Pode ter menos inspeção no recebimento.</t>
  </si>
  <si>
    <t xml:space="preserve">30 · 25</t>
  </si>
  <si>
    <t xml:space="preserve">30 · 19</t>
  </si>
  <si>
    <t xml:space="preserve">Onze entregas atrasadas. Caixas úmidas em cinco lotes. Conduta: Pedir plano de ação, com prazo. Reavaliar no período seguinte.</t>
  </si>
  <si>
    <t xml:space="preserve">12 · 8</t>
  </si>
  <si>
    <t xml:space="preserve">12 · 7</t>
  </si>
  <si>
    <t xml:space="preserve">Paletes fora da medida e madeira sem tratamento. Licença ambiental vencida. Conduta: Suspender as compras até um plano aprovado, ou desqualificar.</t>
  </si>
  <si>
    <t xml:space="preserve">60 · 58</t>
  </si>
  <si>
    <t xml:space="preserve">60 · 55</t>
  </si>
  <si>
    <t xml:space="preserve">Duas cargas com avaria. Conduta: Manter. Pode ter menos inspeção no recebimento.</t>
  </si>
  <si>
    <t xml:space="preserve">6 · 6</t>
  </si>
  <si>
    <t xml:space="preserve">6 · 5</t>
  </si>
  <si>
    <t xml:space="preserve">Uma manutenção reprogramada pela produção. Conduta: Manter. Pode ter menos inspeção no recebimento.</t>
  </si>
  <si>
    <t xml:space="preserve">15 · 15</t>
  </si>
  <si>
    <t xml:space="preserve">15 · 12</t>
  </si>
  <si>
    <t xml:space="preserve">Laudos entregues com atraso em três pedidos. Conduta: Manter e acompanhar. Comunicar o resultado ao fornecedor.</t>
  </si>
  <si>
    <t xml:space="preserve">5 · 5</t>
  </si>
  <si>
    <t xml:space="preserve">Menor índice</t>
  </si>
  <si>
    <t xml:space="preserve">Homologações vencidas ou pendentes</t>
  </si>
  <si>
    <t xml:space="preserve">Pizzaria (loja com salão e delivery)</t>
  </si>
  <si>
    <t xml:space="preserve">Agosto de 2026 a janeiro de 2027</t>
  </si>
  <si>
    <t xml:space="preserve">Gerente da loja, com o pizzaiolo líder</t>
  </si>
  <si>
    <t xml:space="preserve">Decisão da análise crítica de 14/12/2026: avaliar os fornecedores de insumos críticos a cada semestre, com registro.</t>
  </si>
  <si>
    <t xml:space="preserve">P1</t>
  </si>
  <si>
    <t xml:space="preserve">Laticínios Serra</t>
  </si>
  <si>
    <t xml:space="preserve">Queijo muçarela</t>
  </si>
  <si>
    <t xml:space="preserve">P2</t>
  </si>
  <si>
    <t xml:space="preserve">Queijaria do Campo</t>
  </si>
  <si>
    <t xml:space="preserve">Queijo muçarela, segundo fornecedor</t>
  </si>
  <si>
    <t xml:space="preserve">P3</t>
  </si>
  <si>
    <t xml:space="preserve">Moinho Bom Trigo</t>
  </si>
  <si>
    <t xml:space="preserve">Farinha de trigo</t>
  </si>
  <si>
    <t xml:space="preserve">P4</t>
  </si>
  <si>
    <t xml:space="preserve">Conservas Vale Verde</t>
  </si>
  <si>
    <t xml:space="preserve">Molho e tomate pelado</t>
  </si>
  <si>
    <t xml:space="preserve">P5</t>
  </si>
  <si>
    <t xml:space="preserve">Embalagens Rápidas</t>
  </si>
  <si>
    <t xml:space="preserve">Caixas de pizza</t>
  </si>
  <si>
    <t xml:space="preserve">P6</t>
  </si>
  <si>
    <t xml:space="preserve">Gás Central</t>
  </si>
  <si>
    <t xml:space="preserve">Gás de cozinha</t>
  </si>
  <si>
    <t xml:space="preserve">P7</t>
  </si>
  <si>
    <t xml:space="preserve">Oficina Duas Rodas</t>
  </si>
  <si>
    <t xml:space="preserve">Revisão mensal das motos</t>
  </si>
  <si>
    <t xml:space="preserve">Avaliação de desempenho · agosto de 2026 a janeiro de 2027</t>
  </si>
  <si>
    <t xml:space="preserve">24 · 23</t>
  </si>
  <si>
    <t xml:space="preserve">24 · 21</t>
  </si>
  <si>
    <t xml:space="preserve">Três atrasos, um deles no sábado. Um lote devolvido por temperatura. Conduta: Manter e acompanhar. Comunicar o resultado ao fornecedor.</t>
  </si>
  <si>
    <t xml:space="preserve">8 · 8</t>
  </si>
  <si>
    <t xml:space="preserve">Fornece desde novembro. Primeira avaliação. Conduta: Manter. Pode ter menos inspeção no recebimento.</t>
  </si>
  <si>
    <t xml:space="preserve">12 · 12</t>
  </si>
  <si>
    <t xml:space="preserve">12 · 11</t>
  </si>
  <si>
    <t xml:space="preserve">Nota fiscal sem o número do contrato em cinco entregas. Conduta: Manter. Pode ter menos inspeção no recebimento.</t>
  </si>
  <si>
    <t xml:space="preserve">Uma revisão refeita: freio com folga. Conduta: Manter e acompanhar. Comunicar o resultado ao fornecedor.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</si>
</sst>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@"/>
    <numFmt numFmtId="167" formatCode="General"/>
    <numFmt numFmtId="168" formatCode="0%"/>
    <numFmt numFmtId="169" formatCode="0.0"/>
    <numFmt numFmtId="170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9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8EBCB"/>
      </patternFill>
    </fill>
    <fill>
      <patternFill patternType="solid">
        <fgColor rgb="FFDCE8F3"/>
        <bgColor rgb="FFD8EFDD"/>
      </patternFill>
    </fill>
    <fill>
      <patternFill patternType="solid">
        <fgColor rgb="FFF8EBCB"/>
        <bgColor rgb="FFFBEBC8"/>
      </patternFill>
    </fill>
    <fill>
      <patternFill patternType="solid">
        <fgColor rgb="FFF5DEDC"/>
        <bgColor rgb="FFF6D9D7"/>
      </patternFill>
    </fill>
    <fill>
      <patternFill patternType="solid">
        <fgColor rgb="FFEADFF0"/>
        <bgColor rgb="FFF5DEDC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A96A12"/>
        <bgColor rgb="FFB041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D8EFDD"/>
        </patternFill>
      </fill>
    </dxf>
    <dxf>
      <fill>
        <patternFill>
          <bgColor rgb="FFEEF1F3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DCE8F3"/>
        </patternFill>
      </fill>
    </dxf>
    <dxf>
      <fill>
        <patternFill>
          <bgColor rgb="FFF8EBCB"/>
        </patternFill>
      </fill>
    </dxf>
    <dxf>
      <fill>
        <patternFill>
          <bgColor rgb="FFF5DEDC"/>
        </patternFill>
      </fill>
    </dxf>
    <dxf>
      <fill>
        <patternFill>
          <bgColor rgb="FFEADF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EBCB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5DEDC"/>
      <rgbColor rgb="FFEADFF0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"Índice"</c:f>
              <c:strCache>
                <c:ptCount val="1"/>
                <c:pt idx="0">
                  <c:v>Índice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Avaliação!$C$7:$C$36</c:f>
              <c:strCache>
                <c:ptCount val="3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Avaliação!$M$7:$M$36</c:f>
              <c:numCache>
                <c:formatCode>General</c:formatCode>
                <c:ptCount val="30"/>
              </c:numCache>
            </c:numRef>
          </c:val>
        </c:ser>
        <c:gapWidth val="50"/>
        <c:overlap val="0"/>
        <c:axId val="66187211"/>
        <c:axId val="42483766"/>
      </c:barChart>
      <c:catAx>
        <c:axId val="661872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83766"/>
        <c:crosses val="autoZero"/>
        <c:auto val="1"/>
        <c:lblAlgn val="ctr"/>
        <c:lblOffset val="100"/>
        <c:noMultiLvlLbl val="0"/>
      </c:catAx>
      <c:valAx>
        <c:axId val="42483766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87211"/>
        <c:crosses val="autoZero"/>
        <c:crossBetween val="between"/>
        <c:majorUnit val="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"Índice"</c:f>
              <c:strCache>
                <c:ptCount val="1"/>
                <c:pt idx="0">
                  <c:v>Índice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Indústria'!$B$27:$B$38</c:f>
              <c:strCache>
                <c:ptCount val="12"/>
                <c:pt idx="0">
                  <c:v>F-01</c:v>
                </c:pt>
                <c:pt idx="1">
                  <c:v>F-02</c:v>
                </c:pt>
                <c:pt idx="2">
                  <c:v>F-03</c:v>
                </c:pt>
                <c:pt idx="3">
                  <c:v>F-04</c:v>
                </c:pt>
                <c:pt idx="4">
                  <c:v>F-05</c:v>
                </c:pt>
                <c:pt idx="5">
                  <c:v>F-06</c:v>
                </c:pt>
                <c:pt idx="6">
                  <c:v>F-07</c:v>
                </c:pt>
                <c:pt idx="7">
                  <c:v>F-08</c:v>
                </c:pt>
                <c:pt idx="8">
                  <c:v>F-09</c:v>
                </c:pt>
                <c:pt idx="9">
                  <c:v>F-10</c:v>
                </c:pt>
                <c:pt idx="10">
                  <c:v>F-11</c:v>
                </c:pt>
                <c:pt idx="11">
                  <c:v>F-12</c:v>
                </c:pt>
              </c:strCache>
            </c:strRef>
          </c:cat>
          <c:val>
            <c:numRef>
              <c:f>'Exemplo 1 - Indústria'!$I$27:$I$38</c:f>
              <c:numCache>
                <c:formatCode>0.0</c:formatCode>
                <c:ptCount val="12"/>
                <c:pt idx="0">
                  <c:v>93.7</c:v>
                </c:pt>
                <c:pt idx="1">
                  <c:v>98</c:v>
                </c:pt>
                <c:pt idx="2">
                  <c:v>73.1</c:v>
                </c:pt>
                <c:pt idx="3">
                  <c:v>98</c:v>
                </c:pt>
                <c:pt idx="4">
                  <c:v>91</c:v>
                </c:pt>
                <c:pt idx="5">
                  <c:v>96</c:v>
                </c:pt>
                <c:pt idx="6">
                  <c:v>70.7</c:v>
                </c:pt>
                <c:pt idx="7">
                  <c:v>58.8</c:v>
                </c:pt>
                <c:pt idx="8">
                  <c:v>91.8</c:v>
                </c:pt>
                <c:pt idx="9">
                  <c:v>93</c:v>
                </c:pt>
                <c:pt idx="10">
                  <c:v>88</c:v>
                </c:pt>
                <c:pt idx="11">
                  <c:v>96</c:v>
                </c:pt>
              </c:numCache>
            </c:numRef>
          </c:val>
        </c:ser>
        <c:gapWidth val="50"/>
        <c:overlap val="0"/>
        <c:axId val="75149420"/>
        <c:axId val="18552538"/>
      </c:barChart>
      <c:catAx>
        <c:axId val="7514942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52538"/>
        <c:crosses val="autoZero"/>
        <c:auto val="1"/>
        <c:lblAlgn val="ctr"/>
        <c:lblOffset val="100"/>
        <c:noMultiLvlLbl val="0"/>
      </c:catAx>
      <c:valAx>
        <c:axId val="18552538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49420"/>
        <c:crosses val="autoZero"/>
        <c:crossBetween val="between"/>
        <c:majorUnit val="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"Índice"</c:f>
              <c:strCache>
                <c:ptCount val="1"/>
                <c:pt idx="0">
                  <c:v>Índice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Pizzaria'!$B$22:$B$28</c:f>
              <c:strCache>
                <c:ptCount val="7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</c:strCache>
            </c:strRef>
          </c:cat>
          <c:val>
            <c:numRef>
              <c:f>'Exemplo 2 - Pizzaria'!$I$22:$I$28</c:f>
              <c:numCache>
                <c:formatCode>0.0</c:formatCode>
                <c:ptCount val="7"/>
                <c:pt idx="0">
                  <c:v>88.2</c:v>
                </c:pt>
                <c:pt idx="1">
                  <c:v>96</c:v>
                </c:pt>
                <c:pt idx="2">
                  <c:v>98</c:v>
                </c:pt>
                <c:pt idx="3">
                  <c:v>93.5</c:v>
                </c:pt>
                <c:pt idx="4">
                  <c:v>96</c:v>
                </c:pt>
                <c:pt idx="5">
                  <c:v>94</c:v>
                </c:pt>
                <c:pt idx="6">
                  <c:v>87.7</c:v>
                </c:pt>
              </c:numCache>
            </c:numRef>
          </c:val>
        </c:ser>
        <c:gapWidth val="50"/>
        <c:overlap val="0"/>
        <c:axId val="35087082"/>
        <c:axId val="88922102"/>
      </c:barChart>
      <c:catAx>
        <c:axId val="3508708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22102"/>
        <c:crosses val="autoZero"/>
        <c:auto val="1"/>
        <c:lblAlgn val="ctr"/>
        <c:lblOffset val="100"/>
        <c:noMultiLvlLbl val="0"/>
      </c:catAx>
      <c:valAx>
        <c:axId val="88922102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87082"/>
        <c:crosses val="autoZero"/>
        <c:crossBetween val="between"/>
        <c:majorUnit val="25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38</xdr:row>
      <xdr:rowOff>0</xdr:rowOff>
    </xdr:from>
    <xdr:to>
      <xdr:col>15</xdr:col>
      <xdr:colOff>747720</xdr:colOff>
      <xdr:row>58</xdr:row>
      <xdr:rowOff>81000</xdr:rowOff>
    </xdr:to>
    <xdr:graphicFrame>
      <xdr:nvGraphicFramePr>
        <xdr:cNvPr id="0" name="Chart 1"/>
        <xdr:cNvGraphicFramePr/>
      </xdr:nvGraphicFramePr>
      <xdr:xfrm>
        <a:off x="7400880" y="13811400"/>
        <a:ext cx="53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40</xdr:row>
      <xdr:rowOff>0</xdr:rowOff>
    </xdr:from>
    <xdr:to>
      <xdr:col>13</xdr:col>
      <xdr:colOff>128520</xdr:colOff>
      <xdr:row>51</xdr:row>
      <xdr:rowOff>175320</xdr:rowOff>
    </xdr:to>
    <xdr:graphicFrame>
      <xdr:nvGraphicFramePr>
        <xdr:cNvPr id="1" name="Chart 1"/>
        <xdr:cNvGraphicFramePr/>
      </xdr:nvGraphicFramePr>
      <xdr:xfrm>
        <a:off x="7048440" y="128682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30</xdr:row>
      <xdr:rowOff>0</xdr:rowOff>
    </xdr:from>
    <xdr:to>
      <xdr:col>13</xdr:col>
      <xdr:colOff>128520</xdr:colOff>
      <xdr:row>38</xdr:row>
      <xdr:rowOff>27000</xdr:rowOff>
    </xdr:to>
    <xdr:graphicFrame>
      <xdr:nvGraphicFramePr>
        <xdr:cNvPr id="2" name="Chart 1"/>
        <xdr:cNvGraphicFramePr/>
      </xdr:nvGraphicFramePr>
      <xdr:xfrm>
        <a:off x="7048440" y="9077400"/>
        <a:ext cx="611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19.5" hidden="false" customHeight="true" outlineLevel="0" collapsed="false">
      <c r="B13" s="4" t="s">
        <v>16</v>
      </c>
      <c r="C13" s="7" t="s">
        <v>17</v>
      </c>
    </row>
    <row r="14" customFormat="false" ht="19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9" t="s">
        <v>22</v>
      </c>
      <c r="C16" s="7" t="s">
        <v>23</v>
      </c>
    </row>
    <row r="17" customFormat="false" ht="19.5" hidden="false" customHeight="true" outlineLevel="0" collapsed="false">
      <c r="B17" s="10" t="s">
        <v>24</v>
      </c>
      <c r="C17" s="7" t="s">
        <v>25</v>
      </c>
    </row>
    <row r="18" customFormat="false" ht="19.5" hidden="false" customHeight="true" outlineLevel="0" collapsed="false">
      <c r="B18" s="11" t="s">
        <v>26</v>
      </c>
      <c r="C18" s="7" t="s">
        <v>27</v>
      </c>
    </row>
    <row r="20" customFormat="false" ht="21.75" hidden="false" customHeight="true" outlineLevel="0" collapsed="false">
      <c r="B20" s="3" t="s">
        <v>28</v>
      </c>
      <c r="C20" s="3"/>
    </row>
    <row r="21" customFormat="false" ht="31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  <row r="38" customFormat="false" ht="21.75" hidden="false" customHeight="true" outlineLevel="0" collapsed="false">
      <c r="B38" s="3" t="s">
        <v>58</v>
      </c>
      <c r="C38" s="3"/>
    </row>
    <row r="39" customFormat="false" ht="31.5" hidden="false" customHeight="true" outlineLevel="0" collapsed="false">
      <c r="B39" s="4" t="s">
        <v>59</v>
      </c>
      <c r="C39" s="7" t="s">
        <v>60</v>
      </c>
    </row>
    <row r="40" customFormat="false" ht="31.5" hidden="false" customHeight="true" outlineLevel="0" collapsed="false">
      <c r="B40" s="4" t="s">
        <v>61</v>
      </c>
      <c r="C40" s="7" t="s">
        <v>62</v>
      </c>
    </row>
    <row r="41" customFormat="false" ht="31.5" hidden="false" customHeight="true" outlineLevel="0" collapsed="false">
      <c r="B41" s="4" t="s">
        <v>46</v>
      </c>
      <c r="C41" s="7" t="s">
        <v>63</v>
      </c>
    </row>
    <row r="42" customFormat="false" ht="19.5" hidden="false" customHeight="true" outlineLevel="0" collapsed="false">
      <c r="B42" s="4" t="s">
        <v>64</v>
      </c>
      <c r="C42" s="7" t="s">
        <v>65</v>
      </c>
    </row>
    <row r="43" customFormat="false" ht="31.5" hidden="false" customHeight="true" outlineLevel="0" collapsed="false">
      <c r="B43" s="4" t="s">
        <v>66</v>
      </c>
      <c r="C43" s="7" t="s">
        <v>67</v>
      </c>
    </row>
    <row r="44" customFormat="false" ht="19.5" hidden="false" customHeight="true" outlineLevel="0" collapsed="false">
      <c r="B44" s="4" t="s">
        <v>68</v>
      </c>
      <c r="C44" s="7" t="s">
        <v>69</v>
      </c>
    </row>
  </sheetData>
  <mergeCells count="7">
    <mergeCell ref="B1:C1"/>
    <mergeCell ref="B2:C2"/>
    <mergeCell ref="B4:C4"/>
    <mergeCell ref="B11:C11"/>
    <mergeCell ref="B20:C20"/>
    <mergeCell ref="B29:C29"/>
    <mergeCell ref="B38:C3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L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26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70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71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72</v>
      </c>
      <c r="C4" s="4"/>
      <c r="D4" s="4"/>
      <c r="E4" s="5"/>
    </row>
    <row r="5" customFormat="false" ht="21.75" hidden="false" customHeight="true" outlineLevel="0" collapsed="false">
      <c r="B5" s="4" t="s">
        <v>66</v>
      </c>
      <c r="C5" s="4"/>
      <c r="D5" s="4"/>
      <c r="E5" s="12"/>
      <c r="F5" s="13" t="s">
        <v>73</v>
      </c>
      <c r="G5" s="13"/>
      <c r="H5" s="13"/>
    </row>
    <row r="6" customFormat="false" ht="21.75" hidden="false" customHeight="true" outlineLevel="0" collapsed="false">
      <c r="B6" s="4" t="s">
        <v>74</v>
      </c>
      <c r="C6" s="4"/>
      <c r="D6" s="4"/>
      <c r="E6" s="5" t="n">
        <v>24</v>
      </c>
      <c r="F6" s="13" t="s">
        <v>75</v>
      </c>
      <c r="G6" s="13"/>
      <c r="H6" s="13"/>
    </row>
    <row r="7" customFormat="false" ht="24" hidden="false" customHeight="true" outlineLevel="0" collapsed="false">
      <c r="B7" s="14"/>
      <c r="C7" s="14" t="s">
        <v>76</v>
      </c>
      <c r="D7" s="14" t="s">
        <v>77</v>
      </c>
      <c r="E7" s="14" t="s">
        <v>78</v>
      </c>
      <c r="F7" s="14" t="s">
        <v>79</v>
      </c>
      <c r="G7" s="14" t="s">
        <v>79</v>
      </c>
      <c r="H7" s="14" t="s">
        <v>80</v>
      </c>
      <c r="I7" s="14" t="s">
        <v>81</v>
      </c>
      <c r="J7" s="14" t="s">
        <v>82</v>
      </c>
      <c r="K7" s="14" t="s">
        <v>83</v>
      </c>
      <c r="L7" s="14" t="s">
        <v>82</v>
      </c>
    </row>
    <row r="8" customFormat="false" ht="33" hidden="false" customHeight="true" outlineLevel="0" collapsed="false">
      <c r="B8" s="15" t="s">
        <v>84</v>
      </c>
      <c r="C8" s="15" t="s">
        <v>85</v>
      </c>
      <c r="D8" s="15" t="s">
        <v>86</v>
      </c>
      <c r="E8" s="15" t="s">
        <v>87</v>
      </c>
      <c r="F8" s="15" t="s">
        <v>88</v>
      </c>
      <c r="G8" s="15" t="s">
        <v>89</v>
      </c>
      <c r="H8" s="15" t="s">
        <v>90</v>
      </c>
      <c r="I8" s="15" t="s">
        <v>91</v>
      </c>
      <c r="J8" s="15" t="s">
        <v>92</v>
      </c>
      <c r="K8" s="15" t="s">
        <v>93</v>
      </c>
      <c r="L8" s="15" t="s">
        <v>94</v>
      </c>
    </row>
    <row r="9" customFormat="false" ht="21.75" hidden="false" customHeight="true" outlineLevel="0" collapsed="false">
      <c r="B9" s="16" t="n">
        <v>1</v>
      </c>
      <c r="C9" s="17"/>
      <c r="D9" s="5"/>
      <c r="E9" s="5"/>
      <c r="F9" s="18"/>
      <c r="G9" s="18"/>
      <c r="H9" s="19"/>
      <c r="I9" s="18"/>
      <c r="J9" s="20" t="str">
        <f aca="false">IF(OR(H9="",D9=""),"",EDATE(H9,IF(I9="",$E$6,I9)))</f>
        <v/>
      </c>
      <c r="K9" s="18"/>
      <c r="L9" s="21" t="str">
        <f aca="true">IF(D9="","",IF(G9="","Falta a criticidade",IF(G9="Não crítico","Não crítico: sem homologação",IF(H9="","Falta a homologação",IF(K9="Não","Documentos pendentes",IF(J9&lt;IF(Cadastro!$E$5="",TODAY(),Cadastro!$E$5),"Homologação vencida","Homologado"))))))</f>
        <v/>
      </c>
    </row>
    <row r="10" customFormat="false" ht="21.75" hidden="false" customHeight="true" outlineLevel="0" collapsed="false">
      <c r="B10" s="16" t="n">
        <v>2</v>
      </c>
      <c r="C10" s="17"/>
      <c r="D10" s="5"/>
      <c r="E10" s="5"/>
      <c r="F10" s="18"/>
      <c r="G10" s="18"/>
      <c r="H10" s="19"/>
      <c r="I10" s="18"/>
      <c r="J10" s="20" t="str">
        <f aca="false">IF(OR(H10="",D10=""),"",EDATE(H10,IF(I10="",$E$6,I10)))</f>
        <v/>
      </c>
      <c r="K10" s="18"/>
      <c r="L10" s="21" t="str">
        <f aca="true">IF(D10="","",IF(G10="","Falta a criticidade",IF(G10="Não crítico","Não crítico: sem homologação",IF(H10="","Falta a homologação",IF(K10="Não","Documentos pendentes",IF(J10&lt;IF(Cadastro!$E$5="",TODAY(),Cadastro!$E$5),"Homologação vencida","Homologado"))))))</f>
        <v/>
      </c>
    </row>
    <row r="11" customFormat="false" ht="21.75" hidden="false" customHeight="true" outlineLevel="0" collapsed="false">
      <c r="B11" s="16" t="n">
        <v>3</v>
      </c>
      <c r="C11" s="17"/>
      <c r="D11" s="5"/>
      <c r="E11" s="5"/>
      <c r="F11" s="18"/>
      <c r="G11" s="18"/>
      <c r="H11" s="19"/>
      <c r="I11" s="18"/>
      <c r="J11" s="20" t="str">
        <f aca="false">IF(OR(H11="",D11=""),"",EDATE(H11,IF(I11="",$E$6,I11)))</f>
        <v/>
      </c>
      <c r="K11" s="18"/>
      <c r="L11" s="21" t="str">
        <f aca="true">IF(D11="","",IF(G11="","Falta a criticidade",IF(G11="Não crítico","Não crítico: sem homologação",IF(H11="","Falta a homologação",IF(K11="Não","Documentos pendentes",IF(J11&lt;IF(Cadastro!$E$5="",TODAY(),Cadastro!$E$5),"Homologação vencida","Homologado"))))))</f>
        <v/>
      </c>
    </row>
    <row r="12" customFormat="false" ht="21.75" hidden="false" customHeight="true" outlineLevel="0" collapsed="false">
      <c r="B12" s="16" t="n">
        <v>4</v>
      </c>
      <c r="C12" s="17"/>
      <c r="D12" s="5"/>
      <c r="E12" s="5"/>
      <c r="F12" s="18"/>
      <c r="G12" s="18"/>
      <c r="H12" s="19"/>
      <c r="I12" s="18"/>
      <c r="J12" s="20" t="str">
        <f aca="false">IF(OR(H12="",D12=""),"",EDATE(H12,IF(I12="",$E$6,I12)))</f>
        <v/>
      </c>
      <c r="K12" s="18"/>
      <c r="L12" s="21" t="str">
        <f aca="true">IF(D12="","",IF(G12="","Falta a criticidade",IF(G12="Não crítico","Não crítico: sem homologação",IF(H12="","Falta a homologação",IF(K12="Não","Documentos pendentes",IF(J12&lt;IF(Cadastro!$E$5="",TODAY(),Cadastro!$E$5),"Homologação vencida","Homologado"))))))</f>
        <v/>
      </c>
    </row>
    <row r="13" customFormat="false" ht="21.75" hidden="false" customHeight="true" outlineLevel="0" collapsed="false">
      <c r="B13" s="16" t="n">
        <v>5</v>
      </c>
      <c r="C13" s="17"/>
      <c r="D13" s="5"/>
      <c r="E13" s="5"/>
      <c r="F13" s="18"/>
      <c r="G13" s="18"/>
      <c r="H13" s="19"/>
      <c r="I13" s="18"/>
      <c r="J13" s="20" t="str">
        <f aca="false">IF(OR(H13="",D13=""),"",EDATE(H13,IF(I13="",$E$6,I13)))</f>
        <v/>
      </c>
      <c r="K13" s="18"/>
      <c r="L13" s="21" t="str">
        <f aca="true">IF(D13="","",IF(G13="","Falta a criticidade",IF(G13="Não crítico","Não crítico: sem homologação",IF(H13="","Falta a homologação",IF(K13="Não","Documentos pendentes",IF(J13&lt;IF(Cadastro!$E$5="",TODAY(),Cadastro!$E$5),"Homologação vencida","Homologado"))))))</f>
        <v/>
      </c>
    </row>
    <row r="14" customFormat="false" ht="21.75" hidden="false" customHeight="true" outlineLevel="0" collapsed="false">
      <c r="B14" s="16" t="n">
        <v>6</v>
      </c>
      <c r="C14" s="17"/>
      <c r="D14" s="5"/>
      <c r="E14" s="5"/>
      <c r="F14" s="18"/>
      <c r="G14" s="18"/>
      <c r="H14" s="19"/>
      <c r="I14" s="18"/>
      <c r="J14" s="20" t="str">
        <f aca="false">IF(OR(H14="",D14=""),"",EDATE(H14,IF(I14="",$E$6,I14)))</f>
        <v/>
      </c>
      <c r="K14" s="18"/>
      <c r="L14" s="21" t="str">
        <f aca="true">IF(D14="","",IF(G14="","Falta a criticidade",IF(G14="Não crítico","Não crítico: sem homologação",IF(H14="","Falta a homologação",IF(K14="Não","Documentos pendentes",IF(J14&lt;IF(Cadastro!$E$5="",TODAY(),Cadastro!$E$5),"Homologação vencida","Homologado"))))))</f>
        <v/>
      </c>
    </row>
    <row r="15" customFormat="false" ht="21.75" hidden="false" customHeight="true" outlineLevel="0" collapsed="false">
      <c r="B15" s="16" t="n">
        <v>7</v>
      </c>
      <c r="C15" s="17"/>
      <c r="D15" s="5"/>
      <c r="E15" s="5"/>
      <c r="F15" s="18"/>
      <c r="G15" s="18"/>
      <c r="H15" s="19"/>
      <c r="I15" s="18"/>
      <c r="J15" s="20" t="str">
        <f aca="false">IF(OR(H15="",D15=""),"",EDATE(H15,IF(I15="",$E$6,I15)))</f>
        <v/>
      </c>
      <c r="K15" s="18"/>
      <c r="L15" s="21" t="str">
        <f aca="true">IF(D15="","",IF(G15="","Falta a criticidade",IF(G15="Não crítico","Não crítico: sem homologação",IF(H15="","Falta a homologação",IF(K15="Não","Documentos pendentes",IF(J15&lt;IF(Cadastro!$E$5="",TODAY(),Cadastro!$E$5),"Homologação vencida","Homologado"))))))</f>
        <v/>
      </c>
    </row>
    <row r="16" customFormat="false" ht="21.75" hidden="false" customHeight="true" outlineLevel="0" collapsed="false">
      <c r="B16" s="16" t="n">
        <v>8</v>
      </c>
      <c r="C16" s="17"/>
      <c r="D16" s="5"/>
      <c r="E16" s="5"/>
      <c r="F16" s="18"/>
      <c r="G16" s="18"/>
      <c r="H16" s="19"/>
      <c r="I16" s="18"/>
      <c r="J16" s="20" t="str">
        <f aca="false">IF(OR(H16="",D16=""),"",EDATE(H16,IF(I16="",$E$6,I16)))</f>
        <v/>
      </c>
      <c r="K16" s="18"/>
      <c r="L16" s="21" t="str">
        <f aca="true">IF(D16="","",IF(G16="","Falta a criticidade",IF(G16="Não crítico","Não crítico: sem homologação",IF(H16="","Falta a homologação",IF(K16="Não","Documentos pendentes",IF(J16&lt;IF(Cadastro!$E$5="",TODAY(),Cadastro!$E$5),"Homologação vencida","Homologado"))))))</f>
        <v/>
      </c>
    </row>
    <row r="17" customFormat="false" ht="21.75" hidden="false" customHeight="true" outlineLevel="0" collapsed="false">
      <c r="B17" s="16" t="n">
        <v>9</v>
      </c>
      <c r="C17" s="17"/>
      <c r="D17" s="5"/>
      <c r="E17" s="5"/>
      <c r="F17" s="18"/>
      <c r="G17" s="18"/>
      <c r="H17" s="19"/>
      <c r="I17" s="18"/>
      <c r="J17" s="20" t="str">
        <f aca="false">IF(OR(H17="",D17=""),"",EDATE(H17,IF(I17="",$E$6,I17)))</f>
        <v/>
      </c>
      <c r="K17" s="18"/>
      <c r="L17" s="21" t="str">
        <f aca="true">IF(D17="","",IF(G17="","Falta a criticidade",IF(G17="Não crítico","Não crítico: sem homologação",IF(H17="","Falta a homologação",IF(K17="Não","Documentos pendentes",IF(J17&lt;IF(Cadastro!$E$5="",TODAY(),Cadastro!$E$5),"Homologação vencida","Homologado"))))))</f>
        <v/>
      </c>
    </row>
    <row r="18" customFormat="false" ht="21.75" hidden="false" customHeight="true" outlineLevel="0" collapsed="false">
      <c r="B18" s="16" t="n">
        <v>10</v>
      </c>
      <c r="C18" s="17"/>
      <c r="D18" s="5"/>
      <c r="E18" s="5"/>
      <c r="F18" s="18"/>
      <c r="G18" s="18"/>
      <c r="H18" s="19"/>
      <c r="I18" s="18"/>
      <c r="J18" s="20" t="str">
        <f aca="false">IF(OR(H18="",D18=""),"",EDATE(H18,IF(I18="",$E$6,I18)))</f>
        <v/>
      </c>
      <c r="K18" s="18"/>
      <c r="L18" s="21" t="str">
        <f aca="true">IF(D18="","",IF(G18="","Falta a criticidade",IF(G18="Não crítico","Não crítico: sem homologação",IF(H18="","Falta a homologação",IF(K18="Não","Documentos pendentes",IF(J18&lt;IF(Cadastro!$E$5="",TODAY(),Cadastro!$E$5),"Homologação vencida","Homologado"))))))</f>
        <v/>
      </c>
    </row>
    <row r="19" customFormat="false" ht="21.75" hidden="false" customHeight="true" outlineLevel="0" collapsed="false">
      <c r="B19" s="16" t="n">
        <v>11</v>
      </c>
      <c r="C19" s="17"/>
      <c r="D19" s="5"/>
      <c r="E19" s="5"/>
      <c r="F19" s="18"/>
      <c r="G19" s="18"/>
      <c r="H19" s="19"/>
      <c r="I19" s="18"/>
      <c r="J19" s="20" t="str">
        <f aca="false">IF(OR(H19="",D19=""),"",EDATE(H19,IF(I19="",$E$6,I19)))</f>
        <v/>
      </c>
      <c r="K19" s="18"/>
      <c r="L19" s="21" t="str">
        <f aca="true">IF(D19="","",IF(G19="","Falta a criticidade",IF(G19="Não crítico","Não crítico: sem homologação",IF(H19="","Falta a homologação",IF(K19="Não","Documentos pendentes",IF(J19&lt;IF(Cadastro!$E$5="",TODAY(),Cadastro!$E$5),"Homologação vencida","Homologado"))))))</f>
        <v/>
      </c>
    </row>
    <row r="20" customFormat="false" ht="21.75" hidden="false" customHeight="true" outlineLevel="0" collapsed="false">
      <c r="B20" s="16" t="n">
        <v>12</v>
      </c>
      <c r="C20" s="17"/>
      <c r="D20" s="5"/>
      <c r="E20" s="5"/>
      <c r="F20" s="18"/>
      <c r="G20" s="18"/>
      <c r="H20" s="19"/>
      <c r="I20" s="18"/>
      <c r="J20" s="20" t="str">
        <f aca="false">IF(OR(H20="",D20=""),"",EDATE(H20,IF(I20="",$E$6,I20)))</f>
        <v/>
      </c>
      <c r="K20" s="18"/>
      <c r="L20" s="21" t="str">
        <f aca="true">IF(D20="","",IF(G20="","Falta a criticidade",IF(G20="Não crítico","Não crítico: sem homologação",IF(H20="","Falta a homologação",IF(K20="Não","Documentos pendentes",IF(J20&lt;IF(Cadastro!$E$5="",TODAY(),Cadastro!$E$5),"Homologação vencida","Homologado"))))))</f>
        <v/>
      </c>
    </row>
    <row r="21" customFormat="false" ht="21.75" hidden="false" customHeight="true" outlineLevel="0" collapsed="false">
      <c r="B21" s="16" t="n">
        <v>13</v>
      </c>
      <c r="C21" s="17"/>
      <c r="D21" s="5"/>
      <c r="E21" s="5"/>
      <c r="F21" s="18"/>
      <c r="G21" s="18"/>
      <c r="H21" s="19"/>
      <c r="I21" s="18"/>
      <c r="J21" s="20" t="str">
        <f aca="false">IF(OR(H21="",D21=""),"",EDATE(H21,IF(I21="",$E$6,I21)))</f>
        <v/>
      </c>
      <c r="K21" s="18"/>
      <c r="L21" s="21" t="str">
        <f aca="true">IF(D21="","",IF(G21="","Falta a criticidade",IF(G21="Não crítico","Não crítico: sem homologação",IF(H21="","Falta a homologação",IF(K21="Não","Documentos pendentes",IF(J21&lt;IF(Cadastro!$E$5="",TODAY(),Cadastro!$E$5),"Homologação vencida","Homologado"))))))</f>
        <v/>
      </c>
    </row>
    <row r="22" customFormat="false" ht="21.75" hidden="false" customHeight="true" outlineLevel="0" collapsed="false">
      <c r="B22" s="16" t="n">
        <v>14</v>
      </c>
      <c r="C22" s="17"/>
      <c r="D22" s="5"/>
      <c r="E22" s="5"/>
      <c r="F22" s="18"/>
      <c r="G22" s="18"/>
      <c r="H22" s="19"/>
      <c r="I22" s="18"/>
      <c r="J22" s="20" t="str">
        <f aca="false">IF(OR(H22="",D22=""),"",EDATE(H22,IF(I22="",$E$6,I22)))</f>
        <v/>
      </c>
      <c r="K22" s="18"/>
      <c r="L22" s="21" t="str">
        <f aca="true">IF(D22="","",IF(G22="","Falta a criticidade",IF(G22="Não crítico","Não crítico: sem homologação",IF(H22="","Falta a homologação",IF(K22="Não","Documentos pendentes",IF(J22&lt;IF(Cadastro!$E$5="",TODAY(),Cadastro!$E$5),"Homologação vencida","Homologado"))))))</f>
        <v/>
      </c>
    </row>
    <row r="23" customFormat="false" ht="21.75" hidden="false" customHeight="true" outlineLevel="0" collapsed="false">
      <c r="B23" s="16" t="n">
        <v>15</v>
      </c>
      <c r="C23" s="17"/>
      <c r="D23" s="5"/>
      <c r="E23" s="5"/>
      <c r="F23" s="18"/>
      <c r="G23" s="18"/>
      <c r="H23" s="19"/>
      <c r="I23" s="18"/>
      <c r="J23" s="20" t="str">
        <f aca="false">IF(OR(H23="",D23=""),"",EDATE(H23,IF(I23="",$E$6,I23)))</f>
        <v/>
      </c>
      <c r="K23" s="18"/>
      <c r="L23" s="21" t="str">
        <f aca="true">IF(D23="","",IF(G23="","Falta a criticidade",IF(G23="Não crítico","Não crítico: sem homologação",IF(H23="","Falta a homologação",IF(K23="Não","Documentos pendentes",IF(J23&lt;IF(Cadastro!$E$5="",TODAY(),Cadastro!$E$5),"Homologação vencida","Homologado"))))))</f>
        <v/>
      </c>
    </row>
    <row r="24" customFormat="false" ht="21.75" hidden="false" customHeight="true" outlineLevel="0" collapsed="false">
      <c r="B24" s="16" t="n">
        <v>16</v>
      </c>
      <c r="C24" s="17"/>
      <c r="D24" s="5"/>
      <c r="E24" s="5"/>
      <c r="F24" s="18"/>
      <c r="G24" s="18"/>
      <c r="H24" s="19"/>
      <c r="I24" s="18"/>
      <c r="J24" s="20" t="str">
        <f aca="false">IF(OR(H24="",D24=""),"",EDATE(H24,IF(I24="",$E$6,I24)))</f>
        <v/>
      </c>
      <c r="K24" s="18"/>
      <c r="L24" s="21" t="str">
        <f aca="true">IF(D24="","",IF(G24="","Falta a criticidade",IF(G24="Não crítico","Não crítico: sem homologação",IF(H24="","Falta a homologação",IF(K24="Não","Documentos pendentes",IF(J24&lt;IF(Cadastro!$E$5="",TODAY(),Cadastro!$E$5),"Homologação vencida","Homologado"))))))</f>
        <v/>
      </c>
    </row>
    <row r="25" customFormat="false" ht="21.75" hidden="false" customHeight="true" outlineLevel="0" collapsed="false">
      <c r="B25" s="16" t="n">
        <v>17</v>
      </c>
      <c r="C25" s="17"/>
      <c r="D25" s="5"/>
      <c r="E25" s="5"/>
      <c r="F25" s="18"/>
      <c r="G25" s="18"/>
      <c r="H25" s="19"/>
      <c r="I25" s="18"/>
      <c r="J25" s="20" t="str">
        <f aca="false">IF(OR(H25="",D25=""),"",EDATE(H25,IF(I25="",$E$6,I25)))</f>
        <v/>
      </c>
      <c r="K25" s="18"/>
      <c r="L25" s="21" t="str">
        <f aca="true">IF(D25="","",IF(G25="","Falta a criticidade",IF(G25="Não crítico","Não crítico: sem homologação",IF(H25="","Falta a homologação",IF(K25="Não","Documentos pendentes",IF(J25&lt;IF(Cadastro!$E$5="",TODAY(),Cadastro!$E$5),"Homologação vencida","Homologado"))))))</f>
        <v/>
      </c>
    </row>
    <row r="26" customFormat="false" ht="21.75" hidden="false" customHeight="true" outlineLevel="0" collapsed="false">
      <c r="B26" s="16" t="n">
        <v>18</v>
      </c>
      <c r="C26" s="17"/>
      <c r="D26" s="5"/>
      <c r="E26" s="5"/>
      <c r="F26" s="18"/>
      <c r="G26" s="18"/>
      <c r="H26" s="19"/>
      <c r="I26" s="18"/>
      <c r="J26" s="20" t="str">
        <f aca="false">IF(OR(H26="",D26=""),"",EDATE(H26,IF(I26="",$E$6,I26)))</f>
        <v/>
      </c>
      <c r="K26" s="18"/>
      <c r="L26" s="21" t="str">
        <f aca="true">IF(D26="","",IF(G26="","Falta a criticidade",IF(G26="Não crítico","Não crítico: sem homologação",IF(H26="","Falta a homologação",IF(K26="Não","Documentos pendentes",IF(J26&lt;IF(Cadastro!$E$5="",TODAY(),Cadastro!$E$5),"Homologação vencida","Homologado"))))))</f>
        <v/>
      </c>
    </row>
    <row r="27" customFormat="false" ht="21.75" hidden="false" customHeight="true" outlineLevel="0" collapsed="false">
      <c r="B27" s="16" t="n">
        <v>19</v>
      </c>
      <c r="C27" s="17"/>
      <c r="D27" s="5"/>
      <c r="E27" s="5"/>
      <c r="F27" s="18"/>
      <c r="G27" s="18"/>
      <c r="H27" s="19"/>
      <c r="I27" s="18"/>
      <c r="J27" s="20" t="str">
        <f aca="false">IF(OR(H27="",D27=""),"",EDATE(H27,IF(I27="",$E$6,I27)))</f>
        <v/>
      </c>
      <c r="K27" s="18"/>
      <c r="L27" s="21" t="str">
        <f aca="true">IF(D27="","",IF(G27="","Falta a criticidade",IF(G27="Não crítico","Não crítico: sem homologação",IF(H27="","Falta a homologação",IF(K27="Não","Documentos pendentes",IF(J27&lt;IF(Cadastro!$E$5="",TODAY(),Cadastro!$E$5),"Homologação vencida","Homologado"))))))</f>
        <v/>
      </c>
    </row>
    <row r="28" customFormat="false" ht="21.75" hidden="false" customHeight="true" outlineLevel="0" collapsed="false">
      <c r="B28" s="16" t="n">
        <v>20</v>
      </c>
      <c r="C28" s="17"/>
      <c r="D28" s="5"/>
      <c r="E28" s="5"/>
      <c r="F28" s="18"/>
      <c r="G28" s="18"/>
      <c r="H28" s="19"/>
      <c r="I28" s="18"/>
      <c r="J28" s="20" t="str">
        <f aca="false">IF(OR(H28="",D28=""),"",EDATE(H28,IF(I28="",$E$6,I28)))</f>
        <v/>
      </c>
      <c r="K28" s="18"/>
      <c r="L28" s="21" t="str">
        <f aca="true">IF(D28="","",IF(G28="","Falta a criticidade",IF(G28="Não crítico","Não crítico: sem homologação",IF(H28="","Falta a homologação",IF(K28="Não","Documentos pendentes",IF(J28&lt;IF(Cadastro!$E$5="",TODAY(),Cadastro!$E$5),"Homologação vencida","Homologado"))))))</f>
        <v/>
      </c>
    </row>
    <row r="29" customFormat="false" ht="21.75" hidden="false" customHeight="true" outlineLevel="0" collapsed="false">
      <c r="B29" s="16" t="n">
        <v>21</v>
      </c>
      <c r="C29" s="17"/>
      <c r="D29" s="5"/>
      <c r="E29" s="5"/>
      <c r="F29" s="18"/>
      <c r="G29" s="18"/>
      <c r="H29" s="19"/>
      <c r="I29" s="18"/>
      <c r="J29" s="20" t="str">
        <f aca="false">IF(OR(H29="",D29=""),"",EDATE(H29,IF(I29="",$E$6,I29)))</f>
        <v/>
      </c>
      <c r="K29" s="18"/>
      <c r="L29" s="21" t="str">
        <f aca="true">IF(D29="","",IF(G29="","Falta a criticidade",IF(G29="Não crítico","Não crítico: sem homologação",IF(H29="","Falta a homologação",IF(K29="Não","Documentos pendentes",IF(J29&lt;IF(Cadastro!$E$5="",TODAY(),Cadastro!$E$5),"Homologação vencida","Homologado"))))))</f>
        <v/>
      </c>
    </row>
    <row r="30" customFormat="false" ht="21.75" hidden="false" customHeight="true" outlineLevel="0" collapsed="false">
      <c r="B30" s="16" t="n">
        <v>22</v>
      </c>
      <c r="C30" s="17"/>
      <c r="D30" s="5"/>
      <c r="E30" s="5"/>
      <c r="F30" s="18"/>
      <c r="G30" s="18"/>
      <c r="H30" s="19"/>
      <c r="I30" s="18"/>
      <c r="J30" s="20" t="str">
        <f aca="false">IF(OR(H30="",D30=""),"",EDATE(H30,IF(I30="",$E$6,I30)))</f>
        <v/>
      </c>
      <c r="K30" s="18"/>
      <c r="L30" s="21" t="str">
        <f aca="true">IF(D30="","",IF(G30="","Falta a criticidade",IF(G30="Não crítico","Não crítico: sem homologação",IF(H30="","Falta a homologação",IF(K30="Não","Documentos pendentes",IF(J30&lt;IF(Cadastro!$E$5="",TODAY(),Cadastro!$E$5),"Homologação vencida","Homologado"))))))</f>
        <v/>
      </c>
    </row>
    <row r="31" customFormat="false" ht="21.75" hidden="false" customHeight="true" outlineLevel="0" collapsed="false">
      <c r="B31" s="16" t="n">
        <v>23</v>
      </c>
      <c r="C31" s="17"/>
      <c r="D31" s="5"/>
      <c r="E31" s="5"/>
      <c r="F31" s="18"/>
      <c r="G31" s="18"/>
      <c r="H31" s="19"/>
      <c r="I31" s="18"/>
      <c r="J31" s="20" t="str">
        <f aca="false">IF(OR(H31="",D31=""),"",EDATE(H31,IF(I31="",$E$6,I31)))</f>
        <v/>
      </c>
      <c r="K31" s="18"/>
      <c r="L31" s="21" t="str">
        <f aca="true">IF(D31="","",IF(G31="","Falta a criticidade",IF(G31="Não crítico","Não crítico: sem homologação",IF(H31="","Falta a homologação",IF(K31="Não","Documentos pendentes",IF(J31&lt;IF(Cadastro!$E$5="",TODAY(),Cadastro!$E$5),"Homologação vencida","Homologado"))))))</f>
        <v/>
      </c>
    </row>
    <row r="32" customFormat="false" ht="21.75" hidden="false" customHeight="true" outlineLevel="0" collapsed="false">
      <c r="B32" s="16" t="n">
        <v>24</v>
      </c>
      <c r="C32" s="17"/>
      <c r="D32" s="5"/>
      <c r="E32" s="5"/>
      <c r="F32" s="18"/>
      <c r="G32" s="18"/>
      <c r="H32" s="19"/>
      <c r="I32" s="18"/>
      <c r="J32" s="20" t="str">
        <f aca="false">IF(OR(H32="",D32=""),"",EDATE(H32,IF(I32="",$E$6,I32)))</f>
        <v/>
      </c>
      <c r="K32" s="18"/>
      <c r="L32" s="21" t="str">
        <f aca="true">IF(D32="","",IF(G32="","Falta a criticidade",IF(G32="Não crítico","Não crítico: sem homologação",IF(H32="","Falta a homologação",IF(K32="Não","Documentos pendentes",IF(J32&lt;IF(Cadastro!$E$5="",TODAY(),Cadastro!$E$5),"Homologação vencida","Homologado"))))))</f>
        <v/>
      </c>
    </row>
    <row r="33" customFormat="false" ht="21.75" hidden="false" customHeight="true" outlineLevel="0" collapsed="false">
      <c r="B33" s="16" t="n">
        <v>25</v>
      </c>
      <c r="C33" s="17"/>
      <c r="D33" s="5"/>
      <c r="E33" s="5"/>
      <c r="F33" s="18"/>
      <c r="G33" s="18"/>
      <c r="H33" s="19"/>
      <c r="I33" s="18"/>
      <c r="J33" s="20" t="str">
        <f aca="false">IF(OR(H33="",D33=""),"",EDATE(H33,IF(I33="",$E$6,I33)))</f>
        <v/>
      </c>
      <c r="K33" s="18"/>
      <c r="L33" s="21" t="str">
        <f aca="true">IF(D33="","",IF(G33="","Falta a criticidade",IF(G33="Não crítico","Não crítico: sem homologação",IF(H33="","Falta a homologação",IF(K33="Não","Documentos pendentes",IF(J33&lt;IF(Cadastro!$E$5="",TODAY(),Cadastro!$E$5),"Homologação vencida","Homologado"))))))</f>
        <v/>
      </c>
    </row>
    <row r="34" customFormat="false" ht="21.75" hidden="false" customHeight="true" outlineLevel="0" collapsed="false">
      <c r="B34" s="16" t="n">
        <v>26</v>
      </c>
      <c r="C34" s="17"/>
      <c r="D34" s="5"/>
      <c r="E34" s="5"/>
      <c r="F34" s="18"/>
      <c r="G34" s="18"/>
      <c r="H34" s="19"/>
      <c r="I34" s="18"/>
      <c r="J34" s="20" t="str">
        <f aca="false">IF(OR(H34="",D34=""),"",EDATE(H34,IF(I34="",$E$6,I34)))</f>
        <v/>
      </c>
      <c r="K34" s="18"/>
      <c r="L34" s="21" t="str">
        <f aca="true">IF(D34="","",IF(G34="","Falta a criticidade",IF(G34="Não crítico","Não crítico: sem homologação",IF(H34="","Falta a homologação",IF(K34="Não","Documentos pendentes",IF(J34&lt;IF(Cadastro!$E$5="",TODAY(),Cadastro!$E$5),"Homologação vencida","Homologado"))))))</f>
        <v/>
      </c>
    </row>
    <row r="35" customFormat="false" ht="21.75" hidden="false" customHeight="true" outlineLevel="0" collapsed="false">
      <c r="B35" s="16" t="n">
        <v>27</v>
      </c>
      <c r="C35" s="17"/>
      <c r="D35" s="5"/>
      <c r="E35" s="5"/>
      <c r="F35" s="18"/>
      <c r="G35" s="18"/>
      <c r="H35" s="19"/>
      <c r="I35" s="18"/>
      <c r="J35" s="20" t="str">
        <f aca="false">IF(OR(H35="",D35=""),"",EDATE(H35,IF(I35="",$E$6,I35)))</f>
        <v/>
      </c>
      <c r="K35" s="18"/>
      <c r="L35" s="21" t="str">
        <f aca="true">IF(D35="","",IF(G35="","Falta a criticidade",IF(G35="Não crítico","Não crítico: sem homologação",IF(H35="","Falta a homologação",IF(K35="Não","Documentos pendentes",IF(J35&lt;IF(Cadastro!$E$5="",TODAY(),Cadastro!$E$5),"Homologação vencida","Homologado"))))))</f>
        <v/>
      </c>
    </row>
    <row r="36" customFormat="false" ht="21.75" hidden="false" customHeight="true" outlineLevel="0" collapsed="false">
      <c r="B36" s="16" t="n">
        <v>28</v>
      </c>
      <c r="C36" s="17"/>
      <c r="D36" s="5"/>
      <c r="E36" s="5"/>
      <c r="F36" s="18"/>
      <c r="G36" s="18"/>
      <c r="H36" s="19"/>
      <c r="I36" s="18"/>
      <c r="J36" s="20" t="str">
        <f aca="false">IF(OR(H36="",D36=""),"",EDATE(H36,IF(I36="",$E$6,I36)))</f>
        <v/>
      </c>
      <c r="K36" s="18"/>
      <c r="L36" s="21" t="str">
        <f aca="true">IF(D36="","",IF(G36="","Falta a criticidade",IF(G36="Não crítico","Não crítico: sem homologação",IF(H36="","Falta a homologação",IF(K36="Não","Documentos pendentes",IF(J36&lt;IF(Cadastro!$E$5="",TODAY(),Cadastro!$E$5),"Homologação vencida","Homologado"))))))</f>
        <v/>
      </c>
    </row>
    <row r="37" customFormat="false" ht="21.75" hidden="false" customHeight="true" outlineLevel="0" collapsed="false">
      <c r="B37" s="16" t="n">
        <v>29</v>
      </c>
      <c r="C37" s="17"/>
      <c r="D37" s="5"/>
      <c r="E37" s="5"/>
      <c r="F37" s="18"/>
      <c r="G37" s="18"/>
      <c r="H37" s="19"/>
      <c r="I37" s="18"/>
      <c r="J37" s="20" t="str">
        <f aca="false">IF(OR(H37="",D37=""),"",EDATE(H37,IF(I37="",$E$6,I37)))</f>
        <v/>
      </c>
      <c r="K37" s="18"/>
      <c r="L37" s="21" t="str">
        <f aca="true">IF(D37="","",IF(G37="","Falta a criticidade",IF(G37="Não crítico","Não crítico: sem homologação",IF(H37="","Falta a homologação",IF(K37="Não","Documentos pendentes",IF(J37&lt;IF(Cadastro!$E$5="",TODAY(),Cadastro!$E$5),"Homologação vencida","Homologado"))))))</f>
        <v/>
      </c>
    </row>
    <row r="38" customFormat="false" ht="21.75" hidden="false" customHeight="true" outlineLevel="0" collapsed="false">
      <c r="B38" s="16" t="n">
        <v>30</v>
      </c>
      <c r="C38" s="17"/>
      <c r="D38" s="5"/>
      <c r="E38" s="5"/>
      <c r="F38" s="18"/>
      <c r="G38" s="18"/>
      <c r="H38" s="19"/>
      <c r="I38" s="18"/>
      <c r="J38" s="20" t="str">
        <f aca="false">IF(OR(H38="",D38=""),"",EDATE(H38,IF(I38="",$E$6,I38)))</f>
        <v/>
      </c>
      <c r="K38" s="18"/>
      <c r="L38" s="21" t="str">
        <f aca="true">IF(D38="","",IF(G38="","Falta a criticidade",IF(G38="Não crítico","Não crítico: sem homologação",IF(H38="","Falta a homologação",IF(K38="Não","Documentos pendentes",IF(J38&lt;IF(Cadastro!$E$5="",TODAY(),Cadastro!$E$5),"Homologação vencida","Homologado"))))))</f>
        <v/>
      </c>
    </row>
    <row r="40" customFormat="false" ht="21.75" hidden="false" customHeight="true" outlineLevel="0" collapsed="false">
      <c r="B40" s="22" t="s">
        <v>95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customFormat="false" ht="21.75" hidden="false" customHeight="true" outlineLevel="0" collapsed="false">
      <c r="B41" s="23" t="s">
        <v>96</v>
      </c>
      <c r="C41" s="23"/>
      <c r="D41" s="23"/>
      <c r="E41" s="24" t="n">
        <f aca="false">COUNTA(D9:D38)</f>
        <v>0</v>
      </c>
      <c r="F41" s="24"/>
    </row>
    <row r="42" customFormat="false" ht="21.75" hidden="false" customHeight="true" outlineLevel="0" collapsed="false">
      <c r="B42" s="23" t="s">
        <v>97</v>
      </c>
      <c r="C42" s="23"/>
      <c r="D42" s="23"/>
      <c r="E42" s="24" t="n">
        <f aca="false">COUNTIF(G9:G38,"Crítico")</f>
        <v>0</v>
      </c>
      <c r="F42" s="24"/>
    </row>
    <row r="43" customFormat="false" ht="21.75" hidden="false" customHeight="true" outlineLevel="0" collapsed="false">
      <c r="B43" s="23" t="s">
        <v>98</v>
      </c>
      <c r="C43" s="23"/>
      <c r="D43" s="23"/>
      <c r="E43" s="24" t="n">
        <f aca="false">COUNTIF(L9:L38,"Homologado")</f>
        <v>0</v>
      </c>
      <c r="F43" s="24"/>
    </row>
    <row r="44" customFormat="false" ht="21.75" hidden="false" customHeight="true" outlineLevel="0" collapsed="false">
      <c r="B44" s="23" t="s">
        <v>99</v>
      </c>
      <c r="C44" s="23"/>
      <c r="D44" s="23"/>
      <c r="E44" s="24" t="n">
        <f aca="false">COUNTIF(L9:L38,"Homologação vencida")+COUNTIF(L9:L38,"Documentos pendentes")</f>
        <v>0</v>
      </c>
      <c r="F44" s="24"/>
    </row>
    <row r="45" customFormat="false" ht="21.75" hidden="false" customHeight="true" outlineLevel="0" collapsed="false">
      <c r="B45" s="23" t="s">
        <v>100</v>
      </c>
      <c r="C45" s="23"/>
      <c r="D45" s="23"/>
      <c r="E45" s="24" t="n">
        <f aca="false">COUNTIF(L9:L38,"Falta a homologação")</f>
        <v>0</v>
      </c>
      <c r="F45" s="24"/>
    </row>
    <row r="46" customFormat="false" ht="21.75" hidden="false" customHeight="true" outlineLevel="0" collapsed="false">
      <c r="B46" s="23" t="s">
        <v>101</v>
      </c>
      <c r="C46" s="23"/>
      <c r="D46" s="23"/>
      <c r="E46" s="21" t="str">
        <f aca="false">IF(E41=0,"Cadastre os fornecedores",IF(COUNTIF(L9:L38,"Falta a criticidade")&gt;0,"Há fornecedor sem criticidade",IF(E45&gt;0,"Há fornecedor crítico sem homologação",IF(E44&gt;0,"Há homologação vencida ou documentos pendentes","OK"))))</f>
        <v>Cadastre os fornecedores</v>
      </c>
      <c r="F46" s="21"/>
    </row>
  </sheetData>
  <mergeCells count="20">
    <mergeCell ref="B1:L1"/>
    <mergeCell ref="B2:L2"/>
    <mergeCell ref="B4:D4"/>
    <mergeCell ref="B5:D5"/>
    <mergeCell ref="F5:H5"/>
    <mergeCell ref="B6:D6"/>
    <mergeCell ref="F6:H6"/>
    <mergeCell ref="B40:L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</mergeCells>
  <conditionalFormatting sqref="L9:L38">
    <cfRule type="expression" priority="2" aboveAverage="0" equalAverage="0" bottom="0" percent="0" rank="0" text="" dxfId="0">
      <formula>L9="Homologado"</formula>
    </cfRule>
    <cfRule type="expression" priority="3" aboveAverage="0" equalAverage="0" bottom="0" percent="0" rank="0" text="" dxfId="1">
      <formula>L9="Não crítico: sem homologação"</formula>
    </cfRule>
    <cfRule type="expression" priority="4" aboveAverage="0" equalAverage="0" bottom="0" percent="0" rank="0" text="" dxfId="2">
      <formula>L9="Homologação vencida"</formula>
    </cfRule>
    <cfRule type="expression" priority="5" aboveAverage="0" equalAverage="0" bottom="0" percent="0" rank="0" text="" dxfId="2">
      <formula>L9="Documentos pendentes"</formula>
    </cfRule>
    <cfRule type="expression" priority="6" aboveAverage="0" equalAverage="0" bottom="0" percent="0" rank="0" text="" dxfId="3">
      <formula>LEN(L9)&gt;0</formula>
    </cfRule>
  </conditionalFormatting>
  <conditionalFormatting sqref="E46:F46">
    <cfRule type="expression" priority="7" aboveAverage="0" equalAverage="0" bottom="0" percent="0" rank="0" text="" dxfId="0">
      <formula>OR(E46="OK")</formula>
    </cfRule>
    <cfRule type="expression" priority="8" aboveAverage="0" equalAverage="0" bottom="0" percent="0" rank="0" text="" dxfId="2">
      <formula>AND(LEN(E46)&gt;0,NOT(OR(E46="OK")))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E5 H9:H38" type="date">
      <formula1>36526</formula1>
      <formula2>0</formula2>
    </dataValidation>
    <dataValidation allowBlank="true" error="Escolha uma das opções da lista." errorStyle="stop" errorTitle="Valor inválido" operator="between" prompt="Produto, Serviço ou Processo terceirizado" promptTitle="Opções" showDropDown="false" showErrorMessage="true" showInputMessage="true" sqref="F9:F38" type="list">
      <formula1>"Produto,Serviço,Processo terceirizado"</formula1>
      <formula2>0</formula2>
    </dataValidation>
    <dataValidation allowBlank="true" error="Escolha uma das opções da lista." errorStyle="stop" errorTitle="Valor inválido" operator="between" prompt="Crítico ou Não crítico" promptTitle="Opções" showDropDown="false" showErrorMessage="true" showInputMessage="true" sqref="G9:G38" type="list">
      <formula1>"Crítico,Não crítico"</formula1>
      <formula2>0</formula2>
    </dataValidation>
    <dataValidation allowBlank="true" error="Digite um número de 0 a 120." errorStyle="stop" errorTitle="Número inválido" operator="between" prompt="Meses de validade da homologação." promptTitle="Número" showDropDown="false" showErrorMessage="true" showInputMessage="true" sqref="I9:I38" type="whole">
      <formula1>0</formula1>
      <formula2>120</formula2>
    </dataValidation>
    <dataValidation allowBlank="true" error="Escolha uma das opções da lista." errorStyle="stop" errorTitle="Valor inválido" operator="between" prompt="Sim ou Não" promptTitle="Opções" showDropDown="false" showErrorMessage="true" showInputMessage="true" sqref="K9:K38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102</v>
      </c>
      <c r="C1" s="1"/>
      <c r="D1" s="1"/>
      <c r="E1" s="1"/>
    </row>
    <row r="2" customFormat="false" ht="19.5" hidden="false" customHeight="true" outlineLevel="0" collapsed="false">
      <c r="B2" s="2" t="s">
        <v>103</v>
      </c>
      <c r="C2" s="2"/>
      <c r="D2" s="2"/>
      <c r="E2" s="2"/>
    </row>
    <row r="4" customFormat="false" ht="21.75" hidden="false" customHeight="true" outlineLevel="0" collapsed="false">
      <c r="B4" s="4" t="s">
        <v>104</v>
      </c>
      <c r="C4" s="5"/>
      <c r="D4" s="5"/>
      <c r="E4" s="5"/>
    </row>
    <row r="5" customFormat="false" ht="21.75" hidden="false" customHeight="true" outlineLevel="0" collapsed="false">
      <c r="B5" s="4" t="s">
        <v>87</v>
      </c>
      <c r="C5" s="5"/>
      <c r="D5" s="5"/>
      <c r="E5" s="5"/>
    </row>
    <row r="6" customFormat="false" ht="21.75" hidden="false" customHeight="true" outlineLevel="0" collapsed="false">
      <c r="B6" s="4" t="s">
        <v>105</v>
      </c>
      <c r="C6" s="12"/>
      <c r="D6" s="12"/>
      <c r="E6" s="12"/>
    </row>
    <row r="7" customFormat="false" ht="21.75" hidden="false" customHeight="true" outlineLevel="0" collapsed="false">
      <c r="B7" s="4" t="s">
        <v>106</v>
      </c>
      <c r="C7" s="5"/>
      <c r="D7" s="5"/>
      <c r="E7" s="5"/>
    </row>
    <row r="9" customFormat="false" ht="21.75" hidden="false" customHeight="true" outlineLevel="0" collapsed="false">
      <c r="B9" s="15" t="s">
        <v>107</v>
      </c>
      <c r="C9" s="15" t="s">
        <v>108</v>
      </c>
      <c r="D9" s="15" t="s">
        <v>109</v>
      </c>
      <c r="E9" s="15" t="s">
        <v>110</v>
      </c>
    </row>
    <row r="10" customFormat="false" ht="33" hidden="false" customHeight="true" outlineLevel="0" collapsed="false">
      <c r="B10" s="4" t="s">
        <v>111</v>
      </c>
      <c r="C10" s="25" t="s">
        <v>112</v>
      </c>
      <c r="D10" s="18"/>
      <c r="E10" s="5"/>
    </row>
    <row r="11" customFormat="false" ht="33" hidden="false" customHeight="true" outlineLevel="0" collapsed="false">
      <c r="B11" s="4" t="s">
        <v>113</v>
      </c>
      <c r="C11" s="25" t="s">
        <v>114</v>
      </c>
      <c r="D11" s="18"/>
      <c r="E11" s="5"/>
    </row>
    <row r="12" customFormat="false" ht="33" hidden="false" customHeight="true" outlineLevel="0" collapsed="false">
      <c r="B12" s="4" t="s">
        <v>115</v>
      </c>
      <c r="C12" s="25" t="s">
        <v>116</v>
      </c>
      <c r="D12" s="18"/>
      <c r="E12" s="5"/>
    </row>
    <row r="13" customFormat="false" ht="33" hidden="false" customHeight="true" outlineLevel="0" collapsed="false">
      <c r="B13" s="4" t="s">
        <v>117</v>
      </c>
      <c r="C13" s="25" t="s">
        <v>118</v>
      </c>
      <c r="D13" s="18"/>
      <c r="E13" s="5"/>
    </row>
    <row r="14" customFormat="false" ht="33" hidden="false" customHeight="true" outlineLevel="0" collapsed="false">
      <c r="B14" s="4" t="s">
        <v>119</v>
      </c>
      <c r="C14" s="25" t="s">
        <v>120</v>
      </c>
      <c r="D14" s="18"/>
      <c r="E14" s="5"/>
    </row>
    <row r="15" customFormat="false" ht="33" hidden="false" customHeight="true" outlineLevel="0" collapsed="false">
      <c r="B15" s="4" t="s">
        <v>121</v>
      </c>
      <c r="C15" s="25" t="s">
        <v>122</v>
      </c>
      <c r="D15" s="18"/>
      <c r="E15" s="5"/>
    </row>
    <row r="17" customFormat="false" ht="21.75" hidden="false" customHeight="true" outlineLevel="0" collapsed="false">
      <c r="B17" s="22" t="s">
        <v>123</v>
      </c>
      <c r="C17" s="22"/>
      <c r="D17" s="22"/>
      <c r="E17" s="22"/>
    </row>
    <row r="18" customFormat="false" ht="21.75" hidden="false" customHeight="true" outlineLevel="0" collapsed="false">
      <c r="B18" s="4" t="s">
        <v>124</v>
      </c>
      <c r="C18" s="26" t="str">
        <f aca="false">COUNTIF(D10:D15,"Atende")&amp;" de "&amp;(ROWS(D10:D15)-COUNTIF(D10:D15,"Não se aplica"))</f>
        <v>0 de 6</v>
      </c>
      <c r="D18" s="26"/>
      <c r="E18" s="26"/>
    </row>
    <row r="19" customFormat="false" ht="21.75" hidden="false" customHeight="true" outlineLevel="0" collapsed="false">
      <c r="B19" s="4" t="s">
        <v>109</v>
      </c>
      <c r="C19" s="27" t="str">
        <f aca="false">IF(C4="","Informe o fornecedor",IF(COUNTBLANK(D10:D15)&gt;0,"Preencha os critérios",IF(COUNTIF(D10:D15,"Não atende")&gt;0,"Não homologado",IF(COUNTIF(D10:D15,"Pendente")&gt;0,"Em homologação: há critério pendente",IF(COUNTIF(E10:E15,"")&gt;COUNTIF(D10:D15,"Não se aplica"),"Homologado, mas falta evidência","Homologado por "&amp;Cadastro!$E$6&amp;" meses")))))</f>
        <v>Informe o fornecedor</v>
      </c>
      <c r="D19" s="27"/>
      <c r="E19" s="27"/>
    </row>
    <row r="20" customFormat="false" ht="21.75" hidden="false" customHeight="true" outlineLevel="0" collapsed="false">
      <c r="B20" s="4" t="s">
        <v>92</v>
      </c>
      <c r="C20" s="28" t="str">
        <f aca="false">IF(LEFT(C19,14)="Homologado por",EDATE(C6,Cadastro!$E$6),"")</f>
        <v/>
      </c>
      <c r="D20" s="28"/>
      <c r="E20" s="28"/>
    </row>
    <row r="21" customFormat="false" ht="21.75" hidden="false" customHeight="true" outlineLevel="0" collapsed="false">
      <c r="B21" s="4" t="s">
        <v>125</v>
      </c>
      <c r="C21" s="5"/>
      <c r="D21" s="5"/>
      <c r="E21" s="5"/>
    </row>
  </sheetData>
  <mergeCells count="11">
    <mergeCell ref="B1:E1"/>
    <mergeCell ref="B2:E2"/>
    <mergeCell ref="C4:E4"/>
    <mergeCell ref="C5:E5"/>
    <mergeCell ref="C6:E6"/>
    <mergeCell ref="C7:E7"/>
    <mergeCell ref="B17:E17"/>
    <mergeCell ref="C18:E18"/>
    <mergeCell ref="C19:E19"/>
    <mergeCell ref="C20:E20"/>
    <mergeCell ref="C21:E21"/>
  </mergeCells>
  <conditionalFormatting sqref="D10:D15">
    <cfRule type="expression" priority="2" aboveAverage="0" equalAverage="0" bottom="0" percent="0" rank="0" text="" dxfId="0">
      <formula>D10="Atende"</formula>
    </cfRule>
    <cfRule type="expression" priority="3" aboveAverage="0" equalAverage="0" bottom="0" percent="0" rank="0" text="" dxfId="3">
      <formula>D10="Não atende"</formula>
    </cfRule>
    <cfRule type="expression" priority="4" aboveAverage="0" equalAverage="0" bottom="0" percent="0" rank="0" text="" dxfId="2">
      <formula>D10="Pendente"</formula>
    </cfRule>
    <cfRule type="expression" priority="5" aboveAverage="0" equalAverage="0" bottom="0" percent="0" rank="0" text="" dxfId="1">
      <formula>D10="Não se aplica"</formula>
    </cfRule>
  </conditionalFormatting>
  <conditionalFormatting sqref="C19">
    <cfRule type="expression" priority="6" aboveAverage="0" equalAverage="0" bottom="0" percent="0" rank="0" text="" dxfId="0">
      <formula>LEFT(C19,14)="Homologado por"</formula>
    </cfRule>
    <cfRule type="expression" priority="7" aboveAverage="0" equalAverage="0" bottom="0" percent="0" rank="0" text="" dxfId="3">
      <formula>C19="Não homologado"</formula>
    </cfRule>
    <cfRule type="expression" priority="8" aboveAverage="0" equalAverage="0" bottom="0" percent="0" rank="0" text="" dxfId="2">
      <formula>LEN(C19)&gt;0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C6" type="date">
      <formula1>36526</formula1>
      <formula2>0</formula2>
    </dataValidation>
    <dataValidation allowBlank="true" error="Escolha uma das opções da lista." errorStyle="stop" errorTitle="Valor inválido" operator="between" prompt="Atende, Não atende, Pendente ou Não se aplica" promptTitle="Opções" showDropDown="false" showErrorMessage="true" showInputMessage="true" sqref="D10:D15" type="list">
      <formula1>"Atende,Não atende,Pendente,Não se aplica"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Q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9" min="6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34"/>
    <col collapsed="false" customWidth="true" hidden="false" outlineLevel="0" max="17" min="17" style="0" width="24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126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127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B4" s="4" t="s">
        <v>128</v>
      </c>
      <c r="C4" s="4"/>
      <c r="D4" s="5"/>
      <c r="E4" s="5"/>
      <c r="F4" s="5"/>
      <c r="G4" s="13" t="s">
        <v>129</v>
      </c>
      <c r="H4" s="13"/>
      <c r="I4" s="13"/>
    </row>
    <row r="5" customFormat="false" ht="33" hidden="false" customHeight="true" outlineLevel="0" collapsed="false">
      <c r="B5" s="15" t="s">
        <v>84</v>
      </c>
      <c r="C5" s="15" t="s">
        <v>85</v>
      </c>
      <c r="D5" s="15" t="s">
        <v>86</v>
      </c>
      <c r="E5" s="15" t="s">
        <v>130</v>
      </c>
      <c r="F5" s="15" t="s">
        <v>131</v>
      </c>
      <c r="G5" s="15" t="s">
        <v>132</v>
      </c>
      <c r="H5" s="15" t="s">
        <v>133</v>
      </c>
      <c r="I5" s="15" t="s">
        <v>134</v>
      </c>
      <c r="J5" s="15" t="s">
        <v>135</v>
      </c>
      <c r="K5" s="15" t="s">
        <v>136</v>
      </c>
      <c r="L5" s="15" t="s">
        <v>137</v>
      </c>
      <c r="M5" s="15" t="s">
        <v>59</v>
      </c>
      <c r="N5" s="15" t="s">
        <v>138</v>
      </c>
      <c r="O5" s="15" t="s">
        <v>139</v>
      </c>
      <c r="P5" s="15" t="s">
        <v>140</v>
      </c>
      <c r="Q5" s="15" t="s">
        <v>141</v>
      </c>
    </row>
    <row r="6" customFormat="false" ht="30" hidden="false" customHeight="true" outlineLevel="0" collapsed="false">
      <c r="B6" s="14"/>
      <c r="C6" s="14" t="s">
        <v>142</v>
      </c>
      <c r="D6" s="14" t="s">
        <v>142</v>
      </c>
      <c r="E6" s="14" t="s">
        <v>143</v>
      </c>
      <c r="F6" s="14" t="s">
        <v>144</v>
      </c>
      <c r="G6" s="14" t="s">
        <v>145</v>
      </c>
      <c r="H6" s="14" t="s">
        <v>146</v>
      </c>
      <c r="I6" s="14" t="s">
        <v>147</v>
      </c>
      <c r="J6" s="14" t="s">
        <v>148</v>
      </c>
      <c r="K6" s="14" t="s">
        <v>82</v>
      </c>
      <c r="L6" s="14" t="s">
        <v>82</v>
      </c>
      <c r="M6" s="14" t="s">
        <v>149</v>
      </c>
      <c r="N6" s="14" t="s">
        <v>82</v>
      </c>
      <c r="O6" s="14" t="s">
        <v>82</v>
      </c>
      <c r="P6" s="14" t="s">
        <v>150</v>
      </c>
      <c r="Q6" s="14" t="s">
        <v>82</v>
      </c>
    </row>
    <row r="7" customFormat="false" ht="30" hidden="false" customHeight="true" outlineLevel="0" collapsed="false">
      <c r="B7" s="16" t="n">
        <v>1</v>
      </c>
      <c r="C7" s="17"/>
      <c r="D7" s="29" t="str">
        <f aca="false">IF(C7="","",IFERROR(VLOOKUP(C7,Cadastro!$C$9:$D$38,2,FALSE()),"Não está no cadastro"))</f>
        <v/>
      </c>
      <c r="E7" s="5"/>
      <c r="F7" s="18"/>
      <c r="G7" s="18"/>
      <c r="H7" s="18"/>
      <c r="I7" s="18"/>
      <c r="J7" s="18"/>
      <c r="K7" s="30" t="str">
        <f aca="false">IF(OR(F7="",F7=0,G7&gt;F7),"",N(G7)/F7)</f>
        <v/>
      </c>
      <c r="L7" s="30" t="str">
        <f aca="false">IF(OR(H7="",H7=0,I7&gt;H7),"",N(I7)/H7)</f>
        <v/>
      </c>
      <c r="M7" s="31" t="str">
        <f aca="false">IF(OR(C7="",F7="",H7="",J7=""),"",IF(OR(G7&gt;F7,I7&gt;H7,F7=0,H7=0),"",ROUND(50*N(G7)/F7+30*N(I7)/H7+20*J7/10,1)))</f>
        <v/>
      </c>
      <c r="N7" s="24" t="str">
        <f aca="false">IF(M7="","",IF(M7&gt;=90,"A",IF(M7&gt;=75,"B",IF(M7&gt;=60,"C","D"))))</f>
        <v/>
      </c>
      <c r="O7" s="29" t="str">
        <f aca="false">IF(N7="A","Manter. Pode ter menos inspeção no recebimento.",IF(N7="B","Manter e acompanhar. Comunicar o resultado ao fornecedor.",IF(N7="C","Pedir plano de ação, com prazo. Reavaliar no período seguinte.",IF(N7="D","Suspender as compras até um plano aprovado, ou desqualificar.",""))))</f>
        <v/>
      </c>
      <c r="P7" s="5"/>
      <c r="Q7" s="21" t="str">
        <f aca="false">IF(C7="","",IF(OR(F7="",H7="",J7=""),"Faltam dados",IF(OR(G7&gt;F7,I7&gt;H7),"Confira os dados: aceitos ou no prazo maiores que o total",IF(OR(F7=0,H7=0),"Confira os dados: total zero","Calculada"))))</f>
        <v/>
      </c>
    </row>
    <row r="8" customFormat="false" ht="30" hidden="false" customHeight="true" outlineLevel="0" collapsed="false">
      <c r="B8" s="16" t="n">
        <v>2</v>
      </c>
      <c r="C8" s="17"/>
      <c r="D8" s="29" t="str">
        <f aca="false">IF(C8="","",IFERROR(VLOOKUP(C8,Cadastro!$C$9:$D$38,2,FALSE()),"Não está no cadastro"))</f>
        <v/>
      </c>
      <c r="E8" s="5"/>
      <c r="F8" s="18"/>
      <c r="G8" s="18"/>
      <c r="H8" s="18"/>
      <c r="I8" s="18"/>
      <c r="J8" s="18"/>
      <c r="K8" s="30" t="str">
        <f aca="false">IF(OR(F8="",F8=0,G8&gt;F8),"",N(G8)/F8)</f>
        <v/>
      </c>
      <c r="L8" s="30" t="str">
        <f aca="false">IF(OR(H8="",H8=0,I8&gt;H8),"",N(I8)/H8)</f>
        <v/>
      </c>
      <c r="M8" s="31" t="str">
        <f aca="false">IF(OR(C8="",F8="",H8="",J8=""),"",IF(OR(G8&gt;F8,I8&gt;H8,F8=0,H8=0),"",ROUND(50*N(G8)/F8+30*N(I8)/H8+20*J8/10,1)))</f>
        <v/>
      </c>
      <c r="N8" s="24" t="str">
        <f aca="false">IF(M8="","",IF(M8&gt;=90,"A",IF(M8&gt;=75,"B",IF(M8&gt;=60,"C","D"))))</f>
        <v/>
      </c>
      <c r="O8" s="29" t="str">
        <f aca="false">IF(N8="A","Manter. Pode ter menos inspeção no recebimento.",IF(N8="B","Manter e acompanhar. Comunicar o resultado ao fornecedor.",IF(N8="C","Pedir plano de ação, com prazo. Reavaliar no período seguinte.",IF(N8="D","Suspender as compras até um plano aprovado, ou desqualificar.",""))))</f>
        <v/>
      </c>
      <c r="P8" s="5"/>
      <c r="Q8" s="21" t="str">
        <f aca="false">IF(C8="","",IF(OR(F8="",H8="",J8=""),"Faltam dados",IF(OR(G8&gt;F8,I8&gt;H8),"Confira os dados: aceitos ou no prazo maiores que o total",IF(OR(F8=0,H8=0),"Confira os dados: total zero","Calculada"))))</f>
        <v/>
      </c>
    </row>
    <row r="9" customFormat="false" ht="30" hidden="false" customHeight="true" outlineLevel="0" collapsed="false">
      <c r="B9" s="16" t="n">
        <v>3</v>
      </c>
      <c r="C9" s="17"/>
      <c r="D9" s="29" t="str">
        <f aca="false">IF(C9="","",IFERROR(VLOOKUP(C9,Cadastro!$C$9:$D$38,2,FALSE()),"Não está no cadastro"))</f>
        <v/>
      </c>
      <c r="E9" s="5"/>
      <c r="F9" s="18"/>
      <c r="G9" s="18"/>
      <c r="H9" s="18"/>
      <c r="I9" s="18"/>
      <c r="J9" s="18"/>
      <c r="K9" s="30" t="str">
        <f aca="false">IF(OR(F9="",F9=0,G9&gt;F9),"",N(G9)/F9)</f>
        <v/>
      </c>
      <c r="L9" s="30" t="str">
        <f aca="false">IF(OR(H9="",H9=0,I9&gt;H9),"",N(I9)/H9)</f>
        <v/>
      </c>
      <c r="M9" s="31" t="str">
        <f aca="false">IF(OR(C9="",F9="",H9="",J9=""),"",IF(OR(G9&gt;F9,I9&gt;H9,F9=0,H9=0),"",ROUND(50*N(G9)/F9+30*N(I9)/H9+20*J9/10,1)))</f>
        <v/>
      </c>
      <c r="N9" s="24" t="str">
        <f aca="false">IF(M9="","",IF(M9&gt;=90,"A",IF(M9&gt;=75,"B",IF(M9&gt;=60,"C","D"))))</f>
        <v/>
      </c>
      <c r="O9" s="29" t="str">
        <f aca="false">IF(N9="A","Manter. Pode ter menos inspeção no recebimento.",IF(N9="B","Manter e acompanhar. Comunicar o resultado ao fornecedor.",IF(N9="C","Pedir plano de ação, com prazo. Reavaliar no período seguinte.",IF(N9="D","Suspender as compras até um plano aprovado, ou desqualificar.",""))))</f>
        <v/>
      </c>
      <c r="P9" s="5"/>
      <c r="Q9" s="21" t="str">
        <f aca="false">IF(C9="","",IF(OR(F9="",H9="",J9=""),"Faltam dados",IF(OR(G9&gt;F9,I9&gt;H9),"Confira os dados: aceitos ou no prazo maiores que o total",IF(OR(F9=0,H9=0),"Confira os dados: total zero","Calculada"))))</f>
        <v/>
      </c>
    </row>
    <row r="10" customFormat="false" ht="30" hidden="false" customHeight="true" outlineLevel="0" collapsed="false">
      <c r="B10" s="16" t="n">
        <v>4</v>
      </c>
      <c r="C10" s="17"/>
      <c r="D10" s="29" t="str">
        <f aca="false">IF(C10="","",IFERROR(VLOOKUP(C10,Cadastro!$C$9:$D$38,2,FALSE()),"Não está no cadastro"))</f>
        <v/>
      </c>
      <c r="E10" s="5"/>
      <c r="F10" s="18"/>
      <c r="G10" s="18"/>
      <c r="H10" s="18"/>
      <c r="I10" s="18"/>
      <c r="J10" s="18"/>
      <c r="K10" s="30" t="str">
        <f aca="false">IF(OR(F10="",F10=0,G10&gt;F10),"",N(G10)/F10)</f>
        <v/>
      </c>
      <c r="L10" s="30" t="str">
        <f aca="false">IF(OR(H10="",H10=0,I10&gt;H10),"",N(I10)/H10)</f>
        <v/>
      </c>
      <c r="M10" s="31" t="str">
        <f aca="false">IF(OR(C10="",F10="",H10="",J10=""),"",IF(OR(G10&gt;F10,I10&gt;H10,F10=0,H10=0),"",ROUND(50*N(G10)/F10+30*N(I10)/H10+20*J10/10,1)))</f>
        <v/>
      </c>
      <c r="N10" s="24" t="str">
        <f aca="false">IF(M10="","",IF(M10&gt;=90,"A",IF(M10&gt;=75,"B",IF(M10&gt;=60,"C","D"))))</f>
        <v/>
      </c>
      <c r="O10" s="29" t="str">
        <f aca="false">IF(N10="A","Manter. Pode ter menos inspeção no recebimento.",IF(N10="B","Manter e acompanhar. Comunicar o resultado ao fornecedor.",IF(N10="C","Pedir plano de ação, com prazo. Reavaliar no período seguinte.",IF(N10="D","Suspender as compras até um plano aprovado, ou desqualificar.",""))))</f>
        <v/>
      </c>
      <c r="P10" s="5"/>
      <c r="Q10" s="21" t="str">
        <f aca="false">IF(C10="","",IF(OR(F10="",H10="",J10=""),"Faltam dados",IF(OR(G10&gt;F10,I10&gt;H10),"Confira os dados: aceitos ou no prazo maiores que o total",IF(OR(F10=0,H10=0),"Confira os dados: total zero","Calculada"))))</f>
        <v/>
      </c>
    </row>
    <row r="11" customFormat="false" ht="30" hidden="false" customHeight="true" outlineLevel="0" collapsed="false">
      <c r="B11" s="16" t="n">
        <v>5</v>
      </c>
      <c r="C11" s="17"/>
      <c r="D11" s="29" t="str">
        <f aca="false">IF(C11="","",IFERROR(VLOOKUP(C11,Cadastro!$C$9:$D$38,2,FALSE()),"Não está no cadastro"))</f>
        <v/>
      </c>
      <c r="E11" s="5"/>
      <c r="F11" s="18"/>
      <c r="G11" s="18"/>
      <c r="H11" s="18"/>
      <c r="I11" s="18"/>
      <c r="J11" s="18"/>
      <c r="K11" s="30" t="str">
        <f aca="false">IF(OR(F11="",F11=0,G11&gt;F11),"",N(G11)/F11)</f>
        <v/>
      </c>
      <c r="L11" s="30" t="str">
        <f aca="false">IF(OR(H11="",H11=0,I11&gt;H11),"",N(I11)/H11)</f>
        <v/>
      </c>
      <c r="M11" s="31" t="str">
        <f aca="false">IF(OR(C11="",F11="",H11="",J11=""),"",IF(OR(G11&gt;F11,I11&gt;H11,F11=0,H11=0),"",ROUND(50*N(G11)/F11+30*N(I11)/H11+20*J11/10,1)))</f>
        <v/>
      </c>
      <c r="N11" s="24" t="str">
        <f aca="false">IF(M11="","",IF(M11&gt;=90,"A",IF(M11&gt;=75,"B",IF(M11&gt;=60,"C","D"))))</f>
        <v/>
      </c>
      <c r="O11" s="29" t="str">
        <f aca="false">IF(N11="A","Manter. Pode ter menos inspeção no recebimento.",IF(N11="B","Manter e acompanhar. Comunicar o resultado ao fornecedor.",IF(N11="C","Pedir plano de ação, com prazo. Reavaliar no período seguinte.",IF(N11="D","Suspender as compras até um plano aprovado, ou desqualificar.",""))))</f>
        <v/>
      </c>
      <c r="P11" s="5"/>
      <c r="Q11" s="21" t="str">
        <f aca="false">IF(C11="","",IF(OR(F11="",H11="",J11=""),"Faltam dados",IF(OR(G11&gt;F11,I11&gt;H11),"Confira os dados: aceitos ou no prazo maiores que o total",IF(OR(F11=0,H11=0),"Confira os dados: total zero","Calculada"))))</f>
        <v/>
      </c>
    </row>
    <row r="12" customFormat="false" ht="30" hidden="false" customHeight="true" outlineLevel="0" collapsed="false">
      <c r="B12" s="16" t="n">
        <v>6</v>
      </c>
      <c r="C12" s="17"/>
      <c r="D12" s="29" t="str">
        <f aca="false">IF(C12="","",IFERROR(VLOOKUP(C12,Cadastro!$C$9:$D$38,2,FALSE()),"Não está no cadastro"))</f>
        <v/>
      </c>
      <c r="E12" s="5"/>
      <c r="F12" s="18"/>
      <c r="G12" s="18"/>
      <c r="H12" s="18"/>
      <c r="I12" s="18"/>
      <c r="J12" s="18"/>
      <c r="K12" s="30" t="str">
        <f aca="false">IF(OR(F12="",F12=0,G12&gt;F12),"",N(G12)/F12)</f>
        <v/>
      </c>
      <c r="L12" s="30" t="str">
        <f aca="false">IF(OR(H12="",H12=0,I12&gt;H12),"",N(I12)/H12)</f>
        <v/>
      </c>
      <c r="M12" s="31" t="str">
        <f aca="false">IF(OR(C12="",F12="",H12="",J12=""),"",IF(OR(G12&gt;F12,I12&gt;H12,F12=0,H12=0),"",ROUND(50*N(G12)/F12+30*N(I12)/H12+20*J12/10,1)))</f>
        <v/>
      </c>
      <c r="N12" s="24" t="str">
        <f aca="false">IF(M12="","",IF(M12&gt;=90,"A",IF(M12&gt;=75,"B",IF(M12&gt;=60,"C","D"))))</f>
        <v/>
      </c>
      <c r="O12" s="29" t="str">
        <f aca="false">IF(N12="A","Manter. Pode ter menos inspeção no recebimento.",IF(N12="B","Manter e acompanhar. Comunicar o resultado ao fornecedor.",IF(N12="C","Pedir plano de ação, com prazo. Reavaliar no período seguinte.",IF(N12="D","Suspender as compras até um plano aprovado, ou desqualificar.",""))))</f>
        <v/>
      </c>
      <c r="P12" s="5"/>
      <c r="Q12" s="21" t="str">
        <f aca="false">IF(C12="","",IF(OR(F12="",H12="",J12=""),"Faltam dados",IF(OR(G12&gt;F12,I12&gt;H12),"Confira os dados: aceitos ou no prazo maiores que o total",IF(OR(F12=0,H12=0),"Confira os dados: total zero","Calculada"))))</f>
        <v/>
      </c>
    </row>
    <row r="13" customFormat="false" ht="30" hidden="false" customHeight="true" outlineLevel="0" collapsed="false">
      <c r="B13" s="16" t="n">
        <v>7</v>
      </c>
      <c r="C13" s="17"/>
      <c r="D13" s="29" t="str">
        <f aca="false">IF(C13="","",IFERROR(VLOOKUP(C13,Cadastro!$C$9:$D$38,2,FALSE()),"Não está no cadastro"))</f>
        <v/>
      </c>
      <c r="E13" s="5"/>
      <c r="F13" s="18"/>
      <c r="G13" s="18"/>
      <c r="H13" s="18"/>
      <c r="I13" s="18"/>
      <c r="J13" s="18"/>
      <c r="K13" s="30" t="str">
        <f aca="false">IF(OR(F13="",F13=0,G13&gt;F13),"",N(G13)/F13)</f>
        <v/>
      </c>
      <c r="L13" s="30" t="str">
        <f aca="false">IF(OR(H13="",H13=0,I13&gt;H13),"",N(I13)/H13)</f>
        <v/>
      </c>
      <c r="M13" s="31" t="str">
        <f aca="false">IF(OR(C13="",F13="",H13="",J13=""),"",IF(OR(G13&gt;F13,I13&gt;H13,F13=0,H13=0),"",ROUND(50*N(G13)/F13+30*N(I13)/H13+20*J13/10,1)))</f>
        <v/>
      </c>
      <c r="N13" s="24" t="str">
        <f aca="false">IF(M13="","",IF(M13&gt;=90,"A",IF(M13&gt;=75,"B",IF(M13&gt;=60,"C","D"))))</f>
        <v/>
      </c>
      <c r="O13" s="29" t="str">
        <f aca="false">IF(N13="A","Manter. Pode ter menos inspeção no recebimento.",IF(N13="B","Manter e acompanhar. Comunicar o resultado ao fornecedor.",IF(N13="C","Pedir plano de ação, com prazo. Reavaliar no período seguinte.",IF(N13="D","Suspender as compras até um plano aprovado, ou desqualificar.",""))))</f>
        <v/>
      </c>
      <c r="P13" s="5"/>
      <c r="Q13" s="21" t="str">
        <f aca="false">IF(C13="","",IF(OR(F13="",H13="",J13=""),"Faltam dados",IF(OR(G13&gt;F13,I13&gt;H13),"Confira os dados: aceitos ou no prazo maiores que o total",IF(OR(F13=0,H13=0),"Confira os dados: total zero","Calculada"))))</f>
        <v/>
      </c>
    </row>
    <row r="14" customFormat="false" ht="30" hidden="false" customHeight="true" outlineLevel="0" collapsed="false">
      <c r="B14" s="16" t="n">
        <v>8</v>
      </c>
      <c r="C14" s="17"/>
      <c r="D14" s="29" t="str">
        <f aca="false">IF(C14="","",IFERROR(VLOOKUP(C14,Cadastro!$C$9:$D$38,2,FALSE()),"Não está no cadastro"))</f>
        <v/>
      </c>
      <c r="E14" s="5"/>
      <c r="F14" s="18"/>
      <c r="G14" s="18"/>
      <c r="H14" s="18"/>
      <c r="I14" s="18"/>
      <c r="J14" s="18"/>
      <c r="K14" s="30" t="str">
        <f aca="false">IF(OR(F14="",F14=0,G14&gt;F14),"",N(G14)/F14)</f>
        <v/>
      </c>
      <c r="L14" s="30" t="str">
        <f aca="false">IF(OR(H14="",H14=0,I14&gt;H14),"",N(I14)/H14)</f>
        <v/>
      </c>
      <c r="M14" s="31" t="str">
        <f aca="false">IF(OR(C14="",F14="",H14="",J14=""),"",IF(OR(G14&gt;F14,I14&gt;H14,F14=0,H14=0),"",ROUND(50*N(G14)/F14+30*N(I14)/H14+20*J14/10,1)))</f>
        <v/>
      </c>
      <c r="N14" s="24" t="str">
        <f aca="false">IF(M14="","",IF(M14&gt;=90,"A",IF(M14&gt;=75,"B",IF(M14&gt;=60,"C","D"))))</f>
        <v/>
      </c>
      <c r="O14" s="29" t="str">
        <f aca="false">IF(N14="A","Manter. Pode ter menos inspeção no recebimento.",IF(N14="B","Manter e acompanhar. Comunicar o resultado ao fornecedor.",IF(N14="C","Pedir plano de ação, com prazo. Reavaliar no período seguinte.",IF(N14="D","Suspender as compras até um plano aprovado, ou desqualificar.",""))))</f>
        <v/>
      </c>
      <c r="P14" s="5"/>
      <c r="Q14" s="21" t="str">
        <f aca="false">IF(C14="","",IF(OR(F14="",H14="",J14=""),"Faltam dados",IF(OR(G14&gt;F14,I14&gt;H14),"Confira os dados: aceitos ou no prazo maiores que o total",IF(OR(F14=0,H14=0),"Confira os dados: total zero","Calculada"))))</f>
        <v/>
      </c>
    </row>
    <row r="15" customFormat="false" ht="30" hidden="false" customHeight="true" outlineLevel="0" collapsed="false">
      <c r="B15" s="16" t="n">
        <v>9</v>
      </c>
      <c r="C15" s="17"/>
      <c r="D15" s="29" t="str">
        <f aca="false">IF(C15="","",IFERROR(VLOOKUP(C15,Cadastro!$C$9:$D$38,2,FALSE()),"Não está no cadastro"))</f>
        <v/>
      </c>
      <c r="E15" s="5"/>
      <c r="F15" s="18"/>
      <c r="G15" s="18"/>
      <c r="H15" s="18"/>
      <c r="I15" s="18"/>
      <c r="J15" s="18"/>
      <c r="K15" s="30" t="str">
        <f aca="false">IF(OR(F15="",F15=0,G15&gt;F15),"",N(G15)/F15)</f>
        <v/>
      </c>
      <c r="L15" s="30" t="str">
        <f aca="false">IF(OR(H15="",H15=0,I15&gt;H15),"",N(I15)/H15)</f>
        <v/>
      </c>
      <c r="M15" s="31" t="str">
        <f aca="false">IF(OR(C15="",F15="",H15="",J15=""),"",IF(OR(G15&gt;F15,I15&gt;H15,F15=0,H15=0),"",ROUND(50*N(G15)/F15+30*N(I15)/H15+20*J15/10,1)))</f>
        <v/>
      </c>
      <c r="N15" s="24" t="str">
        <f aca="false">IF(M15="","",IF(M15&gt;=90,"A",IF(M15&gt;=75,"B",IF(M15&gt;=60,"C","D"))))</f>
        <v/>
      </c>
      <c r="O15" s="29" t="str">
        <f aca="false">IF(N15="A","Manter. Pode ter menos inspeção no recebimento.",IF(N15="B","Manter e acompanhar. Comunicar o resultado ao fornecedor.",IF(N15="C","Pedir plano de ação, com prazo. Reavaliar no período seguinte.",IF(N15="D","Suspender as compras até um plano aprovado, ou desqualificar.",""))))</f>
        <v/>
      </c>
      <c r="P15" s="5"/>
      <c r="Q15" s="21" t="str">
        <f aca="false">IF(C15="","",IF(OR(F15="",H15="",J15=""),"Faltam dados",IF(OR(G15&gt;F15,I15&gt;H15),"Confira os dados: aceitos ou no prazo maiores que o total",IF(OR(F15=0,H15=0),"Confira os dados: total zero","Calculada"))))</f>
        <v/>
      </c>
    </row>
    <row r="16" customFormat="false" ht="30" hidden="false" customHeight="true" outlineLevel="0" collapsed="false">
      <c r="B16" s="16" t="n">
        <v>10</v>
      </c>
      <c r="C16" s="17"/>
      <c r="D16" s="29" t="str">
        <f aca="false">IF(C16="","",IFERROR(VLOOKUP(C16,Cadastro!$C$9:$D$38,2,FALSE()),"Não está no cadastro"))</f>
        <v/>
      </c>
      <c r="E16" s="5"/>
      <c r="F16" s="18"/>
      <c r="G16" s="18"/>
      <c r="H16" s="18"/>
      <c r="I16" s="18"/>
      <c r="J16" s="18"/>
      <c r="K16" s="30" t="str">
        <f aca="false">IF(OR(F16="",F16=0,G16&gt;F16),"",N(G16)/F16)</f>
        <v/>
      </c>
      <c r="L16" s="30" t="str">
        <f aca="false">IF(OR(H16="",H16=0,I16&gt;H16),"",N(I16)/H16)</f>
        <v/>
      </c>
      <c r="M16" s="31" t="str">
        <f aca="false">IF(OR(C16="",F16="",H16="",J16=""),"",IF(OR(G16&gt;F16,I16&gt;H16,F16=0,H16=0),"",ROUND(50*N(G16)/F16+30*N(I16)/H16+20*J16/10,1)))</f>
        <v/>
      </c>
      <c r="N16" s="24" t="str">
        <f aca="false">IF(M16="","",IF(M16&gt;=90,"A",IF(M16&gt;=75,"B",IF(M16&gt;=60,"C","D"))))</f>
        <v/>
      </c>
      <c r="O16" s="29" t="str">
        <f aca="false">IF(N16="A","Manter. Pode ter menos inspeção no recebimento.",IF(N16="B","Manter e acompanhar. Comunicar o resultado ao fornecedor.",IF(N16="C","Pedir plano de ação, com prazo. Reavaliar no período seguinte.",IF(N16="D","Suspender as compras até um plano aprovado, ou desqualificar.",""))))</f>
        <v/>
      </c>
      <c r="P16" s="5"/>
      <c r="Q16" s="21" t="str">
        <f aca="false">IF(C16="","",IF(OR(F16="",H16="",J16=""),"Faltam dados",IF(OR(G16&gt;F16,I16&gt;H16),"Confira os dados: aceitos ou no prazo maiores que o total",IF(OR(F16=0,H16=0),"Confira os dados: total zero","Calculada"))))</f>
        <v/>
      </c>
    </row>
    <row r="17" customFormat="false" ht="30" hidden="false" customHeight="true" outlineLevel="0" collapsed="false">
      <c r="B17" s="16" t="n">
        <v>11</v>
      </c>
      <c r="C17" s="17"/>
      <c r="D17" s="29" t="str">
        <f aca="false">IF(C17="","",IFERROR(VLOOKUP(C17,Cadastro!$C$9:$D$38,2,FALSE()),"Não está no cadastro"))</f>
        <v/>
      </c>
      <c r="E17" s="5"/>
      <c r="F17" s="18"/>
      <c r="G17" s="18"/>
      <c r="H17" s="18"/>
      <c r="I17" s="18"/>
      <c r="J17" s="18"/>
      <c r="K17" s="30" t="str">
        <f aca="false">IF(OR(F17="",F17=0,G17&gt;F17),"",N(G17)/F17)</f>
        <v/>
      </c>
      <c r="L17" s="30" t="str">
        <f aca="false">IF(OR(H17="",H17=0,I17&gt;H17),"",N(I17)/H17)</f>
        <v/>
      </c>
      <c r="M17" s="31" t="str">
        <f aca="false">IF(OR(C17="",F17="",H17="",J17=""),"",IF(OR(G17&gt;F17,I17&gt;H17,F17=0,H17=0),"",ROUND(50*N(G17)/F17+30*N(I17)/H17+20*J17/10,1)))</f>
        <v/>
      </c>
      <c r="N17" s="24" t="str">
        <f aca="false">IF(M17="","",IF(M17&gt;=90,"A",IF(M17&gt;=75,"B",IF(M17&gt;=60,"C","D"))))</f>
        <v/>
      </c>
      <c r="O17" s="29" t="str">
        <f aca="false">IF(N17="A","Manter. Pode ter menos inspeção no recebimento.",IF(N17="B","Manter e acompanhar. Comunicar o resultado ao fornecedor.",IF(N17="C","Pedir plano de ação, com prazo. Reavaliar no período seguinte.",IF(N17="D","Suspender as compras até um plano aprovado, ou desqualificar.",""))))</f>
        <v/>
      </c>
      <c r="P17" s="5"/>
      <c r="Q17" s="21" t="str">
        <f aca="false">IF(C17="","",IF(OR(F17="",H17="",J17=""),"Faltam dados",IF(OR(G17&gt;F17,I17&gt;H17),"Confira os dados: aceitos ou no prazo maiores que o total",IF(OR(F17=0,H17=0),"Confira os dados: total zero","Calculada"))))</f>
        <v/>
      </c>
    </row>
    <row r="18" customFormat="false" ht="30" hidden="false" customHeight="true" outlineLevel="0" collapsed="false">
      <c r="B18" s="16" t="n">
        <v>12</v>
      </c>
      <c r="C18" s="17"/>
      <c r="D18" s="29" t="str">
        <f aca="false">IF(C18="","",IFERROR(VLOOKUP(C18,Cadastro!$C$9:$D$38,2,FALSE()),"Não está no cadastro"))</f>
        <v/>
      </c>
      <c r="E18" s="5"/>
      <c r="F18" s="18"/>
      <c r="G18" s="18"/>
      <c r="H18" s="18"/>
      <c r="I18" s="18"/>
      <c r="J18" s="18"/>
      <c r="K18" s="30" t="str">
        <f aca="false">IF(OR(F18="",F18=0,G18&gt;F18),"",N(G18)/F18)</f>
        <v/>
      </c>
      <c r="L18" s="30" t="str">
        <f aca="false">IF(OR(H18="",H18=0,I18&gt;H18),"",N(I18)/H18)</f>
        <v/>
      </c>
      <c r="M18" s="31" t="str">
        <f aca="false">IF(OR(C18="",F18="",H18="",J18=""),"",IF(OR(G18&gt;F18,I18&gt;H18,F18=0,H18=0),"",ROUND(50*N(G18)/F18+30*N(I18)/H18+20*J18/10,1)))</f>
        <v/>
      </c>
      <c r="N18" s="24" t="str">
        <f aca="false">IF(M18="","",IF(M18&gt;=90,"A",IF(M18&gt;=75,"B",IF(M18&gt;=60,"C","D"))))</f>
        <v/>
      </c>
      <c r="O18" s="29" t="str">
        <f aca="false">IF(N18="A","Manter. Pode ter menos inspeção no recebimento.",IF(N18="B","Manter e acompanhar. Comunicar o resultado ao fornecedor.",IF(N18="C","Pedir plano de ação, com prazo. Reavaliar no período seguinte.",IF(N18="D","Suspender as compras até um plano aprovado, ou desqualificar.",""))))</f>
        <v/>
      </c>
      <c r="P18" s="5"/>
      <c r="Q18" s="21" t="str">
        <f aca="false">IF(C18="","",IF(OR(F18="",H18="",J18=""),"Faltam dados",IF(OR(G18&gt;F18,I18&gt;H18),"Confira os dados: aceitos ou no prazo maiores que o total",IF(OR(F18=0,H18=0),"Confira os dados: total zero","Calculada"))))</f>
        <v/>
      </c>
    </row>
    <row r="19" customFormat="false" ht="30" hidden="false" customHeight="true" outlineLevel="0" collapsed="false">
      <c r="B19" s="16" t="n">
        <v>13</v>
      </c>
      <c r="C19" s="17"/>
      <c r="D19" s="29" t="str">
        <f aca="false">IF(C19="","",IFERROR(VLOOKUP(C19,Cadastro!$C$9:$D$38,2,FALSE()),"Não está no cadastro"))</f>
        <v/>
      </c>
      <c r="E19" s="5"/>
      <c r="F19" s="18"/>
      <c r="G19" s="18"/>
      <c r="H19" s="18"/>
      <c r="I19" s="18"/>
      <c r="J19" s="18"/>
      <c r="K19" s="30" t="str">
        <f aca="false">IF(OR(F19="",F19=0,G19&gt;F19),"",N(G19)/F19)</f>
        <v/>
      </c>
      <c r="L19" s="30" t="str">
        <f aca="false">IF(OR(H19="",H19=0,I19&gt;H19),"",N(I19)/H19)</f>
        <v/>
      </c>
      <c r="M19" s="31" t="str">
        <f aca="false">IF(OR(C19="",F19="",H19="",J19=""),"",IF(OR(G19&gt;F19,I19&gt;H19,F19=0,H19=0),"",ROUND(50*N(G19)/F19+30*N(I19)/H19+20*J19/10,1)))</f>
        <v/>
      </c>
      <c r="N19" s="24" t="str">
        <f aca="false">IF(M19="","",IF(M19&gt;=90,"A",IF(M19&gt;=75,"B",IF(M19&gt;=60,"C","D"))))</f>
        <v/>
      </c>
      <c r="O19" s="29" t="str">
        <f aca="false">IF(N19="A","Manter. Pode ter menos inspeção no recebimento.",IF(N19="B","Manter e acompanhar. Comunicar o resultado ao fornecedor.",IF(N19="C","Pedir plano de ação, com prazo. Reavaliar no período seguinte.",IF(N19="D","Suspender as compras até um plano aprovado, ou desqualificar.",""))))</f>
        <v/>
      </c>
      <c r="P19" s="5"/>
      <c r="Q19" s="21" t="str">
        <f aca="false">IF(C19="","",IF(OR(F19="",H19="",J19=""),"Faltam dados",IF(OR(G19&gt;F19,I19&gt;H19),"Confira os dados: aceitos ou no prazo maiores que o total",IF(OR(F19=0,H19=0),"Confira os dados: total zero","Calculada"))))</f>
        <v/>
      </c>
    </row>
    <row r="20" customFormat="false" ht="30" hidden="false" customHeight="true" outlineLevel="0" collapsed="false">
      <c r="B20" s="16" t="n">
        <v>14</v>
      </c>
      <c r="C20" s="17"/>
      <c r="D20" s="29" t="str">
        <f aca="false">IF(C20="","",IFERROR(VLOOKUP(C20,Cadastro!$C$9:$D$38,2,FALSE()),"Não está no cadastro"))</f>
        <v/>
      </c>
      <c r="E20" s="5"/>
      <c r="F20" s="18"/>
      <c r="G20" s="18"/>
      <c r="H20" s="18"/>
      <c r="I20" s="18"/>
      <c r="J20" s="18"/>
      <c r="K20" s="30" t="str">
        <f aca="false">IF(OR(F20="",F20=0,G20&gt;F20),"",N(G20)/F20)</f>
        <v/>
      </c>
      <c r="L20" s="30" t="str">
        <f aca="false">IF(OR(H20="",H20=0,I20&gt;H20),"",N(I20)/H20)</f>
        <v/>
      </c>
      <c r="M20" s="31" t="str">
        <f aca="false">IF(OR(C20="",F20="",H20="",J20=""),"",IF(OR(G20&gt;F20,I20&gt;H20,F20=0,H20=0),"",ROUND(50*N(G20)/F20+30*N(I20)/H20+20*J20/10,1)))</f>
        <v/>
      </c>
      <c r="N20" s="24" t="str">
        <f aca="false">IF(M20="","",IF(M20&gt;=90,"A",IF(M20&gt;=75,"B",IF(M20&gt;=60,"C","D"))))</f>
        <v/>
      </c>
      <c r="O20" s="29" t="str">
        <f aca="false">IF(N20="A","Manter. Pode ter menos inspeção no recebimento.",IF(N20="B","Manter e acompanhar. Comunicar o resultado ao fornecedor.",IF(N20="C","Pedir plano de ação, com prazo. Reavaliar no período seguinte.",IF(N20="D","Suspender as compras até um plano aprovado, ou desqualificar.",""))))</f>
        <v/>
      </c>
      <c r="P20" s="5"/>
      <c r="Q20" s="21" t="str">
        <f aca="false">IF(C20="","",IF(OR(F20="",H20="",J20=""),"Faltam dados",IF(OR(G20&gt;F20,I20&gt;H20),"Confira os dados: aceitos ou no prazo maiores que o total",IF(OR(F20=0,H20=0),"Confira os dados: total zero","Calculada"))))</f>
        <v/>
      </c>
    </row>
    <row r="21" customFormat="false" ht="30" hidden="false" customHeight="true" outlineLevel="0" collapsed="false">
      <c r="B21" s="16" t="n">
        <v>15</v>
      </c>
      <c r="C21" s="17"/>
      <c r="D21" s="29" t="str">
        <f aca="false">IF(C21="","",IFERROR(VLOOKUP(C21,Cadastro!$C$9:$D$38,2,FALSE()),"Não está no cadastro"))</f>
        <v/>
      </c>
      <c r="E21" s="5"/>
      <c r="F21" s="18"/>
      <c r="G21" s="18"/>
      <c r="H21" s="18"/>
      <c r="I21" s="18"/>
      <c r="J21" s="18"/>
      <c r="K21" s="30" t="str">
        <f aca="false">IF(OR(F21="",F21=0,G21&gt;F21),"",N(G21)/F21)</f>
        <v/>
      </c>
      <c r="L21" s="30" t="str">
        <f aca="false">IF(OR(H21="",H21=0,I21&gt;H21),"",N(I21)/H21)</f>
        <v/>
      </c>
      <c r="M21" s="31" t="str">
        <f aca="false">IF(OR(C21="",F21="",H21="",J21=""),"",IF(OR(G21&gt;F21,I21&gt;H21,F21=0,H21=0),"",ROUND(50*N(G21)/F21+30*N(I21)/H21+20*J21/10,1)))</f>
        <v/>
      </c>
      <c r="N21" s="24" t="str">
        <f aca="false">IF(M21="","",IF(M21&gt;=90,"A",IF(M21&gt;=75,"B",IF(M21&gt;=60,"C","D"))))</f>
        <v/>
      </c>
      <c r="O21" s="29" t="str">
        <f aca="false">IF(N21="A","Manter. Pode ter menos inspeção no recebimento.",IF(N21="B","Manter e acompanhar. Comunicar o resultado ao fornecedor.",IF(N21="C","Pedir plano de ação, com prazo. Reavaliar no período seguinte.",IF(N21="D","Suspender as compras até um plano aprovado, ou desqualificar.",""))))</f>
        <v/>
      </c>
      <c r="P21" s="5"/>
      <c r="Q21" s="21" t="str">
        <f aca="false">IF(C21="","",IF(OR(F21="",H21="",J21=""),"Faltam dados",IF(OR(G21&gt;F21,I21&gt;H21),"Confira os dados: aceitos ou no prazo maiores que o total",IF(OR(F21=0,H21=0),"Confira os dados: total zero","Calculada"))))</f>
        <v/>
      </c>
    </row>
    <row r="22" customFormat="false" ht="30" hidden="false" customHeight="true" outlineLevel="0" collapsed="false">
      <c r="B22" s="16" t="n">
        <v>16</v>
      </c>
      <c r="C22" s="17"/>
      <c r="D22" s="29" t="str">
        <f aca="false">IF(C22="","",IFERROR(VLOOKUP(C22,Cadastro!$C$9:$D$38,2,FALSE()),"Não está no cadastro"))</f>
        <v/>
      </c>
      <c r="E22" s="5"/>
      <c r="F22" s="18"/>
      <c r="G22" s="18"/>
      <c r="H22" s="18"/>
      <c r="I22" s="18"/>
      <c r="J22" s="18"/>
      <c r="K22" s="30" t="str">
        <f aca="false">IF(OR(F22="",F22=0,G22&gt;F22),"",N(G22)/F22)</f>
        <v/>
      </c>
      <c r="L22" s="30" t="str">
        <f aca="false">IF(OR(H22="",H22=0,I22&gt;H22),"",N(I22)/H22)</f>
        <v/>
      </c>
      <c r="M22" s="31" t="str">
        <f aca="false">IF(OR(C22="",F22="",H22="",J22=""),"",IF(OR(G22&gt;F22,I22&gt;H22,F22=0,H22=0),"",ROUND(50*N(G22)/F22+30*N(I22)/H22+20*J22/10,1)))</f>
        <v/>
      </c>
      <c r="N22" s="24" t="str">
        <f aca="false">IF(M22="","",IF(M22&gt;=90,"A",IF(M22&gt;=75,"B",IF(M22&gt;=60,"C","D"))))</f>
        <v/>
      </c>
      <c r="O22" s="29" t="str">
        <f aca="false">IF(N22="A","Manter. Pode ter menos inspeção no recebimento.",IF(N22="B","Manter e acompanhar. Comunicar o resultado ao fornecedor.",IF(N22="C","Pedir plano de ação, com prazo. Reavaliar no período seguinte.",IF(N22="D","Suspender as compras até um plano aprovado, ou desqualificar.",""))))</f>
        <v/>
      </c>
      <c r="P22" s="5"/>
      <c r="Q22" s="21" t="str">
        <f aca="false">IF(C22="","",IF(OR(F22="",H22="",J22=""),"Faltam dados",IF(OR(G22&gt;F22,I22&gt;H22),"Confira os dados: aceitos ou no prazo maiores que o total",IF(OR(F22=0,H22=0),"Confira os dados: total zero","Calculada"))))</f>
        <v/>
      </c>
    </row>
    <row r="23" customFormat="false" ht="30" hidden="false" customHeight="true" outlineLevel="0" collapsed="false">
      <c r="B23" s="16" t="n">
        <v>17</v>
      </c>
      <c r="C23" s="17"/>
      <c r="D23" s="29" t="str">
        <f aca="false">IF(C23="","",IFERROR(VLOOKUP(C23,Cadastro!$C$9:$D$38,2,FALSE()),"Não está no cadastro"))</f>
        <v/>
      </c>
      <c r="E23" s="5"/>
      <c r="F23" s="18"/>
      <c r="G23" s="18"/>
      <c r="H23" s="18"/>
      <c r="I23" s="18"/>
      <c r="J23" s="18"/>
      <c r="K23" s="30" t="str">
        <f aca="false">IF(OR(F23="",F23=0,G23&gt;F23),"",N(G23)/F23)</f>
        <v/>
      </c>
      <c r="L23" s="30" t="str">
        <f aca="false">IF(OR(H23="",H23=0,I23&gt;H23),"",N(I23)/H23)</f>
        <v/>
      </c>
      <c r="M23" s="31" t="str">
        <f aca="false">IF(OR(C23="",F23="",H23="",J23=""),"",IF(OR(G23&gt;F23,I23&gt;H23,F23=0,H23=0),"",ROUND(50*N(G23)/F23+30*N(I23)/H23+20*J23/10,1)))</f>
        <v/>
      </c>
      <c r="N23" s="24" t="str">
        <f aca="false">IF(M23="","",IF(M23&gt;=90,"A",IF(M23&gt;=75,"B",IF(M23&gt;=60,"C","D"))))</f>
        <v/>
      </c>
      <c r="O23" s="29" t="str">
        <f aca="false">IF(N23="A","Manter. Pode ter menos inspeção no recebimento.",IF(N23="B","Manter e acompanhar. Comunicar o resultado ao fornecedor.",IF(N23="C","Pedir plano de ação, com prazo. Reavaliar no período seguinte.",IF(N23="D","Suspender as compras até um plano aprovado, ou desqualificar.",""))))</f>
        <v/>
      </c>
      <c r="P23" s="5"/>
      <c r="Q23" s="21" t="str">
        <f aca="false">IF(C23="","",IF(OR(F23="",H23="",J23=""),"Faltam dados",IF(OR(G23&gt;F23,I23&gt;H23),"Confira os dados: aceitos ou no prazo maiores que o total",IF(OR(F23=0,H23=0),"Confira os dados: total zero","Calculada"))))</f>
        <v/>
      </c>
    </row>
    <row r="24" customFormat="false" ht="30" hidden="false" customHeight="true" outlineLevel="0" collapsed="false">
      <c r="B24" s="16" t="n">
        <v>18</v>
      </c>
      <c r="C24" s="17"/>
      <c r="D24" s="29" t="str">
        <f aca="false">IF(C24="","",IFERROR(VLOOKUP(C24,Cadastro!$C$9:$D$38,2,FALSE()),"Não está no cadastro"))</f>
        <v/>
      </c>
      <c r="E24" s="5"/>
      <c r="F24" s="18"/>
      <c r="G24" s="18"/>
      <c r="H24" s="18"/>
      <c r="I24" s="18"/>
      <c r="J24" s="18"/>
      <c r="K24" s="30" t="str">
        <f aca="false">IF(OR(F24="",F24=0,G24&gt;F24),"",N(G24)/F24)</f>
        <v/>
      </c>
      <c r="L24" s="30" t="str">
        <f aca="false">IF(OR(H24="",H24=0,I24&gt;H24),"",N(I24)/H24)</f>
        <v/>
      </c>
      <c r="M24" s="31" t="str">
        <f aca="false">IF(OR(C24="",F24="",H24="",J24=""),"",IF(OR(G24&gt;F24,I24&gt;H24,F24=0,H24=0),"",ROUND(50*N(G24)/F24+30*N(I24)/H24+20*J24/10,1)))</f>
        <v/>
      </c>
      <c r="N24" s="24" t="str">
        <f aca="false">IF(M24="","",IF(M24&gt;=90,"A",IF(M24&gt;=75,"B",IF(M24&gt;=60,"C","D"))))</f>
        <v/>
      </c>
      <c r="O24" s="29" t="str">
        <f aca="false">IF(N24="A","Manter. Pode ter menos inspeção no recebimento.",IF(N24="B","Manter e acompanhar. Comunicar o resultado ao fornecedor.",IF(N24="C","Pedir plano de ação, com prazo. Reavaliar no período seguinte.",IF(N24="D","Suspender as compras até um plano aprovado, ou desqualificar.",""))))</f>
        <v/>
      </c>
      <c r="P24" s="5"/>
      <c r="Q24" s="21" t="str">
        <f aca="false">IF(C24="","",IF(OR(F24="",H24="",J24=""),"Faltam dados",IF(OR(G24&gt;F24,I24&gt;H24),"Confira os dados: aceitos ou no prazo maiores que o total",IF(OR(F24=0,H24=0),"Confira os dados: total zero","Calculada"))))</f>
        <v/>
      </c>
    </row>
    <row r="25" customFormat="false" ht="30" hidden="false" customHeight="true" outlineLevel="0" collapsed="false">
      <c r="B25" s="16" t="n">
        <v>19</v>
      </c>
      <c r="C25" s="17"/>
      <c r="D25" s="29" t="str">
        <f aca="false">IF(C25="","",IFERROR(VLOOKUP(C25,Cadastro!$C$9:$D$38,2,FALSE()),"Não está no cadastro"))</f>
        <v/>
      </c>
      <c r="E25" s="5"/>
      <c r="F25" s="18"/>
      <c r="G25" s="18"/>
      <c r="H25" s="18"/>
      <c r="I25" s="18"/>
      <c r="J25" s="18"/>
      <c r="K25" s="30" t="str">
        <f aca="false">IF(OR(F25="",F25=0,G25&gt;F25),"",N(G25)/F25)</f>
        <v/>
      </c>
      <c r="L25" s="30" t="str">
        <f aca="false">IF(OR(H25="",H25=0,I25&gt;H25),"",N(I25)/H25)</f>
        <v/>
      </c>
      <c r="M25" s="31" t="str">
        <f aca="false">IF(OR(C25="",F25="",H25="",J25=""),"",IF(OR(G25&gt;F25,I25&gt;H25,F25=0,H25=0),"",ROUND(50*N(G25)/F25+30*N(I25)/H25+20*J25/10,1)))</f>
        <v/>
      </c>
      <c r="N25" s="24" t="str">
        <f aca="false">IF(M25="","",IF(M25&gt;=90,"A",IF(M25&gt;=75,"B",IF(M25&gt;=60,"C","D"))))</f>
        <v/>
      </c>
      <c r="O25" s="29" t="str">
        <f aca="false">IF(N25="A","Manter. Pode ter menos inspeção no recebimento.",IF(N25="B","Manter e acompanhar. Comunicar o resultado ao fornecedor.",IF(N25="C","Pedir plano de ação, com prazo. Reavaliar no período seguinte.",IF(N25="D","Suspender as compras até um plano aprovado, ou desqualificar.",""))))</f>
        <v/>
      </c>
      <c r="P25" s="5"/>
      <c r="Q25" s="21" t="str">
        <f aca="false">IF(C25="","",IF(OR(F25="",H25="",J25=""),"Faltam dados",IF(OR(G25&gt;F25,I25&gt;H25),"Confira os dados: aceitos ou no prazo maiores que o total",IF(OR(F25=0,H25=0),"Confira os dados: total zero","Calculada"))))</f>
        <v/>
      </c>
    </row>
    <row r="26" customFormat="false" ht="30" hidden="false" customHeight="true" outlineLevel="0" collapsed="false">
      <c r="B26" s="16" t="n">
        <v>20</v>
      </c>
      <c r="C26" s="17"/>
      <c r="D26" s="29" t="str">
        <f aca="false">IF(C26="","",IFERROR(VLOOKUP(C26,Cadastro!$C$9:$D$38,2,FALSE()),"Não está no cadastro"))</f>
        <v/>
      </c>
      <c r="E26" s="5"/>
      <c r="F26" s="18"/>
      <c r="G26" s="18"/>
      <c r="H26" s="18"/>
      <c r="I26" s="18"/>
      <c r="J26" s="18"/>
      <c r="K26" s="30" t="str">
        <f aca="false">IF(OR(F26="",F26=0,G26&gt;F26),"",N(G26)/F26)</f>
        <v/>
      </c>
      <c r="L26" s="30" t="str">
        <f aca="false">IF(OR(H26="",H26=0,I26&gt;H26),"",N(I26)/H26)</f>
        <v/>
      </c>
      <c r="M26" s="31" t="str">
        <f aca="false">IF(OR(C26="",F26="",H26="",J26=""),"",IF(OR(G26&gt;F26,I26&gt;H26,F26=0,H26=0),"",ROUND(50*N(G26)/F26+30*N(I26)/H26+20*J26/10,1)))</f>
        <v/>
      </c>
      <c r="N26" s="24" t="str">
        <f aca="false">IF(M26="","",IF(M26&gt;=90,"A",IF(M26&gt;=75,"B",IF(M26&gt;=60,"C","D"))))</f>
        <v/>
      </c>
      <c r="O26" s="29" t="str">
        <f aca="false">IF(N26="A","Manter. Pode ter menos inspeção no recebimento.",IF(N26="B","Manter e acompanhar. Comunicar o resultado ao fornecedor.",IF(N26="C","Pedir plano de ação, com prazo. Reavaliar no período seguinte.",IF(N26="D","Suspender as compras até um plano aprovado, ou desqualificar.",""))))</f>
        <v/>
      </c>
      <c r="P26" s="5"/>
      <c r="Q26" s="21" t="str">
        <f aca="false">IF(C26="","",IF(OR(F26="",H26="",J26=""),"Faltam dados",IF(OR(G26&gt;F26,I26&gt;H26),"Confira os dados: aceitos ou no prazo maiores que o total",IF(OR(F26=0,H26=0),"Confira os dados: total zero","Calculada"))))</f>
        <v/>
      </c>
    </row>
    <row r="27" customFormat="false" ht="30" hidden="false" customHeight="true" outlineLevel="0" collapsed="false">
      <c r="B27" s="16" t="n">
        <v>21</v>
      </c>
      <c r="C27" s="17"/>
      <c r="D27" s="29" t="str">
        <f aca="false">IF(C27="","",IFERROR(VLOOKUP(C27,Cadastro!$C$9:$D$38,2,FALSE()),"Não está no cadastro"))</f>
        <v/>
      </c>
      <c r="E27" s="5"/>
      <c r="F27" s="18"/>
      <c r="G27" s="18"/>
      <c r="H27" s="18"/>
      <c r="I27" s="18"/>
      <c r="J27" s="18"/>
      <c r="K27" s="30" t="str">
        <f aca="false">IF(OR(F27="",F27=0,G27&gt;F27),"",N(G27)/F27)</f>
        <v/>
      </c>
      <c r="L27" s="30" t="str">
        <f aca="false">IF(OR(H27="",H27=0,I27&gt;H27),"",N(I27)/H27)</f>
        <v/>
      </c>
      <c r="M27" s="31" t="str">
        <f aca="false">IF(OR(C27="",F27="",H27="",J27=""),"",IF(OR(G27&gt;F27,I27&gt;H27,F27=0,H27=0),"",ROUND(50*N(G27)/F27+30*N(I27)/H27+20*J27/10,1)))</f>
        <v/>
      </c>
      <c r="N27" s="24" t="str">
        <f aca="false">IF(M27="","",IF(M27&gt;=90,"A",IF(M27&gt;=75,"B",IF(M27&gt;=60,"C","D"))))</f>
        <v/>
      </c>
      <c r="O27" s="29" t="str">
        <f aca="false">IF(N27="A","Manter. Pode ter menos inspeção no recebimento.",IF(N27="B","Manter e acompanhar. Comunicar o resultado ao fornecedor.",IF(N27="C","Pedir plano de ação, com prazo. Reavaliar no período seguinte.",IF(N27="D","Suspender as compras até um plano aprovado, ou desqualificar.",""))))</f>
        <v/>
      </c>
      <c r="P27" s="5"/>
      <c r="Q27" s="21" t="str">
        <f aca="false">IF(C27="","",IF(OR(F27="",H27="",J27=""),"Faltam dados",IF(OR(G27&gt;F27,I27&gt;H27),"Confira os dados: aceitos ou no prazo maiores que o total",IF(OR(F27=0,H27=0),"Confira os dados: total zero","Calculada"))))</f>
        <v/>
      </c>
    </row>
    <row r="28" customFormat="false" ht="30" hidden="false" customHeight="true" outlineLevel="0" collapsed="false">
      <c r="B28" s="16" t="n">
        <v>22</v>
      </c>
      <c r="C28" s="17"/>
      <c r="D28" s="29" t="str">
        <f aca="false">IF(C28="","",IFERROR(VLOOKUP(C28,Cadastro!$C$9:$D$38,2,FALSE()),"Não está no cadastro"))</f>
        <v/>
      </c>
      <c r="E28" s="5"/>
      <c r="F28" s="18"/>
      <c r="G28" s="18"/>
      <c r="H28" s="18"/>
      <c r="I28" s="18"/>
      <c r="J28" s="18"/>
      <c r="K28" s="30" t="str">
        <f aca="false">IF(OR(F28="",F28=0,G28&gt;F28),"",N(G28)/F28)</f>
        <v/>
      </c>
      <c r="L28" s="30" t="str">
        <f aca="false">IF(OR(H28="",H28=0,I28&gt;H28),"",N(I28)/H28)</f>
        <v/>
      </c>
      <c r="M28" s="31" t="str">
        <f aca="false">IF(OR(C28="",F28="",H28="",J28=""),"",IF(OR(G28&gt;F28,I28&gt;H28,F28=0,H28=0),"",ROUND(50*N(G28)/F28+30*N(I28)/H28+20*J28/10,1)))</f>
        <v/>
      </c>
      <c r="N28" s="24" t="str">
        <f aca="false">IF(M28="","",IF(M28&gt;=90,"A",IF(M28&gt;=75,"B",IF(M28&gt;=60,"C","D"))))</f>
        <v/>
      </c>
      <c r="O28" s="29" t="str">
        <f aca="false">IF(N28="A","Manter. Pode ter menos inspeção no recebimento.",IF(N28="B","Manter e acompanhar. Comunicar o resultado ao fornecedor.",IF(N28="C","Pedir plano de ação, com prazo. Reavaliar no período seguinte.",IF(N28="D","Suspender as compras até um plano aprovado, ou desqualificar.",""))))</f>
        <v/>
      </c>
      <c r="P28" s="5"/>
      <c r="Q28" s="21" t="str">
        <f aca="false">IF(C28="","",IF(OR(F28="",H28="",J28=""),"Faltam dados",IF(OR(G28&gt;F28,I28&gt;H28),"Confira os dados: aceitos ou no prazo maiores que o total",IF(OR(F28=0,H28=0),"Confira os dados: total zero","Calculada"))))</f>
        <v/>
      </c>
    </row>
    <row r="29" customFormat="false" ht="30" hidden="false" customHeight="true" outlineLevel="0" collapsed="false">
      <c r="B29" s="16" t="n">
        <v>23</v>
      </c>
      <c r="C29" s="17"/>
      <c r="D29" s="29" t="str">
        <f aca="false">IF(C29="","",IFERROR(VLOOKUP(C29,Cadastro!$C$9:$D$38,2,FALSE()),"Não está no cadastro"))</f>
        <v/>
      </c>
      <c r="E29" s="5"/>
      <c r="F29" s="18"/>
      <c r="G29" s="18"/>
      <c r="H29" s="18"/>
      <c r="I29" s="18"/>
      <c r="J29" s="18"/>
      <c r="K29" s="30" t="str">
        <f aca="false">IF(OR(F29="",F29=0,G29&gt;F29),"",N(G29)/F29)</f>
        <v/>
      </c>
      <c r="L29" s="30" t="str">
        <f aca="false">IF(OR(H29="",H29=0,I29&gt;H29),"",N(I29)/H29)</f>
        <v/>
      </c>
      <c r="M29" s="31" t="str">
        <f aca="false">IF(OR(C29="",F29="",H29="",J29=""),"",IF(OR(G29&gt;F29,I29&gt;H29,F29=0,H29=0),"",ROUND(50*N(G29)/F29+30*N(I29)/H29+20*J29/10,1)))</f>
        <v/>
      </c>
      <c r="N29" s="24" t="str">
        <f aca="false">IF(M29="","",IF(M29&gt;=90,"A",IF(M29&gt;=75,"B",IF(M29&gt;=60,"C","D"))))</f>
        <v/>
      </c>
      <c r="O29" s="29" t="str">
        <f aca="false">IF(N29="A","Manter. Pode ter menos inspeção no recebimento.",IF(N29="B","Manter e acompanhar. Comunicar o resultado ao fornecedor.",IF(N29="C","Pedir plano de ação, com prazo. Reavaliar no período seguinte.",IF(N29="D","Suspender as compras até um plano aprovado, ou desqualificar.",""))))</f>
        <v/>
      </c>
      <c r="P29" s="5"/>
      <c r="Q29" s="21" t="str">
        <f aca="false">IF(C29="","",IF(OR(F29="",H29="",J29=""),"Faltam dados",IF(OR(G29&gt;F29,I29&gt;H29),"Confira os dados: aceitos ou no prazo maiores que o total",IF(OR(F29=0,H29=0),"Confira os dados: total zero","Calculada"))))</f>
        <v/>
      </c>
    </row>
    <row r="30" customFormat="false" ht="30" hidden="false" customHeight="true" outlineLevel="0" collapsed="false">
      <c r="B30" s="16" t="n">
        <v>24</v>
      </c>
      <c r="C30" s="17"/>
      <c r="D30" s="29" t="str">
        <f aca="false">IF(C30="","",IFERROR(VLOOKUP(C30,Cadastro!$C$9:$D$38,2,FALSE()),"Não está no cadastro"))</f>
        <v/>
      </c>
      <c r="E30" s="5"/>
      <c r="F30" s="18"/>
      <c r="G30" s="18"/>
      <c r="H30" s="18"/>
      <c r="I30" s="18"/>
      <c r="J30" s="18"/>
      <c r="K30" s="30" t="str">
        <f aca="false">IF(OR(F30="",F30=0,G30&gt;F30),"",N(G30)/F30)</f>
        <v/>
      </c>
      <c r="L30" s="30" t="str">
        <f aca="false">IF(OR(H30="",H30=0,I30&gt;H30),"",N(I30)/H30)</f>
        <v/>
      </c>
      <c r="M30" s="31" t="str">
        <f aca="false">IF(OR(C30="",F30="",H30="",J30=""),"",IF(OR(G30&gt;F30,I30&gt;H30,F30=0,H30=0),"",ROUND(50*N(G30)/F30+30*N(I30)/H30+20*J30/10,1)))</f>
        <v/>
      </c>
      <c r="N30" s="24" t="str">
        <f aca="false">IF(M30="","",IF(M30&gt;=90,"A",IF(M30&gt;=75,"B",IF(M30&gt;=60,"C","D"))))</f>
        <v/>
      </c>
      <c r="O30" s="29" t="str">
        <f aca="false">IF(N30="A","Manter. Pode ter menos inspeção no recebimento.",IF(N30="B","Manter e acompanhar. Comunicar o resultado ao fornecedor.",IF(N30="C","Pedir plano de ação, com prazo. Reavaliar no período seguinte.",IF(N30="D","Suspender as compras até um plano aprovado, ou desqualificar.",""))))</f>
        <v/>
      </c>
      <c r="P30" s="5"/>
      <c r="Q30" s="21" t="str">
        <f aca="false">IF(C30="","",IF(OR(F30="",H30="",J30=""),"Faltam dados",IF(OR(G30&gt;F30,I30&gt;H30),"Confira os dados: aceitos ou no prazo maiores que o total",IF(OR(F30=0,H30=0),"Confira os dados: total zero","Calculada"))))</f>
        <v/>
      </c>
    </row>
    <row r="31" customFormat="false" ht="30" hidden="false" customHeight="true" outlineLevel="0" collapsed="false">
      <c r="B31" s="16" t="n">
        <v>25</v>
      </c>
      <c r="C31" s="17"/>
      <c r="D31" s="29" t="str">
        <f aca="false">IF(C31="","",IFERROR(VLOOKUP(C31,Cadastro!$C$9:$D$38,2,FALSE()),"Não está no cadastro"))</f>
        <v/>
      </c>
      <c r="E31" s="5"/>
      <c r="F31" s="18"/>
      <c r="G31" s="18"/>
      <c r="H31" s="18"/>
      <c r="I31" s="18"/>
      <c r="J31" s="18"/>
      <c r="K31" s="30" t="str">
        <f aca="false">IF(OR(F31="",F31=0,G31&gt;F31),"",N(G31)/F31)</f>
        <v/>
      </c>
      <c r="L31" s="30" t="str">
        <f aca="false">IF(OR(H31="",H31=0,I31&gt;H31),"",N(I31)/H31)</f>
        <v/>
      </c>
      <c r="M31" s="31" t="str">
        <f aca="false">IF(OR(C31="",F31="",H31="",J31=""),"",IF(OR(G31&gt;F31,I31&gt;H31,F31=0,H31=0),"",ROUND(50*N(G31)/F31+30*N(I31)/H31+20*J31/10,1)))</f>
        <v/>
      </c>
      <c r="N31" s="24" t="str">
        <f aca="false">IF(M31="","",IF(M31&gt;=90,"A",IF(M31&gt;=75,"B",IF(M31&gt;=60,"C","D"))))</f>
        <v/>
      </c>
      <c r="O31" s="29" t="str">
        <f aca="false">IF(N31="A","Manter. Pode ter menos inspeção no recebimento.",IF(N31="B","Manter e acompanhar. Comunicar o resultado ao fornecedor.",IF(N31="C","Pedir plano de ação, com prazo. Reavaliar no período seguinte.",IF(N31="D","Suspender as compras até um plano aprovado, ou desqualificar.",""))))</f>
        <v/>
      </c>
      <c r="P31" s="5"/>
      <c r="Q31" s="21" t="str">
        <f aca="false">IF(C31="","",IF(OR(F31="",H31="",J31=""),"Faltam dados",IF(OR(G31&gt;F31,I31&gt;H31),"Confira os dados: aceitos ou no prazo maiores que o total",IF(OR(F31=0,H31=0),"Confira os dados: total zero","Calculada"))))</f>
        <v/>
      </c>
    </row>
    <row r="32" customFormat="false" ht="30" hidden="false" customHeight="true" outlineLevel="0" collapsed="false">
      <c r="B32" s="16" t="n">
        <v>26</v>
      </c>
      <c r="C32" s="17"/>
      <c r="D32" s="29" t="str">
        <f aca="false">IF(C32="","",IFERROR(VLOOKUP(C32,Cadastro!$C$9:$D$38,2,FALSE()),"Não está no cadastro"))</f>
        <v/>
      </c>
      <c r="E32" s="5"/>
      <c r="F32" s="18"/>
      <c r="G32" s="18"/>
      <c r="H32" s="18"/>
      <c r="I32" s="18"/>
      <c r="J32" s="18"/>
      <c r="K32" s="30" t="str">
        <f aca="false">IF(OR(F32="",F32=0,G32&gt;F32),"",N(G32)/F32)</f>
        <v/>
      </c>
      <c r="L32" s="30" t="str">
        <f aca="false">IF(OR(H32="",H32=0,I32&gt;H32),"",N(I32)/H32)</f>
        <v/>
      </c>
      <c r="M32" s="31" t="str">
        <f aca="false">IF(OR(C32="",F32="",H32="",J32=""),"",IF(OR(G32&gt;F32,I32&gt;H32,F32=0,H32=0),"",ROUND(50*N(G32)/F32+30*N(I32)/H32+20*J32/10,1)))</f>
        <v/>
      </c>
      <c r="N32" s="24" t="str">
        <f aca="false">IF(M32="","",IF(M32&gt;=90,"A",IF(M32&gt;=75,"B",IF(M32&gt;=60,"C","D"))))</f>
        <v/>
      </c>
      <c r="O32" s="29" t="str">
        <f aca="false">IF(N32="A","Manter. Pode ter menos inspeção no recebimento.",IF(N32="B","Manter e acompanhar. Comunicar o resultado ao fornecedor.",IF(N32="C","Pedir plano de ação, com prazo. Reavaliar no período seguinte.",IF(N32="D","Suspender as compras até um plano aprovado, ou desqualificar.",""))))</f>
        <v/>
      </c>
      <c r="P32" s="5"/>
      <c r="Q32" s="21" t="str">
        <f aca="false">IF(C32="","",IF(OR(F32="",H32="",J32=""),"Faltam dados",IF(OR(G32&gt;F32,I32&gt;H32),"Confira os dados: aceitos ou no prazo maiores que o total",IF(OR(F32=0,H32=0),"Confira os dados: total zero","Calculada"))))</f>
        <v/>
      </c>
    </row>
    <row r="33" customFormat="false" ht="30" hidden="false" customHeight="true" outlineLevel="0" collapsed="false">
      <c r="B33" s="16" t="n">
        <v>27</v>
      </c>
      <c r="C33" s="17"/>
      <c r="D33" s="29" t="str">
        <f aca="false">IF(C33="","",IFERROR(VLOOKUP(C33,Cadastro!$C$9:$D$38,2,FALSE()),"Não está no cadastro"))</f>
        <v/>
      </c>
      <c r="E33" s="5"/>
      <c r="F33" s="18"/>
      <c r="G33" s="18"/>
      <c r="H33" s="18"/>
      <c r="I33" s="18"/>
      <c r="J33" s="18"/>
      <c r="K33" s="30" t="str">
        <f aca="false">IF(OR(F33="",F33=0,G33&gt;F33),"",N(G33)/F33)</f>
        <v/>
      </c>
      <c r="L33" s="30" t="str">
        <f aca="false">IF(OR(H33="",H33=0,I33&gt;H33),"",N(I33)/H33)</f>
        <v/>
      </c>
      <c r="M33" s="31" t="str">
        <f aca="false">IF(OR(C33="",F33="",H33="",J33=""),"",IF(OR(G33&gt;F33,I33&gt;H33,F33=0,H33=0),"",ROUND(50*N(G33)/F33+30*N(I33)/H33+20*J33/10,1)))</f>
        <v/>
      </c>
      <c r="N33" s="24" t="str">
        <f aca="false">IF(M33="","",IF(M33&gt;=90,"A",IF(M33&gt;=75,"B",IF(M33&gt;=60,"C","D"))))</f>
        <v/>
      </c>
      <c r="O33" s="29" t="str">
        <f aca="false">IF(N33="A","Manter. Pode ter menos inspeção no recebimento.",IF(N33="B","Manter e acompanhar. Comunicar o resultado ao fornecedor.",IF(N33="C","Pedir plano de ação, com prazo. Reavaliar no período seguinte.",IF(N33="D","Suspender as compras até um plano aprovado, ou desqualificar.",""))))</f>
        <v/>
      </c>
      <c r="P33" s="5"/>
      <c r="Q33" s="21" t="str">
        <f aca="false">IF(C33="","",IF(OR(F33="",H33="",J33=""),"Faltam dados",IF(OR(G33&gt;F33,I33&gt;H33),"Confira os dados: aceitos ou no prazo maiores que o total",IF(OR(F33=0,H33=0),"Confira os dados: total zero","Calculada"))))</f>
        <v/>
      </c>
    </row>
    <row r="34" customFormat="false" ht="30" hidden="false" customHeight="true" outlineLevel="0" collapsed="false">
      <c r="B34" s="16" t="n">
        <v>28</v>
      </c>
      <c r="C34" s="17"/>
      <c r="D34" s="29" t="str">
        <f aca="false">IF(C34="","",IFERROR(VLOOKUP(C34,Cadastro!$C$9:$D$38,2,FALSE()),"Não está no cadastro"))</f>
        <v/>
      </c>
      <c r="E34" s="5"/>
      <c r="F34" s="18"/>
      <c r="G34" s="18"/>
      <c r="H34" s="18"/>
      <c r="I34" s="18"/>
      <c r="J34" s="18"/>
      <c r="K34" s="30" t="str">
        <f aca="false">IF(OR(F34="",F34=0,G34&gt;F34),"",N(G34)/F34)</f>
        <v/>
      </c>
      <c r="L34" s="30" t="str">
        <f aca="false">IF(OR(H34="",H34=0,I34&gt;H34),"",N(I34)/H34)</f>
        <v/>
      </c>
      <c r="M34" s="31" t="str">
        <f aca="false">IF(OR(C34="",F34="",H34="",J34=""),"",IF(OR(G34&gt;F34,I34&gt;H34,F34=0,H34=0),"",ROUND(50*N(G34)/F34+30*N(I34)/H34+20*J34/10,1)))</f>
        <v/>
      </c>
      <c r="N34" s="24" t="str">
        <f aca="false">IF(M34="","",IF(M34&gt;=90,"A",IF(M34&gt;=75,"B",IF(M34&gt;=60,"C","D"))))</f>
        <v/>
      </c>
      <c r="O34" s="29" t="str">
        <f aca="false">IF(N34="A","Manter. Pode ter menos inspeção no recebimento.",IF(N34="B","Manter e acompanhar. Comunicar o resultado ao fornecedor.",IF(N34="C","Pedir plano de ação, com prazo. Reavaliar no período seguinte.",IF(N34="D","Suspender as compras até um plano aprovado, ou desqualificar.",""))))</f>
        <v/>
      </c>
      <c r="P34" s="5"/>
      <c r="Q34" s="21" t="str">
        <f aca="false">IF(C34="","",IF(OR(F34="",H34="",J34=""),"Faltam dados",IF(OR(G34&gt;F34,I34&gt;H34),"Confira os dados: aceitos ou no prazo maiores que o total",IF(OR(F34=0,H34=0),"Confira os dados: total zero","Calculada"))))</f>
        <v/>
      </c>
    </row>
    <row r="35" customFormat="false" ht="30" hidden="false" customHeight="true" outlineLevel="0" collapsed="false">
      <c r="B35" s="16" t="n">
        <v>29</v>
      </c>
      <c r="C35" s="17"/>
      <c r="D35" s="29" t="str">
        <f aca="false">IF(C35="","",IFERROR(VLOOKUP(C35,Cadastro!$C$9:$D$38,2,FALSE()),"Não está no cadastro"))</f>
        <v/>
      </c>
      <c r="E35" s="5"/>
      <c r="F35" s="18"/>
      <c r="G35" s="18"/>
      <c r="H35" s="18"/>
      <c r="I35" s="18"/>
      <c r="J35" s="18"/>
      <c r="K35" s="30" t="str">
        <f aca="false">IF(OR(F35="",F35=0,G35&gt;F35),"",N(G35)/F35)</f>
        <v/>
      </c>
      <c r="L35" s="30" t="str">
        <f aca="false">IF(OR(H35="",H35=0,I35&gt;H35),"",N(I35)/H35)</f>
        <v/>
      </c>
      <c r="M35" s="31" t="str">
        <f aca="false">IF(OR(C35="",F35="",H35="",J35=""),"",IF(OR(G35&gt;F35,I35&gt;H35,F35=0,H35=0),"",ROUND(50*N(G35)/F35+30*N(I35)/H35+20*J35/10,1)))</f>
        <v/>
      </c>
      <c r="N35" s="24" t="str">
        <f aca="false">IF(M35="","",IF(M35&gt;=90,"A",IF(M35&gt;=75,"B",IF(M35&gt;=60,"C","D"))))</f>
        <v/>
      </c>
      <c r="O35" s="29" t="str">
        <f aca="false">IF(N35="A","Manter. Pode ter menos inspeção no recebimento.",IF(N35="B","Manter e acompanhar. Comunicar o resultado ao fornecedor.",IF(N35="C","Pedir plano de ação, com prazo. Reavaliar no período seguinte.",IF(N35="D","Suspender as compras até um plano aprovado, ou desqualificar.",""))))</f>
        <v/>
      </c>
      <c r="P35" s="5"/>
      <c r="Q35" s="21" t="str">
        <f aca="false">IF(C35="","",IF(OR(F35="",H35="",J35=""),"Faltam dados",IF(OR(G35&gt;F35,I35&gt;H35),"Confira os dados: aceitos ou no prazo maiores que o total",IF(OR(F35=0,H35=0),"Confira os dados: total zero","Calculada"))))</f>
        <v/>
      </c>
    </row>
    <row r="36" customFormat="false" ht="30" hidden="false" customHeight="true" outlineLevel="0" collapsed="false">
      <c r="B36" s="16" t="n">
        <v>30</v>
      </c>
      <c r="C36" s="17"/>
      <c r="D36" s="29" t="str">
        <f aca="false">IF(C36="","",IFERROR(VLOOKUP(C36,Cadastro!$C$9:$D$38,2,FALSE()),"Não está no cadastro"))</f>
        <v/>
      </c>
      <c r="E36" s="5"/>
      <c r="F36" s="18"/>
      <c r="G36" s="18"/>
      <c r="H36" s="18"/>
      <c r="I36" s="18"/>
      <c r="J36" s="18"/>
      <c r="K36" s="30" t="str">
        <f aca="false">IF(OR(F36="",F36=0,G36&gt;F36),"",N(G36)/F36)</f>
        <v/>
      </c>
      <c r="L36" s="30" t="str">
        <f aca="false">IF(OR(H36="",H36=0,I36&gt;H36),"",N(I36)/H36)</f>
        <v/>
      </c>
      <c r="M36" s="31" t="str">
        <f aca="false">IF(OR(C36="",F36="",H36="",J36=""),"",IF(OR(G36&gt;F36,I36&gt;H36,F36=0,H36=0),"",ROUND(50*N(G36)/F36+30*N(I36)/H36+20*J36/10,1)))</f>
        <v/>
      </c>
      <c r="N36" s="24" t="str">
        <f aca="false">IF(M36="","",IF(M36&gt;=90,"A",IF(M36&gt;=75,"B",IF(M36&gt;=60,"C","D"))))</f>
        <v/>
      </c>
      <c r="O36" s="29" t="str">
        <f aca="false">IF(N36="A","Manter. Pode ter menos inspeção no recebimento.",IF(N36="B","Manter e acompanhar. Comunicar o resultado ao fornecedor.",IF(N36="C","Pedir plano de ação, com prazo. Reavaliar no período seguinte.",IF(N36="D","Suspender as compras até um plano aprovado, ou desqualificar.",""))))</f>
        <v/>
      </c>
      <c r="P36" s="5"/>
      <c r="Q36" s="21" t="str">
        <f aca="false">IF(C36="","",IF(OR(F36="",H36="",J36=""),"Faltam dados",IF(OR(G36&gt;F36,I36&gt;H36),"Confira os dados: aceitos ou no prazo maiores que o total",IF(OR(F36=0,H36=0),"Confira os dados: total zero","Calculada"))))</f>
        <v/>
      </c>
    </row>
    <row r="38" customFormat="false" ht="21.75" hidden="false" customHeight="true" outlineLevel="0" collapsed="false">
      <c r="B38" s="22" t="s">
        <v>95</v>
      </c>
      <c r="C38" s="22"/>
      <c r="D38" s="22"/>
      <c r="E38" s="22"/>
      <c r="F38" s="22"/>
      <c r="G38" s="22"/>
      <c r="H38" s="22"/>
      <c r="I38" s="22"/>
      <c r="K38" s="22" t="s">
        <v>151</v>
      </c>
      <c r="L38" s="22"/>
      <c r="M38" s="22"/>
      <c r="N38" s="22"/>
      <c r="O38" s="22"/>
      <c r="P38" s="22"/>
      <c r="Q38" s="22"/>
    </row>
    <row r="39" customFormat="false" ht="21.75" hidden="false" customHeight="true" outlineLevel="0" collapsed="false">
      <c r="B39" s="23" t="s">
        <v>152</v>
      </c>
      <c r="C39" s="23"/>
      <c r="D39" s="23"/>
      <c r="E39" s="24" t="n">
        <f aca="false">COUNT(M7:M36)</f>
        <v>0</v>
      </c>
      <c r="F39" s="24"/>
      <c r="G39" s="24"/>
      <c r="H39" s="24"/>
      <c r="I39" s="24"/>
    </row>
    <row r="40" customFormat="false" ht="21.75" hidden="false" customHeight="true" outlineLevel="0" collapsed="false">
      <c r="B40" s="23" t="s">
        <v>153</v>
      </c>
      <c r="C40" s="23"/>
      <c r="D40" s="23"/>
      <c r="E40" s="24" t="str">
        <f aca="false">COUNTIF(N7:N36,"A")&amp;", "&amp;COUNTIF(N7:N36,"B")&amp;", "&amp;COUNTIF(N7:N36,"C")&amp;" e "&amp;COUNTIF(N7:N36,"D")</f>
        <v>0, 0, 0 e 0</v>
      </c>
      <c r="F40" s="24"/>
      <c r="G40" s="24"/>
      <c r="H40" s="24"/>
      <c r="I40" s="24"/>
    </row>
    <row r="41" customFormat="false" ht="21.75" hidden="false" customHeight="true" outlineLevel="0" collapsed="false">
      <c r="B41" s="23" t="s">
        <v>154</v>
      </c>
      <c r="C41" s="23"/>
      <c r="D41" s="23"/>
      <c r="E41" s="31" t="str">
        <f aca="false">IF(E39=0,"",AVERAGE(M7:M36))</f>
        <v/>
      </c>
      <c r="F41" s="31"/>
      <c r="G41" s="31"/>
      <c r="H41" s="31"/>
      <c r="I41" s="31"/>
    </row>
    <row r="42" customFormat="false" ht="21.75" hidden="false" customHeight="true" outlineLevel="0" collapsed="false">
      <c r="B42" s="23" t="s">
        <v>155</v>
      </c>
      <c r="C42" s="23"/>
      <c r="D42" s="23"/>
      <c r="E42" s="24" t="n">
        <f aca="false">COUNTIFS(N7:N36,"C",P7:P36,"")+COUNTIFS(N7:N36,"D",P7:P36,"")</f>
        <v>0</v>
      </c>
      <c r="F42" s="24"/>
      <c r="G42" s="24"/>
      <c r="H42" s="24"/>
      <c r="I42" s="24"/>
    </row>
    <row r="43" customFormat="false" ht="21.75" hidden="false" customHeight="true" outlineLevel="0" collapsed="false">
      <c r="B43" s="23" t="s">
        <v>101</v>
      </c>
      <c r="C43" s="23"/>
      <c r="D43" s="23"/>
      <c r="E43" s="21" t="str">
        <f aca="false">IF(COUNTA(C7:C36)=0,"Registre as avaliações",IF(COUNTIF(D7:D36,"Não está no cadastro")&gt;0,"Há código que não está no cadastro",IF(COUNTIF(Q7:Q36,"Faltam dados")+COUNTIF(Q7:Q36,"Confira*")&gt;0,"Há avaliação com dados a conferir: veja a coluna Conferência",IF(E42&gt;0,"Há fornecedor de classe C ou D sem plano ou decisão","OK"))))</f>
        <v>Registre as avaliações</v>
      </c>
      <c r="F43" s="21"/>
      <c r="G43" s="21"/>
      <c r="H43" s="21"/>
      <c r="I43" s="21"/>
    </row>
  </sheetData>
  <mergeCells count="17">
    <mergeCell ref="B1:Q1"/>
    <mergeCell ref="B2:Q2"/>
    <mergeCell ref="B4:C4"/>
    <mergeCell ref="D4:F4"/>
    <mergeCell ref="G4:I4"/>
    <mergeCell ref="B38:I38"/>
    <mergeCell ref="K38:Q38"/>
    <mergeCell ref="B39:D39"/>
    <mergeCell ref="E39:I39"/>
    <mergeCell ref="B40:D40"/>
    <mergeCell ref="E40:I40"/>
    <mergeCell ref="B41:D41"/>
    <mergeCell ref="E41:I41"/>
    <mergeCell ref="B42:D42"/>
    <mergeCell ref="E42:I42"/>
    <mergeCell ref="B43:D43"/>
    <mergeCell ref="E43:I43"/>
  </mergeCells>
  <conditionalFormatting sqref="N7:N36">
    <cfRule type="cellIs" priority="2" operator="equal" aboveAverage="0" equalAverage="0" bottom="0" percent="0" rank="0" text="" dxfId="4">
      <formula>"A"</formula>
    </cfRule>
    <cfRule type="cellIs" priority="3" operator="equal" aboveAverage="0" equalAverage="0" bottom="0" percent="0" rank="0" text="" dxfId="5">
      <formula>"B"</formula>
    </cfRule>
    <cfRule type="cellIs" priority="4" operator="equal" aboveAverage="0" equalAverage="0" bottom="0" percent="0" rank="0" text="" dxfId="6">
      <formula>"C"</formula>
    </cfRule>
    <cfRule type="cellIs" priority="5" operator="equal" aboveAverage="0" equalAverage="0" bottom="0" percent="0" rank="0" text="" dxfId="7">
      <formula>"D"</formula>
    </cfRule>
  </conditionalFormatting>
  <conditionalFormatting sqref="Q7:Q36">
    <cfRule type="expression" priority="6" aboveAverage="0" equalAverage="0" bottom="0" percent="0" rank="0" text="" dxfId="0">
      <formula>Q7="Calculada"</formula>
    </cfRule>
    <cfRule type="expression" priority="7" aboveAverage="0" equalAverage="0" bottom="0" percent="0" rank="0" text="" dxfId="2">
      <formula>LEN(Q7)&gt;0</formula>
    </cfRule>
  </conditionalFormatting>
  <conditionalFormatting sqref="D7:D36">
    <cfRule type="expression" priority="8" aboveAverage="0" equalAverage="0" bottom="0" percent="0" rank="0" text="" dxfId="2">
      <formula>D7="Não está no cadastro"</formula>
    </cfRule>
  </conditionalFormatting>
  <conditionalFormatting sqref="E43:I43">
    <cfRule type="expression" priority="9" aboveAverage="0" equalAverage="0" bottom="0" percent="0" rank="0" text="" dxfId="0">
      <formula>OR(E43="OK")</formula>
    </cfRule>
    <cfRule type="expression" priority="10" aboveAverage="0" equalAverage="0" bottom="0" percent="0" rank="0" text="" dxfId="2">
      <formula>AND(LEN(E43)&gt;0,NOT(OR(E43="OK")))</formula>
    </cfRule>
  </conditionalFormatting>
  <dataValidations count="2">
    <dataValidation allowBlank="true" error="Digite um número de 0 a 100000." errorStyle="stop" errorTitle="Número inválido" operator="between" prompt="Quantidade no período." promptTitle="Número" showDropDown="false" showErrorMessage="true" showInputMessage="true" sqref="F7:I36" type="whole">
      <formula1>0</formula1>
      <formula2>100000</formula2>
    </dataValidation>
    <dataValidation allowBlank="true" error="Digite um número de 0 a 10." errorStyle="stop" errorTitle="Número inválido" operator="between" prompt="Nota de atendimento, de 0 a 10." promptTitle="Número" showDropDown="false" showErrorMessage="true" showInputMessage="true" sqref="J7:J36" type="decimal">
      <formula1>0</formula1>
      <formula2>10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10" min="9" style="0" width="12"/>
    <col collapsed="false" customWidth="true" hidden="false" outlineLevel="0" max="11" min="11" style="0" width="24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156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157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33" hidden="false" customHeight="true" outlineLevel="0" collapsed="false">
      <c r="B4" s="15" t="s">
        <v>84</v>
      </c>
      <c r="C4" s="15" t="s">
        <v>158</v>
      </c>
      <c r="D4" s="15" t="s">
        <v>85</v>
      </c>
      <c r="E4" s="15" t="s">
        <v>86</v>
      </c>
      <c r="F4" s="15" t="s">
        <v>88</v>
      </c>
      <c r="G4" s="15" t="s">
        <v>159</v>
      </c>
      <c r="H4" s="15" t="s">
        <v>160</v>
      </c>
      <c r="I4" s="15" t="s">
        <v>161</v>
      </c>
      <c r="J4" s="15" t="s">
        <v>94</v>
      </c>
      <c r="K4" s="15" t="s">
        <v>141</v>
      </c>
    </row>
    <row r="5" customFormat="false" ht="30" hidden="false" customHeight="true" outlineLevel="0" collapsed="false">
      <c r="B5" s="14"/>
      <c r="C5" s="14" t="s">
        <v>162</v>
      </c>
      <c r="D5" s="14" t="s">
        <v>142</v>
      </c>
      <c r="E5" s="14" t="s">
        <v>142</v>
      </c>
      <c r="F5" s="14" t="s">
        <v>79</v>
      </c>
      <c r="G5" s="14" t="s">
        <v>163</v>
      </c>
      <c r="H5" s="14" t="s">
        <v>164</v>
      </c>
      <c r="I5" s="14" t="s">
        <v>165</v>
      </c>
      <c r="J5" s="14" t="s">
        <v>79</v>
      </c>
      <c r="K5" s="14" t="s">
        <v>82</v>
      </c>
    </row>
    <row r="6" customFormat="false" ht="30" hidden="false" customHeight="true" outlineLevel="0" collapsed="false">
      <c r="B6" s="14" t="s">
        <v>166</v>
      </c>
      <c r="C6" s="32" t="n">
        <v>46302</v>
      </c>
      <c r="D6" s="33" t="s">
        <v>167</v>
      </c>
      <c r="E6" s="13" t="s">
        <v>168</v>
      </c>
      <c r="F6" s="14" t="s">
        <v>136</v>
      </c>
      <c r="G6" s="13" t="s">
        <v>169</v>
      </c>
      <c r="H6" s="13" t="s">
        <v>170</v>
      </c>
      <c r="I6" s="33" t="s">
        <v>171</v>
      </c>
      <c r="J6" s="14" t="s">
        <v>172</v>
      </c>
      <c r="K6" s="14" t="s">
        <v>173</v>
      </c>
    </row>
    <row r="7" customFormat="false" ht="30" hidden="false" customHeight="true" outlineLevel="0" collapsed="false">
      <c r="B7" s="16" t="n">
        <v>1</v>
      </c>
      <c r="C7" s="19"/>
      <c r="D7" s="34"/>
      <c r="E7" s="29" t="str">
        <f aca="false">IF(D7="","",IFERROR(VLOOKUP(D7,Cadastro!$C$9:$D$38,2,FALSE()),"Não está no cadastro"))</f>
        <v/>
      </c>
      <c r="F7" s="18"/>
      <c r="G7" s="5"/>
      <c r="H7" s="5"/>
      <c r="I7" s="34"/>
      <c r="J7" s="18"/>
      <c r="K7" s="21" t="str">
        <f aca="false">IF(G7="","",IF(C7="","Falta a data",IF(D7="","Falta o fornecedor",IF(F7="","Falta o tipo",IF(J7="","Falta a situação",IF(AND(J7&lt;&gt;"Aberta",H7=""),"Falta o tratamento","Completa"))))))</f>
        <v/>
      </c>
    </row>
    <row r="8" customFormat="false" ht="30" hidden="false" customHeight="true" outlineLevel="0" collapsed="false">
      <c r="B8" s="16" t="n">
        <v>2</v>
      </c>
      <c r="C8" s="19"/>
      <c r="D8" s="34"/>
      <c r="E8" s="29" t="str">
        <f aca="false">IF(D8="","",IFERROR(VLOOKUP(D8,Cadastro!$C$9:$D$38,2,FALSE()),"Não está no cadastro"))</f>
        <v/>
      </c>
      <c r="F8" s="18"/>
      <c r="G8" s="5"/>
      <c r="H8" s="5"/>
      <c r="I8" s="34"/>
      <c r="J8" s="18"/>
      <c r="K8" s="21" t="str">
        <f aca="false">IF(G8="","",IF(C8="","Falta a data",IF(D8="","Falta o fornecedor",IF(F8="","Falta o tipo",IF(J8="","Falta a situação",IF(AND(J8&lt;&gt;"Aberta",H8=""),"Falta o tratamento","Completa"))))))</f>
        <v/>
      </c>
    </row>
    <row r="9" customFormat="false" ht="30" hidden="false" customHeight="true" outlineLevel="0" collapsed="false">
      <c r="B9" s="16" t="n">
        <v>3</v>
      </c>
      <c r="C9" s="19"/>
      <c r="D9" s="34"/>
      <c r="E9" s="29" t="str">
        <f aca="false">IF(D9="","",IFERROR(VLOOKUP(D9,Cadastro!$C$9:$D$38,2,FALSE()),"Não está no cadastro"))</f>
        <v/>
      </c>
      <c r="F9" s="18"/>
      <c r="G9" s="5"/>
      <c r="H9" s="5"/>
      <c r="I9" s="34"/>
      <c r="J9" s="18"/>
      <c r="K9" s="21" t="str">
        <f aca="false">IF(G9="","",IF(C9="","Falta a data",IF(D9="","Falta o fornecedor",IF(F9="","Falta o tipo",IF(J9="","Falta a situação",IF(AND(J9&lt;&gt;"Aberta",H9=""),"Falta o tratamento","Completa"))))))</f>
        <v/>
      </c>
    </row>
    <row r="10" customFormat="false" ht="30" hidden="false" customHeight="true" outlineLevel="0" collapsed="false">
      <c r="B10" s="16" t="n">
        <v>4</v>
      </c>
      <c r="C10" s="19"/>
      <c r="D10" s="34"/>
      <c r="E10" s="29" t="str">
        <f aca="false">IF(D10="","",IFERROR(VLOOKUP(D10,Cadastro!$C$9:$D$38,2,FALSE()),"Não está no cadastro"))</f>
        <v/>
      </c>
      <c r="F10" s="18"/>
      <c r="G10" s="5"/>
      <c r="H10" s="5"/>
      <c r="I10" s="34"/>
      <c r="J10" s="18"/>
      <c r="K10" s="21" t="str">
        <f aca="false">IF(G10="","",IF(C10="","Falta a data",IF(D10="","Falta o fornecedor",IF(F10="","Falta o tipo",IF(J10="","Falta a situação",IF(AND(J10&lt;&gt;"Aberta",H10=""),"Falta o tratamento","Completa"))))))</f>
        <v/>
      </c>
    </row>
    <row r="11" customFormat="false" ht="30" hidden="false" customHeight="true" outlineLevel="0" collapsed="false">
      <c r="B11" s="16" t="n">
        <v>5</v>
      </c>
      <c r="C11" s="19"/>
      <c r="D11" s="34"/>
      <c r="E11" s="29" t="str">
        <f aca="false">IF(D11="","",IFERROR(VLOOKUP(D11,Cadastro!$C$9:$D$38,2,FALSE()),"Não está no cadastro"))</f>
        <v/>
      </c>
      <c r="F11" s="18"/>
      <c r="G11" s="5"/>
      <c r="H11" s="5"/>
      <c r="I11" s="34"/>
      <c r="J11" s="18"/>
      <c r="K11" s="21" t="str">
        <f aca="false">IF(G11="","",IF(C11="","Falta a data",IF(D11="","Falta o fornecedor",IF(F11="","Falta o tipo",IF(J11="","Falta a situação",IF(AND(J11&lt;&gt;"Aberta",H11=""),"Falta o tratamento","Completa"))))))</f>
        <v/>
      </c>
    </row>
    <row r="12" customFormat="false" ht="30" hidden="false" customHeight="true" outlineLevel="0" collapsed="false">
      <c r="B12" s="16" t="n">
        <v>6</v>
      </c>
      <c r="C12" s="19"/>
      <c r="D12" s="34"/>
      <c r="E12" s="29" t="str">
        <f aca="false">IF(D12="","",IFERROR(VLOOKUP(D12,Cadastro!$C$9:$D$38,2,FALSE()),"Não está no cadastro"))</f>
        <v/>
      </c>
      <c r="F12" s="18"/>
      <c r="G12" s="5"/>
      <c r="H12" s="5"/>
      <c r="I12" s="34"/>
      <c r="J12" s="18"/>
      <c r="K12" s="21" t="str">
        <f aca="false">IF(G12="","",IF(C12="","Falta a data",IF(D12="","Falta o fornecedor",IF(F12="","Falta o tipo",IF(J12="","Falta a situação",IF(AND(J12&lt;&gt;"Aberta",H12=""),"Falta o tratamento","Completa"))))))</f>
        <v/>
      </c>
    </row>
    <row r="13" customFormat="false" ht="30" hidden="false" customHeight="true" outlineLevel="0" collapsed="false">
      <c r="B13" s="16" t="n">
        <v>7</v>
      </c>
      <c r="C13" s="19"/>
      <c r="D13" s="34"/>
      <c r="E13" s="29" t="str">
        <f aca="false">IF(D13="","",IFERROR(VLOOKUP(D13,Cadastro!$C$9:$D$38,2,FALSE()),"Não está no cadastro"))</f>
        <v/>
      </c>
      <c r="F13" s="18"/>
      <c r="G13" s="5"/>
      <c r="H13" s="5"/>
      <c r="I13" s="34"/>
      <c r="J13" s="18"/>
      <c r="K13" s="21" t="str">
        <f aca="false">IF(G13="","",IF(C13="","Falta a data",IF(D13="","Falta o fornecedor",IF(F13="","Falta o tipo",IF(J13="","Falta a situação",IF(AND(J13&lt;&gt;"Aberta",H13=""),"Falta o tratamento","Completa"))))))</f>
        <v/>
      </c>
    </row>
    <row r="14" customFormat="false" ht="30" hidden="false" customHeight="true" outlineLevel="0" collapsed="false">
      <c r="B14" s="16" t="n">
        <v>8</v>
      </c>
      <c r="C14" s="19"/>
      <c r="D14" s="34"/>
      <c r="E14" s="29" t="str">
        <f aca="false">IF(D14="","",IFERROR(VLOOKUP(D14,Cadastro!$C$9:$D$38,2,FALSE()),"Não está no cadastro"))</f>
        <v/>
      </c>
      <c r="F14" s="18"/>
      <c r="G14" s="5"/>
      <c r="H14" s="5"/>
      <c r="I14" s="34"/>
      <c r="J14" s="18"/>
      <c r="K14" s="21" t="str">
        <f aca="false">IF(G14="","",IF(C14="","Falta a data",IF(D14="","Falta o fornecedor",IF(F14="","Falta o tipo",IF(J14="","Falta a situação",IF(AND(J14&lt;&gt;"Aberta",H14=""),"Falta o tratamento","Completa"))))))</f>
        <v/>
      </c>
    </row>
    <row r="15" customFormat="false" ht="30" hidden="false" customHeight="true" outlineLevel="0" collapsed="false">
      <c r="B15" s="16" t="n">
        <v>9</v>
      </c>
      <c r="C15" s="19"/>
      <c r="D15" s="34"/>
      <c r="E15" s="29" t="str">
        <f aca="false">IF(D15="","",IFERROR(VLOOKUP(D15,Cadastro!$C$9:$D$38,2,FALSE()),"Não está no cadastro"))</f>
        <v/>
      </c>
      <c r="F15" s="18"/>
      <c r="G15" s="5"/>
      <c r="H15" s="5"/>
      <c r="I15" s="34"/>
      <c r="J15" s="18"/>
      <c r="K15" s="21" t="str">
        <f aca="false">IF(G15="","",IF(C15="","Falta a data",IF(D15="","Falta o fornecedor",IF(F15="","Falta o tipo",IF(J15="","Falta a situação",IF(AND(J15&lt;&gt;"Aberta",H15=""),"Falta o tratamento","Completa"))))))</f>
        <v/>
      </c>
    </row>
    <row r="16" customFormat="false" ht="30" hidden="false" customHeight="true" outlineLevel="0" collapsed="false">
      <c r="B16" s="16" t="n">
        <v>10</v>
      </c>
      <c r="C16" s="19"/>
      <c r="D16" s="34"/>
      <c r="E16" s="29" t="str">
        <f aca="false">IF(D16="","",IFERROR(VLOOKUP(D16,Cadastro!$C$9:$D$38,2,FALSE()),"Não está no cadastro"))</f>
        <v/>
      </c>
      <c r="F16" s="18"/>
      <c r="G16" s="5"/>
      <c r="H16" s="5"/>
      <c r="I16" s="34"/>
      <c r="J16" s="18"/>
      <c r="K16" s="21" t="str">
        <f aca="false">IF(G16="","",IF(C16="","Falta a data",IF(D16="","Falta o fornecedor",IF(F16="","Falta o tipo",IF(J16="","Falta a situação",IF(AND(J16&lt;&gt;"Aberta",H16=""),"Falta o tratamento","Completa"))))))</f>
        <v/>
      </c>
    </row>
    <row r="17" customFormat="false" ht="30" hidden="false" customHeight="true" outlineLevel="0" collapsed="false">
      <c r="B17" s="16" t="n">
        <v>11</v>
      </c>
      <c r="C17" s="19"/>
      <c r="D17" s="34"/>
      <c r="E17" s="29" t="str">
        <f aca="false">IF(D17="","",IFERROR(VLOOKUP(D17,Cadastro!$C$9:$D$38,2,FALSE()),"Não está no cadastro"))</f>
        <v/>
      </c>
      <c r="F17" s="18"/>
      <c r="G17" s="5"/>
      <c r="H17" s="5"/>
      <c r="I17" s="34"/>
      <c r="J17" s="18"/>
      <c r="K17" s="21" t="str">
        <f aca="false">IF(G17="","",IF(C17="","Falta a data",IF(D17="","Falta o fornecedor",IF(F17="","Falta o tipo",IF(J17="","Falta a situação",IF(AND(J17&lt;&gt;"Aberta",H17=""),"Falta o tratamento","Completa"))))))</f>
        <v/>
      </c>
    </row>
    <row r="18" customFormat="false" ht="30" hidden="false" customHeight="true" outlineLevel="0" collapsed="false">
      <c r="B18" s="16" t="n">
        <v>12</v>
      </c>
      <c r="C18" s="19"/>
      <c r="D18" s="34"/>
      <c r="E18" s="29" t="str">
        <f aca="false">IF(D18="","",IFERROR(VLOOKUP(D18,Cadastro!$C$9:$D$38,2,FALSE()),"Não está no cadastro"))</f>
        <v/>
      </c>
      <c r="F18" s="18"/>
      <c r="G18" s="5"/>
      <c r="H18" s="5"/>
      <c r="I18" s="34"/>
      <c r="J18" s="18"/>
      <c r="K18" s="21" t="str">
        <f aca="false">IF(G18="","",IF(C18="","Falta a data",IF(D18="","Falta o fornecedor",IF(F18="","Falta o tipo",IF(J18="","Falta a situação",IF(AND(J18&lt;&gt;"Aberta",H18=""),"Falta o tratamento","Completa"))))))</f>
        <v/>
      </c>
    </row>
    <row r="19" customFormat="false" ht="30" hidden="false" customHeight="true" outlineLevel="0" collapsed="false">
      <c r="B19" s="16" t="n">
        <v>13</v>
      </c>
      <c r="C19" s="19"/>
      <c r="D19" s="34"/>
      <c r="E19" s="29" t="str">
        <f aca="false">IF(D19="","",IFERROR(VLOOKUP(D19,Cadastro!$C$9:$D$38,2,FALSE()),"Não está no cadastro"))</f>
        <v/>
      </c>
      <c r="F19" s="18"/>
      <c r="G19" s="5"/>
      <c r="H19" s="5"/>
      <c r="I19" s="34"/>
      <c r="J19" s="18"/>
      <c r="K19" s="21" t="str">
        <f aca="false">IF(G19="","",IF(C19="","Falta a data",IF(D19="","Falta o fornecedor",IF(F19="","Falta o tipo",IF(J19="","Falta a situação",IF(AND(J19&lt;&gt;"Aberta",H19=""),"Falta o tratamento","Completa"))))))</f>
        <v/>
      </c>
    </row>
    <row r="20" customFormat="false" ht="30" hidden="false" customHeight="true" outlineLevel="0" collapsed="false">
      <c r="B20" s="16" t="n">
        <v>14</v>
      </c>
      <c r="C20" s="19"/>
      <c r="D20" s="34"/>
      <c r="E20" s="29" t="str">
        <f aca="false">IF(D20="","",IFERROR(VLOOKUP(D20,Cadastro!$C$9:$D$38,2,FALSE()),"Não está no cadastro"))</f>
        <v/>
      </c>
      <c r="F20" s="18"/>
      <c r="G20" s="5"/>
      <c r="H20" s="5"/>
      <c r="I20" s="34"/>
      <c r="J20" s="18"/>
      <c r="K20" s="21" t="str">
        <f aca="false">IF(G20="","",IF(C20="","Falta a data",IF(D20="","Falta o fornecedor",IF(F20="","Falta o tipo",IF(J20="","Falta a situação",IF(AND(J20&lt;&gt;"Aberta",H20=""),"Falta o tratamento","Completa"))))))</f>
        <v/>
      </c>
    </row>
    <row r="21" customFormat="false" ht="30" hidden="false" customHeight="true" outlineLevel="0" collapsed="false">
      <c r="B21" s="16" t="n">
        <v>15</v>
      </c>
      <c r="C21" s="19"/>
      <c r="D21" s="34"/>
      <c r="E21" s="29" t="str">
        <f aca="false">IF(D21="","",IFERROR(VLOOKUP(D21,Cadastro!$C$9:$D$38,2,FALSE()),"Não está no cadastro"))</f>
        <v/>
      </c>
      <c r="F21" s="18"/>
      <c r="G21" s="5"/>
      <c r="H21" s="5"/>
      <c r="I21" s="34"/>
      <c r="J21" s="18"/>
      <c r="K21" s="21" t="str">
        <f aca="false">IF(G21="","",IF(C21="","Falta a data",IF(D21="","Falta o fornecedor",IF(F21="","Falta o tipo",IF(J21="","Falta a situação",IF(AND(J21&lt;&gt;"Aberta",H21=""),"Falta o tratamento","Completa"))))))</f>
        <v/>
      </c>
    </row>
    <row r="22" customFormat="false" ht="30" hidden="false" customHeight="true" outlineLevel="0" collapsed="false">
      <c r="B22" s="16" t="n">
        <v>16</v>
      </c>
      <c r="C22" s="19"/>
      <c r="D22" s="34"/>
      <c r="E22" s="29" t="str">
        <f aca="false">IF(D22="","",IFERROR(VLOOKUP(D22,Cadastro!$C$9:$D$38,2,FALSE()),"Não está no cadastro"))</f>
        <v/>
      </c>
      <c r="F22" s="18"/>
      <c r="G22" s="5"/>
      <c r="H22" s="5"/>
      <c r="I22" s="34"/>
      <c r="J22" s="18"/>
      <c r="K22" s="21" t="str">
        <f aca="false">IF(G22="","",IF(C22="","Falta a data",IF(D22="","Falta o fornecedor",IF(F22="","Falta o tipo",IF(J22="","Falta a situação",IF(AND(J22&lt;&gt;"Aberta",H22=""),"Falta o tratamento","Completa"))))))</f>
        <v/>
      </c>
    </row>
    <row r="23" customFormat="false" ht="30" hidden="false" customHeight="true" outlineLevel="0" collapsed="false">
      <c r="B23" s="16" t="n">
        <v>17</v>
      </c>
      <c r="C23" s="19"/>
      <c r="D23" s="34"/>
      <c r="E23" s="29" t="str">
        <f aca="false">IF(D23="","",IFERROR(VLOOKUP(D23,Cadastro!$C$9:$D$38,2,FALSE()),"Não está no cadastro"))</f>
        <v/>
      </c>
      <c r="F23" s="18"/>
      <c r="G23" s="5"/>
      <c r="H23" s="5"/>
      <c r="I23" s="34"/>
      <c r="J23" s="18"/>
      <c r="K23" s="21" t="str">
        <f aca="false">IF(G23="","",IF(C23="","Falta a data",IF(D23="","Falta o fornecedor",IF(F23="","Falta o tipo",IF(J23="","Falta a situação",IF(AND(J23&lt;&gt;"Aberta",H23=""),"Falta o tratamento","Completa"))))))</f>
        <v/>
      </c>
    </row>
    <row r="24" customFormat="false" ht="30" hidden="false" customHeight="true" outlineLevel="0" collapsed="false">
      <c r="B24" s="16" t="n">
        <v>18</v>
      </c>
      <c r="C24" s="19"/>
      <c r="D24" s="34"/>
      <c r="E24" s="29" t="str">
        <f aca="false">IF(D24="","",IFERROR(VLOOKUP(D24,Cadastro!$C$9:$D$38,2,FALSE()),"Não está no cadastro"))</f>
        <v/>
      </c>
      <c r="F24" s="18"/>
      <c r="G24" s="5"/>
      <c r="H24" s="5"/>
      <c r="I24" s="34"/>
      <c r="J24" s="18"/>
      <c r="K24" s="21" t="str">
        <f aca="false">IF(G24="","",IF(C24="","Falta a data",IF(D24="","Falta o fornecedor",IF(F24="","Falta o tipo",IF(J24="","Falta a situação",IF(AND(J24&lt;&gt;"Aberta",H24=""),"Falta o tratamento","Completa"))))))</f>
        <v/>
      </c>
    </row>
    <row r="25" customFormat="false" ht="30" hidden="false" customHeight="true" outlineLevel="0" collapsed="false">
      <c r="B25" s="16" t="n">
        <v>19</v>
      </c>
      <c r="C25" s="19"/>
      <c r="D25" s="34"/>
      <c r="E25" s="29" t="str">
        <f aca="false">IF(D25="","",IFERROR(VLOOKUP(D25,Cadastro!$C$9:$D$38,2,FALSE()),"Não está no cadastro"))</f>
        <v/>
      </c>
      <c r="F25" s="18"/>
      <c r="G25" s="5"/>
      <c r="H25" s="5"/>
      <c r="I25" s="34"/>
      <c r="J25" s="18"/>
      <c r="K25" s="21" t="str">
        <f aca="false">IF(G25="","",IF(C25="","Falta a data",IF(D25="","Falta o fornecedor",IF(F25="","Falta o tipo",IF(J25="","Falta a situação",IF(AND(J25&lt;&gt;"Aberta",H25=""),"Falta o tratamento","Completa"))))))</f>
        <v/>
      </c>
    </row>
    <row r="26" customFormat="false" ht="30" hidden="false" customHeight="true" outlineLevel="0" collapsed="false">
      <c r="B26" s="16" t="n">
        <v>20</v>
      </c>
      <c r="C26" s="19"/>
      <c r="D26" s="34"/>
      <c r="E26" s="29" t="str">
        <f aca="false">IF(D26="","",IFERROR(VLOOKUP(D26,Cadastro!$C$9:$D$38,2,FALSE()),"Não está no cadastro"))</f>
        <v/>
      </c>
      <c r="F26" s="18"/>
      <c r="G26" s="5"/>
      <c r="H26" s="5"/>
      <c r="I26" s="34"/>
      <c r="J26" s="18"/>
      <c r="K26" s="21" t="str">
        <f aca="false">IF(G26="","",IF(C26="","Falta a data",IF(D26="","Falta o fornecedor",IF(F26="","Falta o tipo",IF(J26="","Falta a situação",IF(AND(J26&lt;&gt;"Aberta",H26=""),"Falta o tratamento","Completa"))))))</f>
        <v/>
      </c>
    </row>
    <row r="27" customFormat="false" ht="30" hidden="false" customHeight="true" outlineLevel="0" collapsed="false">
      <c r="B27" s="16" t="n">
        <v>21</v>
      </c>
      <c r="C27" s="19"/>
      <c r="D27" s="34"/>
      <c r="E27" s="29" t="str">
        <f aca="false">IF(D27="","",IFERROR(VLOOKUP(D27,Cadastro!$C$9:$D$38,2,FALSE()),"Não está no cadastro"))</f>
        <v/>
      </c>
      <c r="F27" s="18"/>
      <c r="G27" s="5"/>
      <c r="H27" s="5"/>
      <c r="I27" s="34"/>
      <c r="J27" s="18"/>
      <c r="K27" s="21" t="str">
        <f aca="false">IF(G27="","",IF(C27="","Falta a data",IF(D27="","Falta o fornecedor",IF(F27="","Falta o tipo",IF(J27="","Falta a situação",IF(AND(J27&lt;&gt;"Aberta",H27=""),"Falta o tratamento","Completa"))))))</f>
        <v/>
      </c>
    </row>
    <row r="28" customFormat="false" ht="30" hidden="false" customHeight="true" outlineLevel="0" collapsed="false">
      <c r="B28" s="16" t="n">
        <v>22</v>
      </c>
      <c r="C28" s="19"/>
      <c r="D28" s="34"/>
      <c r="E28" s="29" t="str">
        <f aca="false">IF(D28="","",IFERROR(VLOOKUP(D28,Cadastro!$C$9:$D$38,2,FALSE()),"Não está no cadastro"))</f>
        <v/>
      </c>
      <c r="F28" s="18"/>
      <c r="G28" s="5"/>
      <c r="H28" s="5"/>
      <c r="I28" s="34"/>
      <c r="J28" s="18"/>
      <c r="K28" s="21" t="str">
        <f aca="false">IF(G28="","",IF(C28="","Falta a data",IF(D28="","Falta o fornecedor",IF(F28="","Falta o tipo",IF(J28="","Falta a situação",IF(AND(J28&lt;&gt;"Aberta",H28=""),"Falta o tratamento","Completa"))))))</f>
        <v/>
      </c>
    </row>
    <row r="29" customFormat="false" ht="30" hidden="false" customHeight="true" outlineLevel="0" collapsed="false">
      <c r="B29" s="16" t="n">
        <v>23</v>
      </c>
      <c r="C29" s="19"/>
      <c r="D29" s="34"/>
      <c r="E29" s="29" t="str">
        <f aca="false">IF(D29="","",IFERROR(VLOOKUP(D29,Cadastro!$C$9:$D$38,2,FALSE()),"Não está no cadastro"))</f>
        <v/>
      </c>
      <c r="F29" s="18"/>
      <c r="G29" s="5"/>
      <c r="H29" s="5"/>
      <c r="I29" s="34"/>
      <c r="J29" s="18"/>
      <c r="K29" s="21" t="str">
        <f aca="false">IF(G29="","",IF(C29="","Falta a data",IF(D29="","Falta o fornecedor",IF(F29="","Falta o tipo",IF(J29="","Falta a situação",IF(AND(J29&lt;&gt;"Aberta",H29=""),"Falta o tratamento","Completa"))))))</f>
        <v/>
      </c>
    </row>
    <row r="30" customFormat="false" ht="30" hidden="false" customHeight="true" outlineLevel="0" collapsed="false">
      <c r="B30" s="16" t="n">
        <v>24</v>
      </c>
      <c r="C30" s="19"/>
      <c r="D30" s="34"/>
      <c r="E30" s="29" t="str">
        <f aca="false">IF(D30="","",IFERROR(VLOOKUP(D30,Cadastro!$C$9:$D$38,2,FALSE()),"Não está no cadastro"))</f>
        <v/>
      </c>
      <c r="F30" s="18"/>
      <c r="G30" s="5"/>
      <c r="H30" s="5"/>
      <c r="I30" s="34"/>
      <c r="J30" s="18"/>
      <c r="K30" s="21" t="str">
        <f aca="false">IF(G30="","",IF(C30="","Falta a data",IF(D30="","Falta o fornecedor",IF(F30="","Falta o tipo",IF(J30="","Falta a situação",IF(AND(J30&lt;&gt;"Aberta",H30=""),"Falta o tratamento","Completa"))))))</f>
        <v/>
      </c>
    </row>
    <row r="31" customFormat="false" ht="30" hidden="false" customHeight="true" outlineLevel="0" collapsed="false">
      <c r="B31" s="16" t="n">
        <v>25</v>
      </c>
      <c r="C31" s="19"/>
      <c r="D31" s="34"/>
      <c r="E31" s="29" t="str">
        <f aca="false">IF(D31="","",IFERROR(VLOOKUP(D31,Cadastro!$C$9:$D$38,2,FALSE()),"Não está no cadastro"))</f>
        <v/>
      </c>
      <c r="F31" s="18"/>
      <c r="G31" s="5"/>
      <c r="H31" s="5"/>
      <c r="I31" s="34"/>
      <c r="J31" s="18"/>
      <c r="K31" s="21" t="str">
        <f aca="false">IF(G31="","",IF(C31="","Falta a data",IF(D31="","Falta o fornecedor",IF(F31="","Falta o tipo",IF(J31="","Falta a situação",IF(AND(J31&lt;&gt;"Aberta",H31=""),"Falta o tratamento","Completa"))))))</f>
        <v/>
      </c>
    </row>
    <row r="33" customFormat="false" ht="21.75" hidden="false" customHeight="true" outlineLevel="0" collapsed="false">
      <c r="B33" s="22" t="s">
        <v>95</v>
      </c>
      <c r="C33" s="22"/>
      <c r="D33" s="22"/>
      <c r="E33" s="22"/>
      <c r="F33" s="22"/>
      <c r="G33" s="22"/>
      <c r="H33" s="22"/>
      <c r="I33" s="22"/>
      <c r="J33" s="22"/>
      <c r="K33" s="22"/>
    </row>
    <row r="34" customFormat="false" ht="21.75" hidden="false" customHeight="true" outlineLevel="0" collapsed="false">
      <c r="B34" s="23" t="s">
        <v>174</v>
      </c>
      <c r="C34" s="23"/>
      <c r="D34" s="23"/>
      <c r="E34" s="24" t="n">
        <f aca="false">COUNTA(G7:G31)</f>
        <v>0</v>
      </c>
      <c r="F34" s="24"/>
      <c r="G34" s="24"/>
    </row>
    <row r="35" customFormat="false" ht="21.75" hidden="false" customHeight="true" outlineLevel="0" collapsed="false">
      <c r="B35" s="23" t="s">
        <v>175</v>
      </c>
      <c r="C35" s="23"/>
      <c r="D35" s="23"/>
      <c r="E35" s="24" t="n">
        <f aca="false">COUNTIF(J7:J31,"Aberta")</f>
        <v>0</v>
      </c>
      <c r="F35" s="24"/>
      <c r="G35" s="24"/>
    </row>
    <row r="36" customFormat="false" ht="21.75" hidden="false" customHeight="true" outlineLevel="0" collapsed="false">
      <c r="B36" s="23" t="s">
        <v>176</v>
      </c>
      <c r="C36" s="23"/>
      <c r="D36" s="23"/>
      <c r="E36" s="24" t="str">
        <f aca="false">COUNTIF(F7:F31,"Qualidade")&amp;", "&amp;COUNTIF(F7:F31,"Prazo")&amp;", "&amp;COUNTIF(F7:F31,"Documentação")&amp;" e "&amp;COUNTIF(F7:F31,"Atendimento")</f>
        <v>0, 0, 0 e 0</v>
      </c>
      <c r="F36" s="24"/>
      <c r="G36" s="24"/>
    </row>
    <row r="37" customFormat="false" ht="21.75" hidden="false" customHeight="true" outlineLevel="0" collapsed="false">
      <c r="B37" s="23" t="s">
        <v>101</v>
      </c>
      <c r="C37" s="23"/>
      <c r="D37" s="23"/>
      <c r="E37" s="21" t="str">
        <f aca="false">IF(E34=0,"Registre as ocorrências",IF(COUNTIF(K7:K31,"Falta*")&gt;0,"Há ocorrência com campos em branco: veja a coluna Conferência",IF(E35&gt;0,"Há ocorrência aberta","OK")))</f>
        <v>Registre as ocorrências</v>
      </c>
      <c r="F37" s="21"/>
      <c r="G37" s="21"/>
    </row>
  </sheetData>
  <mergeCells count="11">
    <mergeCell ref="B1:K1"/>
    <mergeCell ref="B2:K2"/>
    <mergeCell ref="B33:K33"/>
    <mergeCell ref="B34:D34"/>
    <mergeCell ref="E34:G34"/>
    <mergeCell ref="B35:D35"/>
    <mergeCell ref="E35:G35"/>
    <mergeCell ref="B36:D36"/>
    <mergeCell ref="E36:G36"/>
    <mergeCell ref="B37:D37"/>
    <mergeCell ref="E37:G37"/>
  </mergeCells>
  <conditionalFormatting sqref="J7:J31">
    <cfRule type="cellIs" priority="2" operator="equal" aboveAverage="0" equalAverage="0" bottom="0" percent="0" rank="0" text="" dxfId="3">
      <formula>"Aberta"</formula>
    </cfRule>
    <cfRule type="cellIs" priority="3" operator="equal" aboveAverage="0" equalAverage="0" bottom="0" percent="0" rank="0" text="" dxfId="2">
      <formula>"Tratada"</formula>
    </cfRule>
    <cfRule type="cellIs" priority="4" operator="equal" aboveAverage="0" equalAverage="0" bottom="0" percent="0" rank="0" text="" dxfId="0">
      <formula>"Encerrada"</formula>
    </cfRule>
  </conditionalFormatting>
  <conditionalFormatting sqref="K7:K31">
    <cfRule type="expression" priority="5" aboveAverage="0" equalAverage="0" bottom="0" percent="0" rank="0" text="" dxfId="0">
      <formula>K7="Completa"</formula>
    </cfRule>
    <cfRule type="expression" priority="6" aboveAverage="0" equalAverage="0" bottom="0" percent="0" rank="0" text="" dxfId="2">
      <formula>LEN(K7)&gt;0</formula>
    </cfRule>
  </conditionalFormatting>
  <conditionalFormatting sqref="E37:G37">
    <cfRule type="expression" priority="7" aboveAverage="0" equalAverage="0" bottom="0" percent="0" rank="0" text="" dxfId="0">
      <formula>OR(E37="OK")</formula>
    </cfRule>
    <cfRule type="expression" priority="8" aboveAverage="0" equalAverage="0" bottom="0" percent="0" rank="0" text="" dxfId="2">
      <formula>AND(LEN(E37)&gt;0,NOT(OR(E37="OK")))</formula>
    </cfRule>
  </conditionalFormatting>
  <dataValidations count="3">
    <dataValidation allowBlank="true" error="Digite uma data no formato dia/mês/ano." errorStyle="stop" errorTitle="Data inválida" operator="greaterThanOrEqual" showDropDown="false" showErrorMessage="true" showInputMessage="false" sqref="C7:C31" type="date">
      <formula1>36526</formula1>
      <formula2>0</formula2>
    </dataValidation>
    <dataValidation allowBlank="true" error="Escolha uma das opções da lista." errorStyle="stop" errorTitle="Valor inválido" operator="between" prompt="Qualidade, Prazo, Documentação ou Atendimento" promptTitle="Opções" showDropDown="false" showErrorMessage="true" showInputMessage="true" sqref="F7:F31" type="list">
      <formula1>"Qualidade,Prazo,Documentação,Atendimento"</formula1>
      <formula2>0</formula2>
    </dataValidation>
    <dataValidation allowBlank="true" error="Escolha uma das opções da lista." errorStyle="stop" errorTitle="Valor inválido" operator="between" prompt="Aberta, Tratada ou Encerrada" promptTitle="Opções" showDropDown="false" showErrorMessage="true" showInputMessage="true" sqref="J7:J31" type="list">
      <formula1>"Aberta,Tratada,Encerrada"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177</v>
      </c>
      <c r="C1" s="1"/>
      <c r="D1" s="1"/>
      <c r="E1" s="1"/>
    </row>
    <row r="2" customFormat="false" ht="19.5" hidden="false" customHeight="true" outlineLevel="0" collapsed="false">
      <c r="B2" s="2" t="s">
        <v>178</v>
      </c>
      <c r="C2" s="2"/>
      <c r="D2" s="2"/>
      <c r="E2" s="2"/>
    </row>
    <row r="4" customFormat="false" ht="21.75" hidden="false" customHeight="true" outlineLevel="0" collapsed="false">
      <c r="B4" s="15" t="s">
        <v>84</v>
      </c>
      <c r="C4" s="15" t="s">
        <v>179</v>
      </c>
      <c r="D4" s="15" t="s">
        <v>180</v>
      </c>
      <c r="E4" s="15" t="s">
        <v>181</v>
      </c>
    </row>
    <row r="5" customFormat="false" ht="30" hidden="false" customHeight="true" outlineLevel="0" collapsed="false">
      <c r="B5" s="16" t="n">
        <v>1</v>
      </c>
      <c r="C5" s="6" t="s">
        <v>182</v>
      </c>
      <c r="D5" s="18"/>
      <c r="E5" s="5"/>
    </row>
    <row r="6" customFormat="false" ht="30" hidden="false" customHeight="true" outlineLevel="0" collapsed="false">
      <c r="B6" s="16" t="n">
        <v>2</v>
      </c>
      <c r="C6" s="6" t="s">
        <v>183</v>
      </c>
      <c r="D6" s="18"/>
      <c r="E6" s="5"/>
    </row>
    <row r="7" customFormat="false" ht="30" hidden="false" customHeight="true" outlineLevel="0" collapsed="false">
      <c r="B7" s="16" t="n">
        <v>3</v>
      </c>
      <c r="C7" s="6" t="s">
        <v>184</v>
      </c>
      <c r="D7" s="18"/>
      <c r="E7" s="5"/>
    </row>
    <row r="8" customFormat="false" ht="30" hidden="false" customHeight="true" outlineLevel="0" collapsed="false">
      <c r="B8" s="16" t="n">
        <v>4</v>
      </c>
      <c r="C8" s="6" t="s">
        <v>185</v>
      </c>
      <c r="D8" s="18"/>
      <c r="E8" s="5"/>
    </row>
    <row r="9" customFormat="false" ht="30" hidden="false" customHeight="true" outlineLevel="0" collapsed="false">
      <c r="B9" s="16" t="n">
        <v>5</v>
      </c>
      <c r="C9" s="6" t="s">
        <v>186</v>
      </c>
      <c r="D9" s="18"/>
      <c r="E9" s="5"/>
    </row>
    <row r="10" customFormat="false" ht="30" hidden="false" customHeight="true" outlineLevel="0" collapsed="false">
      <c r="B10" s="16" t="n">
        <v>6</v>
      </c>
      <c r="C10" s="6" t="s">
        <v>187</v>
      </c>
      <c r="D10" s="18"/>
      <c r="E10" s="5"/>
    </row>
    <row r="11" customFormat="false" ht="30" hidden="false" customHeight="true" outlineLevel="0" collapsed="false">
      <c r="B11" s="16" t="n">
        <v>7</v>
      </c>
      <c r="C11" s="6" t="s">
        <v>188</v>
      </c>
      <c r="D11" s="18"/>
      <c r="E11" s="5"/>
    </row>
    <row r="12" customFormat="false" ht="30" hidden="false" customHeight="true" outlineLevel="0" collapsed="false">
      <c r="B12" s="16" t="n">
        <v>8</v>
      </c>
      <c r="C12" s="6" t="s">
        <v>189</v>
      </c>
      <c r="D12" s="18"/>
      <c r="E12" s="5"/>
    </row>
    <row r="13" customFormat="false" ht="30" hidden="false" customHeight="true" outlineLevel="0" collapsed="false">
      <c r="B13" s="16" t="n">
        <v>9</v>
      </c>
      <c r="C13" s="6" t="s">
        <v>190</v>
      </c>
      <c r="D13" s="18"/>
      <c r="E13" s="5"/>
    </row>
    <row r="14" customFormat="false" ht="30" hidden="false" customHeight="true" outlineLevel="0" collapsed="false">
      <c r="B14" s="16" t="n">
        <v>10</v>
      </c>
      <c r="C14" s="6" t="s">
        <v>191</v>
      </c>
      <c r="D14" s="18"/>
      <c r="E14" s="5"/>
    </row>
    <row r="15" customFormat="false" ht="30" hidden="false" customHeight="true" outlineLevel="0" collapsed="false">
      <c r="B15" s="16" t="n">
        <v>11</v>
      </c>
      <c r="C15" s="6" t="s">
        <v>192</v>
      </c>
      <c r="D15" s="18"/>
      <c r="E15" s="5"/>
    </row>
    <row r="16" customFormat="false" ht="30" hidden="false" customHeight="true" outlineLevel="0" collapsed="false">
      <c r="B16" s="16" t="n">
        <v>12</v>
      </c>
      <c r="C16" s="6" t="s">
        <v>193</v>
      </c>
      <c r="D16" s="18"/>
      <c r="E16" s="5"/>
    </row>
    <row r="18" customFormat="false" ht="21.75" hidden="false" customHeight="true" outlineLevel="0" collapsed="false">
      <c r="B18" s="22" t="s">
        <v>95</v>
      </c>
      <c r="C18" s="22"/>
      <c r="D18" s="22"/>
      <c r="E18" s="22"/>
    </row>
    <row r="19" customFormat="false" ht="19.5" hidden="false" customHeight="true" outlineLevel="0" collapsed="false">
      <c r="B19" s="23" t="s">
        <v>194</v>
      </c>
      <c r="C19" s="23"/>
      <c r="D19" s="24" t="n">
        <f aca="false">COUNTIF(D5:D16,"Sim")</f>
        <v>0</v>
      </c>
    </row>
    <row r="20" customFormat="false" ht="19.5" hidden="false" customHeight="true" outlineLevel="0" collapsed="false">
      <c r="B20" s="23" t="s">
        <v>195</v>
      </c>
      <c r="C20" s="23"/>
      <c r="D20" s="24" t="n">
        <f aca="false">COUNTIF(D5:D16,"Parcial")</f>
        <v>0</v>
      </c>
    </row>
    <row r="21" customFormat="false" ht="19.5" hidden="false" customHeight="true" outlineLevel="0" collapsed="false">
      <c r="B21" s="23" t="s">
        <v>196</v>
      </c>
      <c r="C21" s="23"/>
      <c r="D21" s="24" t="n">
        <f aca="false">COUNTIF(D5:D16,"Não")</f>
        <v>0</v>
      </c>
    </row>
    <row r="22" customFormat="false" ht="19.5" hidden="false" customHeight="true" outlineLevel="0" collapsed="false">
      <c r="B22" s="23" t="s">
        <v>197</v>
      </c>
      <c r="C22" s="23"/>
      <c r="D22" s="24" t="n">
        <f aca="false">COUNTBLANK(D5:D16)</f>
        <v>12</v>
      </c>
    </row>
    <row r="23" customFormat="false" ht="19.5" hidden="false" customHeight="true" outlineLevel="0" collapsed="false">
      <c r="B23" s="23" t="s">
        <v>198</v>
      </c>
      <c r="C23" s="23"/>
      <c r="D23" s="35" t="n">
        <f aca="false">D19/ROWS(D5:D16)</f>
        <v>0</v>
      </c>
    </row>
    <row r="24" customFormat="false" ht="19.5" hidden="false" customHeight="true" outlineLevel="0" collapsed="false">
      <c r="B24" s="23" t="s">
        <v>94</v>
      </c>
      <c r="C24" s="23"/>
      <c r="D24" s="24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"Parcial"</formula>
    </cfRule>
    <cfRule type="cellIs" priority="4" operator="equal" aboveAverage="0" equalAverage="0" bottom="0" percent="0" rank="0" text="" dxfId="3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36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199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200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4" t="s">
        <v>72</v>
      </c>
      <c r="C4" s="4"/>
      <c r="D4" s="36" t="s">
        <v>201</v>
      </c>
      <c r="E4" s="36"/>
      <c r="F4" s="36"/>
      <c r="G4" s="36"/>
      <c r="H4" s="36"/>
      <c r="I4" s="36"/>
      <c r="J4" s="36"/>
      <c r="K4" s="36"/>
      <c r="L4" s="36"/>
      <c r="M4" s="36"/>
    </row>
    <row r="5" customFormat="false" ht="19.5" hidden="false" customHeight="true" outlineLevel="0" collapsed="false">
      <c r="B5" s="4" t="s">
        <v>66</v>
      </c>
      <c r="C5" s="4"/>
      <c r="D5" s="37" t="n">
        <v>46367</v>
      </c>
      <c r="E5" s="37"/>
      <c r="F5" s="37"/>
      <c r="G5" s="37"/>
      <c r="H5" s="37"/>
      <c r="I5" s="37"/>
      <c r="J5" s="37"/>
      <c r="K5" s="37"/>
      <c r="L5" s="37"/>
      <c r="M5" s="37"/>
    </row>
    <row r="6" customFormat="false" ht="19.5" hidden="false" customHeight="true" outlineLevel="0" collapsed="false">
      <c r="B6" s="4" t="s">
        <v>128</v>
      </c>
      <c r="C6" s="4"/>
      <c r="D6" s="36" t="s">
        <v>202</v>
      </c>
      <c r="E6" s="36"/>
      <c r="F6" s="36"/>
      <c r="G6" s="36"/>
      <c r="H6" s="36"/>
      <c r="I6" s="36"/>
      <c r="J6" s="36"/>
      <c r="K6" s="36"/>
      <c r="L6" s="36"/>
      <c r="M6" s="36"/>
    </row>
    <row r="7" customFormat="false" ht="19.5" hidden="false" customHeight="true" outlineLevel="0" collapsed="false">
      <c r="B7" s="4" t="s">
        <v>106</v>
      </c>
      <c r="C7" s="4"/>
      <c r="D7" s="36" t="s">
        <v>203</v>
      </c>
      <c r="E7" s="36"/>
      <c r="F7" s="36"/>
      <c r="G7" s="36"/>
      <c r="H7" s="36"/>
      <c r="I7" s="36"/>
      <c r="J7" s="36"/>
      <c r="K7" s="36"/>
      <c r="L7" s="36"/>
      <c r="M7" s="36"/>
    </row>
    <row r="8" customFormat="false" ht="19.5" hidden="false" customHeight="true" outlineLevel="0" collapsed="false">
      <c r="B8" s="4" t="s">
        <v>204</v>
      </c>
      <c r="C8" s="4"/>
      <c r="D8" s="36" t="s">
        <v>205</v>
      </c>
      <c r="E8" s="36"/>
      <c r="F8" s="36"/>
      <c r="G8" s="36"/>
      <c r="H8" s="36"/>
      <c r="I8" s="36"/>
      <c r="J8" s="36"/>
      <c r="K8" s="36"/>
      <c r="L8" s="36"/>
      <c r="M8" s="36"/>
    </row>
    <row r="10" customFormat="false" ht="21.75" hidden="false" customHeight="true" outlineLevel="0" collapsed="false">
      <c r="B10" s="38" t="s">
        <v>206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customFormat="false" ht="24" hidden="false" customHeight="true" outlineLevel="0" collapsed="false">
      <c r="B11" s="24" t="s">
        <v>85</v>
      </c>
      <c r="C11" s="24" t="s">
        <v>86</v>
      </c>
      <c r="D11" s="24" t="s">
        <v>87</v>
      </c>
      <c r="E11" s="24" t="s">
        <v>88</v>
      </c>
      <c r="F11" s="24" t="s">
        <v>89</v>
      </c>
      <c r="G11" s="24" t="s">
        <v>90</v>
      </c>
      <c r="H11" s="24" t="s">
        <v>92</v>
      </c>
      <c r="I11" s="24" t="s">
        <v>207</v>
      </c>
      <c r="J11" s="39" t="s">
        <v>94</v>
      </c>
      <c r="K11" s="39"/>
      <c r="L11" s="39"/>
      <c r="M11" s="39"/>
    </row>
    <row r="12" customFormat="false" ht="19.5" hidden="false" customHeight="true" outlineLevel="0" collapsed="false">
      <c r="B12" s="40" t="s">
        <v>208</v>
      </c>
      <c r="C12" s="41" t="s">
        <v>209</v>
      </c>
      <c r="D12" s="7" t="s">
        <v>210</v>
      </c>
      <c r="E12" s="42" t="s">
        <v>211</v>
      </c>
      <c r="F12" s="42" t="s">
        <v>212</v>
      </c>
      <c r="G12" s="43" t="n">
        <v>45726</v>
      </c>
      <c r="H12" s="20" t="n">
        <f aca="false">IF(G12="","",EDATE(G12,24))</f>
        <v>46456</v>
      </c>
      <c r="I12" s="42" t="s">
        <v>213</v>
      </c>
      <c r="J12" s="21" t="str">
        <f aca="false">IF(F12="Não crítico","Não crítico: sem homologação",IF(G12="","Falta a homologação",IF(I12="Não","Documentos pendentes",IF(H12&lt;$D$5,"Homologação vencida","Homologado"))))</f>
        <v>Homologado</v>
      </c>
      <c r="K12" s="21"/>
      <c r="L12" s="21"/>
      <c r="M12" s="21"/>
    </row>
    <row r="13" customFormat="false" ht="19.5" hidden="false" customHeight="true" outlineLevel="0" collapsed="false">
      <c r="B13" s="40" t="s">
        <v>214</v>
      </c>
      <c r="C13" s="41" t="s">
        <v>215</v>
      </c>
      <c r="D13" s="7" t="s">
        <v>216</v>
      </c>
      <c r="E13" s="42" t="s">
        <v>211</v>
      </c>
      <c r="F13" s="42" t="s">
        <v>212</v>
      </c>
      <c r="G13" s="43" t="n">
        <v>45810</v>
      </c>
      <c r="H13" s="20" t="n">
        <f aca="false">IF(G13="","",EDATE(G13,24))</f>
        <v>46540</v>
      </c>
      <c r="I13" s="42" t="s">
        <v>213</v>
      </c>
      <c r="J13" s="21" t="str">
        <f aca="false">IF(F13="Não crítico","Não crítico: sem homologação",IF(G13="","Falta a homologação",IF(I13="Não","Documentos pendentes",IF(H13&lt;$D$5,"Homologação vencida","Homologado"))))</f>
        <v>Homologado</v>
      </c>
      <c r="K13" s="21"/>
      <c r="L13" s="21"/>
      <c r="M13" s="21"/>
    </row>
    <row r="14" customFormat="false" ht="19.5" hidden="false" customHeight="true" outlineLevel="0" collapsed="false">
      <c r="B14" s="40" t="s">
        <v>217</v>
      </c>
      <c r="C14" s="41" t="s">
        <v>218</v>
      </c>
      <c r="D14" s="7" t="s">
        <v>219</v>
      </c>
      <c r="E14" s="42" t="s">
        <v>211</v>
      </c>
      <c r="F14" s="42" t="s">
        <v>212</v>
      </c>
      <c r="G14" s="43" t="n">
        <v>45614</v>
      </c>
      <c r="H14" s="20" t="n">
        <f aca="false">IF(G14="","",EDATE(G14,24))</f>
        <v>46344</v>
      </c>
      <c r="I14" s="42" t="s">
        <v>213</v>
      </c>
      <c r="J14" s="21" t="str">
        <f aca="false">IF(F14="Não crítico","Não crítico: sem homologação",IF(G14="","Falta a homologação",IF(I14="Não","Documentos pendentes",IF(H14&lt;$D$5,"Homologação vencida","Homologado"))))</f>
        <v>Homologação vencida</v>
      </c>
      <c r="K14" s="21"/>
      <c r="L14" s="21"/>
      <c r="M14" s="21"/>
    </row>
    <row r="15" customFormat="false" ht="19.5" hidden="false" customHeight="true" outlineLevel="0" collapsed="false">
      <c r="B15" s="40" t="s">
        <v>220</v>
      </c>
      <c r="C15" s="41" t="s">
        <v>221</v>
      </c>
      <c r="D15" s="7" t="s">
        <v>222</v>
      </c>
      <c r="E15" s="42" t="s">
        <v>211</v>
      </c>
      <c r="F15" s="42" t="s">
        <v>212</v>
      </c>
      <c r="G15" s="43" t="n">
        <v>45712</v>
      </c>
      <c r="H15" s="20" t="n">
        <f aca="false">IF(G15="","",EDATE(G15,24))</f>
        <v>46442</v>
      </c>
      <c r="I15" s="42" t="s">
        <v>213</v>
      </c>
      <c r="J15" s="21" t="str">
        <f aca="false">IF(F15="Não crítico","Não crítico: sem homologação",IF(G15="","Falta a homologação",IF(I15="Não","Documentos pendentes",IF(H15&lt;$D$5,"Homologação vencida","Homologado"))))</f>
        <v>Homologado</v>
      </c>
      <c r="K15" s="21"/>
      <c r="L15" s="21"/>
      <c r="M15" s="21"/>
    </row>
    <row r="16" customFormat="false" ht="19.5" hidden="false" customHeight="true" outlineLevel="0" collapsed="false">
      <c r="B16" s="40" t="s">
        <v>223</v>
      </c>
      <c r="C16" s="41" t="s">
        <v>224</v>
      </c>
      <c r="D16" s="7" t="s">
        <v>225</v>
      </c>
      <c r="E16" s="42" t="s">
        <v>211</v>
      </c>
      <c r="F16" s="42" t="s">
        <v>212</v>
      </c>
      <c r="G16" s="43" t="n">
        <v>45880</v>
      </c>
      <c r="H16" s="20" t="n">
        <f aca="false">IF(G16="","",EDATE(G16,24))</f>
        <v>46610</v>
      </c>
      <c r="I16" s="42" t="s">
        <v>213</v>
      </c>
      <c r="J16" s="21" t="str">
        <f aca="false">IF(F16="Não crítico","Não crítico: sem homologação",IF(G16="","Falta a homologação",IF(I16="Não","Documentos pendentes",IF(H16&lt;$D$5,"Homologação vencida","Homologado"))))</f>
        <v>Homologado</v>
      </c>
      <c r="K16" s="21"/>
      <c r="L16" s="21"/>
      <c r="M16" s="21"/>
    </row>
    <row r="17" customFormat="false" ht="19.5" hidden="false" customHeight="true" outlineLevel="0" collapsed="false">
      <c r="B17" s="40" t="s">
        <v>226</v>
      </c>
      <c r="C17" s="41" t="s">
        <v>227</v>
      </c>
      <c r="D17" s="7" t="s">
        <v>228</v>
      </c>
      <c r="E17" s="42" t="s">
        <v>211</v>
      </c>
      <c r="F17" s="42" t="s">
        <v>212</v>
      </c>
      <c r="G17" s="43" t="n">
        <v>46042</v>
      </c>
      <c r="H17" s="20" t="n">
        <f aca="false">IF(G17="","",EDATE(G17,24))</f>
        <v>46772</v>
      </c>
      <c r="I17" s="42" t="s">
        <v>213</v>
      </c>
      <c r="J17" s="21" t="str">
        <f aca="false">IF(F17="Não crítico","Não crítico: sem homologação",IF(G17="","Falta a homologação",IF(I17="Não","Documentos pendentes",IF(H17&lt;$D$5,"Homologação vencida","Homologado"))))</f>
        <v>Homologado</v>
      </c>
      <c r="K17" s="21"/>
      <c r="L17" s="21"/>
      <c r="M17" s="21"/>
    </row>
    <row r="18" customFormat="false" ht="19.5" hidden="false" customHeight="true" outlineLevel="0" collapsed="false">
      <c r="B18" s="40" t="s">
        <v>229</v>
      </c>
      <c r="C18" s="41" t="s">
        <v>230</v>
      </c>
      <c r="D18" s="7" t="s">
        <v>231</v>
      </c>
      <c r="E18" s="42" t="s">
        <v>211</v>
      </c>
      <c r="F18" s="42" t="s">
        <v>212</v>
      </c>
      <c r="G18" s="43" t="n">
        <v>45565</v>
      </c>
      <c r="H18" s="20" t="n">
        <f aca="false">IF(G18="","",EDATE(G18,24))</f>
        <v>46295</v>
      </c>
      <c r="I18" s="42" t="s">
        <v>213</v>
      </c>
      <c r="J18" s="21" t="str">
        <f aca="false">IF(F18="Não crítico","Não crítico: sem homologação",IF(G18="","Falta a homologação",IF(I18="Não","Documentos pendentes",IF(H18&lt;$D$5,"Homologação vencida","Homologado"))))</f>
        <v>Homologação vencida</v>
      </c>
      <c r="K18" s="21"/>
      <c r="L18" s="21"/>
      <c r="M18" s="21"/>
    </row>
    <row r="19" customFormat="false" ht="19.5" hidden="false" customHeight="true" outlineLevel="0" collapsed="false">
      <c r="B19" s="40" t="s">
        <v>167</v>
      </c>
      <c r="C19" s="41" t="s">
        <v>168</v>
      </c>
      <c r="D19" s="7" t="s">
        <v>232</v>
      </c>
      <c r="E19" s="42" t="s">
        <v>211</v>
      </c>
      <c r="F19" s="42" t="s">
        <v>212</v>
      </c>
      <c r="G19" s="43" t="n">
        <v>45579</v>
      </c>
      <c r="H19" s="20" t="n">
        <f aca="false">IF(G19="","",EDATE(G19,24))</f>
        <v>46309</v>
      </c>
      <c r="I19" s="42" t="s">
        <v>233</v>
      </c>
      <c r="J19" s="21" t="str">
        <f aca="false">IF(F19="Não crítico","Não crítico: sem homologação",IF(G19="","Falta a homologação",IF(I19="Não","Documentos pendentes",IF(H19&lt;$D$5,"Homologação vencida","Homologado"))))</f>
        <v>Documentos pendentes</v>
      </c>
      <c r="K19" s="21"/>
      <c r="L19" s="21"/>
      <c r="M19" s="21"/>
    </row>
    <row r="20" customFormat="false" ht="30.75" hidden="false" customHeight="true" outlineLevel="0" collapsed="false">
      <c r="B20" s="40" t="s">
        <v>234</v>
      </c>
      <c r="C20" s="41" t="s">
        <v>235</v>
      </c>
      <c r="D20" s="7" t="s">
        <v>236</v>
      </c>
      <c r="E20" s="42" t="s">
        <v>237</v>
      </c>
      <c r="F20" s="42" t="s">
        <v>212</v>
      </c>
      <c r="G20" s="43" t="n">
        <v>45782</v>
      </c>
      <c r="H20" s="20" t="n">
        <f aca="false">IF(G20="","",EDATE(G20,24))</f>
        <v>46512</v>
      </c>
      <c r="I20" s="42" t="s">
        <v>213</v>
      </c>
      <c r="J20" s="21" t="str">
        <f aca="false">IF(F20="Não crítico","Não crítico: sem homologação",IF(G20="","Falta a homologação",IF(I20="Não","Documentos pendentes",IF(H20&lt;$D$5,"Homologação vencida","Homologado"))))</f>
        <v>Homologado</v>
      </c>
      <c r="K20" s="21"/>
      <c r="L20" s="21"/>
      <c r="M20" s="21"/>
    </row>
    <row r="21" customFormat="false" ht="19.5" hidden="false" customHeight="true" outlineLevel="0" collapsed="false">
      <c r="B21" s="40" t="s">
        <v>238</v>
      </c>
      <c r="C21" s="41" t="s">
        <v>239</v>
      </c>
      <c r="D21" s="7" t="s">
        <v>240</v>
      </c>
      <c r="E21" s="42" t="s">
        <v>237</v>
      </c>
      <c r="F21" s="42" t="s">
        <v>212</v>
      </c>
      <c r="G21" s="43" t="n">
        <v>45769</v>
      </c>
      <c r="H21" s="20" t="n">
        <f aca="false">IF(G21="","",EDATE(G21,24))</f>
        <v>46499</v>
      </c>
      <c r="I21" s="42" t="s">
        <v>213</v>
      </c>
      <c r="J21" s="21" t="str">
        <f aca="false">IF(F21="Não crítico","Não crítico: sem homologação",IF(G21="","Falta a homologação",IF(I21="Não","Documentos pendentes",IF(H21&lt;$D$5,"Homologação vencida","Homologado"))))</f>
        <v>Homologado</v>
      </c>
      <c r="K21" s="21"/>
      <c r="L21" s="21"/>
      <c r="M21" s="21"/>
    </row>
    <row r="22" customFormat="false" ht="30.75" hidden="false" customHeight="true" outlineLevel="0" collapsed="false">
      <c r="B22" s="40" t="s">
        <v>241</v>
      </c>
      <c r="C22" s="41" t="s">
        <v>242</v>
      </c>
      <c r="D22" s="7" t="s">
        <v>243</v>
      </c>
      <c r="E22" s="42" t="s">
        <v>237</v>
      </c>
      <c r="F22" s="42" t="s">
        <v>212</v>
      </c>
      <c r="G22" s="43" t="n">
        <v>45846</v>
      </c>
      <c r="H22" s="20" t="n">
        <f aca="false">IF(G22="","",EDATE(G22,24))</f>
        <v>46576</v>
      </c>
      <c r="I22" s="42" t="s">
        <v>213</v>
      </c>
      <c r="J22" s="21" t="str">
        <f aca="false">IF(F22="Não crítico","Não crítico: sem homologação",IF(G22="","Falta a homologação",IF(I22="Não","Documentos pendentes",IF(H22&lt;$D$5,"Homologação vencida","Homologado"))))</f>
        <v>Homologado</v>
      </c>
      <c r="K22" s="21"/>
      <c r="L22" s="21"/>
      <c r="M22" s="21"/>
    </row>
    <row r="23" customFormat="false" ht="19.5" hidden="false" customHeight="true" outlineLevel="0" collapsed="false">
      <c r="B23" s="40" t="s">
        <v>244</v>
      </c>
      <c r="C23" s="41" t="s">
        <v>245</v>
      </c>
      <c r="D23" s="7" t="s">
        <v>246</v>
      </c>
      <c r="E23" s="42" t="s">
        <v>247</v>
      </c>
      <c r="F23" s="42" t="s">
        <v>212</v>
      </c>
      <c r="G23" s="43" t="n">
        <v>45670</v>
      </c>
      <c r="H23" s="20" t="n">
        <f aca="false">IF(G23="","",EDATE(G23,24))</f>
        <v>46400</v>
      </c>
      <c r="I23" s="42" t="s">
        <v>213</v>
      </c>
      <c r="J23" s="21" t="str">
        <f aca="false">IF(F23="Não crítico","Não crítico: sem homologação",IF(G23="","Falta a homologação",IF(I23="Não","Documentos pendentes",IF(H23&lt;$D$5,"Homologação vencida","Homologado"))))</f>
        <v>Homologado</v>
      </c>
      <c r="K23" s="21"/>
      <c r="L23" s="21"/>
      <c r="M23" s="21"/>
    </row>
    <row r="25" customFormat="false" ht="21.75" hidden="false" customHeight="true" outlineLevel="0" collapsed="false">
      <c r="B25" s="44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</row>
    <row r="26" customFormat="false" ht="30" hidden="false" customHeight="true" outlineLevel="0" collapsed="false">
      <c r="B26" s="24" t="s">
        <v>85</v>
      </c>
      <c r="C26" s="24" t="s">
        <v>86</v>
      </c>
      <c r="D26" s="24" t="s">
        <v>249</v>
      </c>
      <c r="E26" s="24" t="s">
        <v>250</v>
      </c>
      <c r="F26" s="24" t="s">
        <v>251</v>
      </c>
      <c r="G26" s="24" t="s">
        <v>136</v>
      </c>
      <c r="H26" s="24" t="s">
        <v>137</v>
      </c>
      <c r="I26" s="24" t="s">
        <v>59</v>
      </c>
      <c r="J26" s="24" t="s">
        <v>138</v>
      </c>
      <c r="K26" s="24" t="s">
        <v>252</v>
      </c>
      <c r="L26" s="24"/>
      <c r="M26" s="24"/>
    </row>
    <row r="27" customFormat="false" ht="42.75" hidden="false" customHeight="true" outlineLevel="0" collapsed="false">
      <c r="B27" s="40" t="s">
        <v>208</v>
      </c>
      <c r="C27" s="41" t="s">
        <v>209</v>
      </c>
      <c r="D27" s="42" t="s">
        <v>253</v>
      </c>
      <c r="E27" s="42" t="s">
        <v>254</v>
      </c>
      <c r="F27" s="42" t="n">
        <v>8</v>
      </c>
      <c r="G27" s="30" t="n">
        <f aca="false">26/26</f>
        <v>1</v>
      </c>
      <c r="H27" s="30" t="n">
        <f aca="false">24/26</f>
        <v>0.923076923076923</v>
      </c>
      <c r="I27" s="31" t="n">
        <f aca="false">ROUND(50*G27+30*H27+20*F27/10,1)</f>
        <v>93.7</v>
      </c>
      <c r="J27" s="24" t="str">
        <f aca="false">IF(I27="","",IF(I27&gt;=90,"A",IF(I27&gt;=75,"B",IF(I27&gt;=60,"C","D"))))</f>
        <v>A</v>
      </c>
      <c r="K27" s="7" t="s">
        <v>255</v>
      </c>
      <c r="L27" s="7"/>
      <c r="M27" s="7"/>
    </row>
    <row r="28" customFormat="false" ht="30.75" hidden="false" customHeight="true" outlineLevel="0" collapsed="false">
      <c r="B28" s="40" t="s">
        <v>214</v>
      </c>
      <c r="C28" s="41" t="s">
        <v>215</v>
      </c>
      <c r="D28" s="42" t="s">
        <v>256</v>
      </c>
      <c r="E28" s="42" t="s">
        <v>256</v>
      </c>
      <c r="F28" s="42" t="n">
        <v>9</v>
      </c>
      <c r="G28" s="30" t="n">
        <f aca="false">14/14</f>
        <v>1</v>
      </c>
      <c r="H28" s="30" t="n">
        <f aca="false">14/14</f>
        <v>1</v>
      </c>
      <c r="I28" s="31" t="n">
        <f aca="false">ROUND(50*G28+30*H28+20*F28/10,1)</f>
        <v>98</v>
      </c>
      <c r="J28" s="24" t="str">
        <f aca="false">IF(I28="","",IF(I28&gt;=90,"A",IF(I28&gt;=75,"B",IF(I28&gt;=60,"C","D"))))</f>
        <v>A</v>
      </c>
      <c r="K28" s="7" t="s">
        <v>257</v>
      </c>
      <c r="L28" s="7"/>
      <c r="M28" s="7"/>
    </row>
    <row r="29" customFormat="false" ht="42.75" hidden="false" customHeight="true" outlineLevel="0" collapsed="false">
      <c r="B29" s="40" t="s">
        <v>217</v>
      </c>
      <c r="C29" s="41" t="s">
        <v>218</v>
      </c>
      <c r="D29" s="42" t="s">
        <v>258</v>
      </c>
      <c r="E29" s="42" t="s">
        <v>259</v>
      </c>
      <c r="F29" s="42" t="n">
        <v>6</v>
      </c>
      <c r="G29" s="30" t="n">
        <f aca="false">13/18</f>
        <v>0.722222222222222</v>
      </c>
      <c r="H29" s="30" t="n">
        <f aca="false">15/18</f>
        <v>0.833333333333333</v>
      </c>
      <c r="I29" s="31" t="n">
        <f aca="false">ROUND(50*G29+30*H29+20*F29/10,1)</f>
        <v>73.1</v>
      </c>
      <c r="J29" s="24" t="str">
        <f aca="false">IF(I29="","",IF(I29&gt;=90,"A",IF(I29&gt;=75,"B",IF(I29&gt;=60,"C","D"))))</f>
        <v>C</v>
      </c>
      <c r="K29" s="7" t="s">
        <v>260</v>
      </c>
      <c r="L29" s="7"/>
      <c r="M29" s="7"/>
    </row>
    <row r="30" customFormat="false" ht="30.75" hidden="false" customHeight="true" outlineLevel="0" collapsed="false">
      <c r="B30" s="40" t="s">
        <v>220</v>
      </c>
      <c r="C30" s="41" t="s">
        <v>221</v>
      </c>
      <c r="D30" s="42" t="s">
        <v>261</v>
      </c>
      <c r="E30" s="42" t="s">
        <v>261</v>
      </c>
      <c r="F30" s="42" t="n">
        <v>9</v>
      </c>
      <c r="G30" s="30" t="n">
        <f aca="false">9/9</f>
        <v>1</v>
      </c>
      <c r="H30" s="30" t="n">
        <f aca="false">9/9</f>
        <v>1</v>
      </c>
      <c r="I30" s="31" t="n">
        <f aca="false">ROUND(50*G30+30*H30+20*F30/10,1)</f>
        <v>98</v>
      </c>
      <c r="J30" s="24" t="str">
        <f aca="false">IF(I30="","",IF(I30&gt;=90,"A",IF(I30&gt;=75,"B",IF(I30&gt;=60,"C","D"))))</f>
        <v>A</v>
      </c>
      <c r="K30" s="7" t="s">
        <v>257</v>
      </c>
      <c r="L30" s="7"/>
      <c r="M30" s="7"/>
    </row>
    <row r="31" customFormat="false" ht="30.75" hidden="false" customHeight="true" outlineLevel="0" collapsed="false">
      <c r="B31" s="40" t="s">
        <v>223</v>
      </c>
      <c r="C31" s="41" t="s">
        <v>224</v>
      </c>
      <c r="D31" s="42" t="s">
        <v>262</v>
      </c>
      <c r="E31" s="42" t="s">
        <v>263</v>
      </c>
      <c r="F31" s="42" t="n">
        <v>8</v>
      </c>
      <c r="G31" s="30" t="n">
        <f aca="false">21/22</f>
        <v>0.954545454545455</v>
      </c>
      <c r="H31" s="30" t="n">
        <f aca="false">20/22</f>
        <v>0.909090909090909</v>
      </c>
      <c r="I31" s="31" t="n">
        <f aca="false">ROUND(50*G31+30*H31+20*F31/10,1)</f>
        <v>91</v>
      </c>
      <c r="J31" s="24" t="str">
        <f aca="false">IF(I31="","",IF(I31&gt;=90,"A",IF(I31&gt;=75,"B",IF(I31&gt;=60,"C","D"))))</f>
        <v>A</v>
      </c>
      <c r="K31" s="7" t="s">
        <v>257</v>
      </c>
      <c r="L31" s="7"/>
      <c r="M31" s="7"/>
    </row>
    <row r="32" customFormat="false" ht="30.75" hidden="false" customHeight="true" outlineLevel="0" collapsed="false">
      <c r="B32" s="40" t="s">
        <v>226</v>
      </c>
      <c r="C32" s="41" t="s">
        <v>227</v>
      </c>
      <c r="D32" s="42" t="s">
        <v>264</v>
      </c>
      <c r="E32" s="42" t="s">
        <v>264</v>
      </c>
      <c r="F32" s="42" t="n">
        <v>8</v>
      </c>
      <c r="G32" s="30" t="n">
        <f aca="false">11/11</f>
        <v>1</v>
      </c>
      <c r="H32" s="30" t="n">
        <f aca="false">11/11</f>
        <v>1</v>
      </c>
      <c r="I32" s="31" t="n">
        <f aca="false">ROUND(50*G32+30*H32+20*F32/10,1)</f>
        <v>96</v>
      </c>
      <c r="J32" s="24" t="str">
        <f aca="false">IF(I32="","",IF(I32&gt;=90,"A",IF(I32&gt;=75,"B",IF(I32&gt;=60,"C","D"))))</f>
        <v>A</v>
      </c>
      <c r="K32" s="7" t="s">
        <v>265</v>
      </c>
      <c r="L32" s="7"/>
      <c r="M32" s="7"/>
    </row>
    <row r="33" customFormat="false" ht="42.75" hidden="false" customHeight="true" outlineLevel="0" collapsed="false">
      <c r="B33" s="40" t="s">
        <v>229</v>
      </c>
      <c r="C33" s="41" t="s">
        <v>230</v>
      </c>
      <c r="D33" s="42" t="s">
        <v>266</v>
      </c>
      <c r="E33" s="42" t="s">
        <v>267</v>
      </c>
      <c r="F33" s="42" t="n">
        <v>5</v>
      </c>
      <c r="G33" s="30" t="n">
        <f aca="false">25/30</f>
        <v>0.833333333333333</v>
      </c>
      <c r="H33" s="30" t="n">
        <f aca="false">19/30</f>
        <v>0.633333333333333</v>
      </c>
      <c r="I33" s="31" t="n">
        <f aca="false">ROUND(50*G33+30*H33+20*F33/10,1)</f>
        <v>70.7</v>
      </c>
      <c r="J33" s="24" t="str">
        <f aca="false">IF(I33="","",IF(I33&gt;=90,"A",IF(I33&gt;=75,"B",IF(I33&gt;=60,"C","D"))))</f>
        <v>C</v>
      </c>
      <c r="K33" s="7" t="s">
        <v>268</v>
      </c>
      <c r="L33" s="7"/>
      <c r="M33" s="7"/>
    </row>
    <row r="34" customFormat="false" ht="42.75" hidden="false" customHeight="true" outlineLevel="0" collapsed="false">
      <c r="B34" s="40" t="s">
        <v>167</v>
      </c>
      <c r="C34" s="41" t="s">
        <v>168</v>
      </c>
      <c r="D34" s="42" t="s">
        <v>269</v>
      </c>
      <c r="E34" s="42" t="s">
        <v>270</v>
      </c>
      <c r="F34" s="42" t="n">
        <v>4</v>
      </c>
      <c r="G34" s="30" t="n">
        <f aca="false">8/12</f>
        <v>0.666666666666667</v>
      </c>
      <c r="H34" s="30" t="n">
        <f aca="false">7/12</f>
        <v>0.583333333333333</v>
      </c>
      <c r="I34" s="31" t="n">
        <f aca="false">ROUND(50*G34+30*H34+20*F34/10,1)</f>
        <v>58.8</v>
      </c>
      <c r="J34" s="24" t="str">
        <f aca="false">IF(I34="","",IF(I34&gt;=90,"A",IF(I34&gt;=75,"B",IF(I34&gt;=60,"C","D"))))</f>
        <v>D</v>
      </c>
      <c r="K34" s="7" t="s">
        <v>271</v>
      </c>
      <c r="L34" s="7"/>
      <c r="M34" s="7"/>
    </row>
    <row r="35" customFormat="false" ht="30.75" hidden="false" customHeight="true" outlineLevel="0" collapsed="false">
      <c r="B35" s="40" t="s">
        <v>234</v>
      </c>
      <c r="C35" s="41" t="s">
        <v>235</v>
      </c>
      <c r="D35" s="42" t="s">
        <v>272</v>
      </c>
      <c r="E35" s="42" t="s">
        <v>273</v>
      </c>
      <c r="F35" s="42" t="n">
        <v>8</v>
      </c>
      <c r="G35" s="30" t="n">
        <f aca="false">58/60</f>
        <v>0.966666666666667</v>
      </c>
      <c r="H35" s="30" t="n">
        <f aca="false">55/60</f>
        <v>0.916666666666667</v>
      </c>
      <c r="I35" s="31" t="n">
        <f aca="false">ROUND(50*G35+30*H35+20*F35/10,1)</f>
        <v>91.8</v>
      </c>
      <c r="J35" s="24" t="str">
        <f aca="false">IF(I35="","",IF(I35&gt;=90,"A",IF(I35&gt;=75,"B",IF(I35&gt;=60,"C","D"))))</f>
        <v>A</v>
      </c>
      <c r="K35" s="7" t="s">
        <v>274</v>
      </c>
      <c r="L35" s="7"/>
      <c r="M35" s="7"/>
    </row>
    <row r="36" customFormat="false" ht="30.75" hidden="false" customHeight="true" outlineLevel="0" collapsed="false">
      <c r="B36" s="40" t="s">
        <v>238</v>
      </c>
      <c r="C36" s="41" t="s">
        <v>239</v>
      </c>
      <c r="D36" s="42" t="s">
        <v>275</v>
      </c>
      <c r="E36" s="42" t="s">
        <v>276</v>
      </c>
      <c r="F36" s="42" t="n">
        <v>9</v>
      </c>
      <c r="G36" s="30" t="n">
        <f aca="false">6/6</f>
        <v>1</v>
      </c>
      <c r="H36" s="30" t="n">
        <f aca="false">5/6</f>
        <v>0.833333333333333</v>
      </c>
      <c r="I36" s="31" t="n">
        <f aca="false">ROUND(50*G36+30*H36+20*F36/10,1)</f>
        <v>93</v>
      </c>
      <c r="J36" s="24" t="str">
        <f aca="false">IF(I36="","",IF(I36&gt;=90,"A",IF(I36&gt;=75,"B",IF(I36&gt;=60,"C","D"))))</f>
        <v>A</v>
      </c>
      <c r="K36" s="7" t="s">
        <v>277</v>
      </c>
      <c r="L36" s="7"/>
      <c r="M36" s="7"/>
    </row>
    <row r="37" customFormat="false" ht="42.75" hidden="false" customHeight="true" outlineLevel="0" collapsed="false">
      <c r="B37" s="40" t="s">
        <v>241</v>
      </c>
      <c r="C37" s="41" t="s">
        <v>242</v>
      </c>
      <c r="D37" s="42" t="s">
        <v>278</v>
      </c>
      <c r="E37" s="42" t="s">
        <v>279</v>
      </c>
      <c r="F37" s="42" t="n">
        <v>7</v>
      </c>
      <c r="G37" s="30" t="n">
        <f aca="false">15/15</f>
        <v>1</v>
      </c>
      <c r="H37" s="30" t="n">
        <f aca="false">12/15</f>
        <v>0.8</v>
      </c>
      <c r="I37" s="31" t="n">
        <f aca="false">ROUND(50*G37+30*H37+20*F37/10,1)</f>
        <v>88</v>
      </c>
      <c r="J37" s="24" t="str">
        <f aca="false">IF(I37="","",IF(I37&gt;=90,"A",IF(I37&gt;=75,"B",IF(I37&gt;=60,"C","D"))))</f>
        <v>B</v>
      </c>
      <c r="K37" s="7" t="s">
        <v>280</v>
      </c>
      <c r="L37" s="7"/>
      <c r="M37" s="7"/>
    </row>
    <row r="38" customFormat="false" ht="30.75" hidden="false" customHeight="true" outlineLevel="0" collapsed="false">
      <c r="B38" s="40" t="s">
        <v>244</v>
      </c>
      <c r="C38" s="41" t="s">
        <v>245</v>
      </c>
      <c r="D38" s="42" t="s">
        <v>281</v>
      </c>
      <c r="E38" s="42" t="s">
        <v>281</v>
      </c>
      <c r="F38" s="42" t="n">
        <v>8</v>
      </c>
      <c r="G38" s="30" t="n">
        <f aca="false">5/5</f>
        <v>1</v>
      </c>
      <c r="H38" s="30" t="n">
        <f aca="false">5/5</f>
        <v>1</v>
      </c>
      <c r="I38" s="31" t="n">
        <f aca="false">ROUND(50*G38+30*H38+20*F38/10,1)</f>
        <v>96</v>
      </c>
      <c r="J38" s="24" t="str">
        <f aca="false">IF(I38="","",IF(I38&gt;=90,"A",IF(I38&gt;=75,"B",IF(I38&gt;=60,"C","D"))))</f>
        <v>A</v>
      </c>
      <c r="K38" s="7" t="s">
        <v>257</v>
      </c>
      <c r="L38" s="7"/>
      <c r="M38" s="7"/>
    </row>
    <row r="40" customFormat="false" ht="21.75" hidden="false" customHeight="true" outlineLevel="0" collapsed="false">
      <c r="B40" s="22" t="s">
        <v>95</v>
      </c>
      <c r="C40" s="22"/>
      <c r="D40" s="22"/>
      <c r="E40" s="22"/>
      <c r="F40" s="22"/>
      <c r="H40" s="22" t="s">
        <v>151</v>
      </c>
      <c r="I40" s="22"/>
      <c r="J40" s="22"/>
      <c r="K40" s="22"/>
      <c r="L40" s="22"/>
      <c r="M40" s="22"/>
    </row>
    <row r="41" customFormat="false" ht="21.75" hidden="false" customHeight="true" outlineLevel="0" collapsed="false">
      <c r="B41" s="23" t="s">
        <v>152</v>
      </c>
      <c r="C41" s="23"/>
      <c r="D41" s="23"/>
      <c r="E41" s="24" t="n">
        <f aca="false">COUNT(I27:I38)</f>
        <v>12</v>
      </c>
      <c r="F41" s="24"/>
    </row>
    <row r="42" customFormat="false" ht="21.75" hidden="false" customHeight="true" outlineLevel="0" collapsed="false">
      <c r="B42" s="23" t="s">
        <v>153</v>
      </c>
      <c r="C42" s="23"/>
      <c r="D42" s="23"/>
      <c r="E42" s="24" t="str">
        <f aca="false">COUNTIF(J27:J38,"A")&amp;", "&amp;COUNTIF(J27:J38,"B")&amp;", "&amp;COUNTIF(J27:J38,"C")&amp;" e "&amp;COUNTIF(J27:J38,"D")</f>
        <v>8, 1, 2 e 1</v>
      </c>
      <c r="F42" s="24"/>
    </row>
    <row r="43" customFormat="false" ht="21.75" hidden="false" customHeight="true" outlineLevel="0" collapsed="false">
      <c r="B43" s="23" t="s">
        <v>154</v>
      </c>
      <c r="C43" s="23"/>
      <c r="D43" s="23"/>
      <c r="E43" s="31" t="n">
        <f aca="false">AVERAGE(I27:I38)</f>
        <v>87.3416666666667</v>
      </c>
      <c r="F43" s="31"/>
    </row>
    <row r="44" customFormat="false" ht="21.75" hidden="false" customHeight="true" outlineLevel="0" collapsed="false">
      <c r="B44" s="23" t="s">
        <v>282</v>
      </c>
      <c r="C44" s="23"/>
      <c r="D44" s="23"/>
      <c r="E44" s="24" t="str">
        <f aca="false">INDEX(C27:C38,MATCH(MIN(I27:I38),I27:I38,0))</f>
        <v>Paletes Rápido</v>
      </c>
      <c r="F44" s="24"/>
    </row>
    <row r="45" customFormat="false" ht="21.75" hidden="false" customHeight="true" outlineLevel="0" collapsed="false">
      <c r="B45" s="23" t="s">
        <v>283</v>
      </c>
      <c r="C45" s="23"/>
      <c r="D45" s="23"/>
      <c r="E45" s="24" t="n">
        <f aca="false">COUNTIF(J12:J23,"Homologação vencida")+COUNTIF(J12:J23,"Documentos pendentes")+COUNTIF(J12:J23,"Falta a homologação")</f>
        <v>3</v>
      </c>
      <c r="F45" s="24"/>
    </row>
  </sheetData>
  <mergeCells count="52">
    <mergeCell ref="B1:M1"/>
    <mergeCell ref="B2:M2"/>
    <mergeCell ref="B4:C4"/>
    <mergeCell ref="D4:M4"/>
    <mergeCell ref="B5:C5"/>
    <mergeCell ref="D5:M5"/>
    <mergeCell ref="B6:C6"/>
    <mergeCell ref="D6:M6"/>
    <mergeCell ref="B7:C7"/>
    <mergeCell ref="D7:M7"/>
    <mergeCell ref="B8:C8"/>
    <mergeCell ref="D8:M8"/>
    <mergeCell ref="B10:M10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B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B40:F40"/>
    <mergeCell ref="H40:M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</mergeCells>
  <conditionalFormatting sqref="J12:J23">
    <cfRule type="expression" priority="2" aboveAverage="0" equalAverage="0" bottom="0" percent="0" rank="0" text="" dxfId="0">
      <formula>J12="Homologado"</formula>
    </cfRule>
    <cfRule type="expression" priority="3" aboveAverage="0" equalAverage="0" bottom="0" percent="0" rank="0" text="" dxfId="1">
      <formula>J12="Não crítico: sem homologação"</formula>
    </cfRule>
    <cfRule type="expression" priority="4" aboveAverage="0" equalAverage="0" bottom="0" percent="0" rank="0" text="" dxfId="2">
      <formula>J12="Homologação vencida"</formula>
    </cfRule>
    <cfRule type="expression" priority="5" aboveAverage="0" equalAverage="0" bottom="0" percent="0" rank="0" text="" dxfId="2">
      <formula>J12="Documentos pendentes"</formula>
    </cfRule>
    <cfRule type="expression" priority="6" aboveAverage="0" equalAverage="0" bottom="0" percent="0" rank="0" text="" dxfId="3">
      <formula>LEN(J12)&gt;0</formula>
    </cfRule>
  </conditionalFormatting>
  <conditionalFormatting sqref="J27:J38">
    <cfRule type="cellIs" priority="7" operator="equal" aboveAverage="0" equalAverage="0" bottom="0" percent="0" rank="0" text="" dxfId="4">
      <formula>"A"</formula>
    </cfRule>
    <cfRule type="cellIs" priority="8" operator="equal" aboveAverage="0" equalAverage="0" bottom="0" percent="0" rank="0" text="" dxfId="5">
      <formula>"B"</formula>
    </cfRule>
    <cfRule type="cellIs" priority="9" operator="equal" aboveAverage="0" equalAverage="0" bottom="0" percent="0" rank="0" text="" dxfId="6">
      <formula>"C"</formula>
    </cfRule>
    <cfRule type="cellIs" priority="10" operator="equal" aboveAverage="0" equalAverage="0" bottom="0" percent="0" rank="0" text="" dxfId="7">
      <formula>"D"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4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36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199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200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9.5" hidden="false" customHeight="true" outlineLevel="0" collapsed="false">
      <c r="B4" s="4" t="s">
        <v>72</v>
      </c>
      <c r="C4" s="4"/>
      <c r="D4" s="36" t="s">
        <v>284</v>
      </c>
      <c r="E4" s="36"/>
      <c r="F4" s="36"/>
      <c r="G4" s="36"/>
      <c r="H4" s="36"/>
      <c r="I4" s="36"/>
      <c r="J4" s="36"/>
      <c r="K4" s="36"/>
      <c r="L4" s="36"/>
      <c r="M4" s="36"/>
    </row>
    <row r="5" customFormat="false" ht="19.5" hidden="false" customHeight="true" outlineLevel="0" collapsed="false">
      <c r="B5" s="4" t="s">
        <v>66</v>
      </c>
      <c r="C5" s="4"/>
      <c r="D5" s="37" t="n">
        <v>46433</v>
      </c>
      <c r="E5" s="37"/>
      <c r="F5" s="37"/>
      <c r="G5" s="37"/>
      <c r="H5" s="37"/>
      <c r="I5" s="37"/>
      <c r="J5" s="37"/>
      <c r="K5" s="37"/>
      <c r="L5" s="37"/>
      <c r="M5" s="37"/>
    </row>
    <row r="6" customFormat="false" ht="19.5" hidden="false" customHeight="true" outlineLevel="0" collapsed="false">
      <c r="B6" s="4" t="s">
        <v>128</v>
      </c>
      <c r="C6" s="4"/>
      <c r="D6" s="36" t="s">
        <v>285</v>
      </c>
      <c r="E6" s="36"/>
      <c r="F6" s="36"/>
      <c r="G6" s="36"/>
      <c r="H6" s="36"/>
      <c r="I6" s="36"/>
      <c r="J6" s="36"/>
      <c r="K6" s="36"/>
      <c r="L6" s="36"/>
      <c r="M6" s="36"/>
    </row>
    <row r="7" customFormat="false" ht="19.5" hidden="false" customHeight="true" outlineLevel="0" collapsed="false">
      <c r="B7" s="4" t="s">
        <v>106</v>
      </c>
      <c r="C7" s="4"/>
      <c r="D7" s="36" t="s">
        <v>286</v>
      </c>
      <c r="E7" s="36"/>
      <c r="F7" s="36"/>
      <c r="G7" s="36"/>
      <c r="H7" s="36"/>
      <c r="I7" s="36"/>
      <c r="J7" s="36"/>
      <c r="K7" s="36"/>
      <c r="L7" s="36"/>
      <c r="M7" s="36"/>
    </row>
    <row r="8" customFormat="false" ht="19.5" hidden="false" customHeight="true" outlineLevel="0" collapsed="false">
      <c r="B8" s="4" t="s">
        <v>204</v>
      </c>
      <c r="C8" s="4"/>
      <c r="D8" s="36" t="s">
        <v>287</v>
      </c>
      <c r="E8" s="36"/>
      <c r="F8" s="36"/>
      <c r="G8" s="36"/>
      <c r="H8" s="36"/>
      <c r="I8" s="36"/>
      <c r="J8" s="36"/>
      <c r="K8" s="36"/>
      <c r="L8" s="36"/>
      <c r="M8" s="36"/>
    </row>
    <row r="10" customFormat="false" ht="21.75" hidden="false" customHeight="true" outlineLevel="0" collapsed="false">
      <c r="B10" s="38" t="s">
        <v>206</v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</row>
    <row r="11" customFormat="false" ht="24" hidden="false" customHeight="true" outlineLevel="0" collapsed="false">
      <c r="B11" s="24" t="s">
        <v>85</v>
      </c>
      <c r="C11" s="24" t="s">
        <v>86</v>
      </c>
      <c r="D11" s="24" t="s">
        <v>87</v>
      </c>
      <c r="E11" s="24" t="s">
        <v>88</v>
      </c>
      <c r="F11" s="24" t="s">
        <v>89</v>
      </c>
      <c r="G11" s="24" t="s">
        <v>90</v>
      </c>
      <c r="H11" s="24" t="s">
        <v>92</v>
      </c>
      <c r="I11" s="24" t="s">
        <v>207</v>
      </c>
      <c r="J11" s="39" t="s">
        <v>94</v>
      </c>
      <c r="K11" s="39"/>
      <c r="L11" s="39"/>
      <c r="M11" s="39"/>
    </row>
    <row r="12" customFormat="false" ht="19.5" hidden="false" customHeight="true" outlineLevel="0" collapsed="false">
      <c r="B12" s="40" t="s">
        <v>288</v>
      </c>
      <c r="C12" s="41" t="s">
        <v>289</v>
      </c>
      <c r="D12" s="7" t="s">
        <v>290</v>
      </c>
      <c r="E12" s="42" t="s">
        <v>211</v>
      </c>
      <c r="F12" s="42" t="s">
        <v>212</v>
      </c>
      <c r="G12" s="43" t="n">
        <v>46360</v>
      </c>
      <c r="H12" s="20" t="n">
        <f aca="false">IF(G12="","",EDATE(G12,24))</f>
        <v>47091</v>
      </c>
      <c r="I12" s="42" t="s">
        <v>213</v>
      </c>
      <c r="J12" s="21" t="str">
        <f aca="false">IF(F12="Não crítico","Não crítico: sem homologação",IF(G12="","Falta a homologação",IF(I12="Não","Documentos pendentes",IF(H12&lt;$D$5,"Homologação vencida","Homologado"))))</f>
        <v>Homologado</v>
      </c>
      <c r="K12" s="21"/>
      <c r="L12" s="21"/>
      <c r="M12" s="21"/>
    </row>
    <row r="13" customFormat="false" ht="30.75" hidden="false" customHeight="true" outlineLevel="0" collapsed="false">
      <c r="B13" s="40" t="s">
        <v>291</v>
      </c>
      <c r="C13" s="41" t="s">
        <v>292</v>
      </c>
      <c r="D13" s="7" t="s">
        <v>293</v>
      </c>
      <c r="E13" s="42" t="s">
        <v>211</v>
      </c>
      <c r="F13" s="42" t="s">
        <v>212</v>
      </c>
      <c r="G13" s="43" t="n">
        <v>46346</v>
      </c>
      <c r="H13" s="20" t="n">
        <f aca="false">IF(G13="","",EDATE(G13,24))</f>
        <v>47077</v>
      </c>
      <c r="I13" s="42" t="s">
        <v>213</v>
      </c>
      <c r="J13" s="21" t="str">
        <f aca="false">IF(F13="Não crítico","Não crítico: sem homologação",IF(G13="","Falta a homologação",IF(I13="Não","Documentos pendentes",IF(H13&lt;$D$5,"Homologação vencida","Homologado"))))</f>
        <v>Homologado</v>
      </c>
      <c r="K13" s="21"/>
      <c r="L13" s="21"/>
      <c r="M13" s="21"/>
    </row>
    <row r="14" customFormat="false" ht="19.5" hidden="false" customHeight="true" outlineLevel="0" collapsed="false">
      <c r="B14" s="40" t="s">
        <v>294</v>
      </c>
      <c r="C14" s="41" t="s">
        <v>295</v>
      </c>
      <c r="D14" s="7" t="s">
        <v>296</v>
      </c>
      <c r="E14" s="42" t="s">
        <v>211</v>
      </c>
      <c r="F14" s="42" t="s">
        <v>212</v>
      </c>
      <c r="G14" s="43" t="n">
        <v>46360</v>
      </c>
      <c r="H14" s="20" t="n">
        <f aca="false">IF(G14="","",EDATE(G14,24))</f>
        <v>47091</v>
      </c>
      <c r="I14" s="42" t="s">
        <v>213</v>
      </c>
      <c r="J14" s="21" t="str">
        <f aca="false">IF(F14="Não crítico","Não crítico: sem homologação",IF(G14="","Falta a homologação",IF(I14="Não","Documentos pendentes",IF(H14&lt;$D$5,"Homologação vencida","Homologado"))))</f>
        <v>Homologado</v>
      </c>
      <c r="K14" s="21"/>
      <c r="L14" s="21"/>
      <c r="M14" s="21"/>
    </row>
    <row r="15" customFormat="false" ht="19.5" hidden="false" customHeight="true" outlineLevel="0" collapsed="false">
      <c r="B15" s="40" t="s">
        <v>297</v>
      </c>
      <c r="C15" s="41" t="s">
        <v>298</v>
      </c>
      <c r="D15" s="7" t="s">
        <v>299</v>
      </c>
      <c r="E15" s="42" t="s">
        <v>211</v>
      </c>
      <c r="F15" s="42" t="s">
        <v>212</v>
      </c>
      <c r="G15" s="43" t="n">
        <v>46360</v>
      </c>
      <c r="H15" s="20" t="n">
        <f aca="false">IF(G15="","",EDATE(G15,24))</f>
        <v>47091</v>
      </c>
      <c r="I15" s="42" t="s">
        <v>213</v>
      </c>
      <c r="J15" s="21" t="str">
        <f aca="false">IF(F15="Não crítico","Não crítico: sem homologação",IF(G15="","Falta a homologação",IF(I15="Não","Documentos pendentes",IF(H15&lt;$D$5,"Homologação vencida","Homologado"))))</f>
        <v>Homologado</v>
      </c>
      <c r="K15" s="21"/>
      <c r="L15" s="21"/>
      <c r="M15" s="21"/>
    </row>
    <row r="16" customFormat="false" ht="19.5" hidden="false" customHeight="true" outlineLevel="0" collapsed="false">
      <c r="B16" s="40" t="s">
        <v>300</v>
      </c>
      <c r="C16" s="41" t="s">
        <v>301</v>
      </c>
      <c r="D16" s="7" t="s">
        <v>302</v>
      </c>
      <c r="E16" s="42" t="s">
        <v>211</v>
      </c>
      <c r="F16" s="42" t="s">
        <v>64</v>
      </c>
      <c r="G16" s="43" t="n">
        <v>46360</v>
      </c>
      <c r="H16" s="20" t="n">
        <f aca="false">IF(G16="","",EDATE(G16,24))</f>
        <v>47091</v>
      </c>
      <c r="I16" s="42" t="s">
        <v>213</v>
      </c>
      <c r="J16" s="21" t="str">
        <f aca="false">IF(F16="Não crítico","Não crítico: sem homologação",IF(G16="","Falta a homologação",IF(I16="Não","Documentos pendentes",IF(H16&lt;$D$5,"Homologação vencida","Homologado"))))</f>
        <v>Não crítico: sem homologação</v>
      </c>
      <c r="K16" s="21"/>
      <c r="L16" s="21"/>
      <c r="M16" s="21"/>
    </row>
    <row r="17" customFormat="false" ht="19.5" hidden="false" customHeight="true" outlineLevel="0" collapsed="false">
      <c r="B17" s="40" t="s">
        <v>303</v>
      </c>
      <c r="C17" s="41" t="s">
        <v>304</v>
      </c>
      <c r="D17" s="7" t="s">
        <v>305</v>
      </c>
      <c r="E17" s="42" t="s">
        <v>211</v>
      </c>
      <c r="F17" s="42" t="s">
        <v>212</v>
      </c>
      <c r="G17" s="43" t="n">
        <v>46360</v>
      </c>
      <c r="H17" s="20" t="n">
        <f aca="false">IF(G17="","",EDATE(G17,24))</f>
        <v>47091</v>
      </c>
      <c r="I17" s="42" t="s">
        <v>233</v>
      </c>
      <c r="J17" s="21" t="str">
        <f aca="false">IF(F17="Não crítico","Não crítico: sem homologação",IF(G17="","Falta a homologação",IF(I17="Não","Documentos pendentes",IF(H17&lt;$D$5,"Homologação vencida","Homologado"))))</f>
        <v>Documentos pendentes</v>
      </c>
      <c r="K17" s="21"/>
      <c r="L17" s="21"/>
      <c r="M17" s="21"/>
    </row>
    <row r="18" customFormat="false" ht="19.5" hidden="false" customHeight="true" outlineLevel="0" collapsed="false">
      <c r="B18" s="40" t="s">
        <v>306</v>
      </c>
      <c r="C18" s="41" t="s">
        <v>307</v>
      </c>
      <c r="D18" s="7" t="s">
        <v>308</v>
      </c>
      <c r="E18" s="42" t="s">
        <v>237</v>
      </c>
      <c r="F18" s="42" t="s">
        <v>212</v>
      </c>
      <c r="G18" s="43" t="n">
        <v>46360</v>
      </c>
      <c r="H18" s="20" t="n">
        <f aca="false">IF(G18="","",EDATE(G18,24))</f>
        <v>47091</v>
      </c>
      <c r="I18" s="42" t="s">
        <v>213</v>
      </c>
      <c r="J18" s="21" t="str">
        <f aca="false">IF(F18="Não crítico","Não crítico: sem homologação",IF(G18="","Falta a homologação",IF(I18="Não","Documentos pendentes",IF(H18&lt;$D$5,"Homologação vencida","Homologado"))))</f>
        <v>Homologado</v>
      </c>
      <c r="K18" s="21"/>
      <c r="L18" s="21"/>
      <c r="M18" s="21"/>
    </row>
    <row r="20" customFormat="false" ht="21.75" hidden="false" customHeight="true" outlineLevel="0" collapsed="false">
      <c r="B20" s="44" t="s">
        <v>309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</row>
    <row r="21" customFormat="false" ht="30" hidden="false" customHeight="true" outlineLevel="0" collapsed="false">
      <c r="B21" s="24" t="s">
        <v>85</v>
      </c>
      <c r="C21" s="24" t="s">
        <v>86</v>
      </c>
      <c r="D21" s="24" t="s">
        <v>249</v>
      </c>
      <c r="E21" s="24" t="s">
        <v>250</v>
      </c>
      <c r="F21" s="24" t="s">
        <v>251</v>
      </c>
      <c r="G21" s="24" t="s">
        <v>136</v>
      </c>
      <c r="H21" s="24" t="s">
        <v>137</v>
      </c>
      <c r="I21" s="24" t="s">
        <v>59</v>
      </c>
      <c r="J21" s="24" t="s">
        <v>138</v>
      </c>
      <c r="K21" s="24" t="s">
        <v>252</v>
      </c>
      <c r="L21" s="24"/>
      <c r="M21" s="24"/>
    </row>
    <row r="22" customFormat="false" ht="42.75" hidden="false" customHeight="true" outlineLevel="0" collapsed="false">
      <c r="B22" s="40" t="s">
        <v>288</v>
      </c>
      <c r="C22" s="41" t="s">
        <v>289</v>
      </c>
      <c r="D22" s="42" t="s">
        <v>310</v>
      </c>
      <c r="E22" s="42" t="s">
        <v>311</v>
      </c>
      <c r="F22" s="42" t="n">
        <v>7</v>
      </c>
      <c r="G22" s="30" t="n">
        <f aca="false">23/24</f>
        <v>0.958333333333333</v>
      </c>
      <c r="H22" s="30" t="n">
        <f aca="false">21/24</f>
        <v>0.875</v>
      </c>
      <c r="I22" s="31" t="n">
        <f aca="false">ROUND(50*G22+30*H22+20*F22/10,1)</f>
        <v>88.2</v>
      </c>
      <c r="J22" s="24" t="str">
        <f aca="false">IF(I22="","",IF(I22&gt;=90,"A",IF(I22&gt;=75,"B",IF(I22&gt;=60,"C","D"))))</f>
        <v>B</v>
      </c>
      <c r="K22" s="7" t="s">
        <v>312</v>
      </c>
      <c r="L22" s="7"/>
      <c r="M22" s="7"/>
    </row>
    <row r="23" customFormat="false" ht="30.75" hidden="false" customHeight="true" outlineLevel="0" collapsed="false">
      <c r="B23" s="40" t="s">
        <v>291</v>
      </c>
      <c r="C23" s="41" t="s">
        <v>292</v>
      </c>
      <c r="D23" s="42" t="s">
        <v>313</v>
      </c>
      <c r="E23" s="42" t="s">
        <v>313</v>
      </c>
      <c r="F23" s="42" t="n">
        <v>8</v>
      </c>
      <c r="G23" s="30" t="n">
        <f aca="false">8/8</f>
        <v>1</v>
      </c>
      <c r="H23" s="30" t="n">
        <f aca="false">8/8</f>
        <v>1</v>
      </c>
      <c r="I23" s="31" t="n">
        <f aca="false">ROUND(50*G23+30*H23+20*F23/10,1)</f>
        <v>96</v>
      </c>
      <c r="J23" s="24" t="str">
        <f aca="false">IF(I23="","",IF(I23&gt;=90,"A",IF(I23&gt;=75,"B",IF(I23&gt;=60,"C","D"))))</f>
        <v>A</v>
      </c>
      <c r="K23" s="7" t="s">
        <v>314</v>
      </c>
      <c r="L23" s="7"/>
      <c r="M23" s="7"/>
    </row>
    <row r="24" customFormat="false" ht="30.75" hidden="false" customHeight="true" outlineLevel="0" collapsed="false">
      <c r="B24" s="40" t="s">
        <v>294</v>
      </c>
      <c r="C24" s="41" t="s">
        <v>295</v>
      </c>
      <c r="D24" s="42" t="s">
        <v>315</v>
      </c>
      <c r="E24" s="42" t="s">
        <v>315</v>
      </c>
      <c r="F24" s="42" t="n">
        <v>9</v>
      </c>
      <c r="G24" s="30" t="n">
        <f aca="false">12/12</f>
        <v>1</v>
      </c>
      <c r="H24" s="30" t="n">
        <f aca="false">12/12</f>
        <v>1</v>
      </c>
      <c r="I24" s="31" t="n">
        <f aca="false">ROUND(50*G24+30*H24+20*F24/10,1)</f>
        <v>98</v>
      </c>
      <c r="J24" s="24" t="str">
        <f aca="false">IF(I24="","",IF(I24&gt;=90,"A",IF(I24&gt;=75,"B",IF(I24&gt;=60,"C","D"))))</f>
        <v>A</v>
      </c>
      <c r="K24" s="7" t="s">
        <v>257</v>
      </c>
      <c r="L24" s="7"/>
      <c r="M24" s="7"/>
    </row>
    <row r="25" customFormat="false" ht="30.75" hidden="false" customHeight="true" outlineLevel="0" collapsed="false">
      <c r="B25" s="40" t="s">
        <v>297</v>
      </c>
      <c r="C25" s="41" t="s">
        <v>298</v>
      </c>
      <c r="D25" s="42" t="s">
        <v>315</v>
      </c>
      <c r="E25" s="42" t="s">
        <v>316</v>
      </c>
      <c r="F25" s="42" t="n">
        <v>8</v>
      </c>
      <c r="G25" s="30" t="n">
        <f aca="false">12/12</f>
        <v>1</v>
      </c>
      <c r="H25" s="30" t="n">
        <f aca="false">11/12</f>
        <v>0.916666666666667</v>
      </c>
      <c r="I25" s="31" t="n">
        <f aca="false">ROUND(50*G25+30*H25+20*F25/10,1)</f>
        <v>93.5</v>
      </c>
      <c r="J25" s="24" t="str">
        <f aca="false">IF(I25="","",IF(I25&gt;=90,"A",IF(I25&gt;=75,"B",IF(I25&gt;=60,"C","D"))))</f>
        <v>A</v>
      </c>
      <c r="K25" s="7" t="s">
        <v>257</v>
      </c>
      <c r="L25" s="7"/>
      <c r="M25" s="7"/>
    </row>
    <row r="26" customFormat="false" ht="30.75" hidden="false" customHeight="true" outlineLevel="0" collapsed="false">
      <c r="B26" s="40" t="s">
        <v>300</v>
      </c>
      <c r="C26" s="41" t="s">
        <v>301</v>
      </c>
      <c r="D26" s="42" t="s">
        <v>275</v>
      </c>
      <c r="E26" s="42" t="s">
        <v>275</v>
      </c>
      <c r="F26" s="42" t="n">
        <v>8</v>
      </c>
      <c r="G26" s="30" t="n">
        <f aca="false">6/6</f>
        <v>1</v>
      </c>
      <c r="H26" s="30" t="n">
        <f aca="false">6/6</f>
        <v>1</v>
      </c>
      <c r="I26" s="31" t="n">
        <f aca="false">ROUND(50*G26+30*H26+20*F26/10,1)</f>
        <v>96</v>
      </c>
      <c r="J26" s="24" t="str">
        <f aca="false">IF(I26="","",IF(I26&gt;=90,"A",IF(I26&gt;=75,"B",IF(I26&gt;=60,"C","D"))))</f>
        <v>A</v>
      </c>
      <c r="K26" s="7" t="s">
        <v>257</v>
      </c>
      <c r="L26" s="7"/>
      <c r="M26" s="7"/>
    </row>
    <row r="27" customFormat="false" ht="42.75" hidden="false" customHeight="true" outlineLevel="0" collapsed="false">
      <c r="B27" s="40" t="s">
        <v>303</v>
      </c>
      <c r="C27" s="41" t="s">
        <v>304</v>
      </c>
      <c r="D27" s="42" t="s">
        <v>253</v>
      </c>
      <c r="E27" s="42" t="s">
        <v>253</v>
      </c>
      <c r="F27" s="42" t="n">
        <v>7</v>
      </c>
      <c r="G27" s="30" t="n">
        <f aca="false">26/26</f>
        <v>1</v>
      </c>
      <c r="H27" s="30" t="n">
        <f aca="false">26/26</f>
        <v>1</v>
      </c>
      <c r="I27" s="31" t="n">
        <f aca="false">ROUND(50*G27+30*H27+20*F27/10,1)</f>
        <v>94</v>
      </c>
      <c r="J27" s="24" t="str">
        <f aca="false">IF(I27="","",IF(I27&gt;=90,"A",IF(I27&gt;=75,"B",IF(I27&gt;=60,"C","D"))))</f>
        <v>A</v>
      </c>
      <c r="K27" s="7" t="s">
        <v>317</v>
      </c>
      <c r="L27" s="7"/>
      <c r="M27" s="7"/>
    </row>
    <row r="28" customFormat="false" ht="30.75" hidden="false" customHeight="true" outlineLevel="0" collapsed="false">
      <c r="B28" s="40" t="s">
        <v>306</v>
      </c>
      <c r="C28" s="41" t="s">
        <v>307</v>
      </c>
      <c r="D28" s="42" t="s">
        <v>276</v>
      </c>
      <c r="E28" s="42" t="s">
        <v>275</v>
      </c>
      <c r="F28" s="42" t="n">
        <v>8</v>
      </c>
      <c r="G28" s="30" t="n">
        <f aca="false">5/6</f>
        <v>0.833333333333333</v>
      </c>
      <c r="H28" s="30" t="n">
        <f aca="false">6/6</f>
        <v>1</v>
      </c>
      <c r="I28" s="31" t="n">
        <f aca="false">ROUND(50*G28+30*H28+20*F28/10,1)</f>
        <v>87.7</v>
      </c>
      <c r="J28" s="24" t="str">
        <f aca="false">IF(I28="","",IF(I28&gt;=90,"A",IF(I28&gt;=75,"B",IF(I28&gt;=60,"C","D"))))</f>
        <v>B</v>
      </c>
      <c r="K28" s="7" t="s">
        <v>318</v>
      </c>
      <c r="L28" s="7"/>
      <c r="M28" s="7"/>
    </row>
    <row r="30" customFormat="false" ht="21.75" hidden="false" customHeight="true" outlineLevel="0" collapsed="false">
      <c r="B30" s="22" t="s">
        <v>95</v>
      </c>
      <c r="C30" s="22"/>
      <c r="D30" s="22"/>
      <c r="E30" s="22"/>
      <c r="F30" s="22"/>
      <c r="H30" s="22" t="s">
        <v>151</v>
      </c>
      <c r="I30" s="22"/>
      <c r="J30" s="22"/>
      <c r="K30" s="22"/>
      <c r="L30" s="22"/>
      <c r="M30" s="22"/>
    </row>
    <row r="31" customFormat="false" ht="21.75" hidden="false" customHeight="true" outlineLevel="0" collapsed="false">
      <c r="B31" s="23" t="s">
        <v>152</v>
      </c>
      <c r="C31" s="23"/>
      <c r="D31" s="23"/>
      <c r="E31" s="24" t="n">
        <f aca="false">COUNT(I22:I28)</f>
        <v>7</v>
      </c>
      <c r="F31" s="24"/>
    </row>
    <row r="32" customFormat="false" ht="21.75" hidden="false" customHeight="true" outlineLevel="0" collapsed="false">
      <c r="B32" s="23" t="s">
        <v>153</v>
      </c>
      <c r="C32" s="23"/>
      <c r="D32" s="23"/>
      <c r="E32" s="24" t="str">
        <f aca="false">COUNTIF(J22:J28,"A")&amp;", "&amp;COUNTIF(J22:J28,"B")&amp;", "&amp;COUNTIF(J22:J28,"C")&amp;" e "&amp;COUNTIF(J22:J28,"D")</f>
        <v>5, 2, 0 e 0</v>
      </c>
      <c r="F32" s="24"/>
    </row>
    <row r="33" customFormat="false" ht="21.75" hidden="false" customHeight="true" outlineLevel="0" collapsed="false">
      <c r="B33" s="23" t="s">
        <v>154</v>
      </c>
      <c r="C33" s="23"/>
      <c r="D33" s="23"/>
      <c r="E33" s="31" t="n">
        <f aca="false">AVERAGE(I22:I28)</f>
        <v>93.3428571428571</v>
      </c>
      <c r="F33" s="31"/>
    </row>
    <row r="34" customFormat="false" ht="21.75" hidden="false" customHeight="true" outlineLevel="0" collapsed="false">
      <c r="B34" s="23" t="s">
        <v>282</v>
      </c>
      <c r="C34" s="23"/>
      <c r="D34" s="23"/>
      <c r="E34" s="24" t="str">
        <f aca="false">INDEX(C22:C28,MATCH(MIN(I22:I28),I22:I28,0))</f>
        <v>Oficina Duas Rodas</v>
      </c>
      <c r="F34" s="24"/>
    </row>
    <row r="35" customFormat="false" ht="21.75" hidden="false" customHeight="true" outlineLevel="0" collapsed="false">
      <c r="B35" s="23" t="s">
        <v>283</v>
      </c>
      <c r="C35" s="23"/>
      <c r="D35" s="23"/>
      <c r="E35" s="24" t="n">
        <f aca="false">COUNTIF(J12:J18,"Homologação vencida")+COUNTIF(J12:J18,"Documentos pendentes")+COUNTIF(J12:J18,"Falta a homologação")</f>
        <v>1</v>
      </c>
      <c r="F35" s="24"/>
    </row>
  </sheetData>
  <mergeCells count="42">
    <mergeCell ref="B1:M1"/>
    <mergeCell ref="B2:M2"/>
    <mergeCell ref="B4:C4"/>
    <mergeCell ref="D4:M4"/>
    <mergeCell ref="B5:C5"/>
    <mergeCell ref="D5:M5"/>
    <mergeCell ref="B6:C6"/>
    <mergeCell ref="D6:M6"/>
    <mergeCell ref="B7:C7"/>
    <mergeCell ref="D7:M7"/>
    <mergeCell ref="B8:C8"/>
    <mergeCell ref="D8:M8"/>
    <mergeCell ref="B10:M10"/>
    <mergeCell ref="J11:M11"/>
    <mergeCell ref="J12:M12"/>
    <mergeCell ref="J13:M13"/>
    <mergeCell ref="J14:M14"/>
    <mergeCell ref="J15:M15"/>
    <mergeCell ref="J16:M16"/>
    <mergeCell ref="J17:M17"/>
    <mergeCell ref="J18:M18"/>
    <mergeCell ref="B20:M20"/>
    <mergeCell ref="K21:M21"/>
    <mergeCell ref="K22:M22"/>
    <mergeCell ref="K23:M23"/>
    <mergeCell ref="K24:M24"/>
    <mergeCell ref="K25:M25"/>
    <mergeCell ref="K26:M26"/>
    <mergeCell ref="K27:M27"/>
    <mergeCell ref="K28:M28"/>
    <mergeCell ref="B30:F30"/>
    <mergeCell ref="H30:M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</mergeCells>
  <conditionalFormatting sqref="J12:J18">
    <cfRule type="expression" priority="2" aboveAverage="0" equalAverage="0" bottom="0" percent="0" rank="0" text="" dxfId="0">
      <formula>J12="Homologado"</formula>
    </cfRule>
    <cfRule type="expression" priority="3" aboveAverage="0" equalAverage="0" bottom="0" percent="0" rank="0" text="" dxfId="1">
      <formula>J12="Não crítico: sem homologação"</formula>
    </cfRule>
    <cfRule type="expression" priority="4" aboveAverage="0" equalAverage="0" bottom="0" percent="0" rank="0" text="" dxfId="2">
      <formula>J12="Homologação vencida"</formula>
    </cfRule>
    <cfRule type="expression" priority="5" aboveAverage="0" equalAverage="0" bottom="0" percent="0" rank="0" text="" dxfId="2">
      <formula>J12="Documentos pendentes"</formula>
    </cfRule>
    <cfRule type="expression" priority="6" aboveAverage="0" equalAverage="0" bottom="0" percent="0" rank="0" text="" dxfId="3">
      <formula>LEN(J12)&gt;0</formula>
    </cfRule>
  </conditionalFormatting>
  <conditionalFormatting sqref="J22:J28">
    <cfRule type="cellIs" priority="7" operator="equal" aboveAverage="0" equalAverage="0" bottom="0" percent="0" rank="0" text="" dxfId="4">
      <formula>"A"</formula>
    </cfRule>
    <cfRule type="cellIs" priority="8" operator="equal" aboveAverage="0" equalAverage="0" bottom="0" percent="0" rank="0" text="" dxfId="5">
      <formula>"B"</formula>
    </cfRule>
    <cfRule type="cellIs" priority="9" operator="equal" aboveAverage="0" equalAverage="0" bottom="0" percent="0" rank="0" text="" dxfId="6">
      <formula>"C"</formula>
    </cfRule>
    <cfRule type="cellIs" priority="10" operator="equal" aboveAverage="0" equalAverage="0" bottom="0" percent="0" rank="0" text="" dxfId="7">
      <formula>"D"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9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2026-09-30T03:03:13Z</dcterms:created>
  <dc:creator>Modelo Fornecedores</dc:creator>
  <dc:description/>
  <dc:language>pt-BR</dc:language>
  <cp:lastModifiedBy/>
  <dcterms:modified xsi:type="dcterms:W3CDTF">2026-09-30T03:03:13Z</dcterms:modified>
  <cp:revision>0</cp:revision>
  <dc:subject/>
  <dc:title>Avaliação de fornecedores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