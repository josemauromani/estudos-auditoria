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Instrumentos" sheetId="2" state="visible" r:id="rId4"/>
    <sheet name="Calibrações" sheetId="3" state="visible" r:id="rId5"/>
    <sheet name="Painel" sheetId="4" state="visible" r:id="rId6"/>
    <sheet name="Checklist" sheetId="5" state="visible" r:id="rId7"/>
    <sheet name="Exemplo 1 - Pizzaria" sheetId="6" state="visible" r:id="rId8"/>
    <sheet name="Exemplo 2 - Indústria" sheetId="7" state="visible" r:id="rId9"/>
  </sheets>
  <definedNames>
    <definedName function="false" hidden="false" localSheetId="2" name="_xlnm.Print_Area" vbProcedure="false">Calibrações!$B$1:$O$91</definedName>
    <definedName function="false" hidden="false" localSheetId="4" name="_xlnm.Print_Area" vbProcedure="false">Checklist!$B$1:$E$24</definedName>
    <definedName function="false" hidden="false" localSheetId="5" name="_xlnm.Print_Area" vbProcedure="false">'Exemplo 1 - Pizzaria'!$B$1:$Q$33</definedName>
    <definedName function="false" hidden="false" localSheetId="6" name="_xlnm.Print_Area" vbProcedure="false">'Exemplo 2 - Indústria'!$B$1:$Q$35</definedName>
    <definedName function="false" hidden="false" localSheetId="0" name="_xlnm.Print_Area" vbProcedure="false">Instruções!$B$1:$C$42</definedName>
    <definedName function="false" hidden="false" localSheetId="1" name="_xlnm.Print_Area" vbProcedure="false">Instrumentos!$B$1:$R$53</definedName>
    <definedName function="false" hidden="false" localSheetId="3" name="_xlnm.Print_Area" vbProcedure="false">Painel!$B$1:$F$36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H6" authorId="0">
      <text>
        <r>
          <rPr>
            <sz val="10"/>
            <rFont val="Arial"/>
            <family val="2"/>
          </rPr>
          <t xml:space="preserve">A amplitude da faixa aceita do que o instrumento mede. De 38 a 42 µm: 4. Para um limite só, a margem que importa.</t>
        </r>
      </text>
    </comment>
    <comment ref="M6" authorId="0">
      <text>
        <r>
          <rPr>
            <sz val="10"/>
            <rFont val="Arial"/>
            <family val="2"/>
          </rPr>
          <t xml:space="preserve">O maior erro aceito no instrumento, sem o sinal: 1 significa ±1. Costuma ser uma fração da tolerância.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4" authorId="0">
      <text>
        <r>
          <rPr>
            <sz val="10"/>
            <rFont val="Arial"/>
            <family val="2"/>
          </rPr>
          <t xml:space="preserve">O erro encontrado, com o sinal: o valor indicado pelo instrumento menos o valor do padrão. No certificado, pode aparecer como “erro” ou como “correção”, com o sinal trocado.</t>
        </r>
      </text>
    </comment>
    <comment ref="N4" authorId="0">
      <text>
        <r>
          <rPr>
            <sz val="10"/>
            <rFont val="Arial"/>
            <family val="2"/>
          </rPr>
          <t xml:space="preserve">Quando o instrumento é reprovado, o que ele mediu desde a última calibração boa fica em dúvida. Escreva o que foi revisto, o que se encontrou e o que foi feito.</t>
        </r>
      </text>
    </comment>
  </commentList>
</comments>
</file>

<file path=xl/sharedStrings.xml><?xml version="1.0" encoding="utf-8"?>
<sst xmlns="http://schemas.openxmlformats.org/spreadsheetml/2006/main" count="439" uniqueCount="273">
  <si>
    <t xml:space="preserve">Calibração e recursos de medição — Como usar esta planilha</t>
  </si>
  <si>
    <t xml:space="preserve">Modelo para cadastrar os instrumentos, registrar as calibrações e as verificações, ler os resultados e acompanhar os vencimentos.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</si>
  <si>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</si>
  <si>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</si>
  <si>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</si>
  <si>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</si>
  <si>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(próxima data, situação, adequação, resultado, conferências).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</si>
  <si>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</si>
  <si>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</si>
  <si>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</si>
  <si>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Tipo de controle, em uso, código do instrumento, tipo do registro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</si>
  <si>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</si>
  <si>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</si>
  <si>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</si>
  <si>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Próxima data</t>
  </si>
  <si>
    <t xml:space="preserve">A última calibração ou verificação mais o intervalo, em meses.</t>
  </si>
  <si>
    <t xml:space="preserve">Em dia</t>
  </si>
  <si>
    <t xml:space="preserve">Até a próxima data faltam tantos dias quanto o aviso, ou mais: um quarto do intervalo, com no máximo 30 dias.</t>
  </si>
  <si>
    <t xml:space="preserve">Vence em breve</t>
  </si>
  <si>
    <t xml:space="preserve">Faltam menos dias do que o aviso. Na verificação mensal, cerca de uma semana; no intervalo de um ano, 30 dias.</t>
  </si>
  <si>
    <t xml:space="preserve">Vencido</t>
  </si>
  <si>
    <t xml:space="preserve">A próxima data já passou. O instrumento deve ser bloqueado até a calibração.</t>
  </si>
  <si>
    <t xml:space="preserve">Sem calibração</t>
  </si>
  <si>
    <t xml:space="preserve">Não há data de calibração nem de verificação.</t>
  </si>
  <si>
    <t xml:space="preserve">Fora de uso</t>
  </si>
  <si>
    <t xml:space="preserve">O instrumento está marcado como fora de uso: reprovado, quebrado, substituído.</t>
  </si>
  <si>
    <t xml:space="preserve">Adequação</t>
  </si>
  <si>
    <t xml:space="preserve">Adequado quando a resolução cabe ao menos 10 vezes na tolerância do que o instrumento mede.</t>
  </si>
  <si>
    <t xml:space="preserve">Resultado</t>
  </si>
  <si>
    <t xml:space="preserve">Aprovado quando o valor absoluto do erro, somado à incerteza, é menor ou igual ao erro máximo admissível do instrumento.</t>
  </si>
  <si>
    <t xml:space="preserve">Ordem recomendada de preenchimento</t>
  </si>
  <si>
    <t xml:space="preserve">Passo 1</t>
  </si>
  <si>
    <t xml:space="preserve">Aba Instrumentos: informe a data da leitura.</t>
  </si>
  <si>
    <t xml:space="preserve">Passo 2</t>
  </si>
  <si>
    <t xml:space="preserve">Aba Instrumentos: cadastre cada instrumento que decide a conformidade, com o que mede, a tolerância, a resolução, o controle, o intervalo e o erro máximo admissível.</t>
  </si>
  <si>
    <t xml:space="preserve">Passo 3</t>
  </si>
  <si>
    <t xml:space="preserve">Aba Instrumentos: informe a data da última calibração ou verificação e se o instrumento está em uso.</t>
  </si>
  <si>
    <t xml:space="preserve">Passo 4</t>
  </si>
  <si>
    <t xml:space="preserve">Aba Calibrações: lance cada certificado e cada verificação, com o erro e a incerteza.</t>
  </si>
  <si>
    <t xml:space="preserve">Passo 5</t>
  </si>
  <si>
    <t xml:space="preserve">Aba Calibrações: para cada reprovado, escreva a ação e a avaliação dos resultados anteriores.</t>
  </si>
  <si>
    <t xml:space="preserve">Passo 6</t>
  </si>
  <si>
    <t xml:space="preserve">Aba Painel: leia os avisos. Depois, valide na aba Checklist.</t>
  </si>
  <si>
    <t xml:space="preserve">Abas da planilha</t>
  </si>
  <si>
    <t xml:space="preserve">Instrumentos</t>
  </si>
  <si>
    <t xml:space="preserve">Até 40 instrumentos. Calcula a próxima data, a situação, a adequação e a conferência.</t>
  </si>
  <si>
    <t xml:space="preserve">Calibrações</t>
  </si>
  <si>
    <t xml:space="preserve">Até 80 registros. Calcula o resultado pelo critério do instrumento e a conferência.</t>
  </si>
  <si>
    <t xml:space="preserve">Painel</t>
  </si>
  <si>
    <t xml:space="preserve">Os instrumentos por situação, os reprovados, o gráfico e o aviso.</t>
  </si>
  <si>
    <t xml:space="preserve">Checklist</t>
  </si>
  <si>
    <t xml:space="preserve">Doze verificações do controle de instrumentos, com percentual de conclusão.</t>
  </si>
  <si>
    <t xml:space="preserve">Exemplo 1 - Pizzaria</t>
  </si>
  <si>
    <t xml:space="preserve">Os instrumentos da loja, lidos em 31/03/2027.</t>
  </si>
  <si>
    <t xml:space="preserve">Exemplo 2 - Indústria</t>
  </si>
  <si>
    <t xml:space="preserve">Os instrumentos da fábrica, lidos em 30/06/2027.</t>
  </si>
  <si>
    <t xml:space="preserve">Regras e premissas do modelo</t>
  </si>
  <si>
    <t xml:space="preserve">Tolerância</t>
  </si>
  <si>
    <t xml:space="preserve">A amplitude da faixa aceita: de 38 a 42 µm, 4 µm. Para um limite só, use a margem que importa: no mínimo 65 °C, com 5 °C de margem.</t>
  </si>
  <si>
    <t xml:space="preserve">Erro máximo admissível</t>
  </si>
  <si>
    <t xml:space="preserve">Digite só o número, sem o sinal: 1 significa ±1. Use a mesma unidade do instrumento.</t>
  </si>
  <si>
    <t xml:space="preserve">Última data</t>
  </si>
  <si>
    <t xml:space="preserve">Atualize a cada calibração ou verificação, inclusive quando o resultado foi reprovado.</t>
  </si>
  <si>
    <t xml:space="preserve">Exemplos</t>
  </si>
  <si>
    <t xml:space="preserve">Os dados das abas de exemplo são ilustrativos, criados para este material.</t>
  </si>
  <si>
    <t xml:space="preserve">Instrumentos de medição</t>
  </si>
  <si>
    <t xml:space="preserve">Um instrumento por linha: o que mede, se é adequado, como é controlado e quando vence.</t>
  </si>
  <si>
    <t xml:space="preserve">Data da leitura</t>
  </si>
  <si>
    <t xml:space="preserve">Usada para saber o que venceu e o que vence em breve. Atualize a cada leitura.</t>
  </si>
  <si>
    <t xml:space="preserve">#</t>
  </si>
  <si>
    <t xml:space="preserve">Código</t>
  </si>
  <si>
    <t xml:space="preserve">Instrumento</t>
  </si>
  <si>
    <t xml:space="preserve">Local</t>
  </si>
  <si>
    <t xml:space="preserve">O que mede</t>
  </si>
  <si>
    <t xml:space="preserve">Unidade</t>
  </si>
  <si>
    <t xml:space="preserve">Resolução</t>
  </si>
  <si>
    <t xml:space="preserve">Controle</t>
  </si>
  <si>
    <t xml:space="preserve">Intervalo (meses)</t>
  </si>
  <si>
    <t xml:space="preserve">Última</t>
  </si>
  <si>
    <t xml:space="preserve">Erro máx. (±)</t>
  </si>
  <si>
    <t xml:space="preserve">Em uso?</t>
  </si>
  <si>
    <t xml:space="preserve">Próxima</t>
  </si>
  <si>
    <t xml:space="preserve">Situação</t>
  </si>
  <si>
    <t xml:space="preserve">Conferência</t>
  </si>
  <si>
    <t xml:space="preserve">TER-01</t>
  </si>
  <si>
    <t xml:space="preserve">Com o critério</t>
  </si>
  <si>
    <t xml:space="preserve">°C, g, µm</t>
  </si>
  <si>
    <t xml:space="preserve">Amplitude</t>
  </si>
  <si>
    <t xml:space="preserve">Menor passo</t>
  </si>
  <si>
    <t xml:space="preserve">Lista</t>
  </si>
  <si>
    <t xml:space="preserve">Número</t>
  </si>
  <si>
    <t xml:space="preserve">Data</t>
  </si>
  <si>
    <t xml:space="preserve">Calculada</t>
  </si>
  <si>
    <t xml:space="preserve">Resumo automático</t>
  </si>
  <si>
    <t xml:space="preserve">Instrumentos cadastrados</t>
  </si>
  <si>
    <t xml:space="preserve">Por situação</t>
  </si>
  <si>
    <t xml:space="preserve">Resolução grossa</t>
  </si>
  <si>
    <t xml:space="preserve">Aviso</t>
  </si>
  <si>
    <t xml:space="preserve">Calibrações e verificações</t>
  </si>
  <si>
    <t xml:space="preserve">Um certificado ou uma verificação por linha. O resultado vem do critério do instrumento.</t>
  </si>
  <si>
    <t xml:space="preserve">Tipo</t>
  </si>
  <si>
    <t xml:space="preserve">Registro ou certificado</t>
  </si>
  <si>
    <t xml:space="preserve">Ponto medido</t>
  </si>
  <si>
    <t xml:space="preserve">Erro</t>
  </si>
  <si>
    <t xml:space="preserve">Incerteza</t>
  </si>
  <si>
    <t xml:space="preserve">Critério (±)</t>
  </si>
  <si>
    <t xml:space="preserve">Ação, se reprovado</t>
  </si>
  <si>
    <t xml:space="preserve">Avaliação dos resultados anteriores</t>
  </si>
  <si>
    <t xml:space="preserve">Vem do cadastro</t>
  </si>
  <si>
    <t xml:space="preserve">Número do documento</t>
  </si>
  <si>
    <t xml:space="preserve">Valor de referência</t>
  </si>
  <si>
    <t xml:space="preserve">Com sinal</t>
  </si>
  <si>
    <t xml:space="preserve">Calculado</t>
  </si>
  <si>
    <t xml:space="preserve">Ajuste, reparo, troca</t>
  </si>
  <si>
    <t xml:space="preserve">O que ele mediu desde a última boa</t>
  </si>
  <si>
    <t xml:space="preserve">Ex.</t>
  </si>
  <si>
    <t xml:space="preserve">Termômetro de espeto</t>
  </si>
  <si>
    <t xml:space="preserve">Verificação</t>
  </si>
  <si>
    <t xml:space="preserve">Planilha FR-07</t>
  </si>
  <si>
    <t xml:space="preserve">Água com gelo, 0 °C</t>
  </si>
  <si>
    <t xml:space="preserve">Aprovado</t>
  </si>
  <si>
    <t xml:space="preserve">OK</t>
  </si>
  <si>
    <t xml:space="preserve">Registros</t>
  </si>
  <si>
    <t xml:space="preserve">Aprovados e reprovados</t>
  </si>
  <si>
    <t xml:space="preserve">Painel dos instrumentos</t>
  </si>
  <si>
    <t xml:space="preserve">Nada a preencher: tudo vem das outras abas.</t>
  </si>
  <si>
    <t xml:space="preserve">Indicador</t>
  </si>
  <si>
    <t xml:space="preserve">Como se lê</t>
  </si>
  <si>
    <t xml:space="preserve">Da aba Instrumentos.</t>
  </si>
  <si>
    <t xml:space="preserve">Faltam tantos dias quanto o aviso, ou mais: um quarto do intervalo, no máximo 30 dias.</t>
  </si>
  <si>
    <t xml:space="preserve">Programar a calibração ou a verificação.</t>
  </si>
  <si>
    <t xml:space="preserve">Bloquear até calibrar.</t>
  </si>
  <si>
    <t xml:space="preserve">Verificar antes de usar de novo.</t>
  </si>
  <si>
    <t xml:space="preserve">Retirados do posto.</t>
  </si>
  <si>
    <t xml:space="preserve">A resolução não cabe 10 vezes na tolerância.</t>
  </si>
  <si>
    <t xml:space="preserve">Registros de calibração e verificação</t>
  </si>
  <si>
    <t xml:space="preserve">Da aba Calibrações.</t>
  </si>
  <si>
    <t xml:space="preserve">Reprovados</t>
  </si>
  <si>
    <t xml:space="preserve">Erro mais incerteza fora do critério.</t>
  </si>
  <si>
    <t xml:space="preserve">Reprovados sem avaliação</t>
  </si>
  <si>
    <t xml:space="preserve">O que o instrumento mediu antes não foi revisto.</t>
  </si>
  <si>
    <t xml:space="preserve">Registros a completar</t>
  </si>
  <si>
    <t xml:space="preserve">Veja a coluna Conferência da aba Calibrações.</t>
  </si>
  <si>
    <t xml:space="preserve">Checklist da calibração e dos recursos de medição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</si>
  <si>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</si>
  <si>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</si>
  <si>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</si>
  <si>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</si>
  <si>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Os instrumentos que verificam a conformidade do produto estão listados, com código e local.</t>
  </si>
  <si>
    <t xml:space="preserve">Cada instrumento é adequado ao que mede: faixa, resolução e método.</t>
  </si>
  <si>
    <t xml:space="preserve">Para cada instrumento está definido se é calibrado, verificado ou os dois, e com que intervalo.</t>
  </si>
  <si>
    <t xml:space="preserve">A calibração é rastreável a padrões nacionais ou internacionais, feita por laboratório competente.</t>
  </si>
  <si>
    <t xml:space="preserve">Quando não há padrão, o método de verificação está registrado.</t>
  </si>
  <si>
    <t xml:space="preserve">Cada instrumento tem o critério de aceitação: o erro máximo admissível.</t>
  </si>
  <si>
    <t xml:space="preserve">O certificado é lido: o erro e a incerteza são comparados com o critério, e o resultado é registrado.</t>
  </si>
  <si>
    <t xml:space="preserve">Cada instrumento está identificado com a situação: em dia, vencido, fora de uso.</t>
  </si>
  <si>
    <t xml:space="preserve">Os instrumentos são protegidos de ajustes, quedas e danos que invalidem a calibração.</t>
  </si>
  <si>
    <t xml:space="preserve">Instrumento vencido ou reprovado é bloqueado até a nova calibração.</t>
  </si>
  <si>
    <t xml:space="preserve">Quando um instrumento é reprovado, os resultados anteriores são avaliados, e o que foi afetado é tratado.</t>
  </si>
  <si>
    <t xml:space="preserve">Os registros de calibração e de verificação estão guardados.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</si>
  <si>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</si>
  <si>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</si>
  <si>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</si>
  <si>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</si>
  <si>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</si>
  <si>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Calibração e recursos de medição</t>
  </si>
  <si>
    <t xml:space="preserve">Exemplo preenchido, para consulta. Use as abas Instrumentos e Calibrações para a sua organização.</t>
  </si>
  <si>
    <t xml:space="preserve">Organização</t>
  </si>
  <si>
    <t xml:space="preserve">Pizzaria (loja com salão e delivery)</t>
  </si>
  <si>
    <t xml:space="preserve">Responsável</t>
  </si>
  <si>
    <t xml:space="preserve">Pizzaiolo líder, com o gerente da loja</t>
  </si>
  <si>
    <t xml:space="preserve">Padrões próprios</t>
  </si>
  <si>
    <t xml:space="preserve">Termômetro de espeto TER-01, verificado em água com gelo, e peso-padrão de 500 g, calibrado por laboratório externo.</t>
  </si>
  <si>
    <t xml:space="preserve">Origem</t>
  </si>
  <si>
    <t xml:space="preserve">Requisito 7.1.5 atendido em parte no diagnóstico de 2026: a balança era verificada todo mês, e o termômetro da câmara fria, nunca.</t>
  </si>
  <si>
    <t xml:space="preserve">Unid.</t>
  </si>
  <si>
    <t xml:space="preserve">Meses</t>
  </si>
  <si>
    <t xml:space="preserve">Erro máx.</t>
  </si>
  <si>
    <t xml:space="preserve">Em uso</t>
  </si>
  <si>
    <t xml:space="preserve">Expedição</t>
  </si>
  <si>
    <t xml:space="preserve">Temperatura da pizza na saída: no mínimo 65 °C</t>
  </si>
  <si>
    <t xml:space="preserve">°C</t>
  </si>
  <si>
    <t xml:space="preserve">Verificação interna</t>
  </si>
  <si>
    <t xml:space="preserve">Sim</t>
  </si>
  <si>
    <t xml:space="preserve">TER-02</t>
  </si>
  <si>
    <t xml:space="preserve">Termômetro de visor da câmara fria</t>
  </si>
  <si>
    <t xml:space="preserve">Câmara fria</t>
  </si>
  <si>
    <t xml:space="preserve">Temperatura da câmara: 0 a 5 °C</t>
  </si>
  <si>
    <t xml:space="preserve">Não</t>
  </si>
  <si>
    <t xml:space="preserve">TER-03</t>
  </si>
  <si>
    <t xml:space="preserve">Termômetro do forno</t>
  </si>
  <si>
    <t xml:space="preserve">Forno</t>
  </si>
  <si>
    <t xml:space="preserve">Temperatura do forno: 280 a 320 °C</t>
  </si>
  <si>
    <t xml:space="preserve">Calibração externa</t>
  </si>
  <si>
    <t xml:space="preserve">TER-04</t>
  </si>
  <si>
    <t xml:space="preserve">Termômetro de espeto do recebimento</t>
  </si>
  <si>
    <t xml:space="preserve">Recebimento</t>
  </si>
  <si>
    <t xml:space="preserve">Temperatura dos insumos refrigerados: até 7 °C</t>
  </si>
  <si>
    <t xml:space="preserve">TER-05</t>
  </si>
  <si>
    <t xml:space="preserve">Termômetro de visor da câmara fria, novo</t>
  </si>
  <si>
    <t xml:space="preserve">BAL-01</t>
  </si>
  <si>
    <t xml:space="preserve">Balança da bancada</t>
  </si>
  <si>
    <t xml:space="preserve">Produção</t>
  </si>
  <si>
    <t xml:space="preserve">Peso da bola de massa: 380 a 420 g</t>
  </si>
  <si>
    <t xml:space="preserve">g</t>
  </si>
  <si>
    <t xml:space="preserve">BAL-02</t>
  </si>
  <si>
    <t xml:space="preserve">Balança do recebimento</t>
  </si>
  <si>
    <t xml:space="preserve">Peso dos insumos recebidos</t>
  </si>
  <si>
    <t xml:space="preserve">Código · instrumento</t>
  </si>
  <si>
    <t xml:space="preserve">Registro · ponto</t>
  </si>
  <si>
    <t xml:space="preserve">Ação</t>
  </si>
  <si>
    <t xml:space="preserve">Resultados anteriores</t>
  </si>
  <si>
    <t xml:space="preserve">TER-03 · Termômetro do forno</t>
  </si>
  <si>
    <t xml:space="preserve">Calibração</t>
  </si>
  <si>
    <t xml:space="preserve">Certificado 1442/26, laboratório acreditado · 300 °C</t>
  </si>
  <si>
    <t xml:space="preserve">BAL-02 · Balança do recebimento</t>
  </si>
  <si>
    <t xml:space="preserve">Certificado 0187/27, laboratório acreditado · 10 kg</t>
  </si>
  <si>
    <t xml:space="preserve">BAL-01 · Balança da bancada</t>
  </si>
  <si>
    <t xml:space="preserve">Planilha de verificação FR-07 · Peso-padrão de 500 g</t>
  </si>
  <si>
    <t xml:space="preserve">TER-01 · Termômetro de espeto</t>
  </si>
  <si>
    <t xml:space="preserve">Planilha de verificação FR-07 · Água com gelo, 0 °C</t>
  </si>
  <si>
    <t xml:space="preserve">TER-02 · Termômetro de visor da câmara fria</t>
  </si>
  <si>
    <t xml:space="preserve">Planilha de verificação FR-07 · Contra o TER-01, a 5 °C</t>
  </si>
  <si>
    <t xml:space="preserve">Retirado da câmara. O TER-05, verificado contra o TER-01, foi instalado no lugar.</t>
  </si>
  <si>
    <t xml:space="preserve">TER-05 · Termômetro de visor da câmara fria, novo</t>
  </si>
  <si>
    <t xml:space="preserve">Instrumentos por situação</t>
  </si>
  <si>
    <t xml:space="preserve">Registros: aprovados, reprovados</t>
  </si>
  <si>
    <t xml:space="preserve">Indústria de embalagens plásticas</t>
  </si>
  <si>
    <t xml:space="preserve">Analista da Qualidade, com o Laboratório</t>
  </si>
  <si>
    <t xml:space="preserve">Termômetro padrão PAD-01 e blocos-padrão de espessura, calibrados por laboratório acreditado.</t>
  </si>
  <si>
    <t xml:space="preserve">Auditoria interna de 2026: 3 de 25 instrumentos em uso com a calibração vencida (GUT e Ishikawa da série).</t>
  </si>
  <si>
    <t xml:space="preserve">MIC-07</t>
  </si>
  <si>
    <t xml:space="preserve">Micrômetro de ponta plana</t>
  </si>
  <si>
    <t xml:space="preserve">Extrusora 3</t>
  </si>
  <si>
    <t xml:space="preserve">Espessura do filme: 38 a 42 µm</t>
  </si>
  <si>
    <t xml:space="preserve">µm</t>
  </si>
  <si>
    <t xml:space="preserve">MIC-08</t>
  </si>
  <si>
    <t xml:space="preserve">Micrômetro digital</t>
  </si>
  <si>
    <t xml:space="preserve">Laboratório</t>
  </si>
  <si>
    <t xml:space="preserve">TR-03</t>
  </si>
  <si>
    <t xml:space="preserve">Trena digital</t>
  </si>
  <si>
    <t xml:space="preserve">Largura do filme: 598 a 602 mm</t>
  </si>
  <si>
    <t xml:space="preserve">mm</t>
  </si>
  <si>
    <t xml:space="preserve">TER-Z3</t>
  </si>
  <si>
    <t xml:space="preserve">Termopar da zona 3</t>
  </si>
  <si>
    <t xml:space="preserve">Temperatura da zona 3: 185 a 195 °C</t>
  </si>
  <si>
    <t xml:space="preserve">DIN-01</t>
  </si>
  <si>
    <t xml:space="preserve">Dinamômetro</t>
  </si>
  <si>
    <t xml:space="preserve">Resistência da solda: no mínimo 12 N/15 mm</t>
  </si>
  <si>
    <t xml:space="preserve">N</t>
  </si>
  <si>
    <t xml:space="preserve">TER-L1</t>
  </si>
  <si>
    <t xml:space="preserve">Termômetro da câmara de condicionamento</t>
  </si>
  <si>
    <t xml:space="preserve">Temperatura do ensaio a -18 °C, com ±2 °C</t>
  </si>
  <si>
    <t xml:space="preserve">PAD-01</t>
  </si>
  <si>
    <t xml:space="preserve">Termômetro padrão</t>
  </si>
  <si>
    <t xml:space="preserve">Referência das verificações internas</t>
  </si>
  <si>
    <t xml:space="preserve">TER-Z3 · Termopar da zona 3</t>
  </si>
  <si>
    <t xml:space="preserve">Certificado T-2026-0802, laboratório acreditado · 190 °C</t>
  </si>
  <si>
    <t xml:space="preserve">TR-03 · Trena digital</t>
  </si>
  <si>
    <t xml:space="preserve">Certificado D-2026-1108, laboratório acreditado · 600 mm</t>
  </si>
  <si>
    <t xml:space="preserve">MIC-07 · Micrômetro de ponta plana</t>
  </si>
  <si>
    <t xml:space="preserve">Certificado C-2027-0112, laboratório acreditado · 40 µm</t>
  </si>
  <si>
    <t xml:space="preserve">PAD-01 · Termômetro padrão</t>
  </si>
  <si>
    <t xml:space="preserve">Certificado P-2027-0210, laboratório acreditado · -18 °C e 20 °C</t>
  </si>
  <si>
    <t xml:space="preserve">MIC-08 · Micrômetro digital</t>
  </si>
  <si>
    <t xml:space="preserve">Certificado C-2027-0315, laboratório acreditado · 40 µm</t>
  </si>
  <si>
    <t xml:space="preserve">TER-L1 · Termômetro da câmara de condicionamento</t>
  </si>
  <si>
    <t xml:space="preserve">Registro de verificação FV-09 · Contra o PAD-01, a -18 °C</t>
  </si>
  <si>
    <t xml:space="preserve">DIN-01 · Dinamômetro</t>
  </si>
  <si>
    <t xml:space="preserve">Certificado F-2027-0521, laboratório acreditado · 15 N</t>
  </si>
  <si>
    <t xml:space="preserve">Registro de verificação FV-12 · Bloco-padrão de 40 µm</t>
  </si>
  <si>
    <t xml:space="preserve">Retirado do posto. O MIC-08 mede as bobinas até a reposição, e um micrômetro de 0,1 µm foi comprado.</t>
  </si>
  <si>
    <t xml:space="preserve">Medições de 10/01 a 12/06 corrigidas em 1,6 µm: 6 bobinas abaixo de 38 µm, 2 delas já entregues, inclusive a do lote 135. Clientes informados em 14/06.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</si>
</sst>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###"/>
    <numFmt numFmtId="167" formatCode="General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D8EFDD"/>
        </patternFill>
      </fill>
    </dxf>
    <dxf>
      <fill>
        <patternFill>
          <bgColor rgb="FFF8EBCB"/>
        </patternFill>
      </fill>
    </dxf>
    <dxf>
      <fill>
        <patternFill>
          <bgColor rgb="FFF6D9D7"/>
        </patternFill>
      </fill>
    </dxf>
    <dxf>
      <fill>
        <patternFill>
          <bgColor rgb="FFEEF1F3"/>
        </patternFill>
      </fill>
    </dxf>
    <dxf>
      <fill>
        <patternFill>
          <bgColor rgb="FFFB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"Instrumentos"</c:f>
              <c:strCache>
                <c:ptCount val="1"/>
                <c:pt idx="0">
                  <c:v>Instrumentos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Painel!$B$21:$B$25</c:f>
              <c:strCache>
                <c:ptCount val="5"/>
                <c:pt idx="0">
                  <c:v>Em dia</c:v>
                </c:pt>
                <c:pt idx="1">
                  <c:v>Vence em breve</c:v>
                </c:pt>
                <c:pt idx="2">
                  <c:v>Vencido</c:v>
                </c:pt>
                <c:pt idx="3">
                  <c:v>Sem calibração</c:v>
                </c:pt>
                <c:pt idx="4">
                  <c:v>Fora de uso</c:v>
                </c:pt>
              </c:strCache>
            </c:strRef>
          </c:cat>
          <c:val>
            <c:numRef>
              <c:f>Painel!$C$21:$C$25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70"/>
        <c:overlap val="0"/>
        <c:axId val="97683038"/>
        <c:axId val="72540678"/>
      </c:barChart>
      <c:catAx>
        <c:axId val="976830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40678"/>
        <c:crosses val="autoZero"/>
        <c:auto val="1"/>
        <c:lblAlgn val="ctr"/>
        <c:lblOffset val="100"/>
        <c:noMultiLvlLbl val="0"/>
      </c:catAx>
      <c:valAx>
        <c:axId val="7254067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83038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20</xdr:row>
      <xdr:rowOff>0</xdr:rowOff>
    </xdr:from>
    <xdr:to>
      <xdr:col>5</xdr:col>
      <xdr:colOff>2346120</xdr:colOff>
      <xdr:row>33</xdr:row>
      <xdr:rowOff>43200</xdr:rowOff>
    </xdr:to>
    <xdr:graphicFrame>
      <xdr:nvGraphicFramePr>
        <xdr:cNvPr id="0" name="Chart 1"/>
        <xdr:cNvGraphicFramePr/>
      </xdr:nvGraphicFramePr>
      <xdr:xfrm>
        <a:off x="3665160" y="5276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19.5" hidden="false" customHeight="true" outlineLevel="0" collapsed="false">
      <c r="B17" s="4" t="s">
        <v>24</v>
      </c>
      <c r="C17" s="7" t="s">
        <v>25</v>
      </c>
    </row>
    <row r="18" customFormat="false" ht="19.5" hidden="false" customHeight="true" outlineLevel="0" collapsed="false">
      <c r="B18" s="4" t="s">
        <v>26</v>
      </c>
      <c r="C18" s="7" t="s">
        <v>27</v>
      </c>
    </row>
    <row r="19" customFormat="false" ht="31.5" hidden="false" customHeight="true" outlineLevel="0" collapsed="false">
      <c r="B19" s="4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31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7" customFormat="false" ht="21.75" hidden="false" customHeight="true" outlineLevel="0" collapsed="false">
      <c r="B37" s="3" t="s">
        <v>56</v>
      </c>
      <c r="C37" s="3"/>
    </row>
    <row r="38" customFormat="false" ht="31.5" hidden="false" customHeight="true" outlineLevel="0" collapsed="false">
      <c r="B38" s="4" t="s">
        <v>57</v>
      </c>
      <c r="C38" s="7" t="s">
        <v>58</v>
      </c>
    </row>
    <row r="39" customFormat="false" ht="19.5" hidden="false" customHeight="true" outlineLevel="0" collapsed="false">
      <c r="B39" s="4" t="s">
        <v>59</v>
      </c>
      <c r="C39" s="7" t="s">
        <v>60</v>
      </c>
    </row>
    <row r="40" customFormat="false" ht="19.5" hidden="false" customHeight="true" outlineLevel="0" collapsed="false">
      <c r="B40" s="4" t="s">
        <v>61</v>
      </c>
      <c r="C40" s="7" t="s">
        <v>62</v>
      </c>
    </row>
    <row r="41" customFormat="false" ht="19.5" hidden="false" customHeight="true" outlineLevel="0" collapsed="false">
      <c r="B41" s="4" t="s">
        <v>63</v>
      </c>
      <c r="C41" s="7" t="s">
        <v>64</v>
      </c>
    </row>
  </sheetData>
  <mergeCells count="7">
    <mergeCell ref="B1:C1"/>
    <mergeCell ref="B2:C2"/>
    <mergeCell ref="B4:C4"/>
    <mergeCell ref="B11:C11"/>
    <mergeCell ref="B21:C21"/>
    <mergeCell ref="B29:C29"/>
    <mergeCell ref="B37:C37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R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7" min="16" style="0" width="16"/>
    <col collapsed="false" customWidth="true" hidden="false" outlineLevel="0" max="18" min="18" style="0" width="30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B2" s="2" t="s">
        <v>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true" outlineLevel="0" collapsed="false">
      <c r="B4" s="4" t="s">
        <v>67</v>
      </c>
      <c r="C4" s="4"/>
      <c r="D4" s="4"/>
      <c r="E4" s="8"/>
      <c r="F4" s="9" t="s">
        <v>68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6" customFormat="false" ht="33" hidden="false" customHeight="true" outlineLevel="0" collapsed="false">
      <c r="B6" s="10" t="s">
        <v>69</v>
      </c>
      <c r="C6" s="10" t="s">
        <v>70</v>
      </c>
      <c r="D6" s="10" t="s">
        <v>71</v>
      </c>
      <c r="E6" s="10" t="s">
        <v>72</v>
      </c>
      <c r="F6" s="10" t="s">
        <v>73</v>
      </c>
      <c r="G6" s="10" t="s">
        <v>74</v>
      </c>
      <c r="H6" s="10" t="s">
        <v>57</v>
      </c>
      <c r="I6" s="10" t="s">
        <v>75</v>
      </c>
      <c r="J6" s="10" t="s">
        <v>76</v>
      </c>
      <c r="K6" s="10" t="s">
        <v>77</v>
      </c>
      <c r="L6" s="10" t="s">
        <v>78</v>
      </c>
      <c r="M6" s="10" t="s">
        <v>79</v>
      </c>
      <c r="N6" s="10" t="s">
        <v>80</v>
      </c>
      <c r="O6" s="10" t="s">
        <v>81</v>
      </c>
      <c r="P6" s="10" t="s">
        <v>82</v>
      </c>
      <c r="Q6" s="10" t="s">
        <v>26</v>
      </c>
      <c r="R6" s="10" t="s">
        <v>83</v>
      </c>
    </row>
    <row r="7" customFormat="false" ht="30" hidden="false" customHeight="true" outlineLevel="0" collapsed="false">
      <c r="B7" s="11"/>
      <c r="C7" s="11" t="s">
        <v>84</v>
      </c>
      <c r="D7" s="11"/>
      <c r="E7" s="11"/>
      <c r="F7" s="11" t="s">
        <v>85</v>
      </c>
      <c r="G7" s="11" t="s">
        <v>86</v>
      </c>
      <c r="H7" s="11" t="s">
        <v>87</v>
      </c>
      <c r="I7" s="11" t="s">
        <v>88</v>
      </c>
      <c r="J7" s="11" t="s">
        <v>89</v>
      </c>
      <c r="K7" s="11" t="s">
        <v>90</v>
      </c>
      <c r="L7" s="11" t="s">
        <v>91</v>
      </c>
      <c r="M7" s="11" t="s">
        <v>90</v>
      </c>
      <c r="N7" s="11" t="s">
        <v>89</v>
      </c>
      <c r="O7" s="11" t="s">
        <v>92</v>
      </c>
      <c r="P7" s="11" t="s">
        <v>92</v>
      </c>
      <c r="Q7" s="11" t="s">
        <v>92</v>
      </c>
      <c r="R7" s="11" t="s">
        <v>92</v>
      </c>
    </row>
    <row r="8" customFormat="false" ht="30" hidden="false" customHeight="true" outlineLevel="0" collapsed="false">
      <c r="B8" s="12" t="n">
        <v>1</v>
      </c>
      <c r="C8" s="13"/>
      <c r="D8" s="5"/>
      <c r="E8" s="5"/>
      <c r="F8" s="5"/>
      <c r="G8" s="13"/>
      <c r="H8" s="14"/>
      <c r="I8" s="14"/>
      <c r="J8" s="13"/>
      <c r="K8" s="14"/>
      <c r="L8" s="8"/>
      <c r="M8" s="14"/>
      <c r="N8" s="13"/>
      <c r="O8" s="15" t="str">
        <f aca="false">IF(OR(L8="",K8=""),"",EDATE(L8,K8))</f>
        <v/>
      </c>
      <c r="P8" s="16" t="str">
        <f aca="false">IF(C8="","",IF(N8="Não","Fora de uso",IF(L8="","Sem calibração",IF(AND(ISNUMBER($E$4),O8&lt;$E$4),"Vencido",IF(AND(ISNUMBER($E$4),O8-$E$4&lt;MIN(30,(O8-L8)/4)),"Vence em breve","Em dia")))))</f>
        <v/>
      </c>
      <c r="Q8" s="17" t="str">
        <f aca="false">IF(OR(H8="",I8=""),"",IF(I8&lt;=H8/10+0.000000001,"Adequado","Resolução grossa"))</f>
        <v/>
      </c>
      <c r="R8" s="17" t="str">
        <f aca="false">IF(C8="","",IF(F8="","Falta o que mede",IF(J8="","Falta o tipo de controle",IF(K8="","Falta o intervalo",IF(M8="","Falta o erro máximo admissível",IF(P8="Fora de uso","Fora de uso",IF(P8="Vencido","Vencido: bloquear ou calibrar",IF(P8="Sem calibração","Sem calibração ou verificação",IF(Q8="Resolução grossa","Resolução grossa para a tolerância","OK")))))))))</f>
        <v/>
      </c>
    </row>
    <row r="9" customFormat="false" ht="30" hidden="false" customHeight="true" outlineLevel="0" collapsed="false">
      <c r="B9" s="12" t="n">
        <v>2</v>
      </c>
      <c r="C9" s="13"/>
      <c r="D9" s="5"/>
      <c r="E9" s="5"/>
      <c r="F9" s="5"/>
      <c r="G9" s="13"/>
      <c r="H9" s="14"/>
      <c r="I9" s="14"/>
      <c r="J9" s="13"/>
      <c r="K9" s="14"/>
      <c r="L9" s="8"/>
      <c r="M9" s="14"/>
      <c r="N9" s="13"/>
      <c r="O9" s="15" t="str">
        <f aca="false">IF(OR(L9="",K9=""),"",EDATE(L9,K9))</f>
        <v/>
      </c>
      <c r="P9" s="16" t="str">
        <f aca="false">IF(C9="","",IF(N9="Não","Fora de uso",IF(L9="","Sem calibração",IF(AND(ISNUMBER($E$4),O9&lt;$E$4),"Vencido",IF(AND(ISNUMBER($E$4),O9-$E$4&lt;MIN(30,(O9-L9)/4)),"Vence em breve","Em dia")))))</f>
        <v/>
      </c>
      <c r="Q9" s="17" t="str">
        <f aca="false">IF(OR(H9="",I9=""),"",IF(I9&lt;=H9/10+0.000000001,"Adequado","Resolução grossa"))</f>
        <v/>
      </c>
      <c r="R9" s="17" t="str">
        <f aca="false">IF(C9="","",IF(F9="","Falta o que mede",IF(J9="","Falta o tipo de controle",IF(K9="","Falta o intervalo",IF(M9="","Falta o erro máximo admissível",IF(P9="Fora de uso","Fora de uso",IF(P9="Vencido","Vencido: bloquear ou calibrar",IF(P9="Sem calibração","Sem calibração ou verificação",IF(Q9="Resolução grossa","Resolução grossa para a tolerância","OK")))))))))</f>
        <v/>
      </c>
    </row>
    <row r="10" customFormat="false" ht="30" hidden="false" customHeight="true" outlineLevel="0" collapsed="false">
      <c r="B10" s="12" t="n">
        <v>3</v>
      </c>
      <c r="C10" s="13"/>
      <c r="D10" s="5"/>
      <c r="E10" s="5"/>
      <c r="F10" s="5"/>
      <c r="G10" s="13"/>
      <c r="H10" s="14"/>
      <c r="I10" s="14"/>
      <c r="J10" s="13"/>
      <c r="K10" s="14"/>
      <c r="L10" s="8"/>
      <c r="M10" s="14"/>
      <c r="N10" s="13"/>
      <c r="O10" s="15" t="str">
        <f aca="false">IF(OR(L10="",K10=""),"",EDATE(L10,K10))</f>
        <v/>
      </c>
      <c r="P10" s="16" t="str">
        <f aca="false">IF(C10="","",IF(N10="Não","Fora de uso",IF(L10="","Sem calibração",IF(AND(ISNUMBER($E$4),O10&lt;$E$4),"Vencido",IF(AND(ISNUMBER($E$4),O10-$E$4&lt;MIN(30,(O10-L10)/4)),"Vence em breve","Em dia")))))</f>
        <v/>
      </c>
      <c r="Q10" s="17" t="str">
        <f aca="false">IF(OR(H10="",I10=""),"",IF(I10&lt;=H10/10+0.000000001,"Adequado","Resolução grossa"))</f>
        <v/>
      </c>
      <c r="R10" s="17" t="str">
        <f aca="false">IF(C10="","",IF(F10="","Falta o que mede",IF(J10="","Falta o tipo de controle",IF(K10="","Falta o intervalo",IF(M10="","Falta o erro máximo admissível",IF(P10="Fora de uso","Fora de uso",IF(P10="Vencido","Vencido: bloquear ou calibrar",IF(P10="Sem calibração","Sem calibração ou verificação",IF(Q10="Resolução grossa","Resolução grossa para a tolerância","OK")))))))))</f>
        <v/>
      </c>
    </row>
    <row r="11" customFormat="false" ht="30" hidden="false" customHeight="true" outlineLevel="0" collapsed="false">
      <c r="B11" s="12" t="n">
        <v>4</v>
      </c>
      <c r="C11" s="13"/>
      <c r="D11" s="5"/>
      <c r="E11" s="5"/>
      <c r="F11" s="5"/>
      <c r="G11" s="13"/>
      <c r="H11" s="14"/>
      <c r="I11" s="14"/>
      <c r="J11" s="13"/>
      <c r="K11" s="14"/>
      <c r="L11" s="8"/>
      <c r="M11" s="14"/>
      <c r="N11" s="13"/>
      <c r="O11" s="15" t="str">
        <f aca="false">IF(OR(L11="",K11=""),"",EDATE(L11,K11))</f>
        <v/>
      </c>
      <c r="P11" s="16" t="str">
        <f aca="false">IF(C11="","",IF(N11="Não","Fora de uso",IF(L11="","Sem calibração",IF(AND(ISNUMBER($E$4),O11&lt;$E$4),"Vencido",IF(AND(ISNUMBER($E$4),O11-$E$4&lt;MIN(30,(O11-L11)/4)),"Vence em breve","Em dia")))))</f>
        <v/>
      </c>
      <c r="Q11" s="17" t="str">
        <f aca="false">IF(OR(H11="",I11=""),"",IF(I11&lt;=H11/10+0.000000001,"Adequado","Resolução grossa"))</f>
        <v/>
      </c>
      <c r="R11" s="17" t="str">
        <f aca="false">IF(C11="","",IF(F11="","Falta o que mede",IF(J11="","Falta o tipo de controle",IF(K11="","Falta o intervalo",IF(M11="","Falta o erro máximo admissível",IF(P11="Fora de uso","Fora de uso",IF(P11="Vencido","Vencido: bloquear ou calibrar",IF(P11="Sem calibração","Sem calibração ou verificação",IF(Q11="Resolução grossa","Resolução grossa para a tolerância","OK")))))))))</f>
        <v/>
      </c>
    </row>
    <row r="12" customFormat="false" ht="30" hidden="false" customHeight="true" outlineLevel="0" collapsed="false">
      <c r="B12" s="12" t="n">
        <v>5</v>
      </c>
      <c r="C12" s="13"/>
      <c r="D12" s="5"/>
      <c r="E12" s="5"/>
      <c r="F12" s="5"/>
      <c r="G12" s="13"/>
      <c r="H12" s="14"/>
      <c r="I12" s="14"/>
      <c r="J12" s="13"/>
      <c r="K12" s="14"/>
      <c r="L12" s="8"/>
      <c r="M12" s="14"/>
      <c r="N12" s="13"/>
      <c r="O12" s="15" t="str">
        <f aca="false">IF(OR(L12="",K12=""),"",EDATE(L12,K12))</f>
        <v/>
      </c>
      <c r="P12" s="16" t="str">
        <f aca="false">IF(C12="","",IF(N12="Não","Fora de uso",IF(L12="","Sem calibração",IF(AND(ISNUMBER($E$4),O12&lt;$E$4),"Vencido",IF(AND(ISNUMBER($E$4),O12-$E$4&lt;MIN(30,(O12-L12)/4)),"Vence em breve","Em dia")))))</f>
        <v/>
      </c>
      <c r="Q12" s="17" t="str">
        <f aca="false">IF(OR(H12="",I12=""),"",IF(I12&lt;=H12/10+0.000000001,"Adequado","Resolução grossa"))</f>
        <v/>
      </c>
      <c r="R12" s="17" t="str">
        <f aca="false">IF(C12="","",IF(F12="","Falta o que mede",IF(J12="","Falta o tipo de controle",IF(K12="","Falta o intervalo",IF(M12="","Falta o erro máximo admissível",IF(P12="Fora de uso","Fora de uso",IF(P12="Vencido","Vencido: bloquear ou calibrar",IF(P12="Sem calibração","Sem calibração ou verificação",IF(Q12="Resolução grossa","Resolução grossa para a tolerância","OK")))))))))</f>
        <v/>
      </c>
    </row>
    <row r="13" customFormat="false" ht="30" hidden="false" customHeight="true" outlineLevel="0" collapsed="false">
      <c r="B13" s="12" t="n">
        <v>6</v>
      </c>
      <c r="C13" s="13"/>
      <c r="D13" s="5"/>
      <c r="E13" s="5"/>
      <c r="F13" s="5"/>
      <c r="G13" s="13"/>
      <c r="H13" s="14"/>
      <c r="I13" s="14"/>
      <c r="J13" s="13"/>
      <c r="K13" s="14"/>
      <c r="L13" s="8"/>
      <c r="M13" s="14"/>
      <c r="N13" s="13"/>
      <c r="O13" s="15" t="str">
        <f aca="false">IF(OR(L13="",K13=""),"",EDATE(L13,K13))</f>
        <v/>
      </c>
      <c r="P13" s="16" t="str">
        <f aca="false">IF(C13="","",IF(N13="Não","Fora de uso",IF(L13="","Sem calibração",IF(AND(ISNUMBER($E$4),O13&lt;$E$4),"Vencido",IF(AND(ISNUMBER($E$4),O13-$E$4&lt;MIN(30,(O13-L13)/4)),"Vence em breve","Em dia")))))</f>
        <v/>
      </c>
      <c r="Q13" s="17" t="str">
        <f aca="false">IF(OR(H13="",I13=""),"",IF(I13&lt;=H13/10+0.000000001,"Adequado","Resolução grossa"))</f>
        <v/>
      </c>
      <c r="R13" s="17" t="str">
        <f aca="false">IF(C13="","",IF(F13="","Falta o que mede",IF(J13="","Falta o tipo de controle",IF(K13="","Falta o intervalo",IF(M13="","Falta o erro máximo admissível",IF(P13="Fora de uso","Fora de uso",IF(P13="Vencido","Vencido: bloquear ou calibrar",IF(P13="Sem calibração","Sem calibração ou verificação",IF(Q13="Resolução grossa","Resolução grossa para a tolerância","OK")))))))))</f>
        <v/>
      </c>
    </row>
    <row r="14" customFormat="false" ht="30" hidden="false" customHeight="true" outlineLevel="0" collapsed="false">
      <c r="B14" s="12" t="n">
        <v>7</v>
      </c>
      <c r="C14" s="13"/>
      <c r="D14" s="5"/>
      <c r="E14" s="5"/>
      <c r="F14" s="5"/>
      <c r="G14" s="13"/>
      <c r="H14" s="14"/>
      <c r="I14" s="14"/>
      <c r="J14" s="13"/>
      <c r="K14" s="14"/>
      <c r="L14" s="8"/>
      <c r="M14" s="14"/>
      <c r="N14" s="13"/>
      <c r="O14" s="15" t="str">
        <f aca="false">IF(OR(L14="",K14=""),"",EDATE(L14,K14))</f>
        <v/>
      </c>
      <c r="P14" s="16" t="str">
        <f aca="false">IF(C14="","",IF(N14="Não","Fora de uso",IF(L14="","Sem calibração",IF(AND(ISNUMBER($E$4),O14&lt;$E$4),"Vencido",IF(AND(ISNUMBER($E$4),O14-$E$4&lt;MIN(30,(O14-L14)/4)),"Vence em breve","Em dia")))))</f>
        <v/>
      </c>
      <c r="Q14" s="17" t="str">
        <f aca="false">IF(OR(H14="",I14=""),"",IF(I14&lt;=H14/10+0.000000001,"Adequado","Resolução grossa"))</f>
        <v/>
      </c>
      <c r="R14" s="17" t="str">
        <f aca="false">IF(C14="","",IF(F14="","Falta o que mede",IF(J14="","Falta o tipo de controle",IF(K14="","Falta o intervalo",IF(M14="","Falta o erro máximo admissível",IF(P14="Fora de uso","Fora de uso",IF(P14="Vencido","Vencido: bloquear ou calibrar",IF(P14="Sem calibração","Sem calibração ou verificação",IF(Q14="Resolução grossa","Resolução grossa para a tolerância","OK")))))))))</f>
        <v/>
      </c>
    </row>
    <row r="15" customFormat="false" ht="30" hidden="false" customHeight="true" outlineLevel="0" collapsed="false">
      <c r="B15" s="12" t="n">
        <v>8</v>
      </c>
      <c r="C15" s="13"/>
      <c r="D15" s="5"/>
      <c r="E15" s="5"/>
      <c r="F15" s="5"/>
      <c r="G15" s="13"/>
      <c r="H15" s="14"/>
      <c r="I15" s="14"/>
      <c r="J15" s="13"/>
      <c r="K15" s="14"/>
      <c r="L15" s="8"/>
      <c r="M15" s="14"/>
      <c r="N15" s="13"/>
      <c r="O15" s="15" t="str">
        <f aca="false">IF(OR(L15="",K15=""),"",EDATE(L15,K15))</f>
        <v/>
      </c>
      <c r="P15" s="16" t="str">
        <f aca="false">IF(C15="","",IF(N15="Não","Fora de uso",IF(L15="","Sem calibração",IF(AND(ISNUMBER($E$4),O15&lt;$E$4),"Vencido",IF(AND(ISNUMBER($E$4),O15-$E$4&lt;MIN(30,(O15-L15)/4)),"Vence em breve","Em dia")))))</f>
        <v/>
      </c>
      <c r="Q15" s="17" t="str">
        <f aca="false">IF(OR(H15="",I15=""),"",IF(I15&lt;=H15/10+0.000000001,"Adequado","Resolução grossa"))</f>
        <v/>
      </c>
      <c r="R15" s="17" t="str">
        <f aca="false">IF(C15="","",IF(F15="","Falta o que mede",IF(J15="","Falta o tipo de controle",IF(K15="","Falta o intervalo",IF(M15="","Falta o erro máximo admissível",IF(P15="Fora de uso","Fora de uso",IF(P15="Vencido","Vencido: bloquear ou calibrar",IF(P15="Sem calibração","Sem calibração ou verificação",IF(Q15="Resolução grossa","Resolução grossa para a tolerância","OK")))))))))</f>
        <v/>
      </c>
    </row>
    <row r="16" customFormat="false" ht="30" hidden="false" customHeight="true" outlineLevel="0" collapsed="false">
      <c r="B16" s="12" t="n">
        <v>9</v>
      </c>
      <c r="C16" s="13"/>
      <c r="D16" s="5"/>
      <c r="E16" s="5"/>
      <c r="F16" s="5"/>
      <c r="G16" s="13"/>
      <c r="H16" s="14"/>
      <c r="I16" s="14"/>
      <c r="J16" s="13"/>
      <c r="K16" s="14"/>
      <c r="L16" s="8"/>
      <c r="M16" s="14"/>
      <c r="N16" s="13"/>
      <c r="O16" s="15" t="str">
        <f aca="false">IF(OR(L16="",K16=""),"",EDATE(L16,K16))</f>
        <v/>
      </c>
      <c r="P16" s="16" t="str">
        <f aca="false">IF(C16="","",IF(N16="Não","Fora de uso",IF(L16="","Sem calibração",IF(AND(ISNUMBER($E$4),O16&lt;$E$4),"Vencido",IF(AND(ISNUMBER($E$4),O16-$E$4&lt;MIN(30,(O16-L16)/4)),"Vence em breve","Em dia")))))</f>
        <v/>
      </c>
      <c r="Q16" s="17" t="str">
        <f aca="false">IF(OR(H16="",I16=""),"",IF(I16&lt;=H16/10+0.000000001,"Adequado","Resolução grossa"))</f>
        <v/>
      </c>
      <c r="R16" s="17" t="str">
        <f aca="false">IF(C16="","",IF(F16="","Falta o que mede",IF(J16="","Falta o tipo de controle",IF(K16="","Falta o intervalo",IF(M16="","Falta o erro máximo admissível",IF(P16="Fora de uso","Fora de uso",IF(P16="Vencido","Vencido: bloquear ou calibrar",IF(P16="Sem calibração","Sem calibração ou verificação",IF(Q16="Resolução grossa","Resolução grossa para a tolerância","OK")))))))))</f>
        <v/>
      </c>
    </row>
    <row r="17" customFormat="false" ht="30" hidden="false" customHeight="true" outlineLevel="0" collapsed="false">
      <c r="B17" s="12" t="n">
        <v>10</v>
      </c>
      <c r="C17" s="13"/>
      <c r="D17" s="5"/>
      <c r="E17" s="5"/>
      <c r="F17" s="5"/>
      <c r="G17" s="13"/>
      <c r="H17" s="14"/>
      <c r="I17" s="14"/>
      <c r="J17" s="13"/>
      <c r="K17" s="14"/>
      <c r="L17" s="8"/>
      <c r="M17" s="14"/>
      <c r="N17" s="13"/>
      <c r="O17" s="15" t="str">
        <f aca="false">IF(OR(L17="",K17=""),"",EDATE(L17,K17))</f>
        <v/>
      </c>
      <c r="P17" s="16" t="str">
        <f aca="false">IF(C17="","",IF(N17="Não","Fora de uso",IF(L17="","Sem calibração",IF(AND(ISNUMBER($E$4),O17&lt;$E$4),"Vencido",IF(AND(ISNUMBER($E$4),O17-$E$4&lt;MIN(30,(O17-L17)/4)),"Vence em breve","Em dia")))))</f>
        <v/>
      </c>
      <c r="Q17" s="17" t="str">
        <f aca="false">IF(OR(H17="",I17=""),"",IF(I17&lt;=H17/10+0.000000001,"Adequado","Resolução grossa"))</f>
        <v/>
      </c>
      <c r="R17" s="17" t="str">
        <f aca="false">IF(C17="","",IF(F17="","Falta o que mede",IF(J17="","Falta o tipo de controle",IF(K17="","Falta o intervalo",IF(M17="","Falta o erro máximo admissível",IF(P17="Fora de uso","Fora de uso",IF(P17="Vencido","Vencido: bloquear ou calibrar",IF(P17="Sem calibração","Sem calibração ou verificação",IF(Q17="Resolução grossa","Resolução grossa para a tolerância","OK")))))))))</f>
        <v/>
      </c>
    </row>
    <row r="18" customFormat="false" ht="30" hidden="false" customHeight="true" outlineLevel="0" collapsed="false">
      <c r="B18" s="12" t="n">
        <v>11</v>
      </c>
      <c r="C18" s="13"/>
      <c r="D18" s="5"/>
      <c r="E18" s="5"/>
      <c r="F18" s="5"/>
      <c r="G18" s="13"/>
      <c r="H18" s="14"/>
      <c r="I18" s="14"/>
      <c r="J18" s="13"/>
      <c r="K18" s="14"/>
      <c r="L18" s="8"/>
      <c r="M18" s="14"/>
      <c r="N18" s="13"/>
      <c r="O18" s="15" t="str">
        <f aca="false">IF(OR(L18="",K18=""),"",EDATE(L18,K18))</f>
        <v/>
      </c>
      <c r="P18" s="16" t="str">
        <f aca="false">IF(C18="","",IF(N18="Não","Fora de uso",IF(L18="","Sem calibração",IF(AND(ISNUMBER($E$4),O18&lt;$E$4),"Vencido",IF(AND(ISNUMBER($E$4),O18-$E$4&lt;MIN(30,(O18-L18)/4)),"Vence em breve","Em dia")))))</f>
        <v/>
      </c>
      <c r="Q18" s="17" t="str">
        <f aca="false">IF(OR(H18="",I18=""),"",IF(I18&lt;=H18/10+0.000000001,"Adequado","Resolução grossa"))</f>
        <v/>
      </c>
      <c r="R18" s="17" t="str">
        <f aca="false">IF(C18="","",IF(F18="","Falta o que mede",IF(J18="","Falta o tipo de controle",IF(K18="","Falta o intervalo",IF(M18="","Falta o erro máximo admissível",IF(P18="Fora de uso","Fora de uso",IF(P18="Vencido","Vencido: bloquear ou calibrar",IF(P18="Sem calibração","Sem calibração ou verificação",IF(Q18="Resolução grossa","Resolução grossa para a tolerância","OK")))))))))</f>
        <v/>
      </c>
    </row>
    <row r="19" customFormat="false" ht="30" hidden="false" customHeight="true" outlineLevel="0" collapsed="false">
      <c r="B19" s="12" t="n">
        <v>12</v>
      </c>
      <c r="C19" s="13"/>
      <c r="D19" s="5"/>
      <c r="E19" s="5"/>
      <c r="F19" s="5"/>
      <c r="G19" s="13"/>
      <c r="H19" s="14"/>
      <c r="I19" s="14"/>
      <c r="J19" s="13"/>
      <c r="K19" s="14"/>
      <c r="L19" s="8"/>
      <c r="M19" s="14"/>
      <c r="N19" s="13"/>
      <c r="O19" s="15" t="str">
        <f aca="false">IF(OR(L19="",K19=""),"",EDATE(L19,K19))</f>
        <v/>
      </c>
      <c r="P19" s="16" t="str">
        <f aca="false">IF(C19="","",IF(N19="Não","Fora de uso",IF(L19="","Sem calibração",IF(AND(ISNUMBER($E$4),O19&lt;$E$4),"Vencido",IF(AND(ISNUMBER($E$4),O19-$E$4&lt;MIN(30,(O19-L19)/4)),"Vence em breve","Em dia")))))</f>
        <v/>
      </c>
      <c r="Q19" s="17" t="str">
        <f aca="false">IF(OR(H19="",I19=""),"",IF(I19&lt;=H19/10+0.000000001,"Adequado","Resolução grossa"))</f>
        <v/>
      </c>
      <c r="R19" s="17" t="str">
        <f aca="false">IF(C19="","",IF(F19="","Falta o que mede",IF(J19="","Falta o tipo de controle",IF(K19="","Falta o intervalo",IF(M19="","Falta o erro máximo admissível",IF(P19="Fora de uso","Fora de uso",IF(P19="Vencido","Vencido: bloquear ou calibrar",IF(P19="Sem calibração","Sem calibração ou verificação",IF(Q19="Resolução grossa","Resolução grossa para a tolerância","OK")))))))))</f>
        <v/>
      </c>
    </row>
    <row r="20" customFormat="false" ht="30" hidden="false" customHeight="true" outlineLevel="0" collapsed="false">
      <c r="B20" s="12" t="n">
        <v>13</v>
      </c>
      <c r="C20" s="13"/>
      <c r="D20" s="5"/>
      <c r="E20" s="5"/>
      <c r="F20" s="5"/>
      <c r="G20" s="13"/>
      <c r="H20" s="14"/>
      <c r="I20" s="14"/>
      <c r="J20" s="13"/>
      <c r="K20" s="14"/>
      <c r="L20" s="8"/>
      <c r="M20" s="14"/>
      <c r="N20" s="13"/>
      <c r="O20" s="15" t="str">
        <f aca="false">IF(OR(L20="",K20=""),"",EDATE(L20,K20))</f>
        <v/>
      </c>
      <c r="P20" s="16" t="str">
        <f aca="false">IF(C20="","",IF(N20="Não","Fora de uso",IF(L20="","Sem calibração",IF(AND(ISNUMBER($E$4),O20&lt;$E$4),"Vencido",IF(AND(ISNUMBER($E$4),O20-$E$4&lt;MIN(30,(O20-L20)/4)),"Vence em breve","Em dia")))))</f>
        <v/>
      </c>
      <c r="Q20" s="17" t="str">
        <f aca="false">IF(OR(H20="",I20=""),"",IF(I20&lt;=H20/10+0.000000001,"Adequado","Resolução grossa"))</f>
        <v/>
      </c>
      <c r="R20" s="17" t="str">
        <f aca="false">IF(C20="","",IF(F20="","Falta o que mede",IF(J20="","Falta o tipo de controle",IF(K20="","Falta o intervalo",IF(M20="","Falta o erro máximo admissível",IF(P20="Fora de uso","Fora de uso",IF(P20="Vencido","Vencido: bloquear ou calibrar",IF(P20="Sem calibração","Sem calibração ou verificação",IF(Q20="Resolução grossa","Resolução grossa para a tolerância","OK")))))))))</f>
        <v/>
      </c>
    </row>
    <row r="21" customFormat="false" ht="30" hidden="false" customHeight="true" outlineLevel="0" collapsed="false">
      <c r="B21" s="12" t="n">
        <v>14</v>
      </c>
      <c r="C21" s="13"/>
      <c r="D21" s="5"/>
      <c r="E21" s="5"/>
      <c r="F21" s="5"/>
      <c r="G21" s="13"/>
      <c r="H21" s="14"/>
      <c r="I21" s="14"/>
      <c r="J21" s="13"/>
      <c r="K21" s="14"/>
      <c r="L21" s="8"/>
      <c r="M21" s="14"/>
      <c r="N21" s="13"/>
      <c r="O21" s="15" t="str">
        <f aca="false">IF(OR(L21="",K21=""),"",EDATE(L21,K21))</f>
        <v/>
      </c>
      <c r="P21" s="16" t="str">
        <f aca="false">IF(C21="","",IF(N21="Não","Fora de uso",IF(L21="","Sem calibração",IF(AND(ISNUMBER($E$4),O21&lt;$E$4),"Vencido",IF(AND(ISNUMBER($E$4),O21-$E$4&lt;MIN(30,(O21-L21)/4)),"Vence em breve","Em dia")))))</f>
        <v/>
      </c>
      <c r="Q21" s="17" t="str">
        <f aca="false">IF(OR(H21="",I21=""),"",IF(I21&lt;=H21/10+0.000000001,"Adequado","Resolução grossa"))</f>
        <v/>
      </c>
      <c r="R21" s="17" t="str">
        <f aca="false">IF(C21="","",IF(F21="","Falta o que mede",IF(J21="","Falta o tipo de controle",IF(K21="","Falta o intervalo",IF(M21="","Falta o erro máximo admissível",IF(P21="Fora de uso","Fora de uso",IF(P21="Vencido","Vencido: bloquear ou calibrar",IF(P21="Sem calibração","Sem calibração ou verificação",IF(Q21="Resolução grossa","Resolução grossa para a tolerância","OK")))))))))</f>
        <v/>
      </c>
    </row>
    <row r="22" customFormat="false" ht="30" hidden="false" customHeight="true" outlineLevel="0" collapsed="false">
      <c r="B22" s="12" t="n">
        <v>15</v>
      </c>
      <c r="C22" s="13"/>
      <c r="D22" s="5"/>
      <c r="E22" s="5"/>
      <c r="F22" s="5"/>
      <c r="G22" s="13"/>
      <c r="H22" s="14"/>
      <c r="I22" s="14"/>
      <c r="J22" s="13"/>
      <c r="K22" s="14"/>
      <c r="L22" s="8"/>
      <c r="M22" s="14"/>
      <c r="N22" s="13"/>
      <c r="O22" s="15" t="str">
        <f aca="false">IF(OR(L22="",K22=""),"",EDATE(L22,K22))</f>
        <v/>
      </c>
      <c r="P22" s="16" t="str">
        <f aca="false">IF(C22="","",IF(N22="Não","Fora de uso",IF(L22="","Sem calibração",IF(AND(ISNUMBER($E$4),O22&lt;$E$4),"Vencido",IF(AND(ISNUMBER($E$4),O22-$E$4&lt;MIN(30,(O22-L22)/4)),"Vence em breve","Em dia")))))</f>
        <v/>
      </c>
      <c r="Q22" s="17" t="str">
        <f aca="false">IF(OR(H22="",I22=""),"",IF(I22&lt;=H22/10+0.000000001,"Adequado","Resolução grossa"))</f>
        <v/>
      </c>
      <c r="R22" s="17" t="str">
        <f aca="false">IF(C22="","",IF(F22="","Falta o que mede",IF(J22="","Falta o tipo de controle",IF(K22="","Falta o intervalo",IF(M22="","Falta o erro máximo admissível",IF(P22="Fora de uso","Fora de uso",IF(P22="Vencido","Vencido: bloquear ou calibrar",IF(P22="Sem calibração","Sem calibração ou verificação",IF(Q22="Resolução grossa","Resolução grossa para a tolerância","OK")))))))))</f>
        <v/>
      </c>
    </row>
    <row r="23" customFormat="false" ht="30" hidden="false" customHeight="true" outlineLevel="0" collapsed="false">
      <c r="B23" s="12" t="n">
        <v>16</v>
      </c>
      <c r="C23" s="13"/>
      <c r="D23" s="5"/>
      <c r="E23" s="5"/>
      <c r="F23" s="5"/>
      <c r="G23" s="13"/>
      <c r="H23" s="14"/>
      <c r="I23" s="14"/>
      <c r="J23" s="13"/>
      <c r="K23" s="14"/>
      <c r="L23" s="8"/>
      <c r="M23" s="14"/>
      <c r="N23" s="13"/>
      <c r="O23" s="15" t="str">
        <f aca="false">IF(OR(L23="",K23=""),"",EDATE(L23,K23))</f>
        <v/>
      </c>
      <c r="P23" s="16" t="str">
        <f aca="false">IF(C23="","",IF(N23="Não","Fora de uso",IF(L23="","Sem calibração",IF(AND(ISNUMBER($E$4),O23&lt;$E$4),"Vencido",IF(AND(ISNUMBER($E$4),O23-$E$4&lt;MIN(30,(O23-L23)/4)),"Vence em breve","Em dia")))))</f>
        <v/>
      </c>
      <c r="Q23" s="17" t="str">
        <f aca="false">IF(OR(H23="",I23=""),"",IF(I23&lt;=H23/10+0.000000001,"Adequado","Resolução grossa"))</f>
        <v/>
      </c>
      <c r="R23" s="17" t="str">
        <f aca="false">IF(C23="","",IF(F23="","Falta o que mede",IF(J23="","Falta o tipo de controle",IF(K23="","Falta o intervalo",IF(M23="","Falta o erro máximo admissível",IF(P23="Fora de uso","Fora de uso",IF(P23="Vencido","Vencido: bloquear ou calibrar",IF(P23="Sem calibração","Sem calibração ou verificação",IF(Q23="Resolução grossa","Resolução grossa para a tolerância","OK")))))))))</f>
        <v/>
      </c>
    </row>
    <row r="24" customFormat="false" ht="30" hidden="false" customHeight="true" outlineLevel="0" collapsed="false">
      <c r="B24" s="12" t="n">
        <v>17</v>
      </c>
      <c r="C24" s="13"/>
      <c r="D24" s="5"/>
      <c r="E24" s="5"/>
      <c r="F24" s="5"/>
      <c r="G24" s="13"/>
      <c r="H24" s="14"/>
      <c r="I24" s="14"/>
      <c r="J24" s="13"/>
      <c r="K24" s="14"/>
      <c r="L24" s="8"/>
      <c r="M24" s="14"/>
      <c r="N24" s="13"/>
      <c r="O24" s="15" t="str">
        <f aca="false">IF(OR(L24="",K24=""),"",EDATE(L24,K24))</f>
        <v/>
      </c>
      <c r="P24" s="16" t="str">
        <f aca="false">IF(C24="","",IF(N24="Não","Fora de uso",IF(L24="","Sem calibração",IF(AND(ISNUMBER($E$4),O24&lt;$E$4),"Vencido",IF(AND(ISNUMBER($E$4),O24-$E$4&lt;MIN(30,(O24-L24)/4)),"Vence em breve","Em dia")))))</f>
        <v/>
      </c>
      <c r="Q24" s="17" t="str">
        <f aca="false">IF(OR(H24="",I24=""),"",IF(I24&lt;=H24/10+0.000000001,"Adequado","Resolução grossa"))</f>
        <v/>
      </c>
      <c r="R24" s="17" t="str">
        <f aca="false">IF(C24="","",IF(F24="","Falta o que mede",IF(J24="","Falta o tipo de controle",IF(K24="","Falta o intervalo",IF(M24="","Falta o erro máximo admissível",IF(P24="Fora de uso","Fora de uso",IF(P24="Vencido","Vencido: bloquear ou calibrar",IF(P24="Sem calibração","Sem calibração ou verificação",IF(Q24="Resolução grossa","Resolução grossa para a tolerância","OK")))))))))</f>
        <v/>
      </c>
    </row>
    <row r="25" customFormat="false" ht="30" hidden="false" customHeight="true" outlineLevel="0" collapsed="false">
      <c r="B25" s="12" t="n">
        <v>18</v>
      </c>
      <c r="C25" s="13"/>
      <c r="D25" s="5"/>
      <c r="E25" s="5"/>
      <c r="F25" s="5"/>
      <c r="G25" s="13"/>
      <c r="H25" s="14"/>
      <c r="I25" s="14"/>
      <c r="J25" s="13"/>
      <c r="K25" s="14"/>
      <c r="L25" s="8"/>
      <c r="M25" s="14"/>
      <c r="N25" s="13"/>
      <c r="O25" s="15" t="str">
        <f aca="false">IF(OR(L25="",K25=""),"",EDATE(L25,K25))</f>
        <v/>
      </c>
      <c r="P25" s="16" t="str">
        <f aca="false">IF(C25="","",IF(N25="Não","Fora de uso",IF(L25="","Sem calibração",IF(AND(ISNUMBER($E$4),O25&lt;$E$4),"Vencido",IF(AND(ISNUMBER($E$4),O25-$E$4&lt;MIN(30,(O25-L25)/4)),"Vence em breve","Em dia")))))</f>
        <v/>
      </c>
      <c r="Q25" s="17" t="str">
        <f aca="false">IF(OR(H25="",I25=""),"",IF(I25&lt;=H25/10+0.000000001,"Adequado","Resolução grossa"))</f>
        <v/>
      </c>
      <c r="R25" s="17" t="str">
        <f aca="false">IF(C25="","",IF(F25="","Falta o que mede",IF(J25="","Falta o tipo de controle",IF(K25="","Falta o intervalo",IF(M25="","Falta o erro máximo admissível",IF(P25="Fora de uso","Fora de uso",IF(P25="Vencido","Vencido: bloquear ou calibrar",IF(P25="Sem calibração","Sem calibração ou verificação",IF(Q25="Resolução grossa","Resolução grossa para a tolerância","OK")))))))))</f>
        <v/>
      </c>
    </row>
    <row r="26" customFormat="false" ht="30" hidden="false" customHeight="true" outlineLevel="0" collapsed="false">
      <c r="B26" s="12" t="n">
        <v>19</v>
      </c>
      <c r="C26" s="13"/>
      <c r="D26" s="5"/>
      <c r="E26" s="5"/>
      <c r="F26" s="5"/>
      <c r="G26" s="13"/>
      <c r="H26" s="14"/>
      <c r="I26" s="14"/>
      <c r="J26" s="13"/>
      <c r="K26" s="14"/>
      <c r="L26" s="8"/>
      <c r="M26" s="14"/>
      <c r="N26" s="13"/>
      <c r="O26" s="15" t="str">
        <f aca="false">IF(OR(L26="",K26=""),"",EDATE(L26,K26))</f>
        <v/>
      </c>
      <c r="P26" s="16" t="str">
        <f aca="false">IF(C26="","",IF(N26="Não","Fora de uso",IF(L26="","Sem calibração",IF(AND(ISNUMBER($E$4),O26&lt;$E$4),"Vencido",IF(AND(ISNUMBER($E$4),O26-$E$4&lt;MIN(30,(O26-L26)/4)),"Vence em breve","Em dia")))))</f>
        <v/>
      </c>
      <c r="Q26" s="17" t="str">
        <f aca="false">IF(OR(H26="",I26=""),"",IF(I26&lt;=H26/10+0.000000001,"Adequado","Resolução grossa"))</f>
        <v/>
      </c>
      <c r="R26" s="17" t="str">
        <f aca="false">IF(C26="","",IF(F26="","Falta o que mede",IF(J26="","Falta o tipo de controle",IF(K26="","Falta o intervalo",IF(M26="","Falta o erro máximo admissível",IF(P26="Fora de uso","Fora de uso",IF(P26="Vencido","Vencido: bloquear ou calibrar",IF(P26="Sem calibração","Sem calibração ou verificação",IF(Q26="Resolução grossa","Resolução grossa para a tolerância","OK")))))))))</f>
        <v/>
      </c>
    </row>
    <row r="27" customFormat="false" ht="30" hidden="false" customHeight="true" outlineLevel="0" collapsed="false">
      <c r="B27" s="12" t="n">
        <v>20</v>
      </c>
      <c r="C27" s="13"/>
      <c r="D27" s="5"/>
      <c r="E27" s="5"/>
      <c r="F27" s="5"/>
      <c r="G27" s="13"/>
      <c r="H27" s="14"/>
      <c r="I27" s="14"/>
      <c r="J27" s="13"/>
      <c r="K27" s="14"/>
      <c r="L27" s="8"/>
      <c r="M27" s="14"/>
      <c r="N27" s="13"/>
      <c r="O27" s="15" t="str">
        <f aca="false">IF(OR(L27="",K27=""),"",EDATE(L27,K27))</f>
        <v/>
      </c>
      <c r="P27" s="16" t="str">
        <f aca="false">IF(C27="","",IF(N27="Não","Fora de uso",IF(L27="","Sem calibração",IF(AND(ISNUMBER($E$4),O27&lt;$E$4),"Vencido",IF(AND(ISNUMBER($E$4),O27-$E$4&lt;MIN(30,(O27-L27)/4)),"Vence em breve","Em dia")))))</f>
        <v/>
      </c>
      <c r="Q27" s="17" t="str">
        <f aca="false">IF(OR(H27="",I27=""),"",IF(I27&lt;=H27/10+0.000000001,"Adequado","Resolução grossa"))</f>
        <v/>
      </c>
      <c r="R27" s="17" t="str">
        <f aca="false">IF(C27="","",IF(F27="","Falta o que mede",IF(J27="","Falta o tipo de controle",IF(K27="","Falta o intervalo",IF(M27="","Falta o erro máximo admissível",IF(P27="Fora de uso","Fora de uso",IF(P27="Vencido","Vencido: bloquear ou calibrar",IF(P27="Sem calibração","Sem calibração ou verificação",IF(Q27="Resolução grossa","Resolução grossa para a tolerância","OK")))))))))</f>
        <v/>
      </c>
    </row>
    <row r="28" customFormat="false" ht="30" hidden="false" customHeight="true" outlineLevel="0" collapsed="false">
      <c r="B28" s="12" t="n">
        <v>21</v>
      </c>
      <c r="C28" s="13"/>
      <c r="D28" s="5"/>
      <c r="E28" s="5"/>
      <c r="F28" s="5"/>
      <c r="G28" s="13"/>
      <c r="H28" s="14"/>
      <c r="I28" s="14"/>
      <c r="J28" s="13"/>
      <c r="K28" s="14"/>
      <c r="L28" s="8"/>
      <c r="M28" s="14"/>
      <c r="N28" s="13"/>
      <c r="O28" s="15" t="str">
        <f aca="false">IF(OR(L28="",K28=""),"",EDATE(L28,K28))</f>
        <v/>
      </c>
      <c r="P28" s="16" t="str">
        <f aca="false">IF(C28="","",IF(N28="Não","Fora de uso",IF(L28="","Sem calibração",IF(AND(ISNUMBER($E$4),O28&lt;$E$4),"Vencido",IF(AND(ISNUMBER($E$4),O28-$E$4&lt;MIN(30,(O28-L28)/4)),"Vence em breve","Em dia")))))</f>
        <v/>
      </c>
      <c r="Q28" s="17" t="str">
        <f aca="false">IF(OR(H28="",I28=""),"",IF(I28&lt;=H28/10+0.000000001,"Adequado","Resolução grossa"))</f>
        <v/>
      </c>
      <c r="R28" s="17" t="str">
        <f aca="false">IF(C28="","",IF(F28="","Falta o que mede",IF(J28="","Falta o tipo de controle",IF(K28="","Falta o intervalo",IF(M28="","Falta o erro máximo admissível",IF(P28="Fora de uso","Fora de uso",IF(P28="Vencido","Vencido: bloquear ou calibrar",IF(P28="Sem calibração","Sem calibração ou verificação",IF(Q28="Resolução grossa","Resolução grossa para a tolerância","OK")))))))))</f>
        <v/>
      </c>
    </row>
    <row r="29" customFormat="false" ht="30" hidden="false" customHeight="true" outlineLevel="0" collapsed="false">
      <c r="B29" s="12" t="n">
        <v>22</v>
      </c>
      <c r="C29" s="13"/>
      <c r="D29" s="5"/>
      <c r="E29" s="5"/>
      <c r="F29" s="5"/>
      <c r="G29" s="13"/>
      <c r="H29" s="14"/>
      <c r="I29" s="14"/>
      <c r="J29" s="13"/>
      <c r="K29" s="14"/>
      <c r="L29" s="8"/>
      <c r="M29" s="14"/>
      <c r="N29" s="13"/>
      <c r="O29" s="15" t="str">
        <f aca="false">IF(OR(L29="",K29=""),"",EDATE(L29,K29))</f>
        <v/>
      </c>
      <c r="P29" s="16" t="str">
        <f aca="false">IF(C29="","",IF(N29="Não","Fora de uso",IF(L29="","Sem calibração",IF(AND(ISNUMBER($E$4),O29&lt;$E$4),"Vencido",IF(AND(ISNUMBER($E$4),O29-$E$4&lt;MIN(30,(O29-L29)/4)),"Vence em breve","Em dia")))))</f>
        <v/>
      </c>
      <c r="Q29" s="17" t="str">
        <f aca="false">IF(OR(H29="",I29=""),"",IF(I29&lt;=H29/10+0.000000001,"Adequado","Resolução grossa"))</f>
        <v/>
      </c>
      <c r="R29" s="17" t="str">
        <f aca="false">IF(C29="","",IF(F29="","Falta o que mede",IF(J29="","Falta o tipo de controle",IF(K29="","Falta o intervalo",IF(M29="","Falta o erro máximo admissível",IF(P29="Fora de uso","Fora de uso",IF(P29="Vencido","Vencido: bloquear ou calibrar",IF(P29="Sem calibração","Sem calibração ou verificação",IF(Q29="Resolução grossa","Resolução grossa para a tolerância","OK")))))))))</f>
        <v/>
      </c>
    </row>
    <row r="30" customFormat="false" ht="30" hidden="false" customHeight="true" outlineLevel="0" collapsed="false">
      <c r="B30" s="12" t="n">
        <v>23</v>
      </c>
      <c r="C30" s="13"/>
      <c r="D30" s="5"/>
      <c r="E30" s="5"/>
      <c r="F30" s="5"/>
      <c r="G30" s="13"/>
      <c r="H30" s="14"/>
      <c r="I30" s="14"/>
      <c r="J30" s="13"/>
      <c r="K30" s="14"/>
      <c r="L30" s="8"/>
      <c r="M30" s="14"/>
      <c r="N30" s="13"/>
      <c r="O30" s="15" t="str">
        <f aca="false">IF(OR(L30="",K30=""),"",EDATE(L30,K30))</f>
        <v/>
      </c>
      <c r="P30" s="16" t="str">
        <f aca="false">IF(C30="","",IF(N30="Não","Fora de uso",IF(L30="","Sem calibração",IF(AND(ISNUMBER($E$4),O30&lt;$E$4),"Vencido",IF(AND(ISNUMBER($E$4),O30-$E$4&lt;MIN(30,(O30-L30)/4)),"Vence em breve","Em dia")))))</f>
        <v/>
      </c>
      <c r="Q30" s="17" t="str">
        <f aca="false">IF(OR(H30="",I30=""),"",IF(I30&lt;=H30/10+0.000000001,"Adequado","Resolução grossa"))</f>
        <v/>
      </c>
      <c r="R30" s="17" t="str">
        <f aca="false">IF(C30="","",IF(F30="","Falta o que mede",IF(J30="","Falta o tipo de controle",IF(K30="","Falta o intervalo",IF(M30="","Falta o erro máximo admissível",IF(P30="Fora de uso","Fora de uso",IF(P30="Vencido","Vencido: bloquear ou calibrar",IF(P30="Sem calibração","Sem calibração ou verificação",IF(Q30="Resolução grossa","Resolução grossa para a tolerância","OK")))))))))</f>
        <v/>
      </c>
    </row>
    <row r="31" customFormat="false" ht="30" hidden="false" customHeight="true" outlineLevel="0" collapsed="false">
      <c r="B31" s="12" t="n">
        <v>24</v>
      </c>
      <c r="C31" s="13"/>
      <c r="D31" s="5"/>
      <c r="E31" s="5"/>
      <c r="F31" s="5"/>
      <c r="G31" s="13"/>
      <c r="H31" s="14"/>
      <c r="I31" s="14"/>
      <c r="J31" s="13"/>
      <c r="K31" s="14"/>
      <c r="L31" s="8"/>
      <c r="M31" s="14"/>
      <c r="N31" s="13"/>
      <c r="O31" s="15" t="str">
        <f aca="false">IF(OR(L31="",K31=""),"",EDATE(L31,K31))</f>
        <v/>
      </c>
      <c r="P31" s="16" t="str">
        <f aca="false">IF(C31="","",IF(N31="Não","Fora de uso",IF(L31="","Sem calibração",IF(AND(ISNUMBER($E$4),O31&lt;$E$4),"Vencido",IF(AND(ISNUMBER($E$4),O31-$E$4&lt;MIN(30,(O31-L31)/4)),"Vence em breve","Em dia")))))</f>
        <v/>
      </c>
      <c r="Q31" s="17" t="str">
        <f aca="false">IF(OR(H31="",I31=""),"",IF(I31&lt;=H31/10+0.000000001,"Adequado","Resolução grossa"))</f>
        <v/>
      </c>
      <c r="R31" s="17" t="str">
        <f aca="false">IF(C31="","",IF(F31="","Falta o que mede",IF(J31="","Falta o tipo de controle",IF(K31="","Falta o intervalo",IF(M31="","Falta o erro máximo admissível",IF(P31="Fora de uso","Fora de uso",IF(P31="Vencido","Vencido: bloquear ou calibrar",IF(P31="Sem calibração","Sem calibração ou verificação",IF(Q31="Resolução grossa","Resolução grossa para a tolerância","OK")))))))))</f>
        <v/>
      </c>
    </row>
    <row r="32" customFormat="false" ht="30" hidden="false" customHeight="true" outlineLevel="0" collapsed="false">
      <c r="B32" s="12" t="n">
        <v>25</v>
      </c>
      <c r="C32" s="13"/>
      <c r="D32" s="5"/>
      <c r="E32" s="5"/>
      <c r="F32" s="5"/>
      <c r="G32" s="13"/>
      <c r="H32" s="14"/>
      <c r="I32" s="14"/>
      <c r="J32" s="13"/>
      <c r="K32" s="14"/>
      <c r="L32" s="8"/>
      <c r="M32" s="14"/>
      <c r="N32" s="13"/>
      <c r="O32" s="15" t="str">
        <f aca="false">IF(OR(L32="",K32=""),"",EDATE(L32,K32))</f>
        <v/>
      </c>
      <c r="P32" s="16" t="str">
        <f aca="false">IF(C32="","",IF(N32="Não","Fora de uso",IF(L32="","Sem calibração",IF(AND(ISNUMBER($E$4),O32&lt;$E$4),"Vencido",IF(AND(ISNUMBER($E$4),O32-$E$4&lt;MIN(30,(O32-L32)/4)),"Vence em breve","Em dia")))))</f>
        <v/>
      </c>
      <c r="Q32" s="17" t="str">
        <f aca="false">IF(OR(H32="",I32=""),"",IF(I32&lt;=H32/10+0.000000001,"Adequado","Resolução grossa"))</f>
        <v/>
      </c>
      <c r="R32" s="17" t="str">
        <f aca="false">IF(C32="","",IF(F32="","Falta o que mede",IF(J32="","Falta o tipo de controle",IF(K32="","Falta o intervalo",IF(M32="","Falta o erro máximo admissível",IF(P32="Fora de uso","Fora de uso",IF(P32="Vencido","Vencido: bloquear ou calibrar",IF(P32="Sem calibração","Sem calibração ou verificação",IF(Q32="Resolução grossa","Resolução grossa para a tolerância","OK")))))))))</f>
        <v/>
      </c>
    </row>
    <row r="33" customFormat="false" ht="30" hidden="false" customHeight="true" outlineLevel="0" collapsed="false">
      <c r="B33" s="12" t="n">
        <v>26</v>
      </c>
      <c r="C33" s="13"/>
      <c r="D33" s="5"/>
      <c r="E33" s="5"/>
      <c r="F33" s="5"/>
      <c r="G33" s="13"/>
      <c r="H33" s="14"/>
      <c r="I33" s="14"/>
      <c r="J33" s="13"/>
      <c r="K33" s="14"/>
      <c r="L33" s="8"/>
      <c r="M33" s="14"/>
      <c r="N33" s="13"/>
      <c r="O33" s="15" t="str">
        <f aca="false">IF(OR(L33="",K33=""),"",EDATE(L33,K33))</f>
        <v/>
      </c>
      <c r="P33" s="16" t="str">
        <f aca="false">IF(C33="","",IF(N33="Não","Fora de uso",IF(L33="","Sem calibração",IF(AND(ISNUMBER($E$4),O33&lt;$E$4),"Vencido",IF(AND(ISNUMBER($E$4),O33-$E$4&lt;MIN(30,(O33-L33)/4)),"Vence em breve","Em dia")))))</f>
        <v/>
      </c>
      <c r="Q33" s="17" t="str">
        <f aca="false">IF(OR(H33="",I33=""),"",IF(I33&lt;=H33/10+0.000000001,"Adequado","Resolução grossa"))</f>
        <v/>
      </c>
      <c r="R33" s="17" t="str">
        <f aca="false">IF(C33="","",IF(F33="","Falta o que mede",IF(J33="","Falta o tipo de controle",IF(K33="","Falta o intervalo",IF(M33="","Falta o erro máximo admissível",IF(P33="Fora de uso","Fora de uso",IF(P33="Vencido","Vencido: bloquear ou calibrar",IF(P33="Sem calibração","Sem calibração ou verificação",IF(Q33="Resolução grossa","Resolução grossa para a tolerância","OK")))))))))</f>
        <v/>
      </c>
    </row>
    <row r="34" customFormat="false" ht="30" hidden="false" customHeight="true" outlineLevel="0" collapsed="false">
      <c r="B34" s="12" t="n">
        <v>27</v>
      </c>
      <c r="C34" s="13"/>
      <c r="D34" s="5"/>
      <c r="E34" s="5"/>
      <c r="F34" s="5"/>
      <c r="G34" s="13"/>
      <c r="H34" s="14"/>
      <c r="I34" s="14"/>
      <c r="J34" s="13"/>
      <c r="K34" s="14"/>
      <c r="L34" s="8"/>
      <c r="M34" s="14"/>
      <c r="N34" s="13"/>
      <c r="O34" s="15" t="str">
        <f aca="false">IF(OR(L34="",K34=""),"",EDATE(L34,K34))</f>
        <v/>
      </c>
      <c r="P34" s="16" t="str">
        <f aca="false">IF(C34="","",IF(N34="Não","Fora de uso",IF(L34="","Sem calibração",IF(AND(ISNUMBER($E$4),O34&lt;$E$4),"Vencido",IF(AND(ISNUMBER($E$4),O34-$E$4&lt;MIN(30,(O34-L34)/4)),"Vence em breve","Em dia")))))</f>
        <v/>
      </c>
      <c r="Q34" s="17" t="str">
        <f aca="false">IF(OR(H34="",I34=""),"",IF(I34&lt;=H34/10+0.000000001,"Adequado","Resolução grossa"))</f>
        <v/>
      </c>
      <c r="R34" s="17" t="str">
        <f aca="false">IF(C34="","",IF(F34="","Falta o que mede",IF(J34="","Falta o tipo de controle",IF(K34="","Falta o intervalo",IF(M34="","Falta o erro máximo admissível",IF(P34="Fora de uso","Fora de uso",IF(P34="Vencido","Vencido: bloquear ou calibrar",IF(P34="Sem calibração","Sem calibração ou verificação",IF(Q34="Resolução grossa","Resolução grossa para a tolerância","OK")))))))))</f>
        <v/>
      </c>
    </row>
    <row r="35" customFormat="false" ht="30" hidden="false" customHeight="true" outlineLevel="0" collapsed="false">
      <c r="B35" s="12" t="n">
        <v>28</v>
      </c>
      <c r="C35" s="13"/>
      <c r="D35" s="5"/>
      <c r="E35" s="5"/>
      <c r="F35" s="5"/>
      <c r="G35" s="13"/>
      <c r="H35" s="14"/>
      <c r="I35" s="14"/>
      <c r="J35" s="13"/>
      <c r="K35" s="14"/>
      <c r="L35" s="8"/>
      <c r="M35" s="14"/>
      <c r="N35" s="13"/>
      <c r="O35" s="15" t="str">
        <f aca="false">IF(OR(L35="",K35=""),"",EDATE(L35,K35))</f>
        <v/>
      </c>
      <c r="P35" s="16" t="str">
        <f aca="false">IF(C35="","",IF(N35="Não","Fora de uso",IF(L35="","Sem calibração",IF(AND(ISNUMBER($E$4),O35&lt;$E$4),"Vencido",IF(AND(ISNUMBER($E$4),O35-$E$4&lt;MIN(30,(O35-L35)/4)),"Vence em breve","Em dia")))))</f>
        <v/>
      </c>
      <c r="Q35" s="17" t="str">
        <f aca="false">IF(OR(H35="",I35=""),"",IF(I35&lt;=H35/10+0.000000001,"Adequado","Resolução grossa"))</f>
        <v/>
      </c>
      <c r="R35" s="17" t="str">
        <f aca="false">IF(C35="","",IF(F35="","Falta o que mede",IF(J35="","Falta o tipo de controle",IF(K35="","Falta o intervalo",IF(M35="","Falta o erro máximo admissível",IF(P35="Fora de uso","Fora de uso",IF(P35="Vencido","Vencido: bloquear ou calibrar",IF(P35="Sem calibração","Sem calibração ou verificação",IF(Q35="Resolução grossa","Resolução grossa para a tolerância","OK")))))))))</f>
        <v/>
      </c>
    </row>
    <row r="36" customFormat="false" ht="30" hidden="false" customHeight="true" outlineLevel="0" collapsed="false">
      <c r="B36" s="12" t="n">
        <v>29</v>
      </c>
      <c r="C36" s="13"/>
      <c r="D36" s="5"/>
      <c r="E36" s="5"/>
      <c r="F36" s="5"/>
      <c r="G36" s="13"/>
      <c r="H36" s="14"/>
      <c r="I36" s="14"/>
      <c r="J36" s="13"/>
      <c r="K36" s="14"/>
      <c r="L36" s="8"/>
      <c r="M36" s="14"/>
      <c r="N36" s="13"/>
      <c r="O36" s="15" t="str">
        <f aca="false">IF(OR(L36="",K36=""),"",EDATE(L36,K36))</f>
        <v/>
      </c>
      <c r="P36" s="16" t="str">
        <f aca="false">IF(C36="","",IF(N36="Não","Fora de uso",IF(L36="","Sem calibração",IF(AND(ISNUMBER($E$4),O36&lt;$E$4),"Vencido",IF(AND(ISNUMBER($E$4),O36-$E$4&lt;MIN(30,(O36-L36)/4)),"Vence em breve","Em dia")))))</f>
        <v/>
      </c>
      <c r="Q36" s="17" t="str">
        <f aca="false">IF(OR(H36="",I36=""),"",IF(I36&lt;=H36/10+0.000000001,"Adequado","Resolução grossa"))</f>
        <v/>
      </c>
      <c r="R36" s="17" t="str">
        <f aca="false">IF(C36="","",IF(F36="","Falta o que mede",IF(J36="","Falta o tipo de controle",IF(K36="","Falta o intervalo",IF(M36="","Falta o erro máximo admissível",IF(P36="Fora de uso","Fora de uso",IF(P36="Vencido","Vencido: bloquear ou calibrar",IF(P36="Sem calibração","Sem calibração ou verificação",IF(Q36="Resolução grossa","Resolução grossa para a tolerância","OK")))))))))</f>
        <v/>
      </c>
    </row>
    <row r="37" customFormat="false" ht="30" hidden="false" customHeight="true" outlineLevel="0" collapsed="false">
      <c r="B37" s="12" t="n">
        <v>30</v>
      </c>
      <c r="C37" s="13"/>
      <c r="D37" s="5"/>
      <c r="E37" s="5"/>
      <c r="F37" s="5"/>
      <c r="G37" s="13"/>
      <c r="H37" s="14"/>
      <c r="I37" s="14"/>
      <c r="J37" s="13"/>
      <c r="K37" s="14"/>
      <c r="L37" s="8"/>
      <c r="M37" s="14"/>
      <c r="N37" s="13"/>
      <c r="O37" s="15" t="str">
        <f aca="false">IF(OR(L37="",K37=""),"",EDATE(L37,K37))</f>
        <v/>
      </c>
      <c r="P37" s="16" t="str">
        <f aca="false">IF(C37="","",IF(N37="Não","Fora de uso",IF(L37="","Sem calibração",IF(AND(ISNUMBER($E$4),O37&lt;$E$4),"Vencido",IF(AND(ISNUMBER($E$4),O37-$E$4&lt;MIN(30,(O37-L37)/4)),"Vence em breve","Em dia")))))</f>
        <v/>
      </c>
      <c r="Q37" s="17" t="str">
        <f aca="false">IF(OR(H37="",I37=""),"",IF(I37&lt;=H37/10+0.000000001,"Adequado","Resolução grossa"))</f>
        <v/>
      </c>
      <c r="R37" s="17" t="str">
        <f aca="false">IF(C37="","",IF(F37="","Falta o que mede",IF(J37="","Falta o tipo de controle",IF(K37="","Falta o intervalo",IF(M37="","Falta o erro máximo admissível",IF(P37="Fora de uso","Fora de uso",IF(P37="Vencido","Vencido: bloquear ou calibrar",IF(P37="Sem calibração","Sem calibração ou verificação",IF(Q37="Resolução grossa","Resolução grossa para a tolerância","OK")))))))))</f>
        <v/>
      </c>
    </row>
    <row r="38" customFormat="false" ht="30" hidden="false" customHeight="true" outlineLevel="0" collapsed="false">
      <c r="B38" s="12" t="n">
        <v>31</v>
      </c>
      <c r="C38" s="13"/>
      <c r="D38" s="5"/>
      <c r="E38" s="5"/>
      <c r="F38" s="5"/>
      <c r="G38" s="13"/>
      <c r="H38" s="14"/>
      <c r="I38" s="14"/>
      <c r="J38" s="13"/>
      <c r="K38" s="14"/>
      <c r="L38" s="8"/>
      <c r="M38" s="14"/>
      <c r="N38" s="13"/>
      <c r="O38" s="15" t="str">
        <f aca="false">IF(OR(L38="",K38=""),"",EDATE(L38,K38))</f>
        <v/>
      </c>
      <c r="P38" s="16" t="str">
        <f aca="false">IF(C38="","",IF(N38="Não","Fora de uso",IF(L38="","Sem calibração",IF(AND(ISNUMBER($E$4),O38&lt;$E$4),"Vencido",IF(AND(ISNUMBER($E$4),O38-$E$4&lt;MIN(30,(O38-L38)/4)),"Vence em breve","Em dia")))))</f>
        <v/>
      </c>
      <c r="Q38" s="17" t="str">
        <f aca="false">IF(OR(H38="",I38=""),"",IF(I38&lt;=H38/10+0.000000001,"Adequado","Resolução grossa"))</f>
        <v/>
      </c>
      <c r="R38" s="17" t="str">
        <f aca="false">IF(C38="","",IF(F38="","Falta o que mede",IF(J38="","Falta o tipo de controle",IF(K38="","Falta o intervalo",IF(M38="","Falta o erro máximo admissível",IF(P38="Fora de uso","Fora de uso",IF(P38="Vencido","Vencido: bloquear ou calibrar",IF(P38="Sem calibração","Sem calibração ou verificação",IF(Q38="Resolução grossa","Resolução grossa para a tolerância","OK")))))))))</f>
        <v/>
      </c>
    </row>
    <row r="39" customFormat="false" ht="30" hidden="false" customHeight="true" outlineLevel="0" collapsed="false">
      <c r="B39" s="12" t="n">
        <v>32</v>
      </c>
      <c r="C39" s="13"/>
      <c r="D39" s="5"/>
      <c r="E39" s="5"/>
      <c r="F39" s="5"/>
      <c r="G39" s="13"/>
      <c r="H39" s="14"/>
      <c r="I39" s="14"/>
      <c r="J39" s="13"/>
      <c r="K39" s="14"/>
      <c r="L39" s="8"/>
      <c r="M39" s="14"/>
      <c r="N39" s="13"/>
      <c r="O39" s="15" t="str">
        <f aca="false">IF(OR(L39="",K39=""),"",EDATE(L39,K39))</f>
        <v/>
      </c>
      <c r="P39" s="16" t="str">
        <f aca="false">IF(C39="","",IF(N39="Não","Fora de uso",IF(L39="","Sem calibração",IF(AND(ISNUMBER($E$4),O39&lt;$E$4),"Vencido",IF(AND(ISNUMBER($E$4),O39-$E$4&lt;MIN(30,(O39-L39)/4)),"Vence em breve","Em dia")))))</f>
        <v/>
      </c>
      <c r="Q39" s="17" t="str">
        <f aca="false">IF(OR(H39="",I39=""),"",IF(I39&lt;=H39/10+0.000000001,"Adequado","Resolução grossa"))</f>
        <v/>
      </c>
      <c r="R39" s="17" t="str">
        <f aca="false">IF(C39="","",IF(F39="","Falta o que mede",IF(J39="","Falta o tipo de controle",IF(K39="","Falta o intervalo",IF(M39="","Falta o erro máximo admissível",IF(P39="Fora de uso","Fora de uso",IF(P39="Vencido","Vencido: bloquear ou calibrar",IF(P39="Sem calibração","Sem calibração ou verificação",IF(Q39="Resolução grossa","Resolução grossa para a tolerância","OK")))))))))</f>
        <v/>
      </c>
    </row>
    <row r="40" customFormat="false" ht="30" hidden="false" customHeight="true" outlineLevel="0" collapsed="false">
      <c r="B40" s="12" t="n">
        <v>33</v>
      </c>
      <c r="C40" s="13"/>
      <c r="D40" s="5"/>
      <c r="E40" s="5"/>
      <c r="F40" s="5"/>
      <c r="G40" s="13"/>
      <c r="H40" s="14"/>
      <c r="I40" s="14"/>
      <c r="J40" s="13"/>
      <c r="K40" s="14"/>
      <c r="L40" s="8"/>
      <c r="M40" s="14"/>
      <c r="N40" s="13"/>
      <c r="O40" s="15" t="str">
        <f aca="false">IF(OR(L40="",K40=""),"",EDATE(L40,K40))</f>
        <v/>
      </c>
      <c r="P40" s="16" t="str">
        <f aca="false">IF(C40="","",IF(N40="Não","Fora de uso",IF(L40="","Sem calibração",IF(AND(ISNUMBER($E$4),O40&lt;$E$4),"Vencido",IF(AND(ISNUMBER($E$4),O40-$E$4&lt;MIN(30,(O40-L40)/4)),"Vence em breve","Em dia")))))</f>
        <v/>
      </c>
      <c r="Q40" s="17" t="str">
        <f aca="false">IF(OR(H40="",I40=""),"",IF(I40&lt;=H40/10+0.000000001,"Adequado","Resolução grossa"))</f>
        <v/>
      </c>
      <c r="R40" s="17" t="str">
        <f aca="false">IF(C40="","",IF(F40="","Falta o que mede",IF(J40="","Falta o tipo de controle",IF(K40="","Falta o intervalo",IF(M40="","Falta o erro máximo admissível",IF(P40="Fora de uso","Fora de uso",IF(P40="Vencido","Vencido: bloquear ou calibrar",IF(P40="Sem calibração","Sem calibração ou verificação",IF(Q40="Resolução grossa","Resolução grossa para a tolerância","OK")))))))))</f>
        <v/>
      </c>
    </row>
    <row r="41" customFormat="false" ht="30" hidden="false" customHeight="true" outlineLevel="0" collapsed="false">
      <c r="B41" s="12" t="n">
        <v>34</v>
      </c>
      <c r="C41" s="13"/>
      <c r="D41" s="5"/>
      <c r="E41" s="5"/>
      <c r="F41" s="5"/>
      <c r="G41" s="13"/>
      <c r="H41" s="14"/>
      <c r="I41" s="14"/>
      <c r="J41" s="13"/>
      <c r="K41" s="14"/>
      <c r="L41" s="8"/>
      <c r="M41" s="14"/>
      <c r="N41" s="13"/>
      <c r="O41" s="15" t="str">
        <f aca="false">IF(OR(L41="",K41=""),"",EDATE(L41,K41))</f>
        <v/>
      </c>
      <c r="P41" s="16" t="str">
        <f aca="false">IF(C41="","",IF(N41="Não","Fora de uso",IF(L41="","Sem calibração",IF(AND(ISNUMBER($E$4),O41&lt;$E$4),"Vencido",IF(AND(ISNUMBER($E$4),O41-$E$4&lt;MIN(30,(O41-L41)/4)),"Vence em breve","Em dia")))))</f>
        <v/>
      </c>
      <c r="Q41" s="17" t="str">
        <f aca="false">IF(OR(H41="",I41=""),"",IF(I41&lt;=H41/10+0.000000001,"Adequado","Resolução grossa"))</f>
        <v/>
      </c>
      <c r="R41" s="17" t="str">
        <f aca="false">IF(C41="","",IF(F41="","Falta o que mede",IF(J41="","Falta o tipo de controle",IF(K41="","Falta o intervalo",IF(M41="","Falta o erro máximo admissível",IF(P41="Fora de uso","Fora de uso",IF(P41="Vencido","Vencido: bloquear ou calibrar",IF(P41="Sem calibração","Sem calibração ou verificação",IF(Q41="Resolução grossa","Resolução grossa para a tolerância","OK")))))))))</f>
        <v/>
      </c>
    </row>
    <row r="42" customFormat="false" ht="30" hidden="false" customHeight="true" outlineLevel="0" collapsed="false">
      <c r="B42" s="12" t="n">
        <v>35</v>
      </c>
      <c r="C42" s="13"/>
      <c r="D42" s="5"/>
      <c r="E42" s="5"/>
      <c r="F42" s="5"/>
      <c r="G42" s="13"/>
      <c r="H42" s="14"/>
      <c r="I42" s="14"/>
      <c r="J42" s="13"/>
      <c r="K42" s="14"/>
      <c r="L42" s="8"/>
      <c r="M42" s="14"/>
      <c r="N42" s="13"/>
      <c r="O42" s="15" t="str">
        <f aca="false">IF(OR(L42="",K42=""),"",EDATE(L42,K42))</f>
        <v/>
      </c>
      <c r="P42" s="16" t="str">
        <f aca="false">IF(C42="","",IF(N42="Não","Fora de uso",IF(L42="","Sem calibração",IF(AND(ISNUMBER($E$4),O42&lt;$E$4),"Vencido",IF(AND(ISNUMBER($E$4),O42-$E$4&lt;MIN(30,(O42-L42)/4)),"Vence em breve","Em dia")))))</f>
        <v/>
      </c>
      <c r="Q42" s="17" t="str">
        <f aca="false">IF(OR(H42="",I42=""),"",IF(I42&lt;=H42/10+0.000000001,"Adequado","Resolução grossa"))</f>
        <v/>
      </c>
      <c r="R42" s="17" t="str">
        <f aca="false">IF(C42="","",IF(F42="","Falta o que mede",IF(J42="","Falta o tipo de controle",IF(K42="","Falta o intervalo",IF(M42="","Falta o erro máximo admissível",IF(P42="Fora de uso","Fora de uso",IF(P42="Vencido","Vencido: bloquear ou calibrar",IF(P42="Sem calibração","Sem calibração ou verificação",IF(Q42="Resolução grossa","Resolução grossa para a tolerância","OK")))))))))</f>
        <v/>
      </c>
    </row>
    <row r="43" customFormat="false" ht="30" hidden="false" customHeight="true" outlineLevel="0" collapsed="false">
      <c r="B43" s="12" t="n">
        <v>36</v>
      </c>
      <c r="C43" s="13"/>
      <c r="D43" s="5"/>
      <c r="E43" s="5"/>
      <c r="F43" s="5"/>
      <c r="G43" s="13"/>
      <c r="H43" s="14"/>
      <c r="I43" s="14"/>
      <c r="J43" s="13"/>
      <c r="K43" s="14"/>
      <c r="L43" s="8"/>
      <c r="M43" s="14"/>
      <c r="N43" s="13"/>
      <c r="O43" s="15" t="str">
        <f aca="false">IF(OR(L43="",K43=""),"",EDATE(L43,K43))</f>
        <v/>
      </c>
      <c r="P43" s="16" t="str">
        <f aca="false">IF(C43="","",IF(N43="Não","Fora de uso",IF(L43="","Sem calibração",IF(AND(ISNUMBER($E$4),O43&lt;$E$4),"Vencido",IF(AND(ISNUMBER($E$4),O43-$E$4&lt;MIN(30,(O43-L43)/4)),"Vence em breve","Em dia")))))</f>
        <v/>
      </c>
      <c r="Q43" s="17" t="str">
        <f aca="false">IF(OR(H43="",I43=""),"",IF(I43&lt;=H43/10+0.000000001,"Adequado","Resolução grossa"))</f>
        <v/>
      </c>
      <c r="R43" s="17" t="str">
        <f aca="false">IF(C43="","",IF(F43="","Falta o que mede",IF(J43="","Falta o tipo de controle",IF(K43="","Falta o intervalo",IF(M43="","Falta o erro máximo admissível",IF(P43="Fora de uso","Fora de uso",IF(P43="Vencido","Vencido: bloquear ou calibrar",IF(P43="Sem calibração","Sem calibração ou verificação",IF(Q43="Resolução grossa","Resolução grossa para a tolerância","OK")))))))))</f>
        <v/>
      </c>
    </row>
    <row r="44" customFormat="false" ht="30" hidden="false" customHeight="true" outlineLevel="0" collapsed="false">
      <c r="B44" s="12" t="n">
        <v>37</v>
      </c>
      <c r="C44" s="13"/>
      <c r="D44" s="5"/>
      <c r="E44" s="5"/>
      <c r="F44" s="5"/>
      <c r="G44" s="13"/>
      <c r="H44" s="14"/>
      <c r="I44" s="14"/>
      <c r="J44" s="13"/>
      <c r="K44" s="14"/>
      <c r="L44" s="8"/>
      <c r="M44" s="14"/>
      <c r="N44" s="13"/>
      <c r="O44" s="15" t="str">
        <f aca="false">IF(OR(L44="",K44=""),"",EDATE(L44,K44))</f>
        <v/>
      </c>
      <c r="P44" s="16" t="str">
        <f aca="false">IF(C44="","",IF(N44="Não","Fora de uso",IF(L44="","Sem calibração",IF(AND(ISNUMBER($E$4),O44&lt;$E$4),"Vencido",IF(AND(ISNUMBER($E$4),O44-$E$4&lt;MIN(30,(O44-L44)/4)),"Vence em breve","Em dia")))))</f>
        <v/>
      </c>
      <c r="Q44" s="17" t="str">
        <f aca="false">IF(OR(H44="",I44=""),"",IF(I44&lt;=H44/10+0.000000001,"Adequado","Resolução grossa"))</f>
        <v/>
      </c>
      <c r="R44" s="17" t="str">
        <f aca="false">IF(C44="","",IF(F44="","Falta o que mede",IF(J44="","Falta o tipo de controle",IF(K44="","Falta o intervalo",IF(M44="","Falta o erro máximo admissível",IF(P44="Fora de uso","Fora de uso",IF(P44="Vencido","Vencido: bloquear ou calibrar",IF(P44="Sem calibração","Sem calibração ou verificação",IF(Q44="Resolução grossa","Resolução grossa para a tolerância","OK")))))))))</f>
        <v/>
      </c>
    </row>
    <row r="45" customFormat="false" ht="30" hidden="false" customHeight="true" outlineLevel="0" collapsed="false">
      <c r="B45" s="12" t="n">
        <v>38</v>
      </c>
      <c r="C45" s="13"/>
      <c r="D45" s="5"/>
      <c r="E45" s="5"/>
      <c r="F45" s="5"/>
      <c r="G45" s="13"/>
      <c r="H45" s="14"/>
      <c r="I45" s="14"/>
      <c r="J45" s="13"/>
      <c r="K45" s="14"/>
      <c r="L45" s="8"/>
      <c r="M45" s="14"/>
      <c r="N45" s="13"/>
      <c r="O45" s="15" t="str">
        <f aca="false">IF(OR(L45="",K45=""),"",EDATE(L45,K45))</f>
        <v/>
      </c>
      <c r="P45" s="16" t="str">
        <f aca="false">IF(C45="","",IF(N45="Não","Fora de uso",IF(L45="","Sem calibração",IF(AND(ISNUMBER($E$4),O45&lt;$E$4),"Vencido",IF(AND(ISNUMBER($E$4),O45-$E$4&lt;MIN(30,(O45-L45)/4)),"Vence em breve","Em dia")))))</f>
        <v/>
      </c>
      <c r="Q45" s="17" t="str">
        <f aca="false">IF(OR(H45="",I45=""),"",IF(I45&lt;=H45/10+0.000000001,"Adequado","Resolução grossa"))</f>
        <v/>
      </c>
      <c r="R45" s="17" t="str">
        <f aca="false">IF(C45="","",IF(F45="","Falta o que mede",IF(J45="","Falta o tipo de controle",IF(K45="","Falta o intervalo",IF(M45="","Falta o erro máximo admissível",IF(P45="Fora de uso","Fora de uso",IF(P45="Vencido","Vencido: bloquear ou calibrar",IF(P45="Sem calibração","Sem calibração ou verificação",IF(Q45="Resolução grossa","Resolução grossa para a tolerância","OK")))))))))</f>
        <v/>
      </c>
    </row>
    <row r="46" customFormat="false" ht="30" hidden="false" customHeight="true" outlineLevel="0" collapsed="false">
      <c r="B46" s="12" t="n">
        <v>39</v>
      </c>
      <c r="C46" s="13"/>
      <c r="D46" s="5"/>
      <c r="E46" s="5"/>
      <c r="F46" s="5"/>
      <c r="G46" s="13"/>
      <c r="H46" s="14"/>
      <c r="I46" s="14"/>
      <c r="J46" s="13"/>
      <c r="K46" s="14"/>
      <c r="L46" s="8"/>
      <c r="M46" s="14"/>
      <c r="N46" s="13"/>
      <c r="O46" s="15" t="str">
        <f aca="false">IF(OR(L46="",K46=""),"",EDATE(L46,K46))</f>
        <v/>
      </c>
      <c r="P46" s="16" t="str">
        <f aca="false">IF(C46="","",IF(N46="Não","Fora de uso",IF(L46="","Sem calibração",IF(AND(ISNUMBER($E$4),O46&lt;$E$4),"Vencido",IF(AND(ISNUMBER($E$4),O46-$E$4&lt;MIN(30,(O46-L46)/4)),"Vence em breve","Em dia")))))</f>
        <v/>
      </c>
      <c r="Q46" s="17" t="str">
        <f aca="false">IF(OR(H46="",I46=""),"",IF(I46&lt;=H46/10+0.000000001,"Adequado","Resolução grossa"))</f>
        <v/>
      </c>
      <c r="R46" s="17" t="str">
        <f aca="false">IF(C46="","",IF(F46="","Falta o que mede",IF(J46="","Falta o tipo de controle",IF(K46="","Falta o intervalo",IF(M46="","Falta o erro máximo admissível",IF(P46="Fora de uso","Fora de uso",IF(P46="Vencido","Vencido: bloquear ou calibrar",IF(P46="Sem calibração","Sem calibração ou verificação",IF(Q46="Resolução grossa","Resolução grossa para a tolerância","OK")))))))))</f>
        <v/>
      </c>
    </row>
    <row r="47" customFormat="false" ht="30" hidden="false" customHeight="true" outlineLevel="0" collapsed="false">
      <c r="B47" s="12" t="n">
        <v>40</v>
      </c>
      <c r="C47" s="13"/>
      <c r="D47" s="5"/>
      <c r="E47" s="5"/>
      <c r="F47" s="5"/>
      <c r="G47" s="13"/>
      <c r="H47" s="14"/>
      <c r="I47" s="14"/>
      <c r="J47" s="13"/>
      <c r="K47" s="14"/>
      <c r="L47" s="8"/>
      <c r="M47" s="14"/>
      <c r="N47" s="13"/>
      <c r="O47" s="15" t="str">
        <f aca="false">IF(OR(L47="",K47=""),"",EDATE(L47,K47))</f>
        <v/>
      </c>
      <c r="P47" s="16" t="str">
        <f aca="false">IF(C47="","",IF(N47="Não","Fora de uso",IF(L47="","Sem calibração",IF(AND(ISNUMBER($E$4),O47&lt;$E$4),"Vencido",IF(AND(ISNUMBER($E$4),O47-$E$4&lt;MIN(30,(O47-L47)/4)),"Vence em breve","Em dia")))))</f>
        <v/>
      </c>
      <c r="Q47" s="17" t="str">
        <f aca="false">IF(OR(H47="",I47=""),"",IF(I47&lt;=H47/10+0.000000001,"Adequado","Resolução grossa"))</f>
        <v/>
      </c>
      <c r="R47" s="17" t="str">
        <f aca="false">IF(C47="","",IF(F47="","Falta o que mede",IF(J47="","Falta o tipo de controle",IF(K47="","Falta o intervalo",IF(M47="","Falta o erro máximo admissível",IF(P47="Fora de uso","Fora de uso",IF(P47="Vencido","Vencido: bloquear ou calibrar",IF(P47="Sem calibração","Sem calibração ou verificação",IF(Q47="Resolução grossa","Resolução grossa para a tolerância","OK")))))))))</f>
        <v/>
      </c>
    </row>
    <row r="49" customFormat="false" ht="21.75" hidden="false" customHeight="true" outlineLevel="0" collapsed="false">
      <c r="B49" s="18" t="s">
        <v>93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</row>
    <row r="50" customFormat="false" ht="21.75" hidden="false" customHeight="true" outlineLevel="0" collapsed="false">
      <c r="B50" s="19" t="s">
        <v>94</v>
      </c>
      <c r="C50" s="19"/>
      <c r="D50" s="19"/>
      <c r="E50" s="20" t="n">
        <f aca="false">COUNTA(C8:C47)</f>
        <v>0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</row>
    <row r="51" customFormat="false" ht="21.75" hidden="false" customHeight="true" outlineLevel="0" collapsed="false">
      <c r="B51" s="19" t="s">
        <v>95</v>
      </c>
      <c r="C51" s="19"/>
      <c r="D51" s="19"/>
      <c r="E51" s="21" t="str">
        <f aca="false">COUNTIF(P8:P47,"Em dia")&amp;" em dia"&amp;", "&amp;COUNTIF(P8:P47,"Vence em breve")&amp;" vence em breve"&amp;", "&amp;COUNTIF(P8:P47,"Vencido")&amp;" vencido"&amp;", "&amp;COUNTIF(P8:P47,"Sem calibração")&amp;" sem calibração"&amp;", "&amp;COUNTIF(P8:P47,"Fora de uso")&amp;" fora de uso"</f>
        <v>0 em dia, 0 vence em breve, 0 vencido, 0 sem calibração, 0 fora de uso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</row>
    <row r="52" customFormat="false" ht="21.75" hidden="false" customHeight="true" outlineLevel="0" collapsed="false">
      <c r="B52" s="19" t="s">
        <v>96</v>
      </c>
      <c r="C52" s="19"/>
      <c r="D52" s="19"/>
      <c r="E52" s="20" t="n">
        <f aca="false">COUNTIF(Q8:Q47,"Resolução grossa")</f>
        <v>0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</row>
    <row r="53" customFormat="false" ht="21.75" hidden="false" customHeight="true" outlineLevel="0" collapsed="false">
      <c r="B53" s="19" t="s">
        <v>97</v>
      </c>
      <c r="C53" s="19"/>
      <c r="D53" s="19"/>
      <c r="E53" s="21" t="str">
        <f aca="false">IF(E50=0,"Cadastre os instrumentos",IF(E4="","Informe a data da leitura",IF(COUNTIF(P8:P47,"Vencido")&gt;0,"Há instrumento vencido: bloquear até calibrar",IF(COUNTIF(P8:P47,"Sem calibração")&gt;0,"Há instrumento sem calibração ou verificação",IF(COUNTIF(Q8:Q47,"Resolução grossa")&gt;0,"Há instrumento com resolução grossa para a tolerância",IF(COUNTIF(P8:P47,"Vence em breve")&gt;0,"Há instrumento que vence em breve: programe",IF(SUMPRODUCT((R8:R47&lt;&gt;"")*(R8:R47&lt;&gt;"OK")*(R8:R47&lt;&gt;"Fora de uso"))&gt;0,"Há instrumento a completar: veja a coluna Conferência","OK")))))))</f>
        <v>Cadastre os instrumentos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</row>
  </sheetData>
  <mergeCells count="13">
    <mergeCell ref="B1:R1"/>
    <mergeCell ref="B2:R2"/>
    <mergeCell ref="B4:D4"/>
    <mergeCell ref="F4:R4"/>
    <mergeCell ref="B49:R49"/>
    <mergeCell ref="B50:D50"/>
    <mergeCell ref="E50:R50"/>
    <mergeCell ref="B51:D51"/>
    <mergeCell ref="E51:R51"/>
    <mergeCell ref="B52:D52"/>
    <mergeCell ref="E52:R52"/>
    <mergeCell ref="B53:D53"/>
    <mergeCell ref="E53:R53"/>
  </mergeCells>
  <conditionalFormatting sqref="P8:P47">
    <cfRule type="expression" priority="2" aboveAverage="0" equalAverage="0" bottom="0" percent="0" rank="0" text="" dxfId="0">
      <formula>P8="Em dia"</formula>
    </cfRule>
    <cfRule type="expression" priority="3" aboveAverage="0" equalAverage="0" bottom="0" percent="0" rank="0" text="" dxfId="1">
      <formula>P8="Vence em breve"</formula>
    </cfRule>
    <cfRule type="expression" priority="4" aboveAverage="0" equalAverage="0" bottom="0" percent="0" rank="0" text="" dxfId="2">
      <formula>P8="Vencido"</formula>
    </cfRule>
    <cfRule type="expression" priority="5" aboveAverage="0" equalAverage="0" bottom="0" percent="0" rank="0" text="" dxfId="2">
      <formula>P8="Sem calibração"</formula>
    </cfRule>
    <cfRule type="expression" priority="6" aboveAverage="0" equalAverage="0" bottom="0" percent="0" rank="0" text="" dxfId="3">
      <formula>P8="Fora de uso"</formula>
    </cfRule>
  </conditionalFormatting>
  <conditionalFormatting sqref="Q8:Q47">
    <cfRule type="expression" priority="7" aboveAverage="0" equalAverage="0" bottom="0" percent="0" rank="0" text="" dxfId="0">
      <formula>Q8="Adequado"</formula>
    </cfRule>
    <cfRule type="expression" priority="8" aboveAverage="0" equalAverage="0" bottom="0" percent="0" rank="0" text="" dxfId="2">
      <formula>Q8="Resolução grossa"</formula>
    </cfRule>
  </conditionalFormatting>
  <conditionalFormatting sqref="R8:R47">
    <cfRule type="expression" priority="9" aboveAverage="0" equalAverage="0" bottom="0" percent="0" rank="0" text="" dxfId="0">
      <formula>OR(R8="OK",R8="Fora de uso")</formula>
    </cfRule>
    <cfRule type="expression" priority="10" aboveAverage="0" equalAverage="0" bottom="0" percent="0" rank="0" text="" dxfId="4">
      <formula>AND(LEN(R8)&gt;0,NOT(OR(R8="OK",R8="Fora de uso")))</formula>
    </cfRule>
  </conditionalFormatting>
  <conditionalFormatting sqref="E53:R53">
    <cfRule type="expression" priority="11" aboveAverage="0" equalAverage="0" bottom="0" percent="0" rank="0" text="" dxfId="0">
      <formula>OR(E53="OK")</formula>
    </cfRule>
    <cfRule type="expression" priority="12" aboveAverage="0" equalAverage="0" bottom="0" percent="0" rank="0" text="" dxfId="4">
      <formula>AND(LEN(E53)&gt;0,NOT(OR(E53="OK")))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E4 L8:L47" type="date">
      <formula1>36526</formula1>
      <formula2>0</formula2>
    </dataValidation>
    <dataValidation allowBlank="true" error="Escolha uma das opções da lista." errorStyle="stop" errorTitle="Valor inválido" operator="between" prompt="Calibração externa, por laboratório, ou verificação interna, contra um padrão próprio" promptTitle="Opções" showDropDown="false" showErrorMessage="true" showInputMessage="true" sqref="J8:J47" type="list">
      <formula1>"Calibração externa,Verificação interna"</formula1>
      <formula2>0</formula2>
    </dataValidation>
    <dataValidation allowBlank="true" error="Escolha uma das opções da lista." errorStyle="stop" errorTitle="Valor inválido" operator="between" prompt="O instrumento está em uso? Não: reprovado, quebrado, substituído" promptTitle="Opções" showDropDown="false" showErrorMessage="true" showInputMessage="true" sqref="N8:N47" type="list">
      <formula1>"Sim,Não"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8:I4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8:K47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M8:M47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O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32"/>
    <col collapsed="false" customWidth="true" hidden="false" outlineLevel="0" max="14" min="14" style="0" width="40"/>
    <col collapsed="false" customWidth="true" hidden="false" outlineLevel="0" max="15" min="15" style="0" width="32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98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3" hidden="false" customHeight="true" outlineLevel="0" collapsed="false">
      <c r="B4" s="10" t="s">
        <v>69</v>
      </c>
      <c r="C4" s="10" t="s">
        <v>91</v>
      </c>
      <c r="D4" s="10" t="s">
        <v>70</v>
      </c>
      <c r="E4" s="10" t="s">
        <v>71</v>
      </c>
      <c r="F4" s="10" t="s">
        <v>100</v>
      </c>
      <c r="G4" s="10" t="s">
        <v>101</v>
      </c>
      <c r="H4" s="10" t="s">
        <v>102</v>
      </c>
      <c r="I4" s="10" t="s">
        <v>103</v>
      </c>
      <c r="J4" s="10" t="s">
        <v>104</v>
      </c>
      <c r="K4" s="10" t="s">
        <v>105</v>
      </c>
      <c r="L4" s="10" t="s">
        <v>28</v>
      </c>
      <c r="M4" s="10" t="s">
        <v>106</v>
      </c>
      <c r="N4" s="10" t="s">
        <v>107</v>
      </c>
      <c r="O4" s="10" t="s">
        <v>83</v>
      </c>
    </row>
    <row r="5" customFormat="false" ht="30" hidden="false" customHeight="true" outlineLevel="0" collapsed="false">
      <c r="B5" s="11"/>
      <c r="C5" s="11" t="s">
        <v>91</v>
      </c>
      <c r="D5" s="11" t="s">
        <v>89</v>
      </c>
      <c r="E5" s="11" t="s">
        <v>108</v>
      </c>
      <c r="F5" s="11" t="s">
        <v>89</v>
      </c>
      <c r="G5" s="11" t="s">
        <v>109</v>
      </c>
      <c r="H5" s="11" t="s">
        <v>110</v>
      </c>
      <c r="I5" s="11" t="s">
        <v>111</v>
      </c>
      <c r="J5" s="11" t="s">
        <v>90</v>
      </c>
      <c r="K5" s="11" t="s">
        <v>108</v>
      </c>
      <c r="L5" s="11" t="s">
        <v>112</v>
      </c>
      <c r="M5" s="11" t="s">
        <v>113</v>
      </c>
      <c r="N5" s="11" t="s">
        <v>114</v>
      </c>
      <c r="O5" s="11" t="s">
        <v>92</v>
      </c>
    </row>
    <row r="6" customFormat="false" ht="30" hidden="false" customHeight="true" outlineLevel="0" collapsed="false">
      <c r="B6" s="11" t="s">
        <v>115</v>
      </c>
      <c r="C6" s="22" t="n">
        <v>46451</v>
      </c>
      <c r="D6" s="11" t="s">
        <v>84</v>
      </c>
      <c r="E6" s="9" t="s">
        <v>116</v>
      </c>
      <c r="F6" s="11" t="s">
        <v>117</v>
      </c>
      <c r="G6" s="9" t="s">
        <v>118</v>
      </c>
      <c r="H6" s="9" t="s">
        <v>119</v>
      </c>
      <c r="I6" s="11" t="n">
        <v>0.3</v>
      </c>
      <c r="J6" s="11" t="n">
        <v>0.2</v>
      </c>
      <c r="K6" s="11" t="n">
        <v>1</v>
      </c>
      <c r="L6" s="11" t="s">
        <v>120</v>
      </c>
      <c r="M6" s="9"/>
      <c r="N6" s="9"/>
      <c r="O6" s="11" t="s">
        <v>121</v>
      </c>
    </row>
    <row r="7" customFormat="false" ht="30" hidden="false" customHeight="true" outlineLevel="0" collapsed="false">
      <c r="B7" s="12" t="n">
        <v>1</v>
      </c>
      <c r="C7" s="8"/>
      <c r="D7" s="13"/>
      <c r="E7" s="21" t="str">
        <f aca="false">IF(D7="","",IFERROR(INDEX(Instrumentos!$D$8:$D$47,MATCH(D7,Instrumentos!$C$8:$C$47,0))&amp;"",""))</f>
        <v/>
      </c>
      <c r="F7" s="13"/>
      <c r="G7" s="5"/>
      <c r="H7" s="5"/>
      <c r="I7" s="14"/>
      <c r="J7" s="14"/>
      <c r="K7" s="23" t="str">
        <f aca="false">IF(D7="","",IFERROR(IF(ISNUMBER(INDEX(Instrumentos!$M$8:$M$47,MATCH(D7,Instrumentos!$C$8:$C$47,0))),INDEX(Instrumentos!$M$8:$M$47,MATCH(D7,Instrumentos!$C$8:$C$47,0)),""),""))</f>
        <v/>
      </c>
      <c r="L7" s="16" t="str">
        <f aca="false">IF(OR(D7="",I7="",K7=""),"",IF(ABS(I7)+N(J7)&lt;=K7+0.000000001,"Aprovado","Reprovado"))</f>
        <v/>
      </c>
      <c r="M7" s="5"/>
      <c r="N7" s="5"/>
      <c r="O7" s="17" t="str">
        <f aca="false">IF(D7="",IF(COUNTA(C7,F7:J7,M7:N7)&gt;0,"Falta o instrumento",""),IF(ISNA(MATCH(D7,Instrumentos!$C$8:$C$47,0)),"Instrumento não cadastrado",IF(K7="","Falta o critério no cadastro",IF(G7="","Falta o registro",IF(I7="","Falta o erro encontrado",IF(AND(L7="Reprovado",M7=""),"Falta a ação",IF(AND(L7="Reprovado",N7=""),"Falta avaliar os resultados anteriores","OK")))))))</f>
        <v/>
      </c>
    </row>
    <row r="8" customFormat="false" ht="30" hidden="false" customHeight="true" outlineLevel="0" collapsed="false">
      <c r="B8" s="12" t="n">
        <v>2</v>
      </c>
      <c r="C8" s="8"/>
      <c r="D8" s="13"/>
      <c r="E8" s="21" t="str">
        <f aca="false">IF(D8="","",IFERROR(INDEX(Instrumentos!$D$8:$D$47,MATCH(D8,Instrumentos!$C$8:$C$47,0))&amp;"",""))</f>
        <v/>
      </c>
      <c r="F8" s="13"/>
      <c r="G8" s="5"/>
      <c r="H8" s="5"/>
      <c r="I8" s="14"/>
      <c r="J8" s="14"/>
      <c r="K8" s="23" t="str">
        <f aca="false">IF(D8="","",IFERROR(IF(ISNUMBER(INDEX(Instrumentos!$M$8:$M$47,MATCH(D8,Instrumentos!$C$8:$C$47,0))),INDEX(Instrumentos!$M$8:$M$47,MATCH(D8,Instrumentos!$C$8:$C$47,0)),""),""))</f>
        <v/>
      </c>
      <c r="L8" s="16" t="str">
        <f aca="false">IF(OR(D8="",I8="",K8=""),"",IF(ABS(I8)+N(J8)&lt;=K8+0.000000001,"Aprovado","Reprovado"))</f>
        <v/>
      </c>
      <c r="M8" s="5"/>
      <c r="N8" s="5"/>
      <c r="O8" s="17" t="str">
        <f aca="false">IF(D8="",IF(COUNTA(C8,F8:J8,M8:N8)&gt;0,"Falta o instrumento",""),IF(ISNA(MATCH(D8,Instrumentos!$C$8:$C$47,0)),"Instrumento não cadastrado",IF(K8="","Falta o critério no cadastro",IF(G8="","Falta o registro",IF(I8="","Falta o erro encontrado",IF(AND(L8="Reprovado",M8=""),"Falta a ação",IF(AND(L8="Reprovado",N8=""),"Falta avaliar os resultados anteriores","OK")))))))</f>
        <v/>
      </c>
    </row>
    <row r="9" customFormat="false" ht="30" hidden="false" customHeight="true" outlineLevel="0" collapsed="false">
      <c r="B9" s="12" t="n">
        <v>3</v>
      </c>
      <c r="C9" s="8"/>
      <c r="D9" s="13"/>
      <c r="E9" s="21" t="str">
        <f aca="false">IF(D9="","",IFERROR(INDEX(Instrumentos!$D$8:$D$47,MATCH(D9,Instrumentos!$C$8:$C$47,0))&amp;"",""))</f>
        <v/>
      </c>
      <c r="F9" s="13"/>
      <c r="G9" s="5"/>
      <c r="H9" s="5"/>
      <c r="I9" s="14"/>
      <c r="J9" s="14"/>
      <c r="K9" s="23" t="str">
        <f aca="false">IF(D9="","",IFERROR(IF(ISNUMBER(INDEX(Instrumentos!$M$8:$M$47,MATCH(D9,Instrumentos!$C$8:$C$47,0))),INDEX(Instrumentos!$M$8:$M$47,MATCH(D9,Instrumentos!$C$8:$C$47,0)),""),""))</f>
        <v/>
      </c>
      <c r="L9" s="16" t="str">
        <f aca="false">IF(OR(D9="",I9="",K9=""),"",IF(ABS(I9)+N(J9)&lt;=K9+0.000000001,"Aprovado","Reprovado"))</f>
        <v/>
      </c>
      <c r="M9" s="5"/>
      <c r="N9" s="5"/>
      <c r="O9" s="17" t="str">
        <f aca="false">IF(D9="",IF(COUNTA(C9,F9:J9,M9:N9)&gt;0,"Falta o instrumento",""),IF(ISNA(MATCH(D9,Instrumentos!$C$8:$C$47,0)),"Instrumento não cadastrado",IF(K9="","Falta o critério no cadastro",IF(G9="","Falta o registro",IF(I9="","Falta o erro encontrado",IF(AND(L9="Reprovado",M9=""),"Falta a ação",IF(AND(L9="Reprovado",N9=""),"Falta avaliar os resultados anteriores","OK")))))))</f>
        <v/>
      </c>
    </row>
    <row r="10" customFormat="false" ht="30" hidden="false" customHeight="true" outlineLevel="0" collapsed="false">
      <c r="B10" s="12" t="n">
        <v>4</v>
      </c>
      <c r="C10" s="8"/>
      <c r="D10" s="13"/>
      <c r="E10" s="21" t="str">
        <f aca="false">IF(D10="","",IFERROR(INDEX(Instrumentos!$D$8:$D$47,MATCH(D10,Instrumentos!$C$8:$C$47,0))&amp;"",""))</f>
        <v/>
      </c>
      <c r="F10" s="13"/>
      <c r="G10" s="5"/>
      <c r="H10" s="5"/>
      <c r="I10" s="14"/>
      <c r="J10" s="14"/>
      <c r="K10" s="23" t="str">
        <f aca="false">IF(D10="","",IFERROR(IF(ISNUMBER(INDEX(Instrumentos!$M$8:$M$47,MATCH(D10,Instrumentos!$C$8:$C$47,0))),INDEX(Instrumentos!$M$8:$M$47,MATCH(D10,Instrumentos!$C$8:$C$47,0)),""),""))</f>
        <v/>
      </c>
      <c r="L10" s="16" t="str">
        <f aca="false">IF(OR(D10="",I10="",K10=""),"",IF(ABS(I10)+N(J10)&lt;=K10+0.000000001,"Aprovado","Reprovado"))</f>
        <v/>
      </c>
      <c r="M10" s="5"/>
      <c r="N10" s="5"/>
      <c r="O10" s="17" t="str">
        <f aca="false">IF(D10="",IF(COUNTA(C10,F10:J10,M10:N10)&gt;0,"Falta o instrumento",""),IF(ISNA(MATCH(D10,Instrumentos!$C$8:$C$47,0)),"Instrumento não cadastrado",IF(K10="","Falta o critério no cadastro",IF(G10="","Falta o registro",IF(I10="","Falta o erro encontrado",IF(AND(L10="Reprovado",M10=""),"Falta a ação",IF(AND(L10="Reprovado",N10=""),"Falta avaliar os resultados anteriores","OK")))))))</f>
        <v/>
      </c>
    </row>
    <row r="11" customFormat="false" ht="30" hidden="false" customHeight="true" outlineLevel="0" collapsed="false">
      <c r="B11" s="12" t="n">
        <v>5</v>
      </c>
      <c r="C11" s="8"/>
      <c r="D11" s="13"/>
      <c r="E11" s="21" t="str">
        <f aca="false">IF(D11="","",IFERROR(INDEX(Instrumentos!$D$8:$D$47,MATCH(D11,Instrumentos!$C$8:$C$47,0))&amp;"",""))</f>
        <v/>
      </c>
      <c r="F11" s="13"/>
      <c r="G11" s="5"/>
      <c r="H11" s="5"/>
      <c r="I11" s="14"/>
      <c r="J11" s="14"/>
      <c r="K11" s="23" t="str">
        <f aca="false">IF(D11="","",IFERROR(IF(ISNUMBER(INDEX(Instrumentos!$M$8:$M$47,MATCH(D11,Instrumentos!$C$8:$C$47,0))),INDEX(Instrumentos!$M$8:$M$47,MATCH(D11,Instrumentos!$C$8:$C$47,0)),""),""))</f>
        <v/>
      </c>
      <c r="L11" s="16" t="str">
        <f aca="false">IF(OR(D11="",I11="",K11=""),"",IF(ABS(I11)+N(J11)&lt;=K11+0.000000001,"Aprovado","Reprovado"))</f>
        <v/>
      </c>
      <c r="M11" s="5"/>
      <c r="N11" s="5"/>
      <c r="O11" s="17" t="str">
        <f aca="false">IF(D11="",IF(COUNTA(C11,F11:J11,M11:N11)&gt;0,"Falta o instrumento",""),IF(ISNA(MATCH(D11,Instrumentos!$C$8:$C$47,0)),"Instrumento não cadastrado",IF(K11="","Falta o critério no cadastro",IF(G11="","Falta o registro",IF(I11="","Falta o erro encontrado",IF(AND(L11="Reprovado",M11=""),"Falta a ação",IF(AND(L11="Reprovado",N11=""),"Falta avaliar os resultados anteriores","OK")))))))</f>
        <v/>
      </c>
    </row>
    <row r="12" customFormat="false" ht="30" hidden="false" customHeight="true" outlineLevel="0" collapsed="false">
      <c r="B12" s="12" t="n">
        <v>6</v>
      </c>
      <c r="C12" s="8"/>
      <c r="D12" s="13"/>
      <c r="E12" s="21" t="str">
        <f aca="false">IF(D12="","",IFERROR(INDEX(Instrumentos!$D$8:$D$47,MATCH(D12,Instrumentos!$C$8:$C$47,0))&amp;"",""))</f>
        <v/>
      </c>
      <c r="F12" s="13"/>
      <c r="G12" s="5"/>
      <c r="H12" s="5"/>
      <c r="I12" s="14"/>
      <c r="J12" s="14"/>
      <c r="K12" s="23" t="str">
        <f aca="false">IF(D12="","",IFERROR(IF(ISNUMBER(INDEX(Instrumentos!$M$8:$M$47,MATCH(D12,Instrumentos!$C$8:$C$47,0))),INDEX(Instrumentos!$M$8:$M$47,MATCH(D12,Instrumentos!$C$8:$C$47,0)),""),""))</f>
        <v/>
      </c>
      <c r="L12" s="16" t="str">
        <f aca="false">IF(OR(D12="",I12="",K12=""),"",IF(ABS(I12)+N(J12)&lt;=K12+0.000000001,"Aprovado","Reprovado"))</f>
        <v/>
      </c>
      <c r="M12" s="5"/>
      <c r="N12" s="5"/>
      <c r="O12" s="17" t="str">
        <f aca="false">IF(D12="",IF(COUNTA(C12,F12:J12,M12:N12)&gt;0,"Falta o instrumento",""),IF(ISNA(MATCH(D12,Instrumentos!$C$8:$C$47,0)),"Instrumento não cadastrado",IF(K12="","Falta o critério no cadastro",IF(G12="","Falta o registro",IF(I12="","Falta o erro encontrado",IF(AND(L12="Reprovado",M12=""),"Falta a ação",IF(AND(L12="Reprovado",N12=""),"Falta avaliar os resultados anteriores","OK")))))))</f>
        <v/>
      </c>
    </row>
    <row r="13" customFormat="false" ht="30" hidden="false" customHeight="true" outlineLevel="0" collapsed="false">
      <c r="B13" s="12" t="n">
        <v>7</v>
      </c>
      <c r="C13" s="8"/>
      <c r="D13" s="13"/>
      <c r="E13" s="21" t="str">
        <f aca="false">IF(D13="","",IFERROR(INDEX(Instrumentos!$D$8:$D$47,MATCH(D13,Instrumentos!$C$8:$C$47,0))&amp;"",""))</f>
        <v/>
      </c>
      <c r="F13" s="13"/>
      <c r="G13" s="5"/>
      <c r="H13" s="5"/>
      <c r="I13" s="14"/>
      <c r="J13" s="14"/>
      <c r="K13" s="23" t="str">
        <f aca="false">IF(D13="","",IFERROR(IF(ISNUMBER(INDEX(Instrumentos!$M$8:$M$47,MATCH(D13,Instrumentos!$C$8:$C$47,0))),INDEX(Instrumentos!$M$8:$M$47,MATCH(D13,Instrumentos!$C$8:$C$47,0)),""),""))</f>
        <v/>
      </c>
      <c r="L13" s="16" t="str">
        <f aca="false">IF(OR(D13="",I13="",K13=""),"",IF(ABS(I13)+N(J13)&lt;=K13+0.000000001,"Aprovado","Reprovado"))</f>
        <v/>
      </c>
      <c r="M13" s="5"/>
      <c r="N13" s="5"/>
      <c r="O13" s="17" t="str">
        <f aca="false">IF(D13="",IF(COUNTA(C13,F13:J13,M13:N13)&gt;0,"Falta o instrumento",""),IF(ISNA(MATCH(D13,Instrumentos!$C$8:$C$47,0)),"Instrumento não cadastrado",IF(K13="","Falta o critério no cadastro",IF(G13="","Falta o registro",IF(I13="","Falta o erro encontrado",IF(AND(L13="Reprovado",M13=""),"Falta a ação",IF(AND(L13="Reprovado",N13=""),"Falta avaliar os resultados anteriores","OK")))))))</f>
        <v/>
      </c>
    </row>
    <row r="14" customFormat="false" ht="30" hidden="false" customHeight="true" outlineLevel="0" collapsed="false">
      <c r="B14" s="12" t="n">
        <v>8</v>
      </c>
      <c r="C14" s="8"/>
      <c r="D14" s="13"/>
      <c r="E14" s="21" t="str">
        <f aca="false">IF(D14="","",IFERROR(INDEX(Instrumentos!$D$8:$D$47,MATCH(D14,Instrumentos!$C$8:$C$47,0))&amp;"",""))</f>
        <v/>
      </c>
      <c r="F14" s="13"/>
      <c r="G14" s="5"/>
      <c r="H14" s="5"/>
      <c r="I14" s="14"/>
      <c r="J14" s="14"/>
      <c r="K14" s="23" t="str">
        <f aca="false">IF(D14="","",IFERROR(IF(ISNUMBER(INDEX(Instrumentos!$M$8:$M$47,MATCH(D14,Instrumentos!$C$8:$C$47,0))),INDEX(Instrumentos!$M$8:$M$47,MATCH(D14,Instrumentos!$C$8:$C$47,0)),""),""))</f>
        <v/>
      </c>
      <c r="L14" s="16" t="str">
        <f aca="false">IF(OR(D14="",I14="",K14=""),"",IF(ABS(I14)+N(J14)&lt;=K14+0.000000001,"Aprovado","Reprovado"))</f>
        <v/>
      </c>
      <c r="M14" s="5"/>
      <c r="N14" s="5"/>
      <c r="O14" s="17" t="str">
        <f aca="false">IF(D14="",IF(COUNTA(C14,F14:J14,M14:N14)&gt;0,"Falta o instrumento",""),IF(ISNA(MATCH(D14,Instrumentos!$C$8:$C$47,0)),"Instrumento não cadastrado",IF(K14="","Falta o critério no cadastro",IF(G14="","Falta o registro",IF(I14="","Falta o erro encontrado",IF(AND(L14="Reprovado",M14=""),"Falta a ação",IF(AND(L14="Reprovado",N14=""),"Falta avaliar os resultados anteriores","OK")))))))</f>
        <v/>
      </c>
    </row>
    <row r="15" customFormat="false" ht="30" hidden="false" customHeight="true" outlineLevel="0" collapsed="false">
      <c r="B15" s="12" t="n">
        <v>9</v>
      </c>
      <c r="C15" s="8"/>
      <c r="D15" s="13"/>
      <c r="E15" s="21" t="str">
        <f aca="false">IF(D15="","",IFERROR(INDEX(Instrumentos!$D$8:$D$47,MATCH(D15,Instrumentos!$C$8:$C$47,0))&amp;"",""))</f>
        <v/>
      </c>
      <c r="F15" s="13"/>
      <c r="G15" s="5"/>
      <c r="H15" s="5"/>
      <c r="I15" s="14"/>
      <c r="J15" s="14"/>
      <c r="K15" s="23" t="str">
        <f aca="false">IF(D15="","",IFERROR(IF(ISNUMBER(INDEX(Instrumentos!$M$8:$M$47,MATCH(D15,Instrumentos!$C$8:$C$47,0))),INDEX(Instrumentos!$M$8:$M$47,MATCH(D15,Instrumentos!$C$8:$C$47,0)),""),""))</f>
        <v/>
      </c>
      <c r="L15" s="16" t="str">
        <f aca="false">IF(OR(D15="",I15="",K15=""),"",IF(ABS(I15)+N(J15)&lt;=K15+0.000000001,"Aprovado","Reprovado"))</f>
        <v/>
      </c>
      <c r="M15" s="5"/>
      <c r="N15" s="5"/>
      <c r="O15" s="17" t="str">
        <f aca="false">IF(D15="",IF(COUNTA(C15,F15:J15,M15:N15)&gt;0,"Falta o instrumento",""),IF(ISNA(MATCH(D15,Instrumentos!$C$8:$C$47,0)),"Instrumento não cadastrado",IF(K15="","Falta o critério no cadastro",IF(G15="","Falta o registro",IF(I15="","Falta o erro encontrado",IF(AND(L15="Reprovado",M15=""),"Falta a ação",IF(AND(L15="Reprovado",N15=""),"Falta avaliar os resultados anteriores","OK")))))))</f>
        <v/>
      </c>
    </row>
    <row r="16" customFormat="false" ht="30" hidden="false" customHeight="true" outlineLevel="0" collapsed="false">
      <c r="B16" s="12" t="n">
        <v>10</v>
      </c>
      <c r="C16" s="8"/>
      <c r="D16" s="13"/>
      <c r="E16" s="21" t="str">
        <f aca="false">IF(D16="","",IFERROR(INDEX(Instrumentos!$D$8:$D$47,MATCH(D16,Instrumentos!$C$8:$C$47,0))&amp;"",""))</f>
        <v/>
      </c>
      <c r="F16" s="13"/>
      <c r="G16" s="5"/>
      <c r="H16" s="5"/>
      <c r="I16" s="14"/>
      <c r="J16" s="14"/>
      <c r="K16" s="23" t="str">
        <f aca="false">IF(D16="","",IFERROR(IF(ISNUMBER(INDEX(Instrumentos!$M$8:$M$47,MATCH(D16,Instrumentos!$C$8:$C$47,0))),INDEX(Instrumentos!$M$8:$M$47,MATCH(D16,Instrumentos!$C$8:$C$47,0)),""),""))</f>
        <v/>
      </c>
      <c r="L16" s="16" t="str">
        <f aca="false">IF(OR(D16="",I16="",K16=""),"",IF(ABS(I16)+N(J16)&lt;=K16+0.000000001,"Aprovado","Reprovado"))</f>
        <v/>
      </c>
      <c r="M16" s="5"/>
      <c r="N16" s="5"/>
      <c r="O16" s="17" t="str">
        <f aca="false">IF(D16="",IF(COUNTA(C16,F16:J16,M16:N16)&gt;0,"Falta o instrumento",""),IF(ISNA(MATCH(D16,Instrumentos!$C$8:$C$47,0)),"Instrumento não cadastrado",IF(K16="","Falta o critério no cadastro",IF(G16="","Falta o registro",IF(I16="","Falta o erro encontrado",IF(AND(L16="Reprovado",M16=""),"Falta a ação",IF(AND(L16="Reprovado",N16=""),"Falta avaliar os resultados anteriores","OK")))))))</f>
        <v/>
      </c>
    </row>
    <row r="17" customFormat="false" ht="30" hidden="false" customHeight="true" outlineLevel="0" collapsed="false">
      <c r="B17" s="12" t="n">
        <v>11</v>
      </c>
      <c r="C17" s="8"/>
      <c r="D17" s="13"/>
      <c r="E17" s="21" t="str">
        <f aca="false">IF(D17="","",IFERROR(INDEX(Instrumentos!$D$8:$D$47,MATCH(D17,Instrumentos!$C$8:$C$47,0))&amp;"",""))</f>
        <v/>
      </c>
      <c r="F17" s="13"/>
      <c r="G17" s="5"/>
      <c r="H17" s="5"/>
      <c r="I17" s="14"/>
      <c r="J17" s="14"/>
      <c r="K17" s="23" t="str">
        <f aca="false">IF(D17="","",IFERROR(IF(ISNUMBER(INDEX(Instrumentos!$M$8:$M$47,MATCH(D17,Instrumentos!$C$8:$C$47,0))),INDEX(Instrumentos!$M$8:$M$47,MATCH(D17,Instrumentos!$C$8:$C$47,0)),""),""))</f>
        <v/>
      </c>
      <c r="L17" s="16" t="str">
        <f aca="false">IF(OR(D17="",I17="",K17=""),"",IF(ABS(I17)+N(J17)&lt;=K17+0.000000001,"Aprovado","Reprovado"))</f>
        <v/>
      </c>
      <c r="M17" s="5"/>
      <c r="N17" s="5"/>
      <c r="O17" s="17" t="str">
        <f aca="false">IF(D17="",IF(COUNTA(C17,F17:J17,M17:N17)&gt;0,"Falta o instrumento",""),IF(ISNA(MATCH(D17,Instrumentos!$C$8:$C$47,0)),"Instrumento não cadastrado",IF(K17="","Falta o critério no cadastro",IF(G17="","Falta o registro",IF(I17="","Falta o erro encontrado",IF(AND(L17="Reprovado",M17=""),"Falta a ação",IF(AND(L17="Reprovado",N17=""),"Falta avaliar os resultados anteriores","OK")))))))</f>
        <v/>
      </c>
    </row>
    <row r="18" customFormat="false" ht="30" hidden="false" customHeight="true" outlineLevel="0" collapsed="false">
      <c r="B18" s="12" t="n">
        <v>12</v>
      </c>
      <c r="C18" s="8"/>
      <c r="D18" s="13"/>
      <c r="E18" s="21" t="str">
        <f aca="false">IF(D18="","",IFERROR(INDEX(Instrumentos!$D$8:$D$47,MATCH(D18,Instrumentos!$C$8:$C$47,0))&amp;"",""))</f>
        <v/>
      </c>
      <c r="F18" s="13"/>
      <c r="G18" s="5"/>
      <c r="H18" s="5"/>
      <c r="I18" s="14"/>
      <c r="J18" s="14"/>
      <c r="K18" s="23" t="str">
        <f aca="false">IF(D18="","",IFERROR(IF(ISNUMBER(INDEX(Instrumentos!$M$8:$M$47,MATCH(D18,Instrumentos!$C$8:$C$47,0))),INDEX(Instrumentos!$M$8:$M$47,MATCH(D18,Instrumentos!$C$8:$C$47,0)),""),""))</f>
        <v/>
      </c>
      <c r="L18" s="16" t="str">
        <f aca="false">IF(OR(D18="",I18="",K18=""),"",IF(ABS(I18)+N(J18)&lt;=K18+0.000000001,"Aprovado","Reprovado"))</f>
        <v/>
      </c>
      <c r="M18" s="5"/>
      <c r="N18" s="5"/>
      <c r="O18" s="17" t="str">
        <f aca="false">IF(D18="",IF(COUNTA(C18,F18:J18,M18:N18)&gt;0,"Falta o instrumento",""),IF(ISNA(MATCH(D18,Instrumentos!$C$8:$C$47,0)),"Instrumento não cadastrado",IF(K18="","Falta o critério no cadastro",IF(G18="","Falta o registro",IF(I18="","Falta o erro encontrado",IF(AND(L18="Reprovado",M18=""),"Falta a ação",IF(AND(L18="Reprovado",N18=""),"Falta avaliar os resultados anteriores","OK")))))))</f>
        <v/>
      </c>
    </row>
    <row r="19" customFormat="false" ht="30" hidden="false" customHeight="true" outlineLevel="0" collapsed="false">
      <c r="B19" s="12" t="n">
        <v>13</v>
      </c>
      <c r="C19" s="8"/>
      <c r="D19" s="13"/>
      <c r="E19" s="21" t="str">
        <f aca="false">IF(D19="","",IFERROR(INDEX(Instrumentos!$D$8:$D$47,MATCH(D19,Instrumentos!$C$8:$C$47,0))&amp;"",""))</f>
        <v/>
      </c>
      <c r="F19" s="13"/>
      <c r="G19" s="5"/>
      <c r="H19" s="5"/>
      <c r="I19" s="14"/>
      <c r="J19" s="14"/>
      <c r="K19" s="23" t="str">
        <f aca="false">IF(D19="","",IFERROR(IF(ISNUMBER(INDEX(Instrumentos!$M$8:$M$47,MATCH(D19,Instrumentos!$C$8:$C$47,0))),INDEX(Instrumentos!$M$8:$M$47,MATCH(D19,Instrumentos!$C$8:$C$47,0)),""),""))</f>
        <v/>
      </c>
      <c r="L19" s="16" t="str">
        <f aca="false">IF(OR(D19="",I19="",K19=""),"",IF(ABS(I19)+N(J19)&lt;=K19+0.000000001,"Aprovado","Reprovado"))</f>
        <v/>
      </c>
      <c r="M19" s="5"/>
      <c r="N19" s="5"/>
      <c r="O19" s="17" t="str">
        <f aca="false">IF(D19="",IF(COUNTA(C19,F19:J19,M19:N19)&gt;0,"Falta o instrumento",""),IF(ISNA(MATCH(D19,Instrumentos!$C$8:$C$47,0)),"Instrumento não cadastrado",IF(K19="","Falta o critério no cadastro",IF(G19="","Falta o registro",IF(I19="","Falta o erro encontrado",IF(AND(L19="Reprovado",M19=""),"Falta a ação",IF(AND(L19="Reprovado",N19=""),"Falta avaliar os resultados anteriores","OK")))))))</f>
        <v/>
      </c>
    </row>
    <row r="20" customFormat="false" ht="30" hidden="false" customHeight="true" outlineLevel="0" collapsed="false">
      <c r="B20" s="12" t="n">
        <v>14</v>
      </c>
      <c r="C20" s="8"/>
      <c r="D20" s="13"/>
      <c r="E20" s="21" t="str">
        <f aca="false">IF(D20="","",IFERROR(INDEX(Instrumentos!$D$8:$D$47,MATCH(D20,Instrumentos!$C$8:$C$47,0))&amp;"",""))</f>
        <v/>
      </c>
      <c r="F20" s="13"/>
      <c r="G20" s="5"/>
      <c r="H20" s="5"/>
      <c r="I20" s="14"/>
      <c r="J20" s="14"/>
      <c r="K20" s="23" t="str">
        <f aca="false">IF(D20="","",IFERROR(IF(ISNUMBER(INDEX(Instrumentos!$M$8:$M$47,MATCH(D20,Instrumentos!$C$8:$C$47,0))),INDEX(Instrumentos!$M$8:$M$47,MATCH(D20,Instrumentos!$C$8:$C$47,0)),""),""))</f>
        <v/>
      </c>
      <c r="L20" s="16" t="str">
        <f aca="false">IF(OR(D20="",I20="",K20=""),"",IF(ABS(I20)+N(J20)&lt;=K20+0.000000001,"Aprovado","Reprovado"))</f>
        <v/>
      </c>
      <c r="M20" s="5"/>
      <c r="N20" s="5"/>
      <c r="O20" s="17" t="str">
        <f aca="false">IF(D20="",IF(COUNTA(C20,F20:J20,M20:N20)&gt;0,"Falta o instrumento",""),IF(ISNA(MATCH(D20,Instrumentos!$C$8:$C$47,0)),"Instrumento não cadastrado",IF(K20="","Falta o critério no cadastro",IF(G20="","Falta o registro",IF(I20="","Falta o erro encontrado",IF(AND(L20="Reprovado",M20=""),"Falta a ação",IF(AND(L20="Reprovado",N20=""),"Falta avaliar os resultados anteriores","OK")))))))</f>
        <v/>
      </c>
    </row>
    <row r="21" customFormat="false" ht="30" hidden="false" customHeight="true" outlineLevel="0" collapsed="false">
      <c r="B21" s="12" t="n">
        <v>15</v>
      </c>
      <c r="C21" s="8"/>
      <c r="D21" s="13"/>
      <c r="E21" s="21" t="str">
        <f aca="false">IF(D21="","",IFERROR(INDEX(Instrumentos!$D$8:$D$47,MATCH(D21,Instrumentos!$C$8:$C$47,0))&amp;"",""))</f>
        <v/>
      </c>
      <c r="F21" s="13"/>
      <c r="G21" s="5"/>
      <c r="H21" s="5"/>
      <c r="I21" s="14"/>
      <c r="J21" s="14"/>
      <c r="K21" s="23" t="str">
        <f aca="false">IF(D21="","",IFERROR(IF(ISNUMBER(INDEX(Instrumentos!$M$8:$M$47,MATCH(D21,Instrumentos!$C$8:$C$47,0))),INDEX(Instrumentos!$M$8:$M$47,MATCH(D21,Instrumentos!$C$8:$C$47,0)),""),""))</f>
        <v/>
      </c>
      <c r="L21" s="16" t="str">
        <f aca="false">IF(OR(D21="",I21="",K21=""),"",IF(ABS(I21)+N(J21)&lt;=K21+0.000000001,"Aprovado","Reprovado"))</f>
        <v/>
      </c>
      <c r="M21" s="5"/>
      <c r="N21" s="5"/>
      <c r="O21" s="17" t="str">
        <f aca="false">IF(D21="",IF(COUNTA(C21,F21:J21,M21:N21)&gt;0,"Falta o instrumento",""),IF(ISNA(MATCH(D21,Instrumentos!$C$8:$C$47,0)),"Instrumento não cadastrado",IF(K21="","Falta o critério no cadastro",IF(G21="","Falta o registro",IF(I21="","Falta o erro encontrado",IF(AND(L21="Reprovado",M21=""),"Falta a ação",IF(AND(L21="Reprovado",N21=""),"Falta avaliar os resultados anteriores","OK")))))))</f>
        <v/>
      </c>
    </row>
    <row r="22" customFormat="false" ht="30" hidden="false" customHeight="true" outlineLevel="0" collapsed="false">
      <c r="B22" s="12" t="n">
        <v>16</v>
      </c>
      <c r="C22" s="8"/>
      <c r="D22" s="13"/>
      <c r="E22" s="21" t="str">
        <f aca="false">IF(D22="","",IFERROR(INDEX(Instrumentos!$D$8:$D$47,MATCH(D22,Instrumentos!$C$8:$C$47,0))&amp;"",""))</f>
        <v/>
      </c>
      <c r="F22" s="13"/>
      <c r="G22" s="5"/>
      <c r="H22" s="5"/>
      <c r="I22" s="14"/>
      <c r="J22" s="14"/>
      <c r="K22" s="23" t="str">
        <f aca="false">IF(D22="","",IFERROR(IF(ISNUMBER(INDEX(Instrumentos!$M$8:$M$47,MATCH(D22,Instrumentos!$C$8:$C$47,0))),INDEX(Instrumentos!$M$8:$M$47,MATCH(D22,Instrumentos!$C$8:$C$47,0)),""),""))</f>
        <v/>
      </c>
      <c r="L22" s="16" t="str">
        <f aca="false">IF(OR(D22="",I22="",K22=""),"",IF(ABS(I22)+N(J22)&lt;=K22+0.000000001,"Aprovado","Reprovado"))</f>
        <v/>
      </c>
      <c r="M22" s="5"/>
      <c r="N22" s="5"/>
      <c r="O22" s="17" t="str">
        <f aca="false">IF(D22="",IF(COUNTA(C22,F22:J22,M22:N22)&gt;0,"Falta o instrumento",""),IF(ISNA(MATCH(D22,Instrumentos!$C$8:$C$47,0)),"Instrumento não cadastrado",IF(K22="","Falta o critério no cadastro",IF(G22="","Falta o registro",IF(I22="","Falta o erro encontrado",IF(AND(L22="Reprovado",M22=""),"Falta a ação",IF(AND(L22="Reprovado",N22=""),"Falta avaliar os resultados anteriores","OK")))))))</f>
        <v/>
      </c>
    </row>
    <row r="23" customFormat="false" ht="30" hidden="false" customHeight="true" outlineLevel="0" collapsed="false">
      <c r="B23" s="12" t="n">
        <v>17</v>
      </c>
      <c r="C23" s="8"/>
      <c r="D23" s="13"/>
      <c r="E23" s="21" t="str">
        <f aca="false">IF(D23="","",IFERROR(INDEX(Instrumentos!$D$8:$D$47,MATCH(D23,Instrumentos!$C$8:$C$47,0))&amp;"",""))</f>
        <v/>
      </c>
      <c r="F23" s="13"/>
      <c r="G23" s="5"/>
      <c r="H23" s="5"/>
      <c r="I23" s="14"/>
      <c r="J23" s="14"/>
      <c r="K23" s="23" t="str">
        <f aca="false">IF(D23="","",IFERROR(IF(ISNUMBER(INDEX(Instrumentos!$M$8:$M$47,MATCH(D23,Instrumentos!$C$8:$C$47,0))),INDEX(Instrumentos!$M$8:$M$47,MATCH(D23,Instrumentos!$C$8:$C$47,0)),""),""))</f>
        <v/>
      </c>
      <c r="L23" s="16" t="str">
        <f aca="false">IF(OR(D23="",I23="",K23=""),"",IF(ABS(I23)+N(J23)&lt;=K23+0.000000001,"Aprovado","Reprovado"))</f>
        <v/>
      </c>
      <c r="M23" s="5"/>
      <c r="N23" s="5"/>
      <c r="O23" s="17" t="str">
        <f aca="false">IF(D23="",IF(COUNTA(C23,F23:J23,M23:N23)&gt;0,"Falta o instrumento",""),IF(ISNA(MATCH(D23,Instrumentos!$C$8:$C$47,0)),"Instrumento não cadastrado",IF(K23="","Falta o critério no cadastro",IF(G23="","Falta o registro",IF(I23="","Falta o erro encontrado",IF(AND(L23="Reprovado",M23=""),"Falta a ação",IF(AND(L23="Reprovado",N23=""),"Falta avaliar os resultados anteriores","OK")))))))</f>
        <v/>
      </c>
    </row>
    <row r="24" customFormat="false" ht="30" hidden="false" customHeight="true" outlineLevel="0" collapsed="false">
      <c r="B24" s="12" t="n">
        <v>18</v>
      </c>
      <c r="C24" s="8"/>
      <c r="D24" s="13"/>
      <c r="E24" s="21" t="str">
        <f aca="false">IF(D24="","",IFERROR(INDEX(Instrumentos!$D$8:$D$47,MATCH(D24,Instrumentos!$C$8:$C$47,0))&amp;"",""))</f>
        <v/>
      </c>
      <c r="F24" s="13"/>
      <c r="G24" s="5"/>
      <c r="H24" s="5"/>
      <c r="I24" s="14"/>
      <c r="J24" s="14"/>
      <c r="K24" s="23" t="str">
        <f aca="false">IF(D24="","",IFERROR(IF(ISNUMBER(INDEX(Instrumentos!$M$8:$M$47,MATCH(D24,Instrumentos!$C$8:$C$47,0))),INDEX(Instrumentos!$M$8:$M$47,MATCH(D24,Instrumentos!$C$8:$C$47,0)),""),""))</f>
        <v/>
      </c>
      <c r="L24" s="16" t="str">
        <f aca="false">IF(OR(D24="",I24="",K24=""),"",IF(ABS(I24)+N(J24)&lt;=K24+0.000000001,"Aprovado","Reprovado"))</f>
        <v/>
      </c>
      <c r="M24" s="5"/>
      <c r="N24" s="5"/>
      <c r="O24" s="17" t="str">
        <f aca="false">IF(D24="",IF(COUNTA(C24,F24:J24,M24:N24)&gt;0,"Falta o instrumento",""),IF(ISNA(MATCH(D24,Instrumentos!$C$8:$C$47,0)),"Instrumento não cadastrado",IF(K24="","Falta o critério no cadastro",IF(G24="","Falta o registro",IF(I24="","Falta o erro encontrado",IF(AND(L24="Reprovado",M24=""),"Falta a ação",IF(AND(L24="Reprovado",N24=""),"Falta avaliar os resultados anteriores","OK")))))))</f>
        <v/>
      </c>
    </row>
    <row r="25" customFormat="false" ht="30" hidden="false" customHeight="true" outlineLevel="0" collapsed="false">
      <c r="B25" s="12" t="n">
        <v>19</v>
      </c>
      <c r="C25" s="8"/>
      <c r="D25" s="13"/>
      <c r="E25" s="21" t="str">
        <f aca="false">IF(D25="","",IFERROR(INDEX(Instrumentos!$D$8:$D$47,MATCH(D25,Instrumentos!$C$8:$C$47,0))&amp;"",""))</f>
        <v/>
      </c>
      <c r="F25" s="13"/>
      <c r="G25" s="5"/>
      <c r="H25" s="5"/>
      <c r="I25" s="14"/>
      <c r="J25" s="14"/>
      <c r="K25" s="23" t="str">
        <f aca="false">IF(D25="","",IFERROR(IF(ISNUMBER(INDEX(Instrumentos!$M$8:$M$47,MATCH(D25,Instrumentos!$C$8:$C$47,0))),INDEX(Instrumentos!$M$8:$M$47,MATCH(D25,Instrumentos!$C$8:$C$47,0)),""),""))</f>
        <v/>
      </c>
      <c r="L25" s="16" t="str">
        <f aca="false">IF(OR(D25="",I25="",K25=""),"",IF(ABS(I25)+N(J25)&lt;=K25+0.000000001,"Aprovado","Reprovado"))</f>
        <v/>
      </c>
      <c r="M25" s="5"/>
      <c r="N25" s="5"/>
      <c r="O25" s="17" t="str">
        <f aca="false">IF(D25="",IF(COUNTA(C25,F25:J25,M25:N25)&gt;0,"Falta o instrumento",""),IF(ISNA(MATCH(D25,Instrumentos!$C$8:$C$47,0)),"Instrumento não cadastrado",IF(K25="","Falta o critério no cadastro",IF(G25="","Falta o registro",IF(I25="","Falta o erro encontrado",IF(AND(L25="Reprovado",M25=""),"Falta a ação",IF(AND(L25="Reprovado",N25=""),"Falta avaliar os resultados anteriores","OK")))))))</f>
        <v/>
      </c>
    </row>
    <row r="26" customFormat="false" ht="30" hidden="false" customHeight="true" outlineLevel="0" collapsed="false">
      <c r="B26" s="12" t="n">
        <v>20</v>
      </c>
      <c r="C26" s="8"/>
      <c r="D26" s="13"/>
      <c r="E26" s="21" t="str">
        <f aca="false">IF(D26="","",IFERROR(INDEX(Instrumentos!$D$8:$D$47,MATCH(D26,Instrumentos!$C$8:$C$47,0))&amp;"",""))</f>
        <v/>
      </c>
      <c r="F26" s="13"/>
      <c r="G26" s="5"/>
      <c r="H26" s="5"/>
      <c r="I26" s="14"/>
      <c r="J26" s="14"/>
      <c r="K26" s="23" t="str">
        <f aca="false">IF(D26="","",IFERROR(IF(ISNUMBER(INDEX(Instrumentos!$M$8:$M$47,MATCH(D26,Instrumentos!$C$8:$C$47,0))),INDEX(Instrumentos!$M$8:$M$47,MATCH(D26,Instrumentos!$C$8:$C$47,0)),""),""))</f>
        <v/>
      </c>
      <c r="L26" s="16" t="str">
        <f aca="false">IF(OR(D26="",I26="",K26=""),"",IF(ABS(I26)+N(J26)&lt;=K26+0.000000001,"Aprovado","Reprovado"))</f>
        <v/>
      </c>
      <c r="M26" s="5"/>
      <c r="N26" s="5"/>
      <c r="O26" s="17" t="str">
        <f aca="false">IF(D26="",IF(COUNTA(C26,F26:J26,M26:N26)&gt;0,"Falta o instrumento",""),IF(ISNA(MATCH(D26,Instrumentos!$C$8:$C$47,0)),"Instrumento não cadastrado",IF(K26="","Falta o critério no cadastro",IF(G26="","Falta o registro",IF(I26="","Falta o erro encontrado",IF(AND(L26="Reprovado",M26=""),"Falta a ação",IF(AND(L26="Reprovado",N26=""),"Falta avaliar os resultados anteriores","OK")))))))</f>
        <v/>
      </c>
    </row>
    <row r="27" customFormat="false" ht="30" hidden="false" customHeight="true" outlineLevel="0" collapsed="false">
      <c r="B27" s="12" t="n">
        <v>21</v>
      </c>
      <c r="C27" s="8"/>
      <c r="D27" s="13"/>
      <c r="E27" s="21" t="str">
        <f aca="false">IF(D27="","",IFERROR(INDEX(Instrumentos!$D$8:$D$47,MATCH(D27,Instrumentos!$C$8:$C$47,0))&amp;"",""))</f>
        <v/>
      </c>
      <c r="F27" s="13"/>
      <c r="G27" s="5"/>
      <c r="H27" s="5"/>
      <c r="I27" s="14"/>
      <c r="J27" s="14"/>
      <c r="K27" s="23" t="str">
        <f aca="false">IF(D27="","",IFERROR(IF(ISNUMBER(INDEX(Instrumentos!$M$8:$M$47,MATCH(D27,Instrumentos!$C$8:$C$47,0))),INDEX(Instrumentos!$M$8:$M$47,MATCH(D27,Instrumentos!$C$8:$C$47,0)),""),""))</f>
        <v/>
      </c>
      <c r="L27" s="16" t="str">
        <f aca="false">IF(OR(D27="",I27="",K27=""),"",IF(ABS(I27)+N(J27)&lt;=K27+0.000000001,"Aprovado","Reprovado"))</f>
        <v/>
      </c>
      <c r="M27" s="5"/>
      <c r="N27" s="5"/>
      <c r="O27" s="17" t="str">
        <f aca="false">IF(D27="",IF(COUNTA(C27,F27:J27,M27:N27)&gt;0,"Falta o instrumento",""),IF(ISNA(MATCH(D27,Instrumentos!$C$8:$C$47,0)),"Instrumento não cadastrado",IF(K27="","Falta o critério no cadastro",IF(G27="","Falta o registro",IF(I27="","Falta o erro encontrado",IF(AND(L27="Reprovado",M27=""),"Falta a ação",IF(AND(L27="Reprovado",N27=""),"Falta avaliar os resultados anteriores","OK")))))))</f>
        <v/>
      </c>
    </row>
    <row r="28" customFormat="false" ht="30" hidden="false" customHeight="true" outlineLevel="0" collapsed="false">
      <c r="B28" s="12" t="n">
        <v>22</v>
      </c>
      <c r="C28" s="8"/>
      <c r="D28" s="13"/>
      <c r="E28" s="21" t="str">
        <f aca="false">IF(D28="","",IFERROR(INDEX(Instrumentos!$D$8:$D$47,MATCH(D28,Instrumentos!$C$8:$C$47,0))&amp;"",""))</f>
        <v/>
      </c>
      <c r="F28" s="13"/>
      <c r="G28" s="5"/>
      <c r="H28" s="5"/>
      <c r="I28" s="14"/>
      <c r="J28" s="14"/>
      <c r="K28" s="23" t="str">
        <f aca="false">IF(D28="","",IFERROR(IF(ISNUMBER(INDEX(Instrumentos!$M$8:$M$47,MATCH(D28,Instrumentos!$C$8:$C$47,0))),INDEX(Instrumentos!$M$8:$M$47,MATCH(D28,Instrumentos!$C$8:$C$47,0)),""),""))</f>
        <v/>
      </c>
      <c r="L28" s="16" t="str">
        <f aca="false">IF(OR(D28="",I28="",K28=""),"",IF(ABS(I28)+N(J28)&lt;=K28+0.000000001,"Aprovado","Reprovado"))</f>
        <v/>
      </c>
      <c r="M28" s="5"/>
      <c r="N28" s="5"/>
      <c r="O28" s="17" t="str">
        <f aca="false">IF(D28="",IF(COUNTA(C28,F28:J28,M28:N28)&gt;0,"Falta o instrumento",""),IF(ISNA(MATCH(D28,Instrumentos!$C$8:$C$47,0)),"Instrumento não cadastrado",IF(K28="","Falta o critério no cadastro",IF(G28="","Falta o registro",IF(I28="","Falta o erro encontrado",IF(AND(L28="Reprovado",M28=""),"Falta a ação",IF(AND(L28="Reprovado",N28=""),"Falta avaliar os resultados anteriores","OK")))))))</f>
        <v/>
      </c>
    </row>
    <row r="29" customFormat="false" ht="30" hidden="false" customHeight="true" outlineLevel="0" collapsed="false">
      <c r="B29" s="12" t="n">
        <v>23</v>
      </c>
      <c r="C29" s="8"/>
      <c r="D29" s="13"/>
      <c r="E29" s="21" t="str">
        <f aca="false">IF(D29="","",IFERROR(INDEX(Instrumentos!$D$8:$D$47,MATCH(D29,Instrumentos!$C$8:$C$47,0))&amp;"",""))</f>
        <v/>
      </c>
      <c r="F29" s="13"/>
      <c r="G29" s="5"/>
      <c r="H29" s="5"/>
      <c r="I29" s="14"/>
      <c r="J29" s="14"/>
      <c r="K29" s="23" t="str">
        <f aca="false">IF(D29="","",IFERROR(IF(ISNUMBER(INDEX(Instrumentos!$M$8:$M$47,MATCH(D29,Instrumentos!$C$8:$C$47,0))),INDEX(Instrumentos!$M$8:$M$47,MATCH(D29,Instrumentos!$C$8:$C$47,0)),""),""))</f>
        <v/>
      </c>
      <c r="L29" s="16" t="str">
        <f aca="false">IF(OR(D29="",I29="",K29=""),"",IF(ABS(I29)+N(J29)&lt;=K29+0.000000001,"Aprovado","Reprovado"))</f>
        <v/>
      </c>
      <c r="M29" s="5"/>
      <c r="N29" s="5"/>
      <c r="O29" s="17" t="str">
        <f aca="false">IF(D29="",IF(COUNTA(C29,F29:J29,M29:N29)&gt;0,"Falta o instrumento",""),IF(ISNA(MATCH(D29,Instrumentos!$C$8:$C$47,0)),"Instrumento não cadastrado",IF(K29="","Falta o critério no cadastro",IF(G29="","Falta o registro",IF(I29="","Falta o erro encontrado",IF(AND(L29="Reprovado",M29=""),"Falta a ação",IF(AND(L29="Reprovado",N29=""),"Falta avaliar os resultados anteriores","OK")))))))</f>
        <v/>
      </c>
    </row>
    <row r="30" customFormat="false" ht="30" hidden="false" customHeight="true" outlineLevel="0" collapsed="false">
      <c r="B30" s="12" t="n">
        <v>24</v>
      </c>
      <c r="C30" s="8"/>
      <c r="D30" s="13"/>
      <c r="E30" s="21" t="str">
        <f aca="false">IF(D30="","",IFERROR(INDEX(Instrumentos!$D$8:$D$47,MATCH(D30,Instrumentos!$C$8:$C$47,0))&amp;"",""))</f>
        <v/>
      </c>
      <c r="F30" s="13"/>
      <c r="G30" s="5"/>
      <c r="H30" s="5"/>
      <c r="I30" s="14"/>
      <c r="J30" s="14"/>
      <c r="K30" s="23" t="str">
        <f aca="false">IF(D30="","",IFERROR(IF(ISNUMBER(INDEX(Instrumentos!$M$8:$M$47,MATCH(D30,Instrumentos!$C$8:$C$47,0))),INDEX(Instrumentos!$M$8:$M$47,MATCH(D30,Instrumentos!$C$8:$C$47,0)),""),""))</f>
        <v/>
      </c>
      <c r="L30" s="16" t="str">
        <f aca="false">IF(OR(D30="",I30="",K30=""),"",IF(ABS(I30)+N(J30)&lt;=K30+0.000000001,"Aprovado","Reprovado"))</f>
        <v/>
      </c>
      <c r="M30" s="5"/>
      <c r="N30" s="5"/>
      <c r="O30" s="17" t="str">
        <f aca="false">IF(D30="",IF(COUNTA(C30,F30:J30,M30:N30)&gt;0,"Falta o instrumento",""),IF(ISNA(MATCH(D30,Instrumentos!$C$8:$C$47,0)),"Instrumento não cadastrado",IF(K30="","Falta o critério no cadastro",IF(G30="","Falta o registro",IF(I30="","Falta o erro encontrado",IF(AND(L30="Reprovado",M30=""),"Falta a ação",IF(AND(L30="Reprovado",N30=""),"Falta avaliar os resultados anteriores","OK")))))))</f>
        <v/>
      </c>
    </row>
    <row r="31" customFormat="false" ht="30" hidden="false" customHeight="true" outlineLevel="0" collapsed="false">
      <c r="B31" s="12" t="n">
        <v>25</v>
      </c>
      <c r="C31" s="8"/>
      <c r="D31" s="13"/>
      <c r="E31" s="21" t="str">
        <f aca="false">IF(D31="","",IFERROR(INDEX(Instrumentos!$D$8:$D$47,MATCH(D31,Instrumentos!$C$8:$C$47,0))&amp;"",""))</f>
        <v/>
      </c>
      <c r="F31" s="13"/>
      <c r="G31" s="5"/>
      <c r="H31" s="5"/>
      <c r="I31" s="14"/>
      <c r="J31" s="14"/>
      <c r="K31" s="23" t="str">
        <f aca="false">IF(D31="","",IFERROR(IF(ISNUMBER(INDEX(Instrumentos!$M$8:$M$47,MATCH(D31,Instrumentos!$C$8:$C$47,0))),INDEX(Instrumentos!$M$8:$M$47,MATCH(D31,Instrumentos!$C$8:$C$47,0)),""),""))</f>
        <v/>
      </c>
      <c r="L31" s="16" t="str">
        <f aca="false">IF(OR(D31="",I31="",K31=""),"",IF(ABS(I31)+N(J31)&lt;=K31+0.000000001,"Aprovado","Reprovado"))</f>
        <v/>
      </c>
      <c r="M31" s="5"/>
      <c r="N31" s="5"/>
      <c r="O31" s="17" t="str">
        <f aca="false">IF(D31="",IF(COUNTA(C31,F31:J31,M31:N31)&gt;0,"Falta o instrumento",""),IF(ISNA(MATCH(D31,Instrumentos!$C$8:$C$47,0)),"Instrumento não cadastrado",IF(K31="","Falta o critério no cadastro",IF(G31="","Falta o registro",IF(I31="","Falta o erro encontrado",IF(AND(L31="Reprovado",M31=""),"Falta a ação",IF(AND(L31="Reprovado",N31=""),"Falta avaliar os resultados anteriores","OK")))))))</f>
        <v/>
      </c>
    </row>
    <row r="32" customFormat="false" ht="30" hidden="false" customHeight="true" outlineLevel="0" collapsed="false">
      <c r="B32" s="12" t="n">
        <v>26</v>
      </c>
      <c r="C32" s="8"/>
      <c r="D32" s="13"/>
      <c r="E32" s="21" t="str">
        <f aca="false">IF(D32="","",IFERROR(INDEX(Instrumentos!$D$8:$D$47,MATCH(D32,Instrumentos!$C$8:$C$47,0))&amp;"",""))</f>
        <v/>
      </c>
      <c r="F32" s="13"/>
      <c r="G32" s="5"/>
      <c r="H32" s="5"/>
      <c r="I32" s="14"/>
      <c r="J32" s="14"/>
      <c r="K32" s="23" t="str">
        <f aca="false">IF(D32="","",IFERROR(IF(ISNUMBER(INDEX(Instrumentos!$M$8:$M$47,MATCH(D32,Instrumentos!$C$8:$C$47,0))),INDEX(Instrumentos!$M$8:$M$47,MATCH(D32,Instrumentos!$C$8:$C$47,0)),""),""))</f>
        <v/>
      </c>
      <c r="L32" s="16" t="str">
        <f aca="false">IF(OR(D32="",I32="",K32=""),"",IF(ABS(I32)+N(J32)&lt;=K32+0.000000001,"Aprovado","Reprovado"))</f>
        <v/>
      </c>
      <c r="M32" s="5"/>
      <c r="N32" s="5"/>
      <c r="O32" s="17" t="str">
        <f aca="false">IF(D32="",IF(COUNTA(C32,F32:J32,M32:N32)&gt;0,"Falta o instrumento",""),IF(ISNA(MATCH(D32,Instrumentos!$C$8:$C$47,0)),"Instrumento não cadastrado",IF(K32="","Falta o critério no cadastro",IF(G32="","Falta o registro",IF(I32="","Falta o erro encontrado",IF(AND(L32="Reprovado",M32=""),"Falta a ação",IF(AND(L32="Reprovado",N32=""),"Falta avaliar os resultados anteriores","OK")))))))</f>
        <v/>
      </c>
    </row>
    <row r="33" customFormat="false" ht="30" hidden="false" customHeight="true" outlineLevel="0" collapsed="false">
      <c r="B33" s="12" t="n">
        <v>27</v>
      </c>
      <c r="C33" s="8"/>
      <c r="D33" s="13"/>
      <c r="E33" s="21" t="str">
        <f aca="false">IF(D33="","",IFERROR(INDEX(Instrumentos!$D$8:$D$47,MATCH(D33,Instrumentos!$C$8:$C$47,0))&amp;"",""))</f>
        <v/>
      </c>
      <c r="F33" s="13"/>
      <c r="G33" s="5"/>
      <c r="H33" s="5"/>
      <c r="I33" s="14"/>
      <c r="J33" s="14"/>
      <c r="K33" s="23" t="str">
        <f aca="false">IF(D33="","",IFERROR(IF(ISNUMBER(INDEX(Instrumentos!$M$8:$M$47,MATCH(D33,Instrumentos!$C$8:$C$47,0))),INDEX(Instrumentos!$M$8:$M$47,MATCH(D33,Instrumentos!$C$8:$C$47,0)),""),""))</f>
        <v/>
      </c>
      <c r="L33" s="16" t="str">
        <f aca="false">IF(OR(D33="",I33="",K33=""),"",IF(ABS(I33)+N(J33)&lt;=K33+0.000000001,"Aprovado","Reprovado"))</f>
        <v/>
      </c>
      <c r="M33" s="5"/>
      <c r="N33" s="5"/>
      <c r="O33" s="17" t="str">
        <f aca="false">IF(D33="",IF(COUNTA(C33,F33:J33,M33:N33)&gt;0,"Falta o instrumento",""),IF(ISNA(MATCH(D33,Instrumentos!$C$8:$C$47,0)),"Instrumento não cadastrado",IF(K33="","Falta o critério no cadastro",IF(G33="","Falta o registro",IF(I33="","Falta o erro encontrado",IF(AND(L33="Reprovado",M33=""),"Falta a ação",IF(AND(L33="Reprovado",N33=""),"Falta avaliar os resultados anteriores","OK")))))))</f>
        <v/>
      </c>
    </row>
    <row r="34" customFormat="false" ht="30" hidden="false" customHeight="true" outlineLevel="0" collapsed="false">
      <c r="B34" s="12" t="n">
        <v>28</v>
      </c>
      <c r="C34" s="8"/>
      <c r="D34" s="13"/>
      <c r="E34" s="21" t="str">
        <f aca="false">IF(D34="","",IFERROR(INDEX(Instrumentos!$D$8:$D$47,MATCH(D34,Instrumentos!$C$8:$C$47,0))&amp;"",""))</f>
        <v/>
      </c>
      <c r="F34" s="13"/>
      <c r="G34" s="5"/>
      <c r="H34" s="5"/>
      <c r="I34" s="14"/>
      <c r="J34" s="14"/>
      <c r="K34" s="23" t="str">
        <f aca="false">IF(D34="","",IFERROR(IF(ISNUMBER(INDEX(Instrumentos!$M$8:$M$47,MATCH(D34,Instrumentos!$C$8:$C$47,0))),INDEX(Instrumentos!$M$8:$M$47,MATCH(D34,Instrumentos!$C$8:$C$47,0)),""),""))</f>
        <v/>
      </c>
      <c r="L34" s="16" t="str">
        <f aca="false">IF(OR(D34="",I34="",K34=""),"",IF(ABS(I34)+N(J34)&lt;=K34+0.000000001,"Aprovado","Reprovado"))</f>
        <v/>
      </c>
      <c r="M34" s="5"/>
      <c r="N34" s="5"/>
      <c r="O34" s="17" t="str">
        <f aca="false">IF(D34="",IF(COUNTA(C34,F34:J34,M34:N34)&gt;0,"Falta o instrumento",""),IF(ISNA(MATCH(D34,Instrumentos!$C$8:$C$47,0)),"Instrumento não cadastrado",IF(K34="","Falta o critério no cadastro",IF(G34="","Falta o registro",IF(I34="","Falta o erro encontrado",IF(AND(L34="Reprovado",M34=""),"Falta a ação",IF(AND(L34="Reprovado",N34=""),"Falta avaliar os resultados anteriores","OK")))))))</f>
        <v/>
      </c>
    </row>
    <row r="35" customFormat="false" ht="30" hidden="false" customHeight="true" outlineLevel="0" collapsed="false">
      <c r="B35" s="12" t="n">
        <v>29</v>
      </c>
      <c r="C35" s="8"/>
      <c r="D35" s="13"/>
      <c r="E35" s="21" t="str">
        <f aca="false">IF(D35="","",IFERROR(INDEX(Instrumentos!$D$8:$D$47,MATCH(D35,Instrumentos!$C$8:$C$47,0))&amp;"",""))</f>
        <v/>
      </c>
      <c r="F35" s="13"/>
      <c r="G35" s="5"/>
      <c r="H35" s="5"/>
      <c r="I35" s="14"/>
      <c r="J35" s="14"/>
      <c r="K35" s="23" t="str">
        <f aca="false">IF(D35="","",IFERROR(IF(ISNUMBER(INDEX(Instrumentos!$M$8:$M$47,MATCH(D35,Instrumentos!$C$8:$C$47,0))),INDEX(Instrumentos!$M$8:$M$47,MATCH(D35,Instrumentos!$C$8:$C$47,0)),""),""))</f>
        <v/>
      </c>
      <c r="L35" s="16" t="str">
        <f aca="false">IF(OR(D35="",I35="",K35=""),"",IF(ABS(I35)+N(J35)&lt;=K35+0.000000001,"Aprovado","Reprovado"))</f>
        <v/>
      </c>
      <c r="M35" s="5"/>
      <c r="N35" s="5"/>
      <c r="O35" s="17" t="str">
        <f aca="false">IF(D35="",IF(COUNTA(C35,F35:J35,M35:N35)&gt;0,"Falta o instrumento",""),IF(ISNA(MATCH(D35,Instrumentos!$C$8:$C$47,0)),"Instrumento não cadastrado",IF(K35="","Falta o critério no cadastro",IF(G35="","Falta o registro",IF(I35="","Falta o erro encontrado",IF(AND(L35="Reprovado",M35=""),"Falta a ação",IF(AND(L35="Reprovado",N35=""),"Falta avaliar os resultados anteriores","OK")))))))</f>
        <v/>
      </c>
    </row>
    <row r="36" customFormat="false" ht="30" hidden="false" customHeight="true" outlineLevel="0" collapsed="false">
      <c r="B36" s="12" t="n">
        <v>30</v>
      </c>
      <c r="C36" s="8"/>
      <c r="D36" s="13"/>
      <c r="E36" s="21" t="str">
        <f aca="false">IF(D36="","",IFERROR(INDEX(Instrumentos!$D$8:$D$47,MATCH(D36,Instrumentos!$C$8:$C$47,0))&amp;"",""))</f>
        <v/>
      </c>
      <c r="F36" s="13"/>
      <c r="G36" s="5"/>
      <c r="H36" s="5"/>
      <c r="I36" s="14"/>
      <c r="J36" s="14"/>
      <c r="K36" s="23" t="str">
        <f aca="false">IF(D36="","",IFERROR(IF(ISNUMBER(INDEX(Instrumentos!$M$8:$M$47,MATCH(D36,Instrumentos!$C$8:$C$47,0))),INDEX(Instrumentos!$M$8:$M$47,MATCH(D36,Instrumentos!$C$8:$C$47,0)),""),""))</f>
        <v/>
      </c>
      <c r="L36" s="16" t="str">
        <f aca="false">IF(OR(D36="",I36="",K36=""),"",IF(ABS(I36)+N(J36)&lt;=K36+0.000000001,"Aprovado","Reprovado"))</f>
        <v/>
      </c>
      <c r="M36" s="5"/>
      <c r="N36" s="5"/>
      <c r="O36" s="17" t="str">
        <f aca="false">IF(D36="",IF(COUNTA(C36,F36:J36,M36:N36)&gt;0,"Falta o instrumento",""),IF(ISNA(MATCH(D36,Instrumentos!$C$8:$C$47,0)),"Instrumento não cadastrado",IF(K36="","Falta o critério no cadastro",IF(G36="","Falta o registro",IF(I36="","Falta o erro encontrado",IF(AND(L36="Reprovado",M36=""),"Falta a ação",IF(AND(L36="Reprovado",N36=""),"Falta avaliar os resultados anteriores","OK")))))))</f>
        <v/>
      </c>
    </row>
    <row r="37" customFormat="false" ht="30" hidden="false" customHeight="true" outlineLevel="0" collapsed="false">
      <c r="B37" s="12" t="n">
        <v>31</v>
      </c>
      <c r="C37" s="8"/>
      <c r="D37" s="13"/>
      <c r="E37" s="21" t="str">
        <f aca="false">IF(D37="","",IFERROR(INDEX(Instrumentos!$D$8:$D$47,MATCH(D37,Instrumentos!$C$8:$C$47,0))&amp;"",""))</f>
        <v/>
      </c>
      <c r="F37" s="13"/>
      <c r="G37" s="5"/>
      <c r="H37" s="5"/>
      <c r="I37" s="14"/>
      <c r="J37" s="14"/>
      <c r="K37" s="23" t="str">
        <f aca="false">IF(D37="","",IFERROR(IF(ISNUMBER(INDEX(Instrumentos!$M$8:$M$47,MATCH(D37,Instrumentos!$C$8:$C$47,0))),INDEX(Instrumentos!$M$8:$M$47,MATCH(D37,Instrumentos!$C$8:$C$47,0)),""),""))</f>
        <v/>
      </c>
      <c r="L37" s="16" t="str">
        <f aca="false">IF(OR(D37="",I37="",K37=""),"",IF(ABS(I37)+N(J37)&lt;=K37+0.000000001,"Aprovado","Reprovado"))</f>
        <v/>
      </c>
      <c r="M37" s="5"/>
      <c r="N37" s="5"/>
      <c r="O37" s="17" t="str">
        <f aca="false">IF(D37="",IF(COUNTA(C37,F37:J37,M37:N37)&gt;0,"Falta o instrumento",""),IF(ISNA(MATCH(D37,Instrumentos!$C$8:$C$47,0)),"Instrumento não cadastrado",IF(K37="","Falta o critério no cadastro",IF(G37="","Falta o registro",IF(I37="","Falta o erro encontrado",IF(AND(L37="Reprovado",M37=""),"Falta a ação",IF(AND(L37="Reprovado",N37=""),"Falta avaliar os resultados anteriores","OK")))))))</f>
        <v/>
      </c>
    </row>
    <row r="38" customFormat="false" ht="30" hidden="false" customHeight="true" outlineLevel="0" collapsed="false">
      <c r="B38" s="12" t="n">
        <v>32</v>
      </c>
      <c r="C38" s="8"/>
      <c r="D38" s="13"/>
      <c r="E38" s="21" t="str">
        <f aca="false">IF(D38="","",IFERROR(INDEX(Instrumentos!$D$8:$D$47,MATCH(D38,Instrumentos!$C$8:$C$47,0))&amp;"",""))</f>
        <v/>
      </c>
      <c r="F38" s="13"/>
      <c r="G38" s="5"/>
      <c r="H38" s="5"/>
      <c r="I38" s="14"/>
      <c r="J38" s="14"/>
      <c r="K38" s="23" t="str">
        <f aca="false">IF(D38="","",IFERROR(IF(ISNUMBER(INDEX(Instrumentos!$M$8:$M$47,MATCH(D38,Instrumentos!$C$8:$C$47,0))),INDEX(Instrumentos!$M$8:$M$47,MATCH(D38,Instrumentos!$C$8:$C$47,0)),""),""))</f>
        <v/>
      </c>
      <c r="L38" s="16" t="str">
        <f aca="false">IF(OR(D38="",I38="",K38=""),"",IF(ABS(I38)+N(J38)&lt;=K38+0.000000001,"Aprovado","Reprovado"))</f>
        <v/>
      </c>
      <c r="M38" s="5"/>
      <c r="N38" s="5"/>
      <c r="O38" s="17" t="str">
        <f aca="false">IF(D38="",IF(COUNTA(C38,F38:J38,M38:N38)&gt;0,"Falta o instrumento",""),IF(ISNA(MATCH(D38,Instrumentos!$C$8:$C$47,0)),"Instrumento não cadastrado",IF(K38="","Falta o critério no cadastro",IF(G38="","Falta o registro",IF(I38="","Falta o erro encontrado",IF(AND(L38="Reprovado",M38=""),"Falta a ação",IF(AND(L38="Reprovado",N38=""),"Falta avaliar os resultados anteriores","OK")))))))</f>
        <v/>
      </c>
    </row>
    <row r="39" customFormat="false" ht="30" hidden="false" customHeight="true" outlineLevel="0" collapsed="false">
      <c r="B39" s="12" t="n">
        <v>33</v>
      </c>
      <c r="C39" s="8"/>
      <c r="D39" s="13"/>
      <c r="E39" s="21" t="str">
        <f aca="false">IF(D39="","",IFERROR(INDEX(Instrumentos!$D$8:$D$47,MATCH(D39,Instrumentos!$C$8:$C$47,0))&amp;"",""))</f>
        <v/>
      </c>
      <c r="F39" s="13"/>
      <c r="G39" s="5"/>
      <c r="H39" s="5"/>
      <c r="I39" s="14"/>
      <c r="J39" s="14"/>
      <c r="K39" s="23" t="str">
        <f aca="false">IF(D39="","",IFERROR(IF(ISNUMBER(INDEX(Instrumentos!$M$8:$M$47,MATCH(D39,Instrumentos!$C$8:$C$47,0))),INDEX(Instrumentos!$M$8:$M$47,MATCH(D39,Instrumentos!$C$8:$C$47,0)),""),""))</f>
        <v/>
      </c>
      <c r="L39" s="16" t="str">
        <f aca="false">IF(OR(D39="",I39="",K39=""),"",IF(ABS(I39)+N(J39)&lt;=K39+0.000000001,"Aprovado","Reprovado"))</f>
        <v/>
      </c>
      <c r="M39" s="5"/>
      <c r="N39" s="5"/>
      <c r="O39" s="17" t="str">
        <f aca="false">IF(D39="",IF(COUNTA(C39,F39:J39,M39:N39)&gt;0,"Falta o instrumento",""),IF(ISNA(MATCH(D39,Instrumentos!$C$8:$C$47,0)),"Instrumento não cadastrado",IF(K39="","Falta o critério no cadastro",IF(G39="","Falta o registro",IF(I39="","Falta o erro encontrado",IF(AND(L39="Reprovado",M39=""),"Falta a ação",IF(AND(L39="Reprovado",N39=""),"Falta avaliar os resultados anteriores","OK")))))))</f>
        <v/>
      </c>
    </row>
    <row r="40" customFormat="false" ht="30" hidden="false" customHeight="true" outlineLevel="0" collapsed="false">
      <c r="B40" s="12" t="n">
        <v>34</v>
      </c>
      <c r="C40" s="8"/>
      <c r="D40" s="13"/>
      <c r="E40" s="21" t="str">
        <f aca="false">IF(D40="","",IFERROR(INDEX(Instrumentos!$D$8:$D$47,MATCH(D40,Instrumentos!$C$8:$C$47,0))&amp;"",""))</f>
        <v/>
      </c>
      <c r="F40" s="13"/>
      <c r="G40" s="5"/>
      <c r="H40" s="5"/>
      <c r="I40" s="14"/>
      <c r="J40" s="14"/>
      <c r="K40" s="23" t="str">
        <f aca="false">IF(D40="","",IFERROR(IF(ISNUMBER(INDEX(Instrumentos!$M$8:$M$47,MATCH(D40,Instrumentos!$C$8:$C$47,0))),INDEX(Instrumentos!$M$8:$M$47,MATCH(D40,Instrumentos!$C$8:$C$47,0)),""),""))</f>
        <v/>
      </c>
      <c r="L40" s="16" t="str">
        <f aca="false">IF(OR(D40="",I40="",K40=""),"",IF(ABS(I40)+N(J40)&lt;=K40+0.000000001,"Aprovado","Reprovado"))</f>
        <v/>
      </c>
      <c r="M40" s="5"/>
      <c r="N40" s="5"/>
      <c r="O40" s="17" t="str">
        <f aca="false">IF(D40="",IF(COUNTA(C40,F40:J40,M40:N40)&gt;0,"Falta o instrumento",""),IF(ISNA(MATCH(D40,Instrumentos!$C$8:$C$47,0)),"Instrumento não cadastrado",IF(K40="","Falta o critério no cadastro",IF(G40="","Falta o registro",IF(I40="","Falta o erro encontrado",IF(AND(L40="Reprovado",M40=""),"Falta a ação",IF(AND(L40="Reprovado",N40=""),"Falta avaliar os resultados anteriores","OK")))))))</f>
        <v/>
      </c>
    </row>
    <row r="41" customFormat="false" ht="30" hidden="false" customHeight="true" outlineLevel="0" collapsed="false">
      <c r="B41" s="12" t="n">
        <v>35</v>
      </c>
      <c r="C41" s="8"/>
      <c r="D41" s="13"/>
      <c r="E41" s="21" t="str">
        <f aca="false">IF(D41="","",IFERROR(INDEX(Instrumentos!$D$8:$D$47,MATCH(D41,Instrumentos!$C$8:$C$47,0))&amp;"",""))</f>
        <v/>
      </c>
      <c r="F41" s="13"/>
      <c r="G41" s="5"/>
      <c r="H41" s="5"/>
      <c r="I41" s="14"/>
      <c r="J41" s="14"/>
      <c r="K41" s="23" t="str">
        <f aca="false">IF(D41="","",IFERROR(IF(ISNUMBER(INDEX(Instrumentos!$M$8:$M$47,MATCH(D41,Instrumentos!$C$8:$C$47,0))),INDEX(Instrumentos!$M$8:$M$47,MATCH(D41,Instrumentos!$C$8:$C$47,0)),""),""))</f>
        <v/>
      </c>
      <c r="L41" s="16" t="str">
        <f aca="false">IF(OR(D41="",I41="",K41=""),"",IF(ABS(I41)+N(J41)&lt;=K41+0.000000001,"Aprovado","Reprovado"))</f>
        <v/>
      </c>
      <c r="M41" s="5"/>
      <c r="N41" s="5"/>
      <c r="O41" s="17" t="str">
        <f aca="false">IF(D41="",IF(COUNTA(C41,F41:J41,M41:N41)&gt;0,"Falta o instrumento",""),IF(ISNA(MATCH(D41,Instrumentos!$C$8:$C$47,0)),"Instrumento não cadastrado",IF(K41="","Falta o critério no cadastro",IF(G41="","Falta o registro",IF(I41="","Falta o erro encontrado",IF(AND(L41="Reprovado",M41=""),"Falta a ação",IF(AND(L41="Reprovado",N41=""),"Falta avaliar os resultados anteriores","OK")))))))</f>
        <v/>
      </c>
    </row>
    <row r="42" customFormat="false" ht="30" hidden="false" customHeight="true" outlineLevel="0" collapsed="false">
      <c r="B42" s="12" t="n">
        <v>36</v>
      </c>
      <c r="C42" s="8"/>
      <c r="D42" s="13"/>
      <c r="E42" s="21" t="str">
        <f aca="false">IF(D42="","",IFERROR(INDEX(Instrumentos!$D$8:$D$47,MATCH(D42,Instrumentos!$C$8:$C$47,0))&amp;"",""))</f>
        <v/>
      </c>
      <c r="F42" s="13"/>
      <c r="G42" s="5"/>
      <c r="H42" s="5"/>
      <c r="I42" s="14"/>
      <c r="J42" s="14"/>
      <c r="K42" s="23" t="str">
        <f aca="false">IF(D42="","",IFERROR(IF(ISNUMBER(INDEX(Instrumentos!$M$8:$M$47,MATCH(D42,Instrumentos!$C$8:$C$47,0))),INDEX(Instrumentos!$M$8:$M$47,MATCH(D42,Instrumentos!$C$8:$C$47,0)),""),""))</f>
        <v/>
      </c>
      <c r="L42" s="16" t="str">
        <f aca="false">IF(OR(D42="",I42="",K42=""),"",IF(ABS(I42)+N(J42)&lt;=K42+0.000000001,"Aprovado","Reprovado"))</f>
        <v/>
      </c>
      <c r="M42" s="5"/>
      <c r="N42" s="5"/>
      <c r="O42" s="17" t="str">
        <f aca="false">IF(D42="",IF(COUNTA(C42,F42:J42,M42:N42)&gt;0,"Falta o instrumento",""),IF(ISNA(MATCH(D42,Instrumentos!$C$8:$C$47,0)),"Instrumento não cadastrado",IF(K42="","Falta o critério no cadastro",IF(G42="","Falta o registro",IF(I42="","Falta o erro encontrado",IF(AND(L42="Reprovado",M42=""),"Falta a ação",IF(AND(L42="Reprovado",N42=""),"Falta avaliar os resultados anteriores","OK")))))))</f>
        <v/>
      </c>
    </row>
    <row r="43" customFormat="false" ht="30" hidden="false" customHeight="true" outlineLevel="0" collapsed="false">
      <c r="B43" s="12" t="n">
        <v>37</v>
      </c>
      <c r="C43" s="8"/>
      <c r="D43" s="13"/>
      <c r="E43" s="21" t="str">
        <f aca="false">IF(D43="","",IFERROR(INDEX(Instrumentos!$D$8:$D$47,MATCH(D43,Instrumentos!$C$8:$C$47,0))&amp;"",""))</f>
        <v/>
      </c>
      <c r="F43" s="13"/>
      <c r="G43" s="5"/>
      <c r="H43" s="5"/>
      <c r="I43" s="14"/>
      <c r="J43" s="14"/>
      <c r="K43" s="23" t="str">
        <f aca="false">IF(D43="","",IFERROR(IF(ISNUMBER(INDEX(Instrumentos!$M$8:$M$47,MATCH(D43,Instrumentos!$C$8:$C$47,0))),INDEX(Instrumentos!$M$8:$M$47,MATCH(D43,Instrumentos!$C$8:$C$47,0)),""),""))</f>
        <v/>
      </c>
      <c r="L43" s="16" t="str">
        <f aca="false">IF(OR(D43="",I43="",K43=""),"",IF(ABS(I43)+N(J43)&lt;=K43+0.000000001,"Aprovado","Reprovado"))</f>
        <v/>
      </c>
      <c r="M43" s="5"/>
      <c r="N43" s="5"/>
      <c r="O43" s="17" t="str">
        <f aca="false">IF(D43="",IF(COUNTA(C43,F43:J43,M43:N43)&gt;0,"Falta o instrumento",""),IF(ISNA(MATCH(D43,Instrumentos!$C$8:$C$47,0)),"Instrumento não cadastrado",IF(K43="","Falta o critério no cadastro",IF(G43="","Falta o registro",IF(I43="","Falta o erro encontrado",IF(AND(L43="Reprovado",M43=""),"Falta a ação",IF(AND(L43="Reprovado",N43=""),"Falta avaliar os resultados anteriores","OK")))))))</f>
        <v/>
      </c>
    </row>
    <row r="44" customFormat="false" ht="30" hidden="false" customHeight="true" outlineLevel="0" collapsed="false">
      <c r="B44" s="12" t="n">
        <v>38</v>
      </c>
      <c r="C44" s="8"/>
      <c r="D44" s="13"/>
      <c r="E44" s="21" t="str">
        <f aca="false">IF(D44="","",IFERROR(INDEX(Instrumentos!$D$8:$D$47,MATCH(D44,Instrumentos!$C$8:$C$47,0))&amp;"",""))</f>
        <v/>
      </c>
      <c r="F44" s="13"/>
      <c r="G44" s="5"/>
      <c r="H44" s="5"/>
      <c r="I44" s="14"/>
      <c r="J44" s="14"/>
      <c r="K44" s="23" t="str">
        <f aca="false">IF(D44="","",IFERROR(IF(ISNUMBER(INDEX(Instrumentos!$M$8:$M$47,MATCH(D44,Instrumentos!$C$8:$C$47,0))),INDEX(Instrumentos!$M$8:$M$47,MATCH(D44,Instrumentos!$C$8:$C$47,0)),""),""))</f>
        <v/>
      </c>
      <c r="L44" s="16" t="str">
        <f aca="false">IF(OR(D44="",I44="",K44=""),"",IF(ABS(I44)+N(J44)&lt;=K44+0.000000001,"Aprovado","Reprovado"))</f>
        <v/>
      </c>
      <c r="M44" s="5"/>
      <c r="N44" s="5"/>
      <c r="O44" s="17" t="str">
        <f aca="false">IF(D44="",IF(COUNTA(C44,F44:J44,M44:N44)&gt;0,"Falta o instrumento",""),IF(ISNA(MATCH(D44,Instrumentos!$C$8:$C$47,0)),"Instrumento não cadastrado",IF(K44="","Falta o critério no cadastro",IF(G44="","Falta o registro",IF(I44="","Falta o erro encontrado",IF(AND(L44="Reprovado",M44=""),"Falta a ação",IF(AND(L44="Reprovado",N44=""),"Falta avaliar os resultados anteriores","OK")))))))</f>
        <v/>
      </c>
    </row>
    <row r="45" customFormat="false" ht="30" hidden="false" customHeight="true" outlineLevel="0" collapsed="false">
      <c r="B45" s="12" t="n">
        <v>39</v>
      </c>
      <c r="C45" s="8"/>
      <c r="D45" s="13"/>
      <c r="E45" s="21" t="str">
        <f aca="false">IF(D45="","",IFERROR(INDEX(Instrumentos!$D$8:$D$47,MATCH(D45,Instrumentos!$C$8:$C$47,0))&amp;"",""))</f>
        <v/>
      </c>
      <c r="F45" s="13"/>
      <c r="G45" s="5"/>
      <c r="H45" s="5"/>
      <c r="I45" s="14"/>
      <c r="J45" s="14"/>
      <c r="K45" s="23" t="str">
        <f aca="false">IF(D45="","",IFERROR(IF(ISNUMBER(INDEX(Instrumentos!$M$8:$M$47,MATCH(D45,Instrumentos!$C$8:$C$47,0))),INDEX(Instrumentos!$M$8:$M$47,MATCH(D45,Instrumentos!$C$8:$C$47,0)),""),""))</f>
        <v/>
      </c>
      <c r="L45" s="16" t="str">
        <f aca="false">IF(OR(D45="",I45="",K45=""),"",IF(ABS(I45)+N(J45)&lt;=K45+0.000000001,"Aprovado","Reprovado"))</f>
        <v/>
      </c>
      <c r="M45" s="5"/>
      <c r="N45" s="5"/>
      <c r="O45" s="17" t="str">
        <f aca="false">IF(D45="",IF(COUNTA(C45,F45:J45,M45:N45)&gt;0,"Falta o instrumento",""),IF(ISNA(MATCH(D45,Instrumentos!$C$8:$C$47,0)),"Instrumento não cadastrado",IF(K45="","Falta o critério no cadastro",IF(G45="","Falta o registro",IF(I45="","Falta o erro encontrado",IF(AND(L45="Reprovado",M45=""),"Falta a ação",IF(AND(L45="Reprovado",N45=""),"Falta avaliar os resultados anteriores","OK")))))))</f>
        <v/>
      </c>
    </row>
    <row r="46" customFormat="false" ht="30" hidden="false" customHeight="true" outlineLevel="0" collapsed="false">
      <c r="B46" s="12" t="n">
        <v>40</v>
      </c>
      <c r="C46" s="8"/>
      <c r="D46" s="13"/>
      <c r="E46" s="21" t="str">
        <f aca="false">IF(D46="","",IFERROR(INDEX(Instrumentos!$D$8:$D$47,MATCH(D46,Instrumentos!$C$8:$C$47,0))&amp;"",""))</f>
        <v/>
      </c>
      <c r="F46" s="13"/>
      <c r="G46" s="5"/>
      <c r="H46" s="5"/>
      <c r="I46" s="14"/>
      <c r="J46" s="14"/>
      <c r="K46" s="23" t="str">
        <f aca="false">IF(D46="","",IFERROR(IF(ISNUMBER(INDEX(Instrumentos!$M$8:$M$47,MATCH(D46,Instrumentos!$C$8:$C$47,0))),INDEX(Instrumentos!$M$8:$M$47,MATCH(D46,Instrumentos!$C$8:$C$47,0)),""),""))</f>
        <v/>
      </c>
      <c r="L46" s="16" t="str">
        <f aca="false">IF(OR(D46="",I46="",K46=""),"",IF(ABS(I46)+N(J46)&lt;=K46+0.000000001,"Aprovado","Reprovado"))</f>
        <v/>
      </c>
      <c r="M46" s="5"/>
      <c r="N46" s="5"/>
      <c r="O46" s="17" t="str">
        <f aca="false">IF(D46="",IF(COUNTA(C46,F46:J46,M46:N46)&gt;0,"Falta o instrumento",""),IF(ISNA(MATCH(D46,Instrumentos!$C$8:$C$47,0)),"Instrumento não cadastrado",IF(K46="","Falta o critério no cadastro",IF(G46="","Falta o registro",IF(I46="","Falta o erro encontrado",IF(AND(L46="Reprovado",M46=""),"Falta a ação",IF(AND(L46="Reprovado",N46=""),"Falta avaliar os resultados anteriores","OK")))))))</f>
        <v/>
      </c>
    </row>
    <row r="47" customFormat="false" ht="30" hidden="false" customHeight="true" outlineLevel="0" collapsed="false">
      <c r="B47" s="12" t="n">
        <v>41</v>
      </c>
      <c r="C47" s="8"/>
      <c r="D47" s="13"/>
      <c r="E47" s="21" t="str">
        <f aca="false">IF(D47="","",IFERROR(INDEX(Instrumentos!$D$8:$D$47,MATCH(D47,Instrumentos!$C$8:$C$47,0))&amp;"",""))</f>
        <v/>
      </c>
      <c r="F47" s="13"/>
      <c r="G47" s="5"/>
      <c r="H47" s="5"/>
      <c r="I47" s="14"/>
      <c r="J47" s="14"/>
      <c r="K47" s="23" t="str">
        <f aca="false">IF(D47="","",IFERROR(IF(ISNUMBER(INDEX(Instrumentos!$M$8:$M$47,MATCH(D47,Instrumentos!$C$8:$C$47,0))),INDEX(Instrumentos!$M$8:$M$47,MATCH(D47,Instrumentos!$C$8:$C$47,0)),""),""))</f>
        <v/>
      </c>
      <c r="L47" s="16" t="str">
        <f aca="false">IF(OR(D47="",I47="",K47=""),"",IF(ABS(I47)+N(J47)&lt;=K47+0.000000001,"Aprovado","Reprovado"))</f>
        <v/>
      </c>
      <c r="M47" s="5"/>
      <c r="N47" s="5"/>
      <c r="O47" s="17" t="str">
        <f aca="false">IF(D47="",IF(COUNTA(C47,F47:J47,M47:N47)&gt;0,"Falta o instrumento",""),IF(ISNA(MATCH(D47,Instrumentos!$C$8:$C$47,0)),"Instrumento não cadastrado",IF(K47="","Falta o critério no cadastro",IF(G47="","Falta o registro",IF(I47="","Falta o erro encontrado",IF(AND(L47="Reprovado",M47=""),"Falta a ação",IF(AND(L47="Reprovado",N47=""),"Falta avaliar os resultados anteriores","OK")))))))</f>
        <v/>
      </c>
    </row>
    <row r="48" customFormat="false" ht="30" hidden="false" customHeight="true" outlineLevel="0" collapsed="false">
      <c r="B48" s="12" t="n">
        <v>42</v>
      </c>
      <c r="C48" s="8"/>
      <c r="D48" s="13"/>
      <c r="E48" s="21" t="str">
        <f aca="false">IF(D48="","",IFERROR(INDEX(Instrumentos!$D$8:$D$47,MATCH(D48,Instrumentos!$C$8:$C$47,0))&amp;"",""))</f>
        <v/>
      </c>
      <c r="F48" s="13"/>
      <c r="G48" s="5"/>
      <c r="H48" s="5"/>
      <c r="I48" s="14"/>
      <c r="J48" s="14"/>
      <c r="K48" s="23" t="str">
        <f aca="false">IF(D48="","",IFERROR(IF(ISNUMBER(INDEX(Instrumentos!$M$8:$M$47,MATCH(D48,Instrumentos!$C$8:$C$47,0))),INDEX(Instrumentos!$M$8:$M$47,MATCH(D48,Instrumentos!$C$8:$C$47,0)),""),""))</f>
        <v/>
      </c>
      <c r="L48" s="16" t="str">
        <f aca="false">IF(OR(D48="",I48="",K48=""),"",IF(ABS(I48)+N(J48)&lt;=K48+0.000000001,"Aprovado","Reprovado"))</f>
        <v/>
      </c>
      <c r="M48" s="5"/>
      <c r="N48" s="5"/>
      <c r="O48" s="17" t="str">
        <f aca="false">IF(D48="",IF(COUNTA(C48,F48:J48,M48:N48)&gt;0,"Falta o instrumento",""),IF(ISNA(MATCH(D48,Instrumentos!$C$8:$C$47,0)),"Instrumento não cadastrado",IF(K48="","Falta o critério no cadastro",IF(G48="","Falta o registro",IF(I48="","Falta o erro encontrado",IF(AND(L48="Reprovado",M48=""),"Falta a ação",IF(AND(L48="Reprovado",N48=""),"Falta avaliar os resultados anteriores","OK")))))))</f>
        <v/>
      </c>
    </row>
    <row r="49" customFormat="false" ht="30" hidden="false" customHeight="true" outlineLevel="0" collapsed="false">
      <c r="B49" s="12" t="n">
        <v>43</v>
      </c>
      <c r="C49" s="8"/>
      <c r="D49" s="13"/>
      <c r="E49" s="21" t="str">
        <f aca="false">IF(D49="","",IFERROR(INDEX(Instrumentos!$D$8:$D$47,MATCH(D49,Instrumentos!$C$8:$C$47,0))&amp;"",""))</f>
        <v/>
      </c>
      <c r="F49" s="13"/>
      <c r="G49" s="5"/>
      <c r="H49" s="5"/>
      <c r="I49" s="14"/>
      <c r="J49" s="14"/>
      <c r="K49" s="23" t="str">
        <f aca="false">IF(D49="","",IFERROR(IF(ISNUMBER(INDEX(Instrumentos!$M$8:$M$47,MATCH(D49,Instrumentos!$C$8:$C$47,0))),INDEX(Instrumentos!$M$8:$M$47,MATCH(D49,Instrumentos!$C$8:$C$47,0)),""),""))</f>
        <v/>
      </c>
      <c r="L49" s="16" t="str">
        <f aca="false">IF(OR(D49="",I49="",K49=""),"",IF(ABS(I49)+N(J49)&lt;=K49+0.000000001,"Aprovado","Reprovado"))</f>
        <v/>
      </c>
      <c r="M49" s="5"/>
      <c r="N49" s="5"/>
      <c r="O49" s="17" t="str">
        <f aca="false">IF(D49="",IF(COUNTA(C49,F49:J49,M49:N49)&gt;0,"Falta o instrumento",""),IF(ISNA(MATCH(D49,Instrumentos!$C$8:$C$47,0)),"Instrumento não cadastrado",IF(K49="","Falta o critério no cadastro",IF(G49="","Falta o registro",IF(I49="","Falta o erro encontrado",IF(AND(L49="Reprovado",M49=""),"Falta a ação",IF(AND(L49="Reprovado",N49=""),"Falta avaliar os resultados anteriores","OK")))))))</f>
        <v/>
      </c>
    </row>
    <row r="50" customFormat="false" ht="30" hidden="false" customHeight="true" outlineLevel="0" collapsed="false">
      <c r="B50" s="12" t="n">
        <v>44</v>
      </c>
      <c r="C50" s="8"/>
      <c r="D50" s="13"/>
      <c r="E50" s="21" t="str">
        <f aca="false">IF(D50="","",IFERROR(INDEX(Instrumentos!$D$8:$D$47,MATCH(D50,Instrumentos!$C$8:$C$47,0))&amp;"",""))</f>
        <v/>
      </c>
      <c r="F50" s="13"/>
      <c r="G50" s="5"/>
      <c r="H50" s="5"/>
      <c r="I50" s="14"/>
      <c r="J50" s="14"/>
      <c r="K50" s="23" t="str">
        <f aca="false">IF(D50="","",IFERROR(IF(ISNUMBER(INDEX(Instrumentos!$M$8:$M$47,MATCH(D50,Instrumentos!$C$8:$C$47,0))),INDEX(Instrumentos!$M$8:$M$47,MATCH(D50,Instrumentos!$C$8:$C$47,0)),""),""))</f>
        <v/>
      </c>
      <c r="L50" s="16" t="str">
        <f aca="false">IF(OR(D50="",I50="",K50=""),"",IF(ABS(I50)+N(J50)&lt;=K50+0.000000001,"Aprovado","Reprovado"))</f>
        <v/>
      </c>
      <c r="M50" s="5"/>
      <c r="N50" s="5"/>
      <c r="O50" s="17" t="str">
        <f aca="false">IF(D50="",IF(COUNTA(C50,F50:J50,M50:N50)&gt;0,"Falta o instrumento",""),IF(ISNA(MATCH(D50,Instrumentos!$C$8:$C$47,0)),"Instrumento não cadastrado",IF(K50="","Falta o critério no cadastro",IF(G50="","Falta o registro",IF(I50="","Falta o erro encontrado",IF(AND(L50="Reprovado",M50=""),"Falta a ação",IF(AND(L50="Reprovado",N50=""),"Falta avaliar os resultados anteriores","OK")))))))</f>
        <v/>
      </c>
    </row>
    <row r="51" customFormat="false" ht="30" hidden="false" customHeight="true" outlineLevel="0" collapsed="false">
      <c r="B51" s="12" t="n">
        <v>45</v>
      </c>
      <c r="C51" s="8"/>
      <c r="D51" s="13"/>
      <c r="E51" s="21" t="str">
        <f aca="false">IF(D51="","",IFERROR(INDEX(Instrumentos!$D$8:$D$47,MATCH(D51,Instrumentos!$C$8:$C$47,0))&amp;"",""))</f>
        <v/>
      </c>
      <c r="F51" s="13"/>
      <c r="G51" s="5"/>
      <c r="H51" s="5"/>
      <c r="I51" s="14"/>
      <c r="J51" s="14"/>
      <c r="K51" s="23" t="str">
        <f aca="false">IF(D51="","",IFERROR(IF(ISNUMBER(INDEX(Instrumentos!$M$8:$M$47,MATCH(D51,Instrumentos!$C$8:$C$47,0))),INDEX(Instrumentos!$M$8:$M$47,MATCH(D51,Instrumentos!$C$8:$C$47,0)),""),""))</f>
        <v/>
      </c>
      <c r="L51" s="16" t="str">
        <f aca="false">IF(OR(D51="",I51="",K51=""),"",IF(ABS(I51)+N(J51)&lt;=K51+0.000000001,"Aprovado","Reprovado"))</f>
        <v/>
      </c>
      <c r="M51" s="5"/>
      <c r="N51" s="5"/>
      <c r="O51" s="17" t="str">
        <f aca="false">IF(D51="",IF(COUNTA(C51,F51:J51,M51:N51)&gt;0,"Falta o instrumento",""),IF(ISNA(MATCH(D51,Instrumentos!$C$8:$C$47,0)),"Instrumento não cadastrado",IF(K51="","Falta o critério no cadastro",IF(G51="","Falta o registro",IF(I51="","Falta o erro encontrado",IF(AND(L51="Reprovado",M51=""),"Falta a ação",IF(AND(L51="Reprovado",N51=""),"Falta avaliar os resultados anteriores","OK")))))))</f>
        <v/>
      </c>
    </row>
    <row r="52" customFormat="false" ht="30" hidden="false" customHeight="true" outlineLevel="0" collapsed="false">
      <c r="B52" s="12" t="n">
        <v>46</v>
      </c>
      <c r="C52" s="8"/>
      <c r="D52" s="13"/>
      <c r="E52" s="21" t="str">
        <f aca="false">IF(D52="","",IFERROR(INDEX(Instrumentos!$D$8:$D$47,MATCH(D52,Instrumentos!$C$8:$C$47,0))&amp;"",""))</f>
        <v/>
      </c>
      <c r="F52" s="13"/>
      <c r="G52" s="5"/>
      <c r="H52" s="5"/>
      <c r="I52" s="14"/>
      <c r="J52" s="14"/>
      <c r="K52" s="23" t="str">
        <f aca="false">IF(D52="","",IFERROR(IF(ISNUMBER(INDEX(Instrumentos!$M$8:$M$47,MATCH(D52,Instrumentos!$C$8:$C$47,0))),INDEX(Instrumentos!$M$8:$M$47,MATCH(D52,Instrumentos!$C$8:$C$47,0)),""),""))</f>
        <v/>
      </c>
      <c r="L52" s="16" t="str">
        <f aca="false">IF(OR(D52="",I52="",K52=""),"",IF(ABS(I52)+N(J52)&lt;=K52+0.000000001,"Aprovado","Reprovado"))</f>
        <v/>
      </c>
      <c r="M52" s="5"/>
      <c r="N52" s="5"/>
      <c r="O52" s="17" t="str">
        <f aca="false">IF(D52="",IF(COUNTA(C52,F52:J52,M52:N52)&gt;0,"Falta o instrumento",""),IF(ISNA(MATCH(D52,Instrumentos!$C$8:$C$47,0)),"Instrumento não cadastrado",IF(K52="","Falta o critério no cadastro",IF(G52="","Falta o registro",IF(I52="","Falta o erro encontrado",IF(AND(L52="Reprovado",M52=""),"Falta a ação",IF(AND(L52="Reprovado",N52=""),"Falta avaliar os resultados anteriores","OK")))))))</f>
        <v/>
      </c>
    </row>
    <row r="53" customFormat="false" ht="30" hidden="false" customHeight="true" outlineLevel="0" collapsed="false">
      <c r="B53" s="12" t="n">
        <v>47</v>
      </c>
      <c r="C53" s="8"/>
      <c r="D53" s="13"/>
      <c r="E53" s="21" t="str">
        <f aca="false">IF(D53="","",IFERROR(INDEX(Instrumentos!$D$8:$D$47,MATCH(D53,Instrumentos!$C$8:$C$47,0))&amp;"",""))</f>
        <v/>
      </c>
      <c r="F53" s="13"/>
      <c r="G53" s="5"/>
      <c r="H53" s="5"/>
      <c r="I53" s="14"/>
      <c r="J53" s="14"/>
      <c r="K53" s="23" t="str">
        <f aca="false">IF(D53="","",IFERROR(IF(ISNUMBER(INDEX(Instrumentos!$M$8:$M$47,MATCH(D53,Instrumentos!$C$8:$C$47,0))),INDEX(Instrumentos!$M$8:$M$47,MATCH(D53,Instrumentos!$C$8:$C$47,0)),""),""))</f>
        <v/>
      </c>
      <c r="L53" s="16" t="str">
        <f aca="false">IF(OR(D53="",I53="",K53=""),"",IF(ABS(I53)+N(J53)&lt;=K53+0.000000001,"Aprovado","Reprovado"))</f>
        <v/>
      </c>
      <c r="M53" s="5"/>
      <c r="N53" s="5"/>
      <c r="O53" s="17" t="str">
        <f aca="false">IF(D53="",IF(COUNTA(C53,F53:J53,M53:N53)&gt;0,"Falta o instrumento",""),IF(ISNA(MATCH(D53,Instrumentos!$C$8:$C$47,0)),"Instrumento não cadastrado",IF(K53="","Falta o critério no cadastro",IF(G53="","Falta o registro",IF(I53="","Falta o erro encontrado",IF(AND(L53="Reprovado",M53=""),"Falta a ação",IF(AND(L53="Reprovado",N53=""),"Falta avaliar os resultados anteriores","OK")))))))</f>
        <v/>
      </c>
    </row>
    <row r="54" customFormat="false" ht="30" hidden="false" customHeight="true" outlineLevel="0" collapsed="false">
      <c r="B54" s="12" t="n">
        <v>48</v>
      </c>
      <c r="C54" s="8"/>
      <c r="D54" s="13"/>
      <c r="E54" s="21" t="str">
        <f aca="false">IF(D54="","",IFERROR(INDEX(Instrumentos!$D$8:$D$47,MATCH(D54,Instrumentos!$C$8:$C$47,0))&amp;"",""))</f>
        <v/>
      </c>
      <c r="F54" s="13"/>
      <c r="G54" s="5"/>
      <c r="H54" s="5"/>
      <c r="I54" s="14"/>
      <c r="J54" s="14"/>
      <c r="K54" s="23" t="str">
        <f aca="false">IF(D54="","",IFERROR(IF(ISNUMBER(INDEX(Instrumentos!$M$8:$M$47,MATCH(D54,Instrumentos!$C$8:$C$47,0))),INDEX(Instrumentos!$M$8:$M$47,MATCH(D54,Instrumentos!$C$8:$C$47,0)),""),""))</f>
        <v/>
      </c>
      <c r="L54" s="16" t="str">
        <f aca="false">IF(OR(D54="",I54="",K54=""),"",IF(ABS(I54)+N(J54)&lt;=K54+0.000000001,"Aprovado","Reprovado"))</f>
        <v/>
      </c>
      <c r="M54" s="5"/>
      <c r="N54" s="5"/>
      <c r="O54" s="17" t="str">
        <f aca="false">IF(D54="",IF(COUNTA(C54,F54:J54,M54:N54)&gt;0,"Falta o instrumento",""),IF(ISNA(MATCH(D54,Instrumentos!$C$8:$C$47,0)),"Instrumento não cadastrado",IF(K54="","Falta o critério no cadastro",IF(G54="","Falta o registro",IF(I54="","Falta o erro encontrado",IF(AND(L54="Reprovado",M54=""),"Falta a ação",IF(AND(L54="Reprovado",N54=""),"Falta avaliar os resultados anteriores","OK")))))))</f>
        <v/>
      </c>
    </row>
    <row r="55" customFormat="false" ht="30" hidden="false" customHeight="true" outlineLevel="0" collapsed="false">
      <c r="B55" s="12" t="n">
        <v>49</v>
      </c>
      <c r="C55" s="8"/>
      <c r="D55" s="13"/>
      <c r="E55" s="21" t="str">
        <f aca="false">IF(D55="","",IFERROR(INDEX(Instrumentos!$D$8:$D$47,MATCH(D55,Instrumentos!$C$8:$C$47,0))&amp;"",""))</f>
        <v/>
      </c>
      <c r="F55" s="13"/>
      <c r="G55" s="5"/>
      <c r="H55" s="5"/>
      <c r="I55" s="14"/>
      <c r="J55" s="14"/>
      <c r="K55" s="23" t="str">
        <f aca="false">IF(D55="","",IFERROR(IF(ISNUMBER(INDEX(Instrumentos!$M$8:$M$47,MATCH(D55,Instrumentos!$C$8:$C$47,0))),INDEX(Instrumentos!$M$8:$M$47,MATCH(D55,Instrumentos!$C$8:$C$47,0)),""),""))</f>
        <v/>
      </c>
      <c r="L55" s="16" t="str">
        <f aca="false">IF(OR(D55="",I55="",K55=""),"",IF(ABS(I55)+N(J55)&lt;=K55+0.000000001,"Aprovado","Reprovado"))</f>
        <v/>
      </c>
      <c r="M55" s="5"/>
      <c r="N55" s="5"/>
      <c r="O55" s="17" t="str">
        <f aca="false">IF(D55="",IF(COUNTA(C55,F55:J55,M55:N55)&gt;0,"Falta o instrumento",""),IF(ISNA(MATCH(D55,Instrumentos!$C$8:$C$47,0)),"Instrumento não cadastrado",IF(K55="","Falta o critério no cadastro",IF(G55="","Falta o registro",IF(I55="","Falta o erro encontrado",IF(AND(L55="Reprovado",M55=""),"Falta a ação",IF(AND(L55="Reprovado",N55=""),"Falta avaliar os resultados anteriores","OK")))))))</f>
        <v/>
      </c>
    </row>
    <row r="56" customFormat="false" ht="30" hidden="false" customHeight="true" outlineLevel="0" collapsed="false">
      <c r="B56" s="12" t="n">
        <v>50</v>
      </c>
      <c r="C56" s="8"/>
      <c r="D56" s="13"/>
      <c r="E56" s="21" t="str">
        <f aca="false">IF(D56="","",IFERROR(INDEX(Instrumentos!$D$8:$D$47,MATCH(D56,Instrumentos!$C$8:$C$47,0))&amp;"",""))</f>
        <v/>
      </c>
      <c r="F56" s="13"/>
      <c r="G56" s="5"/>
      <c r="H56" s="5"/>
      <c r="I56" s="14"/>
      <c r="J56" s="14"/>
      <c r="K56" s="23" t="str">
        <f aca="false">IF(D56="","",IFERROR(IF(ISNUMBER(INDEX(Instrumentos!$M$8:$M$47,MATCH(D56,Instrumentos!$C$8:$C$47,0))),INDEX(Instrumentos!$M$8:$M$47,MATCH(D56,Instrumentos!$C$8:$C$47,0)),""),""))</f>
        <v/>
      </c>
      <c r="L56" s="16" t="str">
        <f aca="false">IF(OR(D56="",I56="",K56=""),"",IF(ABS(I56)+N(J56)&lt;=K56+0.000000001,"Aprovado","Reprovado"))</f>
        <v/>
      </c>
      <c r="M56" s="5"/>
      <c r="N56" s="5"/>
      <c r="O56" s="17" t="str">
        <f aca="false">IF(D56="",IF(COUNTA(C56,F56:J56,M56:N56)&gt;0,"Falta o instrumento",""),IF(ISNA(MATCH(D56,Instrumentos!$C$8:$C$47,0)),"Instrumento não cadastrado",IF(K56="","Falta o critério no cadastro",IF(G56="","Falta o registro",IF(I56="","Falta o erro encontrado",IF(AND(L56="Reprovado",M56=""),"Falta a ação",IF(AND(L56="Reprovado",N56=""),"Falta avaliar os resultados anteriores","OK")))))))</f>
        <v/>
      </c>
    </row>
    <row r="57" customFormat="false" ht="30" hidden="false" customHeight="true" outlineLevel="0" collapsed="false">
      <c r="B57" s="12" t="n">
        <v>51</v>
      </c>
      <c r="C57" s="8"/>
      <c r="D57" s="13"/>
      <c r="E57" s="21" t="str">
        <f aca="false">IF(D57="","",IFERROR(INDEX(Instrumentos!$D$8:$D$47,MATCH(D57,Instrumentos!$C$8:$C$47,0))&amp;"",""))</f>
        <v/>
      </c>
      <c r="F57" s="13"/>
      <c r="G57" s="5"/>
      <c r="H57" s="5"/>
      <c r="I57" s="14"/>
      <c r="J57" s="14"/>
      <c r="K57" s="23" t="str">
        <f aca="false">IF(D57="","",IFERROR(IF(ISNUMBER(INDEX(Instrumentos!$M$8:$M$47,MATCH(D57,Instrumentos!$C$8:$C$47,0))),INDEX(Instrumentos!$M$8:$M$47,MATCH(D57,Instrumentos!$C$8:$C$47,0)),""),""))</f>
        <v/>
      </c>
      <c r="L57" s="16" t="str">
        <f aca="false">IF(OR(D57="",I57="",K57=""),"",IF(ABS(I57)+N(J57)&lt;=K57+0.000000001,"Aprovado","Reprovado"))</f>
        <v/>
      </c>
      <c r="M57" s="5"/>
      <c r="N57" s="5"/>
      <c r="O57" s="17" t="str">
        <f aca="false">IF(D57="",IF(COUNTA(C57,F57:J57,M57:N57)&gt;0,"Falta o instrumento",""),IF(ISNA(MATCH(D57,Instrumentos!$C$8:$C$47,0)),"Instrumento não cadastrado",IF(K57="","Falta o critério no cadastro",IF(G57="","Falta o registro",IF(I57="","Falta o erro encontrado",IF(AND(L57="Reprovado",M57=""),"Falta a ação",IF(AND(L57="Reprovado",N57=""),"Falta avaliar os resultados anteriores","OK")))))))</f>
        <v/>
      </c>
    </row>
    <row r="58" customFormat="false" ht="30" hidden="false" customHeight="true" outlineLevel="0" collapsed="false">
      <c r="B58" s="12" t="n">
        <v>52</v>
      </c>
      <c r="C58" s="8"/>
      <c r="D58" s="13"/>
      <c r="E58" s="21" t="str">
        <f aca="false">IF(D58="","",IFERROR(INDEX(Instrumentos!$D$8:$D$47,MATCH(D58,Instrumentos!$C$8:$C$47,0))&amp;"",""))</f>
        <v/>
      </c>
      <c r="F58" s="13"/>
      <c r="G58" s="5"/>
      <c r="H58" s="5"/>
      <c r="I58" s="14"/>
      <c r="J58" s="14"/>
      <c r="K58" s="23" t="str">
        <f aca="false">IF(D58="","",IFERROR(IF(ISNUMBER(INDEX(Instrumentos!$M$8:$M$47,MATCH(D58,Instrumentos!$C$8:$C$47,0))),INDEX(Instrumentos!$M$8:$M$47,MATCH(D58,Instrumentos!$C$8:$C$47,0)),""),""))</f>
        <v/>
      </c>
      <c r="L58" s="16" t="str">
        <f aca="false">IF(OR(D58="",I58="",K58=""),"",IF(ABS(I58)+N(J58)&lt;=K58+0.000000001,"Aprovado","Reprovado"))</f>
        <v/>
      </c>
      <c r="M58" s="5"/>
      <c r="N58" s="5"/>
      <c r="O58" s="17" t="str">
        <f aca="false">IF(D58="",IF(COUNTA(C58,F58:J58,M58:N58)&gt;0,"Falta o instrumento",""),IF(ISNA(MATCH(D58,Instrumentos!$C$8:$C$47,0)),"Instrumento não cadastrado",IF(K58="","Falta o critério no cadastro",IF(G58="","Falta o registro",IF(I58="","Falta o erro encontrado",IF(AND(L58="Reprovado",M58=""),"Falta a ação",IF(AND(L58="Reprovado",N58=""),"Falta avaliar os resultados anteriores","OK")))))))</f>
        <v/>
      </c>
    </row>
    <row r="59" customFormat="false" ht="30" hidden="false" customHeight="true" outlineLevel="0" collapsed="false">
      <c r="B59" s="12" t="n">
        <v>53</v>
      </c>
      <c r="C59" s="8"/>
      <c r="D59" s="13"/>
      <c r="E59" s="21" t="str">
        <f aca="false">IF(D59="","",IFERROR(INDEX(Instrumentos!$D$8:$D$47,MATCH(D59,Instrumentos!$C$8:$C$47,0))&amp;"",""))</f>
        <v/>
      </c>
      <c r="F59" s="13"/>
      <c r="G59" s="5"/>
      <c r="H59" s="5"/>
      <c r="I59" s="14"/>
      <c r="J59" s="14"/>
      <c r="K59" s="23" t="str">
        <f aca="false">IF(D59="","",IFERROR(IF(ISNUMBER(INDEX(Instrumentos!$M$8:$M$47,MATCH(D59,Instrumentos!$C$8:$C$47,0))),INDEX(Instrumentos!$M$8:$M$47,MATCH(D59,Instrumentos!$C$8:$C$47,0)),""),""))</f>
        <v/>
      </c>
      <c r="L59" s="16" t="str">
        <f aca="false">IF(OR(D59="",I59="",K59=""),"",IF(ABS(I59)+N(J59)&lt;=K59+0.000000001,"Aprovado","Reprovado"))</f>
        <v/>
      </c>
      <c r="M59" s="5"/>
      <c r="N59" s="5"/>
      <c r="O59" s="17" t="str">
        <f aca="false">IF(D59="",IF(COUNTA(C59,F59:J59,M59:N59)&gt;0,"Falta o instrumento",""),IF(ISNA(MATCH(D59,Instrumentos!$C$8:$C$47,0)),"Instrumento não cadastrado",IF(K59="","Falta o critério no cadastro",IF(G59="","Falta o registro",IF(I59="","Falta o erro encontrado",IF(AND(L59="Reprovado",M59=""),"Falta a ação",IF(AND(L59="Reprovado",N59=""),"Falta avaliar os resultados anteriores","OK")))))))</f>
        <v/>
      </c>
    </row>
    <row r="60" customFormat="false" ht="30" hidden="false" customHeight="true" outlineLevel="0" collapsed="false">
      <c r="B60" s="12" t="n">
        <v>54</v>
      </c>
      <c r="C60" s="8"/>
      <c r="D60" s="13"/>
      <c r="E60" s="21" t="str">
        <f aca="false">IF(D60="","",IFERROR(INDEX(Instrumentos!$D$8:$D$47,MATCH(D60,Instrumentos!$C$8:$C$47,0))&amp;"",""))</f>
        <v/>
      </c>
      <c r="F60" s="13"/>
      <c r="G60" s="5"/>
      <c r="H60" s="5"/>
      <c r="I60" s="14"/>
      <c r="J60" s="14"/>
      <c r="K60" s="23" t="str">
        <f aca="false">IF(D60="","",IFERROR(IF(ISNUMBER(INDEX(Instrumentos!$M$8:$M$47,MATCH(D60,Instrumentos!$C$8:$C$47,0))),INDEX(Instrumentos!$M$8:$M$47,MATCH(D60,Instrumentos!$C$8:$C$47,0)),""),""))</f>
        <v/>
      </c>
      <c r="L60" s="16" t="str">
        <f aca="false">IF(OR(D60="",I60="",K60=""),"",IF(ABS(I60)+N(J60)&lt;=K60+0.000000001,"Aprovado","Reprovado"))</f>
        <v/>
      </c>
      <c r="M60" s="5"/>
      <c r="N60" s="5"/>
      <c r="O60" s="17" t="str">
        <f aca="false">IF(D60="",IF(COUNTA(C60,F60:J60,M60:N60)&gt;0,"Falta o instrumento",""),IF(ISNA(MATCH(D60,Instrumentos!$C$8:$C$47,0)),"Instrumento não cadastrado",IF(K60="","Falta o critério no cadastro",IF(G60="","Falta o registro",IF(I60="","Falta o erro encontrado",IF(AND(L60="Reprovado",M60=""),"Falta a ação",IF(AND(L60="Reprovado",N60=""),"Falta avaliar os resultados anteriores","OK")))))))</f>
        <v/>
      </c>
    </row>
    <row r="61" customFormat="false" ht="30" hidden="false" customHeight="true" outlineLevel="0" collapsed="false">
      <c r="B61" s="12" t="n">
        <v>55</v>
      </c>
      <c r="C61" s="8"/>
      <c r="D61" s="13"/>
      <c r="E61" s="21" t="str">
        <f aca="false">IF(D61="","",IFERROR(INDEX(Instrumentos!$D$8:$D$47,MATCH(D61,Instrumentos!$C$8:$C$47,0))&amp;"",""))</f>
        <v/>
      </c>
      <c r="F61" s="13"/>
      <c r="G61" s="5"/>
      <c r="H61" s="5"/>
      <c r="I61" s="14"/>
      <c r="J61" s="14"/>
      <c r="K61" s="23" t="str">
        <f aca="false">IF(D61="","",IFERROR(IF(ISNUMBER(INDEX(Instrumentos!$M$8:$M$47,MATCH(D61,Instrumentos!$C$8:$C$47,0))),INDEX(Instrumentos!$M$8:$M$47,MATCH(D61,Instrumentos!$C$8:$C$47,0)),""),""))</f>
        <v/>
      </c>
      <c r="L61" s="16" t="str">
        <f aca="false">IF(OR(D61="",I61="",K61=""),"",IF(ABS(I61)+N(J61)&lt;=K61+0.000000001,"Aprovado","Reprovado"))</f>
        <v/>
      </c>
      <c r="M61" s="5"/>
      <c r="N61" s="5"/>
      <c r="O61" s="17" t="str">
        <f aca="false">IF(D61="",IF(COUNTA(C61,F61:J61,M61:N61)&gt;0,"Falta o instrumento",""),IF(ISNA(MATCH(D61,Instrumentos!$C$8:$C$47,0)),"Instrumento não cadastrado",IF(K61="","Falta o critério no cadastro",IF(G61="","Falta o registro",IF(I61="","Falta o erro encontrado",IF(AND(L61="Reprovado",M61=""),"Falta a ação",IF(AND(L61="Reprovado",N61=""),"Falta avaliar os resultados anteriores","OK")))))))</f>
        <v/>
      </c>
    </row>
    <row r="62" customFormat="false" ht="30" hidden="false" customHeight="true" outlineLevel="0" collapsed="false">
      <c r="B62" s="12" t="n">
        <v>56</v>
      </c>
      <c r="C62" s="8"/>
      <c r="D62" s="13"/>
      <c r="E62" s="21" t="str">
        <f aca="false">IF(D62="","",IFERROR(INDEX(Instrumentos!$D$8:$D$47,MATCH(D62,Instrumentos!$C$8:$C$47,0))&amp;"",""))</f>
        <v/>
      </c>
      <c r="F62" s="13"/>
      <c r="G62" s="5"/>
      <c r="H62" s="5"/>
      <c r="I62" s="14"/>
      <c r="J62" s="14"/>
      <c r="K62" s="23" t="str">
        <f aca="false">IF(D62="","",IFERROR(IF(ISNUMBER(INDEX(Instrumentos!$M$8:$M$47,MATCH(D62,Instrumentos!$C$8:$C$47,0))),INDEX(Instrumentos!$M$8:$M$47,MATCH(D62,Instrumentos!$C$8:$C$47,0)),""),""))</f>
        <v/>
      </c>
      <c r="L62" s="16" t="str">
        <f aca="false">IF(OR(D62="",I62="",K62=""),"",IF(ABS(I62)+N(J62)&lt;=K62+0.000000001,"Aprovado","Reprovado"))</f>
        <v/>
      </c>
      <c r="M62" s="5"/>
      <c r="N62" s="5"/>
      <c r="O62" s="17" t="str">
        <f aca="false">IF(D62="",IF(COUNTA(C62,F62:J62,M62:N62)&gt;0,"Falta o instrumento",""),IF(ISNA(MATCH(D62,Instrumentos!$C$8:$C$47,0)),"Instrumento não cadastrado",IF(K62="","Falta o critério no cadastro",IF(G62="","Falta o registro",IF(I62="","Falta o erro encontrado",IF(AND(L62="Reprovado",M62=""),"Falta a ação",IF(AND(L62="Reprovado",N62=""),"Falta avaliar os resultados anteriores","OK")))))))</f>
        <v/>
      </c>
    </row>
    <row r="63" customFormat="false" ht="30" hidden="false" customHeight="true" outlineLevel="0" collapsed="false">
      <c r="B63" s="12" t="n">
        <v>57</v>
      </c>
      <c r="C63" s="8"/>
      <c r="D63" s="13"/>
      <c r="E63" s="21" t="str">
        <f aca="false">IF(D63="","",IFERROR(INDEX(Instrumentos!$D$8:$D$47,MATCH(D63,Instrumentos!$C$8:$C$47,0))&amp;"",""))</f>
        <v/>
      </c>
      <c r="F63" s="13"/>
      <c r="G63" s="5"/>
      <c r="H63" s="5"/>
      <c r="I63" s="14"/>
      <c r="J63" s="14"/>
      <c r="K63" s="23" t="str">
        <f aca="false">IF(D63="","",IFERROR(IF(ISNUMBER(INDEX(Instrumentos!$M$8:$M$47,MATCH(D63,Instrumentos!$C$8:$C$47,0))),INDEX(Instrumentos!$M$8:$M$47,MATCH(D63,Instrumentos!$C$8:$C$47,0)),""),""))</f>
        <v/>
      </c>
      <c r="L63" s="16" t="str">
        <f aca="false">IF(OR(D63="",I63="",K63=""),"",IF(ABS(I63)+N(J63)&lt;=K63+0.000000001,"Aprovado","Reprovado"))</f>
        <v/>
      </c>
      <c r="M63" s="5"/>
      <c r="N63" s="5"/>
      <c r="O63" s="17" t="str">
        <f aca="false">IF(D63="",IF(COUNTA(C63,F63:J63,M63:N63)&gt;0,"Falta o instrumento",""),IF(ISNA(MATCH(D63,Instrumentos!$C$8:$C$47,0)),"Instrumento não cadastrado",IF(K63="","Falta o critério no cadastro",IF(G63="","Falta o registro",IF(I63="","Falta o erro encontrado",IF(AND(L63="Reprovado",M63=""),"Falta a ação",IF(AND(L63="Reprovado",N63=""),"Falta avaliar os resultados anteriores","OK")))))))</f>
        <v/>
      </c>
    </row>
    <row r="64" customFormat="false" ht="30" hidden="false" customHeight="true" outlineLevel="0" collapsed="false">
      <c r="B64" s="12" t="n">
        <v>58</v>
      </c>
      <c r="C64" s="8"/>
      <c r="D64" s="13"/>
      <c r="E64" s="21" t="str">
        <f aca="false">IF(D64="","",IFERROR(INDEX(Instrumentos!$D$8:$D$47,MATCH(D64,Instrumentos!$C$8:$C$47,0))&amp;"",""))</f>
        <v/>
      </c>
      <c r="F64" s="13"/>
      <c r="G64" s="5"/>
      <c r="H64" s="5"/>
      <c r="I64" s="14"/>
      <c r="J64" s="14"/>
      <c r="K64" s="23" t="str">
        <f aca="false">IF(D64="","",IFERROR(IF(ISNUMBER(INDEX(Instrumentos!$M$8:$M$47,MATCH(D64,Instrumentos!$C$8:$C$47,0))),INDEX(Instrumentos!$M$8:$M$47,MATCH(D64,Instrumentos!$C$8:$C$47,0)),""),""))</f>
        <v/>
      </c>
      <c r="L64" s="16" t="str">
        <f aca="false">IF(OR(D64="",I64="",K64=""),"",IF(ABS(I64)+N(J64)&lt;=K64+0.000000001,"Aprovado","Reprovado"))</f>
        <v/>
      </c>
      <c r="M64" s="5"/>
      <c r="N64" s="5"/>
      <c r="O64" s="17" t="str">
        <f aca="false">IF(D64="",IF(COUNTA(C64,F64:J64,M64:N64)&gt;0,"Falta o instrumento",""),IF(ISNA(MATCH(D64,Instrumentos!$C$8:$C$47,0)),"Instrumento não cadastrado",IF(K64="","Falta o critério no cadastro",IF(G64="","Falta o registro",IF(I64="","Falta o erro encontrado",IF(AND(L64="Reprovado",M64=""),"Falta a ação",IF(AND(L64="Reprovado",N64=""),"Falta avaliar os resultados anteriores","OK")))))))</f>
        <v/>
      </c>
    </row>
    <row r="65" customFormat="false" ht="30" hidden="false" customHeight="true" outlineLevel="0" collapsed="false">
      <c r="B65" s="12" t="n">
        <v>59</v>
      </c>
      <c r="C65" s="8"/>
      <c r="D65" s="13"/>
      <c r="E65" s="21" t="str">
        <f aca="false">IF(D65="","",IFERROR(INDEX(Instrumentos!$D$8:$D$47,MATCH(D65,Instrumentos!$C$8:$C$47,0))&amp;"",""))</f>
        <v/>
      </c>
      <c r="F65" s="13"/>
      <c r="G65" s="5"/>
      <c r="H65" s="5"/>
      <c r="I65" s="14"/>
      <c r="J65" s="14"/>
      <c r="K65" s="23" t="str">
        <f aca="false">IF(D65="","",IFERROR(IF(ISNUMBER(INDEX(Instrumentos!$M$8:$M$47,MATCH(D65,Instrumentos!$C$8:$C$47,0))),INDEX(Instrumentos!$M$8:$M$47,MATCH(D65,Instrumentos!$C$8:$C$47,0)),""),""))</f>
        <v/>
      </c>
      <c r="L65" s="16" t="str">
        <f aca="false">IF(OR(D65="",I65="",K65=""),"",IF(ABS(I65)+N(J65)&lt;=K65+0.000000001,"Aprovado","Reprovado"))</f>
        <v/>
      </c>
      <c r="M65" s="5"/>
      <c r="N65" s="5"/>
      <c r="O65" s="17" t="str">
        <f aca="false">IF(D65="",IF(COUNTA(C65,F65:J65,M65:N65)&gt;0,"Falta o instrumento",""),IF(ISNA(MATCH(D65,Instrumentos!$C$8:$C$47,0)),"Instrumento não cadastrado",IF(K65="","Falta o critério no cadastro",IF(G65="","Falta o registro",IF(I65="","Falta o erro encontrado",IF(AND(L65="Reprovado",M65=""),"Falta a ação",IF(AND(L65="Reprovado",N65=""),"Falta avaliar os resultados anteriores","OK")))))))</f>
        <v/>
      </c>
    </row>
    <row r="66" customFormat="false" ht="30" hidden="false" customHeight="true" outlineLevel="0" collapsed="false">
      <c r="B66" s="12" t="n">
        <v>60</v>
      </c>
      <c r="C66" s="8"/>
      <c r="D66" s="13"/>
      <c r="E66" s="21" t="str">
        <f aca="false">IF(D66="","",IFERROR(INDEX(Instrumentos!$D$8:$D$47,MATCH(D66,Instrumentos!$C$8:$C$47,0))&amp;"",""))</f>
        <v/>
      </c>
      <c r="F66" s="13"/>
      <c r="G66" s="5"/>
      <c r="H66" s="5"/>
      <c r="I66" s="14"/>
      <c r="J66" s="14"/>
      <c r="K66" s="23" t="str">
        <f aca="false">IF(D66="","",IFERROR(IF(ISNUMBER(INDEX(Instrumentos!$M$8:$M$47,MATCH(D66,Instrumentos!$C$8:$C$47,0))),INDEX(Instrumentos!$M$8:$M$47,MATCH(D66,Instrumentos!$C$8:$C$47,0)),""),""))</f>
        <v/>
      </c>
      <c r="L66" s="16" t="str">
        <f aca="false">IF(OR(D66="",I66="",K66=""),"",IF(ABS(I66)+N(J66)&lt;=K66+0.000000001,"Aprovado","Reprovado"))</f>
        <v/>
      </c>
      <c r="M66" s="5"/>
      <c r="N66" s="5"/>
      <c r="O66" s="17" t="str">
        <f aca="false">IF(D66="",IF(COUNTA(C66,F66:J66,M66:N66)&gt;0,"Falta o instrumento",""),IF(ISNA(MATCH(D66,Instrumentos!$C$8:$C$47,0)),"Instrumento não cadastrado",IF(K66="","Falta o critério no cadastro",IF(G66="","Falta o registro",IF(I66="","Falta o erro encontrado",IF(AND(L66="Reprovado",M66=""),"Falta a ação",IF(AND(L66="Reprovado",N66=""),"Falta avaliar os resultados anteriores","OK")))))))</f>
        <v/>
      </c>
    </row>
    <row r="67" customFormat="false" ht="30" hidden="false" customHeight="true" outlineLevel="0" collapsed="false">
      <c r="B67" s="12" t="n">
        <v>61</v>
      </c>
      <c r="C67" s="8"/>
      <c r="D67" s="13"/>
      <c r="E67" s="21" t="str">
        <f aca="false">IF(D67="","",IFERROR(INDEX(Instrumentos!$D$8:$D$47,MATCH(D67,Instrumentos!$C$8:$C$47,0))&amp;"",""))</f>
        <v/>
      </c>
      <c r="F67" s="13"/>
      <c r="G67" s="5"/>
      <c r="H67" s="5"/>
      <c r="I67" s="14"/>
      <c r="J67" s="14"/>
      <c r="K67" s="23" t="str">
        <f aca="false">IF(D67="","",IFERROR(IF(ISNUMBER(INDEX(Instrumentos!$M$8:$M$47,MATCH(D67,Instrumentos!$C$8:$C$47,0))),INDEX(Instrumentos!$M$8:$M$47,MATCH(D67,Instrumentos!$C$8:$C$47,0)),""),""))</f>
        <v/>
      </c>
      <c r="L67" s="16" t="str">
        <f aca="false">IF(OR(D67="",I67="",K67=""),"",IF(ABS(I67)+N(J67)&lt;=K67+0.000000001,"Aprovado","Reprovado"))</f>
        <v/>
      </c>
      <c r="M67" s="5"/>
      <c r="N67" s="5"/>
      <c r="O67" s="17" t="str">
        <f aca="false">IF(D67="",IF(COUNTA(C67,F67:J67,M67:N67)&gt;0,"Falta o instrumento",""),IF(ISNA(MATCH(D67,Instrumentos!$C$8:$C$47,0)),"Instrumento não cadastrado",IF(K67="","Falta o critério no cadastro",IF(G67="","Falta o registro",IF(I67="","Falta o erro encontrado",IF(AND(L67="Reprovado",M67=""),"Falta a ação",IF(AND(L67="Reprovado",N67=""),"Falta avaliar os resultados anteriores","OK")))))))</f>
        <v/>
      </c>
    </row>
    <row r="68" customFormat="false" ht="30" hidden="false" customHeight="true" outlineLevel="0" collapsed="false">
      <c r="B68" s="12" t="n">
        <v>62</v>
      </c>
      <c r="C68" s="8"/>
      <c r="D68" s="13"/>
      <c r="E68" s="21" t="str">
        <f aca="false">IF(D68="","",IFERROR(INDEX(Instrumentos!$D$8:$D$47,MATCH(D68,Instrumentos!$C$8:$C$47,0))&amp;"",""))</f>
        <v/>
      </c>
      <c r="F68" s="13"/>
      <c r="G68" s="5"/>
      <c r="H68" s="5"/>
      <c r="I68" s="14"/>
      <c r="J68" s="14"/>
      <c r="K68" s="23" t="str">
        <f aca="false">IF(D68="","",IFERROR(IF(ISNUMBER(INDEX(Instrumentos!$M$8:$M$47,MATCH(D68,Instrumentos!$C$8:$C$47,0))),INDEX(Instrumentos!$M$8:$M$47,MATCH(D68,Instrumentos!$C$8:$C$47,0)),""),""))</f>
        <v/>
      </c>
      <c r="L68" s="16" t="str">
        <f aca="false">IF(OR(D68="",I68="",K68=""),"",IF(ABS(I68)+N(J68)&lt;=K68+0.000000001,"Aprovado","Reprovado"))</f>
        <v/>
      </c>
      <c r="M68" s="5"/>
      <c r="N68" s="5"/>
      <c r="O68" s="17" t="str">
        <f aca="false">IF(D68="",IF(COUNTA(C68,F68:J68,M68:N68)&gt;0,"Falta o instrumento",""),IF(ISNA(MATCH(D68,Instrumentos!$C$8:$C$47,0)),"Instrumento não cadastrado",IF(K68="","Falta o critério no cadastro",IF(G68="","Falta o registro",IF(I68="","Falta o erro encontrado",IF(AND(L68="Reprovado",M68=""),"Falta a ação",IF(AND(L68="Reprovado",N68=""),"Falta avaliar os resultados anteriores","OK")))))))</f>
        <v/>
      </c>
    </row>
    <row r="69" customFormat="false" ht="30" hidden="false" customHeight="true" outlineLevel="0" collapsed="false">
      <c r="B69" s="12" t="n">
        <v>63</v>
      </c>
      <c r="C69" s="8"/>
      <c r="D69" s="13"/>
      <c r="E69" s="21" t="str">
        <f aca="false">IF(D69="","",IFERROR(INDEX(Instrumentos!$D$8:$D$47,MATCH(D69,Instrumentos!$C$8:$C$47,0))&amp;"",""))</f>
        <v/>
      </c>
      <c r="F69" s="13"/>
      <c r="G69" s="5"/>
      <c r="H69" s="5"/>
      <c r="I69" s="14"/>
      <c r="J69" s="14"/>
      <c r="K69" s="23" t="str">
        <f aca="false">IF(D69="","",IFERROR(IF(ISNUMBER(INDEX(Instrumentos!$M$8:$M$47,MATCH(D69,Instrumentos!$C$8:$C$47,0))),INDEX(Instrumentos!$M$8:$M$47,MATCH(D69,Instrumentos!$C$8:$C$47,0)),""),""))</f>
        <v/>
      </c>
      <c r="L69" s="16" t="str">
        <f aca="false">IF(OR(D69="",I69="",K69=""),"",IF(ABS(I69)+N(J69)&lt;=K69+0.000000001,"Aprovado","Reprovado"))</f>
        <v/>
      </c>
      <c r="M69" s="5"/>
      <c r="N69" s="5"/>
      <c r="O69" s="17" t="str">
        <f aca="false">IF(D69="",IF(COUNTA(C69,F69:J69,M69:N69)&gt;0,"Falta o instrumento",""),IF(ISNA(MATCH(D69,Instrumentos!$C$8:$C$47,0)),"Instrumento não cadastrado",IF(K69="","Falta o critério no cadastro",IF(G69="","Falta o registro",IF(I69="","Falta o erro encontrado",IF(AND(L69="Reprovado",M69=""),"Falta a ação",IF(AND(L69="Reprovado",N69=""),"Falta avaliar os resultados anteriores","OK")))))))</f>
        <v/>
      </c>
    </row>
    <row r="70" customFormat="false" ht="30" hidden="false" customHeight="true" outlineLevel="0" collapsed="false">
      <c r="B70" s="12" t="n">
        <v>64</v>
      </c>
      <c r="C70" s="8"/>
      <c r="D70" s="13"/>
      <c r="E70" s="21" t="str">
        <f aca="false">IF(D70="","",IFERROR(INDEX(Instrumentos!$D$8:$D$47,MATCH(D70,Instrumentos!$C$8:$C$47,0))&amp;"",""))</f>
        <v/>
      </c>
      <c r="F70" s="13"/>
      <c r="G70" s="5"/>
      <c r="H70" s="5"/>
      <c r="I70" s="14"/>
      <c r="J70" s="14"/>
      <c r="K70" s="23" t="str">
        <f aca="false">IF(D70="","",IFERROR(IF(ISNUMBER(INDEX(Instrumentos!$M$8:$M$47,MATCH(D70,Instrumentos!$C$8:$C$47,0))),INDEX(Instrumentos!$M$8:$M$47,MATCH(D70,Instrumentos!$C$8:$C$47,0)),""),""))</f>
        <v/>
      </c>
      <c r="L70" s="16" t="str">
        <f aca="false">IF(OR(D70="",I70="",K70=""),"",IF(ABS(I70)+N(J70)&lt;=K70+0.000000001,"Aprovado","Reprovado"))</f>
        <v/>
      </c>
      <c r="M70" s="5"/>
      <c r="N70" s="5"/>
      <c r="O70" s="17" t="str">
        <f aca="false">IF(D70="",IF(COUNTA(C70,F70:J70,M70:N70)&gt;0,"Falta o instrumento",""),IF(ISNA(MATCH(D70,Instrumentos!$C$8:$C$47,0)),"Instrumento não cadastrado",IF(K70="","Falta o critério no cadastro",IF(G70="","Falta o registro",IF(I70="","Falta o erro encontrado",IF(AND(L70="Reprovado",M70=""),"Falta a ação",IF(AND(L70="Reprovado",N70=""),"Falta avaliar os resultados anteriores","OK")))))))</f>
        <v/>
      </c>
    </row>
    <row r="71" customFormat="false" ht="30" hidden="false" customHeight="true" outlineLevel="0" collapsed="false">
      <c r="B71" s="12" t="n">
        <v>65</v>
      </c>
      <c r="C71" s="8"/>
      <c r="D71" s="13"/>
      <c r="E71" s="21" t="str">
        <f aca="false">IF(D71="","",IFERROR(INDEX(Instrumentos!$D$8:$D$47,MATCH(D71,Instrumentos!$C$8:$C$47,0))&amp;"",""))</f>
        <v/>
      </c>
      <c r="F71" s="13"/>
      <c r="G71" s="5"/>
      <c r="H71" s="5"/>
      <c r="I71" s="14"/>
      <c r="J71" s="14"/>
      <c r="K71" s="23" t="str">
        <f aca="false">IF(D71="","",IFERROR(IF(ISNUMBER(INDEX(Instrumentos!$M$8:$M$47,MATCH(D71,Instrumentos!$C$8:$C$47,0))),INDEX(Instrumentos!$M$8:$M$47,MATCH(D71,Instrumentos!$C$8:$C$47,0)),""),""))</f>
        <v/>
      </c>
      <c r="L71" s="16" t="str">
        <f aca="false">IF(OR(D71="",I71="",K71=""),"",IF(ABS(I71)+N(J71)&lt;=K71+0.000000001,"Aprovado","Reprovado"))</f>
        <v/>
      </c>
      <c r="M71" s="5"/>
      <c r="N71" s="5"/>
      <c r="O71" s="17" t="str">
        <f aca="false">IF(D71="",IF(COUNTA(C71,F71:J71,M71:N71)&gt;0,"Falta o instrumento",""),IF(ISNA(MATCH(D71,Instrumentos!$C$8:$C$47,0)),"Instrumento não cadastrado",IF(K71="","Falta o critério no cadastro",IF(G71="","Falta o registro",IF(I71="","Falta o erro encontrado",IF(AND(L71="Reprovado",M71=""),"Falta a ação",IF(AND(L71="Reprovado",N71=""),"Falta avaliar os resultados anteriores","OK")))))))</f>
        <v/>
      </c>
    </row>
    <row r="72" customFormat="false" ht="30" hidden="false" customHeight="true" outlineLevel="0" collapsed="false">
      <c r="B72" s="12" t="n">
        <v>66</v>
      </c>
      <c r="C72" s="8"/>
      <c r="D72" s="13"/>
      <c r="E72" s="21" t="str">
        <f aca="false">IF(D72="","",IFERROR(INDEX(Instrumentos!$D$8:$D$47,MATCH(D72,Instrumentos!$C$8:$C$47,0))&amp;"",""))</f>
        <v/>
      </c>
      <c r="F72" s="13"/>
      <c r="G72" s="5"/>
      <c r="H72" s="5"/>
      <c r="I72" s="14"/>
      <c r="J72" s="14"/>
      <c r="K72" s="23" t="str">
        <f aca="false">IF(D72="","",IFERROR(IF(ISNUMBER(INDEX(Instrumentos!$M$8:$M$47,MATCH(D72,Instrumentos!$C$8:$C$47,0))),INDEX(Instrumentos!$M$8:$M$47,MATCH(D72,Instrumentos!$C$8:$C$47,0)),""),""))</f>
        <v/>
      </c>
      <c r="L72" s="16" t="str">
        <f aca="false">IF(OR(D72="",I72="",K72=""),"",IF(ABS(I72)+N(J72)&lt;=K72+0.000000001,"Aprovado","Reprovado"))</f>
        <v/>
      </c>
      <c r="M72" s="5"/>
      <c r="N72" s="5"/>
      <c r="O72" s="17" t="str">
        <f aca="false">IF(D72="",IF(COUNTA(C72,F72:J72,M72:N72)&gt;0,"Falta o instrumento",""),IF(ISNA(MATCH(D72,Instrumentos!$C$8:$C$47,0)),"Instrumento não cadastrado",IF(K72="","Falta o critério no cadastro",IF(G72="","Falta o registro",IF(I72="","Falta o erro encontrado",IF(AND(L72="Reprovado",M72=""),"Falta a ação",IF(AND(L72="Reprovado",N72=""),"Falta avaliar os resultados anteriores","OK")))))))</f>
        <v/>
      </c>
    </row>
    <row r="73" customFormat="false" ht="30" hidden="false" customHeight="true" outlineLevel="0" collapsed="false">
      <c r="B73" s="12" t="n">
        <v>67</v>
      </c>
      <c r="C73" s="8"/>
      <c r="D73" s="13"/>
      <c r="E73" s="21" t="str">
        <f aca="false">IF(D73="","",IFERROR(INDEX(Instrumentos!$D$8:$D$47,MATCH(D73,Instrumentos!$C$8:$C$47,0))&amp;"",""))</f>
        <v/>
      </c>
      <c r="F73" s="13"/>
      <c r="G73" s="5"/>
      <c r="H73" s="5"/>
      <c r="I73" s="14"/>
      <c r="J73" s="14"/>
      <c r="K73" s="23" t="str">
        <f aca="false">IF(D73="","",IFERROR(IF(ISNUMBER(INDEX(Instrumentos!$M$8:$M$47,MATCH(D73,Instrumentos!$C$8:$C$47,0))),INDEX(Instrumentos!$M$8:$M$47,MATCH(D73,Instrumentos!$C$8:$C$47,0)),""),""))</f>
        <v/>
      </c>
      <c r="L73" s="16" t="str">
        <f aca="false">IF(OR(D73="",I73="",K73=""),"",IF(ABS(I73)+N(J73)&lt;=K73+0.000000001,"Aprovado","Reprovado"))</f>
        <v/>
      </c>
      <c r="M73" s="5"/>
      <c r="N73" s="5"/>
      <c r="O73" s="17" t="str">
        <f aca="false">IF(D73="",IF(COUNTA(C73,F73:J73,M73:N73)&gt;0,"Falta o instrumento",""),IF(ISNA(MATCH(D73,Instrumentos!$C$8:$C$47,0)),"Instrumento não cadastrado",IF(K73="","Falta o critério no cadastro",IF(G73="","Falta o registro",IF(I73="","Falta o erro encontrado",IF(AND(L73="Reprovado",M73=""),"Falta a ação",IF(AND(L73="Reprovado",N73=""),"Falta avaliar os resultados anteriores","OK")))))))</f>
        <v/>
      </c>
    </row>
    <row r="74" customFormat="false" ht="30" hidden="false" customHeight="true" outlineLevel="0" collapsed="false">
      <c r="B74" s="12" t="n">
        <v>68</v>
      </c>
      <c r="C74" s="8"/>
      <c r="D74" s="13"/>
      <c r="E74" s="21" t="str">
        <f aca="false">IF(D74="","",IFERROR(INDEX(Instrumentos!$D$8:$D$47,MATCH(D74,Instrumentos!$C$8:$C$47,0))&amp;"",""))</f>
        <v/>
      </c>
      <c r="F74" s="13"/>
      <c r="G74" s="5"/>
      <c r="H74" s="5"/>
      <c r="I74" s="14"/>
      <c r="J74" s="14"/>
      <c r="K74" s="23" t="str">
        <f aca="false">IF(D74="","",IFERROR(IF(ISNUMBER(INDEX(Instrumentos!$M$8:$M$47,MATCH(D74,Instrumentos!$C$8:$C$47,0))),INDEX(Instrumentos!$M$8:$M$47,MATCH(D74,Instrumentos!$C$8:$C$47,0)),""),""))</f>
        <v/>
      </c>
      <c r="L74" s="16" t="str">
        <f aca="false">IF(OR(D74="",I74="",K74=""),"",IF(ABS(I74)+N(J74)&lt;=K74+0.000000001,"Aprovado","Reprovado"))</f>
        <v/>
      </c>
      <c r="M74" s="5"/>
      <c r="N74" s="5"/>
      <c r="O74" s="17" t="str">
        <f aca="false">IF(D74="",IF(COUNTA(C74,F74:J74,M74:N74)&gt;0,"Falta o instrumento",""),IF(ISNA(MATCH(D74,Instrumentos!$C$8:$C$47,0)),"Instrumento não cadastrado",IF(K74="","Falta o critério no cadastro",IF(G74="","Falta o registro",IF(I74="","Falta o erro encontrado",IF(AND(L74="Reprovado",M74=""),"Falta a ação",IF(AND(L74="Reprovado",N74=""),"Falta avaliar os resultados anteriores","OK")))))))</f>
        <v/>
      </c>
    </row>
    <row r="75" customFormat="false" ht="30" hidden="false" customHeight="true" outlineLevel="0" collapsed="false">
      <c r="B75" s="12" t="n">
        <v>69</v>
      </c>
      <c r="C75" s="8"/>
      <c r="D75" s="13"/>
      <c r="E75" s="21" t="str">
        <f aca="false">IF(D75="","",IFERROR(INDEX(Instrumentos!$D$8:$D$47,MATCH(D75,Instrumentos!$C$8:$C$47,0))&amp;"",""))</f>
        <v/>
      </c>
      <c r="F75" s="13"/>
      <c r="G75" s="5"/>
      <c r="H75" s="5"/>
      <c r="I75" s="14"/>
      <c r="J75" s="14"/>
      <c r="K75" s="23" t="str">
        <f aca="false">IF(D75="","",IFERROR(IF(ISNUMBER(INDEX(Instrumentos!$M$8:$M$47,MATCH(D75,Instrumentos!$C$8:$C$47,0))),INDEX(Instrumentos!$M$8:$M$47,MATCH(D75,Instrumentos!$C$8:$C$47,0)),""),""))</f>
        <v/>
      </c>
      <c r="L75" s="16" t="str">
        <f aca="false">IF(OR(D75="",I75="",K75=""),"",IF(ABS(I75)+N(J75)&lt;=K75+0.000000001,"Aprovado","Reprovado"))</f>
        <v/>
      </c>
      <c r="M75" s="5"/>
      <c r="N75" s="5"/>
      <c r="O75" s="17" t="str">
        <f aca="false">IF(D75="",IF(COUNTA(C75,F75:J75,M75:N75)&gt;0,"Falta o instrumento",""),IF(ISNA(MATCH(D75,Instrumentos!$C$8:$C$47,0)),"Instrumento não cadastrado",IF(K75="","Falta o critério no cadastro",IF(G75="","Falta o registro",IF(I75="","Falta o erro encontrado",IF(AND(L75="Reprovado",M75=""),"Falta a ação",IF(AND(L75="Reprovado",N75=""),"Falta avaliar os resultados anteriores","OK")))))))</f>
        <v/>
      </c>
    </row>
    <row r="76" customFormat="false" ht="30" hidden="false" customHeight="true" outlineLevel="0" collapsed="false">
      <c r="B76" s="12" t="n">
        <v>70</v>
      </c>
      <c r="C76" s="8"/>
      <c r="D76" s="13"/>
      <c r="E76" s="21" t="str">
        <f aca="false">IF(D76="","",IFERROR(INDEX(Instrumentos!$D$8:$D$47,MATCH(D76,Instrumentos!$C$8:$C$47,0))&amp;"",""))</f>
        <v/>
      </c>
      <c r="F76" s="13"/>
      <c r="G76" s="5"/>
      <c r="H76" s="5"/>
      <c r="I76" s="14"/>
      <c r="J76" s="14"/>
      <c r="K76" s="23" t="str">
        <f aca="false">IF(D76="","",IFERROR(IF(ISNUMBER(INDEX(Instrumentos!$M$8:$M$47,MATCH(D76,Instrumentos!$C$8:$C$47,0))),INDEX(Instrumentos!$M$8:$M$47,MATCH(D76,Instrumentos!$C$8:$C$47,0)),""),""))</f>
        <v/>
      </c>
      <c r="L76" s="16" t="str">
        <f aca="false">IF(OR(D76="",I76="",K76=""),"",IF(ABS(I76)+N(J76)&lt;=K76+0.000000001,"Aprovado","Reprovado"))</f>
        <v/>
      </c>
      <c r="M76" s="5"/>
      <c r="N76" s="5"/>
      <c r="O76" s="17" t="str">
        <f aca="false">IF(D76="",IF(COUNTA(C76,F76:J76,M76:N76)&gt;0,"Falta o instrumento",""),IF(ISNA(MATCH(D76,Instrumentos!$C$8:$C$47,0)),"Instrumento não cadastrado",IF(K76="","Falta o critério no cadastro",IF(G76="","Falta o registro",IF(I76="","Falta o erro encontrado",IF(AND(L76="Reprovado",M76=""),"Falta a ação",IF(AND(L76="Reprovado",N76=""),"Falta avaliar os resultados anteriores","OK")))))))</f>
        <v/>
      </c>
    </row>
    <row r="77" customFormat="false" ht="30" hidden="false" customHeight="true" outlineLevel="0" collapsed="false">
      <c r="B77" s="12" t="n">
        <v>71</v>
      </c>
      <c r="C77" s="8"/>
      <c r="D77" s="13"/>
      <c r="E77" s="21" t="str">
        <f aca="false">IF(D77="","",IFERROR(INDEX(Instrumentos!$D$8:$D$47,MATCH(D77,Instrumentos!$C$8:$C$47,0))&amp;"",""))</f>
        <v/>
      </c>
      <c r="F77" s="13"/>
      <c r="G77" s="5"/>
      <c r="H77" s="5"/>
      <c r="I77" s="14"/>
      <c r="J77" s="14"/>
      <c r="K77" s="23" t="str">
        <f aca="false">IF(D77="","",IFERROR(IF(ISNUMBER(INDEX(Instrumentos!$M$8:$M$47,MATCH(D77,Instrumentos!$C$8:$C$47,0))),INDEX(Instrumentos!$M$8:$M$47,MATCH(D77,Instrumentos!$C$8:$C$47,0)),""),""))</f>
        <v/>
      </c>
      <c r="L77" s="16" t="str">
        <f aca="false">IF(OR(D77="",I77="",K77=""),"",IF(ABS(I77)+N(J77)&lt;=K77+0.000000001,"Aprovado","Reprovado"))</f>
        <v/>
      </c>
      <c r="M77" s="5"/>
      <c r="N77" s="5"/>
      <c r="O77" s="17" t="str">
        <f aca="false">IF(D77="",IF(COUNTA(C77,F77:J77,M77:N77)&gt;0,"Falta o instrumento",""),IF(ISNA(MATCH(D77,Instrumentos!$C$8:$C$47,0)),"Instrumento não cadastrado",IF(K77="","Falta o critério no cadastro",IF(G77="","Falta o registro",IF(I77="","Falta o erro encontrado",IF(AND(L77="Reprovado",M77=""),"Falta a ação",IF(AND(L77="Reprovado",N77=""),"Falta avaliar os resultados anteriores","OK")))))))</f>
        <v/>
      </c>
    </row>
    <row r="78" customFormat="false" ht="30" hidden="false" customHeight="true" outlineLevel="0" collapsed="false">
      <c r="B78" s="12" t="n">
        <v>72</v>
      </c>
      <c r="C78" s="8"/>
      <c r="D78" s="13"/>
      <c r="E78" s="21" t="str">
        <f aca="false">IF(D78="","",IFERROR(INDEX(Instrumentos!$D$8:$D$47,MATCH(D78,Instrumentos!$C$8:$C$47,0))&amp;"",""))</f>
        <v/>
      </c>
      <c r="F78" s="13"/>
      <c r="G78" s="5"/>
      <c r="H78" s="5"/>
      <c r="I78" s="14"/>
      <c r="J78" s="14"/>
      <c r="K78" s="23" t="str">
        <f aca="false">IF(D78="","",IFERROR(IF(ISNUMBER(INDEX(Instrumentos!$M$8:$M$47,MATCH(D78,Instrumentos!$C$8:$C$47,0))),INDEX(Instrumentos!$M$8:$M$47,MATCH(D78,Instrumentos!$C$8:$C$47,0)),""),""))</f>
        <v/>
      </c>
      <c r="L78" s="16" t="str">
        <f aca="false">IF(OR(D78="",I78="",K78=""),"",IF(ABS(I78)+N(J78)&lt;=K78+0.000000001,"Aprovado","Reprovado"))</f>
        <v/>
      </c>
      <c r="M78" s="5"/>
      <c r="N78" s="5"/>
      <c r="O78" s="17" t="str">
        <f aca="false">IF(D78="",IF(COUNTA(C78,F78:J78,M78:N78)&gt;0,"Falta o instrumento",""),IF(ISNA(MATCH(D78,Instrumentos!$C$8:$C$47,0)),"Instrumento não cadastrado",IF(K78="","Falta o critério no cadastro",IF(G78="","Falta o registro",IF(I78="","Falta o erro encontrado",IF(AND(L78="Reprovado",M78=""),"Falta a ação",IF(AND(L78="Reprovado",N78=""),"Falta avaliar os resultados anteriores","OK")))))))</f>
        <v/>
      </c>
    </row>
    <row r="79" customFormat="false" ht="30" hidden="false" customHeight="true" outlineLevel="0" collapsed="false">
      <c r="B79" s="12" t="n">
        <v>73</v>
      </c>
      <c r="C79" s="8"/>
      <c r="D79" s="13"/>
      <c r="E79" s="21" t="str">
        <f aca="false">IF(D79="","",IFERROR(INDEX(Instrumentos!$D$8:$D$47,MATCH(D79,Instrumentos!$C$8:$C$47,0))&amp;"",""))</f>
        <v/>
      </c>
      <c r="F79" s="13"/>
      <c r="G79" s="5"/>
      <c r="H79" s="5"/>
      <c r="I79" s="14"/>
      <c r="J79" s="14"/>
      <c r="K79" s="23" t="str">
        <f aca="false">IF(D79="","",IFERROR(IF(ISNUMBER(INDEX(Instrumentos!$M$8:$M$47,MATCH(D79,Instrumentos!$C$8:$C$47,0))),INDEX(Instrumentos!$M$8:$M$47,MATCH(D79,Instrumentos!$C$8:$C$47,0)),""),""))</f>
        <v/>
      </c>
      <c r="L79" s="16" t="str">
        <f aca="false">IF(OR(D79="",I79="",K79=""),"",IF(ABS(I79)+N(J79)&lt;=K79+0.000000001,"Aprovado","Reprovado"))</f>
        <v/>
      </c>
      <c r="M79" s="5"/>
      <c r="N79" s="5"/>
      <c r="O79" s="17" t="str">
        <f aca="false">IF(D79="",IF(COUNTA(C79,F79:J79,M79:N79)&gt;0,"Falta o instrumento",""),IF(ISNA(MATCH(D79,Instrumentos!$C$8:$C$47,0)),"Instrumento não cadastrado",IF(K79="","Falta o critério no cadastro",IF(G79="","Falta o registro",IF(I79="","Falta o erro encontrado",IF(AND(L79="Reprovado",M79=""),"Falta a ação",IF(AND(L79="Reprovado",N79=""),"Falta avaliar os resultados anteriores","OK")))))))</f>
        <v/>
      </c>
    </row>
    <row r="80" customFormat="false" ht="30" hidden="false" customHeight="true" outlineLevel="0" collapsed="false">
      <c r="B80" s="12" t="n">
        <v>74</v>
      </c>
      <c r="C80" s="8"/>
      <c r="D80" s="13"/>
      <c r="E80" s="21" t="str">
        <f aca="false">IF(D80="","",IFERROR(INDEX(Instrumentos!$D$8:$D$47,MATCH(D80,Instrumentos!$C$8:$C$47,0))&amp;"",""))</f>
        <v/>
      </c>
      <c r="F80" s="13"/>
      <c r="G80" s="5"/>
      <c r="H80" s="5"/>
      <c r="I80" s="14"/>
      <c r="J80" s="14"/>
      <c r="K80" s="23" t="str">
        <f aca="false">IF(D80="","",IFERROR(IF(ISNUMBER(INDEX(Instrumentos!$M$8:$M$47,MATCH(D80,Instrumentos!$C$8:$C$47,0))),INDEX(Instrumentos!$M$8:$M$47,MATCH(D80,Instrumentos!$C$8:$C$47,0)),""),""))</f>
        <v/>
      </c>
      <c r="L80" s="16" t="str">
        <f aca="false">IF(OR(D80="",I80="",K80=""),"",IF(ABS(I80)+N(J80)&lt;=K80+0.000000001,"Aprovado","Reprovado"))</f>
        <v/>
      </c>
      <c r="M80" s="5"/>
      <c r="N80" s="5"/>
      <c r="O80" s="17" t="str">
        <f aca="false">IF(D80="",IF(COUNTA(C80,F80:J80,M80:N80)&gt;0,"Falta o instrumento",""),IF(ISNA(MATCH(D80,Instrumentos!$C$8:$C$47,0)),"Instrumento não cadastrado",IF(K80="","Falta o critério no cadastro",IF(G80="","Falta o registro",IF(I80="","Falta o erro encontrado",IF(AND(L80="Reprovado",M80=""),"Falta a ação",IF(AND(L80="Reprovado",N80=""),"Falta avaliar os resultados anteriores","OK")))))))</f>
        <v/>
      </c>
    </row>
    <row r="81" customFormat="false" ht="30" hidden="false" customHeight="true" outlineLevel="0" collapsed="false">
      <c r="B81" s="12" t="n">
        <v>75</v>
      </c>
      <c r="C81" s="8"/>
      <c r="D81" s="13"/>
      <c r="E81" s="21" t="str">
        <f aca="false">IF(D81="","",IFERROR(INDEX(Instrumentos!$D$8:$D$47,MATCH(D81,Instrumentos!$C$8:$C$47,0))&amp;"",""))</f>
        <v/>
      </c>
      <c r="F81" s="13"/>
      <c r="G81" s="5"/>
      <c r="H81" s="5"/>
      <c r="I81" s="14"/>
      <c r="J81" s="14"/>
      <c r="K81" s="23" t="str">
        <f aca="false">IF(D81="","",IFERROR(IF(ISNUMBER(INDEX(Instrumentos!$M$8:$M$47,MATCH(D81,Instrumentos!$C$8:$C$47,0))),INDEX(Instrumentos!$M$8:$M$47,MATCH(D81,Instrumentos!$C$8:$C$47,0)),""),""))</f>
        <v/>
      </c>
      <c r="L81" s="16" t="str">
        <f aca="false">IF(OR(D81="",I81="",K81=""),"",IF(ABS(I81)+N(J81)&lt;=K81+0.000000001,"Aprovado","Reprovado"))</f>
        <v/>
      </c>
      <c r="M81" s="5"/>
      <c r="N81" s="5"/>
      <c r="O81" s="17" t="str">
        <f aca="false">IF(D81="",IF(COUNTA(C81,F81:J81,M81:N81)&gt;0,"Falta o instrumento",""),IF(ISNA(MATCH(D81,Instrumentos!$C$8:$C$47,0)),"Instrumento não cadastrado",IF(K81="","Falta o critério no cadastro",IF(G81="","Falta o registro",IF(I81="","Falta o erro encontrado",IF(AND(L81="Reprovado",M81=""),"Falta a ação",IF(AND(L81="Reprovado",N81=""),"Falta avaliar os resultados anteriores","OK")))))))</f>
        <v/>
      </c>
    </row>
    <row r="82" customFormat="false" ht="30" hidden="false" customHeight="true" outlineLevel="0" collapsed="false">
      <c r="B82" s="12" t="n">
        <v>76</v>
      </c>
      <c r="C82" s="8"/>
      <c r="D82" s="13"/>
      <c r="E82" s="21" t="str">
        <f aca="false">IF(D82="","",IFERROR(INDEX(Instrumentos!$D$8:$D$47,MATCH(D82,Instrumentos!$C$8:$C$47,0))&amp;"",""))</f>
        <v/>
      </c>
      <c r="F82" s="13"/>
      <c r="G82" s="5"/>
      <c r="H82" s="5"/>
      <c r="I82" s="14"/>
      <c r="J82" s="14"/>
      <c r="K82" s="23" t="str">
        <f aca="false">IF(D82="","",IFERROR(IF(ISNUMBER(INDEX(Instrumentos!$M$8:$M$47,MATCH(D82,Instrumentos!$C$8:$C$47,0))),INDEX(Instrumentos!$M$8:$M$47,MATCH(D82,Instrumentos!$C$8:$C$47,0)),""),""))</f>
        <v/>
      </c>
      <c r="L82" s="16" t="str">
        <f aca="false">IF(OR(D82="",I82="",K82=""),"",IF(ABS(I82)+N(J82)&lt;=K82+0.000000001,"Aprovado","Reprovado"))</f>
        <v/>
      </c>
      <c r="M82" s="5"/>
      <c r="N82" s="5"/>
      <c r="O82" s="17" t="str">
        <f aca="false">IF(D82="",IF(COUNTA(C82,F82:J82,M82:N82)&gt;0,"Falta o instrumento",""),IF(ISNA(MATCH(D82,Instrumentos!$C$8:$C$47,0)),"Instrumento não cadastrado",IF(K82="","Falta o critério no cadastro",IF(G82="","Falta o registro",IF(I82="","Falta o erro encontrado",IF(AND(L82="Reprovado",M82=""),"Falta a ação",IF(AND(L82="Reprovado",N82=""),"Falta avaliar os resultados anteriores","OK")))))))</f>
        <v/>
      </c>
    </row>
    <row r="83" customFormat="false" ht="30" hidden="false" customHeight="true" outlineLevel="0" collapsed="false">
      <c r="B83" s="12" t="n">
        <v>77</v>
      </c>
      <c r="C83" s="8"/>
      <c r="D83" s="13"/>
      <c r="E83" s="21" t="str">
        <f aca="false">IF(D83="","",IFERROR(INDEX(Instrumentos!$D$8:$D$47,MATCH(D83,Instrumentos!$C$8:$C$47,0))&amp;"",""))</f>
        <v/>
      </c>
      <c r="F83" s="13"/>
      <c r="G83" s="5"/>
      <c r="H83" s="5"/>
      <c r="I83" s="14"/>
      <c r="J83" s="14"/>
      <c r="K83" s="23" t="str">
        <f aca="false">IF(D83="","",IFERROR(IF(ISNUMBER(INDEX(Instrumentos!$M$8:$M$47,MATCH(D83,Instrumentos!$C$8:$C$47,0))),INDEX(Instrumentos!$M$8:$M$47,MATCH(D83,Instrumentos!$C$8:$C$47,0)),""),""))</f>
        <v/>
      </c>
      <c r="L83" s="16" t="str">
        <f aca="false">IF(OR(D83="",I83="",K83=""),"",IF(ABS(I83)+N(J83)&lt;=K83+0.000000001,"Aprovado","Reprovado"))</f>
        <v/>
      </c>
      <c r="M83" s="5"/>
      <c r="N83" s="5"/>
      <c r="O83" s="17" t="str">
        <f aca="false">IF(D83="",IF(COUNTA(C83,F83:J83,M83:N83)&gt;0,"Falta o instrumento",""),IF(ISNA(MATCH(D83,Instrumentos!$C$8:$C$47,0)),"Instrumento não cadastrado",IF(K83="","Falta o critério no cadastro",IF(G83="","Falta o registro",IF(I83="","Falta o erro encontrado",IF(AND(L83="Reprovado",M83=""),"Falta a ação",IF(AND(L83="Reprovado",N83=""),"Falta avaliar os resultados anteriores","OK")))))))</f>
        <v/>
      </c>
    </row>
    <row r="84" customFormat="false" ht="30" hidden="false" customHeight="true" outlineLevel="0" collapsed="false">
      <c r="B84" s="12" t="n">
        <v>78</v>
      </c>
      <c r="C84" s="8"/>
      <c r="D84" s="13"/>
      <c r="E84" s="21" t="str">
        <f aca="false">IF(D84="","",IFERROR(INDEX(Instrumentos!$D$8:$D$47,MATCH(D84,Instrumentos!$C$8:$C$47,0))&amp;"",""))</f>
        <v/>
      </c>
      <c r="F84" s="13"/>
      <c r="G84" s="5"/>
      <c r="H84" s="5"/>
      <c r="I84" s="14"/>
      <c r="J84" s="14"/>
      <c r="K84" s="23" t="str">
        <f aca="false">IF(D84="","",IFERROR(IF(ISNUMBER(INDEX(Instrumentos!$M$8:$M$47,MATCH(D84,Instrumentos!$C$8:$C$47,0))),INDEX(Instrumentos!$M$8:$M$47,MATCH(D84,Instrumentos!$C$8:$C$47,0)),""),""))</f>
        <v/>
      </c>
      <c r="L84" s="16" t="str">
        <f aca="false">IF(OR(D84="",I84="",K84=""),"",IF(ABS(I84)+N(J84)&lt;=K84+0.000000001,"Aprovado","Reprovado"))</f>
        <v/>
      </c>
      <c r="M84" s="5"/>
      <c r="N84" s="5"/>
      <c r="O84" s="17" t="str">
        <f aca="false">IF(D84="",IF(COUNTA(C84,F84:J84,M84:N84)&gt;0,"Falta o instrumento",""),IF(ISNA(MATCH(D84,Instrumentos!$C$8:$C$47,0)),"Instrumento não cadastrado",IF(K84="","Falta o critério no cadastro",IF(G84="","Falta o registro",IF(I84="","Falta o erro encontrado",IF(AND(L84="Reprovado",M84=""),"Falta a ação",IF(AND(L84="Reprovado",N84=""),"Falta avaliar os resultados anteriores","OK")))))))</f>
        <v/>
      </c>
    </row>
    <row r="85" customFormat="false" ht="30" hidden="false" customHeight="true" outlineLevel="0" collapsed="false">
      <c r="B85" s="12" t="n">
        <v>79</v>
      </c>
      <c r="C85" s="8"/>
      <c r="D85" s="13"/>
      <c r="E85" s="21" t="str">
        <f aca="false">IF(D85="","",IFERROR(INDEX(Instrumentos!$D$8:$D$47,MATCH(D85,Instrumentos!$C$8:$C$47,0))&amp;"",""))</f>
        <v/>
      </c>
      <c r="F85" s="13"/>
      <c r="G85" s="5"/>
      <c r="H85" s="5"/>
      <c r="I85" s="14"/>
      <c r="J85" s="14"/>
      <c r="K85" s="23" t="str">
        <f aca="false">IF(D85="","",IFERROR(IF(ISNUMBER(INDEX(Instrumentos!$M$8:$M$47,MATCH(D85,Instrumentos!$C$8:$C$47,0))),INDEX(Instrumentos!$M$8:$M$47,MATCH(D85,Instrumentos!$C$8:$C$47,0)),""),""))</f>
        <v/>
      </c>
      <c r="L85" s="16" t="str">
        <f aca="false">IF(OR(D85="",I85="",K85=""),"",IF(ABS(I85)+N(J85)&lt;=K85+0.000000001,"Aprovado","Reprovado"))</f>
        <v/>
      </c>
      <c r="M85" s="5"/>
      <c r="N85" s="5"/>
      <c r="O85" s="17" t="str">
        <f aca="false">IF(D85="",IF(COUNTA(C85,F85:J85,M85:N85)&gt;0,"Falta o instrumento",""),IF(ISNA(MATCH(D85,Instrumentos!$C$8:$C$47,0)),"Instrumento não cadastrado",IF(K85="","Falta o critério no cadastro",IF(G85="","Falta o registro",IF(I85="","Falta o erro encontrado",IF(AND(L85="Reprovado",M85=""),"Falta a ação",IF(AND(L85="Reprovado",N85=""),"Falta avaliar os resultados anteriores","OK")))))))</f>
        <v/>
      </c>
    </row>
    <row r="86" customFormat="false" ht="30" hidden="false" customHeight="true" outlineLevel="0" collapsed="false">
      <c r="B86" s="12" t="n">
        <v>80</v>
      </c>
      <c r="C86" s="8"/>
      <c r="D86" s="13"/>
      <c r="E86" s="21" t="str">
        <f aca="false">IF(D86="","",IFERROR(INDEX(Instrumentos!$D$8:$D$47,MATCH(D86,Instrumentos!$C$8:$C$47,0))&amp;"",""))</f>
        <v/>
      </c>
      <c r="F86" s="13"/>
      <c r="G86" s="5"/>
      <c r="H86" s="5"/>
      <c r="I86" s="14"/>
      <c r="J86" s="14"/>
      <c r="K86" s="23" t="str">
        <f aca="false">IF(D86="","",IFERROR(IF(ISNUMBER(INDEX(Instrumentos!$M$8:$M$47,MATCH(D86,Instrumentos!$C$8:$C$47,0))),INDEX(Instrumentos!$M$8:$M$47,MATCH(D86,Instrumentos!$C$8:$C$47,0)),""),""))</f>
        <v/>
      </c>
      <c r="L86" s="16" t="str">
        <f aca="false">IF(OR(D86="",I86="",K86=""),"",IF(ABS(I86)+N(J86)&lt;=K86+0.000000001,"Aprovado","Reprovado"))</f>
        <v/>
      </c>
      <c r="M86" s="5"/>
      <c r="N86" s="5"/>
      <c r="O86" s="17" t="str">
        <f aca="false">IF(D86="",IF(COUNTA(C86,F86:J86,M86:N86)&gt;0,"Falta o instrumento",""),IF(ISNA(MATCH(D86,Instrumentos!$C$8:$C$47,0)),"Instrumento não cadastrado",IF(K86="","Falta o critério no cadastro",IF(G86="","Falta o registro",IF(I86="","Falta o erro encontrado",IF(AND(L86="Reprovado",M86=""),"Falta a ação",IF(AND(L86="Reprovado",N86=""),"Falta avaliar os resultados anteriores","OK")))))))</f>
        <v/>
      </c>
    </row>
    <row r="88" customFormat="false" ht="21.75" hidden="false" customHeight="true" outlineLevel="0" collapsed="false">
      <c r="B88" s="18" t="s">
        <v>93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customFormat="false" ht="21.75" hidden="false" customHeight="true" outlineLevel="0" collapsed="false">
      <c r="B89" s="19" t="s">
        <v>122</v>
      </c>
      <c r="C89" s="19"/>
      <c r="D89" s="19"/>
      <c r="E89" s="20" t="n">
        <f aca="false">COUNTA(D7:D86)</f>
        <v>0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customFormat="false" ht="21.75" hidden="false" customHeight="true" outlineLevel="0" collapsed="false">
      <c r="B90" s="19" t="s">
        <v>123</v>
      </c>
      <c r="C90" s="19"/>
      <c r="D90" s="19"/>
      <c r="E90" s="20" t="str">
        <f aca="false">COUNTIF(L7:L86,"Aprovado")&amp;" aprovados, "&amp;COUNTIF(L7:L86,"Reprovado")&amp;" reprovados"</f>
        <v>0 aprovados, 0 reprovados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</row>
    <row r="91" customFormat="false" ht="21.75" hidden="false" customHeight="true" outlineLevel="0" collapsed="false">
      <c r="B91" s="19" t="s">
        <v>97</v>
      </c>
      <c r="C91" s="19"/>
      <c r="D91" s="19"/>
      <c r="E91" s="21" t="str">
        <f aca="false">IF(E89=0,"Lance as calibrações e as verificações",IF(COUNTIF(O7:O86,"Falta avaliar os resultados anteriores")&gt;0,"Há reprovado sem a avaliação dos resultados anteriores",IF(SUMPRODUCT((O7:O86&lt;&gt;"")*(O7:O86&lt;&gt;"OK"))&gt;0,"Há registro a completar: veja a coluna Conferência","OK")))</f>
        <v>Lance as calibrações e as verificações</v>
      </c>
      <c r="F91" s="21"/>
      <c r="G91" s="21"/>
      <c r="H91" s="21"/>
      <c r="I91" s="21"/>
      <c r="J91" s="21"/>
      <c r="K91" s="21"/>
      <c r="L91" s="21"/>
      <c r="M91" s="21"/>
      <c r="N91" s="21"/>
      <c r="O91" s="21"/>
    </row>
  </sheetData>
  <mergeCells count="9">
    <mergeCell ref="B1:O1"/>
    <mergeCell ref="B2:O2"/>
    <mergeCell ref="B88:O88"/>
    <mergeCell ref="B89:D89"/>
    <mergeCell ref="E89:O89"/>
    <mergeCell ref="B90:D90"/>
    <mergeCell ref="E90:O90"/>
    <mergeCell ref="B91:D91"/>
    <mergeCell ref="E91:O91"/>
  </mergeCells>
  <conditionalFormatting sqref="L7:L86">
    <cfRule type="expression" priority="2" aboveAverage="0" equalAverage="0" bottom="0" percent="0" rank="0" text="" dxfId="0">
      <formula>L7="Aprovado"</formula>
    </cfRule>
    <cfRule type="expression" priority="3" aboveAverage="0" equalAverage="0" bottom="0" percent="0" rank="0" text="" dxfId="2">
      <formula>L7="Reprovado"</formula>
    </cfRule>
  </conditionalFormatting>
  <conditionalFormatting sqref="O7:O86">
    <cfRule type="expression" priority="4" aboveAverage="0" equalAverage="0" bottom="0" percent="0" rank="0" text="" dxfId="0">
      <formula>O7="OK"</formula>
    </cfRule>
    <cfRule type="expression" priority="5" aboveAverage="0" equalAverage="0" bottom="0" percent="0" rank="0" text="" dxfId="2">
      <formula>O7="Falta avaliar os resultados anteriores"</formula>
    </cfRule>
    <cfRule type="expression" priority="6" aboveAverage="0" equalAverage="0" bottom="0" percent="0" rank="0" text="" dxfId="4">
      <formula>LEN(O7)&gt;0</formula>
    </cfRule>
  </conditionalFormatting>
  <conditionalFormatting sqref="E91:O91">
    <cfRule type="expression" priority="7" aboveAverage="0" equalAverage="0" bottom="0" percent="0" rank="0" text="" dxfId="0">
      <formula>OR(E91="OK")</formula>
    </cfRule>
    <cfRule type="expression" priority="8" aboveAverage="0" equalAverage="0" bottom="0" percent="0" rank="0" text="" dxfId="4">
      <formula>AND(LEN(E91)&gt;0,NOT(OR(E91="OK")))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C7:C86" type="date">
      <formula1>36526</formula1>
      <formula2>0</formula2>
    </dataValidation>
    <dataValidation allowBlank="true" errorStyle="stop" operator="between" prompt="Código do instrumento, da aba Instrumentos" promptTitle="Opções" showDropDown="false" showErrorMessage="false" showInputMessage="true" sqref="D7:D86" type="list">
      <formula1>Instrumentos!$C$8:$C$47</formula1>
      <formula2>0</formula2>
    </dataValidation>
    <dataValidation allowBlank="true" error="Escolha uma das opções da lista." errorStyle="stop" errorTitle="Valor inválido" operator="between" prompt="Calibração, com certificado, ou verificação interna" promptTitle="Opções" showDropDown="false" showErrorMessage="true" showInputMessage="true" sqref="F7:F86" type="list">
      <formula1>"Calibração,Verificação"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I7:J8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124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125</v>
      </c>
      <c r="C2" s="2"/>
      <c r="D2" s="2"/>
      <c r="E2" s="2"/>
      <c r="F2" s="2"/>
    </row>
    <row r="3" customFormat="false" ht="15" hidden="false" customHeight="false" outlineLevel="0" collapsed="false">
      <c r="B3" s="4" t="s">
        <v>67</v>
      </c>
      <c r="C3" s="24" t="str">
        <f aca="false">IF(Instrumentos!E4="","",Instrumentos!E4)</f>
        <v/>
      </c>
    </row>
    <row r="5" customFormat="false" ht="21.75" hidden="false" customHeight="true" outlineLevel="0" collapsed="false">
      <c r="B5" s="10" t="s">
        <v>126</v>
      </c>
      <c r="C5" s="10" t="s">
        <v>28</v>
      </c>
      <c r="D5" s="10" t="s">
        <v>127</v>
      </c>
      <c r="E5" s="10"/>
      <c r="F5" s="10"/>
    </row>
    <row r="6" customFormat="false" ht="21.75" hidden="false" customHeight="true" outlineLevel="0" collapsed="false">
      <c r="B6" s="4" t="s">
        <v>94</v>
      </c>
      <c r="C6" s="25" t="n">
        <f aca="false">COUNTA(Instrumentos!C8:C47)</f>
        <v>0</v>
      </c>
      <c r="D6" s="26" t="s">
        <v>128</v>
      </c>
      <c r="E6" s="26"/>
      <c r="F6" s="26"/>
    </row>
    <row r="7" customFormat="false" ht="21.75" hidden="false" customHeight="true" outlineLevel="0" collapsed="false">
      <c r="B7" s="4" t="s">
        <v>16</v>
      </c>
      <c r="C7" s="25" t="n">
        <f aca="false">COUNTIF(Instrumentos!P8:P47,"Em dia")</f>
        <v>0</v>
      </c>
      <c r="D7" s="26" t="s">
        <v>129</v>
      </c>
      <c r="E7" s="26"/>
      <c r="F7" s="26"/>
    </row>
    <row r="8" customFormat="false" ht="21.75" hidden="false" customHeight="true" outlineLevel="0" collapsed="false">
      <c r="B8" s="4" t="s">
        <v>18</v>
      </c>
      <c r="C8" s="25" t="n">
        <f aca="false">COUNTIF(Instrumentos!P8:P47,"Vence em breve")</f>
        <v>0</v>
      </c>
      <c r="D8" s="26" t="s">
        <v>130</v>
      </c>
      <c r="E8" s="26"/>
      <c r="F8" s="26"/>
    </row>
    <row r="9" customFormat="false" ht="21.75" hidden="false" customHeight="true" outlineLevel="0" collapsed="false">
      <c r="B9" s="4" t="s">
        <v>20</v>
      </c>
      <c r="C9" s="25" t="n">
        <f aca="false">COUNTIF(Instrumentos!P8:P47,"Vencido")</f>
        <v>0</v>
      </c>
      <c r="D9" s="26" t="s">
        <v>131</v>
      </c>
      <c r="E9" s="26"/>
      <c r="F9" s="26"/>
    </row>
    <row r="10" customFormat="false" ht="21.75" hidden="false" customHeight="true" outlineLevel="0" collapsed="false">
      <c r="B10" s="4" t="s">
        <v>22</v>
      </c>
      <c r="C10" s="25" t="n">
        <f aca="false">COUNTIF(Instrumentos!P8:P47,"Sem calibração")</f>
        <v>0</v>
      </c>
      <c r="D10" s="26" t="s">
        <v>132</v>
      </c>
      <c r="E10" s="26"/>
      <c r="F10" s="26"/>
    </row>
    <row r="11" customFormat="false" ht="21.75" hidden="false" customHeight="true" outlineLevel="0" collapsed="false">
      <c r="B11" s="4" t="s">
        <v>24</v>
      </c>
      <c r="C11" s="25" t="n">
        <f aca="false">COUNTIF(Instrumentos!P8:P47,"Fora de uso")</f>
        <v>0</v>
      </c>
      <c r="D11" s="26" t="s">
        <v>133</v>
      </c>
      <c r="E11" s="26"/>
      <c r="F11" s="26"/>
    </row>
    <row r="12" customFormat="false" ht="21.75" hidden="false" customHeight="true" outlineLevel="0" collapsed="false">
      <c r="B12" s="4" t="s">
        <v>96</v>
      </c>
      <c r="C12" s="25" t="n">
        <f aca="false">COUNTIF(Instrumentos!Q8:Q47,"Resolução grossa")</f>
        <v>0</v>
      </c>
      <c r="D12" s="26" t="s">
        <v>134</v>
      </c>
      <c r="E12" s="26"/>
      <c r="F12" s="26"/>
    </row>
    <row r="13" customFormat="false" ht="21.75" hidden="false" customHeight="true" outlineLevel="0" collapsed="false">
      <c r="B13" s="4" t="s">
        <v>135</v>
      </c>
      <c r="C13" s="25" t="n">
        <f aca="false">COUNTA(Calibrações!D7:D86)</f>
        <v>0</v>
      </c>
      <c r="D13" s="26" t="s">
        <v>136</v>
      </c>
      <c r="E13" s="26"/>
      <c r="F13" s="26"/>
    </row>
    <row r="14" customFormat="false" ht="21.75" hidden="false" customHeight="true" outlineLevel="0" collapsed="false">
      <c r="B14" s="4" t="s">
        <v>137</v>
      </c>
      <c r="C14" s="25" t="n">
        <f aca="false">COUNTIF(Calibrações!L7:L86,"Reprovado")</f>
        <v>0</v>
      </c>
      <c r="D14" s="26" t="s">
        <v>138</v>
      </c>
      <c r="E14" s="26"/>
      <c r="F14" s="26"/>
    </row>
    <row r="15" customFormat="false" ht="21.75" hidden="false" customHeight="true" outlineLevel="0" collapsed="false">
      <c r="B15" s="4" t="s">
        <v>139</v>
      </c>
      <c r="C15" s="25" t="n">
        <f aca="false">COUNTIF(Calibrações!O7:O86,"Falta avaliar os resultados anteriores")</f>
        <v>0</v>
      </c>
      <c r="D15" s="26" t="s">
        <v>140</v>
      </c>
      <c r="E15" s="26"/>
      <c r="F15" s="26"/>
    </row>
    <row r="16" customFormat="false" ht="21.75" hidden="false" customHeight="true" outlineLevel="0" collapsed="false">
      <c r="B16" s="4" t="s">
        <v>141</v>
      </c>
      <c r="C16" s="25" t="n">
        <f aca="false">SUMPRODUCT((Calibrações!O7:O86&lt;&gt;"")*(Calibrações!O7:O86&lt;&gt;"OK"))</f>
        <v>0</v>
      </c>
      <c r="D16" s="26" t="s">
        <v>142</v>
      </c>
      <c r="E16" s="26"/>
      <c r="F16" s="26"/>
    </row>
    <row r="18" customFormat="false" ht="21.75" hidden="false" customHeight="true" outlineLevel="0" collapsed="false">
      <c r="B18" s="18" t="s">
        <v>93</v>
      </c>
      <c r="C18" s="18"/>
      <c r="D18" s="18"/>
      <c r="E18" s="18"/>
      <c r="F18" s="18"/>
    </row>
    <row r="19" customFormat="false" ht="21.75" hidden="false" customHeight="true" outlineLevel="0" collapsed="false">
      <c r="B19" s="4" t="s">
        <v>97</v>
      </c>
      <c r="C19" s="21" t="str">
        <f aca="false">IF(C6=0,"Cadastre os instrumentos na aba Instrumentos",IF(C3="","Informe a data da leitura na aba Instrumentos",IF(C15&gt;0,"Há reprovado sem a avaliação dos resultados anteriores",IF(C9&gt;0,"Há instrumento vencido: bloquear até calibrar",IF(C10&gt;0,"Há instrumento sem calibração ou verificação",IF(C12&gt;0,"Há instrumento com resolução grossa para a tolerância",IF(C8&gt;0,"Há instrumento que vence em breve: programe",IF(C16&gt;0,"Há registro a completar","OK"))))))))</f>
        <v>Cadastre os instrumentos na aba Instrumentos</v>
      </c>
      <c r="D19" s="21"/>
      <c r="E19" s="21"/>
      <c r="F19" s="21"/>
    </row>
    <row r="21" customFormat="false" ht="15" hidden="false" customHeight="false" outlineLevel="0" collapsed="false">
      <c r="B21" s="21" t="s">
        <v>16</v>
      </c>
      <c r="C21" s="27" t="n">
        <f aca="false">COUNTIF(Instrumentos!P8:P47,B21)</f>
        <v>0</v>
      </c>
    </row>
    <row r="22" customFormat="false" ht="15" hidden="false" customHeight="false" outlineLevel="0" collapsed="false">
      <c r="B22" s="21" t="s">
        <v>18</v>
      </c>
      <c r="C22" s="27" t="n">
        <f aca="false">COUNTIF(Instrumentos!P8:P47,B22)</f>
        <v>0</v>
      </c>
    </row>
    <row r="23" customFormat="false" ht="15" hidden="false" customHeight="false" outlineLevel="0" collapsed="false">
      <c r="B23" s="21" t="s">
        <v>20</v>
      </c>
      <c r="C23" s="27" t="n">
        <f aca="false">COUNTIF(Instrumentos!P8:P47,B23)</f>
        <v>0</v>
      </c>
    </row>
    <row r="24" customFormat="false" ht="15" hidden="false" customHeight="false" outlineLevel="0" collapsed="false">
      <c r="B24" s="21" t="s">
        <v>22</v>
      </c>
      <c r="C24" s="27" t="n">
        <f aca="false">COUNTIF(Instrumentos!P8:P47,B24)</f>
        <v>0</v>
      </c>
    </row>
    <row r="25" customFormat="false" ht="15" hidden="false" customHeight="false" outlineLevel="0" collapsed="false">
      <c r="B25" s="21" t="s">
        <v>24</v>
      </c>
      <c r="C25" s="27" t="n">
        <f aca="false">COUNTIF(Instrumentos!P8:P47,B25)</f>
        <v>0</v>
      </c>
    </row>
  </sheetData>
  <mergeCells count="16">
    <mergeCell ref="B1:F1"/>
    <mergeCell ref="B2:F2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B18:F18"/>
    <mergeCell ref="C19:F19"/>
  </mergeCells>
  <conditionalFormatting sqref="C19:F19">
    <cfRule type="expression" priority="2" aboveAverage="0" equalAverage="0" bottom="0" percent="0" rank="0" text="" dxfId="0">
      <formula>OR(C19="OK")</formula>
    </cfRule>
    <cfRule type="expression" priority="3" aboveAverage="0" equalAverage="0" bottom="0" percent="0" rank="0" text="" dxfId="4">
      <formula>AND(LEN(C19)&gt;0,NOT(OR(C19="OK")))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143</v>
      </c>
      <c r="C1" s="1"/>
      <c r="D1" s="1"/>
      <c r="E1" s="1"/>
    </row>
    <row r="2" customFormat="false" ht="19.5" hidden="false" customHeight="true" outlineLevel="0" collapsed="false">
      <c r="B2" s="2" t="s">
        <v>144</v>
      </c>
      <c r="C2" s="2"/>
      <c r="D2" s="2"/>
      <c r="E2" s="2"/>
    </row>
    <row r="4" customFormat="false" ht="21.75" hidden="false" customHeight="true" outlineLevel="0" collapsed="false">
      <c r="B4" s="10" t="s">
        <v>69</v>
      </c>
      <c r="C4" s="10" t="s">
        <v>145</v>
      </c>
      <c r="D4" s="10" t="s">
        <v>146</v>
      </c>
      <c r="E4" s="10" t="s">
        <v>147</v>
      </c>
    </row>
    <row r="5" customFormat="false" ht="30" hidden="false" customHeight="true" outlineLevel="0" collapsed="false">
      <c r="B5" s="12" t="n">
        <v>1</v>
      </c>
      <c r="C5" s="6" t="s">
        <v>148</v>
      </c>
      <c r="D5" s="13"/>
      <c r="E5" s="5"/>
    </row>
    <row r="6" customFormat="false" ht="30" hidden="false" customHeight="true" outlineLevel="0" collapsed="false">
      <c r="B6" s="12" t="n">
        <v>2</v>
      </c>
      <c r="C6" s="6" t="s">
        <v>149</v>
      </c>
      <c r="D6" s="13"/>
      <c r="E6" s="5"/>
    </row>
    <row r="7" customFormat="false" ht="30" hidden="false" customHeight="true" outlineLevel="0" collapsed="false">
      <c r="B7" s="12" t="n">
        <v>3</v>
      </c>
      <c r="C7" s="6" t="s">
        <v>150</v>
      </c>
      <c r="D7" s="13"/>
      <c r="E7" s="5"/>
    </row>
    <row r="8" customFormat="false" ht="30" hidden="false" customHeight="true" outlineLevel="0" collapsed="false">
      <c r="B8" s="12" t="n">
        <v>4</v>
      </c>
      <c r="C8" s="6" t="s">
        <v>151</v>
      </c>
      <c r="D8" s="13"/>
      <c r="E8" s="5"/>
    </row>
    <row r="9" customFormat="false" ht="30" hidden="false" customHeight="true" outlineLevel="0" collapsed="false">
      <c r="B9" s="12" t="n">
        <v>5</v>
      </c>
      <c r="C9" s="6" t="s">
        <v>152</v>
      </c>
      <c r="D9" s="13"/>
      <c r="E9" s="5"/>
    </row>
    <row r="10" customFormat="false" ht="30" hidden="false" customHeight="true" outlineLevel="0" collapsed="false">
      <c r="B10" s="12" t="n">
        <v>6</v>
      </c>
      <c r="C10" s="6" t="s">
        <v>153</v>
      </c>
      <c r="D10" s="13"/>
      <c r="E10" s="5"/>
    </row>
    <row r="11" customFormat="false" ht="30" hidden="false" customHeight="true" outlineLevel="0" collapsed="false">
      <c r="B11" s="12" t="n">
        <v>7</v>
      </c>
      <c r="C11" s="6" t="s">
        <v>154</v>
      </c>
      <c r="D11" s="13"/>
      <c r="E11" s="5"/>
    </row>
    <row r="12" customFormat="false" ht="30" hidden="false" customHeight="true" outlineLevel="0" collapsed="false">
      <c r="B12" s="12" t="n">
        <v>8</v>
      </c>
      <c r="C12" s="6" t="s">
        <v>155</v>
      </c>
      <c r="D12" s="13"/>
      <c r="E12" s="5"/>
    </row>
    <row r="13" customFormat="false" ht="30" hidden="false" customHeight="true" outlineLevel="0" collapsed="false">
      <c r="B13" s="12" t="n">
        <v>9</v>
      </c>
      <c r="C13" s="6" t="s">
        <v>156</v>
      </c>
      <c r="D13" s="13"/>
      <c r="E13" s="5"/>
    </row>
    <row r="14" customFormat="false" ht="30" hidden="false" customHeight="true" outlineLevel="0" collapsed="false">
      <c r="B14" s="12" t="n">
        <v>10</v>
      </c>
      <c r="C14" s="6" t="s">
        <v>157</v>
      </c>
      <c r="D14" s="13"/>
      <c r="E14" s="5"/>
    </row>
    <row r="15" customFormat="false" ht="30" hidden="false" customHeight="true" outlineLevel="0" collapsed="false">
      <c r="B15" s="12" t="n">
        <v>11</v>
      </c>
      <c r="C15" s="6" t="s">
        <v>158</v>
      </c>
      <c r="D15" s="13"/>
      <c r="E15" s="5"/>
    </row>
    <row r="16" customFormat="false" ht="30" hidden="false" customHeight="true" outlineLevel="0" collapsed="false">
      <c r="B16" s="12" t="n">
        <v>12</v>
      </c>
      <c r="C16" s="6" t="s">
        <v>159</v>
      </c>
      <c r="D16" s="13"/>
      <c r="E16" s="5"/>
    </row>
    <row r="18" customFormat="false" ht="21.75" hidden="false" customHeight="true" outlineLevel="0" collapsed="false">
      <c r="B18" s="18" t="s">
        <v>93</v>
      </c>
      <c r="C18" s="18"/>
      <c r="D18" s="18"/>
      <c r="E18" s="18"/>
    </row>
    <row r="19" customFormat="false" ht="19.5" hidden="false" customHeight="true" outlineLevel="0" collapsed="false">
      <c r="B19" s="19" t="s">
        <v>160</v>
      </c>
      <c r="C19" s="19"/>
      <c r="D19" s="25" t="n">
        <f aca="false">COUNTIF(D5:D16,"Sim")</f>
        <v>0</v>
      </c>
    </row>
    <row r="20" customFormat="false" ht="19.5" hidden="false" customHeight="true" outlineLevel="0" collapsed="false">
      <c r="B20" s="19" t="s">
        <v>161</v>
      </c>
      <c r="C20" s="19"/>
      <c r="D20" s="25" t="n">
        <f aca="false">COUNTIF(D5:D16,"Parcial")</f>
        <v>0</v>
      </c>
    </row>
    <row r="21" customFormat="false" ht="19.5" hidden="false" customHeight="true" outlineLevel="0" collapsed="false">
      <c r="B21" s="19" t="s">
        <v>162</v>
      </c>
      <c r="C21" s="19"/>
      <c r="D21" s="25" t="n">
        <f aca="false">COUNTIF(D5:D16,"Não")</f>
        <v>0</v>
      </c>
    </row>
    <row r="22" customFormat="false" ht="19.5" hidden="false" customHeight="true" outlineLevel="0" collapsed="false">
      <c r="B22" s="19" t="s">
        <v>163</v>
      </c>
      <c r="C22" s="19"/>
      <c r="D22" s="25" t="n">
        <f aca="false">COUNTBLANK(D5:D16)</f>
        <v>12</v>
      </c>
    </row>
    <row r="23" customFormat="false" ht="19.5" hidden="false" customHeight="true" outlineLevel="0" collapsed="false">
      <c r="B23" s="19" t="s">
        <v>164</v>
      </c>
      <c r="C23" s="19"/>
      <c r="D23" s="28" t="n">
        <f aca="false">D19/ROWS(D5:D16)</f>
        <v>0</v>
      </c>
    </row>
    <row r="24" customFormat="false" ht="19.5" hidden="false" customHeight="true" outlineLevel="0" collapsed="false">
      <c r="B24" s="19" t="s">
        <v>82</v>
      </c>
      <c r="C24" s="19"/>
      <c r="D24" s="25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4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6" min="15" style="0" width="15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165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167</v>
      </c>
      <c r="C4" s="4"/>
      <c r="D4" s="29" t="s">
        <v>168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customFormat="false" ht="19.5" hidden="false" customHeight="true" outlineLevel="0" collapsed="false">
      <c r="B5" s="4" t="s">
        <v>169</v>
      </c>
      <c r="C5" s="4"/>
      <c r="D5" s="29" t="s">
        <v>170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customFormat="false" ht="19.5" hidden="false" customHeight="true" outlineLevel="0" collapsed="false">
      <c r="B6" s="4" t="s">
        <v>171</v>
      </c>
      <c r="C6" s="4"/>
      <c r="D6" s="29" t="s">
        <v>172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customFormat="false" ht="19.5" hidden="false" customHeight="true" outlineLevel="0" collapsed="false">
      <c r="B7" s="4" t="s">
        <v>173</v>
      </c>
      <c r="C7" s="4"/>
      <c r="D7" s="29" t="s">
        <v>174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</row>
    <row r="8" customFormat="false" ht="15" hidden="false" customHeight="true" outlineLevel="0" collapsed="false">
      <c r="B8" s="4" t="s">
        <v>67</v>
      </c>
      <c r="C8" s="4"/>
      <c r="D8" s="30" t="n">
        <v>46477</v>
      </c>
    </row>
    <row r="10" customFormat="false" ht="21.75" hidden="false" customHeight="true" outlineLevel="0" collapsed="false">
      <c r="B10" s="31" t="s">
        <v>44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Format="false" ht="30" hidden="false" customHeight="true" outlineLevel="0" collapsed="false">
      <c r="B11" s="25" t="s">
        <v>70</v>
      </c>
      <c r="C11" s="25" t="s">
        <v>71</v>
      </c>
      <c r="D11" s="25" t="s">
        <v>72</v>
      </c>
      <c r="E11" s="25" t="s">
        <v>73</v>
      </c>
      <c r="F11" s="25" t="s">
        <v>175</v>
      </c>
      <c r="G11" s="25" t="s">
        <v>57</v>
      </c>
      <c r="H11" s="25" t="s">
        <v>75</v>
      </c>
      <c r="I11" s="25" t="s">
        <v>76</v>
      </c>
      <c r="J11" s="25" t="s">
        <v>176</v>
      </c>
      <c r="K11" s="25" t="s">
        <v>78</v>
      </c>
      <c r="L11" s="25" t="s">
        <v>177</v>
      </c>
      <c r="M11" s="25" t="s">
        <v>178</v>
      </c>
      <c r="N11" s="25" t="s">
        <v>81</v>
      </c>
      <c r="O11" s="25" t="s">
        <v>82</v>
      </c>
      <c r="P11" s="25" t="s">
        <v>26</v>
      </c>
      <c r="Q11" s="25" t="s">
        <v>83</v>
      </c>
    </row>
    <row r="12" customFormat="false" ht="30.75" hidden="false" customHeight="true" outlineLevel="0" collapsed="false">
      <c r="B12" s="32" t="s">
        <v>84</v>
      </c>
      <c r="C12" s="33" t="s">
        <v>116</v>
      </c>
      <c r="D12" s="7" t="s">
        <v>179</v>
      </c>
      <c r="E12" s="7" t="s">
        <v>180</v>
      </c>
      <c r="F12" s="34" t="s">
        <v>181</v>
      </c>
      <c r="G12" s="35" t="n">
        <v>5</v>
      </c>
      <c r="H12" s="35" t="n">
        <v>0.1</v>
      </c>
      <c r="I12" s="36" t="s">
        <v>182</v>
      </c>
      <c r="J12" s="34" t="n">
        <v>1</v>
      </c>
      <c r="K12" s="37" t="n">
        <v>46451</v>
      </c>
      <c r="L12" s="35" t="n">
        <v>1</v>
      </c>
      <c r="M12" s="34" t="s">
        <v>183</v>
      </c>
      <c r="N12" s="15" t="n">
        <f aca="false">IF(OR(K12="",J12=""),"",EDATE(K12,J12))</f>
        <v>46482</v>
      </c>
      <c r="O12" s="16" t="str">
        <f aca="false">IF(B12="","",IF(M12="Não","Fora de uso",IF(K12="","Sem calibração",IF(AND(ISNUMBER($D$8),N12&lt;$D$8),"Vencido",IF(AND(ISNUMBER($D$8),N12-$D$8&lt;MIN(30,(N12-K12)/4)),"Vence em breve","Em dia")))))</f>
        <v>Vence em breve</v>
      </c>
      <c r="P12" s="17" t="str">
        <f aca="false">IF(OR(G12="",H12=""),"",IF(H12&lt;=G12/10+0.000000001,"Adequado","Resolução grossa"))</f>
        <v>Adequado</v>
      </c>
      <c r="Q12" s="17" t="str">
        <f aca="false">IF(B12="","",IF(E12="","Falta o que mede",IF(I12="","Falta o tipo de controle",IF(J12="","Falta o intervalo",IF(L12="","Falta o erro máximo admissível",IF(O12="Fora de uso","Fora de uso",IF(O12="Vencido","Vencido: bloquear ou calibrar",IF(O12="Sem calibração","Sem calibração ou verificação",IF(P12="Resolução grossa","Resolução grossa para a tolerância","OK")))))))))</f>
        <v>OK</v>
      </c>
    </row>
    <row r="13" customFormat="false" ht="30.75" hidden="false" customHeight="true" outlineLevel="0" collapsed="false">
      <c r="B13" s="32" t="s">
        <v>184</v>
      </c>
      <c r="C13" s="33" t="s">
        <v>185</v>
      </c>
      <c r="D13" s="7" t="s">
        <v>186</v>
      </c>
      <c r="E13" s="7" t="s">
        <v>187</v>
      </c>
      <c r="F13" s="34" t="s">
        <v>181</v>
      </c>
      <c r="G13" s="35" t="n">
        <v>5</v>
      </c>
      <c r="H13" s="35" t="n">
        <v>0.1</v>
      </c>
      <c r="I13" s="36" t="s">
        <v>182</v>
      </c>
      <c r="J13" s="34" t="n">
        <v>3</v>
      </c>
      <c r="K13" s="37" t="n">
        <v>46461</v>
      </c>
      <c r="L13" s="35" t="n">
        <v>1</v>
      </c>
      <c r="M13" s="34" t="s">
        <v>188</v>
      </c>
      <c r="N13" s="15" t="n">
        <f aca="false">IF(OR(K13="",J13=""),"",EDATE(K13,J13))</f>
        <v>46553</v>
      </c>
      <c r="O13" s="16" t="str">
        <f aca="false">IF(B13="","",IF(M13="Não","Fora de uso",IF(K13="","Sem calibração",IF(AND(ISNUMBER($D$8),N13&lt;$D$8),"Vencido",IF(AND(ISNUMBER($D$8),N13-$D$8&lt;MIN(30,(N13-K13)/4)),"Vence em breve","Em dia")))))</f>
        <v>Fora de uso</v>
      </c>
      <c r="P13" s="17" t="str">
        <f aca="false">IF(OR(G13="",H13=""),"",IF(H13&lt;=G13/10+0.000000001,"Adequado","Resolução grossa"))</f>
        <v>Adequado</v>
      </c>
      <c r="Q13" s="17" t="str">
        <f aca="false">IF(B13="","",IF(E13="","Falta o que mede",IF(I13="","Falta o tipo de controle",IF(J13="","Falta o intervalo",IF(L13="","Falta o erro máximo admissível",IF(O13="Fora de uso","Fora de uso",IF(O13="Vencido","Vencido: bloquear ou calibrar",IF(O13="Sem calibração","Sem calibração ou verificação",IF(P13="Resolução grossa","Resolução grossa para a tolerância","OK")))))))))</f>
        <v>Fora de uso</v>
      </c>
    </row>
    <row r="14" customFormat="false" ht="30.75" hidden="false" customHeight="true" outlineLevel="0" collapsed="false">
      <c r="B14" s="32" t="s">
        <v>189</v>
      </c>
      <c r="C14" s="33" t="s">
        <v>190</v>
      </c>
      <c r="D14" s="7" t="s">
        <v>191</v>
      </c>
      <c r="E14" s="7" t="s">
        <v>192</v>
      </c>
      <c r="F14" s="34" t="s">
        <v>181</v>
      </c>
      <c r="G14" s="35" t="n">
        <v>40</v>
      </c>
      <c r="H14" s="35" t="n">
        <v>1</v>
      </c>
      <c r="I14" s="36" t="s">
        <v>193</v>
      </c>
      <c r="J14" s="34" t="n">
        <v>12</v>
      </c>
      <c r="K14" s="37" t="n">
        <v>46188</v>
      </c>
      <c r="L14" s="35" t="n">
        <v>5</v>
      </c>
      <c r="M14" s="34" t="s">
        <v>183</v>
      </c>
      <c r="N14" s="15" t="n">
        <f aca="false">IF(OR(K14="",J14=""),"",EDATE(K14,J14))</f>
        <v>46553</v>
      </c>
      <c r="O14" s="16" t="str">
        <f aca="false">IF(B14="","",IF(M14="Não","Fora de uso",IF(K14="","Sem calibração",IF(AND(ISNUMBER($D$8),N14&lt;$D$8),"Vencido",IF(AND(ISNUMBER($D$8),N14-$D$8&lt;MIN(30,(N14-K14)/4)),"Vence em breve","Em dia")))))</f>
        <v>Em dia</v>
      </c>
      <c r="P14" s="17" t="str">
        <f aca="false">IF(OR(G14="",H14=""),"",IF(H14&lt;=G14/10+0.000000001,"Adequado","Resolução grossa"))</f>
        <v>Adequado</v>
      </c>
      <c r="Q14" s="17" t="str">
        <f aca="false">IF(B14="","",IF(E14="","Falta o que mede",IF(I14="","Falta o tipo de controle",IF(J14="","Falta o intervalo",IF(L14="","Falta o erro máximo admissível",IF(O14="Fora de uso","Fora de uso",IF(O14="Vencido","Vencido: bloquear ou calibrar",IF(O14="Sem calibração","Sem calibração ou verificação",IF(P14="Resolução grossa","Resolução grossa para a tolerância","OK")))))))))</f>
        <v>OK</v>
      </c>
    </row>
    <row r="15" customFormat="false" ht="30.75" hidden="false" customHeight="true" outlineLevel="0" collapsed="false">
      <c r="B15" s="32" t="s">
        <v>194</v>
      </c>
      <c r="C15" s="33" t="s">
        <v>195</v>
      </c>
      <c r="D15" s="7" t="s">
        <v>196</v>
      </c>
      <c r="E15" s="7" t="s">
        <v>197</v>
      </c>
      <c r="F15" s="34" t="s">
        <v>181</v>
      </c>
      <c r="G15" s="35" t="n">
        <v>2</v>
      </c>
      <c r="H15" s="35" t="n">
        <v>0.1</v>
      </c>
      <c r="I15" s="36" t="s">
        <v>182</v>
      </c>
      <c r="J15" s="34" t="n">
        <v>1</v>
      </c>
      <c r="K15" s="37"/>
      <c r="L15" s="35" t="n">
        <v>1</v>
      </c>
      <c r="M15" s="34" t="s">
        <v>183</v>
      </c>
      <c r="N15" s="15" t="str">
        <f aca="false">IF(OR(K15="",J15=""),"",EDATE(K15,J15))</f>
        <v/>
      </c>
      <c r="O15" s="16" t="str">
        <f aca="false">IF(B15="","",IF(M15="Não","Fora de uso",IF(K15="","Sem calibração",IF(AND(ISNUMBER($D$8),N15&lt;$D$8),"Vencido",IF(AND(ISNUMBER($D$8),N15-$D$8&lt;MIN(30,(N15-K15)/4)),"Vence em breve","Em dia")))))</f>
        <v>Sem calibração</v>
      </c>
      <c r="P15" s="17" t="str">
        <f aca="false">IF(OR(G15="",H15=""),"",IF(H15&lt;=G15/10+0.000000001,"Adequado","Resolução grossa"))</f>
        <v>Adequado</v>
      </c>
      <c r="Q15" s="17" t="str">
        <f aca="false">IF(B15="","",IF(E15="","Falta o que mede",IF(I15="","Falta o tipo de controle",IF(J15="","Falta o intervalo",IF(L15="","Falta o erro máximo admissível",IF(O15="Fora de uso","Fora de uso",IF(O15="Vencido","Vencido: bloquear ou calibrar",IF(O15="Sem calibração","Sem calibração ou verificação",IF(P15="Resolução grossa","Resolução grossa para a tolerância","OK")))))))))</f>
        <v>Sem calibração ou verificação</v>
      </c>
    </row>
    <row r="16" customFormat="false" ht="30.75" hidden="false" customHeight="true" outlineLevel="0" collapsed="false">
      <c r="B16" s="32" t="s">
        <v>198</v>
      </c>
      <c r="C16" s="33" t="s">
        <v>199</v>
      </c>
      <c r="D16" s="7" t="s">
        <v>186</v>
      </c>
      <c r="E16" s="7" t="s">
        <v>187</v>
      </c>
      <c r="F16" s="34" t="s">
        <v>181</v>
      </c>
      <c r="G16" s="35" t="n">
        <v>5</v>
      </c>
      <c r="H16" s="35" t="n">
        <v>0.1</v>
      </c>
      <c r="I16" s="36" t="s">
        <v>182</v>
      </c>
      <c r="J16" s="34" t="n">
        <v>3</v>
      </c>
      <c r="K16" s="37" t="n">
        <v>46461</v>
      </c>
      <c r="L16" s="35" t="n">
        <v>1</v>
      </c>
      <c r="M16" s="34" t="s">
        <v>183</v>
      </c>
      <c r="N16" s="15" t="n">
        <f aca="false">IF(OR(K16="",J16=""),"",EDATE(K16,J16))</f>
        <v>46553</v>
      </c>
      <c r="O16" s="16" t="str">
        <f aca="false">IF(B16="","",IF(M16="Não","Fora de uso",IF(K16="","Sem calibração",IF(AND(ISNUMBER($D$8),N16&lt;$D$8),"Vencido",IF(AND(ISNUMBER($D$8),N16-$D$8&lt;MIN(30,(N16-K16)/4)),"Vence em breve","Em dia")))))</f>
        <v>Em dia</v>
      </c>
      <c r="P16" s="17" t="str">
        <f aca="false">IF(OR(G16="",H16=""),"",IF(H16&lt;=G16/10+0.000000001,"Adequado","Resolução grossa"))</f>
        <v>Adequado</v>
      </c>
      <c r="Q16" s="17" t="str">
        <f aca="false">IF(B16="","",IF(E16="","Falta o que mede",IF(I16="","Falta o tipo de controle",IF(J16="","Falta o intervalo",IF(L16="","Falta o erro máximo admissível",IF(O16="Fora de uso","Fora de uso",IF(O16="Vencido","Vencido: bloquear ou calibrar",IF(O16="Sem calibração","Sem calibração ou verificação",IF(P16="Resolução grossa","Resolução grossa para a tolerância","OK")))))))))</f>
        <v>OK</v>
      </c>
    </row>
    <row r="17" customFormat="false" ht="30.75" hidden="false" customHeight="true" outlineLevel="0" collapsed="false">
      <c r="B17" s="32" t="s">
        <v>200</v>
      </c>
      <c r="C17" s="33" t="s">
        <v>201</v>
      </c>
      <c r="D17" s="7" t="s">
        <v>202</v>
      </c>
      <c r="E17" s="7" t="s">
        <v>203</v>
      </c>
      <c r="F17" s="34" t="s">
        <v>204</v>
      </c>
      <c r="G17" s="35" t="n">
        <v>40</v>
      </c>
      <c r="H17" s="35" t="n">
        <v>1</v>
      </c>
      <c r="I17" s="36" t="s">
        <v>182</v>
      </c>
      <c r="J17" s="34" t="n">
        <v>1</v>
      </c>
      <c r="K17" s="37" t="n">
        <v>46447</v>
      </c>
      <c r="L17" s="35" t="n">
        <v>2</v>
      </c>
      <c r="M17" s="34" t="s">
        <v>183</v>
      </c>
      <c r="N17" s="15" t="n">
        <f aca="false">IF(OR(K17="",J17=""),"",EDATE(K17,J17))</f>
        <v>46478</v>
      </c>
      <c r="O17" s="16" t="str">
        <f aca="false">IF(B17="","",IF(M17="Não","Fora de uso",IF(K17="","Sem calibração",IF(AND(ISNUMBER($D$8),N17&lt;$D$8),"Vencido",IF(AND(ISNUMBER($D$8),N17-$D$8&lt;MIN(30,(N17-K17)/4)),"Vence em breve","Em dia")))))</f>
        <v>Vence em breve</v>
      </c>
      <c r="P17" s="17" t="str">
        <f aca="false">IF(OR(G17="",H17=""),"",IF(H17&lt;=G17/10+0.000000001,"Adequado","Resolução grossa"))</f>
        <v>Adequado</v>
      </c>
      <c r="Q17" s="17" t="str">
        <f aca="false">IF(B17="","",IF(E17="","Falta o que mede",IF(I17="","Falta o tipo de controle",IF(J17="","Falta o intervalo",IF(L17="","Falta o erro máximo admissível",IF(O17="Fora de uso","Fora de uso",IF(O17="Vencido","Vencido: bloquear ou calibrar",IF(O17="Sem calibração","Sem calibração ou verificação",IF(P17="Resolução grossa","Resolução grossa para a tolerância","OK")))))))))</f>
        <v>OK</v>
      </c>
    </row>
    <row r="18" customFormat="false" ht="21.75" hidden="false" customHeight="true" outlineLevel="0" collapsed="false">
      <c r="B18" s="32" t="s">
        <v>205</v>
      </c>
      <c r="C18" s="33" t="s">
        <v>206</v>
      </c>
      <c r="D18" s="7" t="s">
        <v>196</v>
      </c>
      <c r="E18" s="7" t="s">
        <v>207</v>
      </c>
      <c r="F18" s="34" t="s">
        <v>204</v>
      </c>
      <c r="G18" s="35" t="n">
        <v>200</v>
      </c>
      <c r="H18" s="35" t="n">
        <v>5</v>
      </c>
      <c r="I18" s="36" t="s">
        <v>193</v>
      </c>
      <c r="J18" s="34" t="n">
        <v>12</v>
      </c>
      <c r="K18" s="37" t="n">
        <v>46407</v>
      </c>
      <c r="L18" s="35" t="n">
        <v>10</v>
      </c>
      <c r="M18" s="34" t="s">
        <v>183</v>
      </c>
      <c r="N18" s="15" t="n">
        <f aca="false">IF(OR(K18="",J18=""),"",EDATE(K18,J18))</f>
        <v>46772</v>
      </c>
      <c r="O18" s="16" t="str">
        <f aca="false">IF(B18="","",IF(M18="Não","Fora de uso",IF(K18="","Sem calibração",IF(AND(ISNUMBER($D$8),N18&lt;$D$8),"Vencido",IF(AND(ISNUMBER($D$8),N18-$D$8&lt;MIN(30,(N18-K18)/4)),"Vence em breve","Em dia")))))</f>
        <v>Em dia</v>
      </c>
      <c r="P18" s="17" t="str">
        <f aca="false">IF(OR(G18="",H18=""),"",IF(H18&lt;=G18/10+0.000000001,"Adequado","Resolução grossa"))</f>
        <v>Adequado</v>
      </c>
      <c r="Q18" s="17" t="str">
        <f aca="false">IF(B18="","",IF(E18="","Falta o que mede",IF(I18="","Falta o tipo de controle",IF(J18="","Falta o intervalo",IF(L18="","Falta o erro máximo admissível",IF(O18="Fora de uso","Fora de uso",IF(O18="Vencido","Vencido: bloquear ou calibrar",IF(O18="Sem calibração","Sem calibração ou verificação",IF(P18="Resolução grossa","Resolução grossa para a tolerância","OK")))))))))</f>
        <v>OK</v>
      </c>
    </row>
    <row r="20" customFormat="false" ht="21.75" hidden="false" customHeight="true" outlineLevel="0" collapsed="false">
      <c r="B20" s="38" t="s">
        <v>98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customFormat="false" ht="30" hidden="false" customHeight="true" outlineLevel="0" collapsed="false">
      <c r="B21" s="25" t="s">
        <v>91</v>
      </c>
      <c r="C21" s="25" t="s">
        <v>208</v>
      </c>
      <c r="D21" s="25" t="s">
        <v>100</v>
      </c>
      <c r="E21" s="39" t="s">
        <v>209</v>
      </c>
      <c r="F21" s="39"/>
      <c r="G21" s="25" t="s">
        <v>103</v>
      </c>
      <c r="H21" s="25" t="s">
        <v>104</v>
      </c>
      <c r="I21" s="25" t="s">
        <v>105</v>
      </c>
      <c r="J21" s="39" t="s">
        <v>28</v>
      </c>
      <c r="K21" s="39"/>
      <c r="L21" s="39" t="s">
        <v>210</v>
      </c>
      <c r="M21" s="39"/>
      <c r="N21" s="39"/>
      <c r="O21" s="39" t="s">
        <v>211</v>
      </c>
      <c r="P21" s="39"/>
      <c r="Q21" s="25" t="s">
        <v>83</v>
      </c>
    </row>
    <row r="22" customFormat="false" ht="30.75" hidden="false" customHeight="true" outlineLevel="0" collapsed="false">
      <c r="B22" s="37" t="n">
        <v>46188</v>
      </c>
      <c r="C22" s="7" t="s">
        <v>212</v>
      </c>
      <c r="D22" s="34" t="s">
        <v>213</v>
      </c>
      <c r="E22" s="40" t="s">
        <v>214</v>
      </c>
      <c r="F22" s="40"/>
      <c r="G22" s="35" t="n">
        <v>-3</v>
      </c>
      <c r="H22" s="35" t="n">
        <v>1.5</v>
      </c>
      <c r="I22" s="23" t="n">
        <f aca="false">IFERROR(INDEX($L$12:$L$18,MATCH(LEFT(C22,FIND(" ·",C22)-1),$B$12:$B$18,0)),"")</f>
        <v>5</v>
      </c>
      <c r="J22" s="41" t="str">
        <f aca="false">IF(OR(C22="",G22="",I22=""),"",IF(ABS(G22)+N(H22)&lt;=I22+0.000000001,"Aprovado","Reprovado"))</f>
        <v>Aprovado</v>
      </c>
      <c r="K22" s="41"/>
      <c r="L22" s="40"/>
      <c r="M22" s="40"/>
      <c r="N22" s="40"/>
      <c r="O22" s="40"/>
      <c r="P22" s="40"/>
      <c r="Q22" s="17" t="str">
        <f aca="false">IF(LEFT(C22,FIND(" ·",C22)-1)="",IF(1&gt;0,"Falta o instrumento",""),IF(ISNA(MATCH(LEFT(C22,FIND(" ·",C22)-1),$B$12:$B$18,0)),"Instrumento não cadastrado",IF(I22="","Falta o critério no cadastro",IF(E22="","Falta o registro",IF(G22="","Falta o erro encontrado",IF(AND(J22="Reprovado",L22=""),"Falta a ação",IF(AND(J22="Reprovado",O22=""),"Falta avaliar os resultados anteriores","OK")))))))</f>
        <v>OK</v>
      </c>
    </row>
    <row r="23" customFormat="false" ht="30.75" hidden="false" customHeight="true" outlineLevel="0" collapsed="false">
      <c r="B23" s="37" t="n">
        <v>46407</v>
      </c>
      <c r="C23" s="7" t="s">
        <v>215</v>
      </c>
      <c r="D23" s="34" t="s">
        <v>213</v>
      </c>
      <c r="E23" s="40" t="s">
        <v>216</v>
      </c>
      <c r="F23" s="40"/>
      <c r="G23" s="35" t="n">
        <v>5</v>
      </c>
      <c r="H23" s="35" t="n">
        <v>3</v>
      </c>
      <c r="I23" s="23" t="n">
        <f aca="false">IFERROR(INDEX($L$12:$L$18,MATCH(LEFT(C23,FIND(" ·",C23)-1),$B$12:$B$18,0)),"")</f>
        <v>10</v>
      </c>
      <c r="J23" s="41" t="str">
        <f aca="false">IF(OR(C23="",G23="",I23=""),"",IF(ABS(G23)+N(H23)&lt;=I23+0.000000001,"Aprovado","Reprovado"))</f>
        <v>Aprovado</v>
      </c>
      <c r="K23" s="41"/>
      <c r="L23" s="40"/>
      <c r="M23" s="40"/>
      <c r="N23" s="40"/>
      <c r="O23" s="40"/>
      <c r="P23" s="40"/>
      <c r="Q23" s="17" t="str">
        <f aca="false">IF(LEFT(C23,FIND(" ·",C23)-1)="",IF(1&gt;0,"Falta o instrumento",""),IF(ISNA(MATCH(LEFT(C23,FIND(" ·",C23)-1),$B$12:$B$18,0)),"Instrumento não cadastrado",IF(I23="","Falta o critério no cadastro",IF(E23="","Falta o registro",IF(G23="","Falta o erro encontrado",IF(AND(J23="Reprovado",L23=""),"Falta a ação",IF(AND(J23="Reprovado",O23=""),"Falta avaliar os resultados anteriores","OK")))))))</f>
        <v>OK</v>
      </c>
    </row>
    <row r="24" customFormat="false" ht="30.75" hidden="false" customHeight="true" outlineLevel="0" collapsed="false">
      <c r="B24" s="37" t="n">
        <v>46447</v>
      </c>
      <c r="C24" s="7" t="s">
        <v>217</v>
      </c>
      <c r="D24" s="34" t="s">
        <v>117</v>
      </c>
      <c r="E24" s="40" t="s">
        <v>218</v>
      </c>
      <c r="F24" s="40"/>
      <c r="G24" s="35" t="n">
        <v>1</v>
      </c>
      <c r="H24" s="35" t="n">
        <v>0.5</v>
      </c>
      <c r="I24" s="23" t="n">
        <f aca="false">IFERROR(INDEX($L$12:$L$18,MATCH(LEFT(C24,FIND(" ·",C24)-1),$B$12:$B$18,0)),"")</f>
        <v>2</v>
      </c>
      <c r="J24" s="41" t="str">
        <f aca="false">IF(OR(C24="",G24="",I24=""),"",IF(ABS(G24)+N(H24)&lt;=I24+0.000000001,"Aprovado","Reprovado"))</f>
        <v>Aprovado</v>
      </c>
      <c r="K24" s="41"/>
      <c r="L24" s="40"/>
      <c r="M24" s="40"/>
      <c r="N24" s="40"/>
      <c r="O24" s="40"/>
      <c r="P24" s="40"/>
      <c r="Q24" s="17" t="str">
        <f aca="false">IF(LEFT(C24,FIND(" ·",C24)-1)="",IF(1&gt;0,"Falta o instrumento",""),IF(ISNA(MATCH(LEFT(C24,FIND(" ·",C24)-1),$B$12:$B$18,0)),"Instrumento não cadastrado",IF(I24="","Falta o critério no cadastro",IF(E24="","Falta o registro",IF(G24="","Falta o erro encontrado",IF(AND(J24="Reprovado",L24=""),"Falta a ação",IF(AND(J24="Reprovado",O24=""),"Falta avaliar os resultados anteriores","OK")))))))</f>
        <v>OK</v>
      </c>
    </row>
    <row r="25" customFormat="false" ht="30.75" hidden="false" customHeight="true" outlineLevel="0" collapsed="false">
      <c r="B25" s="37" t="n">
        <v>46451</v>
      </c>
      <c r="C25" s="7" t="s">
        <v>219</v>
      </c>
      <c r="D25" s="34" t="s">
        <v>117</v>
      </c>
      <c r="E25" s="40" t="s">
        <v>220</v>
      </c>
      <c r="F25" s="40"/>
      <c r="G25" s="35" t="n">
        <v>0.3</v>
      </c>
      <c r="H25" s="35" t="n">
        <v>0.2</v>
      </c>
      <c r="I25" s="23" t="n">
        <f aca="false">IFERROR(INDEX($L$12:$L$18,MATCH(LEFT(C25,FIND(" ·",C25)-1),$B$12:$B$18,0)),"")</f>
        <v>1</v>
      </c>
      <c r="J25" s="41" t="str">
        <f aca="false">IF(OR(C25="",G25="",I25=""),"",IF(ABS(G25)+N(H25)&lt;=I25+0.000000001,"Aprovado","Reprovado"))</f>
        <v>Aprovado</v>
      </c>
      <c r="K25" s="41"/>
      <c r="L25" s="40"/>
      <c r="M25" s="40"/>
      <c r="N25" s="40"/>
      <c r="O25" s="40"/>
      <c r="P25" s="40"/>
      <c r="Q25" s="17" t="str">
        <f aca="false">IF(LEFT(C25,FIND(" ·",C25)-1)="",IF(1&gt;0,"Falta o instrumento",""),IF(ISNA(MATCH(LEFT(C25,FIND(" ·",C25)-1),$B$12:$B$18,0)),"Instrumento não cadastrado",IF(I25="","Falta o critério no cadastro",IF(E25="","Falta o registro",IF(G25="","Falta o erro encontrado",IF(AND(J25="Reprovado",L25=""),"Falta a ação",IF(AND(J25="Reprovado",O25=""),"Falta avaliar os resultados anteriores","OK")))))))</f>
        <v>OK</v>
      </c>
    </row>
    <row r="26" customFormat="false" ht="42.75" hidden="false" customHeight="true" outlineLevel="0" collapsed="false">
      <c r="B26" s="37" t="n">
        <v>46461</v>
      </c>
      <c r="C26" s="7" t="s">
        <v>221</v>
      </c>
      <c r="D26" s="34" t="s">
        <v>117</v>
      </c>
      <c r="E26" s="40" t="s">
        <v>222</v>
      </c>
      <c r="F26" s="40"/>
      <c r="G26" s="35" t="n">
        <v>-2</v>
      </c>
      <c r="H26" s="35" t="n">
        <v>0.3</v>
      </c>
      <c r="I26" s="23" t="n">
        <f aca="false">IFERROR(INDEX($L$12:$L$18,MATCH(LEFT(C26,FIND(" ·",C26)-1),$B$12:$B$18,0)),"")</f>
        <v>1</v>
      </c>
      <c r="J26" s="41" t="str">
        <f aca="false">IF(OR(C26="",G26="",I26=""),"",IF(ABS(G26)+N(H26)&lt;=I26+0.000000001,"Aprovado","Reprovado"))</f>
        <v>Reprovado</v>
      </c>
      <c r="K26" s="41"/>
      <c r="L26" s="40" t="s">
        <v>223</v>
      </c>
      <c r="M26" s="40"/>
      <c r="N26" s="40"/>
      <c r="O26" s="40"/>
      <c r="P26" s="40"/>
      <c r="Q26" s="17" t="str">
        <f aca="false">IF(LEFT(C26,FIND(" ·",C26)-1)="",IF(1&gt;0,"Falta o instrumento",""),IF(ISNA(MATCH(LEFT(C26,FIND(" ·",C26)-1),$B$12:$B$18,0)),"Instrumento não cadastrado",IF(I26="","Falta o critério no cadastro",IF(E26="","Falta o registro",IF(G26="","Falta o erro encontrado",IF(AND(J26="Reprovado",L26=""),"Falta a ação",IF(AND(J26="Reprovado",O26=""),"Falta avaliar os resultados anteriores","OK")))))))</f>
        <v>Falta avaliar os resultados anteriores</v>
      </c>
    </row>
    <row r="27" customFormat="false" ht="30.75" hidden="false" customHeight="true" outlineLevel="0" collapsed="false">
      <c r="B27" s="37" t="n">
        <v>46461</v>
      </c>
      <c r="C27" s="7" t="s">
        <v>224</v>
      </c>
      <c r="D27" s="34" t="s">
        <v>117</v>
      </c>
      <c r="E27" s="40" t="s">
        <v>222</v>
      </c>
      <c r="F27" s="40"/>
      <c r="G27" s="35" t="n">
        <v>0.2</v>
      </c>
      <c r="H27" s="35" t="n">
        <v>0.3</v>
      </c>
      <c r="I27" s="23" t="n">
        <f aca="false">IFERROR(INDEX($L$12:$L$18,MATCH(LEFT(C27,FIND(" ·",C27)-1),$B$12:$B$18,0)),"")</f>
        <v>1</v>
      </c>
      <c r="J27" s="41" t="str">
        <f aca="false">IF(OR(C27="",G27="",I27=""),"",IF(ABS(G27)+N(H27)&lt;=I27+0.000000001,"Aprovado","Reprovado"))</f>
        <v>Aprovado</v>
      </c>
      <c r="K27" s="41"/>
      <c r="L27" s="40"/>
      <c r="M27" s="40"/>
      <c r="N27" s="40"/>
      <c r="O27" s="40"/>
      <c r="P27" s="40"/>
      <c r="Q27" s="17" t="str">
        <f aca="false">IF(LEFT(C27,FIND(" ·",C27)-1)="",IF(1&gt;0,"Falta o instrumento",""),IF(ISNA(MATCH(LEFT(C27,FIND(" ·",C27)-1),$B$12:$B$18,0)),"Instrumento não cadastrado",IF(I27="","Falta o critério no cadastro",IF(E27="","Falta o registro",IF(G27="","Falta o erro encontrado",IF(AND(J27="Reprovado",L27=""),"Falta a ação",IF(AND(J27="Reprovado",O27=""),"Falta avaliar os resultados anteriores","OK")))))))</f>
        <v>OK</v>
      </c>
    </row>
    <row r="29" customFormat="false" ht="21.75" hidden="false" customHeight="true" outlineLevel="0" collapsed="false">
      <c r="B29" s="18" t="s">
        <v>93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customFormat="false" ht="21.75" hidden="false" customHeight="true" outlineLevel="0" collapsed="false">
      <c r="B30" s="19" t="s">
        <v>225</v>
      </c>
      <c r="C30" s="19"/>
      <c r="D30" s="19"/>
      <c r="E30" s="20" t="str">
        <f aca="false">COUNTIF(O12:O18,"Em dia")&amp;" em dia"&amp;", "&amp;COUNTIF(O12:O18,"Vence em breve")&amp;" vence em breve"&amp;", "&amp;COUNTIF(O12:O18,"Vencido")&amp;" vencido"&amp;", "&amp;COUNTIF(O12:O18,"Sem calibração")&amp;" sem calibração"&amp;", "&amp;COUNTIF(O12:O18,"Fora de uso")&amp;" fora de uso"</f>
        <v>3 em dia, 2 vence em breve, 0 vencido, 1 sem calibração, 1 fora de uso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customFormat="false" ht="21.75" hidden="false" customHeight="true" outlineLevel="0" collapsed="false">
      <c r="B31" s="19" t="s">
        <v>96</v>
      </c>
      <c r="C31" s="19"/>
      <c r="D31" s="19"/>
      <c r="E31" s="20" t="n">
        <f aca="false">COUNTIF(P12:P18,"Resolução grossa")</f>
        <v>0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21.75" hidden="false" customHeight="true" outlineLevel="0" collapsed="false">
      <c r="B32" s="19" t="s">
        <v>226</v>
      </c>
      <c r="C32" s="19"/>
      <c r="D32" s="19"/>
      <c r="E32" s="20" t="str">
        <f aca="false">COUNTIF(J22:J27,"Aprovado")&amp;" aprovados, "&amp;COUNTIF(J22:J27,"Reprovado")&amp;" reprovados"</f>
        <v>5 aprovados, 1 reprovados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customFormat="false" ht="21.75" hidden="false" customHeight="true" outlineLevel="0" collapsed="false">
      <c r="B33" s="19" t="s">
        <v>141</v>
      </c>
      <c r="C33" s="19"/>
      <c r="D33" s="19"/>
      <c r="E33" s="20" t="n">
        <f aca="false">SUMPRODUCT((Q22:Q27&lt;&gt;"OK")*1)</f>
        <v>1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</sheetData>
  <mergeCells count="50">
    <mergeCell ref="B1:Q1"/>
    <mergeCell ref="B2:Q2"/>
    <mergeCell ref="B4:C4"/>
    <mergeCell ref="D4:Q4"/>
    <mergeCell ref="B5:C5"/>
    <mergeCell ref="D5:Q5"/>
    <mergeCell ref="B6:C6"/>
    <mergeCell ref="D6:Q6"/>
    <mergeCell ref="B7:C7"/>
    <mergeCell ref="D7:Q7"/>
    <mergeCell ref="B8:C8"/>
    <mergeCell ref="B10:Q10"/>
    <mergeCell ref="B20:Q20"/>
    <mergeCell ref="E21:F21"/>
    <mergeCell ref="J21:K21"/>
    <mergeCell ref="L21:N21"/>
    <mergeCell ref="O21:P21"/>
    <mergeCell ref="E22:F22"/>
    <mergeCell ref="J22:K22"/>
    <mergeCell ref="L22:N22"/>
    <mergeCell ref="O22:P22"/>
    <mergeCell ref="E23:F23"/>
    <mergeCell ref="J23:K23"/>
    <mergeCell ref="L23:N23"/>
    <mergeCell ref="O23:P23"/>
    <mergeCell ref="E24:F24"/>
    <mergeCell ref="J24:K24"/>
    <mergeCell ref="L24:N24"/>
    <mergeCell ref="O24:P24"/>
    <mergeCell ref="E25:F25"/>
    <mergeCell ref="J25:K25"/>
    <mergeCell ref="L25:N25"/>
    <mergeCell ref="O25:P25"/>
    <mergeCell ref="E26:F26"/>
    <mergeCell ref="J26:K26"/>
    <mergeCell ref="L26:N26"/>
    <mergeCell ref="O26:P26"/>
    <mergeCell ref="E27:F27"/>
    <mergeCell ref="J27:K27"/>
    <mergeCell ref="L27:N27"/>
    <mergeCell ref="O27:P27"/>
    <mergeCell ref="B29:Q29"/>
    <mergeCell ref="B30:D30"/>
    <mergeCell ref="E30:Q30"/>
    <mergeCell ref="B31:D31"/>
    <mergeCell ref="E31:Q31"/>
    <mergeCell ref="B32:D32"/>
    <mergeCell ref="E32:Q32"/>
    <mergeCell ref="B33:D33"/>
    <mergeCell ref="E33:Q33"/>
  </mergeCells>
  <conditionalFormatting sqref="O12:O18">
    <cfRule type="expression" priority="2" aboveAverage="0" equalAverage="0" bottom="0" percent="0" rank="0" text="" dxfId="0">
      <formula>O12="Em dia"</formula>
    </cfRule>
    <cfRule type="expression" priority="3" aboveAverage="0" equalAverage="0" bottom="0" percent="0" rank="0" text="" dxfId="1">
      <formula>O12="Vence em breve"</formula>
    </cfRule>
    <cfRule type="expression" priority="4" aboveAverage="0" equalAverage="0" bottom="0" percent="0" rank="0" text="" dxfId="2">
      <formula>O12="Vencido"</formula>
    </cfRule>
    <cfRule type="expression" priority="5" aboveAverage="0" equalAverage="0" bottom="0" percent="0" rank="0" text="" dxfId="2">
      <formula>O12="Sem calibração"</formula>
    </cfRule>
    <cfRule type="expression" priority="6" aboveAverage="0" equalAverage="0" bottom="0" percent="0" rank="0" text="" dxfId="3">
      <formula>O12="Fora de uso"</formula>
    </cfRule>
  </conditionalFormatting>
  <conditionalFormatting sqref="P12:P18">
    <cfRule type="expression" priority="7" aboveAverage="0" equalAverage="0" bottom="0" percent="0" rank="0" text="" dxfId="0">
      <formula>P12="Adequado"</formula>
    </cfRule>
    <cfRule type="expression" priority="8" aboveAverage="0" equalAverage="0" bottom="0" percent="0" rank="0" text="" dxfId="2">
      <formula>P12="Resolução grossa"</formula>
    </cfRule>
  </conditionalFormatting>
  <conditionalFormatting sqref="Q12:Q18">
    <cfRule type="expression" priority="9" aboveAverage="0" equalAverage="0" bottom="0" percent="0" rank="0" text="" dxfId="0">
      <formula>OR(Q12="OK",Q12="Fora de uso")</formula>
    </cfRule>
    <cfRule type="expression" priority="10" aboveAverage="0" equalAverage="0" bottom="0" percent="0" rank="0" text="" dxfId="4">
      <formula>AND(LEN(Q12)&gt;0,NOT(OR(Q12="OK",Q12="Fora de uso")))</formula>
    </cfRule>
  </conditionalFormatting>
  <conditionalFormatting sqref="J22:K27">
    <cfRule type="expression" priority="11" aboveAverage="0" equalAverage="0" bottom="0" percent="0" rank="0" text="" dxfId="0">
      <formula>$J22="Aprovado"</formula>
    </cfRule>
    <cfRule type="expression" priority="12" aboveAverage="0" equalAverage="0" bottom="0" percent="0" rank="0" text="" dxfId="2">
      <formula>$J22="Reprovado"</formula>
    </cfRule>
  </conditionalFormatting>
  <conditionalFormatting sqref="Q22:Q27">
    <cfRule type="expression" priority="13" aboveAverage="0" equalAverage="0" bottom="0" percent="0" rank="0" text="" dxfId="0">
      <formula>Q22="OK"</formula>
    </cfRule>
    <cfRule type="expression" priority="14" aboveAverage="0" equalAverage="0" bottom="0" percent="0" rank="0" text="" dxfId="2">
      <formula>Q22="Falta avaliar os resultados anteriores"</formula>
    </cfRule>
    <cfRule type="expression" priority="15" aboveAverage="0" equalAverage="0" bottom="0" percent="0" rank="0" text="" dxfId="4">
      <formula>LEN(Q22)&gt;0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9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8" min="7" style="0" width="9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6" min="15" style="0" width="15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165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166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167</v>
      </c>
      <c r="C4" s="4"/>
      <c r="D4" s="29" t="s">
        <v>227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customFormat="false" ht="19.5" hidden="false" customHeight="true" outlineLevel="0" collapsed="false">
      <c r="B5" s="4" t="s">
        <v>169</v>
      </c>
      <c r="C5" s="4"/>
      <c r="D5" s="29" t="s">
        <v>228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customFormat="false" ht="19.5" hidden="false" customHeight="true" outlineLevel="0" collapsed="false">
      <c r="B6" s="4" t="s">
        <v>171</v>
      </c>
      <c r="C6" s="4"/>
      <c r="D6" s="29" t="s">
        <v>229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customFormat="false" ht="19.5" hidden="false" customHeight="true" outlineLevel="0" collapsed="false">
      <c r="B7" s="4" t="s">
        <v>173</v>
      </c>
      <c r="C7" s="4"/>
      <c r="D7" s="29" t="s">
        <v>230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</row>
    <row r="8" customFormat="false" ht="15" hidden="false" customHeight="true" outlineLevel="0" collapsed="false">
      <c r="B8" s="4" t="s">
        <v>67</v>
      </c>
      <c r="C8" s="4"/>
      <c r="D8" s="30" t="n">
        <v>46568</v>
      </c>
    </row>
    <row r="10" customFormat="false" ht="21.75" hidden="false" customHeight="true" outlineLevel="0" collapsed="false">
      <c r="B10" s="31" t="s">
        <v>44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Format="false" ht="30" hidden="false" customHeight="true" outlineLevel="0" collapsed="false">
      <c r="B11" s="25" t="s">
        <v>70</v>
      </c>
      <c r="C11" s="25" t="s">
        <v>71</v>
      </c>
      <c r="D11" s="25" t="s">
        <v>72</v>
      </c>
      <c r="E11" s="25" t="s">
        <v>73</v>
      </c>
      <c r="F11" s="25" t="s">
        <v>175</v>
      </c>
      <c r="G11" s="25" t="s">
        <v>57</v>
      </c>
      <c r="H11" s="25" t="s">
        <v>75</v>
      </c>
      <c r="I11" s="25" t="s">
        <v>76</v>
      </c>
      <c r="J11" s="25" t="s">
        <v>176</v>
      </c>
      <c r="K11" s="25" t="s">
        <v>78</v>
      </c>
      <c r="L11" s="25" t="s">
        <v>177</v>
      </c>
      <c r="M11" s="25" t="s">
        <v>178</v>
      </c>
      <c r="N11" s="25" t="s">
        <v>81</v>
      </c>
      <c r="O11" s="25" t="s">
        <v>82</v>
      </c>
      <c r="P11" s="25" t="s">
        <v>26</v>
      </c>
      <c r="Q11" s="25" t="s">
        <v>83</v>
      </c>
    </row>
    <row r="12" customFormat="false" ht="21.75" hidden="false" customHeight="true" outlineLevel="0" collapsed="false">
      <c r="B12" s="32" t="s">
        <v>231</v>
      </c>
      <c r="C12" s="33" t="s">
        <v>232</v>
      </c>
      <c r="D12" s="7" t="s">
        <v>233</v>
      </c>
      <c r="E12" s="7" t="s">
        <v>234</v>
      </c>
      <c r="F12" s="34" t="s">
        <v>235</v>
      </c>
      <c r="G12" s="35" t="n">
        <v>4</v>
      </c>
      <c r="H12" s="35" t="n">
        <v>1</v>
      </c>
      <c r="I12" s="36" t="s">
        <v>193</v>
      </c>
      <c r="J12" s="34" t="n">
        <v>6</v>
      </c>
      <c r="K12" s="37" t="n">
        <v>46550</v>
      </c>
      <c r="L12" s="35" t="n">
        <v>1</v>
      </c>
      <c r="M12" s="34" t="s">
        <v>188</v>
      </c>
      <c r="N12" s="15" t="n">
        <f aca="false">IF(OR(K12="",J12=""),"",EDATE(K12,J12))</f>
        <v>46733</v>
      </c>
      <c r="O12" s="16" t="str">
        <f aca="false">IF(B12="","",IF(M12="Não","Fora de uso",IF(K12="","Sem calibração",IF(AND(ISNUMBER($D$8),N12&lt;$D$8),"Vencido",IF(AND(ISNUMBER($D$8),N12-$D$8&lt;MIN(30,(N12-K12)/4)),"Vence em breve","Em dia")))))</f>
        <v>Fora de uso</v>
      </c>
      <c r="P12" s="17" t="str">
        <f aca="false">IF(OR(G12="",H12=""),"",IF(H12&lt;=G12/10+0.000000001,"Adequado","Resolução grossa"))</f>
        <v>Resolução grossa</v>
      </c>
      <c r="Q12" s="17" t="str">
        <f aca="false">IF(B12="","",IF(E12="","Falta o que mede",IF(I12="","Falta o tipo de controle",IF(J12="","Falta o intervalo",IF(L12="","Falta o erro máximo admissível",IF(O12="Fora de uso","Fora de uso",IF(O12="Vencido","Vencido: bloquear ou calibrar",IF(O12="Sem calibração","Sem calibração ou verificação",IF(P12="Resolução grossa","Resolução grossa para a tolerância","OK")))))))))</f>
        <v>Fora de uso</v>
      </c>
    </row>
    <row r="13" customFormat="false" ht="21.75" hidden="false" customHeight="true" outlineLevel="0" collapsed="false">
      <c r="B13" s="32" t="s">
        <v>236</v>
      </c>
      <c r="C13" s="33" t="s">
        <v>237</v>
      </c>
      <c r="D13" s="7" t="s">
        <v>238</v>
      </c>
      <c r="E13" s="7" t="s">
        <v>234</v>
      </c>
      <c r="F13" s="34" t="s">
        <v>235</v>
      </c>
      <c r="G13" s="35" t="n">
        <v>4</v>
      </c>
      <c r="H13" s="35" t="n">
        <v>0.1</v>
      </c>
      <c r="I13" s="36" t="s">
        <v>193</v>
      </c>
      <c r="J13" s="34" t="n">
        <v>6</v>
      </c>
      <c r="K13" s="37" t="n">
        <v>46461</v>
      </c>
      <c r="L13" s="35" t="n">
        <v>0.5</v>
      </c>
      <c r="M13" s="34" t="s">
        <v>183</v>
      </c>
      <c r="N13" s="15" t="n">
        <f aca="false">IF(OR(K13="",J13=""),"",EDATE(K13,J13))</f>
        <v>46645</v>
      </c>
      <c r="O13" s="16" t="str">
        <f aca="false">IF(B13="","",IF(M13="Não","Fora de uso",IF(K13="","Sem calibração",IF(AND(ISNUMBER($D$8),N13&lt;$D$8),"Vencido",IF(AND(ISNUMBER($D$8),N13-$D$8&lt;MIN(30,(N13-K13)/4)),"Vence em breve","Em dia")))))</f>
        <v>Em dia</v>
      </c>
      <c r="P13" s="17" t="str">
        <f aca="false">IF(OR(G13="",H13=""),"",IF(H13&lt;=G13/10+0.000000001,"Adequado","Resolução grossa"))</f>
        <v>Adequado</v>
      </c>
      <c r="Q13" s="17" t="str">
        <f aca="false">IF(B13="","",IF(E13="","Falta o que mede",IF(I13="","Falta o tipo de controle",IF(J13="","Falta o intervalo",IF(L13="","Falta o erro máximo admissível",IF(O13="Fora de uso","Fora de uso",IF(O13="Vencido","Vencido: bloquear ou calibrar",IF(O13="Sem calibração","Sem calibração ou verificação",IF(P13="Resolução grossa","Resolução grossa para a tolerância","OK")))))))))</f>
        <v>OK</v>
      </c>
    </row>
    <row r="14" customFormat="false" ht="21.75" hidden="false" customHeight="true" outlineLevel="0" collapsed="false">
      <c r="B14" s="32" t="s">
        <v>239</v>
      </c>
      <c r="C14" s="33" t="s">
        <v>240</v>
      </c>
      <c r="D14" s="7" t="s">
        <v>233</v>
      </c>
      <c r="E14" s="7" t="s">
        <v>241</v>
      </c>
      <c r="F14" s="34" t="s">
        <v>242</v>
      </c>
      <c r="G14" s="35" t="n">
        <v>4</v>
      </c>
      <c r="H14" s="35" t="n">
        <v>0.1</v>
      </c>
      <c r="I14" s="36" t="s">
        <v>193</v>
      </c>
      <c r="J14" s="34" t="n">
        <v>12</v>
      </c>
      <c r="K14" s="37" t="n">
        <v>46334</v>
      </c>
      <c r="L14" s="35" t="n">
        <v>0.3</v>
      </c>
      <c r="M14" s="34" t="s">
        <v>183</v>
      </c>
      <c r="N14" s="15" t="n">
        <f aca="false">IF(OR(K14="",J14=""),"",EDATE(K14,J14))</f>
        <v>46699</v>
      </c>
      <c r="O14" s="16" t="str">
        <f aca="false">IF(B14="","",IF(M14="Não","Fora de uso",IF(K14="","Sem calibração",IF(AND(ISNUMBER($D$8),N14&lt;$D$8),"Vencido",IF(AND(ISNUMBER($D$8),N14-$D$8&lt;MIN(30,(N14-K14)/4)),"Vence em breve","Em dia")))))</f>
        <v>Em dia</v>
      </c>
      <c r="P14" s="17" t="str">
        <f aca="false">IF(OR(G14="",H14=""),"",IF(H14&lt;=G14/10+0.000000001,"Adequado","Resolução grossa"))</f>
        <v>Adequado</v>
      </c>
      <c r="Q14" s="17" t="str">
        <f aca="false">IF(B14="","",IF(E14="","Falta o que mede",IF(I14="","Falta o tipo de controle",IF(J14="","Falta o intervalo",IF(L14="","Falta o erro máximo admissível",IF(O14="Fora de uso","Fora de uso",IF(O14="Vencido","Vencido: bloquear ou calibrar",IF(O14="Sem calibração","Sem calibração ou verificação",IF(P14="Resolução grossa","Resolução grossa para a tolerância","OK")))))))))</f>
        <v>OK</v>
      </c>
    </row>
    <row r="15" customFormat="false" ht="30.75" hidden="false" customHeight="true" outlineLevel="0" collapsed="false">
      <c r="B15" s="32" t="s">
        <v>243</v>
      </c>
      <c r="C15" s="33" t="s">
        <v>244</v>
      </c>
      <c r="D15" s="7" t="s">
        <v>233</v>
      </c>
      <c r="E15" s="7" t="s">
        <v>245</v>
      </c>
      <c r="F15" s="34" t="s">
        <v>181</v>
      </c>
      <c r="G15" s="35" t="n">
        <v>10</v>
      </c>
      <c r="H15" s="35" t="n">
        <v>1</v>
      </c>
      <c r="I15" s="36" t="s">
        <v>193</v>
      </c>
      <c r="J15" s="34" t="n">
        <v>12</v>
      </c>
      <c r="K15" s="37" t="n">
        <v>46236</v>
      </c>
      <c r="L15" s="35" t="n">
        <v>2</v>
      </c>
      <c r="M15" s="34" t="s">
        <v>183</v>
      </c>
      <c r="N15" s="15" t="n">
        <f aca="false">IF(OR(K15="",J15=""),"",EDATE(K15,J15))</f>
        <v>46601</v>
      </c>
      <c r="O15" s="16" t="str">
        <f aca="false">IF(B15="","",IF(M15="Não","Fora de uso",IF(K15="","Sem calibração",IF(AND(ISNUMBER($D$8),N15&lt;$D$8),"Vencido",IF(AND(ISNUMBER($D$8),N15-$D$8&lt;MIN(30,(N15-K15)/4)),"Vence em breve","Em dia")))))</f>
        <v>Em dia</v>
      </c>
      <c r="P15" s="17" t="str">
        <f aca="false">IF(OR(G15="",H15=""),"",IF(H15&lt;=G15/10+0.000000001,"Adequado","Resolução grossa"))</f>
        <v>Adequado</v>
      </c>
      <c r="Q15" s="17" t="str">
        <f aca="false">IF(B15="","",IF(E15="","Falta o que mede",IF(I15="","Falta o tipo de controle",IF(J15="","Falta o intervalo",IF(L15="","Falta o erro máximo admissível",IF(O15="Fora de uso","Fora de uso",IF(O15="Vencido","Vencido: bloquear ou calibrar",IF(O15="Sem calibração","Sem calibração ou verificação",IF(P15="Resolução grossa","Resolução grossa para a tolerância","OK")))))))))</f>
        <v>OK</v>
      </c>
    </row>
    <row r="16" customFormat="false" ht="30.75" hidden="false" customHeight="true" outlineLevel="0" collapsed="false">
      <c r="B16" s="32" t="s">
        <v>246</v>
      </c>
      <c r="C16" s="33" t="s">
        <v>247</v>
      </c>
      <c r="D16" s="7" t="s">
        <v>238</v>
      </c>
      <c r="E16" s="7" t="s">
        <v>248</v>
      </c>
      <c r="F16" s="34" t="s">
        <v>249</v>
      </c>
      <c r="G16" s="35" t="n">
        <v>2</v>
      </c>
      <c r="H16" s="35" t="n">
        <v>0.01</v>
      </c>
      <c r="I16" s="36" t="s">
        <v>193</v>
      </c>
      <c r="J16" s="34" t="n">
        <v>12</v>
      </c>
      <c r="K16" s="37" t="n">
        <v>46528</v>
      </c>
      <c r="L16" s="35" t="n">
        <v>0.2</v>
      </c>
      <c r="M16" s="34" t="s">
        <v>183</v>
      </c>
      <c r="N16" s="15" t="n">
        <f aca="false">IF(OR(K16="",J16=""),"",EDATE(K16,J16))</f>
        <v>46894</v>
      </c>
      <c r="O16" s="16" t="str">
        <f aca="false">IF(B16="","",IF(M16="Não","Fora de uso",IF(K16="","Sem calibração",IF(AND(ISNUMBER($D$8),N16&lt;$D$8),"Vencido",IF(AND(ISNUMBER($D$8),N16-$D$8&lt;MIN(30,(N16-K16)/4)),"Vence em breve","Em dia")))))</f>
        <v>Em dia</v>
      </c>
      <c r="P16" s="17" t="str">
        <f aca="false">IF(OR(G16="",H16=""),"",IF(H16&lt;=G16/10+0.000000001,"Adequado","Resolução grossa"))</f>
        <v>Adequado</v>
      </c>
      <c r="Q16" s="17" t="str">
        <f aca="false">IF(B16="","",IF(E16="","Falta o que mede",IF(I16="","Falta o tipo de controle",IF(J16="","Falta o intervalo",IF(L16="","Falta o erro máximo admissível",IF(O16="Fora de uso","Fora de uso",IF(O16="Vencido","Vencido: bloquear ou calibrar",IF(O16="Sem calibração","Sem calibração ou verificação",IF(P16="Resolução grossa","Resolução grossa para a tolerância","OK")))))))))</f>
        <v>OK</v>
      </c>
    </row>
    <row r="17" customFormat="false" ht="30.75" hidden="false" customHeight="true" outlineLevel="0" collapsed="false">
      <c r="B17" s="32" t="s">
        <v>250</v>
      </c>
      <c r="C17" s="33" t="s">
        <v>251</v>
      </c>
      <c r="D17" s="7" t="s">
        <v>238</v>
      </c>
      <c r="E17" s="7" t="s">
        <v>252</v>
      </c>
      <c r="F17" s="34" t="s">
        <v>181</v>
      </c>
      <c r="G17" s="35" t="n">
        <v>4</v>
      </c>
      <c r="H17" s="35" t="n">
        <v>0.1</v>
      </c>
      <c r="I17" s="36" t="s">
        <v>182</v>
      </c>
      <c r="J17" s="34" t="n">
        <v>3</v>
      </c>
      <c r="K17" s="37" t="n">
        <v>46461</v>
      </c>
      <c r="L17" s="35" t="n">
        <v>1</v>
      </c>
      <c r="M17" s="34" t="s">
        <v>183</v>
      </c>
      <c r="N17" s="15" t="n">
        <f aca="false">IF(OR(K17="",J17=""),"",EDATE(K17,J17))</f>
        <v>46553</v>
      </c>
      <c r="O17" s="16" t="str">
        <f aca="false">IF(B17="","",IF(M17="Não","Fora de uso",IF(K17="","Sem calibração",IF(AND(ISNUMBER($D$8),N17&lt;$D$8),"Vencido",IF(AND(ISNUMBER($D$8),N17-$D$8&lt;MIN(30,(N17-K17)/4)),"Vence em breve","Em dia")))))</f>
        <v>Vencido</v>
      </c>
      <c r="P17" s="17" t="str">
        <f aca="false">IF(OR(G17="",H17=""),"",IF(H17&lt;=G17/10+0.000000001,"Adequado","Resolução grossa"))</f>
        <v>Adequado</v>
      </c>
      <c r="Q17" s="17" t="str">
        <f aca="false">IF(B17="","",IF(E17="","Falta o que mede",IF(I17="","Falta o tipo de controle",IF(J17="","Falta o intervalo",IF(L17="","Falta o erro máximo admissível",IF(O17="Fora de uso","Fora de uso",IF(O17="Vencido","Vencido: bloquear ou calibrar",IF(O17="Sem calibração","Sem calibração ou verificação",IF(P17="Resolução grossa","Resolução grossa para a tolerância","OK")))))))))</f>
        <v>Vencido: bloquear ou calibrar</v>
      </c>
    </row>
    <row r="18" customFormat="false" ht="30.75" hidden="false" customHeight="true" outlineLevel="0" collapsed="false">
      <c r="B18" s="32" t="s">
        <v>253</v>
      </c>
      <c r="C18" s="33" t="s">
        <v>254</v>
      </c>
      <c r="D18" s="7" t="s">
        <v>238</v>
      </c>
      <c r="E18" s="7" t="s">
        <v>255</v>
      </c>
      <c r="F18" s="34" t="s">
        <v>181</v>
      </c>
      <c r="G18" s="35"/>
      <c r="H18" s="35" t="n">
        <v>0.01</v>
      </c>
      <c r="I18" s="36" t="s">
        <v>193</v>
      </c>
      <c r="J18" s="34" t="n">
        <v>12</v>
      </c>
      <c r="K18" s="37" t="n">
        <v>46428</v>
      </c>
      <c r="L18" s="35" t="n">
        <v>0.1</v>
      </c>
      <c r="M18" s="34" t="s">
        <v>183</v>
      </c>
      <c r="N18" s="15" t="n">
        <f aca="false">IF(OR(K18="",J18=""),"",EDATE(K18,J18))</f>
        <v>46793</v>
      </c>
      <c r="O18" s="16" t="str">
        <f aca="false">IF(B18="","",IF(M18="Não","Fora de uso",IF(K18="","Sem calibração",IF(AND(ISNUMBER($D$8),N18&lt;$D$8),"Vencido",IF(AND(ISNUMBER($D$8),N18-$D$8&lt;MIN(30,(N18-K18)/4)),"Vence em breve","Em dia")))))</f>
        <v>Em dia</v>
      </c>
      <c r="P18" s="17" t="str">
        <f aca="false">IF(OR(G18="",H18=""),"",IF(H18&lt;=G18/10+0.000000001,"Adequado","Resolução grossa"))</f>
        <v/>
      </c>
      <c r="Q18" s="17" t="str">
        <f aca="false">IF(B18="","",IF(E18="","Falta o que mede",IF(I18="","Falta o tipo de controle",IF(J18="","Falta o intervalo",IF(L18="","Falta o erro máximo admissível",IF(O18="Fora de uso","Fora de uso",IF(O18="Vencido","Vencido: bloquear ou calibrar",IF(O18="Sem calibração","Sem calibração ou verificação",IF(P18="Resolução grossa","Resolução grossa para a tolerância","OK")))))))))</f>
        <v>OK</v>
      </c>
    </row>
    <row r="20" customFormat="false" ht="21.75" hidden="false" customHeight="true" outlineLevel="0" collapsed="false">
      <c r="B20" s="38" t="s">
        <v>98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</row>
    <row r="21" customFormat="false" ht="30" hidden="false" customHeight="true" outlineLevel="0" collapsed="false">
      <c r="B21" s="25" t="s">
        <v>91</v>
      </c>
      <c r="C21" s="25" t="s">
        <v>208</v>
      </c>
      <c r="D21" s="25" t="s">
        <v>100</v>
      </c>
      <c r="E21" s="39" t="s">
        <v>209</v>
      </c>
      <c r="F21" s="39"/>
      <c r="G21" s="25" t="s">
        <v>103</v>
      </c>
      <c r="H21" s="25" t="s">
        <v>104</v>
      </c>
      <c r="I21" s="25" t="s">
        <v>105</v>
      </c>
      <c r="J21" s="39" t="s">
        <v>28</v>
      </c>
      <c r="K21" s="39"/>
      <c r="L21" s="39" t="s">
        <v>210</v>
      </c>
      <c r="M21" s="39"/>
      <c r="N21" s="39"/>
      <c r="O21" s="39" t="s">
        <v>211</v>
      </c>
      <c r="P21" s="39"/>
      <c r="Q21" s="25" t="s">
        <v>83</v>
      </c>
    </row>
    <row r="22" customFormat="false" ht="30.75" hidden="false" customHeight="true" outlineLevel="0" collapsed="false">
      <c r="B22" s="37" t="n">
        <v>46236</v>
      </c>
      <c r="C22" s="7" t="s">
        <v>256</v>
      </c>
      <c r="D22" s="34" t="s">
        <v>213</v>
      </c>
      <c r="E22" s="40" t="s">
        <v>257</v>
      </c>
      <c r="F22" s="40"/>
      <c r="G22" s="35" t="n">
        <v>1.2</v>
      </c>
      <c r="H22" s="35" t="n">
        <v>0.5</v>
      </c>
      <c r="I22" s="23" t="n">
        <f aca="false">IFERROR(INDEX($L$12:$L$18,MATCH(LEFT(C22,FIND(" ·",C22)-1),$B$12:$B$18,0)),"")</f>
        <v>2</v>
      </c>
      <c r="J22" s="41" t="str">
        <f aca="false">IF(OR(C22="",G22="",I22=""),"",IF(ABS(G22)+N(H22)&lt;=I22+0.000000001,"Aprovado","Reprovado"))</f>
        <v>Aprovado</v>
      </c>
      <c r="K22" s="41"/>
      <c r="L22" s="40"/>
      <c r="M22" s="40"/>
      <c r="N22" s="40"/>
      <c r="O22" s="40"/>
      <c r="P22" s="40"/>
      <c r="Q22" s="17" t="str">
        <f aca="false">IF(LEFT(C22,FIND(" ·",C22)-1)="",IF(1&gt;0,"Falta o instrumento",""),IF(ISNA(MATCH(LEFT(C22,FIND(" ·",C22)-1),$B$12:$B$18,0)),"Instrumento não cadastrado",IF(I22="","Falta o critério no cadastro",IF(E22="","Falta o registro",IF(G22="","Falta o erro encontrado",IF(AND(J22="Reprovado",L22=""),"Falta a ação",IF(AND(J22="Reprovado",O22=""),"Falta avaliar os resultados anteriores","OK")))))))</f>
        <v>OK</v>
      </c>
    </row>
    <row r="23" customFormat="false" ht="30.75" hidden="false" customHeight="true" outlineLevel="0" collapsed="false">
      <c r="B23" s="37" t="n">
        <v>46334</v>
      </c>
      <c r="C23" s="7" t="s">
        <v>258</v>
      </c>
      <c r="D23" s="34" t="s">
        <v>213</v>
      </c>
      <c r="E23" s="40" t="s">
        <v>259</v>
      </c>
      <c r="F23" s="40"/>
      <c r="G23" s="35" t="n">
        <v>0.1</v>
      </c>
      <c r="H23" s="35" t="n">
        <v>0.05</v>
      </c>
      <c r="I23" s="23" t="n">
        <f aca="false">IFERROR(INDEX($L$12:$L$18,MATCH(LEFT(C23,FIND(" ·",C23)-1),$B$12:$B$18,0)),"")</f>
        <v>0.3</v>
      </c>
      <c r="J23" s="41" t="str">
        <f aca="false">IF(OR(C23="",G23="",I23=""),"",IF(ABS(G23)+N(H23)&lt;=I23+0.000000001,"Aprovado","Reprovado"))</f>
        <v>Aprovado</v>
      </c>
      <c r="K23" s="41"/>
      <c r="L23" s="40"/>
      <c r="M23" s="40"/>
      <c r="N23" s="40"/>
      <c r="O23" s="40"/>
      <c r="P23" s="40"/>
      <c r="Q23" s="17" t="str">
        <f aca="false">IF(LEFT(C23,FIND(" ·",C23)-1)="",IF(1&gt;0,"Falta o instrumento",""),IF(ISNA(MATCH(LEFT(C23,FIND(" ·",C23)-1),$B$12:$B$18,0)),"Instrumento não cadastrado",IF(I23="","Falta o critério no cadastro",IF(E23="","Falta o registro",IF(G23="","Falta o erro encontrado",IF(AND(J23="Reprovado",L23=""),"Falta a ação",IF(AND(J23="Reprovado",O23=""),"Falta avaliar os resultados anteriores","OK")))))))</f>
        <v>OK</v>
      </c>
    </row>
    <row r="24" customFormat="false" ht="30.75" hidden="false" customHeight="true" outlineLevel="0" collapsed="false">
      <c r="B24" s="37" t="n">
        <v>46397</v>
      </c>
      <c r="C24" s="7" t="s">
        <v>260</v>
      </c>
      <c r="D24" s="34" t="s">
        <v>213</v>
      </c>
      <c r="E24" s="40" t="s">
        <v>261</v>
      </c>
      <c r="F24" s="40"/>
      <c r="G24" s="35" t="n">
        <v>0.3</v>
      </c>
      <c r="H24" s="35" t="n">
        <v>0.6</v>
      </c>
      <c r="I24" s="23" t="n">
        <f aca="false">IFERROR(INDEX($L$12:$L$18,MATCH(LEFT(C24,FIND(" ·",C24)-1),$B$12:$B$18,0)),"")</f>
        <v>1</v>
      </c>
      <c r="J24" s="41" t="str">
        <f aca="false">IF(OR(C24="",G24="",I24=""),"",IF(ABS(G24)+N(H24)&lt;=I24+0.000000001,"Aprovado","Reprovado"))</f>
        <v>Aprovado</v>
      </c>
      <c r="K24" s="41"/>
      <c r="L24" s="40"/>
      <c r="M24" s="40"/>
      <c r="N24" s="40"/>
      <c r="O24" s="40"/>
      <c r="P24" s="40"/>
      <c r="Q24" s="17" t="str">
        <f aca="false">IF(LEFT(C24,FIND(" ·",C24)-1)="",IF(1&gt;0,"Falta o instrumento",""),IF(ISNA(MATCH(LEFT(C24,FIND(" ·",C24)-1),$B$12:$B$18,0)),"Instrumento não cadastrado",IF(I24="","Falta o critério no cadastro",IF(E24="","Falta o registro",IF(G24="","Falta o erro encontrado",IF(AND(J24="Reprovado",L24=""),"Falta a ação",IF(AND(J24="Reprovado",O24=""),"Falta avaliar os resultados anteriores","OK")))))))</f>
        <v>OK</v>
      </c>
    </row>
    <row r="25" customFormat="false" ht="30.75" hidden="false" customHeight="true" outlineLevel="0" collapsed="false">
      <c r="B25" s="37" t="n">
        <v>46428</v>
      </c>
      <c r="C25" s="7" t="s">
        <v>262</v>
      </c>
      <c r="D25" s="34" t="s">
        <v>213</v>
      </c>
      <c r="E25" s="40" t="s">
        <v>263</v>
      </c>
      <c r="F25" s="40"/>
      <c r="G25" s="35" t="n">
        <v>0.02</v>
      </c>
      <c r="H25" s="35" t="n">
        <v>0.03</v>
      </c>
      <c r="I25" s="23" t="n">
        <f aca="false">IFERROR(INDEX($L$12:$L$18,MATCH(LEFT(C25,FIND(" ·",C25)-1),$B$12:$B$18,0)),"")</f>
        <v>0.1</v>
      </c>
      <c r="J25" s="41" t="str">
        <f aca="false">IF(OR(C25="",G25="",I25=""),"",IF(ABS(G25)+N(H25)&lt;=I25+0.000000001,"Aprovado","Reprovado"))</f>
        <v>Aprovado</v>
      </c>
      <c r="K25" s="41"/>
      <c r="L25" s="40"/>
      <c r="M25" s="40"/>
      <c r="N25" s="40"/>
      <c r="O25" s="40"/>
      <c r="P25" s="40"/>
      <c r="Q25" s="17" t="str">
        <f aca="false">IF(LEFT(C25,FIND(" ·",C25)-1)="",IF(1&gt;0,"Falta o instrumento",""),IF(ISNA(MATCH(LEFT(C25,FIND(" ·",C25)-1),$B$12:$B$18,0)),"Instrumento não cadastrado",IF(I25="","Falta o critério no cadastro",IF(E25="","Falta o registro",IF(G25="","Falta o erro encontrado",IF(AND(J25="Reprovado",L25=""),"Falta a ação",IF(AND(J25="Reprovado",O25=""),"Falta avaliar os resultados anteriores","OK")))))))</f>
        <v>OK</v>
      </c>
    </row>
    <row r="26" customFormat="false" ht="30.75" hidden="false" customHeight="true" outlineLevel="0" collapsed="false">
      <c r="B26" s="37" t="n">
        <v>46461</v>
      </c>
      <c r="C26" s="7" t="s">
        <v>264</v>
      </c>
      <c r="D26" s="34" t="s">
        <v>213</v>
      </c>
      <c r="E26" s="40" t="s">
        <v>265</v>
      </c>
      <c r="F26" s="40"/>
      <c r="G26" s="35" t="n">
        <v>0.1</v>
      </c>
      <c r="H26" s="35" t="n">
        <v>0.08</v>
      </c>
      <c r="I26" s="23" t="n">
        <f aca="false">IFERROR(INDEX($L$12:$L$18,MATCH(LEFT(C26,FIND(" ·",C26)-1),$B$12:$B$18,0)),"")</f>
        <v>0.5</v>
      </c>
      <c r="J26" s="41" t="str">
        <f aca="false">IF(OR(C26="",G26="",I26=""),"",IF(ABS(G26)+N(H26)&lt;=I26+0.000000001,"Aprovado","Reprovado"))</f>
        <v>Aprovado</v>
      </c>
      <c r="K26" s="41"/>
      <c r="L26" s="40"/>
      <c r="M26" s="40"/>
      <c r="N26" s="40"/>
      <c r="O26" s="40"/>
      <c r="P26" s="40"/>
      <c r="Q26" s="17" t="str">
        <f aca="false">IF(LEFT(C26,FIND(" ·",C26)-1)="",IF(1&gt;0,"Falta o instrumento",""),IF(ISNA(MATCH(LEFT(C26,FIND(" ·",C26)-1),$B$12:$B$18,0)),"Instrumento não cadastrado",IF(I26="","Falta o critério no cadastro",IF(E26="","Falta o registro",IF(G26="","Falta o erro encontrado",IF(AND(J26="Reprovado",L26=""),"Falta a ação",IF(AND(J26="Reprovado",O26=""),"Falta avaliar os resultados anteriores","OK")))))))</f>
        <v>OK</v>
      </c>
    </row>
    <row r="27" customFormat="false" ht="30.75" hidden="false" customHeight="true" outlineLevel="0" collapsed="false">
      <c r="B27" s="37" t="n">
        <v>46461</v>
      </c>
      <c r="C27" s="7" t="s">
        <v>266</v>
      </c>
      <c r="D27" s="34" t="s">
        <v>117</v>
      </c>
      <c r="E27" s="40" t="s">
        <v>267</v>
      </c>
      <c r="F27" s="40"/>
      <c r="G27" s="35" t="n">
        <v>0.4</v>
      </c>
      <c r="H27" s="35" t="n">
        <v>0.1</v>
      </c>
      <c r="I27" s="23" t="n">
        <f aca="false">IFERROR(INDEX($L$12:$L$18,MATCH(LEFT(C27,FIND(" ·",C27)-1),$B$12:$B$18,0)),"")</f>
        <v>1</v>
      </c>
      <c r="J27" s="41" t="str">
        <f aca="false">IF(OR(C27="",G27="",I27=""),"",IF(ABS(G27)+N(H27)&lt;=I27+0.000000001,"Aprovado","Reprovado"))</f>
        <v>Aprovado</v>
      </c>
      <c r="K27" s="41"/>
      <c r="L27" s="40"/>
      <c r="M27" s="40"/>
      <c r="N27" s="40"/>
      <c r="O27" s="40"/>
      <c r="P27" s="40"/>
      <c r="Q27" s="17" t="str">
        <f aca="false">IF(LEFT(C27,FIND(" ·",C27)-1)="",IF(1&gt;0,"Falta o instrumento",""),IF(ISNA(MATCH(LEFT(C27,FIND(" ·",C27)-1),$B$12:$B$18,0)),"Instrumento não cadastrado",IF(I27="","Falta o critério no cadastro",IF(E27="","Falta o registro",IF(G27="","Falta o erro encontrado",IF(AND(J27="Reprovado",L27=""),"Falta a ação",IF(AND(J27="Reprovado",O27=""),"Falta avaliar os resultados anteriores","OK")))))))</f>
        <v>OK</v>
      </c>
    </row>
    <row r="28" customFormat="false" ht="30.75" hidden="false" customHeight="true" outlineLevel="0" collapsed="false">
      <c r="B28" s="37" t="n">
        <v>46528</v>
      </c>
      <c r="C28" s="7" t="s">
        <v>268</v>
      </c>
      <c r="D28" s="34" t="s">
        <v>213</v>
      </c>
      <c r="E28" s="40" t="s">
        <v>269</v>
      </c>
      <c r="F28" s="40"/>
      <c r="G28" s="35" t="n">
        <v>0.15</v>
      </c>
      <c r="H28" s="35" t="n">
        <v>0.05</v>
      </c>
      <c r="I28" s="23" t="n">
        <f aca="false">IFERROR(INDEX($L$12:$L$18,MATCH(LEFT(C28,FIND(" ·",C28)-1),$B$12:$B$18,0)),"")</f>
        <v>0.2</v>
      </c>
      <c r="J28" s="41" t="str">
        <f aca="false">IF(OR(C28="",G28="",I28=""),"",IF(ABS(G28)+N(H28)&lt;=I28+0.000000001,"Aprovado","Reprovado"))</f>
        <v>Aprovado</v>
      </c>
      <c r="K28" s="41"/>
      <c r="L28" s="40"/>
      <c r="M28" s="40"/>
      <c r="N28" s="40"/>
      <c r="O28" s="40"/>
      <c r="P28" s="40"/>
      <c r="Q28" s="17" t="str">
        <f aca="false">IF(LEFT(C28,FIND(" ·",C28)-1)="",IF(1&gt;0,"Falta o instrumento",""),IF(ISNA(MATCH(LEFT(C28,FIND(" ·",C28)-1),$B$12:$B$18,0)),"Instrumento não cadastrado",IF(I28="","Falta o critério no cadastro",IF(E28="","Falta o registro",IF(G28="","Falta o erro encontrado",IF(AND(J28="Reprovado",L28=""),"Falta a ação",IF(AND(J28="Reprovado",O28=""),"Falta avaliar os resultados anteriores","OK")))))))</f>
        <v>OK</v>
      </c>
    </row>
    <row r="29" customFormat="false" ht="66.75" hidden="false" customHeight="true" outlineLevel="0" collapsed="false">
      <c r="B29" s="37" t="n">
        <v>46550</v>
      </c>
      <c r="C29" s="7" t="s">
        <v>260</v>
      </c>
      <c r="D29" s="34" t="s">
        <v>117</v>
      </c>
      <c r="E29" s="40" t="s">
        <v>270</v>
      </c>
      <c r="F29" s="40"/>
      <c r="G29" s="35" t="n">
        <v>1.6</v>
      </c>
      <c r="H29" s="35" t="n">
        <v>0.6</v>
      </c>
      <c r="I29" s="23" t="n">
        <f aca="false">IFERROR(INDEX($L$12:$L$18,MATCH(LEFT(C29,FIND(" ·",C29)-1),$B$12:$B$18,0)),"")</f>
        <v>1</v>
      </c>
      <c r="J29" s="41" t="str">
        <f aca="false">IF(OR(C29="",G29="",I29=""),"",IF(ABS(G29)+N(H29)&lt;=I29+0.000000001,"Aprovado","Reprovado"))</f>
        <v>Reprovado</v>
      </c>
      <c r="K29" s="41"/>
      <c r="L29" s="40" t="s">
        <v>271</v>
      </c>
      <c r="M29" s="40"/>
      <c r="N29" s="40"/>
      <c r="O29" s="40" t="s">
        <v>272</v>
      </c>
      <c r="P29" s="40"/>
      <c r="Q29" s="17" t="str">
        <f aca="false">IF(LEFT(C29,FIND(" ·",C29)-1)="",IF(1&gt;0,"Falta o instrumento",""),IF(ISNA(MATCH(LEFT(C29,FIND(" ·",C29)-1),$B$12:$B$18,0)),"Instrumento não cadastrado",IF(I29="","Falta o critério no cadastro",IF(E29="","Falta o registro",IF(G29="","Falta o erro encontrado",IF(AND(J29="Reprovado",L29=""),"Falta a ação",IF(AND(J29="Reprovado",O29=""),"Falta avaliar os resultados anteriores","OK")))))))</f>
        <v>OK</v>
      </c>
    </row>
    <row r="31" customFormat="false" ht="21.75" hidden="false" customHeight="true" outlineLevel="0" collapsed="false">
      <c r="B31" s="18" t="s">
        <v>93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customFormat="false" ht="21.75" hidden="false" customHeight="true" outlineLevel="0" collapsed="false">
      <c r="B32" s="19" t="s">
        <v>225</v>
      </c>
      <c r="C32" s="19"/>
      <c r="D32" s="19"/>
      <c r="E32" s="20" t="str">
        <f aca="false">COUNTIF(O12:O18,"Em dia")&amp;" em dia"&amp;", "&amp;COUNTIF(O12:O18,"Vence em breve")&amp;" vence em breve"&amp;", "&amp;COUNTIF(O12:O18,"Vencido")&amp;" vencido"&amp;", "&amp;COUNTIF(O12:O18,"Sem calibração")&amp;" sem calibração"&amp;", "&amp;COUNTIF(O12:O18,"Fora de uso")&amp;" fora de uso"</f>
        <v>5 em dia, 0 vence em breve, 1 vencido, 0 sem calibração, 1 fora de uso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customFormat="false" ht="21.75" hidden="false" customHeight="true" outlineLevel="0" collapsed="false">
      <c r="B33" s="19" t="s">
        <v>96</v>
      </c>
      <c r="C33" s="19"/>
      <c r="D33" s="19"/>
      <c r="E33" s="20" t="n">
        <f aca="false">COUNTIF(P12:P18,"Resolução grossa")</f>
        <v>1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customFormat="false" ht="21.75" hidden="false" customHeight="true" outlineLevel="0" collapsed="false">
      <c r="B34" s="19" t="s">
        <v>226</v>
      </c>
      <c r="C34" s="19"/>
      <c r="D34" s="19"/>
      <c r="E34" s="20" t="str">
        <f aca="false">COUNTIF(J22:J29,"Aprovado")&amp;" aprovados, "&amp;COUNTIF(J22:J29,"Reprovado")&amp;" reprovados"</f>
        <v>7 aprovados, 1 reprovados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customFormat="false" ht="21.75" hidden="false" customHeight="true" outlineLevel="0" collapsed="false">
      <c r="B35" s="19" t="s">
        <v>141</v>
      </c>
      <c r="C35" s="19"/>
      <c r="D35" s="19"/>
      <c r="E35" s="20" t="n">
        <f aca="false">SUMPRODUCT((Q22:Q29&lt;&gt;"OK")*1)</f>
        <v>0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58">
    <mergeCell ref="B1:Q1"/>
    <mergeCell ref="B2:Q2"/>
    <mergeCell ref="B4:C4"/>
    <mergeCell ref="D4:Q4"/>
    <mergeCell ref="B5:C5"/>
    <mergeCell ref="D5:Q5"/>
    <mergeCell ref="B6:C6"/>
    <mergeCell ref="D6:Q6"/>
    <mergeCell ref="B7:C7"/>
    <mergeCell ref="D7:Q7"/>
    <mergeCell ref="B8:C8"/>
    <mergeCell ref="B10:Q10"/>
    <mergeCell ref="B20:Q20"/>
    <mergeCell ref="E21:F21"/>
    <mergeCell ref="J21:K21"/>
    <mergeCell ref="L21:N21"/>
    <mergeCell ref="O21:P21"/>
    <mergeCell ref="E22:F22"/>
    <mergeCell ref="J22:K22"/>
    <mergeCell ref="L22:N22"/>
    <mergeCell ref="O22:P22"/>
    <mergeCell ref="E23:F23"/>
    <mergeCell ref="J23:K23"/>
    <mergeCell ref="L23:N23"/>
    <mergeCell ref="O23:P23"/>
    <mergeCell ref="E24:F24"/>
    <mergeCell ref="J24:K24"/>
    <mergeCell ref="L24:N24"/>
    <mergeCell ref="O24:P24"/>
    <mergeCell ref="E25:F25"/>
    <mergeCell ref="J25:K25"/>
    <mergeCell ref="L25:N25"/>
    <mergeCell ref="O25:P25"/>
    <mergeCell ref="E26:F26"/>
    <mergeCell ref="J26:K26"/>
    <mergeCell ref="L26:N26"/>
    <mergeCell ref="O26:P26"/>
    <mergeCell ref="E27:F27"/>
    <mergeCell ref="J27:K27"/>
    <mergeCell ref="L27:N27"/>
    <mergeCell ref="O27:P27"/>
    <mergeCell ref="E28:F28"/>
    <mergeCell ref="J28:K28"/>
    <mergeCell ref="L28:N28"/>
    <mergeCell ref="O28:P28"/>
    <mergeCell ref="E29:F29"/>
    <mergeCell ref="J29:K29"/>
    <mergeCell ref="L29:N29"/>
    <mergeCell ref="O29:P29"/>
    <mergeCell ref="B31:Q31"/>
    <mergeCell ref="B32:D32"/>
    <mergeCell ref="E32:Q32"/>
    <mergeCell ref="B33:D33"/>
    <mergeCell ref="E33:Q33"/>
    <mergeCell ref="B34:D34"/>
    <mergeCell ref="E34:Q34"/>
    <mergeCell ref="B35:D35"/>
    <mergeCell ref="E35:Q35"/>
  </mergeCells>
  <conditionalFormatting sqref="O12:O18">
    <cfRule type="expression" priority="2" aboveAverage="0" equalAverage="0" bottom="0" percent="0" rank="0" text="" dxfId="0">
      <formula>O12="Em dia"</formula>
    </cfRule>
    <cfRule type="expression" priority="3" aboveAverage="0" equalAverage="0" bottom="0" percent="0" rank="0" text="" dxfId="1">
      <formula>O12="Vence em breve"</formula>
    </cfRule>
    <cfRule type="expression" priority="4" aboveAverage="0" equalAverage="0" bottom="0" percent="0" rank="0" text="" dxfId="2">
      <formula>O12="Vencido"</formula>
    </cfRule>
    <cfRule type="expression" priority="5" aboveAverage="0" equalAverage="0" bottom="0" percent="0" rank="0" text="" dxfId="2">
      <formula>O12="Sem calibração"</formula>
    </cfRule>
    <cfRule type="expression" priority="6" aboveAverage="0" equalAverage="0" bottom="0" percent="0" rank="0" text="" dxfId="3">
      <formula>O12="Fora de uso"</formula>
    </cfRule>
  </conditionalFormatting>
  <conditionalFormatting sqref="P12:P18">
    <cfRule type="expression" priority="7" aboveAverage="0" equalAverage="0" bottom="0" percent="0" rank="0" text="" dxfId="0">
      <formula>P12="Adequado"</formula>
    </cfRule>
    <cfRule type="expression" priority="8" aboveAverage="0" equalAverage="0" bottom="0" percent="0" rank="0" text="" dxfId="2">
      <formula>P12="Resolução grossa"</formula>
    </cfRule>
  </conditionalFormatting>
  <conditionalFormatting sqref="Q12:Q18">
    <cfRule type="expression" priority="9" aboveAverage="0" equalAverage="0" bottom="0" percent="0" rank="0" text="" dxfId="0">
      <formula>OR(Q12="OK",Q12="Fora de uso")</formula>
    </cfRule>
    <cfRule type="expression" priority="10" aboveAverage="0" equalAverage="0" bottom="0" percent="0" rank="0" text="" dxfId="4">
      <formula>AND(LEN(Q12)&gt;0,NOT(OR(Q12="OK",Q12="Fora de uso")))</formula>
    </cfRule>
  </conditionalFormatting>
  <conditionalFormatting sqref="J22:K29">
    <cfRule type="expression" priority="11" aboveAverage="0" equalAverage="0" bottom="0" percent="0" rank="0" text="" dxfId="0">
      <formula>$J22="Aprovado"</formula>
    </cfRule>
    <cfRule type="expression" priority="12" aboveAverage="0" equalAverage="0" bottom="0" percent="0" rank="0" text="" dxfId="2">
      <formula>$J22="Reprovado"</formula>
    </cfRule>
  </conditionalFormatting>
  <conditionalFormatting sqref="Q22:Q29">
    <cfRule type="expression" priority="13" aboveAverage="0" equalAverage="0" bottom="0" percent="0" rank="0" text="" dxfId="0">
      <formula>Q22="OK"</formula>
    </cfRule>
    <cfRule type="expression" priority="14" aboveAverage="0" equalAverage="0" bottom="0" percent="0" rank="0" text="" dxfId="2">
      <formula>Q22="Falta avaliar os resultados anteriores"</formula>
    </cfRule>
    <cfRule type="expression" priority="15" aboveAverage="0" equalAverage="0" bottom="0" percent="0" rank="0" text="" dxfId="4">
      <formula>LEN(Q22)&gt;0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9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2026-10-05T14:45:52Z</dcterms:created>
  <dc:creator>Modelo Calibração</dc:creator>
  <dc:description/>
  <dc:language>pt-BR</dc:language>
  <cp:lastModifiedBy/>
  <dcterms:modified xsi:type="dcterms:W3CDTF">2026-10-05T14:45:52Z</dcterms:modified>
  <cp:revision>0</cp:revision>
  <dc:subject/>
  <dc:title>Calibração e recursos de medição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