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rocessos" sheetId="2" state="visible" r:id="rId4"/>
    <sheet name="Interações" sheetId="3" state="visible" r:id="rId5"/>
    <sheet name="Tartaruga" sheetId="4" state="visible" r:id="rId6"/>
    <sheet name="Elementos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4" name="_xlnm.Print_Area" vbProcedure="false">Elementos!$B$1:$N$48</definedName>
    <definedName function="false" hidden="false" localSheetId="6" name="_xlnm.Print_Area" vbProcedure="false">'Exemplo 1 - Pizzaria'!$B$1:$Q$61</definedName>
    <definedName function="false" hidden="false" localSheetId="7" name="_xlnm.Print_Area" vbProcedure="false">'Exemplo 2 - Compras'!$B$1:$H$58</definedName>
    <definedName function="false" hidden="false" localSheetId="0" name="_xlnm.Print_Area" vbProcedure="false">Instruções!$B$1:$C$41</definedName>
    <definedName function="false" hidden="false" localSheetId="2" name="_xlnm.Print_Area" vbProcedure="false">Interações!$B$1:$R$24</definedName>
    <definedName function="false" hidden="false" localSheetId="1" name="_xlnm.Print_Area" vbProcedure="false">Processos!$B$1:$K$29</definedName>
    <definedName function="false" hidden="false" localSheetId="3" name="_xlnm.Print_Area" vbProcedure="false">Tartaruga!$B$1:$H$38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7" authorId="0">
      <text>
        <r>
          <rPr>
            <sz val="10"/>
            <rFont val="Arial"/>
            <family val="2"/>
          </rPr>
          <t xml:space="preserve">Um processo transforma uma entrada em uma saída. Setor, tarefa e documento não são processos.
Ex.: "Comprar e armazenar insumos".</t>
        </r>
      </text>
    </comment>
    <comment ref="E7" authorId="0">
      <text>
        <r>
          <rPr>
            <sz val="10"/>
            <rFont val="Arial"/>
            <family val="2"/>
          </rPr>
          <t xml:space="preserve">O dono responde pelo resultado do processo, mesmo que várias áreas participem.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Escreva o que é entregue, com o requisito, se houver.
Ex.: "Pedido embalado e conferido".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9" authorId="0">
      <text>
        <r>
          <rPr>
            <sz val="10"/>
            <rFont val="Arial"/>
            <family val="2"/>
          </rPr>
          <t xml:space="preserve">O que o processo recebe, e de quem.</t>
        </r>
      </text>
    </comment>
    <comment ref="B16" authorId="0">
      <text>
        <r>
          <rPr>
            <sz val="10"/>
            <rFont val="Arial"/>
            <family val="2"/>
          </rPr>
          <t xml:space="preserve">Equipamentos, sistemas, materiais e instalações.</t>
        </r>
      </text>
    </comment>
    <comment ref="B23" authorId="0">
      <text>
        <r>
          <rPr>
            <sz val="10"/>
            <rFont val="Arial"/>
            <family val="2"/>
          </rPr>
          <t xml:space="preserve">Procedimentos, instruções e critérios.</t>
        </r>
      </text>
    </comment>
    <comment ref="B30" authorId="0">
      <text>
        <r>
          <rPr>
            <sz val="10"/>
            <rFont val="Arial"/>
            <family val="2"/>
          </rPr>
          <t xml:space="preserve">O que pode impedir o resultado.</t>
        </r>
      </text>
    </comment>
    <comment ref="F9" authorId="0">
      <text>
        <r>
          <rPr>
            <sz val="10"/>
            <rFont val="Arial"/>
            <family val="2"/>
          </rPr>
          <t xml:space="preserve">O que o processo entrega, e a quem.</t>
        </r>
      </text>
    </comment>
    <comment ref="F16" authorId="0">
      <text>
        <r>
          <rPr>
            <sz val="10"/>
            <rFont val="Arial"/>
            <family val="2"/>
          </rPr>
          <t xml:space="preserve">Funções, competências e treinamentos.</t>
        </r>
      </text>
    </comment>
    <comment ref="F23" authorId="0">
      <text>
        <r>
          <rPr>
            <sz val="10"/>
            <rFont val="Arial"/>
            <family val="2"/>
          </rPr>
          <t xml:space="preserve">Medidas de desempenho, com meta.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ISO 9001:2015, 4.4.1 a, em resumo.
O que o processo recebe e o que ele entrega estão definidos?</t>
        </r>
      </text>
    </comment>
    <comment ref="E4" authorId="0">
      <text>
        <r>
          <rPr>
            <sz val="10"/>
            <rFont val="Arial"/>
            <family val="2"/>
          </rPr>
          <t xml:space="preserve">ISO 9001:2015, 4.4.1 b, em resumo.
Está claro de quem o processo recebe e a quem entrega?</t>
        </r>
      </text>
    </comment>
    <comment ref="F4" authorId="0">
      <text>
        <r>
          <rPr>
            <sz val="10"/>
            <rFont val="Arial"/>
            <family val="2"/>
          </rPr>
          <t xml:space="preserve">ISO 9001:2015, 4.4.1 c, em resumo.
Há critérios de controle e indicadores, com meta?</t>
        </r>
      </text>
    </comment>
    <comment ref="G4" authorId="0">
      <text>
        <r>
          <rPr>
            <sz val="10"/>
            <rFont val="Arial"/>
            <family val="2"/>
          </rPr>
          <t xml:space="preserve">ISO 9001:2015, 4.4.1 d, em resumo.
Os recursos necessários estão definidos e disponíveis?</t>
        </r>
      </text>
    </comment>
    <comment ref="H4" authorId="0">
      <text>
        <r>
          <rPr>
            <sz val="10"/>
            <rFont val="Arial"/>
            <family val="2"/>
          </rPr>
          <t xml:space="preserve">ISO 9001:2015, 4.4.1 e, em resumo.
O processo tem dono, e os papéis estão atribuídos?</t>
        </r>
      </text>
    </comment>
    <comment ref="I4" authorId="0">
      <text>
        <r>
          <rPr>
            <sz val="10"/>
            <rFont val="Arial"/>
            <family val="2"/>
          </rPr>
          <t xml:space="preserve">ISO 9001:2015, 4.4.1 f, em resumo.
Os riscos e as oportunidades do processo foram avaliados?</t>
        </r>
      </text>
    </comment>
    <comment ref="J4" authorId="0">
      <text>
        <r>
          <rPr>
            <sz val="10"/>
            <rFont val="Arial"/>
            <family val="2"/>
          </rPr>
          <t xml:space="preserve">ISO 9001:2015, 4.4.1 g, em resumo.
O processo é avaliado, e as mudanças são planejadas?</t>
        </r>
      </text>
    </comment>
    <comment ref="K4" authorId="0">
      <text>
        <r>
          <rPr>
            <sz val="10"/>
            <rFont val="Arial"/>
            <family val="2"/>
          </rPr>
          <t xml:space="preserve">ISO 9001:2015, 4.4.1 h, em resumo.
Há melhoria registrada no processo?</t>
        </r>
      </text>
    </comment>
  </commentList>
</comments>
</file>

<file path=xl/sharedStrings.xml><?xml version="1.0" encoding="utf-8"?>
<sst xmlns="http://schemas.openxmlformats.org/spreadsheetml/2006/main" count="569" uniqueCount="344">
  <si>
    <t xml:space="preserve">Mapa de processos e tartaruga — Como usar esta planilha</t>
  </si>
  <si>
    <t xml:space="preserve">Modelo para listar os processos, descrever as ligações, detalhar um processo e avaliar os oito elementos.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</si>
  <si>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</si>
  <si>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</si>
  <si>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</si>
  <si>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</si>
  <si>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nomes,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</si>
  <si>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</si>
  <si>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</si>
  <si>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</si>
  <si>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tipo e de avaliação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</si>
  <si>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</si>
  <si>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</si>
  <si>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Os três tipos de processo</t>
  </si>
  <si>
    <t xml:space="preserve">Gestão</t>
  </si>
  <si>
    <t xml:space="preserve">Define o rumo, os objetivos e os recursos, e confere os resultados.</t>
  </si>
  <si>
    <t xml:space="preserve">Principal</t>
  </si>
  <si>
    <t xml:space="preserve">Transforma o pedido do cliente em produto ou serviço entregue.</t>
  </si>
  <si>
    <t xml:space="preserve">Apoio</t>
  </si>
  <si>
    <t xml:space="preserve">Fornece os recursos de que os outros processos precisam.</t>
  </si>
  <si>
    <t xml:space="preserve">Ordem recomendada de preenchimento</t>
  </si>
  <si>
    <t xml:space="preserve">Passo 1</t>
  </si>
  <si>
    <t xml:space="preserve">Aba Processos: liste os processos, começando pelos principais, com tipo, dono e objetivo.</t>
  </si>
  <si>
    <t xml:space="preserve">Passo 2</t>
  </si>
  <si>
    <t xml:space="preserve">Aba Processos: escreva as principais entradas e saídas, o cliente e o indicador de cada processo.</t>
  </si>
  <si>
    <t xml:space="preserve">Passo 3</t>
  </si>
  <si>
    <t xml:space="preserve">Aba Interações: escreva, na linha de cada processo, o que ele entrega aos processos das colunas.</t>
  </si>
  <si>
    <t xml:space="preserve">Passo 4</t>
  </si>
  <si>
    <t xml:space="preserve">Aba Elementos: avalie os oito elementos de cada processo.</t>
  </si>
  <si>
    <t xml:space="preserve">Passo 5</t>
  </si>
  <si>
    <t xml:space="preserve">Aba Tartaruga: informe o número de um processo e preencha as sete partes.</t>
  </si>
  <si>
    <t xml:space="preserve">Passo 6</t>
  </si>
  <si>
    <t xml:space="preserve">Aba Tartaruga: confira se as entradas e as saídas aparecem na aba Interações.</t>
  </si>
  <si>
    <t xml:space="preserve">Passo 7</t>
  </si>
  <si>
    <t xml:space="preserve">Aba Checklist: valide o mapa com quem executa os processos.</t>
  </si>
  <si>
    <t xml:space="preserve">Abas da planilha</t>
  </si>
  <si>
    <t xml:space="preserve">Processos</t>
  </si>
  <si>
    <t xml:space="preserve">Lista de até 12 processos, com conferência dos campos e contagem por tipo.</t>
  </si>
  <si>
    <t xml:space="preserve">Interações</t>
  </si>
  <si>
    <t xml:space="preserve">Matriz com o que cada processo entrega aos outros, e situação de cada processo.</t>
  </si>
  <si>
    <t xml:space="preserve">Tartaruga</t>
  </si>
  <si>
    <t xml:space="preserve">As sete partes de um processo, com conferência de cada parte.</t>
  </si>
  <si>
    <t xml:space="preserve">Elementos</t>
  </si>
  <si>
    <t xml:space="preserve">Avaliação dos oito elementos de cada processo, com percentual e gráfico.</t>
  </si>
  <si>
    <t xml:space="preserve">Checklist</t>
  </si>
  <si>
    <t xml:space="preserve">Doze verificações de qualidade do mapa, com percentual de conclusão.</t>
  </si>
  <si>
    <t xml:space="preserve">Exemplo 1 - Pizzaria</t>
  </si>
  <si>
    <t xml:space="preserve">Lista de processos, avaliação dos elementos e tartaruga do processo de entrega.</t>
  </si>
  <si>
    <t xml:space="preserve">Exemplo 2 - Compras</t>
  </si>
  <si>
    <t xml:space="preserve">Tartaruga do processo de aquisição e interações com os outros processos.</t>
  </si>
  <si>
    <t xml:space="preserve">Regras e premissas do modelo</t>
  </si>
  <si>
    <t xml:space="preserve">Número do processo</t>
  </si>
  <si>
    <t xml:space="preserve">As abas Interações, Tartaruga e Elementos usam o número da linha da aba Processos. Não troque a ordem dos processos depois de preencher as outras abas.</t>
  </si>
  <si>
    <t xml:space="preserve">A matriz mostra as ligações entre processos. O primeiro processo principal recebe do cliente, e o último entrega ao cliente: nos dois casos, a situação aparece em amarelo, e não é um erro.</t>
  </si>
  <si>
    <t xml:space="preserve">São os oito itens do requisito 4.4.1 da ISO 9001:2015, resumidos com palavras próprias. “Sim” vale 1 ponto, e “Parcial”, meio. A pontuação é uma convenção deste modelo.</t>
  </si>
  <si>
    <t xml:space="preserve">Uma tartaruga por vez</t>
  </si>
  <si>
    <t xml:space="preserve">A aba Tartaruga serve a um processo. Para o processo seguinte, duplique a aba ou salve uma cópia do arquivo.</t>
  </si>
  <si>
    <t xml:space="preserve">Três tipos</t>
  </si>
  <si>
    <t xml:space="preserve">A divisão em gestão, principais e apoio é a mais usada. A norma não a exige.</t>
  </si>
  <si>
    <t xml:space="preserve">Exemplos</t>
  </si>
  <si>
    <t xml:space="preserve">Os dados das abas de exemplo são ilustrativos, criados para este material.</t>
  </si>
  <si>
    <t xml:space="preserve">Lista de processos</t>
  </si>
  <si>
    <t xml:space="preserve">Um processo por linha. Use verbo no infinitivo no nome: registrar o pedido, produzir, entregar.</t>
  </si>
  <si>
    <t xml:space="preserve">Organização</t>
  </si>
  <si>
    <t xml:space="preserve">Data</t>
  </si>
  <si>
    <t xml:space="preserve">O que o cliente pede</t>
  </si>
  <si>
    <t xml:space="preserve">O que o cliente recebe</t>
  </si>
  <si>
    <t xml:space="preserve">#</t>
  </si>
  <si>
    <t xml:space="preserve">Processo</t>
  </si>
  <si>
    <t xml:space="preserve">Tipo</t>
  </si>
  <si>
    <t xml:space="preserve">Dono</t>
  </si>
  <si>
    <t xml:space="preserve">Objetivo</t>
  </si>
  <si>
    <t xml:space="preserve">Principais entradas</t>
  </si>
  <si>
    <t xml:space="preserve">Principais saídas</t>
  </si>
  <si>
    <t xml:space="preserve">Cliente do processo</t>
  </si>
  <si>
    <t xml:space="preserve">Indicador</t>
  </si>
  <si>
    <t xml:space="preserve">Conferência</t>
  </si>
  <si>
    <t xml:space="preserve">Verbo no infinitivo</t>
  </si>
  <si>
    <t xml:space="preserve">Escolha na lista</t>
  </si>
  <si>
    <t xml:space="preserve">Quem responde pelo resultado</t>
  </si>
  <si>
    <t xml:space="preserve">O que o processo deve entregar</t>
  </si>
  <si>
    <t xml:space="preserve">O que recebe</t>
  </si>
  <si>
    <t xml:space="preserve">O que entrega</t>
  </si>
  <si>
    <t xml:space="preserve">Quem recebe a saída</t>
  </si>
  <si>
    <t xml:space="preserve">Como o resultado é medido</t>
  </si>
  <si>
    <t xml:space="preserve">Campos da linha</t>
  </si>
  <si>
    <t xml:space="preserve">Ex.</t>
  </si>
  <si>
    <t xml:space="preserve">Entregar o pedido</t>
  </si>
  <si>
    <t xml:space="preserve">Líder da expedição</t>
  </si>
  <si>
    <t xml:space="preserve">Entregar o pedido certo, quente e no prazo.</t>
  </si>
  <si>
    <t xml:space="preserve">Pedido embalado e endereço completo</t>
  </si>
  <si>
    <t xml:space="preserve">Pedido entregue e horário de chegada</t>
  </si>
  <si>
    <t xml:space="preserve">Cliente</t>
  </si>
  <si>
    <t xml:space="preserve">Entregas em até 40 minutos</t>
  </si>
  <si>
    <t xml:space="preserve">Completo</t>
  </si>
  <si>
    <t xml:space="preserve">Resumo automático</t>
  </si>
  <si>
    <t xml:space="preserve">Processos cadastrados</t>
  </si>
  <si>
    <t xml:space="preserve">De gestão</t>
  </si>
  <si>
    <t xml:space="preserve">Principais</t>
  </si>
  <si>
    <t xml:space="preserve">De apoio</t>
  </si>
  <si>
    <t xml:space="preserve">Sem indicador</t>
  </si>
  <si>
    <t xml:space="preserve">Aviso</t>
  </si>
  <si>
    <t xml:space="preserve">Matriz de interações</t>
  </si>
  <si>
    <t xml:space="preserve">Na linha de cada processo, escreva o que ele entrega ao processo de cada coluna. Deixe em branco quando não houver entrega.</t>
  </si>
  <si>
    <t xml:space="preserve">Quem entrega</t>
  </si>
  <si>
    <t xml:space="preserve">Quem recebe</t>
  </si>
  <si>
    <t xml:space="preserve">Entrega a</t>
  </si>
  <si>
    <t xml:space="preserve">Recebe de</t>
  </si>
  <si>
    <t xml:space="preserve">Situação</t>
  </si>
  <si>
    <t xml:space="preserve">Os nomes vêm da aba Processos</t>
  </si>
  <si>
    <t xml:space="preserve">Calculada</t>
  </si>
  <si>
    <t xml:space="preserve">Ligações registradas</t>
  </si>
  <si>
    <t xml:space="preserve">Processos ligados</t>
  </si>
  <si>
    <t xml:space="preserve">Processos sem ligação</t>
  </si>
  <si>
    <t xml:space="preserve">Processos que só entregam ou só recebem</t>
  </si>
  <si>
    <t xml:space="preserve">Diagrama de tartaruga</t>
  </si>
  <si>
    <t xml:space="preserve">Informe o número do processo e preencha as sete partes. Escreva o que existe hoje, e marque o que falta.</t>
  </si>
  <si>
    <t xml:space="preserve">Processo nº, de 1 a 12</t>
  </si>
  <si>
    <t xml:space="preserve">Tipo e dono</t>
  </si>
  <si>
    <t xml:space="preserve">Entradas · O que entra?</t>
  </si>
  <si>
    <t xml:space="preserve">Saídas · O que sai?</t>
  </si>
  <si>
    <t xml:space="preserve">Entrada</t>
  </si>
  <si>
    <t xml:space="preserve">De onde vem</t>
  </si>
  <si>
    <t xml:space="preserve">Saída</t>
  </si>
  <si>
    <t xml:space="preserve">Para onde vai</t>
  </si>
  <si>
    <t xml:space="preserve">Recursos · Com o quê?</t>
  </si>
  <si>
    <t xml:space="preserve">Pessoas · Com quem?</t>
  </si>
  <si>
    <t xml:space="preserve">Recurso</t>
  </si>
  <si>
    <t xml:space="preserve">Condição ou quantidade</t>
  </si>
  <si>
    <t xml:space="preserve">Função</t>
  </si>
  <si>
    <t xml:space="preserve">Competência necessária</t>
  </si>
  <si>
    <t xml:space="preserve">Métodos · Como?</t>
  </si>
  <si>
    <t xml:space="preserve">Indicadores · Quanto?</t>
  </si>
  <si>
    <t xml:space="preserve">Documento ou método</t>
  </si>
  <si>
    <t xml:space="preserve">Código, revisão ou assunto</t>
  </si>
  <si>
    <t xml:space="preserve">Meta</t>
  </si>
  <si>
    <t xml:space="preserve">Riscos · E se?</t>
  </si>
  <si>
    <t xml:space="preserve">Conferência automática</t>
  </si>
  <si>
    <t xml:space="preserve">Risco</t>
  </si>
  <si>
    <t xml:space="preserve">Resposta</t>
  </si>
  <si>
    <t xml:space="preserve">Entradas</t>
  </si>
  <si>
    <t xml:space="preserve">Saídas</t>
  </si>
  <si>
    <t xml:space="preserve">Recursos</t>
  </si>
  <si>
    <t xml:space="preserve">Pessoas</t>
  </si>
  <si>
    <t xml:space="preserve">Métodos</t>
  </si>
  <si>
    <t xml:space="preserve">Indicadores</t>
  </si>
  <si>
    <t xml:space="preserve">Riscos</t>
  </si>
  <si>
    <t xml:space="preserve">Os oito elementos de cada processo</t>
  </si>
  <si>
    <t xml:space="preserve">Avalie cada elemento com Sim, Parcial ou Não. Os nomes dos processos vêm da aba Processos.</t>
  </si>
  <si>
    <t xml:space="preserve">a · Entradas e saídas</t>
  </si>
  <si>
    <t xml:space="preserve">b · Sequência e interação</t>
  </si>
  <si>
    <t xml:space="preserve">c · Critérios e indicadores</t>
  </si>
  <si>
    <t xml:space="preserve">d · Recursos</t>
  </si>
  <si>
    <t xml:space="preserve">e · Responsabilidades</t>
  </si>
  <si>
    <t xml:space="preserve">f · Riscos e oportunidades</t>
  </si>
  <si>
    <t xml:space="preserve">g · Avaliação e mudanças</t>
  </si>
  <si>
    <t xml:space="preserve">h · Melhoria</t>
  </si>
  <si>
    <t xml:space="preserve">Pontos</t>
  </si>
  <si>
    <t xml:space="preserve">Percentual</t>
  </si>
  <si>
    <t xml:space="preserve">Sim</t>
  </si>
  <si>
    <t xml:space="preserve">Parcial</t>
  </si>
  <si>
    <t xml:space="preserve">Não</t>
  </si>
  <si>
    <t xml:space="preserve">Percentual do elemento</t>
  </si>
  <si>
    <t xml:space="preserve">Processos avaliados</t>
  </si>
  <si>
    <t xml:space="preserve">Média dos processos</t>
  </si>
  <si>
    <t xml:space="preserve">Processo com o menor percentual</t>
  </si>
  <si>
    <t xml:space="preserve">Elemento com o menor percentual</t>
  </si>
  <si>
    <t xml:space="preserve">Checklist de validação do mapa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</si>
  <si>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</si>
  <si>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</si>
  <si>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</si>
  <si>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</si>
  <si>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O mapa mostra todos os processos necessários para atender ao cliente.</t>
  </si>
  <si>
    <t xml:space="preserve">Os processos principais estão em sequência, do pedido à entrega.</t>
  </si>
  <si>
    <t xml:space="preserve">Os processos de gestão e de apoio estão identificados.</t>
  </si>
  <si>
    <t xml:space="preserve">Cada processo tem um dono, que responde pelo resultado.</t>
  </si>
  <si>
    <t xml:space="preserve">As entradas e as saídas de cada processo estão definidas.</t>
  </si>
  <si>
    <t xml:space="preserve">As interações estão descritas: o que um processo entrega ao outro.</t>
  </si>
  <si>
    <t xml:space="preserve">Os recursos e as competências de cada processo estão definidos.</t>
  </si>
  <si>
    <t xml:space="preserve">Os métodos e os documentos de cada processo estão identificados.</t>
  </si>
  <si>
    <t xml:space="preserve">Cada processo tem pelo menos um indicador, com meta.</t>
  </si>
  <si>
    <t xml:space="preserve">Os riscos e as oportunidades de cada processo foram avaliados.</t>
  </si>
  <si>
    <t xml:space="preserve">O mapa foi validado por quem executa os processos.</t>
  </si>
  <si>
    <t xml:space="preserve">O mapa é revisto a cada mudança e pelo menos uma vez por ano.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</si>
  <si>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</si>
  <si>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</si>
  <si>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</si>
  <si>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</si>
  <si>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</si>
  <si>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Mapa de processos e diagrama de tartaruga</t>
  </si>
  <si>
    <t xml:space="preserve">Exemplo preenchido, para consulta. Use as abas Processos, Interações, Tartaruga e Elementos para o seu mapa.</t>
  </si>
  <si>
    <t xml:space="preserve">Pizzaria (loja com salão e delivery)</t>
  </si>
  <si>
    <t xml:space="preserve">Data e participantes</t>
  </si>
  <si>
    <t xml:space="preserve">14/10/2026. Gerente da loja, com os líderes dos dois turnos.</t>
  </si>
  <si>
    <t xml:space="preserve">Origem</t>
  </si>
  <si>
    <t xml:space="preserve">Lacuna do requisito 4.4 no diagnóstico de 02/10/2026: só o delivery estava mapeado.</t>
  </si>
  <si>
    <t xml:space="preserve">O cliente</t>
  </si>
  <si>
    <t xml:space="preserve">Entrada: cliente com fome. Resultado: cliente atendido.</t>
  </si>
  <si>
    <t xml:space="preserve">Nº</t>
  </si>
  <si>
    <t xml:space="preserve">G1</t>
  </si>
  <si>
    <t xml:space="preserve">Planejar e dirigir a loja</t>
  </si>
  <si>
    <t xml:space="preserve">Dono da loja</t>
  </si>
  <si>
    <t xml:space="preserve">Definir objetivos, recursos e prioridades.</t>
  </si>
  <si>
    <t xml:space="preserve">Objetivos alcançados no ano</t>
  </si>
  <si>
    <t xml:space="preserve">G2</t>
  </si>
  <si>
    <t xml:space="preserve">Medir e melhorar</t>
  </si>
  <si>
    <t xml:space="preserve">Gerente da loja</t>
  </si>
  <si>
    <t xml:space="preserve">Acompanhar os resultados e tratar os desvios.</t>
  </si>
  <si>
    <t xml:space="preserve">Indicadores na meta</t>
  </si>
  <si>
    <t xml:space="preserve">P1</t>
  </si>
  <si>
    <t xml:space="preserve">Registrar o pedido</t>
  </si>
  <si>
    <t xml:space="preserve">Atendente líder</t>
  </si>
  <si>
    <t xml:space="preserve">Registrar o pedido certo, com endereço completo.</t>
  </si>
  <si>
    <t xml:space="preserve">Pedidos refeitos por erro</t>
  </si>
  <si>
    <t xml:space="preserve">P2</t>
  </si>
  <si>
    <t xml:space="preserve">Produzir e embalar</t>
  </si>
  <si>
    <t xml:space="preserve">Pizzaiolo líder</t>
  </si>
  <si>
    <t xml:space="preserve">Produzir a pizza pedida, no padrão da receita.</t>
  </si>
  <si>
    <t xml:space="preserve">Desperdício de insumos</t>
  </si>
  <si>
    <t xml:space="preserve">P3</t>
  </si>
  <si>
    <t xml:space="preserve">P4</t>
  </si>
  <si>
    <t xml:space="preserve">Atender no salão</t>
  </si>
  <si>
    <t xml:space="preserve">Servir o cliente da mesa no tempo prometido.</t>
  </si>
  <si>
    <t xml:space="preserve">A1</t>
  </si>
  <si>
    <t xml:space="preserve">Comprar e armazenar insumos</t>
  </si>
  <si>
    <t xml:space="preserve">Ter os insumos certos, dentro da validade.</t>
  </si>
  <si>
    <t xml:space="preserve">A2</t>
  </si>
  <si>
    <t xml:space="preserve">Manter equipamentos e motos</t>
  </si>
  <si>
    <t xml:space="preserve">Manter forno, câmara fria e motos disponíveis.</t>
  </si>
  <si>
    <t xml:space="preserve">A3</t>
  </si>
  <si>
    <t xml:space="preserve">Treinar a equipe</t>
  </si>
  <si>
    <t xml:space="preserve">Ter pessoas treinadas em todas as funções.</t>
  </si>
  <si>
    <t xml:space="preserve">Elementos definidos em cada processo</t>
  </si>
  <si>
    <t xml:space="preserve">De gestão, principais e de apoio</t>
  </si>
  <si>
    <t xml:space="preserve">Processos sem indicador</t>
  </si>
  <si>
    <t xml:space="preserve">Média dos elementos definidos</t>
  </si>
  <si>
    <t xml:space="preserve">Tartaruga do processo P3 · Entregar o pedido · dono: Líder da expedição</t>
  </si>
  <si>
    <t xml:space="preserve">Parte</t>
  </si>
  <si>
    <t xml:space="preserve">Item</t>
  </si>
  <si>
    <t xml:space="preserve">De onde vem, para onde vai, condição, meta ou resposta</t>
  </si>
  <si>
    <t xml:space="preserve">Pedido embalado e conferido</t>
  </si>
  <si>
    <t xml:space="preserve">Endereço completo do cliente</t>
  </si>
  <si>
    <t xml:space="preserve">Escala de entregadores do turno</t>
  </si>
  <si>
    <t xml:space="preserve">Pedido entregue ao cliente</t>
  </si>
  <si>
    <t xml:space="preserve">Horário de saída e de chegada</t>
  </si>
  <si>
    <t xml:space="preserve">Reclamações e devoluções</t>
  </si>
  <si>
    <t xml:space="preserve">Motos revisadas</t>
  </si>
  <si>
    <t xml:space="preserve">Revisão mensal</t>
  </si>
  <si>
    <t xml:space="preserve">Bolsas térmicas</t>
  </si>
  <si>
    <t xml:space="preserve">Uma por entregador</t>
  </si>
  <si>
    <t xml:space="preserve">Sistema de pedidos e celular</t>
  </si>
  <si>
    <t xml:space="preserve">Com internet móvel</t>
  </si>
  <si>
    <t xml:space="preserve">Conhece a instrução e a escala</t>
  </si>
  <si>
    <t xml:space="preserve">Entregadores</t>
  </si>
  <si>
    <t xml:space="preserve">Habilitação e direção segura</t>
  </si>
  <si>
    <t xml:space="preserve">Atendente</t>
  </si>
  <si>
    <t xml:space="preserve">Avisa o cliente sobre atrasos</t>
  </si>
  <si>
    <t xml:space="preserve">Instrução IT-EXP-01 rev. 2</t>
  </si>
  <si>
    <t xml:space="preserve">Agrupamento por zona</t>
  </si>
  <si>
    <t xml:space="preserve">Escala padrão de entregadores</t>
  </si>
  <si>
    <t xml:space="preserve">Extras nas noites de pico</t>
  </si>
  <si>
    <t xml:space="preserve">Conferência do pedido</t>
  </si>
  <si>
    <t xml:space="preserve">Rubrica na etiqueta</t>
  </si>
  <si>
    <t xml:space="preserve">No mínimo 95%</t>
  </si>
  <si>
    <t xml:space="preserve">Reclamações por 100 pedidos</t>
  </si>
  <si>
    <t xml:space="preserve">Até 2,0</t>
  </si>
  <si>
    <t xml:space="preserve">Faltam entregadores em noite de chuva</t>
  </si>
  <si>
    <t xml:space="preserve">Reduzir: sobreaviso</t>
  </si>
  <si>
    <t xml:space="preserve">Acidente com o entregador</t>
  </si>
  <si>
    <t xml:space="preserve">Compartilhar: seguro</t>
  </si>
  <si>
    <t xml:space="preserve">Exemplo preenchido, para consulta. Use as abas Tartaruga e Interações para o seu processo.</t>
  </si>
  <si>
    <t xml:space="preserve">Indústria de embalagens plásticas</t>
  </si>
  <si>
    <t xml:space="preserve">3 · Adquirir materiais e serviços</t>
  </si>
  <si>
    <t xml:space="preserve">Apoio · Gerente de Suprimentos</t>
  </si>
  <si>
    <t xml:space="preserve">Fornecer os materiais certos, no prazo, sem parar a produção.</t>
  </si>
  <si>
    <t xml:space="preserve">20/10/2026. Gerente de Suprimentos, com compradores e Recebimento.</t>
  </si>
  <si>
    <t xml:space="preserve">Preparação da auditoria de acompanhamento do processo de aquisição.</t>
  </si>
  <si>
    <t xml:space="preserve">As sete partes da tartaruga</t>
  </si>
  <si>
    <t xml:space="preserve">Requisição aprovada, com especificação</t>
  </si>
  <si>
    <t xml:space="preserve">Produção e Manutenção</t>
  </si>
  <si>
    <t xml:space="preserve">Plano de produção do mês</t>
  </si>
  <si>
    <t xml:space="preserve">Produção</t>
  </si>
  <si>
    <t xml:space="preserve">Especificação de materiais</t>
  </si>
  <si>
    <t xml:space="preserve">Desenvolvimento de produto</t>
  </si>
  <si>
    <t xml:space="preserve">Resultado da inspeção de recebimento</t>
  </si>
  <si>
    <t xml:space="preserve">Laboratório e controle da qualidade</t>
  </si>
  <si>
    <t xml:space="preserve">Resultados de auditoria e ações</t>
  </si>
  <si>
    <t xml:space="preserve">Gestão do sistema da qualidade</t>
  </si>
  <si>
    <t xml:space="preserve">Pedido de compra emitido</t>
  </si>
  <si>
    <t xml:space="preserve">Fornecedor</t>
  </si>
  <si>
    <t xml:space="preserve">Material recebido e conferido</t>
  </si>
  <si>
    <t xml:space="preserve">Avaliação dos fornecedores</t>
  </si>
  <si>
    <t xml:space="preserve">Sistema de compras</t>
  </si>
  <si>
    <t xml:space="preserve">Campo de especificação obrigatório</t>
  </si>
  <si>
    <t xml:space="preserve">Cadastro de itens e de fornecedores</t>
  </si>
  <si>
    <t xml:space="preserve">Com especificação padrão</t>
  </si>
  <si>
    <t xml:space="preserve">Área de recebimento e balança</t>
  </si>
  <si>
    <t xml:space="preserve">Balança verificada</t>
  </si>
  <si>
    <t xml:space="preserve">Gerente de Suprimentos</t>
  </si>
  <si>
    <t xml:space="preserve">Aprova acima da alçada</t>
  </si>
  <si>
    <t xml:space="preserve">Quatro compradores</t>
  </si>
  <si>
    <t xml:space="preserve">Treinados no PR-SUP-01</t>
  </si>
  <si>
    <t xml:space="preserve">Líder do Recebimento</t>
  </si>
  <si>
    <t xml:space="preserve">Confere antes de liberar</t>
  </si>
  <si>
    <t xml:space="preserve">Procedimento PR-SUP-01 rev. 6</t>
  </si>
  <si>
    <t xml:space="preserve">Da requisição ao recebimento</t>
  </si>
  <si>
    <t xml:space="preserve">Política de compras e alçadas</t>
  </si>
  <si>
    <t xml:space="preserve">Três cotações</t>
  </si>
  <si>
    <t xml:space="preserve">Critérios de homologação</t>
  </si>
  <si>
    <t xml:space="preserve">Documentos legais incluídos</t>
  </si>
  <si>
    <t xml:space="preserve">Prazo de atendimento</t>
  </si>
  <si>
    <t xml:space="preserve">Até 5,0 dias úteis</t>
  </si>
  <si>
    <t xml:space="preserve">Requisições com falha de especificação</t>
  </si>
  <si>
    <t xml:space="preserve">Até 5%</t>
  </si>
  <si>
    <t xml:space="preserve">Fornecedores críticos avaliados</t>
  </si>
  <si>
    <t xml:space="preserve">100%</t>
  </si>
  <si>
    <t xml:space="preserve">Itens devolvidos ao fornecedor</t>
  </si>
  <si>
    <t xml:space="preserve">Nenhum</t>
  </si>
  <si>
    <t xml:space="preserve">O fornecedor único deixa de entregar</t>
  </si>
  <si>
    <t xml:space="preserve">Reduzir: segundo fornecedor</t>
  </si>
  <si>
    <t xml:space="preserve">O item comprado é diferente do necessário</t>
  </si>
  <si>
    <t xml:space="preserve">Reduzir: RNC 2026-31</t>
  </si>
  <si>
    <t xml:space="preserve">Compra de fornecedor não homologado</t>
  </si>
  <si>
    <t xml:space="preserve">Evitar: bloqueio no sistema</t>
  </si>
  <si>
    <t xml:space="preserve">Interações do processo 3 com os outros processos</t>
  </si>
  <si>
    <t xml:space="preserve">Sentido</t>
  </si>
  <si>
    <t xml:space="preserve">O que é entregue</t>
  </si>
  <si>
    <t xml:space="preserve">2 · Desenvolvimento de produto</t>
  </si>
  <si>
    <t xml:space="preserve">4 · Produção</t>
  </si>
  <si>
    <t xml:space="preserve">Requisição de compra, com especificação, e plano de produção do mês</t>
  </si>
  <si>
    <t xml:space="preserve">5 · Laboratório e controle da qualidade</t>
  </si>
  <si>
    <t xml:space="preserve">7 · Manutenção</t>
  </si>
  <si>
    <t xml:space="preserve">Requisição de compra, com especificação</t>
  </si>
  <si>
    <t xml:space="preserve">9 · Gestão do sistema da qualidade</t>
  </si>
  <si>
    <t xml:space="preserve">Peças e serviços de manutenção</t>
  </si>
  <si>
    <t xml:space="preserve">Itens em entradas</t>
  </si>
  <si>
    <t xml:space="preserve">Itens em saídas</t>
  </si>
  <si>
    <t xml:space="preserve">Itens em recursos</t>
  </si>
  <si>
    <t xml:space="preserve">Itens em pessoas</t>
  </si>
  <si>
    <t xml:space="preserve">Itens em métodos</t>
  </si>
  <si>
    <t xml:space="preserve">Itens em indicadores</t>
  </si>
  <si>
    <t xml:space="preserve">Itens em riscos</t>
  </si>
  <si>
    <t xml:space="preserve">Processos de que recebe</t>
  </si>
  <si>
    <t xml:space="preserve">Processos a que entrega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</si>
</sst>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16242E"/>
      <name val="Arial"/>
      <family val="0"/>
      <charset val="1"/>
    </font>
    <font>
      <sz val="10"/>
      <color rgb="FF000000"/>
      <name val="Calibri"/>
      <family val="2"/>
    </font>
    <font>
      <b val="true"/>
      <sz val="8"/>
      <color rgb="FF16242E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DCE8F3"/>
        <bgColor rgb="FFD9EEEB"/>
      </patternFill>
    </fill>
    <fill>
      <patternFill patternType="solid">
        <fgColor rgb="FFA96A12"/>
        <bgColor rgb="FFB0413E"/>
      </patternFill>
    </fill>
    <fill>
      <patternFill patternType="solid">
        <fgColor rgb="FFF6E8CF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D9DEE2"/>
        <bgColor rgb="FFD3DBE0"/>
      </patternFill>
    </fill>
    <fill>
      <patternFill patternType="solid">
        <fgColor rgb="FFB0413E"/>
        <bgColor rgb="FF993300"/>
      </patternFill>
    </fill>
    <fill>
      <patternFill patternType="solid">
        <fgColor rgb="FFFFFFFF"/>
        <bgColor rgb="FFFFF9DB"/>
      </patternFill>
    </fill>
    <fill>
      <patternFill patternType="solid">
        <fgColor rgb="FF7A4A9A"/>
        <bgColor rgb="FF5B6B7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CE8F3"/>
        </patternFill>
      </fill>
    </dxf>
    <dxf>
      <fill>
        <patternFill>
          <bgColor rgb="FFF6E8CF"/>
        </patternFill>
      </fill>
    </dxf>
    <dxf>
      <fill>
        <patternFill>
          <bgColor rgb="FFD9EEEB"/>
        </patternFill>
      </fill>
    </dxf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1F3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3"/>
      <rgbColor rgb="FFD8EFDD"/>
      <rgbColor rgb="FFFBEBC8"/>
      <rgbColor rgb="FFD3DBE0"/>
      <rgbColor rgb="FFF6E8CF"/>
      <rgbColor rgb="FFD9DEE2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"Elementos definidos"</c:f>
              <c:strCache>
                <c:ptCount val="1"/>
                <c:pt idx="0">
                  <c:v>Elementos definidos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Elementos!$C$5:$C$16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Elementos!$M$5:$M$16</c:f>
              <c:numCache>
                <c:formatCode>General</c:formatCode>
                <c:ptCount val="12"/>
              </c:numCache>
            </c:numRef>
          </c:val>
        </c:ser>
        <c:gapWidth val="60"/>
        <c:overlap val="0"/>
        <c:axId val="87258834"/>
        <c:axId val="53690365"/>
      </c:barChart>
      <c:catAx>
        <c:axId val="8725883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90365"/>
        <c:crosses val="autoZero"/>
        <c:auto val="1"/>
        <c:lblAlgn val="ctr"/>
        <c:lblOffset val="100"/>
        <c:noMultiLvlLbl val="0"/>
      </c:catAx>
      <c:valAx>
        <c:axId val="5369036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58834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"Elementos definidos"</c:f>
              <c:strCache>
                <c:ptCount val="1"/>
                <c:pt idx="0">
                  <c:v>Elementos definidos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Pizzaria'!$C$11:$C$19</c:f>
              <c:strCache>
                <c:ptCount val="9"/>
                <c:pt idx="0">
                  <c:v>Planejar e dirigir a loja</c:v>
                </c:pt>
                <c:pt idx="1">
                  <c:v>Medir e melhorar</c:v>
                </c:pt>
                <c:pt idx="2">
                  <c:v>Registrar o pedido</c:v>
                </c:pt>
                <c:pt idx="3">
                  <c:v>Produzir e embalar</c:v>
                </c:pt>
                <c:pt idx="4">
                  <c:v>Entregar o pedido</c:v>
                </c:pt>
                <c:pt idx="5">
                  <c:v>Atender no salão</c:v>
                </c:pt>
                <c:pt idx="6">
                  <c:v>Comprar e armazenar insumos</c:v>
                </c:pt>
                <c:pt idx="7">
                  <c:v>Manter equipamentos e motos</c:v>
                </c:pt>
                <c:pt idx="8">
                  <c:v>Treinar a equipe</c:v>
                </c:pt>
              </c:strCache>
            </c:strRef>
          </c:cat>
          <c:val>
            <c:numRef>
              <c:f>'Exemplo 1 - Pizzaria'!$Q$11:$Q$19</c:f>
              <c:numCache>
                <c:formatCode>0%</c:formatCode>
                <c:ptCount val="9"/>
                <c:pt idx="0">
                  <c:v>0.625</c:v>
                </c:pt>
                <c:pt idx="1">
                  <c:v>0.875</c:v>
                </c:pt>
                <c:pt idx="2">
                  <c:v>0.8125</c:v>
                </c:pt>
                <c:pt idx="3">
                  <c:v>0.875</c:v>
                </c:pt>
                <c:pt idx="4">
                  <c:v>1</c:v>
                </c:pt>
                <c:pt idx="5">
                  <c:v>0.3125</c:v>
                </c:pt>
                <c:pt idx="6">
                  <c:v>0.5</c:v>
                </c:pt>
                <c:pt idx="7">
                  <c:v>0.4375</c:v>
                </c:pt>
                <c:pt idx="8">
                  <c:v>0.3125</c:v>
                </c:pt>
              </c:numCache>
            </c:numRef>
          </c:val>
        </c:ser>
        <c:gapWidth val="60"/>
        <c:overlap val="0"/>
        <c:axId val="339729"/>
        <c:axId val="40387945"/>
      </c:barChart>
      <c:catAx>
        <c:axId val="33972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87945"/>
        <c:crosses val="autoZero"/>
        <c:auto val="1"/>
        <c:lblAlgn val="ctr"/>
        <c:lblOffset val="100"/>
        <c:noMultiLvlLbl val="0"/>
      </c:catAx>
      <c:valAx>
        <c:axId val="4038794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729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9</xdr:col>
      <xdr:colOff>156600</xdr:colOff>
      <xdr:row>45</xdr:row>
      <xdr:rowOff>1080</xdr:rowOff>
    </xdr:to>
    <xdr:graphicFrame>
      <xdr:nvGraphicFramePr>
        <xdr:cNvPr id="0" name="Chart 1"/>
        <xdr:cNvGraphicFramePr/>
      </xdr:nvGraphicFramePr>
      <xdr:xfrm>
        <a:off x="141120" y="862956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22</xdr:row>
      <xdr:rowOff>0</xdr:rowOff>
    </xdr:from>
    <xdr:to>
      <xdr:col>15</xdr:col>
      <xdr:colOff>181440</xdr:colOff>
      <xdr:row>34</xdr:row>
      <xdr:rowOff>151200</xdr:rowOff>
    </xdr:to>
    <xdr:graphicFrame>
      <xdr:nvGraphicFramePr>
        <xdr:cNvPr id="1" name="Chart 1"/>
        <xdr:cNvGraphicFramePr/>
      </xdr:nvGraphicFramePr>
      <xdr:xfrm>
        <a:off x="9374400" y="7115040"/>
        <a:ext cx="86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6" customFormat="false" ht="21.75" hidden="false" customHeight="true" outlineLevel="0" collapsed="false">
      <c r="B16" s="3" t="s">
        <v>20</v>
      </c>
      <c r="C16" s="3"/>
    </row>
    <row r="17" customFormat="false" ht="19.5" hidden="false" customHeight="true" outlineLevel="0" collapsed="false">
      <c r="B17" s="4" t="s">
        <v>21</v>
      </c>
      <c r="C17" s="7" t="s">
        <v>22</v>
      </c>
    </row>
    <row r="18" customFormat="false" ht="19.5" hidden="false" customHeight="true" outlineLevel="0" collapsed="false">
      <c r="B18" s="4" t="s">
        <v>23</v>
      </c>
      <c r="C18" s="7" t="s">
        <v>24</v>
      </c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5" customFormat="false" ht="21.75" hidden="false" customHeight="true" outlineLevel="0" collapsed="false">
      <c r="B25" s="3" t="s">
        <v>35</v>
      </c>
      <c r="C25" s="3"/>
    </row>
    <row r="26" customFormat="false" ht="19.5" hidden="false" customHeight="true" outlineLevel="0" collapsed="false">
      <c r="B26" s="4" t="s">
        <v>36</v>
      </c>
      <c r="C26" s="7" t="s">
        <v>37</v>
      </c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4" customFormat="false" ht="21.75" hidden="false" customHeight="true" outlineLevel="0" collapsed="false">
      <c r="B34" s="3" t="s">
        <v>50</v>
      </c>
      <c r="C34" s="3"/>
    </row>
    <row r="35" customFormat="false" ht="31.5" hidden="false" customHeight="true" outlineLevel="0" collapsed="false">
      <c r="B35" s="4" t="s">
        <v>51</v>
      </c>
      <c r="C35" s="7" t="s">
        <v>52</v>
      </c>
    </row>
    <row r="36" customFormat="false" ht="31.5" hidden="false" customHeight="true" outlineLevel="0" collapsed="false">
      <c r="B36" s="4" t="s">
        <v>38</v>
      </c>
      <c r="C36" s="7" t="s">
        <v>53</v>
      </c>
    </row>
    <row r="37" customFormat="false" ht="31.5" hidden="false" customHeight="true" outlineLevel="0" collapsed="false">
      <c r="B37" s="4" t="s">
        <v>42</v>
      </c>
      <c r="C37" s="7" t="s">
        <v>54</v>
      </c>
    </row>
    <row r="38" customFormat="false" ht="31.5" hidden="false" customHeight="true" outlineLevel="0" collapsed="false">
      <c r="B38" s="4" t="s">
        <v>55</v>
      </c>
      <c r="C38" s="7" t="s">
        <v>56</v>
      </c>
    </row>
    <row r="39" customFormat="false" ht="19.5" hidden="false" customHeight="true" outlineLevel="0" collapsed="false">
      <c r="B39" s="4" t="s">
        <v>57</v>
      </c>
      <c r="C39" s="7" t="s">
        <v>58</v>
      </c>
    </row>
    <row r="40" customFormat="false" ht="19.5" hidden="false" customHeight="true" outlineLevel="0" collapsed="false">
      <c r="B40" s="4" t="s">
        <v>59</v>
      </c>
      <c r="C40" s="7" t="s">
        <v>60</v>
      </c>
    </row>
  </sheetData>
  <mergeCells count="7">
    <mergeCell ref="B1:C1"/>
    <mergeCell ref="B2:C2"/>
    <mergeCell ref="B4:C4"/>
    <mergeCell ref="B11:C11"/>
    <mergeCell ref="B16:C16"/>
    <mergeCell ref="B25:C25"/>
    <mergeCell ref="B34:C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K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8" min="7" style="0" width="32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6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61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62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B4" s="4" t="s">
        <v>63</v>
      </c>
      <c r="C4" s="4"/>
      <c r="D4" s="5"/>
      <c r="E4" s="5"/>
      <c r="F4" s="5"/>
      <c r="G4" s="4" t="s">
        <v>64</v>
      </c>
      <c r="H4" s="14"/>
      <c r="I4" s="14"/>
      <c r="J4" s="14"/>
      <c r="K4" s="14"/>
    </row>
    <row r="5" customFormat="false" ht="24" hidden="false" customHeight="true" outlineLevel="0" collapsed="false">
      <c r="B5" s="4" t="s">
        <v>65</v>
      </c>
      <c r="C5" s="4"/>
      <c r="D5" s="5"/>
      <c r="E5" s="5"/>
      <c r="F5" s="5"/>
      <c r="G5" s="4" t="s">
        <v>66</v>
      </c>
      <c r="H5" s="5"/>
      <c r="I5" s="5"/>
      <c r="J5" s="5"/>
      <c r="K5" s="5"/>
    </row>
    <row r="7" customFormat="false" ht="24" hidden="false" customHeight="true" outlineLevel="0" collapsed="false">
      <c r="B7" s="15" t="s">
        <v>67</v>
      </c>
      <c r="C7" s="15" t="s">
        <v>68</v>
      </c>
      <c r="D7" s="15" t="s">
        <v>69</v>
      </c>
      <c r="E7" s="15" t="s">
        <v>70</v>
      </c>
      <c r="F7" s="15" t="s">
        <v>71</v>
      </c>
      <c r="G7" s="15" t="s">
        <v>72</v>
      </c>
      <c r="H7" s="15" t="s">
        <v>73</v>
      </c>
      <c r="I7" s="15" t="s">
        <v>74</v>
      </c>
      <c r="J7" s="15" t="s">
        <v>75</v>
      </c>
      <c r="K7" s="15" t="s">
        <v>76</v>
      </c>
    </row>
    <row r="8" customFormat="false" ht="30" hidden="false" customHeight="true" outlineLevel="0" collapsed="false">
      <c r="B8" s="16"/>
      <c r="C8" s="16" t="s">
        <v>77</v>
      </c>
      <c r="D8" s="16" t="s">
        <v>78</v>
      </c>
      <c r="E8" s="16" t="s">
        <v>79</v>
      </c>
      <c r="F8" s="16" t="s">
        <v>80</v>
      </c>
      <c r="G8" s="16" t="s">
        <v>81</v>
      </c>
      <c r="H8" s="16" t="s">
        <v>82</v>
      </c>
      <c r="I8" s="16" t="s">
        <v>83</v>
      </c>
      <c r="J8" s="16" t="s">
        <v>84</v>
      </c>
      <c r="K8" s="16" t="s">
        <v>85</v>
      </c>
    </row>
    <row r="9" customFormat="false" ht="33" hidden="false" customHeight="true" outlineLevel="0" collapsed="false">
      <c r="B9" s="16" t="s">
        <v>86</v>
      </c>
      <c r="C9" s="17" t="s">
        <v>87</v>
      </c>
      <c r="D9" s="16" t="s">
        <v>16</v>
      </c>
      <c r="E9" s="17" t="s">
        <v>88</v>
      </c>
      <c r="F9" s="17" t="s">
        <v>89</v>
      </c>
      <c r="G9" s="17" t="s">
        <v>90</v>
      </c>
      <c r="H9" s="17" t="s">
        <v>91</v>
      </c>
      <c r="I9" s="17" t="s">
        <v>92</v>
      </c>
      <c r="J9" s="17" t="s">
        <v>93</v>
      </c>
      <c r="K9" s="16" t="s">
        <v>94</v>
      </c>
    </row>
    <row r="10" customFormat="false" ht="36" hidden="false" customHeight="true" outlineLevel="0" collapsed="false">
      <c r="B10" s="18" t="n">
        <v>1</v>
      </c>
      <c r="C10" s="5"/>
      <c r="D10" s="19"/>
      <c r="E10" s="5"/>
      <c r="F10" s="5"/>
      <c r="G10" s="5"/>
      <c r="H10" s="5"/>
      <c r="I10" s="5"/>
      <c r="J10" s="5"/>
      <c r="K10" s="20" t="str">
        <f aca="false">IF(C10="","",IF(D10="","Falta o tipo",IF(E10="","Falta o dono",IF(F10="","Falta o objetivo",IF(OR(G10="",H10=""),"Faltam entradas ou saídas",IF(I10="","Falta o cliente do processo",IF(J10="","Falta o indicador","Completo")))))))</f>
        <v/>
      </c>
    </row>
    <row r="11" customFormat="false" ht="36" hidden="false" customHeight="true" outlineLevel="0" collapsed="false">
      <c r="B11" s="18" t="n">
        <v>2</v>
      </c>
      <c r="C11" s="5"/>
      <c r="D11" s="19"/>
      <c r="E11" s="5"/>
      <c r="F11" s="5"/>
      <c r="G11" s="5"/>
      <c r="H11" s="5"/>
      <c r="I11" s="5"/>
      <c r="J11" s="5"/>
      <c r="K11" s="20" t="str">
        <f aca="false">IF(C11="","",IF(D11="","Falta o tipo",IF(E11="","Falta o dono",IF(F11="","Falta o objetivo",IF(OR(G11="",H11=""),"Faltam entradas ou saídas",IF(I11="","Falta o cliente do processo",IF(J11="","Falta o indicador","Completo")))))))</f>
        <v/>
      </c>
    </row>
    <row r="12" customFormat="false" ht="36" hidden="false" customHeight="true" outlineLevel="0" collapsed="false">
      <c r="B12" s="18" t="n">
        <v>3</v>
      </c>
      <c r="C12" s="5"/>
      <c r="D12" s="19"/>
      <c r="E12" s="5"/>
      <c r="F12" s="5"/>
      <c r="G12" s="5"/>
      <c r="H12" s="5"/>
      <c r="I12" s="5"/>
      <c r="J12" s="5"/>
      <c r="K12" s="20" t="str">
        <f aca="false">IF(C12="","",IF(D12="","Falta o tipo",IF(E12="","Falta o dono",IF(F12="","Falta o objetivo",IF(OR(G12="",H12=""),"Faltam entradas ou saídas",IF(I12="","Falta o cliente do processo",IF(J12="","Falta o indicador","Completo")))))))</f>
        <v/>
      </c>
    </row>
    <row r="13" customFormat="false" ht="36" hidden="false" customHeight="true" outlineLevel="0" collapsed="false">
      <c r="B13" s="18" t="n">
        <v>4</v>
      </c>
      <c r="C13" s="5"/>
      <c r="D13" s="19"/>
      <c r="E13" s="5"/>
      <c r="F13" s="5"/>
      <c r="G13" s="5"/>
      <c r="H13" s="5"/>
      <c r="I13" s="5"/>
      <c r="J13" s="5"/>
      <c r="K13" s="20" t="str">
        <f aca="false">IF(C13="","",IF(D13="","Falta o tipo",IF(E13="","Falta o dono",IF(F13="","Falta o objetivo",IF(OR(G13="",H13=""),"Faltam entradas ou saídas",IF(I13="","Falta o cliente do processo",IF(J13="","Falta o indicador","Completo")))))))</f>
        <v/>
      </c>
    </row>
    <row r="14" customFormat="false" ht="36" hidden="false" customHeight="true" outlineLevel="0" collapsed="false">
      <c r="B14" s="18" t="n">
        <v>5</v>
      </c>
      <c r="C14" s="5"/>
      <c r="D14" s="19"/>
      <c r="E14" s="5"/>
      <c r="F14" s="5"/>
      <c r="G14" s="5"/>
      <c r="H14" s="5"/>
      <c r="I14" s="5"/>
      <c r="J14" s="5"/>
      <c r="K14" s="20" t="str">
        <f aca="false">IF(C14="","",IF(D14="","Falta o tipo",IF(E14="","Falta o dono",IF(F14="","Falta o objetivo",IF(OR(G14="",H14=""),"Faltam entradas ou saídas",IF(I14="","Falta o cliente do processo",IF(J14="","Falta o indicador","Completo")))))))</f>
        <v/>
      </c>
    </row>
    <row r="15" customFormat="false" ht="36" hidden="false" customHeight="true" outlineLevel="0" collapsed="false">
      <c r="B15" s="18" t="n">
        <v>6</v>
      </c>
      <c r="C15" s="5"/>
      <c r="D15" s="19"/>
      <c r="E15" s="5"/>
      <c r="F15" s="5"/>
      <c r="G15" s="5"/>
      <c r="H15" s="5"/>
      <c r="I15" s="5"/>
      <c r="J15" s="5"/>
      <c r="K15" s="20" t="str">
        <f aca="false">IF(C15="","",IF(D15="","Falta o tipo",IF(E15="","Falta o dono",IF(F15="","Falta o objetivo",IF(OR(G15="",H15=""),"Faltam entradas ou saídas",IF(I15="","Falta o cliente do processo",IF(J15="","Falta o indicador","Completo")))))))</f>
        <v/>
      </c>
    </row>
    <row r="16" customFormat="false" ht="36" hidden="false" customHeight="true" outlineLevel="0" collapsed="false">
      <c r="B16" s="18" t="n">
        <v>7</v>
      </c>
      <c r="C16" s="5"/>
      <c r="D16" s="19"/>
      <c r="E16" s="5"/>
      <c r="F16" s="5"/>
      <c r="G16" s="5"/>
      <c r="H16" s="5"/>
      <c r="I16" s="5"/>
      <c r="J16" s="5"/>
      <c r="K16" s="20" t="str">
        <f aca="false">IF(C16="","",IF(D16="","Falta o tipo",IF(E16="","Falta o dono",IF(F16="","Falta o objetivo",IF(OR(G16="",H16=""),"Faltam entradas ou saídas",IF(I16="","Falta o cliente do processo",IF(J16="","Falta o indicador","Completo")))))))</f>
        <v/>
      </c>
    </row>
    <row r="17" customFormat="false" ht="36" hidden="false" customHeight="true" outlineLevel="0" collapsed="false">
      <c r="B17" s="18" t="n">
        <v>8</v>
      </c>
      <c r="C17" s="5"/>
      <c r="D17" s="19"/>
      <c r="E17" s="5"/>
      <c r="F17" s="5"/>
      <c r="G17" s="5"/>
      <c r="H17" s="5"/>
      <c r="I17" s="5"/>
      <c r="J17" s="5"/>
      <c r="K17" s="20" t="str">
        <f aca="false">IF(C17="","",IF(D17="","Falta o tipo",IF(E17="","Falta o dono",IF(F17="","Falta o objetivo",IF(OR(G17="",H17=""),"Faltam entradas ou saídas",IF(I17="","Falta o cliente do processo",IF(J17="","Falta o indicador","Completo")))))))</f>
        <v/>
      </c>
    </row>
    <row r="18" customFormat="false" ht="36" hidden="false" customHeight="true" outlineLevel="0" collapsed="false">
      <c r="B18" s="18" t="n">
        <v>9</v>
      </c>
      <c r="C18" s="5"/>
      <c r="D18" s="19"/>
      <c r="E18" s="5"/>
      <c r="F18" s="5"/>
      <c r="G18" s="5"/>
      <c r="H18" s="5"/>
      <c r="I18" s="5"/>
      <c r="J18" s="5"/>
      <c r="K18" s="20" t="str">
        <f aca="false">IF(C18="","",IF(D18="","Falta o tipo",IF(E18="","Falta o dono",IF(F18="","Falta o objetivo",IF(OR(G18="",H18=""),"Faltam entradas ou saídas",IF(I18="","Falta o cliente do processo",IF(J18="","Falta o indicador","Completo")))))))</f>
        <v/>
      </c>
    </row>
    <row r="19" customFormat="false" ht="36" hidden="false" customHeight="true" outlineLevel="0" collapsed="false">
      <c r="B19" s="18" t="n">
        <v>10</v>
      </c>
      <c r="C19" s="5"/>
      <c r="D19" s="19"/>
      <c r="E19" s="5"/>
      <c r="F19" s="5"/>
      <c r="G19" s="5"/>
      <c r="H19" s="5"/>
      <c r="I19" s="5"/>
      <c r="J19" s="5"/>
      <c r="K19" s="20" t="str">
        <f aca="false">IF(C19="","",IF(D19="","Falta o tipo",IF(E19="","Falta o dono",IF(F19="","Falta o objetivo",IF(OR(G19="",H19=""),"Faltam entradas ou saídas",IF(I19="","Falta o cliente do processo",IF(J19="","Falta o indicador","Completo")))))))</f>
        <v/>
      </c>
    </row>
    <row r="20" customFormat="false" ht="36" hidden="false" customHeight="true" outlineLevel="0" collapsed="false">
      <c r="B20" s="18" t="n">
        <v>11</v>
      </c>
      <c r="C20" s="5"/>
      <c r="D20" s="19"/>
      <c r="E20" s="5"/>
      <c r="F20" s="5"/>
      <c r="G20" s="5"/>
      <c r="H20" s="5"/>
      <c r="I20" s="5"/>
      <c r="J20" s="5"/>
      <c r="K20" s="20" t="str">
        <f aca="false">IF(C20="","",IF(D20="","Falta o tipo",IF(E20="","Falta o dono",IF(F20="","Falta o objetivo",IF(OR(G20="",H20=""),"Faltam entradas ou saídas",IF(I20="","Falta o cliente do processo",IF(J20="","Falta o indicador","Completo")))))))</f>
        <v/>
      </c>
    </row>
    <row r="21" customFormat="false" ht="36" hidden="false" customHeight="true" outlineLevel="0" collapsed="false">
      <c r="B21" s="18" t="n">
        <v>12</v>
      </c>
      <c r="C21" s="5"/>
      <c r="D21" s="19"/>
      <c r="E21" s="5"/>
      <c r="F21" s="5"/>
      <c r="G21" s="5"/>
      <c r="H21" s="5"/>
      <c r="I21" s="5"/>
      <c r="J21" s="5"/>
      <c r="K21" s="20" t="str">
        <f aca="false">IF(C21="","",IF(D21="","Falta o tipo",IF(E21="","Falta o dono",IF(F21="","Falta o objetivo",IF(OR(G21="",H21=""),"Faltam entradas ou saídas",IF(I21="","Falta o cliente do processo",IF(J21="","Falta o indicador","Completo")))))))</f>
        <v/>
      </c>
    </row>
    <row r="23" customFormat="false" ht="21.75" hidden="false" customHeight="true" outlineLevel="0" collapsed="false">
      <c r="B23" s="21" t="s">
        <v>95</v>
      </c>
      <c r="C23" s="21"/>
      <c r="D23" s="21"/>
      <c r="E23" s="21"/>
      <c r="F23" s="21"/>
      <c r="G23" s="21"/>
      <c r="H23" s="21"/>
      <c r="I23" s="21"/>
      <c r="J23" s="21"/>
      <c r="K23" s="21"/>
    </row>
    <row r="24" customFormat="false" ht="21.75" hidden="false" customHeight="true" outlineLevel="0" collapsed="false">
      <c r="B24" s="22" t="s">
        <v>96</v>
      </c>
      <c r="C24" s="22"/>
      <c r="D24" s="22"/>
      <c r="E24" s="23" t="n">
        <f aca="false">COUNTA(C10:C21)</f>
        <v>0</v>
      </c>
      <c r="F24" s="23"/>
    </row>
    <row r="25" customFormat="false" ht="21.75" hidden="false" customHeight="true" outlineLevel="0" collapsed="false">
      <c r="B25" s="22" t="s">
        <v>97</v>
      </c>
      <c r="C25" s="22"/>
      <c r="D25" s="22"/>
      <c r="E25" s="23" t="n">
        <f aca="false">COUNTIF(D10:D21,"Gestão")</f>
        <v>0</v>
      </c>
      <c r="F25" s="23"/>
    </row>
    <row r="26" customFormat="false" ht="21.75" hidden="false" customHeight="true" outlineLevel="0" collapsed="false">
      <c r="B26" s="22" t="s">
        <v>98</v>
      </c>
      <c r="C26" s="22"/>
      <c r="D26" s="22"/>
      <c r="E26" s="23" t="n">
        <f aca="false">COUNTIF(D10:D21,"Principal")</f>
        <v>0</v>
      </c>
      <c r="F26" s="23"/>
    </row>
    <row r="27" customFormat="false" ht="21.75" hidden="false" customHeight="true" outlineLevel="0" collapsed="false">
      <c r="B27" s="22" t="s">
        <v>99</v>
      </c>
      <c r="C27" s="22"/>
      <c r="D27" s="22"/>
      <c r="E27" s="23" t="n">
        <f aca="false">COUNTIF(D10:D21,"Apoio")</f>
        <v>0</v>
      </c>
      <c r="F27" s="23"/>
    </row>
    <row r="28" customFormat="false" ht="21.75" hidden="false" customHeight="true" outlineLevel="0" collapsed="false">
      <c r="B28" s="22" t="s">
        <v>100</v>
      </c>
      <c r="C28" s="22"/>
      <c r="D28" s="22"/>
      <c r="E28" s="23" t="n">
        <f aca="false">SUMPRODUCT((C10:C21&lt;&gt;"")*(J10:J21=""))</f>
        <v>0</v>
      </c>
      <c r="F28" s="23"/>
    </row>
    <row r="29" customFormat="false" ht="21.75" hidden="false" customHeight="true" outlineLevel="0" collapsed="false">
      <c r="B29" s="22" t="s">
        <v>101</v>
      </c>
      <c r="C29" s="22"/>
      <c r="D29" s="22"/>
      <c r="E29" s="20" t="str">
        <f aca="false">IF(E24=0,"Cadastre os processos",IF(E26=0,"Não há processo principal",IF(OR(E25=0,E27=0),"Falta processo de gestão ou de apoio",IF(COUNTIF(K10:K21,"Falta*")&gt;0,"Há processo com o cadastro incompleto: veja a coluna Conferência","OK"))))</f>
        <v>Cadastre os processos</v>
      </c>
      <c r="F29" s="20"/>
    </row>
  </sheetData>
  <mergeCells count="21">
    <mergeCell ref="B1:K1"/>
    <mergeCell ref="B2:K2"/>
    <mergeCell ref="B4:C4"/>
    <mergeCell ref="D4:F4"/>
    <mergeCell ref="H4:K4"/>
    <mergeCell ref="B5:C5"/>
    <mergeCell ref="D5:F5"/>
    <mergeCell ref="H5:K5"/>
    <mergeCell ref="B23:K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</mergeCells>
  <conditionalFormatting sqref="D10:D21">
    <cfRule type="cellIs" priority="2" operator="equal" aboveAverage="0" equalAverage="0" bottom="0" percent="0" rank="0" text="" dxfId="0">
      <formula>"Gestão"</formula>
    </cfRule>
    <cfRule type="cellIs" priority="3" operator="equal" aboveAverage="0" equalAverage="0" bottom="0" percent="0" rank="0" text="" dxfId="1">
      <formula>"Principal"</formula>
    </cfRule>
    <cfRule type="cellIs" priority="4" operator="equal" aboveAverage="0" equalAverage="0" bottom="0" percent="0" rank="0" text="" dxfId="2">
      <formula>"Apoio"</formula>
    </cfRule>
  </conditionalFormatting>
  <conditionalFormatting sqref="K10:K21">
    <cfRule type="expression" priority="5" aboveAverage="0" equalAverage="0" bottom="0" percent="0" rank="0" text="" dxfId="3">
      <formula>OR(K10="Completo")</formula>
    </cfRule>
    <cfRule type="expression" priority="6" aboveAverage="0" equalAverage="0" bottom="0" percent="0" rank="0" text="" dxfId="4">
      <formula>AND(LEN(K10)&gt;0,NOT(OR(K10="Completo")))</formula>
    </cfRule>
  </conditionalFormatting>
  <conditionalFormatting sqref="E29:F29">
    <cfRule type="expression" priority="7" aboveAverage="0" equalAverage="0" bottom="0" percent="0" rank="0" text="" dxfId="3">
      <formula>OR(E29="OK")</formula>
    </cfRule>
    <cfRule type="expression" priority="8" aboveAverage="0" equalAverage="0" bottom="0" percent="0" rank="0" text="" dxfId="4">
      <formula>AND(LEN(E29)&gt;0,NOT(OR(E29="OK")))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H4" type="date">
      <formula1>36526</formula1>
      <formula2>0</formula2>
    </dataValidation>
    <dataValidation allowBlank="true" error="Escolha uma das opções da lista." errorStyle="stop" errorTitle="Valor inválido" operator="between" prompt="Gestão, Principal ou Apoio" promptTitle="Opções" showDropDown="false" showErrorMessage="true" showInputMessage="true" sqref="D10:D21" type="list">
      <formula1>"Gestão,Principal,Apoio"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15" min="4" style="0" width="15"/>
    <col collapsed="false" customWidth="true" hidden="false" outlineLevel="0" max="17" min="16" style="0" width="11"/>
    <col collapsed="false" customWidth="true" hidden="false" outlineLevel="0" max="18" min="18" style="0" width="28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102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103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15" t="s">
        <v>67</v>
      </c>
      <c r="C4" s="15" t="s">
        <v>104</v>
      </c>
      <c r="D4" s="15" t="s">
        <v>105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 t="s">
        <v>106</v>
      </c>
      <c r="Q4" s="15" t="s">
        <v>107</v>
      </c>
      <c r="R4" s="15" t="s">
        <v>108</v>
      </c>
    </row>
    <row r="5" customFormat="false" ht="42" hidden="false" customHeight="true" outlineLevel="0" collapsed="false">
      <c r="B5" s="6"/>
      <c r="C5" s="16" t="s">
        <v>109</v>
      </c>
      <c r="D5" s="24" t="str">
        <f aca="false">1&amp;IF(Processos!C10="",""," · "&amp;Processos!C10)</f>
        <v>1</v>
      </c>
      <c r="E5" s="24" t="str">
        <f aca="false">2&amp;IF(Processos!C11="",""," · "&amp;Processos!C11)</f>
        <v>2</v>
      </c>
      <c r="F5" s="24" t="str">
        <f aca="false">3&amp;IF(Processos!C12="",""," · "&amp;Processos!C12)</f>
        <v>3</v>
      </c>
      <c r="G5" s="24" t="str">
        <f aca="false">4&amp;IF(Processos!C13="",""," · "&amp;Processos!C13)</f>
        <v>4</v>
      </c>
      <c r="H5" s="24" t="str">
        <f aca="false">5&amp;IF(Processos!C14="",""," · "&amp;Processos!C14)</f>
        <v>5</v>
      </c>
      <c r="I5" s="24" t="str">
        <f aca="false">6&amp;IF(Processos!C15="",""," · "&amp;Processos!C15)</f>
        <v>6</v>
      </c>
      <c r="J5" s="24" t="str">
        <f aca="false">7&amp;IF(Processos!C16="",""," · "&amp;Processos!C16)</f>
        <v>7</v>
      </c>
      <c r="K5" s="24" t="str">
        <f aca="false">8&amp;IF(Processos!C17="",""," · "&amp;Processos!C17)</f>
        <v>8</v>
      </c>
      <c r="L5" s="24" t="str">
        <f aca="false">9&amp;IF(Processos!C18="",""," · "&amp;Processos!C18)</f>
        <v>9</v>
      </c>
      <c r="M5" s="24" t="str">
        <f aca="false">10&amp;IF(Processos!C19="",""," · "&amp;Processos!C19)</f>
        <v>10</v>
      </c>
      <c r="N5" s="24" t="str">
        <f aca="false">11&amp;IF(Processos!C20="",""," · "&amp;Processos!C20)</f>
        <v>11</v>
      </c>
      <c r="O5" s="24" t="str">
        <f aca="false">12&amp;IF(Processos!C21="",""," · "&amp;Processos!C21)</f>
        <v>12</v>
      </c>
      <c r="P5" s="16" t="s">
        <v>36</v>
      </c>
      <c r="Q5" s="16" t="s">
        <v>36</v>
      </c>
      <c r="R5" s="16" t="s">
        <v>110</v>
      </c>
    </row>
    <row r="6" customFormat="false" ht="39" hidden="false" customHeight="true" outlineLevel="0" collapsed="false">
      <c r="B6" s="18" t="n">
        <v>1</v>
      </c>
      <c r="C6" s="6" t="str">
        <f aca="false">IF(Processos!C10="","",Processos!C10)</f>
        <v/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 t="str">
        <f aca="false">IF(C6="","",COUNTA(D6:O6))</f>
        <v/>
      </c>
      <c r="Q6" s="27" t="str">
        <f aca="false">IF(C6="","",COUNTA(INDEX($D$6:$O$17,0,1)))</f>
        <v/>
      </c>
      <c r="R6" s="20" t="str">
        <f aca="false">IF(C6="","",IF(AND(P6=0,Q6=0),"Sem ligação",IF(P6=0,"Não entrega a outro processo",IF(Q6=0,"Não recebe de outro processo","Ligado"))))</f>
        <v/>
      </c>
    </row>
    <row r="7" customFormat="false" ht="39" hidden="false" customHeight="true" outlineLevel="0" collapsed="false">
      <c r="B7" s="18" t="n">
        <v>2</v>
      </c>
      <c r="C7" s="6" t="str">
        <f aca="false">IF(Processos!C11="","",Processos!C11)</f>
        <v/>
      </c>
      <c r="D7" s="26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7" t="str">
        <f aca="false">IF(C7="","",COUNTA(D7:O7))</f>
        <v/>
      </c>
      <c r="Q7" s="27" t="str">
        <f aca="false">IF(C7="","",COUNTA(INDEX($D$6:$O$17,0,2)))</f>
        <v/>
      </c>
      <c r="R7" s="20" t="str">
        <f aca="false">IF(C7="","",IF(AND(P7=0,Q7=0),"Sem ligação",IF(P7=0,"Não entrega a outro processo",IF(Q7=0,"Não recebe de outro processo","Ligado"))))</f>
        <v/>
      </c>
    </row>
    <row r="8" customFormat="false" ht="39" hidden="false" customHeight="true" outlineLevel="0" collapsed="false">
      <c r="B8" s="18" t="n">
        <v>3</v>
      </c>
      <c r="C8" s="6" t="str">
        <f aca="false">IF(Processos!C12="","",Processos!C12)</f>
        <v/>
      </c>
      <c r="D8" s="26"/>
      <c r="E8" s="26"/>
      <c r="F8" s="25"/>
      <c r="G8" s="26"/>
      <c r="H8" s="26"/>
      <c r="I8" s="26"/>
      <c r="J8" s="26"/>
      <c r="K8" s="26"/>
      <c r="L8" s="26"/>
      <c r="M8" s="26"/>
      <c r="N8" s="26"/>
      <c r="O8" s="26"/>
      <c r="P8" s="27" t="str">
        <f aca="false">IF(C8="","",COUNTA(D8:O8))</f>
        <v/>
      </c>
      <c r="Q8" s="27" t="str">
        <f aca="false">IF(C8="","",COUNTA(INDEX($D$6:$O$17,0,3)))</f>
        <v/>
      </c>
      <c r="R8" s="20" t="str">
        <f aca="false">IF(C8="","",IF(AND(P8=0,Q8=0),"Sem ligação",IF(P8=0,"Não entrega a outro processo",IF(Q8=0,"Não recebe de outro processo","Ligado"))))</f>
        <v/>
      </c>
    </row>
    <row r="9" customFormat="false" ht="39" hidden="false" customHeight="true" outlineLevel="0" collapsed="false">
      <c r="B9" s="18" t="n">
        <v>4</v>
      </c>
      <c r="C9" s="6" t="str">
        <f aca="false">IF(Processos!C13="","",Processos!C13)</f>
        <v/>
      </c>
      <c r="D9" s="26"/>
      <c r="E9" s="26"/>
      <c r="F9" s="26"/>
      <c r="G9" s="25"/>
      <c r="H9" s="26"/>
      <c r="I9" s="26"/>
      <c r="J9" s="26"/>
      <c r="K9" s="26"/>
      <c r="L9" s="26"/>
      <c r="M9" s="26"/>
      <c r="N9" s="26"/>
      <c r="O9" s="26"/>
      <c r="P9" s="27" t="str">
        <f aca="false">IF(C9="","",COUNTA(D9:O9))</f>
        <v/>
      </c>
      <c r="Q9" s="27" t="str">
        <f aca="false">IF(C9="","",COUNTA(INDEX($D$6:$O$17,0,4)))</f>
        <v/>
      </c>
      <c r="R9" s="20" t="str">
        <f aca="false">IF(C9="","",IF(AND(P9=0,Q9=0),"Sem ligação",IF(P9=0,"Não entrega a outro processo",IF(Q9=0,"Não recebe de outro processo","Ligado"))))</f>
        <v/>
      </c>
    </row>
    <row r="10" customFormat="false" ht="39" hidden="false" customHeight="true" outlineLevel="0" collapsed="false">
      <c r="B10" s="18" t="n">
        <v>5</v>
      </c>
      <c r="C10" s="6" t="str">
        <f aca="false">IF(Processos!C14="","",Processos!C14)</f>
        <v/>
      </c>
      <c r="D10" s="26"/>
      <c r="E10" s="26"/>
      <c r="F10" s="26"/>
      <c r="G10" s="26"/>
      <c r="H10" s="25"/>
      <c r="I10" s="26"/>
      <c r="J10" s="26"/>
      <c r="K10" s="26"/>
      <c r="L10" s="26"/>
      <c r="M10" s="26"/>
      <c r="N10" s="26"/>
      <c r="O10" s="26"/>
      <c r="P10" s="27" t="str">
        <f aca="false">IF(C10="","",COUNTA(D10:O10))</f>
        <v/>
      </c>
      <c r="Q10" s="27" t="str">
        <f aca="false">IF(C10="","",COUNTA(INDEX($D$6:$O$17,0,5)))</f>
        <v/>
      </c>
      <c r="R10" s="20" t="str">
        <f aca="false">IF(C10="","",IF(AND(P10=0,Q10=0),"Sem ligação",IF(P10=0,"Não entrega a outro processo",IF(Q10=0,"Não recebe de outro processo","Ligado"))))</f>
        <v/>
      </c>
    </row>
    <row r="11" customFormat="false" ht="39" hidden="false" customHeight="true" outlineLevel="0" collapsed="false">
      <c r="B11" s="18" t="n">
        <v>6</v>
      </c>
      <c r="C11" s="6" t="str">
        <f aca="false">IF(Processos!C15="","",Processos!C15)</f>
        <v/>
      </c>
      <c r="D11" s="26"/>
      <c r="E11" s="26"/>
      <c r="F11" s="26"/>
      <c r="G11" s="26"/>
      <c r="H11" s="26"/>
      <c r="I11" s="25"/>
      <c r="J11" s="26"/>
      <c r="K11" s="26"/>
      <c r="L11" s="26"/>
      <c r="M11" s="26"/>
      <c r="N11" s="26"/>
      <c r="O11" s="26"/>
      <c r="P11" s="27" t="str">
        <f aca="false">IF(C11="","",COUNTA(D11:O11))</f>
        <v/>
      </c>
      <c r="Q11" s="27" t="str">
        <f aca="false">IF(C11="","",COUNTA(INDEX($D$6:$O$17,0,6)))</f>
        <v/>
      </c>
      <c r="R11" s="20" t="str">
        <f aca="false">IF(C11="","",IF(AND(P11=0,Q11=0),"Sem ligação",IF(P11=0,"Não entrega a outro processo",IF(Q11=0,"Não recebe de outro processo","Ligado"))))</f>
        <v/>
      </c>
    </row>
    <row r="12" customFormat="false" ht="39" hidden="false" customHeight="true" outlineLevel="0" collapsed="false">
      <c r="B12" s="18" t="n">
        <v>7</v>
      </c>
      <c r="C12" s="6" t="str">
        <f aca="false">IF(Processos!C16="","",Processos!C16)</f>
        <v/>
      </c>
      <c r="D12" s="26"/>
      <c r="E12" s="26"/>
      <c r="F12" s="26"/>
      <c r="G12" s="26"/>
      <c r="H12" s="26"/>
      <c r="I12" s="26"/>
      <c r="J12" s="25"/>
      <c r="K12" s="26"/>
      <c r="L12" s="26"/>
      <c r="M12" s="26"/>
      <c r="N12" s="26"/>
      <c r="O12" s="26"/>
      <c r="P12" s="27" t="str">
        <f aca="false">IF(C12="","",COUNTA(D12:O12))</f>
        <v/>
      </c>
      <c r="Q12" s="27" t="str">
        <f aca="false">IF(C12="","",COUNTA(INDEX($D$6:$O$17,0,7)))</f>
        <v/>
      </c>
      <c r="R12" s="20" t="str">
        <f aca="false">IF(C12="","",IF(AND(P12=0,Q12=0),"Sem ligação",IF(P12=0,"Não entrega a outro processo",IF(Q12=0,"Não recebe de outro processo","Ligado"))))</f>
        <v/>
      </c>
    </row>
    <row r="13" customFormat="false" ht="39" hidden="false" customHeight="true" outlineLevel="0" collapsed="false">
      <c r="B13" s="18" t="n">
        <v>8</v>
      </c>
      <c r="C13" s="6" t="str">
        <f aca="false">IF(Processos!C17="","",Processos!C17)</f>
        <v/>
      </c>
      <c r="D13" s="26"/>
      <c r="E13" s="26"/>
      <c r="F13" s="26"/>
      <c r="G13" s="26"/>
      <c r="H13" s="26"/>
      <c r="I13" s="26"/>
      <c r="J13" s="26"/>
      <c r="K13" s="25"/>
      <c r="L13" s="26"/>
      <c r="M13" s="26"/>
      <c r="N13" s="26"/>
      <c r="O13" s="26"/>
      <c r="P13" s="27" t="str">
        <f aca="false">IF(C13="","",COUNTA(D13:O13))</f>
        <v/>
      </c>
      <c r="Q13" s="27" t="str">
        <f aca="false">IF(C13="","",COUNTA(INDEX($D$6:$O$17,0,8)))</f>
        <v/>
      </c>
      <c r="R13" s="20" t="str">
        <f aca="false">IF(C13="","",IF(AND(P13=0,Q13=0),"Sem ligação",IF(P13=0,"Não entrega a outro processo",IF(Q13=0,"Não recebe de outro processo","Ligado"))))</f>
        <v/>
      </c>
    </row>
    <row r="14" customFormat="false" ht="39" hidden="false" customHeight="true" outlineLevel="0" collapsed="false">
      <c r="B14" s="18" t="n">
        <v>9</v>
      </c>
      <c r="C14" s="6" t="str">
        <f aca="false">IF(Processos!C18="","",Processos!C18)</f>
        <v/>
      </c>
      <c r="D14" s="26"/>
      <c r="E14" s="26"/>
      <c r="F14" s="26"/>
      <c r="G14" s="26"/>
      <c r="H14" s="26"/>
      <c r="I14" s="26"/>
      <c r="J14" s="26"/>
      <c r="K14" s="26"/>
      <c r="L14" s="25"/>
      <c r="M14" s="26"/>
      <c r="N14" s="26"/>
      <c r="O14" s="26"/>
      <c r="P14" s="27" t="str">
        <f aca="false">IF(C14="","",COUNTA(D14:O14))</f>
        <v/>
      </c>
      <c r="Q14" s="27" t="str">
        <f aca="false">IF(C14="","",COUNTA(INDEX($D$6:$O$17,0,9)))</f>
        <v/>
      </c>
      <c r="R14" s="20" t="str">
        <f aca="false">IF(C14="","",IF(AND(P14=0,Q14=0),"Sem ligação",IF(P14=0,"Não entrega a outro processo",IF(Q14=0,"Não recebe de outro processo","Ligado"))))</f>
        <v/>
      </c>
    </row>
    <row r="15" customFormat="false" ht="39" hidden="false" customHeight="true" outlineLevel="0" collapsed="false">
      <c r="B15" s="18" t="n">
        <v>10</v>
      </c>
      <c r="C15" s="6" t="str">
        <f aca="false">IF(Processos!C19="","",Processos!C19)</f>
        <v/>
      </c>
      <c r="D15" s="26"/>
      <c r="E15" s="26"/>
      <c r="F15" s="26"/>
      <c r="G15" s="26"/>
      <c r="H15" s="26"/>
      <c r="I15" s="26"/>
      <c r="J15" s="26"/>
      <c r="K15" s="26"/>
      <c r="L15" s="26"/>
      <c r="M15" s="25"/>
      <c r="N15" s="26"/>
      <c r="O15" s="26"/>
      <c r="P15" s="27" t="str">
        <f aca="false">IF(C15="","",COUNTA(D15:O15))</f>
        <v/>
      </c>
      <c r="Q15" s="27" t="str">
        <f aca="false">IF(C15="","",COUNTA(INDEX($D$6:$O$17,0,10)))</f>
        <v/>
      </c>
      <c r="R15" s="20" t="str">
        <f aca="false">IF(C15="","",IF(AND(P15=0,Q15=0),"Sem ligação",IF(P15=0,"Não entrega a outro processo",IF(Q15=0,"Não recebe de outro processo","Ligado"))))</f>
        <v/>
      </c>
    </row>
    <row r="16" customFormat="false" ht="39" hidden="false" customHeight="true" outlineLevel="0" collapsed="false">
      <c r="B16" s="18" t="n">
        <v>11</v>
      </c>
      <c r="C16" s="6" t="str">
        <f aca="false">IF(Processos!C20="","",Processos!C20)</f>
        <v/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5"/>
      <c r="O16" s="26"/>
      <c r="P16" s="27" t="str">
        <f aca="false">IF(C16="","",COUNTA(D16:O16))</f>
        <v/>
      </c>
      <c r="Q16" s="27" t="str">
        <f aca="false">IF(C16="","",COUNTA(INDEX($D$6:$O$17,0,11)))</f>
        <v/>
      </c>
      <c r="R16" s="20" t="str">
        <f aca="false">IF(C16="","",IF(AND(P16=0,Q16=0),"Sem ligação",IF(P16=0,"Não entrega a outro processo",IF(Q16=0,"Não recebe de outro processo","Ligado"))))</f>
        <v/>
      </c>
    </row>
    <row r="17" customFormat="false" ht="39" hidden="false" customHeight="true" outlineLevel="0" collapsed="false">
      <c r="B17" s="18" t="n">
        <v>12</v>
      </c>
      <c r="C17" s="6" t="str">
        <f aca="false">IF(Processos!C21="","",Processos!C21)</f>
        <v/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5"/>
      <c r="P17" s="27" t="str">
        <f aca="false">IF(C17="","",COUNTA(D17:O17))</f>
        <v/>
      </c>
      <c r="Q17" s="27" t="str">
        <f aca="false">IF(C17="","",COUNTA(INDEX($D$6:$O$17,0,12)))</f>
        <v/>
      </c>
      <c r="R17" s="20" t="str">
        <f aca="false">IF(C17="","",IF(AND(P17=0,Q17=0),"Sem ligação",IF(P17=0,"Não entrega a outro processo",IF(Q17=0,"Não recebe de outro processo","Ligado"))))</f>
        <v/>
      </c>
    </row>
    <row r="19" customFormat="false" ht="21.75" hidden="false" customHeight="true" outlineLevel="0" collapsed="false">
      <c r="B19" s="21" t="s">
        <v>95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customFormat="false" ht="21.75" hidden="false" customHeight="true" outlineLevel="0" collapsed="false">
      <c r="B20" s="22" t="s">
        <v>111</v>
      </c>
      <c r="C20" s="22"/>
      <c r="D20" s="23" t="n">
        <f aca="false">COUNTA(D6:O17)</f>
        <v>0</v>
      </c>
      <c r="E20" s="23"/>
      <c r="F20" s="23"/>
      <c r="G20" s="23"/>
      <c r="H20" s="23"/>
    </row>
    <row r="21" customFormat="false" ht="21.75" hidden="false" customHeight="true" outlineLevel="0" collapsed="false">
      <c r="B21" s="22" t="s">
        <v>112</v>
      </c>
      <c r="C21" s="22"/>
      <c r="D21" s="23" t="n">
        <f aca="false">COUNTIF(R6:R17,"Ligado")</f>
        <v>0</v>
      </c>
      <c r="E21" s="23"/>
      <c r="F21" s="23"/>
      <c r="G21" s="23"/>
      <c r="H21" s="23"/>
    </row>
    <row r="22" customFormat="false" ht="21.75" hidden="false" customHeight="true" outlineLevel="0" collapsed="false">
      <c r="B22" s="22" t="s">
        <v>113</v>
      </c>
      <c r="C22" s="22"/>
      <c r="D22" s="23" t="n">
        <f aca="false">COUNTIF(R6:R17,"Sem ligação")</f>
        <v>0</v>
      </c>
      <c r="E22" s="23"/>
      <c r="F22" s="23"/>
      <c r="G22" s="23"/>
      <c r="H22" s="23"/>
    </row>
    <row r="23" customFormat="false" ht="21.75" hidden="false" customHeight="true" outlineLevel="0" collapsed="false">
      <c r="B23" s="22" t="s">
        <v>114</v>
      </c>
      <c r="C23" s="22"/>
      <c r="D23" s="23" t="n">
        <f aca="false">COUNTIF(R6:R17,"Não*")</f>
        <v>0</v>
      </c>
      <c r="E23" s="23"/>
      <c r="F23" s="23"/>
      <c r="G23" s="23"/>
      <c r="H23" s="23"/>
    </row>
    <row r="24" customFormat="false" ht="21.75" hidden="false" customHeight="true" outlineLevel="0" collapsed="false">
      <c r="B24" s="22" t="s">
        <v>101</v>
      </c>
      <c r="C24" s="22"/>
      <c r="D24" s="20" t="str">
        <f aca="false">IF(COUNTA(Processos!C10:C21)=0,"Cadastre os processos na aba Processos",IF(D20=0,"Registre as ligações",IF((IF(Processos!C10="",COUNTA(D6:O6)+COUNTA(D6:D17),0)+IF(Processos!C11="",COUNTA(D7:O7)+COUNTA(E6:E17),0)+IF(Processos!C12="",COUNTA(D8:O8)+COUNTA(F6:F17),0)+IF(Processos!C13="",COUNTA(D9:O9)+COUNTA(G6:G17),0)+IF(Processos!C14="",COUNTA(D10:O10)+COUNTA(H6:H17),0)+IF(Processos!C15="",COUNTA(D11:O11)+COUNTA(I6:I17),0)+IF(Processos!C16="",COUNTA(D12:O12)+COUNTA(J6:J17),0)+IF(Processos!C17="",COUNTA(D13:O13)+COUNTA(K6:K17),0)+IF(Processos!C18="",COUNTA(D14:O14)+COUNTA(L6:L17),0)+IF(Processos!C19="",COUNTA(D15:O15)+COUNTA(M6:M17),0)+IF(Processos!C20="",COUNTA(D16:O16)+COUNTA(N6:N17),0)+IF(Processos!C21="",COUNTA(D17:O17)+COUNTA(O6:O17),0))&gt;0,"Há ligação com processo sem cadastro",IF(D22&gt;0,"Há processo sem ligação: confira o mapa","OK"))))</f>
        <v>Cadastre os processos na aba Processos</v>
      </c>
      <c r="E24" s="20"/>
      <c r="F24" s="20"/>
      <c r="G24" s="20"/>
      <c r="H24" s="20"/>
    </row>
  </sheetData>
  <mergeCells count="14">
    <mergeCell ref="B1:R1"/>
    <mergeCell ref="B2:R2"/>
    <mergeCell ref="D4:O4"/>
    <mergeCell ref="B19:R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</mergeCells>
  <conditionalFormatting sqref="R6:R17">
    <cfRule type="expression" priority="2" aboveAverage="0" equalAverage="0" bottom="0" percent="0" rank="0" text="" dxfId="3">
      <formula>R6="Ligado"</formula>
    </cfRule>
    <cfRule type="expression" priority="3" aboveAverage="0" equalAverage="0" bottom="0" percent="0" rank="0" text="" dxfId="5">
      <formula>R6="Sem ligação"</formula>
    </cfRule>
    <cfRule type="expression" priority="4" aboveAverage="0" equalAverage="0" bottom="0" percent="0" rank="0" text="" dxfId="4">
      <formula>LEN(R6)&gt;0</formula>
    </cfRule>
  </conditionalFormatting>
  <conditionalFormatting sqref="D24:H24">
    <cfRule type="expression" priority="5" aboveAverage="0" equalAverage="0" bottom="0" percent="0" rank="0" text="" dxfId="3">
      <formula>OR(D24="OK")</formula>
    </cfRule>
    <cfRule type="expression" priority="6" aboveAverage="0" equalAverage="0" bottom="0" percent="0" rank="0" text="" dxfId="4">
      <formula>AND(LEN(D24)&gt;0,NOT(OR(D24="OK")))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2"/>
    <col collapsed="false" customWidth="true" hidden="false" outlineLevel="0" max="6" min="6" style="0" width="5"/>
    <col collapsed="false" customWidth="true" hidden="false" outlineLevel="0" max="7" min="7" style="0" width="34"/>
    <col collapsed="false" customWidth="true" hidden="false" outlineLevel="0" max="8" min="8" style="0" width="28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115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116</v>
      </c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B4" s="4" t="s">
        <v>117</v>
      </c>
      <c r="C4" s="4"/>
      <c r="D4" s="19"/>
      <c r="F4" s="4" t="s">
        <v>64</v>
      </c>
      <c r="G4" s="4"/>
      <c r="H4" s="14"/>
    </row>
    <row r="5" customFormat="false" ht="24" hidden="false" customHeight="true" outlineLevel="0" collapsed="false">
      <c r="B5" s="4" t="s">
        <v>68</v>
      </c>
      <c r="C5" s="4"/>
      <c r="D5" s="28" t="str">
        <f aca="false">IF($D$4="","",IF(INDEX(Processos!$C$10:$C$21,$D$4)="","Processo sem cadastro",INDEX(Processos!$C$10:$C$21,$D$4)))</f>
        <v/>
      </c>
      <c r="E5" s="28"/>
      <c r="F5" s="28"/>
      <c r="G5" s="28"/>
      <c r="H5" s="28"/>
    </row>
    <row r="6" customFormat="false" ht="24" hidden="false" customHeight="true" outlineLevel="0" collapsed="false">
      <c r="B6" s="4" t="s">
        <v>118</v>
      </c>
      <c r="C6" s="4"/>
      <c r="D6" s="29" t="str">
        <f aca="false">IF($D$4="","",IF(INDEX(Processos!$C$10:$C$21,$D$4)="","",INDEX(Processos!$D$10:$D$21,$D$4)&amp;" · "&amp;INDEX(Processos!$E$10:$E$21,$D$4)))</f>
        <v/>
      </c>
      <c r="E6" s="29"/>
      <c r="F6" s="29"/>
      <c r="G6" s="29"/>
      <c r="H6" s="29"/>
    </row>
    <row r="7" customFormat="false" ht="24" hidden="false" customHeight="true" outlineLevel="0" collapsed="false">
      <c r="B7" s="4" t="s">
        <v>71</v>
      </c>
      <c r="C7" s="4"/>
      <c r="D7" s="29" t="str">
        <f aca="false">IF($D$4="","",IF(INDEX(Processos!$C$10:$C$21,$D$4)="","",INDEX(Processos!$F$10:$F$21,$D$4)&amp;""))</f>
        <v/>
      </c>
      <c r="E7" s="29"/>
      <c r="F7" s="29"/>
      <c r="G7" s="29"/>
      <c r="H7" s="29"/>
    </row>
    <row r="9" customFormat="false" ht="21.75" hidden="false" customHeight="true" outlineLevel="0" collapsed="false">
      <c r="B9" s="30" t="s">
        <v>119</v>
      </c>
      <c r="C9" s="30"/>
      <c r="D9" s="30"/>
      <c r="F9" s="30" t="s">
        <v>120</v>
      </c>
      <c r="G9" s="30"/>
      <c r="H9" s="30"/>
    </row>
    <row r="10" customFormat="false" ht="21.75" hidden="false" customHeight="true" outlineLevel="0" collapsed="false">
      <c r="B10" s="31" t="s">
        <v>67</v>
      </c>
      <c r="C10" s="31" t="s">
        <v>121</v>
      </c>
      <c r="D10" s="31" t="s">
        <v>122</v>
      </c>
      <c r="F10" s="31" t="s">
        <v>67</v>
      </c>
      <c r="G10" s="31" t="s">
        <v>123</v>
      </c>
      <c r="H10" s="31" t="s">
        <v>124</v>
      </c>
    </row>
    <row r="11" customFormat="false" ht="30" hidden="false" customHeight="true" outlineLevel="0" collapsed="false">
      <c r="B11" s="18" t="n">
        <v>1</v>
      </c>
      <c r="C11" s="5"/>
      <c r="D11" s="5"/>
      <c r="F11" s="18" t="n">
        <v>1</v>
      </c>
      <c r="G11" s="5"/>
      <c r="H11" s="5"/>
    </row>
    <row r="12" customFormat="false" ht="30" hidden="false" customHeight="true" outlineLevel="0" collapsed="false">
      <c r="B12" s="18" t="n">
        <v>2</v>
      </c>
      <c r="C12" s="5"/>
      <c r="D12" s="5"/>
      <c r="F12" s="18" t="n">
        <v>2</v>
      </c>
      <c r="G12" s="5"/>
      <c r="H12" s="5"/>
    </row>
    <row r="13" customFormat="false" ht="30" hidden="false" customHeight="true" outlineLevel="0" collapsed="false">
      <c r="B13" s="18" t="n">
        <v>3</v>
      </c>
      <c r="C13" s="5"/>
      <c r="D13" s="5"/>
      <c r="F13" s="18" t="n">
        <v>3</v>
      </c>
      <c r="G13" s="5"/>
      <c r="H13" s="5"/>
    </row>
    <row r="14" customFormat="false" ht="30" hidden="false" customHeight="true" outlineLevel="0" collapsed="false">
      <c r="B14" s="18" t="n">
        <v>4</v>
      </c>
      <c r="C14" s="5"/>
      <c r="D14" s="5"/>
      <c r="F14" s="18" t="n">
        <v>4</v>
      </c>
      <c r="G14" s="5"/>
      <c r="H14" s="5"/>
    </row>
    <row r="16" customFormat="false" ht="21.75" hidden="false" customHeight="true" outlineLevel="0" collapsed="false">
      <c r="B16" s="32" t="s">
        <v>125</v>
      </c>
      <c r="C16" s="32"/>
      <c r="D16" s="32"/>
      <c r="F16" s="32" t="s">
        <v>126</v>
      </c>
      <c r="G16" s="32"/>
      <c r="H16" s="32"/>
    </row>
    <row r="17" customFormat="false" ht="21.75" hidden="false" customHeight="true" outlineLevel="0" collapsed="false">
      <c r="B17" s="31" t="s">
        <v>67</v>
      </c>
      <c r="C17" s="31" t="s">
        <v>127</v>
      </c>
      <c r="D17" s="31" t="s">
        <v>128</v>
      </c>
      <c r="F17" s="31" t="s">
        <v>67</v>
      </c>
      <c r="G17" s="31" t="s">
        <v>129</v>
      </c>
      <c r="H17" s="31" t="s">
        <v>130</v>
      </c>
    </row>
    <row r="18" customFormat="false" ht="30" hidden="false" customHeight="true" outlineLevel="0" collapsed="false">
      <c r="B18" s="18" t="n">
        <v>1</v>
      </c>
      <c r="C18" s="5"/>
      <c r="D18" s="5"/>
      <c r="F18" s="18" t="n">
        <v>1</v>
      </c>
      <c r="G18" s="5"/>
      <c r="H18" s="5"/>
    </row>
    <row r="19" customFormat="false" ht="30" hidden="false" customHeight="true" outlineLevel="0" collapsed="false">
      <c r="B19" s="18" t="n">
        <v>2</v>
      </c>
      <c r="C19" s="5"/>
      <c r="D19" s="5"/>
      <c r="F19" s="18" t="n">
        <v>2</v>
      </c>
      <c r="G19" s="5"/>
      <c r="H19" s="5"/>
    </row>
    <row r="20" customFormat="false" ht="30" hidden="false" customHeight="true" outlineLevel="0" collapsed="false">
      <c r="B20" s="18" t="n">
        <v>3</v>
      </c>
      <c r="C20" s="5"/>
      <c r="D20" s="5"/>
      <c r="F20" s="18" t="n">
        <v>3</v>
      </c>
      <c r="G20" s="5"/>
      <c r="H20" s="5"/>
    </row>
    <row r="21" customFormat="false" ht="30" hidden="false" customHeight="true" outlineLevel="0" collapsed="false">
      <c r="B21" s="18" t="n">
        <v>4</v>
      </c>
      <c r="C21" s="5"/>
      <c r="D21" s="5"/>
      <c r="F21" s="18" t="n">
        <v>4</v>
      </c>
      <c r="G21" s="5"/>
      <c r="H21" s="5"/>
    </row>
    <row r="23" customFormat="false" ht="21.75" hidden="false" customHeight="true" outlineLevel="0" collapsed="false">
      <c r="B23" s="32" t="s">
        <v>131</v>
      </c>
      <c r="C23" s="32"/>
      <c r="D23" s="32"/>
      <c r="F23" s="32" t="s">
        <v>132</v>
      </c>
      <c r="G23" s="32"/>
      <c r="H23" s="32"/>
    </row>
    <row r="24" customFormat="false" ht="21.75" hidden="false" customHeight="true" outlineLevel="0" collapsed="false">
      <c r="B24" s="31" t="s">
        <v>67</v>
      </c>
      <c r="C24" s="31" t="s">
        <v>133</v>
      </c>
      <c r="D24" s="31" t="s">
        <v>134</v>
      </c>
      <c r="F24" s="31" t="s">
        <v>67</v>
      </c>
      <c r="G24" s="31" t="s">
        <v>75</v>
      </c>
      <c r="H24" s="31" t="s">
        <v>135</v>
      </c>
    </row>
    <row r="25" customFormat="false" ht="30" hidden="false" customHeight="true" outlineLevel="0" collapsed="false">
      <c r="B25" s="18" t="n">
        <v>1</v>
      </c>
      <c r="C25" s="5"/>
      <c r="D25" s="5"/>
      <c r="F25" s="18" t="n">
        <v>1</v>
      </c>
      <c r="G25" s="5"/>
      <c r="H25" s="5"/>
    </row>
    <row r="26" customFormat="false" ht="30" hidden="false" customHeight="true" outlineLevel="0" collapsed="false">
      <c r="B26" s="18" t="n">
        <v>2</v>
      </c>
      <c r="C26" s="5"/>
      <c r="D26" s="5"/>
      <c r="F26" s="18" t="n">
        <v>2</v>
      </c>
      <c r="G26" s="5"/>
      <c r="H26" s="5"/>
    </row>
    <row r="27" customFormat="false" ht="30" hidden="false" customHeight="true" outlineLevel="0" collapsed="false">
      <c r="B27" s="18" t="n">
        <v>3</v>
      </c>
      <c r="C27" s="5"/>
      <c r="D27" s="5"/>
      <c r="F27" s="18" t="n">
        <v>3</v>
      </c>
      <c r="G27" s="5"/>
      <c r="H27" s="5"/>
    </row>
    <row r="28" customFormat="false" ht="30" hidden="false" customHeight="true" outlineLevel="0" collapsed="false">
      <c r="B28" s="18" t="n">
        <v>4</v>
      </c>
      <c r="C28" s="5"/>
      <c r="D28" s="5"/>
      <c r="F28" s="18" t="n">
        <v>4</v>
      </c>
      <c r="G28" s="5"/>
      <c r="H28" s="5"/>
    </row>
    <row r="30" customFormat="false" ht="21.75" hidden="false" customHeight="true" outlineLevel="0" collapsed="false">
      <c r="B30" s="33" t="s">
        <v>136</v>
      </c>
      <c r="C30" s="33"/>
      <c r="D30" s="33"/>
      <c r="F30" s="21" t="s">
        <v>137</v>
      </c>
      <c r="G30" s="21"/>
      <c r="H30" s="21"/>
    </row>
    <row r="31" customFormat="false" ht="30" hidden="false" customHeight="true" outlineLevel="0" collapsed="false">
      <c r="B31" s="31" t="s">
        <v>67</v>
      </c>
      <c r="C31" s="31" t="s">
        <v>138</v>
      </c>
      <c r="D31" s="31" t="s">
        <v>139</v>
      </c>
      <c r="F31" s="4" t="s">
        <v>140</v>
      </c>
      <c r="G31" s="4"/>
      <c r="H31" s="20" t="str">
        <f aca="false">IF(COUNTA(C11:C14)=0,"Falta preencher",IF(COUNTA(D11:D14)&lt;COUNTA(C11:C14),"Falta o detalhe","Completa"))</f>
        <v>Falta preencher</v>
      </c>
    </row>
    <row r="32" customFormat="false" ht="30" hidden="false" customHeight="true" outlineLevel="0" collapsed="false">
      <c r="B32" s="18" t="n">
        <v>1</v>
      </c>
      <c r="C32" s="5"/>
      <c r="D32" s="5"/>
      <c r="F32" s="4" t="s">
        <v>141</v>
      </c>
      <c r="G32" s="4"/>
      <c r="H32" s="20" t="str">
        <f aca="false">IF(COUNTA(G11:G14)=0,"Falta preencher",IF(COUNTA(H11:H14)&lt;COUNTA(G11:G14),"Falta o detalhe","Completa"))</f>
        <v>Falta preencher</v>
      </c>
    </row>
    <row r="33" customFormat="false" ht="30" hidden="false" customHeight="true" outlineLevel="0" collapsed="false">
      <c r="B33" s="18" t="n">
        <v>2</v>
      </c>
      <c r="C33" s="5"/>
      <c r="D33" s="5"/>
      <c r="F33" s="4" t="s">
        <v>142</v>
      </c>
      <c r="G33" s="4"/>
      <c r="H33" s="20" t="str">
        <f aca="false">IF(COUNTA(C18:C21)=0,"Falta preencher",IF(COUNTA(D18:D21)&lt;COUNTA(C18:C21),"Falta o detalhe","Completa"))</f>
        <v>Falta preencher</v>
      </c>
    </row>
    <row r="34" customFormat="false" ht="30" hidden="false" customHeight="true" outlineLevel="0" collapsed="false">
      <c r="B34" s="18" t="n">
        <v>3</v>
      </c>
      <c r="C34" s="5"/>
      <c r="D34" s="5"/>
      <c r="F34" s="4" t="s">
        <v>143</v>
      </c>
      <c r="G34" s="4"/>
      <c r="H34" s="20" t="str">
        <f aca="false">IF(COUNTA(G18:G21)=0,"Falta preencher",IF(COUNTA(H18:H21)&lt;COUNTA(G18:G21),"Falta o detalhe","Completa"))</f>
        <v>Falta preencher</v>
      </c>
    </row>
    <row r="35" customFormat="false" ht="30" hidden="false" customHeight="true" outlineLevel="0" collapsed="false">
      <c r="B35" s="18" t="n">
        <v>4</v>
      </c>
      <c r="C35" s="5"/>
      <c r="D35" s="5"/>
      <c r="F35" s="4" t="s">
        <v>144</v>
      </c>
      <c r="G35" s="4"/>
      <c r="H35" s="20" t="str">
        <f aca="false">IF(COUNTA(C25:C28)=0,"Falta preencher",IF(COUNTA(D25:D28)&lt;COUNTA(C25:C28),"Falta o detalhe","Completa"))</f>
        <v>Falta preencher</v>
      </c>
    </row>
    <row r="36" customFormat="false" ht="21.75" hidden="false" customHeight="true" outlineLevel="0" collapsed="false">
      <c r="F36" s="4" t="s">
        <v>145</v>
      </c>
      <c r="G36" s="4"/>
      <c r="H36" s="20" t="str">
        <f aca="false">IF(COUNTA(G25:G28)=0,"Falta preencher",IF(COUNTA(H25:H28)&lt;COUNTA(G25:G28),"Falta o detalhe","Completa"))</f>
        <v>Falta preencher</v>
      </c>
    </row>
    <row r="37" customFormat="false" ht="21.75" hidden="false" customHeight="true" outlineLevel="0" collapsed="false">
      <c r="F37" s="4" t="s">
        <v>146</v>
      </c>
      <c r="G37" s="4"/>
      <c r="H37" s="20" t="str">
        <f aca="false">IF(COUNTA(C32:C35)=0,"Falta preencher",IF(COUNTA(D32:D35)&lt;COUNTA(C32:C35),"Falta o detalhe","Completa"))</f>
        <v>Falta preencher</v>
      </c>
    </row>
    <row r="38" customFormat="false" ht="21.75" hidden="false" customHeight="true" outlineLevel="0" collapsed="false">
      <c r="F38" s="4" t="s">
        <v>108</v>
      </c>
      <c r="G38" s="4"/>
      <c r="H38" s="24" t="str">
        <f aca="false">IF($D$4="","Informe o processo",IF(D5="Processo sem cadastro","Processo sem cadastro",IF(COUNTIF(H31:H37,"Completa")=7,"Tartaruga completa","Há partes incompletas")))</f>
        <v>Informe o processo</v>
      </c>
    </row>
  </sheetData>
  <mergeCells count="26">
    <mergeCell ref="B1:H1"/>
    <mergeCell ref="B2:H2"/>
    <mergeCell ref="B4:C4"/>
    <mergeCell ref="F4:G4"/>
    <mergeCell ref="B5:C5"/>
    <mergeCell ref="D5:H5"/>
    <mergeCell ref="B6:C6"/>
    <mergeCell ref="D6:H6"/>
    <mergeCell ref="B7:C7"/>
    <mergeCell ref="D7:H7"/>
    <mergeCell ref="B9:D9"/>
    <mergeCell ref="F9:H9"/>
    <mergeCell ref="B16:D16"/>
    <mergeCell ref="F16:H16"/>
    <mergeCell ref="B23:D23"/>
    <mergeCell ref="F23:H23"/>
    <mergeCell ref="B30:D30"/>
    <mergeCell ref="F30:H30"/>
    <mergeCell ref="F31:G31"/>
    <mergeCell ref="F32:G32"/>
    <mergeCell ref="F33:G33"/>
    <mergeCell ref="F34:G34"/>
    <mergeCell ref="F35:G35"/>
    <mergeCell ref="F36:G36"/>
    <mergeCell ref="F37:G37"/>
    <mergeCell ref="F38:G38"/>
  </mergeCells>
  <conditionalFormatting sqref="H31:H37">
    <cfRule type="expression" priority="2" aboveAverage="0" equalAverage="0" bottom="0" percent="0" rank="0" text="" dxfId="3">
      <formula>OR(H31="Completa")</formula>
    </cfRule>
    <cfRule type="expression" priority="3" aboveAverage="0" equalAverage="0" bottom="0" percent="0" rank="0" text="" dxfId="4">
      <formula>AND(LEN(H31)&gt;0,NOT(OR(H31="Completa")))</formula>
    </cfRule>
  </conditionalFormatting>
  <conditionalFormatting sqref="H38">
    <cfRule type="expression" priority="4" aboveAverage="0" equalAverage="0" bottom="0" percent="0" rank="0" text="" dxfId="3">
      <formula>OR(H38="Tartaruga completa")</formula>
    </cfRule>
    <cfRule type="expression" priority="5" aboveAverage="0" equalAverage="0" bottom="0" percent="0" rank="0" text="" dxfId="4">
      <formula>AND(LEN(H38)&gt;0,NOT(OR(H38="Tartaruga completa")))</formula>
    </cfRule>
  </conditionalFormatting>
  <dataValidations count="2">
    <dataValidation allowBlank="true" error="Digite um número inteiro de 1 a 12." errorStyle="stop" errorTitle="Número inválido" operator="between" prompt="Número do processo, como na aba Processos." promptTitle="Número" showDropDown="false" showErrorMessage="true" showInputMessage="true" sqref="D4" type="whole">
      <formula1>1</formula1>
      <formula2>12</formula2>
    </dataValidation>
    <dataValidation allowBlank="true" error="Digite uma data no formato dia/mês/ano." errorStyle="stop" errorTitle="Data inválida" operator="greaterThanOrEqual" showDropDown="false" showErrorMessage="true" showInputMessage="false" sqref="H4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11" min="4" style="0" width="1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147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2" hidden="false" customHeight="true" outlineLevel="0" collapsed="false">
      <c r="B4" s="15" t="s">
        <v>67</v>
      </c>
      <c r="C4" s="15" t="s">
        <v>68</v>
      </c>
      <c r="D4" s="15" t="s">
        <v>149</v>
      </c>
      <c r="E4" s="15" t="s">
        <v>150</v>
      </c>
      <c r="F4" s="15" t="s">
        <v>151</v>
      </c>
      <c r="G4" s="15" t="s">
        <v>152</v>
      </c>
      <c r="H4" s="15" t="s">
        <v>153</v>
      </c>
      <c r="I4" s="15" t="s">
        <v>154</v>
      </c>
      <c r="J4" s="15" t="s">
        <v>155</v>
      </c>
      <c r="K4" s="15" t="s">
        <v>156</v>
      </c>
      <c r="L4" s="15" t="s">
        <v>157</v>
      </c>
      <c r="M4" s="15" t="s">
        <v>158</v>
      </c>
      <c r="N4" s="15" t="s">
        <v>76</v>
      </c>
    </row>
    <row r="5" customFormat="false" ht="27" hidden="false" customHeight="true" outlineLevel="0" collapsed="false">
      <c r="B5" s="18" t="n">
        <v>1</v>
      </c>
      <c r="C5" s="6" t="str">
        <f aca="false">IF(Processos!C10="","",Processos!C10)</f>
        <v/>
      </c>
      <c r="D5" s="19"/>
      <c r="E5" s="19"/>
      <c r="F5" s="19"/>
      <c r="G5" s="19"/>
      <c r="H5" s="19"/>
      <c r="I5" s="19"/>
      <c r="J5" s="19"/>
      <c r="K5" s="19"/>
      <c r="L5" s="34" t="str">
        <f aca="false">IF(COUNTA(D5:K5)=0,"",COUNTIF(D5:K5,"Sim")+0.5*COUNTIF(D5:K5,"Parcial"))</f>
        <v/>
      </c>
      <c r="M5" s="35" t="str">
        <f aca="false">IF(L5="","",L5/8)</f>
        <v/>
      </c>
      <c r="N5" s="20" t="str">
        <f aca="false">IF(AND(C5="",COUNTA(D5:K5)=0),"",IF(C5="","Processo sem cadastro",IF(COUNTA(D5:K5)=0,"Não avaliado",IF(COUNTA(D5:K5)&lt;8,"Avaliação incompleta","Completa"))))</f>
        <v/>
      </c>
    </row>
    <row r="6" customFormat="false" ht="27" hidden="false" customHeight="true" outlineLevel="0" collapsed="false">
      <c r="B6" s="18" t="n">
        <v>2</v>
      </c>
      <c r="C6" s="6" t="str">
        <f aca="false">IF(Processos!C11="","",Processos!C11)</f>
        <v/>
      </c>
      <c r="D6" s="19"/>
      <c r="E6" s="19"/>
      <c r="F6" s="19"/>
      <c r="G6" s="19"/>
      <c r="H6" s="19"/>
      <c r="I6" s="19"/>
      <c r="J6" s="19"/>
      <c r="K6" s="19"/>
      <c r="L6" s="34" t="str">
        <f aca="false">IF(COUNTA(D6:K6)=0,"",COUNTIF(D6:K6,"Sim")+0.5*COUNTIF(D6:K6,"Parcial"))</f>
        <v/>
      </c>
      <c r="M6" s="35" t="str">
        <f aca="false">IF(L6="","",L6/8)</f>
        <v/>
      </c>
      <c r="N6" s="20" t="str">
        <f aca="false">IF(AND(C6="",COUNTA(D6:K6)=0),"",IF(C6="","Processo sem cadastro",IF(COUNTA(D6:K6)=0,"Não avaliado",IF(COUNTA(D6:K6)&lt;8,"Avaliação incompleta","Completa"))))</f>
        <v/>
      </c>
    </row>
    <row r="7" customFormat="false" ht="27" hidden="false" customHeight="true" outlineLevel="0" collapsed="false">
      <c r="B7" s="18" t="n">
        <v>3</v>
      </c>
      <c r="C7" s="6" t="str">
        <f aca="false">IF(Processos!C12="","",Processos!C12)</f>
        <v/>
      </c>
      <c r="D7" s="19"/>
      <c r="E7" s="19"/>
      <c r="F7" s="19"/>
      <c r="G7" s="19"/>
      <c r="H7" s="19"/>
      <c r="I7" s="19"/>
      <c r="J7" s="19"/>
      <c r="K7" s="19"/>
      <c r="L7" s="34" t="str">
        <f aca="false">IF(COUNTA(D7:K7)=0,"",COUNTIF(D7:K7,"Sim")+0.5*COUNTIF(D7:K7,"Parcial"))</f>
        <v/>
      </c>
      <c r="M7" s="35" t="str">
        <f aca="false">IF(L7="","",L7/8)</f>
        <v/>
      </c>
      <c r="N7" s="20" t="str">
        <f aca="false">IF(AND(C7="",COUNTA(D7:K7)=0),"",IF(C7="","Processo sem cadastro",IF(COUNTA(D7:K7)=0,"Não avaliado",IF(COUNTA(D7:K7)&lt;8,"Avaliação incompleta","Completa"))))</f>
        <v/>
      </c>
    </row>
    <row r="8" customFormat="false" ht="27" hidden="false" customHeight="true" outlineLevel="0" collapsed="false">
      <c r="B8" s="18" t="n">
        <v>4</v>
      </c>
      <c r="C8" s="6" t="str">
        <f aca="false">IF(Processos!C13="","",Processos!C13)</f>
        <v/>
      </c>
      <c r="D8" s="19"/>
      <c r="E8" s="19"/>
      <c r="F8" s="19"/>
      <c r="G8" s="19"/>
      <c r="H8" s="19"/>
      <c r="I8" s="19"/>
      <c r="J8" s="19"/>
      <c r="K8" s="19"/>
      <c r="L8" s="34" t="str">
        <f aca="false">IF(COUNTA(D8:K8)=0,"",COUNTIF(D8:K8,"Sim")+0.5*COUNTIF(D8:K8,"Parcial"))</f>
        <v/>
      </c>
      <c r="M8" s="35" t="str">
        <f aca="false">IF(L8="","",L8/8)</f>
        <v/>
      </c>
      <c r="N8" s="20" t="str">
        <f aca="false">IF(AND(C8="",COUNTA(D8:K8)=0),"",IF(C8="","Processo sem cadastro",IF(COUNTA(D8:K8)=0,"Não avaliado",IF(COUNTA(D8:K8)&lt;8,"Avaliação incompleta","Completa"))))</f>
        <v/>
      </c>
    </row>
    <row r="9" customFormat="false" ht="27" hidden="false" customHeight="true" outlineLevel="0" collapsed="false">
      <c r="B9" s="18" t="n">
        <v>5</v>
      </c>
      <c r="C9" s="6" t="str">
        <f aca="false">IF(Processos!C14="","",Processos!C14)</f>
        <v/>
      </c>
      <c r="D9" s="19"/>
      <c r="E9" s="19"/>
      <c r="F9" s="19"/>
      <c r="G9" s="19"/>
      <c r="H9" s="19"/>
      <c r="I9" s="19"/>
      <c r="J9" s="19"/>
      <c r="K9" s="19"/>
      <c r="L9" s="34" t="str">
        <f aca="false">IF(COUNTA(D9:K9)=0,"",COUNTIF(D9:K9,"Sim")+0.5*COUNTIF(D9:K9,"Parcial"))</f>
        <v/>
      </c>
      <c r="M9" s="35" t="str">
        <f aca="false">IF(L9="","",L9/8)</f>
        <v/>
      </c>
      <c r="N9" s="20" t="str">
        <f aca="false">IF(AND(C9="",COUNTA(D9:K9)=0),"",IF(C9="","Processo sem cadastro",IF(COUNTA(D9:K9)=0,"Não avaliado",IF(COUNTA(D9:K9)&lt;8,"Avaliação incompleta","Completa"))))</f>
        <v/>
      </c>
    </row>
    <row r="10" customFormat="false" ht="27" hidden="false" customHeight="true" outlineLevel="0" collapsed="false">
      <c r="B10" s="18" t="n">
        <v>6</v>
      </c>
      <c r="C10" s="6" t="str">
        <f aca="false">IF(Processos!C15="","",Processos!C15)</f>
        <v/>
      </c>
      <c r="D10" s="19"/>
      <c r="E10" s="19"/>
      <c r="F10" s="19"/>
      <c r="G10" s="19"/>
      <c r="H10" s="19"/>
      <c r="I10" s="19"/>
      <c r="J10" s="19"/>
      <c r="K10" s="19"/>
      <c r="L10" s="34" t="str">
        <f aca="false">IF(COUNTA(D10:K10)=0,"",COUNTIF(D10:K10,"Sim")+0.5*COUNTIF(D10:K10,"Parcial"))</f>
        <v/>
      </c>
      <c r="M10" s="35" t="str">
        <f aca="false">IF(L10="","",L10/8)</f>
        <v/>
      </c>
      <c r="N10" s="20" t="str">
        <f aca="false">IF(AND(C10="",COUNTA(D10:K10)=0),"",IF(C10="","Processo sem cadastro",IF(COUNTA(D10:K10)=0,"Não avaliado",IF(COUNTA(D10:K10)&lt;8,"Avaliação incompleta","Completa"))))</f>
        <v/>
      </c>
    </row>
    <row r="11" customFormat="false" ht="27" hidden="false" customHeight="true" outlineLevel="0" collapsed="false">
      <c r="B11" s="18" t="n">
        <v>7</v>
      </c>
      <c r="C11" s="6" t="str">
        <f aca="false">IF(Processos!C16="","",Processos!C16)</f>
        <v/>
      </c>
      <c r="D11" s="19"/>
      <c r="E11" s="19"/>
      <c r="F11" s="19"/>
      <c r="G11" s="19"/>
      <c r="H11" s="19"/>
      <c r="I11" s="19"/>
      <c r="J11" s="19"/>
      <c r="K11" s="19"/>
      <c r="L11" s="34" t="str">
        <f aca="false">IF(COUNTA(D11:K11)=0,"",COUNTIF(D11:K11,"Sim")+0.5*COUNTIF(D11:K11,"Parcial"))</f>
        <v/>
      </c>
      <c r="M11" s="35" t="str">
        <f aca="false">IF(L11="","",L11/8)</f>
        <v/>
      </c>
      <c r="N11" s="20" t="str">
        <f aca="false">IF(AND(C11="",COUNTA(D11:K11)=0),"",IF(C11="","Processo sem cadastro",IF(COUNTA(D11:K11)=0,"Não avaliado",IF(COUNTA(D11:K11)&lt;8,"Avaliação incompleta","Completa"))))</f>
        <v/>
      </c>
    </row>
    <row r="12" customFormat="false" ht="27" hidden="false" customHeight="true" outlineLevel="0" collapsed="false">
      <c r="B12" s="18" t="n">
        <v>8</v>
      </c>
      <c r="C12" s="6" t="str">
        <f aca="false">IF(Processos!C17="","",Processos!C17)</f>
        <v/>
      </c>
      <c r="D12" s="19"/>
      <c r="E12" s="19"/>
      <c r="F12" s="19"/>
      <c r="G12" s="19"/>
      <c r="H12" s="19"/>
      <c r="I12" s="19"/>
      <c r="J12" s="19"/>
      <c r="K12" s="19"/>
      <c r="L12" s="34" t="str">
        <f aca="false">IF(COUNTA(D12:K12)=0,"",COUNTIF(D12:K12,"Sim")+0.5*COUNTIF(D12:K12,"Parcial"))</f>
        <v/>
      </c>
      <c r="M12" s="35" t="str">
        <f aca="false">IF(L12="","",L12/8)</f>
        <v/>
      </c>
      <c r="N12" s="20" t="str">
        <f aca="false">IF(AND(C12="",COUNTA(D12:K12)=0),"",IF(C12="","Processo sem cadastro",IF(COUNTA(D12:K12)=0,"Não avaliado",IF(COUNTA(D12:K12)&lt;8,"Avaliação incompleta","Completa"))))</f>
        <v/>
      </c>
    </row>
    <row r="13" customFormat="false" ht="27" hidden="false" customHeight="true" outlineLevel="0" collapsed="false">
      <c r="B13" s="18" t="n">
        <v>9</v>
      </c>
      <c r="C13" s="6" t="str">
        <f aca="false">IF(Processos!C18="","",Processos!C18)</f>
        <v/>
      </c>
      <c r="D13" s="19"/>
      <c r="E13" s="19"/>
      <c r="F13" s="19"/>
      <c r="G13" s="19"/>
      <c r="H13" s="19"/>
      <c r="I13" s="19"/>
      <c r="J13" s="19"/>
      <c r="K13" s="19"/>
      <c r="L13" s="34" t="str">
        <f aca="false">IF(COUNTA(D13:K13)=0,"",COUNTIF(D13:K13,"Sim")+0.5*COUNTIF(D13:K13,"Parcial"))</f>
        <v/>
      </c>
      <c r="M13" s="35" t="str">
        <f aca="false">IF(L13="","",L13/8)</f>
        <v/>
      </c>
      <c r="N13" s="20" t="str">
        <f aca="false">IF(AND(C13="",COUNTA(D13:K13)=0),"",IF(C13="","Processo sem cadastro",IF(COUNTA(D13:K13)=0,"Não avaliado",IF(COUNTA(D13:K13)&lt;8,"Avaliação incompleta","Completa"))))</f>
        <v/>
      </c>
    </row>
    <row r="14" customFormat="false" ht="27" hidden="false" customHeight="true" outlineLevel="0" collapsed="false">
      <c r="B14" s="18" t="n">
        <v>10</v>
      </c>
      <c r="C14" s="6" t="str">
        <f aca="false">IF(Processos!C19="","",Processos!C19)</f>
        <v/>
      </c>
      <c r="D14" s="19"/>
      <c r="E14" s="19"/>
      <c r="F14" s="19"/>
      <c r="G14" s="19"/>
      <c r="H14" s="19"/>
      <c r="I14" s="19"/>
      <c r="J14" s="19"/>
      <c r="K14" s="19"/>
      <c r="L14" s="34" t="str">
        <f aca="false">IF(COUNTA(D14:K14)=0,"",COUNTIF(D14:K14,"Sim")+0.5*COUNTIF(D14:K14,"Parcial"))</f>
        <v/>
      </c>
      <c r="M14" s="35" t="str">
        <f aca="false">IF(L14="","",L14/8)</f>
        <v/>
      </c>
      <c r="N14" s="20" t="str">
        <f aca="false">IF(AND(C14="",COUNTA(D14:K14)=0),"",IF(C14="","Processo sem cadastro",IF(COUNTA(D14:K14)=0,"Não avaliado",IF(COUNTA(D14:K14)&lt;8,"Avaliação incompleta","Completa"))))</f>
        <v/>
      </c>
    </row>
    <row r="15" customFormat="false" ht="27" hidden="false" customHeight="true" outlineLevel="0" collapsed="false">
      <c r="B15" s="18" t="n">
        <v>11</v>
      </c>
      <c r="C15" s="6" t="str">
        <f aca="false">IF(Processos!C20="","",Processos!C20)</f>
        <v/>
      </c>
      <c r="D15" s="19"/>
      <c r="E15" s="19"/>
      <c r="F15" s="19"/>
      <c r="G15" s="19"/>
      <c r="H15" s="19"/>
      <c r="I15" s="19"/>
      <c r="J15" s="19"/>
      <c r="K15" s="19"/>
      <c r="L15" s="34" t="str">
        <f aca="false">IF(COUNTA(D15:K15)=0,"",COUNTIF(D15:K15,"Sim")+0.5*COUNTIF(D15:K15,"Parcial"))</f>
        <v/>
      </c>
      <c r="M15" s="35" t="str">
        <f aca="false">IF(L15="","",L15/8)</f>
        <v/>
      </c>
      <c r="N15" s="20" t="str">
        <f aca="false">IF(AND(C15="",COUNTA(D15:K15)=0),"",IF(C15="","Processo sem cadastro",IF(COUNTA(D15:K15)=0,"Não avaliado",IF(COUNTA(D15:K15)&lt;8,"Avaliação incompleta","Completa"))))</f>
        <v/>
      </c>
    </row>
    <row r="16" customFormat="false" ht="27" hidden="false" customHeight="true" outlineLevel="0" collapsed="false">
      <c r="B16" s="18" t="n">
        <v>12</v>
      </c>
      <c r="C16" s="6" t="str">
        <f aca="false">IF(Processos!C21="","",Processos!C21)</f>
        <v/>
      </c>
      <c r="D16" s="19"/>
      <c r="E16" s="19"/>
      <c r="F16" s="19"/>
      <c r="G16" s="19"/>
      <c r="H16" s="19"/>
      <c r="I16" s="19"/>
      <c r="J16" s="19"/>
      <c r="K16" s="19"/>
      <c r="L16" s="34" t="str">
        <f aca="false">IF(COUNTA(D16:K16)=0,"",COUNTIF(D16:K16,"Sim")+0.5*COUNTIF(D16:K16,"Parcial"))</f>
        <v/>
      </c>
      <c r="M16" s="35" t="str">
        <f aca="false">IF(L16="","",L16/8)</f>
        <v/>
      </c>
      <c r="N16" s="20" t="str">
        <f aca="false">IF(AND(C16="",COUNTA(D16:K16)=0),"",IF(C16="","Processo sem cadastro",IF(COUNTA(D16:K16)=0,"Não avaliado",IF(COUNTA(D16:K16)&lt;8,"Avaliação incompleta","Completa"))))</f>
        <v/>
      </c>
    </row>
    <row r="17" customFormat="false" ht="21.75" hidden="false" customHeight="true" outlineLevel="0" collapsed="false">
      <c r="B17" s="22" t="s">
        <v>159</v>
      </c>
      <c r="C17" s="22"/>
      <c r="D17" s="27" t="n">
        <f aca="false">COUNTIF(D5:D16,"Sim")</f>
        <v>0</v>
      </c>
      <c r="E17" s="27" t="n">
        <f aca="false">COUNTIF(E5:E16,"Sim")</f>
        <v>0</v>
      </c>
      <c r="F17" s="27" t="n">
        <f aca="false">COUNTIF(F5:F16,"Sim")</f>
        <v>0</v>
      </c>
      <c r="G17" s="27" t="n">
        <f aca="false">COUNTIF(G5:G16,"Sim")</f>
        <v>0</v>
      </c>
      <c r="H17" s="27" t="n">
        <f aca="false">COUNTIF(H5:H16,"Sim")</f>
        <v>0</v>
      </c>
      <c r="I17" s="27" t="n">
        <f aca="false">COUNTIF(I5:I16,"Sim")</f>
        <v>0</v>
      </c>
      <c r="J17" s="27" t="n">
        <f aca="false">COUNTIF(J5:J16,"Sim")</f>
        <v>0</v>
      </c>
      <c r="K17" s="27" t="n">
        <f aca="false">COUNTIF(K5:K16,"Sim")</f>
        <v>0</v>
      </c>
      <c r="L17" s="6"/>
      <c r="M17" s="6"/>
      <c r="N17" s="6"/>
    </row>
    <row r="18" customFormat="false" ht="21.75" hidden="false" customHeight="true" outlineLevel="0" collapsed="false">
      <c r="B18" s="22" t="s">
        <v>160</v>
      </c>
      <c r="C18" s="22"/>
      <c r="D18" s="27" t="n">
        <f aca="false">COUNTIF(D5:D16,"Parcial")</f>
        <v>0</v>
      </c>
      <c r="E18" s="27" t="n">
        <f aca="false">COUNTIF(E5:E16,"Parcial")</f>
        <v>0</v>
      </c>
      <c r="F18" s="27" t="n">
        <f aca="false">COUNTIF(F5:F16,"Parcial")</f>
        <v>0</v>
      </c>
      <c r="G18" s="27" t="n">
        <f aca="false">COUNTIF(G5:G16,"Parcial")</f>
        <v>0</v>
      </c>
      <c r="H18" s="27" t="n">
        <f aca="false">COUNTIF(H5:H16,"Parcial")</f>
        <v>0</v>
      </c>
      <c r="I18" s="27" t="n">
        <f aca="false">COUNTIF(I5:I16,"Parcial")</f>
        <v>0</v>
      </c>
      <c r="J18" s="27" t="n">
        <f aca="false">COUNTIF(J5:J16,"Parcial")</f>
        <v>0</v>
      </c>
      <c r="K18" s="27" t="n">
        <f aca="false">COUNTIF(K5:K16,"Parcial")</f>
        <v>0</v>
      </c>
      <c r="L18" s="6"/>
      <c r="M18" s="6"/>
      <c r="N18" s="6"/>
    </row>
    <row r="19" customFormat="false" ht="21.75" hidden="false" customHeight="true" outlineLevel="0" collapsed="false">
      <c r="B19" s="22" t="s">
        <v>161</v>
      </c>
      <c r="C19" s="22"/>
      <c r="D19" s="27" t="n">
        <f aca="false">COUNTIF(D5:D16,"Não")</f>
        <v>0</v>
      </c>
      <c r="E19" s="27" t="n">
        <f aca="false">COUNTIF(E5:E16,"Não")</f>
        <v>0</v>
      </c>
      <c r="F19" s="27" t="n">
        <f aca="false">COUNTIF(F5:F16,"Não")</f>
        <v>0</v>
      </c>
      <c r="G19" s="27" t="n">
        <f aca="false">COUNTIF(G5:G16,"Não")</f>
        <v>0</v>
      </c>
      <c r="H19" s="27" t="n">
        <f aca="false">COUNTIF(H5:H16,"Não")</f>
        <v>0</v>
      </c>
      <c r="I19" s="27" t="n">
        <f aca="false">COUNTIF(I5:I16,"Não")</f>
        <v>0</v>
      </c>
      <c r="J19" s="27" t="n">
        <f aca="false">COUNTIF(J5:J16,"Não")</f>
        <v>0</v>
      </c>
      <c r="K19" s="27" t="n">
        <f aca="false">COUNTIF(K5:K16,"Não")</f>
        <v>0</v>
      </c>
      <c r="L19" s="6"/>
      <c r="M19" s="6"/>
      <c r="N19" s="6"/>
    </row>
    <row r="20" customFormat="false" ht="21.75" hidden="false" customHeight="true" outlineLevel="0" collapsed="false">
      <c r="B20" s="22" t="s">
        <v>162</v>
      </c>
      <c r="C20" s="22"/>
      <c r="D20" s="35" t="str">
        <f aca="false">IF(COUNTA(D5:D16)=0,"",(D17+0.5*D18)/COUNTA(D5:D16))</f>
        <v/>
      </c>
      <c r="E20" s="35" t="str">
        <f aca="false">IF(COUNTA(E5:E16)=0,"",(E17+0.5*E18)/COUNTA(E5:E16))</f>
        <v/>
      </c>
      <c r="F20" s="35" t="str">
        <f aca="false">IF(COUNTA(F5:F16)=0,"",(F17+0.5*F18)/COUNTA(F5:F16))</f>
        <v/>
      </c>
      <c r="G20" s="35" t="str">
        <f aca="false">IF(COUNTA(G5:G16)=0,"",(G17+0.5*G18)/COUNTA(G5:G16))</f>
        <v/>
      </c>
      <c r="H20" s="35" t="str">
        <f aca="false">IF(COUNTA(H5:H16)=0,"",(H17+0.5*H18)/COUNTA(H5:H16))</f>
        <v/>
      </c>
      <c r="I20" s="35" t="str">
        <f aca="false">IF(COUNTA(I5:I16)=0,"",(I17+0.5*I18)/COUNTA(I5:I16))</f>
        <v/>
      </c>
      <c r="J20" s="35" t="str">
        <f aca="false">IF(COUNTA(J5:J16)=0,"",(J17+0.5*J18)/COUNTA(J5:J16))</f>
        <v/>
      </c>
      <c r="K20" s="35" t="str">
        <f aca="false">IF(COUNTA(K5:K16)=0,"",(K17+0.5*K18)/COUNTA(K5:K16))</f>
        <v/>
      </c>
      <c r="L20" s="6"/>
      <c r="M20" s="6"/>
      <c r="N20" s="6"/>
    </row>
    <row r="22" customFormat="false" ht="21.75" hidden="false" customHeight="true" outlineLevel="0" collapsed="false">
      <c r="B22" s="21" t="s">
        <v>95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customFormat="false" ht="21.75" hidden="false" customHeight="true" outlineLevel="0" collapsed="false">
      <c r="B23" s="22" t="s">
        <v>163</v>
      </c>
      <c r="C23" s="22"/>
      <c r="D23" s="23" t="n">
        <f aca="false">COUNT(L5:L16)</f>
        <v>0</v>
      </c>
      <c r="E23" s="23"/>
      <c r="F23" s="23"/>
      <c r="G23" s="23"/>
      <c r="H23" s="23"/>
    </row>
    <row r="24" customFormat="false" ht="21.75" hidden="false" customHeight="true" outlineLevel="0" collapsed="false">
      <c r="B24" s="22" t="s">
        <v>164</v>
      </c>
      <c r="C24" s="22"/>
      <c r="D24" s="35" t="str">
        <f aca="false">IF(D23=0,"",AVERAGE(M5:M16))</f>
        <v/>
      </c>
      <c r="E24" s="35"/>
      <c r="F24" s="35"/>
      <c r="G24" s="35"/>
      <c r="H24" s="35"/>
    </row>
    <row r="25" customFormat="false" ht="21.75" hidden="false" customHeight="true" outlineLevel="0" collapsed="false">
      <c r="B25" s="22" t="s">
        <v>165</v>
      </c>
      <c r="C25" s="22"/>
      <c r="D25" s="23" t="str">
        <f aca="false">IF(D23=0,"",INDEX(C5:C16,MATCH(MIN(M5:M16),M5:M16,0)))</f>
        <v/>
      </c>
      <c r="E25" s="23"/>
      <c r="F25" s="23"/>
      <c r="G25" s="23"/>
      <c r="H25" s="23"/>
    </row>
    <row r="26" customFormat="false" ht="21.75" hidden="false" customHeight="true" outlineLevel="0" collapsed="false">
      <c r="B26" s="22" t="s">
        <v>166</v>
      </c>
      <c r="C26" s="22"/>
      <c r="D26" s="23" t="str">
        <f aca="false">IF(D23=0,"",INDEX(D4:K4,MATCH(MIN(D20:K20),D20:K20,0)))</f>
        <v/>
      </c>
      <c r="E26" s="23"/>
      <c r="F26" s="23"/>
      <c r="G26" s="23"/>
      <c r="H26" s="23"/>
    </row>
    <row r="27" customFormat="false" ht="21.75" hidden="false" customHeight="true" outlineLevel="0" collapsed="false">
      <c r="B27" s="22" t="s">
        <v>101</v>
      </c>
      <c r="C27" s="22"/>
      <c r="D27" s="20" t="str">
        <f aca="false">IF(D23=0,"Avalie os elementos",IF(COUNTIF(N5:N16,"Processo sem cadastro")&gt;0,"Há avaliação de processo sem cadastro",IF(COUNTIF(N5:N16,"Avaliação incompleta")&gt;0,"Há processo com a avaliação incompleta",IF(COUNTIF(N5:N16,"Não avaliado")&gt;0,"Há processo sem avaliação","OK"))))</f>
        <v>Avalie os elementos</v>
      </c>
      <c r="E27" s="20"/>
      <c r="F27" s="20"/>
      <c r="G27" s="20"/>
      <c r="H27" s="20"/>
    </row>
  </sheetData>
  <mergeCells count="17">
    <mergeCell ref="B1:N1"/>
    <mergeCell ref="B2:N2"/>
    <mergeCell ref="B17:C17"/>
    <mergeCell ref="B18:C18"/>
    <mergeCell ref="B19:C19"/>
    <mergeCell ref="B20:C20"/>
    <mergeCell ref="B22:N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</mergeCells>
  <conditionalFormatting sqref="D5:K16">
    <cfRule type="cellIs" priority="2" operator="equal" aboveAverage="0" equalAverage="0" bottom="0" percent="0" rank="0" text="" dxfId="3">
      <formula>"Sim"</formula>
    </cfRule>
    <cfRule type="cellIs" priority="3" operator="equal" aboveAverage="0" equalAverage="0" bottom="0" percent="0" rank="0" text="" dxfId="4">
      <formula>"Parcial"</formula>
    </cfRule>
    <cfRule type="cellIs" priority="4" operator="equal" aboveAverage="0" equalAverage="0" bottom="0" percent="0" rank="0" text="" dxfId="5">
      <formula>"Não"</formula>
    </cfRule>
  </conditionalFormatting>
  <conditionalFormatting sqref="N5:N16">
    <cfRule type="expression" priority="5" aboveAverage="0" equalAverage="0" bottom="0" percent="0" rank="0" text="" dxfId="3">
      <formula>OR(N5="Completa")</formula>
    </cfRule>
    <cfRule type="expression" priority="6" aboveAverage="0" equalAverage="0" bottom="0" percent="0" rank="0" text="" dxfId="4">
      <formula>AND(LEN(N5)&gt;0,NOT(OR(N5="Completa")))</formula>
    </cfRule>
  </conditionalFormatting>
  <conditionalFormatting sqref="M5:M16">
    <cfRule type="expression" priority="7" aboveAverage="0" equalAverage="0" bottom="0" percent="0" rank="0" text="" dxfId="3">
      <formula>AND(ISNUMBER(M5),M5&gt;=0.8)</formula>
    </cfRule>
    <cfRule type="expression" priority="8" aboveAverage="0" equalAverage="0" bottom="0" percent="0" rank="0" text="" dxfId="5">
      <formula>AND(ISNUMBER(M5),M5&lt;0.5)</formula>
    </cfRule>
    <cfRule type="expression" priority="9" aboveAverage="0" equalAverage="0" bottom="0" percent="0" rank="0" text="" dxfId="4">
      <formula>ISNUMBER(M5)</formula>
    </cfRule>
  </conditionalFormatting>
  <conditionalFormatting sqref="D27:H27">
    <cfRule type="expression" priority="10" aboveAverage="0" equalAverage="0" bottom="0" percent="0" rank="0" text="" dxfId="3">
      <formula>OR(D27="OK")</formula>
    </cfRule>
    <cfRule type="expression" priority="11" aboveAverage="0" equalAverage="0" bottom="0" percent="0" rank="0" text="" dxfId="4">
      <formula>AND(LEN(D27)&gt;0,NOT(OR(D27="OK")))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K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167</v>
      </c>
      <c r="C1" s="1"/>
      <c r="D1" s="1"/>
      <c r="E1" s="1"/>
    </row>
    <row r="2" customFormat="false" ht="19.5" hidden="false" customHeight="true" outlineLevel="0" collapsed="false">
      <c r="B2" s="2" t="s">
        <v>168</v>
      </c>
      <c r="C2" s="2"/>
      <c r="D2" s="2"/>
      <c r="E2" s="2"/>
    </row>
    <row r="4" customFormat="false" ht="21.75" hidden="false" customHeight="true" outlineLevel="0" collapsed="false">
      <c r="B4" s="15" t="s">
        <v>67</v>
      </c>
      <c r="C4" s="15" t="s">
        <v>169</v>
      </c>
      <c r="D4" s="15" t="s">
        <v>170</v>
      </c>
      <c r="E4" s="15" t="s">
        <v>171</v>
      </c>
    </row>
    <row r="5" customFormat="false" ht="30" hidden="false" customHeight="true" outlineLevel="0" collapsed="false">
      <c r="B5" s="18" t="n">
        <v>1</v>
      </c>
      <c r="C5" s="6" t="s">
        <v>172</v>
      </c>
      <c r="D5" s="19"/>
      <c r="E5" s="5"/>
    </row>
    <row r="6" customFormat="false" ht="30" hidden="false" customHeight="true" outlineLevel="0" collapsed="false">
      <c r="B6" s="18" t="n">
        <v>2</v>
      </c>
      <c r="C6" s="6" t="s">
        <v>173</v>
      </c>
      <c r="D6" s="19"/>
      <c r="E6" s="5"/>
    </row>
    <row r="7" customFormat="false" ht="30" hidden="false" customHeight="true" outlineLevel="0" collapsed="false">
      <c r="B7" s="18" t="n">
        <v>3</v>
      </c>
      <c r="C7" s="6" t="s">
        <v>174</v>
      </c>
      <c r="D7" s="19"/>
      <c r="E7" s="5"/>
    </row>
    <row r="8" customFormat="false" ht="30" hidden="false" customHeight="true" outlineLevel="0" collapsed="false">
      <c r="B8" s="18" t="n">
        <v>4</v>
      </c>
      <c r="C8" s="6" t="s">
        <v>175</v>
      </c>
      <c r="D8" s="19"/>
      <c r="E8" s="5"/>
    </row>
    <row r="9" customFormat="false" ht="30" hidden="false" customHeight="true" outlineLevel="0" collapsed="false">
      <c r="B9" s="18" t="n">
        <v>5</v>
      </c>
      <c r="C9" s="6" t="s">
        <v>176</v>
      </c>
      <c r="D9" s="19"/>
      <c r="E9" s="5"/>
    </row>
    <row r="10" customFormat="false" ht="30" hidden="false" customHeight="true" outlineLevel="0" collapsed="false">
      <c r="B10" s="18" t="n">
        <v>6</v>
      </c>
      <c r="C10" s="6" t="s">
        <v>177</v>
      </c>
      <c r="D10" s="19"/>
      <c r="E10" s="5"/>
    </row>
    <row r="11" customFormat="false" ht="30" hidden="false" customHeight="true" outlineLevel="0" collapsed="false">
      <c r="B11" s="18" t="n">
        <v>7</v>
      </c>
      <c r="C11" s="6" t="s">
        <v>178</v>
      </c>
      <c r="D11" s="19"/>
      <c r="E11" s="5"/>
    </row>
    <row r="12" customFormat="false" ht="30" hidden="false" customHeight="true" outlineLevel="0" collapsed="false">
      <c r="B12" s="18" t="n">
        <v>8</v>
      </c>
      <c r="C12" s="6" t="s">
        <v>179</v>
      </c>
      <c r="D12" s="19"/>
      <c r="E12" s="5"/>
    </row>
    <row r="13" customFormat="false" ht="30" hidden="false" customHeight="true" outlineLevel="0" collapsed="false">
      <c r="B13" s="18" t="n">
        <v>9</v>
      </c>
      <c r="C13" s="6" t="s">
        <v>180</v>
      </c>
      <c r="D13" s="19"/>
      <c r="E13" s="5"/>
    </row>
    <row r="14" customFormat="false" ht="30" hidden="false" customHeight="true" outlineLevel="0" collapsed="false">
      <c r="B14" s="18" t="n">
        <v>10</v>
      </c>
      <c r="C14" s="6" t="s">
        <v>181</v>
      </c>
      <c r="D14" s="19"/>
      <c r="E14" s="5"/>
    </row>
    <row r="15" customFormat="false" ht="30" hidden="false" customHeight="true" outlineLevel="0" collapsed="false">
      <c r="B15" s="18" t="n">
        <v>11</v>
      </c>
      <c r="C15" s="6" t="s">
        <v>182</v>
      </c>
      <c r="D15" s="19"/>
      <c r="E15" s="5"/>
    </row>
    <row r="16" customFormat="false" ht="30" hidden="false" customHeight="true" outlineLevel="0" collapsed="false">
      <c r="B16" s="18" t="n">
        <v>12</v>
      </c>
      <c r="C16" s="6" t="s">
        <v>183</v>
      </c>
      <c r="D16" s="19"/>
      <c r="E16" s="5"/>
    </row>
    <row r="18" customFormat="false" ht="21.75" hidden="false" customHeight="true" outlineLevel="0" collapsed="false">
      <c r="B18" s="21" t="s">
        <v>95</v>
      </c>
      <c r="C18" s="21"/>
      <c r="D18" s="21"/>
      <c r="E18" s="21"/>
    </row>
    <row r="19" customFormat="false" ht="19.5" hidden="false" customHeight="true" outlineLevel="0" collapsed="false">
      <c r="B19" s="22" t="s">
        <v>184</v>
      </c>
      <c r="C19" s="22"/>
      <c r="D19" s="31" t="n">
        <f aca="false">COUNTIF(D5:D16,"Sim")</f>
        <v>0</v>
      </c>
    </row>
    <row r="20" customFormat="false" ht="19.5" hidden="false" customHeight="true" outlineLevel="0" collapsed="false">
      <c r="B20" s="22" t="s">
        <v>185</v>
      </c>
      <c r="C20" s="22"/>
      <c r="D20" s="31" t="n">
        <f aca="false">COUNTIF(D5:D16,"Parcial")</f>
        <v>0</v>
      </c>
    </row>
    <row r="21" customFormat="false" ht="19.5" hidden="false" customHeight="true" outlineLevel="0" collapsed="false">
      <c r="B21" s="22" t="s">
        <v>186</v>
      </c>
      <c r="C21" s="22"/>
      <c r="D21" s="31" t="n">
        <f aca="false">COUNTIF(D5:D16,"Não")</f>
        <v>0</v>
      </c>
    </row>
    <row r="22" customFormat="false" ht="19.5" hidden="false" customHeight="true" outlineLevel="0" collapsed="false">
      <c r="B22" s="22" t="s">
        <v>187</v>
      </c>
      <c r="C22" s="22"/>
      <c r="D22" s="31" t="n">
        <f aca="false">COUNTBLANK(D5:D16)</f>
        <v>12</v>
      </c>
    </row>
    <row r="23" customFormat="false" ht="19.5" hidden="false" customHeight="true" outlineLevel="0" collapsed="false">
      <c r="B23" s="22" t="s">
        <v>188</v>
      </c>
      <c r="C23" s="22"/>
      <c r="D23" s="35" t="n">
        <f aca="false">D19/ROWS(D5:D16)</f>
        <v>0</v>
      </c>
    </row>
    <row r="24" customFormat="false" ht="19.5" hidden="false" customHeight="true" outlineLevel="0" collapsed="false">
      <c r="B24" s="22" t="s">
        <v>108</v>
      </c>
      <c r="C24" s="22"/>
      <c r="D24" s="31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3">
      <formula>"Sim"</formula>
    </cfRule>
    <cfRule type="cellIs" priority="3" operator="equal" aboveAverage="0" equalAverage="0" bottom="0" percent="0" rank="0" text="" dxfId="4">
      <formula>"Parcial"</formula>
    </cfRule>
    <cfRule type="cellIs" priority="4" operator="equal" aboveAverage="0" equalAverage="0" bottom="0" percent="0" rank="0" text="" dxfId="5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1"/>
    <col collapsed="false" customWidth="true" hidden="false" outlineLevel="0" max="6" min="6" style="0" width="36"/>
    <col collapsed="false" customWidth="true" hidden="false" outlineLevel="0" max="7" min="7" style="0" width="26"/>
    <col collapsed="false" customWidth="true" hidden="false" outlineLevel="0" max="15" min="8" style="0" width="15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189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63</v>
      </c>
      <c r="C4" s="4"/>
      <c r="D4" s="36" t="s">
        <v>191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customFormat="false" ht="21.75" hidden="false" customHeight="true" outlineLevel="0" collapsed="false">
      <c r="B5" s="4" t="s">
        <v>192</v>
      </c>
      <c r="C5" s="4"/>
      <c r="D5" s="36" t="s">
        <v>193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customFormat="false" ht="21.75" hidden="false" customHeight="true" outlineLevel="0" collapsed="false">
      <c r="B6" s="4" t="s">
        <v>194</v>
      </c>
      <c r="C6" s="4"/>
      <c r="D6" s="36" t="s">
        <v>195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customFormat="false" ht="21.75" hidden="false" customHeight="true" outlineLevel="0" collapsed="false">
      <c r="B7" s="4" t="s">
        <v>196</v>
      </c>
      <c r="C7" s="4"/>
      <c r="D7" s="36" t="s">
        <v>197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9" customFormat="false" ht="21.75" hidden="false" customHeight="true" outlineLevel="0" collapsed="false">
      <c r="B9" s="21" t="s">
        <v>36</v>
      </c>
      <c r="C9" s="21"/>
      <c r="D9" s="21"/>
      <c r="E9" s="21"/>
      <c r="F9" s="21"/>
      <c r="G9" s="21"/>
      <c r="H9" s="37" t="s">
        <v>147</v>
      </c>
      <c r="I9" s="37"/>
      <c r="J9" s="37"/>
      <c r="K9" s="37"/>
      <c r="L9" s="37"/>
      <c r="M9" s="37"/>
      <c r="N9" s="37"/>
      <c r="O9" s="37"/>
      <c r="P9" s="37"/>
      <c r="Q9" s="37"/>
    </row>
    <row r="10" customFormat="false" ht="42" hidden="false" customHeight="true" outlineLevel="0" collapsed="false">
      <c r="B10" s="31" t="s">
        <v>198</v>
      </c>
      <c r="C10" s="31" t="s">
        <v>68</v>
      </c>
      <c r="D10" s="31" t="s">
        <v>69</v>
      </c>
      <c r="E10" s="31" t="s">
        <v>70</v>
      </c>
      <c r="F10" s="31" t="s">
        <v>71</v>
      </c>
      <c r="G10" s="31" t="s">
        <v>75</v>
      </c>
      <c r="H10" s="38" t="s">
        <v>149</v>
      </c>
      <c r="I10" s="38" t="s">
        <v>150</v>
      </c>
      <c r="J10" s="38" t="s">
        <v>151</v>
      </c>
      <c r="K10" s="38" t="s">
        <v>152</v>
      </c>
      <c r="L10" s="38" t="s">
        <v>153</v>
      </c>
      <c r="M10" s="38" t="s">
        <v>154</v>
      </c>
      <c r="N10" s="38" t="s">
        <v>155</v>
      </c>
      <c r="O10" s="38" t="s">
        <v>156</v>
      </c>
      <c r="P10" s="31" t="s">
        <v>157</v>
      </c>
      <c r="Q10" s="31" t="s">
        <v>158</v>
      </c>
    </row>
    <row r="11" customFormat="false" ht="30" hidden="false" customHeight="true" outlineLevel="0" collapsed="false">
      <c r="B11" s="31" t="s">
        <v>199</v>
      </c>
      <c r="C11" s="39" t="s">
        <v>200</v>
      </c>
      <c r="D11" s="40" t="s">
        <v>14</v>
      </c>
      <c r="E11" s="7" t="s">
        <v>201</v>
      </c>
      <c r="F11" s="7" t="s">
        <v>202</v>
      </c>
      <c r="G11" s="7" t="s">
        <v>203</v>
      </c>
      <c r="H11" s="40" t="s">
        <v>159</v>
      </c>
      <c r="I11" s="40" t="s">
        <v>160</v>
      </c>
      <c r="J11" s="40" t="s">
        <v>161</v>
      </c>
      <c r="K11" s="40" t="s">
        <v>159</v>
      </c>
      <c r="L11" s="40" t="s">
        <v>159</v>
      </c>
      <c r="M11" s="40" t="s">
        <v>160</v>
      </c>
      <c r="N11" s="40" t="s">
        <v>160</v>
      </c>
      <c r="O11" s="40" t="s">
        <v>160</v>
      </c>
      <c r="P11" s="34" t="n">
        <f aca="false">IF(COUNTA(H11:O11)=0,"",COUNTIF(H11:O11,"Sim")+0.5*COUNTIF(H11:O11,"Parcial"))</f>
        <v>5</v>
      </c>
      <c r="Q11" s="35" t="n">
        <f aca="false">P11/8</f>
        <v>0.625</v>
      </c>
    </row>
    <row r="12" customFormat="false" ht="30" hidden="false" customHeight="true" outlineLevel="0" collapsed="false">
      <c r="B12" s="31" t="s">
        <v>204</v>
      </c>
      <c r="C12" s="39" t="s">
        <v>205</v>
      </c>
      <c r="D12" s="40" t="s">
        <v>14</v>
      </c>
      <c r="E12" s="7" t="s">
        <v>206</v>
      </c>
      <c r="F12" s="7" t="s">
        <v>207</v>
      </c>
      <c r="G12" s="7" t="s">
        <v>208</v>
      </c>
      <c r="H12" s="40" t="s">
        <v>159</v>
      </c>
      <c r="I12" s="40" t="s">
        <v>159</v>
      </c>
      <c r="J12" s="40" t="s">
        <v>159</v>
      </c>
      <c r="K12" s="40" t="s">
        <v>159</v>
      </c>
      <c r="L12" s="40" t="s">
        <v>159</v>
      </c>
      <c r="M12" s="40" t="s">
        <v>160</v>
      </c>
      <c r="N12" s="40" t="s">
        <v>160</v>
      </c>
      <c r="O12" s="40" t="s">
        <v>159</v>
      </c>
      <c r="P12" s="34" t="n">
        <f aca="false">IF(COUNTA(H12:O12)=0,"",COUNTIF(H12:O12,"Sim")+0.5*COUNTIF(H12:O12,"Parcial"))</f>
        <v>7</v>
      </c>
      <c r="Q12" s="35" t="n">
        <f aca="false">P12/8</f>
        <v>0.875</v>
      </c>
    </row>
    <row r="13" customFormat="false" ht="30" hidden="false" customHeight="true" outlineLevel="0" collapsed="false">
      <c r="B13" s="31" t="s">
        <v>209</v>
      </c>
      <c r="C13" s="39" t="s">
        <v>210</v>
      </c>
      <c r="D13" s="40" t="s">
        <v>16</v>
      </c>
      <c r="E13" s="7" t="s">
        <v>211</v>
      </c>
      <c r="F13" s="7" t="s">
        <v>212</v>
      </c>
      <c r="G13" s="7" t="s">
        <v>213</v>
      </c>
      <c r="H13" s="40" t="s">
        <v>159</v>
      </c>
      <c r="I13" s="40" t="s">
        <v>159</v>
      </c>
      <c r="J13" s="40" t="s">
        <v>160</v>
      </c>
      <c r="K13" s="40" t="s">
        <v>159</v>
      </c>
      <c r="L13" s="40" t="s">
        <v>159</v>
      </c>
      <c r="M13" s="40" t="s">
        <v>159</v>
      </c>
      <c r="N13" s="40" t="s">
        <v>160</v>
      </c>
      <c r="O13" s="40" t="s">
        <v>160</v>
      </c>
      <c r="P13" s="34" t="n">
        <f aca="false">IF(COUNTA(H13:O13)=0,"",COUNTIF(H13:O13,"Sim")+0.5*COUNTIF(H13:O13,"Parcial"))</f>
        <v>6.5</v>
      </c>
      <c r="Q13" s="35" t="n">
        <f aca="false">P13/8</f>
        <v>0.8125</v>
      </c>
    </row>
    <row r="14" customFormat="false" ht="30" hidden="false" customHeight="true" outlineLevel="0" collapsed="false">
      <c r="B14" s="31" t="s">
        <v>214</v>
      </c>
      <c r="C14" s="39" t="s">
        <v>215</v>
      </c>
      <c r="D14" s="40" t="s">
        <v>16</v>
      </c>
      <c r="E14" s="7" t="s">
        <v>216</v>
      </c>
      <c r="F14" s="7" t="s">
        <v>217</v>
      </c>
      <c r="G14" s="7" t="s">
        <v>218</v>
      </c>
      <c r="H14" s="40" t="s">
        <v>159</v>
      </c>
      <c r="I14" s="40" t="s">
        <v>159</v>
      </c>
      <c r="J14" s="40" t="s">
        <v>159</v>
      </c>
      <c r="K14" s="40" t="s">
        <v>159</v>
      </c>
      <c r="L14" s="40" t="s">
        <v>159</v>
      </c>
      <c r="M14" s="40" t="s">
        <v>160</v>
      </c>
      <c r="N14" s="40" t="s">
        <v>159</v>
      </c>
      <c r="O14" s="40" t="s">
        <v>160</v>
      </c>
      <c r="P14" s="34" t="n">
        <f aca="false">IF(COUNTA(H14:O14)=0,"",COUNTIF(H14:O14,"Sim")+0.5*COUNTIF(H14:O14,"Parcial"))</f>
        <v>7</v>
      </c>
      <c r="Q14" s="35" t="n">
        <f aca="false">P14/8</f>
        <v>0.875</v>
      </c>
    </row>
    <row r="15" customFormat="false" ht="30" hidden="false" customHeight="true" outlineLevel="0" collapsed="false">
      <c r="B15" s="31" t="s">
        <v>219</v>
      </c>
      <c r="C15" s="39" t="s">
        <v>87</v>
      </c>
      <c r="D15" s="40" t="s">
        <v>16</v>
      </c>
      <c r="E15" s="7" t="s">
        <v>88</v>
      </c>
      <c r="F15" s="7" t="s">
        <v>89</v>
      </c>
      <c r="G15" s="7" t="s">
        <v>93</v>
      </c>
      <c r="H15" s="40" t="s">
        <v>159</v>
      </c>
      <c r="I15" s="40" t="s">
        <v>159</v>
      </c>
      <c r="J15" s="40" t="s">
        <v>159</v>
      </c>
      <c r="K15" s="40" t="s">
        <v>159</v>
      </c>
      <c r="L15" s="40" t="s">
        <v>159</v>
      </c>
      <c r="M15" s="40" t="s">
        <v>159</v>
      </c>
      <c r="N15" s="40" t="s">
        <v>159</v>
      </c>
      <c r="O15" s="40" t="s">
        <v>159</v>
      </c>
      <c r="P15" s="34" t="n">
        <f aca="false">IF(COUNTA(H15:O15)=0,"",COUNTIF(H15:O15,"Sim")+0.5*COUNTIF(H15:O15,"Parcial"))</f>
        <v>8</v>
      </c>
      <c r="Q15" s="35" t="n">
        <f aca="false">P15/8</f>
        <v>1</v>
      </c>
    </row>
    <row r="16" customFormat="false" ht="30" hidden="false" customHeight="true" outlineLevel="0" collapsed="false">
      <c r="B16" s="31" t="s">
        <v>220</v>
      </c>
      <c r="C16" s="39" t="s">
        <v>221</v>
      </c>
      <c r="D16" s="40" t="s">
        <v>16</v>
      </c>
      <c r="E16" s="7" t="s">
        <v>206</v>
      </c>
      <c r="F16" s="7" t="s">
        <v>222</v>
      </c>
      <c r="G16" s="41" t="s">
        <v>100</v>
      </c>
      <c r="H16" s="40" t="s">
        <v>160</v>
      </c>
      <c r="I16" s="40" t="s">
        <v>161</v>
      </c>
      <c r="J16" s="40" t="s">
        <v>161</v>
      </c>
      <c r="K16" s="40" t="s">
        <v>159</v>
      </c>
      <c r="L16" s="40" t="s">
        <v>159</v>
      </c>
      <c r="M16" s="40" t="s">
        <v>161</v>
      </c>
      <c r="N16" s="40" t="s">
        <v>161</v>
      </c>
      <c r="O16" s="40" t="s">
        <v>161</v>
      </c>
      <c r="P16" s="34" t="n">
        <f aca="false">IF(COUNTA(H16:O16)=0,"",COUNTIF(H16:O16,"Sim")+0.5*COUNTIF(H16:O16,"Parcial"))</f>
        <v>2.5</v>
      </c>
      <c r="Q16" s="35" t="n">
        <f aca="false">P16/8</f>
        <v>0.3125</v>
      </c>
    </row>
    <row r="17" customFormat="false" ht="30" hidden="false" customHeight="true" outlineLevel="0" collapsed="false">
      <c r="B17" s="31" t="s">
        <v>223</v>
      </c>
      <c r="C17" s="39" t="s">
        <v>224</v>
      </c>
      <c r="D17" s="40" t="s">
        <v>18</v>
      </c>
      <c r="E17" s="7" t="s">
        <v>206</v>
      </c>
      <c r="F17" s="7" t="s">
        <v>225</v>
      </c>
      <c r="G17" s="41" t="s">
        <v>100</v>
      </c>
      <c r="H17" s="40" t="s">
        <v>159</v>
      </c>
      <c r="I17" s="40" t="s">
        <v>160</v>
      </c>
      <c r="J17" s="40" t="s">
        <v>161</v>
      </c>
      <c r="K17" s="40" t="s">
        <v>159</v>
      </c>
      <c r="L17" s="40" t="s">
        <v>159</v>
      </c>
      <c r="M17" s="40" t="s">
        <v>160</v>
      </c>
      <c r="N17" s="40" t="s">
        <v>161</v>
      </c>
      <c r="O17" s="40" t="s">
        <v>161</v>
      </c>
      <c r="P17" s="34" t="n">
        <f aca="false">IF(COUNTA(H17:O17)=0,"",COUNTIF(H17:O17,"Sim")+0.5*COUNTIF(H17:O17,"Parcial"))</f>
        <v>4</v>
      </c>
      <c r="Q17" s="35" t="n">
        <f aca="false">P17/8</f>
        <v>0.5</v>
      </c>
    </row>
    <row r="18" customFormat="false" ht="30" hidden="false" customHeight="true" outlineLevel="0" collapsed="false">
      <c r="B18" s="31" t="s">
        <v>226</v>
      </c>
      <c r="C18" s="39" t="s">
        <v>227</v>
      </c>
      <c r="D18" s="40" t="s">
        <v>18</v>
      </c>
      <c r="E18" s="7" t="s">
        <v>216</v>
      </c>
      <c r="F18" s="7" t="s">
        <v>228</v>
      </c>
      <c r="G18" s="41" t="s">
        <v>100</v>
      </c>
      <c r="H18" s="40" t="s">
        <v>160</v>
      </c>
      <c r="I18" s="40" t="s">
        <v>160</v>
      </c>
      <c r="J18" s="40" t="s">
        <v>161</v>
      </c>
      <c r="K18" s="40" t="s">
        <v>159</v>
      </c>
      <c r="L18" s="40" t="s">
        <v>159</v>
      </c>
      <c r="M18" s="40" t="s">
        <v>160</v>
      </c>
      <c r="N18" s="40" t="s">
        <v>161</v>
      </c>
      <c r="O18" s="40" t="s">
        <v>161</v>
      </c>
      <c r="P18" s="34" t="n">
        <f aca="false">IF(COUNTA(H18:O18)=0,"",COUNTIF(H18:O18,"Sim")+0.5*COUNTIF(H18:O18,"Parcial"))</f>
        <v>3.5</v>
      </c>
      <c r="Q18" s="35" t="n">
        <f aca="false">P18/8</f>
        <v>0.4375</v>
      </c>
    </row>
    <row r="19" customFormat="false" ht="30" hidden="false" customHeight="true" outlineLevel="0" collapsed="false">
      <c r="B19" s="31" t="s">
        <v>229</v>
      </c>
      <c r="C19" s="39" t="s">
        <v>230</v>
      </c>
      <c r="D19" s="40" t="s">
        <v>18</v>
      </c>
      <c r="E19" s="7" t="s">
        <v>206</v>
      </c>
      <c r="F19" s="7" t="s">
        <v>231</v>
      </c>
      <c r="G19" s="41" t="s">
        <v>100</v>
      </c>
      <c r="H19" s="40" t="s">
        <v>160</v>
      </c>
      <c r="I19" s="40" t="s">
        <v>160</v>
      </c>
      <c r="J19" s="40" t="s">
        <v>161</v>
      </c>
      <c r="K19" s="40" t="s">
        <v>160</v>
      </c>
      <c r="L19" s="40" t="s">
        <v>159</v>
      </c>
      <c r="M19" s="40" t="s">
        <v>161</v>
      </c>
      <c r="N19" s="40" t="s">
        <v>161</v>
      </c>
      <c r="O19" s="40" t="s">
        <v>161</v>
      </c>
      <c r="P19" s="34" t="n">
        <f aca="false">IF(COUNTA(H19:O19)=0,"",COUNTIF(H19:O19,"Sim")+0.5*COUNTIF(H19:O19,"Parcial"))</f>
        <v>2.5</v>
      </c>
      <c r="Q19" s="35" t="n">
        <f aca="false">P19/8</f>
        <v>0.3125</v>
      </c>
    </row>
    <row r="20" customFormat="false" ht="21.75" hidden="false" customHeight="true" outlineLevel="0" collapsed="false">
      <c r="B20" s="22" t="s">
        <v>162</v>
      </c>
      <c r="C20" s="22"/>
      <c r="D20" s="22"/>
      <c r="E20" s="22"/>
      <c r="F20" s="22"/>
      <c r="G20" s="22"/>
      <c r="H20" s="35" t="n">
        <f aca="false">(COUNTIF(H11:H19,"Sim")+0.5*COUNTIF(H11:H19,"Parcial"))/ROWS(H11:H19)</f>
        <v>0.833333333333333</v>
      </c>
      <c r="I20" s="35" t="n">
        <f aca="false">(COUNTIF(I11:I19,"Sim")+0.5*COUNTIF(I11:I19,"Parcial"))/ROWS(I11:I19)</f>
        <v>0.666666666666667</v>
      </c>
      <c r="J20" s="35" t="n">
        <f aca="false">(COUNTIF(J11:J19,"Sim")+0.5*COUNTIF(J11:J19,"Parcial"))/ROWS(J11:J19)</f>
        <v>0.388888888888889</v>
      </c>
      <c r="K20" s="35" t="n">
        <f aca="false">(COUNTIF(K11:K19,"Sim")+0.5*COUNTIF(K11:K19,"Parcial"))/ROWS(K11:K19)</f>
        <v>0.944444444444444</v>
      </c>
      <c r="L20" s="35" t="n">
        <f aca="false">(COUNTIF(L11:L19,"Sim")+0.5*COUNTIF(L11:L19,"Parcial"))/ROWS(L11:L19)</f>
        <v>1</v>
      </c>
      <c r="M20" s="35" t="n">
        <f aca="false">(COUNTIF(M11:M19,"Sim")+0.5*COUNTIF(M11:M19,"Parcial"))/ROWS(M11:M19)</f>
        <v>0.5</v>
      </c>
      <c r="N20" s="35" t="n">
        <f aca="false">(COUNTIF(N11:N19,"Sim")+0.5*COUNTIF(N11:N19,"Parcial"))/ROWS(N11:N19)</f>
        <v>0.388888888888889</v>
      </c>
      <c r="O20" s="35" t="n">
        <f aca="false">(COUNTIF(O11:O19,"Sim")+0.5*COUNTIF(O11:O19,"Parcial"))/ROWS(O11:O19)</f>
        <v>0.388888888888889</v>
      </c>
      <c r="P20" s="6"/>
      <c r="Q20" s="35" t="n">
        <f aca="false">AVERAGE(Q11:Q19)</f>
        <v>0.638888888888889</v>
      </c>
    </row>
    <row r="22" customFormat="false" ht="21.75" hidden="false" customHeight="true" outlineLevel="0" collapsed="false">
      <c r="B22" s="21" t="s">
        <v>95</v>
      </c>
      <c r="C22" s="21"/>
      <c r="D22" s="21"/>
      <c r="E22" s="21"/>
      <c r="F22" s="21"/>
      <c r="G22" s="21"/>
      <c r="H22" s="21" t="s">
        <v>232</v>
      </c>
      <c r="I22" s="21"/>
      <c r="J22" s="21"/>
      <c r="K22" s="21"/>
      <c r="L22" s="21"/>
      <c r="M22" s="21"/>
      <c r="N22" s="21"/>
      <c r="O22" s="21"/>
      <c r="P22" s="21"/>
      <c r="Q22" s="21"/>
    </row>
    <row r="23" customFormat="false" ht="21.75" hidden="false" customHeight="true" outlineLevel="0" collapsed="false">
      <c r="B23" s="22" t="s">
        <v>36</v>
      </c>
      <c r="C23" s="22"/>
      <c r="D23" s="22"/>
      <c r="E23" s="23" t="n">
        <f aca="false">COUNTA(C11:C19)</f>
        <v>9</v>
      </c>
      <c r="F23" s="23"/>
      <c r="G23" s="23"/>
    </row>
    <row r="24" customFormat="false" ht="21.75" hidden="false" customHeight="true" outlineLevel="0" collapsed="false">
      <c r="B24" s="22" t="s">
        <v>233</v>
      </c>
      <c r="C24" s="22"/>
      <c r="D24" s="22"/>
      <c r="E24" s="23" t="str">
        <f aca="false">COUNTIF(D11:D19,"Gestão")&amp;", "&amp;COUNTIF(D11:D19,"Principal")&amp;" e "&amp;COUNTIF(D11:D19,"Apoio")</f>
        <v>2, 4 e 3</v>
      </c>
      <c r="F24" s="23"/>
      <c r="G24" s="23"/>
    </row>
    <row r="25" customFormat="false" ht="21.75" hidden="false" customHeight="true" outlineLevel="0" collapsed="false">
      <c r="B25" s="22" t="s">
        <v>234</v>
      </c>
      <c r="C25" s="22"/>
      <c r="D25" s="22"/>
      <c r="E25" s="23" t="n">
        <f aca="false">COUNTIF(G11:G19,"Sem indicador")</f>
        <v>4</v>
      </c>
      <c r="F25" s="23"/>
      <c r="G25" s="23"/>
    </row>
    <row r="26" customFormat="false" ht="21.75" hidden="false" customHeight="true" outlineLevel="0" collapsed="false">
      <c r="B26" s="22" t="s">
        <v>235</v>
      </c>
      <c r="C26" s="22"/>
      <c r="D26" s="22"/>
      <c r="E26" s="35" t="n">
        <f aca="false">Q20</f>
        <v>0.638888888888889</v>
      </c>
      <c r="F26" s="35"/>
      <c r="G26" s="35"/>
    </row>
    <row r="27" customFormat="false" ht="21.75" hidden="false" customHeight="true" outlineLevel="0" collapsed="false">
      <c r="B27" s="22" t="s">
        <v>165</v>
      </c>
      <c r="C27" s="22"/>
      <c r="D27" s="22"/>
      <c r="E27" s="23" t="str">
        <f aca="false">INDEX(C11:C19,MATCH(MIN(Q11:Q19),Q11:Q19,0))</f>
        <v>Atender no salão</v>
      </c>
      <c r="F27" s="23"/>
      <c r="G27" s="23"/>
    </row>
    <row r="28" customFormat="false" ht="21.75" hidden="false" customHeight="true" outlineLevel="0" collapsed="false">
      <c r="B28" s="22" t="s">
        <v>166</v>
      </c>
      <c r="C28" s="22"/>
      <c r="D28" s="22"/>
      <c r="E28" s="23" t="str">
        <f aca="false">INDEX(H10:O10,MATCH(MIN(H20:O20),H20:O20,0))</f>
        <v>c · Critérios e indicadores</v>
      </c>
      <c r="F28" s="23"/>
      <c r="G28" s="23"/>
    </row>
    <row r="41" customFormat="false" ht="21.75" hidden="false" customHeight="true" outlineLevel="0" collapsed="false">
      <c r="B41" s="32" t="s">
        <v>236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  <row r="42" customFormat="false" ht="24" hidden="false" customHeight="true" outlineLevel="0" collapsed="false">
      <c r="B42" s="23" t="s">
        <v>237</v>
      </c>
      <c r="C42" s="23"/>
      <c r="D42" s="23" t="s">
        <v>238</v>
      </c>
      <c r="E42" s="23"/>
      <c r="F42" s="23"/>
      <c r="G42" s="31" t="s">
        <v>239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customFormat="false" ht="22.5" hidden="false" customHeight="true" outlineLevel="0" collapsed="false">
      <c r="B43" s="10" t="s">
        <v>119</v>
      </c>
      <c r="C43" s="10"/>
      <c r="D43" s="7" t="s">
        <v>240</v>
      </c>
      <c r="E43" s="7"/>
      <c r="F43" s="7"/>
      <c r="G43" s="7" t="s">
        <v>215</v>
      </c>
      <c r="H43" s="7"/>
      <c r="I43" s="7"/>
      <c r="J43" s="7"/>
      <c r="K43" s="7"/>
      <c r="L43" s="7"/>
      <c r="M43" s="7"/>
      <c r="N43" s="7"/>
      <c r="O43" s="7"/>
      <c r="P43" s="7"/>
      <c r="Q43" s="7"/>
    </row>
    <row r="44" customFormat="false" ht="22.5" hidden="false" customHeight="true" outlineLevel="0" collapsed="false">
      <c r="B44" s="10" t="s">
        <v>119</v>
      </c>
      <c r="C44" s="10"/>
      <c r="D44" s="7" t="s">
        <v>241</v>
      </c>
      <c r="E44" s="7"/>
      <c r="F44" s="7"/>
      <c r="G44" s="7" t="s">
        <v>210</v>
      </c>
      <c r="H44" s="7"/>
      <c r="I44" s="7"/>
      <c r="J44" s="7"/>
      <c r="K44" s="7"/>
      <c r="L44" s="7"/>
      <c r="M44" s="7"/>
      <c r="N44" s="7"/>
      <c r="O44" s="7"/>
      <c r="P44" s="7"/>
      <c r="Q44" s="7"/>
    </row>
    <row r="45" customFormat="false" ht="22.5" hidden="false" customHeight="true" outlineLevel="0" collapsed="false">
      <c r="B45" s="10" t="s">
        <v>119</v>
      </c>
      <c r="C45" s="10"/>
      <c r="D45" s="7" t="s">
        <v>242</v>
      </c>
      <c r="E45" s="7"/>
      <c r="F45" s="7"/>
      <c r="G45" s="7" t="s">
        <v>200</v>
      </c>
      <c r="H45" s="7"/>
      <c r="I45" s="7"/>
      <c r="J45" s="7"/>
      <c r="K45" s="7"/>
      <c r="L45" s="7"/>
      <c r="M45" s="7"/>
      <c r="N45" s="7"/>
      <c r="O45" s="7"/>
      <c r="P45" s="7"/>
      <c r="Q45" s="7"/>
    </row>
    <row r="46" customFormat="false" ht="22.5" hidden="false" customHeight="true" outlineLevel="0" collapsed="false">
      <c r="B46" s="10" t="s">
        <v>120</v>
      </c>
      <c r="C46" s="10"/>
      <c r="D46" s="7" t="s">
        <v>243</v>
      </c>
      <c r="E46" s="7"/>
      <c r="F46" s="7"/>
      <c r="G46" s="7" t="s">
        <v>92</v>
      </c>
      <c r="H46" s="7"/>
      <c r="I46" s="7"/>
      <c r="J46" s="7"/>
      <c r="K46" s="7"/>
      <c r="L46" s="7"/>
      <c r="M46" s="7"/>
      <c r="N46" s="7"/>
      <c r="O46" s="7"/>
      <c r="P46" s="7"/>
      <c r="Q46" s="7"/>
    </row>
    <row r="47" customFormat="false" ht="22.5" hidden="false" customHeight="true" outlineLevel="0" collapsed="false">
      <c r="B47" s="10" t="s">
        <v>120</v>
      </c>
      <c r="C47" s="10"/>
      <c r="D47" s="7" t="s">
        <v>244</v>
      </c>
      <c r="E47" s="7"/>
      <c r="F47" s="7"/>
      <c r="G47" s="7" t="s">
        <v>205</v>
      </c>
      <c r="H47" s="7"/>
      <c r="I47" s="7"/>
      <c r="J47" s="7"/>
      <c r="K47" s="7"/>
      <c r="L47" s="7"/>
      <c r="M47" s="7"/>
      <c r="N47" s="7"/>
      <c r="O47" s="7"/>
      <c r="P47" s="7"/>
      <c r="Q47" s="7"/>
    </row>
    <row r="48" customFormat="false" ht="22.5" hidden="false" customHeight="true" outlineLevel="0" collapsed="false">
      <c r="B48" s="10" t="s">
        <v>120</v>
      </c>
      <c r="C48" s="10"/>
      <c r="D48" s="7" t="s">
        <v>245</v>
      </c>
      <c r="E48" s="7"/>
      <c r="F48" s="7"/>
      <c r="G48" s="7" t="s">
        <v>205</v>
      </c>
      <c r="H48" s="7"/>
      <c r="I48" s="7"/>
      <c r="J48" s="7"/>
      <c r="K48" s="7"/>
      <c r="L48" s="7"/>
      <c r="M48" s="7"/>
      <c r="N48" s="7"/>
      <c r="O48" s="7"/>
      <c r="P48" s="7"/>
      <c r="Q48" s="7"/>
    </row>
    <row r="49" customFormat="false" ht="22.5" hidden="false" customHeight="true" outlineLevel="0" collapsed="false">
      <c r="B49" s="12" t="s">
        <v>125</v>
      </c>
      <c r="C49" s="12"/>
      <c r="D49" s="7" t="s">
        <v>246</v>
      </c>
      <c r="E49" s="7"/>
      <c r="F49" s="7"/>
      <c r="G49" s="7" t="s">
        <v>247</v>
      </c>
      <c r="H49" s="7"/>
      <c r="I49" s="7"/>
      <c r="J49" s="7"/>
      <c r="K49" s="7"/>
      <c r="L49" s="7"/>
      <c r="M49" s="7"/>
      <c r="N49" s="7"/>
      <c r="O49" s="7"/>
      <c r="P49" s="7"/>
      <c r="Q49" s="7"/>
    </row>
    <row r="50" customFormat="false" ht="22.5" hidden="false" customHeight="true" outlineLevel="0" collapsed="false">
      <c r="B50" s="12" t="s">
        <v>125</v>
      </c>
      <c r="C50" s="12"/>
      <c r="D50" s="7" t="s">
        <v>248</v>
      </c>
      <c r="E50" s="7"/>
      <c r="F50" s="7"/>
      <c r="G50" s="7" t="s">
        <v>249</v>
      </c>
      <c r="H50" s="7"/>
      <c r="I50" s="7"/>
      <c r="J50" s="7"/>
      <c r="K50" s="7"/>
      <c r="L50" s="7"/>
      <c r="M50" s="7"/>
      <c r="N50" s="7"/>
      <c r="O50" s="7"/>
      <c r="P50" s="7"/>
      <c r="Q50" s="7"/>
    </row>
    <row r="51" customFormat="false" ht="22.5" hidden="false" customHeight="true" outlineLevel="0" collapsed="false">
      <c r="B51" s="12" t="s">
        <v>125</v>
      </c>
      <c r="C51" s="12"/>
      <c r="D51" s="7" t="s">
        <v>250</v>
      </c>
      <c r="E51" s="7"/>
      <c r="F51" s="7"/>
      <c r="G51" s="7" t="s">
        <v>251</v>
      </c>
      <c r="H51" s="7"/>
      <c r="I51" s="7"/>
      <c r="J51" s="7"/>
      <c r="K51" s="7"/>
      <c r="L51" s="7"/>
      <c r="M51" s="7"/>
      <c r="N51" s="7"/>
      <c r="O51" s="7"/>
      <c r="P51" s="7"/>
      <c r="Q51" s="7"/>
    </row>
    <row r="52" customFormat="false" ht="22.5" hidden="false" customHeight="true" outlineLevel="0" collapsed="false">
      <c r="B52" s="12" t="s">
        <v>126</v>
      </c>
      <c r="C52" s="12"/>
      <c r="D52" s="7" t="s">
        <v>88</v>
      </c>
      <c r="E52" s="7"/>
      <c r="F52" s="7"/>
      <c r="G52" s="7" t="s">
        <v>252</v>
      </c>
      <c r="H52" s="7"/>
      <c r="I52" s="7"/>
      <c r="J52" s="7"/>
      <c r="K52" s="7"/>
      <c r="L52" s="7"/>
      <c r="M52" s="7"/>
      <c r="N52" s="7"/>
      <c r="O52" s="7"/>
      <c r="P52" s="7"/>
      <c r="Q52" s="7"/>
    </row>
    <row r="53" customFormat="false" ht="22.5" hidden="false" customHeight="true" outlineLevel="0" collapsed="false">
      <c r="B53" s="12" t="s">
        <v>126</v>
      </c>
      <c r="C53" s="12"/>
      <c r="D53" s="7" t="s">
        <v>253</v>
      </c>
      <c r="E53" s="7"/>
      <c r="F53" s="7"/>
      <c r="G53" s="7" t="s">
        <v>254</v>
      </c>
      <c r="H53" s="7"/>
      <c r="I53" s="7"/>
      <c r="J53" s="7"/>
      <c r="K53" s="7"/>
      <c r="L53" s="7"/>
      <c r="M53" s="7"/>
      <c r="N53" s="7"/>
      <c r="O53" s="7"/>
      <c r="P53" s="7"/>
      <c r="Q53" s="7"/>
    </row>
    <row r="54" customFormat="false" ht="22.5" hidden="false" customHeight="true" outlineLevel="0" collapsed="false">
      <c r="B54" s="12" t="s">
        <v>126</v>
      </c>
      <c r="C54" s="12"/>
      <c r="D54" s="7" t="s">
        <v>255</v>
      </c>
      <c r="E54" s="7"/>
      <c r="F54" s="7"/>
      <c r="G54" s="7" t="s">
        <v>256</v>
      </c>
      <c r="H54" s="7"/>
      <c r="I54" s="7"/>
      <c r="J54" s="7"/>
      <c r="K54" s="7"/>
      <c r="L54" s="7"/>
      <c r="M54" s="7"/>
      <c r="N54" s="7"/>
      <c r="O54" s="7"/>
      <c r="P54" s="7"/>
      <c r="Q54" s="7"/>
    </row>
    <row r="55" customFormat="false" ht="22.5" hidden="false" customHeight="true" outlineLevel="0" collapsed="false">
      <c r="B55" s="12" t="s">
        <v>131</v>
      </c>
      <c r="C55" s="12"/>
      <c r="D55" s="7" t="s">
        <v>257</v>
      </c>
      <c r="E55" s="7"/>
      <c r="F55" s="7"/>
      <c r="G55" s="7" t="s">
        <v>258</v>
      </c>
      <c r="H55" s="7"/>
      <c r="I55" s="7"/>
      <c r="J55" s="7"/>
      <c r="K55" s="7"/>
      <c r="L55" s="7"/>
      <c r="M55" s="7"/>
      <c r="N55" s="7"/>
      <c r="O55" s="7"/>
      <c r="P55" s="7"/>
      <c r="Q55" s="7"/>
    </row>
    <row r="56" customFormat="false" ht="22.5" hidden="false" customHeight="true" outlineLevel="0" collapsed="false">
      <c r="B56" s="12" t="s">
        <v>131</v>
      </c>
      <c r="C56" s="12"/>
      <c r="D56" s="7" t="s">
        <v>259</v>
      </c>
      <c r="E56" s="7"/>
      <c r="F56" s="7"/>
      <c r="G56" s="7" t="s">
        <v>260</v>
      </c>
      <c r="H56" s="7"/>
      <c r="I56" s="7"/>
      <c r="J56" s="7"/>
      <c r="K56" s="7"/>
      <c r="L56" s="7"/>
      <c r="M56" s="7"/>
      <c r="N56" s="7"/>
      <c r="O56" s="7"/>
      <c r="P56" s="7"/>
      <c r="Q56" s="7"/>
    </row>
    <row r="57" customFormat="false" ht="22.5" hidden="false" customHeight="true" outlineLevel="0" collapsed="false">
      <c r="B57" s="12" t="s">
        <v>131</v>
      </c>
      <c r="C57" s="12"/>
      <c r="D57" s="7" t="s">
        <v>261</v>
      </c>
      <c r="E57" s="7"/>
      <c r="F57" s="7"/>
      <c r="G57" s="7" t="s">
        <v>262</v>
      </c>
      <c r="H57" s="7"/>
      <c r="I57" s="7"/>
      <c r="J57" s="7"/>
      <c r="K57" s="7"/>
      <c r="L57" s="7"/>
      <c r="M57" s="7"/>
      <c r="N57" s="7"/>
      <c r="O57" s="7"/>
      <c r="P57" s="7"/>
      <c r="Q57" s="7"/>
    </row>
    <row r="58" customFormat="false" ht="22.5" hidden="false" customHeight="true" outlineLevel="0" collapsed="false">
      <c r="B58" s="12" t="s">
        <v>132</v>
      </c>
      <c r="C58" s="12"/>
      <c r="D58" s="7" t="s">
        <v>93</v>
      </c>
      <c r="E58" s="7"/>
      <c r="F58" s="7"/>
      <c r="G58" s="7" t="s">
        <v>263</v>
      </c>
      <c r="H58" s="7"/>
      <c r="I58" s="7"/>
      <c r="J58" s="7"/>
      <c r="K58" s="7"/>
      <c r="L58" s="7"/>
      <c r="M58" s="7"/>
      <c r="N58" s="7"/>
      <c r="O58" s="7"/>
      <c r="P58" s="7"/>
      <c r="Q58" s="7"/>
    </row>
    <row r="59" customFormat="false" ht="22.5" hidden="false" customHeight="true" outlineLevel="0" collapsed="false">
      <c r="B59" s="12" t="s">
        <v>132</v>
      </c>
      <c r="C59" s="12"/>
      <c r="D59" s="7" t="s">
        <v>264</v>
      </c>
      <c r="E59" s="7"/>
      <c r="F59" s="7"/>
      <c r="G59" s="7" t="s">
        <v>265</v>
      </c>
      <c r="H59" s="7"/>
      <c r="I59" s="7"/>
      <c r="J59" s="7"/>
      <c r="K59" s="7"/>
      <c r="L59" s="7"/>
      <c r="M59" s="7"/>
      <c r="N59" s="7"/>
      <c r="O59" s="7"/>
      <c r="P59" s="7"/>
      <c r="Q59" s="7"/>
    </row>
    <row r="60" customFormat="false" ht="22.5" hidden="false" customHeight="true" outlineLevel="0" collapsed="false">
      <c r="B60" s="42" t="s">
        <v>136</v>
      </c>
      <c r="C60" s="42"/>
      <c r="D60" s="7" t="s">
        <v>266</v>
      </c>
      <c r="E60" s="7"/>
      <c r="F60" s="7"/>
      <c r="G60" s="7" t="s">
        <v>267</v>
      </c>
      <c r="H60" s="7"/>
      <c r="I60" s="7"/>
      <c r="J60" s="7"/>
      <c r="K60" s="7"/>
      <c r="L60" s="7"/>
      <c r="M60" s="7"/>
      <c r="N60" s="7"/>
      <c r="O60" s="7"/>
      <c r="P60" s="7"/>
      <c r="Q60" s="7"/>
    </row>
    <row r="61" customFormat="false" ht="22.5" hidden="false" customHeight="true" outlineLevel="0" collapsed="false">
      <c r="B61" s="42" t="s">
        <v>136</v>
      </c>
      <c r="C61" s="42"/>
      <c r="D61" s="7" t="s">
        <v>268</v>
      </c>
      <c r="E61" s="7"/>
      <c r="F61" s="7"/>
      <c r="G61" s="7" t="s">
        <v>269</v>
      </c>
      <c r="H61" s="7"/>
      <c r="I61" s="7"/>
      <c r="J61" s="7"/>
      <c r="K61" s="7"/>
      <c r="L61" s="7"/>
      <c r="M61" s="7"/>
      <c r="N61" s="7"/>
      <c r="O61" s="7"/>
      <c r="P61" s="7"/>
      <c r="Q61" s="7"/>
    </row>
  </sheetData>
  <mergeCells count="88">
    <mergeCell ref="B1:Q1"/>
    <mergeCell ref="B2:Q2"/>
    <mergeCell ref="B4:C4"/>
    <mergeCell ref="D4:Q4"/>
    <mergeCell ref="B5:C5"/>
    <mergeCell ref="D5:Q5"/>
    <mergeCell ref="B6:C6"/>
    <mergeCell ref="D6:Q6"/>
    <mergeCell ref="B7:C7"/>
    <mergeCell ref="D7:Q7"/>
    <mergeCell ref="B9:G9"/>
    <mergeCell ref="H9:Q9"/>
    <mergeCell ref="B20:G20"/>
    <mergeCell ref="B22:G22"/>
    <mergeCell ref="H22:Q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41:Q41"/>
    <mergeCell ref="B42:C42"/>
    <mergeCell ref="D42:F42"/>
    <mergeCell ref="G42:Q42"/>
    <mergeCell ref="B43:C43"/>
    <mergeCell ref="D43:F43"/>
    <mergeCell ref="G43:Q43"/>
    <mergeCell ref="B44:C44"/>
    <mergeCell ref="D44:F44"/>
    <mergeCell ref="G44:Q44"/>
    <mergeCell ref="B45:C45"/>
    <mergeCell ref="D45:F45"/>
    <mergeCell ref="G45:Q45"/>
    <mergeCell ref="B46:C46"/>
    <mergeCell ref="D46:F46"/>
    <mergeCell ref="G46:Q46"/>
    <mergeCell ref="B47:C47"/>
    <mergeCell ref="D47:F47"/>
    <mergeCell ref="G47:Q47"/>
    <mergeCell ref="B48:C48"/>
    <mergeCell ref="D48:F48"/>
    <mergeCell ref="G48:Q48"/>
    <mergeCell ref="B49:C49"/>
    <mergeCell ref="D49:F49"/>
    <mergeCell ref="G49:Q49"/>
    <mergeCell ref="B50:C50"/>
    <mergeCell ref="D50:F50"/>
    <mergeCell ref="G50:Q50"/>
    <mergeCell ref="B51:C51"/>
    <mergeCell ref="D51:F51"/>
    <mergeCell ref="G51:Q51"/>
    <mergeCell ref="B52:C52"/>
    <mergeCell ref="D52:F52"/>
    <mergeCell ref="G52:Q52"/>
    <mergeCell ref="B53:C53"/>
    <mergeCell ref="D53:F53"/>
    <mergeCell ref="G53:Q53"/>
    <mergeCell ref="B54:C54"/>
    <mergeCell ref="D54:F54"/>
    <mergeCell ref="G54:Q54"/>
    <mergeCell ref="B55:C55"/>
    <mergeCell ref="D55:F55"/>
    <mergeCell ref="G55:Q55"/>
    <mergeCell ref="B56:C56"/>
    <mergeCell ref="D56:F56"/>
    <mergeCell ref="G56:Q56"/>
    <mergeCell ref="B57:C57"/>
    <mergeCell ref="D57:F57"/>
    <mergeCell ref="G57:Q57"/>
    <mergeCell ref="B58:C58"/>
    <mergeCell ref="D58:F58"/>
    <mergeCell ref="G58:Q58"/>
    <mergeCell ref="B59:C59"/>
    <mergeCell ref="D59:F59"/>
    <mergeCell ref="G59:Q59"/>
    <mergeCell ref="B60:C60"/>
    <mergeCell ref="D60:F60"/>
    <mergeCell ref="G60:Q60"/>
    <mergeCell ref="B61:C61"/>
    <mergeCell ref="D61:F61"/>
    <mergeCell ref="G61:Q61"/>
  </mergeCells>
  <conditionalFormatting sqref="D11:D19">
    <cfRule type="cellIs" priority="2" operator="equal" aboveAverage="0" equalAverage="0" bottom="0" percent="0" rank="0" text="" dxfId="0">
      <formula>"Gestão"</formula>
    </cfRule>
    <cfRule type="cellIs" priority="3" operator="equal" aboveAverage="0" equalAverage="0" bottom="0" percent="0" rank="0" text="" dxfId="1">
      <formula>"Principal"</formula>
    </cfRule>
    <cfRule type="cellIs" priority="4" operator="equal" aboveAverage="0" equalAverage="0" bottom="0" percent="0" rank="0" text="" dxfId="2">
      <formula>"Apoio"</formula>
    </cfRule>
  </conditionalFormatting>
  <conditionalFormatting sqref="H11:O19">
    <cfRule type="cellIs" priority="5" operator="equal" aboveAverage="0" equalAverage="0" bottom="0" percent="0" rank="0" text="" dxfId="3">
      <formula>"Sim"</formula>
    </cfRule>
    <cfRule type="cellIs" priority="6" operator="equal" aboveAverage="0" equalAverage="0" bottom="0" percent="0" rank="0" text="" dxfId="4">
      <formula>"Parcial"</formula>
    </cfRule>
    <cfRule type="cellIs" priority="7" operator="equal" aboveAverage="0" equalAverage="0" bottom="0" percent="0" rank="0" text="" dxfId="5">
      <formula>"Não"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0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6" min="4" style="0" width="20"/>
    <col collapsed="false" customWidth="true" hidden="false" outlineLevel="0" max="8" min="7" style="0" width="30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115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270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4" t="s">
        <v>63</v>
      </c>
      <c r="C4" s="4"/>
      <c r="D4" s="36" t="s">
        <v>271</v>
      </c>
      <c r="E4" s="36"/>
      <c r="F4" s="36"/>
      <c r="G4" s="36"/>
      <c r="H4" s="36"/>
    </row>
    <row r="5" customFormat="false" ht="21.75" hidden="false" customHeight="true" outlineLevel="0" collapsed="false">
      <c r="B5" s="4" t="s">
        <v>68</v>
      </c>
      <c r="C5" s="4"/>
      <c r="D5" s="36" t="s">
        <v>272</v>
      </c>
      <c r="E5" s="36"/>
      <c r="F5" s="36"/>
      <c r="G5" s="36"/>
      <c r="H5" s="36"/>
    </row>
    <row r="6" customFormat="false" ht="21.75" hidden="false" customHeight="true" outlineLevel="0" collapsed="false">
      <c r="B6" s="4" t="s">
        <v>118</v>
      </c>
      <c r="C6" s="4"/>
      <c r="D6" s="36" t="s">
        <v>273</v>
      </c>
      <c r="E6" s="36"/>
      <c r="F6" s="36"/>
      <c r="G6" s="36"/>
      <c r="H6" s="36"/>
    </row>
    <row r="7" customFormat="false" ht="21.75" hidden="false" customHeight="true" outlineLevel="0" collapsed="false">
      <c r="B7" s="4" t="s">
        <v>71</v>
      </c>
      <c r="C7" s="4"/>
      <c r="D7" s="36" t="s">
        <v>274</v>
      </c>
      <c r="E7" s="36"/>
      <c r="F7" s="36"/>
      <c r="G7" s="36"/>
      <c r="H7" s="36"/>
    </row>
    <row r="8" customFormat="false" ht="21.75" hidden="false" customHeight="true" outlineLevel="0" collapsed="false">
      <c r="B8" s="4" t="s">
        <v>192</v>
      </c>
      <c r="C8" s="4"/>
      <c r="D8" s="36" t="s">
        <v>275</v>
      </c>
      <c r="E8" s="36"/>
      <c r="F8" s="36"/>
      <c r="G8" s="36"/>
      <c r="H8" s="36"/>
    </row>
    <row r="9" customFormat="false" ht="21.75" hidden="false" customHeight="true" outlineLevel="0" collapsed="false">
      <c r="B9" s="4" t="s">
        <v>194</v>
      </c>
      <c r="C9" s="4"/>
      <c r="D9" s="36" t="s">
        <v>276</v>
      </c>
      <c r="E9" s="36"/>
      <c r="F9" s="36"/>
      <c r="G9" s="36"/>
      <c r="H9" s="36"/>
    </row>
    <row r="11" customFormat="false" ht="21.75" hidden="false" customHeight="true" outlineLevel="0" collapsed="false">
      <c r="B11" s="32" t="s">
        <v>277</v>
      </c>
      <c r="C11" s="32"/>
      <c r="D11" s="32"/>
      <c r="E11" s="32"/>
      <c r="F11" s="32"/>
      <c r="G11" s="32"/>
      <c r="H11" s="32"/>
    </row>
    <row r="12" customFormat="false" ht="24" hidden="false" customHeight="true" outlineLevel="0" collapsed="false">
      <c r="B12" s="23" t="s">
        <v>237</v>
      </c>
      <c r="C12" s="23"/>
      <c r="D12" s="23" t="s">
        <v>238</v>
      </c>
      <c r="E12" s="23"/>
      <c r="F12" s="23"/>
      <c r="G12" s="23" t="s">
        <v>239</v>
      </c>
      <c r="H12" s="23"/>
    </row>
    <row r="13" customFormat="false" ht="22.5" hidden="false" customHeight="true" outlineLevel="0" collapsed="false">
      <c r="B13" s="10" t="s">
        <v>119</v>
      </c>
      <c r="C13" s="10"/>
      <c r="D13" s="7" t="s">
        <v>278</v>
      </c>
      <c r="E13" s="7"/>
      <c r="F13" s="7"/>
      <c r="G13" s="7" t="s">
        <v>279</v>
      </c>
      <c r="H13" s="7"/>
    </row>
    <row r="14" customFormat="false" ht="22.5" hidden="false" customHeight="true" outlineLevel="0" collapsed="false">
      <c r="B14" s="10" t="s">
        <v>119</v>
      </c>
      <c r="C14" s="10"/>
      <c r="D14" s="7" t="s">
        <v>280</v>
      </c>
      <c r="E14" s="7"/>
      <c r="F14" s="7"/>
      <c r="G14" s="7" t="s">
        <v>281</v>
      </c>
      <c r="H14" s="7"/>
    </row>
    <row r="15" customFormat="false" ht="22.5" hidden="false" customHeight="true" outlineLevel="0" collapsed="false">
      <c r="B15" s="10" t="s">
        <v>119</v>
      </c>
      <c r="C15" s="10"/>
      <c r="D15" s="7" t="s">
        <v>282</v>
      </c>
      <c r="E15" s="7"/>
      <c r="F15" s="7"/>
      <c r="G15" s="7" t="s">
        <v>283</v>
      </c>
      <c r="H15" s="7"/>
    </row>
    <row r="16" customFormat="false" ht="22.5" hidden="false" customHeight="true" outlineLevel="0" collapsed="false">
      <c r="B16" s="10" t="s">
        <v>119</v>
      </c>
      <c r="C16" s="10"/>
      <c r="D16" s="7" t="s">
        <v>284</v>
      </c>
      <c r="E16" s="7"/>
      <c r="F16" s="7"/>
      <c r="G16" s="7" t="s">
        <v>285</v>
      </c>
      <c r="H16" s="7"/>
    </row>
    <row r="17" customFormat="false" ht="22.5" hidden="false" customHeight="true" outlineLevel="0" collapsed="false">
      <c r="B17" s="10" t="s">
        <v>119</v>
      </c>
      <c r="C17" s="10"/>
      <c r="D17" s="7" t="s">
        <v>286</v>
      </c>
      <c r="E17" s="7"/>
      <c r="F17" s="7"/>
      <c r="G17" s="7" t="s">
        <v>287</v>
      </c>
      <c r="H17" s="7"/>
    </row>
    <row r="18" customFormat="false" ht="22.5" hidden="false" customHeight="true" outlineLevel="0" collapsed="false">
      <c r="B18" s="10" t="s">
        <v>120</v>
      </c>
      <c r="C18" s="10"/>
      <c r="D18" s="7" t="s">
        <v>288</v>
      </c>
      <c r="E18" s="7"/>
      <c r="F18" s="7"/>
      <c r="G18" s="7" t="s">
        <v>289</v>
      </c>
      <c r="H18" s="7"/>
    </row>
    <row r="19" customFormat="false" ht="22.5" hidden="false" customHeight="true" outlineLevel="0" collapsed="false">
      <c r="B19" s="10" t="s">
        <v>120</v>
      </c>
      <c r="C19" s="10"/>
      <c r="D19" s="7" t="s">
        <v>290</v>
      </c>
      <c r="E19" s="7"/>
      <c r="F19" s="7"/>
      <c r="G19" s="7" t="s">
        <v>279</v>
      </c>
      <c r="H19" s="7"/>
    </row>
    <row r="20" customFormat="false" ht="22.5" hidden="false" customHeight="true" outlineLevel="0" collapsed="false">
      <c r="B20" s="10" t="s">
        <v>120</v>
      </c>
      <c r="C20" s="10"/>
      <c r="D20" s="7" t="s">
        <v>291</v>
      </c>
      <c r="E20" s="7"/>
      <c r="F20" s="7"/>
      <c r="G20" s="7" t="s">
        <v>287</v>
      </c>
      <c r="H20" s="7"/>
    </row>
    <row r="21" customFormat="false" ht="22.5" hidden="false" customHeight="true" outlineLevel="0" collapsed="false">
      <c r="B21" s="12" t="s">
        <v>125</v>
      </c>
      <c r="C21" s="12"/>
      <c r="D21" s="7" t="s">
        <v>292</v>
      </c>
      <c r="E21" s="7"/>
      <c r="F21" s="7"/>
      <c r="G21" s="7" t="s">
        <v>293</v>
      </c>
      <c r="H21" s="7"/>
    </row>
    <row r="22" customFormat="false" ht="22.5" hidden="false" customHeight="true" outlineLevel="0" collapsed="false">
      <c r="B22" s="12" t="s">
        <v>125</v>
      </c>
      <c r="C22" s="12"/>
      <c r="D22" s="7" t="s">
        <v>294</v>
      </c>
      <c r="E22" s="7"/>
      <c r="F22" s="7"/>
      <c r="G22" s="7" t="s">
        <v>295</v>
      </c>
      <c r="H22" s="7"/>
    </row>
    <row r="23" customFormat="false" ht="22.5" hidden="false" customHeight="true" outlineLevel="0" collapsed="false">
      <c r="B23" s="12" t="s">
        <v>125</v>
      </c>
      <c r="C23" s="12"/>
      <c r="D23" s="7" t="s">
        <v>296</v>
      </c>
      <c r="E23" s="7"/>
      <c r="F23" s="7"/>
      <c r="G23" s="7" t="s">
        <v>297</v>
      </c>
      <c r="H23" s="7"/>
    </row>
    <row r="24" customFormat="false" ht="22.5" hidden="false" customHeight="true" outlineLevel="0" collapsed="false">
      <c r="B24" s="12" t="s">
        <v>126</v>
      </c>
      <c r="C24" s="12"/>
      <c r="D24" s="7" t="s">
        <v>298</v>
      </c>
      <c r="E24" s="7"/>
      <c r="F24" s="7"/>
      <c r="G24" s="7" t="s">
        <v>299</v>
      </c>
      <c r="H24" s="7"/>
    </row>
    <row r="25" customFormat="false" ht="22.5" hidden="false" customHeight="true" outlineLevel="0" collapsed="false">
      <c r="B25" s="12" t="s">
        <v>126</v>
      </c>
      <c r="C25" s="12"/>
      <c r="D25" s="7" t="s">
        <v>300</v>
      </c>
      <c r="E25" s="7"/>
      <c r="F25" s="7"/>
      <c r="G25" s="7" t="s">
        <v>301</v>
      </c>
      <c r="H25" s="7"/>
    </row>
    <row r="26" customFormat="false" ht="22.5" hidden="false" customHeight="true" outlineLevel="0" collapsed="false">
      <c r="B26" s="12" t="s">
        <v>126</v>
      </c>
      <c r="C26" s="12"/>
      <c r="D26" s="7" t="s">
        <v>302</v>
      </c>
      <c r="E26" s="7"/>
      <c r="F26" s="7"/>
      <c r="G26" s="7" t="s">
        <v>303</v>
      </c>
      <c r="H26" s="7"/>
    </row>
    <row r="27" customFormat="false" ht="22.5" hidden="false" customHeight="true" outlineLevel="0" collapsed="false">
      <c r="B27" s="12" t="s">
        <v>131</v>
      </c>
      <c r="C27" s="12"/>
      <c r="D27" s="7" t="s">
        <v>304</v>
      </c>
      <c r="E27" s="7"/>
      <c r="F27" s="7"/>
      <c r="G27" s="7" t="s">
        <v>305</v>
      </c>
      <c r="H27" s="7"/>
    </row>
    <row r="28" customFormat="false" ht="22.5" hidden="false" customHeight="true" outlineLevel="0" collapsed="false">
      <c r="B28" s="12" t="s">
        <v>131</v>
      </c>
      <c r="C28" s="12"/>
      <c r="D28" s="7" t="s">
        <v>306</v>
      </c>
      <c r="E28" s="7"/>
      <c r="F28" s="7"/>
      <c r="G28" s="7" t="s">
        <v>307</v>
      </c>
      <c r="H28" s="7"/>
    </row>
    <row r="29" customFormat="false" ht="22.5" hidden="false" customHeight="true" outlineLevel="0" collapsed="false">
      <c r="B29" s="12" t="s">
        <v>131</v>
      </c>
      <c r="C29" s="12"/>
      <c r="D29" s="7" t="s">
        <v>308</v>
      </c>
      <c r="E29" s="7"/>
      <c r="F29" s="7"/>
      <c r="G29" s="7" t="s">
        <v>309</v>
      </c>
      <c r="H29" s="7"/>
    </row>
    <row r="30" customFormat="false" ht="22.5" hidden="false" customHeight="true" outlineLevel="0" collapsed="false">
      <c r="B30" s="12" t="s">
        <v>132</v>
      </c>
      <c r="C30" s="12"/>
      <c r="D30" s="7" t="s">
        <v>310</v>
      </c>
      <c r="E30" s="7"/>
      <c r="F30" s="7"/>
      <c r="G30" s="7" t="s">
        <v>311</v>
      </c>
      <c r="H30" s="7"/>
    </row>
    <row r="31" customFormat="false" ht="22.5" hidden="false" customHeight="true" outlineLevel="0" collapsed="false">
      <c r="B31" s="12" t="s">
        <v>132</v>
      </c>
      <c r="C31" s="12"/>
      <c r="D31" s="7" t="s">
        <v>312</v>
      </c>
      <c r="E31" s="7"/>
      <c r="F31" s="7"/>
      <c r="G31" s="7" t="s">
        <v>313</v>
      </c>
      <c r="H31" s="7"/>
    </row>
    <row r="32" customFormat="false" ht="22.5" hidden="false" customHeight="true" outlineLevel="0" collapsed="false">
      <c r="B32" s="12" t="s">
        <v>132</v>
      </c>
      <c r="C32" s="12"/>
      <c r="D32" s="7" t="s">
        <v>314</v>
      </c>
      <c r="E32" s="7"/>
      <c r="F32" s="7"/>
      <c r="G32" s="7" t="s">
        <v>315</v>
      </c>
      <c r="H32" s="7"/>
    </row>
    <row r="33" customFormat="false" ht="22.5" hidden="false" customHeight="true" outlineLevel="0" collapsed="false">
      <c r="B33" s="12" t="s">
        <v>132</v>
      </c>
      <c r="C33" s="12"/>
      <c r="D33" s="7" t="s">
        <v>316</v>
      </c>
      <c r="E33" s="7"/>
      <c r="F33" s="7"/>
      <c r="G33" s="7" t="s">
        <v>317</v>
      </c>
      <c r="H33" s="7"/>
    </row>
    <row r="34" customFormat="false" ht="22.5" hidden="false" customHeight="true" outlineLevel="0" collapsed="false">
      <c r="B34" s="42" t="s">
        <v>136</v>
      </c>
      <c r="C34" s="42"/>
      <c r="D34" s="7" t="s">
        <v>318</v>
      </c>
      <c r="E34" s="7"/>
      <c r="F34" s="7"/>
      <c r="G34" s="7" t="s">
        <v>319</v>
      </c>
      <c r="H34" s="7"/>
    </row>
    <row r="35" customFormat="false" ht="22.5" hidden="false" customHeight="true" outlineLevel="0" collapsed="false">
      <c r="B35" s="42" t="s">
        <v>136</v>
      </c>
      <c r="C35" s="42"/>
      <c r="D35" s="7" t="s">
        <v>320</v>
      </c>
      <c r="E35" s="7"/>
      <c r="F35" s="7"/>
      <c r="G35" s="7" t="s">
        <v>321</v>
      </c>
      <c r="H35" s="7"/>
    </row>
    <row r="36" customFormat="false" ht="22.5" hidden="false" customHeight="true" outlineLevel="0" collapsed="false">
      <c r="B36" s="42" t="s">
        <v>136</v>
      </c>
      <c r="C36" s="42"/>
      <c r="D36" s="7" t="s">
        <v>322</v>
      </c>
      <c r="E36" s="7"/>
      <c r="F36" s="7"/>
      <c r="G36" s="7" t="s">
        <v>323</v>
      </c>
      <c r="H36" s="7"/>
    </row>
    <row r="38" customFormat="false" ht="21.75" hidden="false" customHeight="true" outlineLevel="0" collapsed="false">
      <c r="B38" s="30" t="s">
        <v>324</v>
      </c>
      <c r="C38" s="30"/>
      <c r="D38" s="30"/>
      <c r="E38" s="30"/>
      <c r="F38" s="30"/>
      <c r="G38" s="30"/>
      <c r="H38" s="30"/>
    </row>
    <row r="39" customFormat="false" ht="24" hidden="false" customHeight="true" outlineLevel="0" collapsed="false">
      <c r="B39" s="23" t="s">
        <v>325</v>
      </c>
      <c r="C39" s="23"/>
      <c r="D39" s="23" t="s">
        <v>68</v>
      </c>
      <c r="E39" s="23"/>
      <c r="F39" s="23"/>
      <c r="G39" s="23" t="s">
        <v>326</v>
      </c>
      <c r="H39" s="23"/>
    </row>
    <row r="40" customFormat="false" ht="22.5" hidden="false" customHeight="true" outlineLevel="0" collapsed="false">
      <c r="B40" s="4" t="s">
        <v>107</v>
      </c>
      <c r="C40" s="4"/>
      <c r="D40" s="7" t="s">
        <v>327</v>
      </c>
      <c r="E40" s="7"/>
      <c r="F40" s="7"/>
      <c r="G40" s="7" t="s">
        <v>282</v>
      </c>
      <c r="H40" s="7"/>
    </row>
    <row r="41" customFormat="false" ht="22.5" hidden="false" customHeight="true" outlineLevel="0" collapsed="false">
      <c r="B41" s="4" t="s">
        <v>107</v>
      </c>
      <c r="C41" s="4"/>
      <c r="D41" s="7" t="s">
        <v>328</v>
      </c>
      <c r="E41" s="7"/>
      <c r="F41" s="7"/>
      <c r="G41" s="7" t="s">
        <v>329</v>
      </c>
      <c r="H41" s="7"/>
    </row>
    <row r="42" customFormat="false" ht="22.5" hidden="false" customHeight="true" outlineLevel="0" collapsed="false">
      <c r="B42" s="4" t="s">
        <v>107</v>
      </c>
      <c r="C42" s="4"/>
      <c r="D42" s="7" t="s">
        <v>330</v>
      </c>
      <c r="E42" s="7"/>
      <c r="F42" s="7"/>
      <c r="G42" s="7" t="s">
        <v>284</v>
      </c>
      <c r="H42" s="7"/>
    </row>
    <row r="43" customFormat="false" ht="22.5" hidden="false" customHeight="true" outlineLevel="0" collapsed="false">
      <c r="B43" s="4" t="s">
        <v>107</v>
      </c>
      <c r="C43" s="4"/>
      <c r="D43" s="7" t="s">
        <v>331</v>
      </c>
      <c r="E43" s="7"/>
      <c r="F43" s="7"/>
      <c r="G43" s="7" t="s">
        <v>332</v>
      </c>
      <c r="H43" s="7"/>
    </row>
    <row r="44" customFormat="false" ht="22.5" hidden="false" customHeight="true" outlineLevel="0" collapsed="false">
      <c r="B44" s="4" t="s">
        <v>107</v>
      </c>
      <c r="C44" s="4"/>
      <c r="D44" s="7" t="s">
        <v>333</v>
      </c>
      <c r="E44" s="7"/>
      <c r="F44" s="7"/>
      <c r="G44" s="7" t="s">
        <v>286</v>
      </c>
      <c r="H44" s="7"/>
    </row>
    <row r="45" customFormat="false" ht="22.5" hidden="false" customHeight="true" outlineLevel="0" collapsed="false">
      <c r="B45" s="43" t="s">
        <v>106</v>
      </c>
      <c r="C45" s="43"/>
      <c r="D45" s="7" t="s">
        <v>328</v>
      </c>
      <c r="E45" s="7"/>
      <c r="F45" s="7"/>
      <c r="G45" s="7" t="s">
        <v>290</v>
      </c>
      <c r="H45" s="7"/>
    </row>
    <row r="46" customFormat="false" ht="22.5" hidden="false" customHeight="true" outlineLevel="0" collapsed="false">
      <c r="B46" s="43" t="s">
        <v>106</v>
      </c>
      <c r="C46" s="43"/>
      <c r="D46" s="7" t="s">
        <v>331</v>
      </c>
      <c r="E46" s="7"/>
      <c r="F46" s="7"/>
      <c r="G46" s="7" t="s">
        <v>334</v>
      </c>
      <c r="H46" s="7"/>
    </row>
    <row r="47" customFormat="false" ht="22.5" hidden="false" customHeight="true" outlineLevel="0" collapsed="false">
      <c r="B47" s="43" t="s">
        <v>106</v>
      </c>
      <c r="C47" s="43"/>
      <c r="D47" s="7" t="s">
        <v>333</v>
      </c>
      <c r="E47" s="7"/>
      <c r="F47" s="7"/>
      <c r="G47" s="7" t="s">
        <v>291</v>
      </c>
      <c r="H47" s="7"/>
    </row>
    <row r="49" customFormat="false" ht="21.75" hidden="false" customHeight="true" outlineLevel="0" collapsed="false">
      <c r="B49" s="21" t="s">
        <v>95</v>
      </c>
      <c r="C49" s="21"/>
      <c r="D49" s="21"/>
      <c r="E49" s="21"/>
      <c r="F49" s="21"/>
      <c r="G49" s="21"/>
      <c r="H49" s="21"/>
    </row>
    <row r="50" customFormat="false" ht="21.75" hidden="false" customHeight="true" outlineLevel="0" collapsed="false">
      <c r="B50" s="22" t="s">
        <v>335</v>
      </c>
      <c r="C50" s="22"/>
      <c r="D50" s="22"/>
      <c r="E50" s="22"/>
      <c r="F50" s="31" t="n">
        <f aca="false">COUNTA(D13:D17)</f>
        <v>5</v>
      </c>
    </row>
    <row r="51" customFormat="false" ht="21.75" hidden="false" customHeight="true" outlineLevel="0" collapsed="false">
      <c r="B51" s="22" t="s">
        <v>336</v>
      </c>
      <c r="C51" s="22"/>
      <c r="D51" s="22"/>
      <c r="E51" s="22"/>
      <c r="F51" s="31" t="n">
        <f aca="false">COUNTA(D18:D20)</f>
        <v>3</v>
      </c>
    </row>
    <row r="52" customFormat="false" ht="21.75" hidden="false" customHeight="true" outlineLevel="0" collapsed="false">
      <c r="B52" s="22" t="s">
        <v>337</v>
      </c>
      <c r="C52" s="22"/>
      <c r="D52" s="22"/>
      <c r="E52" s="22"/>
      <c r="F52" s="31" t="n">
        <f aca="false">COUNTA(D21:D23)</f>
        <v>3</v>
      </c>
    </row>
    <row r="53" customFormat="false" ht="21.75" hidden="false" customHeight="true" outlineLevel="0" collapsed="false">
      <c r="B53" s="22" t="s">
        <v>338</v>
      </c>
      <c r="C53" s="22"/>
      <c r="D53" s="22"/>
      <c r="E53" s="22"/>
      <c r="F53" s="31" t="n">
        <f aca="false">COUNTA(D24:D26)</f>
        <v>3</v>
      </c>
    </row>
    <row r="54" customFormat="false" ht="21.75" hidden="false" customHeight="true" outlineLevel="0" collapsed="false">
      <c r="B54" s="22" t="s">
        <v>339</v>
      </c>
      <c r="C54" s="22"/>
      <c r="D54" s="22"/>
      <c r="E54" s="22"/>
      <c r="F54" s="31" t="n">
        <f aca="false">COUNTA(D27:D29)</f>
        <v>3</v>
      </c>
    </row>
    <row r="55" customFormat="false" ht="21.75" hidden="false" customHeight="true" outlineLevel="0" collapsed="false">
      <c r="B55" s="22" t="s">
        <v>340</v>
      </c>
      <c r="C55" s="22"/>
      <c r="D55" s="22"/>
      <c r="E55" s="22"/>
      <c r="F55" s="31" t="n">
        <f aca="false">COUNTA(D30:D33)</f>
        <v>4</v>
      </c>
    </row>
    <row r="56" customFormat="false" ht="21.75" hidden="false" customHeight="true" outlineLevel="0" collapsed="false">
      <c r="B56" s="22" t="s">
        <v>341</v>
      </c>
      <c r="C56" s="22"/>
      <c r="D56" s="22"/>
      <c r="E56" s="22"/>
      <c r="F56" s="31" t="n">
        <f aca="false">COUNTA(D34:D36)</f>
        <v>3</v>
      </c>
    </row>
    <row r="57" customFormat="false" ht="21.75" hidden="false" customHeight="true" outlineLevel="0" collapsed="false">
      <c r="B57" s="22" t="s">
        <v>342</v>
      </c>
      <c r="C57" s="22"/>
      <c r="D57" s="22"/>
      <c r="E57" s="22"/>
      <c r="F57" s="31" t="n">
        <f aca="false">COUNTIF(B40:B47,"Recebe de")</f>
        <v>5</v>
      </c>
    </row>
    <row r="58" customFormat="false" ht="21.75" hidden="false" customHeight="true" outlineLevel="0" collapsed="false">
      <c r="B58" s="22" t="s">
        <v>343</v>
      </c>
      <c r="C58" s="22"/>
      <c r="D58" s="22"/>
      <c r="E58" s="22"/>
      <c r="F58" s="31" t="n">
        <f aca="false">COUNTIF(B40:B47,"Entrega a")</f>
        <v>3</v>
      </c>
    </row>
  </sheetData>
  <mergeCells count="128">
    <mergeCell ref="B1:H1"/>
    <mergeCell ref="B2:H2"/>
    <mergeCell ref="B4:C4"/>
    <mergeCell ref="D4:H4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1:H11"/>
    <mergeCell ref="B12:C12"/>
    <mergeCell ref="D12:F12"/>
    <mergeCell ref="G12:H12"/>
    <mergeCell ref="B13:C13"/>
    <mergeCell ref="D13:F13"/>
    <mergeCell ref="G13:H13"/>
    <mergeCell ref="B14:C14"/>
    <mergeCell ref="D14:F14"/>
    <mergeCell ref="G14:H14"/>
    <mergeCell ref="B15:C15"/>
    <mergeCell ref="D15:F15"/>
    <mergeCell ref="G15:H15"/>
    <mergeCell ref="B16:C16"/>
    <mergeCell ref="D16:F16"/>
    <mergeCell ref="G16:H16"/>
    <mergeCell ref="B17:C17"/>
    <mergeCell ref="D17:F17"/>
    <mergeCell ref="G17:H17"/>
    <mergeCell ref="B18:C18"/>
    <mergeCell ref="D18:F18"/>
    <mergeCell ref="G18:H18"/>
    <mergeCell ref="B19:C19"/>
    <mergeCell ref="D19:F19"/>
    <mergeCell ref="G19:H19"/>
    <mergeCell ref="B20:C20"/>
    <mergeCell ref="D20:F20"/>
    <mergeCell ref="G20:H20"/>
    <mergeCell ref="B21:C21"/>
    <mergeCell ref="D21:F21"/>
    <mergeCell ref="G21:H21"/>
    <mergeCell ref="B22:C22"/>
    <mergeCell ref="D22:F22"/>
    <mergeCell ref="G22:H22"/>
    <mergeCell ref="B23:C23"/>
    <mergeCell ref="D23:F23"/>
    <mergeCell ref="G23:H23"/>
    <mergeCell ref="B24:C24"/>
    <mergeCell ref="D24:F24"/>
    <mergeCell ref="G24:H24"/>
    <mergeCell ref="B25:C25"/>
    <mergeCell ref="D25:F25"/>
    <mergeCell ref="G25:H25"/>
    <mergeCell ref="B26:C26"/>
    <mergeCell ref="D26:F26"/>
    <mergeCell ref="G26:H26"/>
    <mergeCell ref="B27:C27"/>
    <mergeCell ref="D27:F27"/>
    <mergeCell ref="G27:H27"/>
    <mergeCell ref="B28:C28"/>
    <mergeCell ref="D28:F28"/>
    <mergeCell ref="G28:H28"/>
    <mergeCell ref="B29:C29"/>
    <mergeCell ref="D29:F29"/>
    <mergeCell ref="G29:H29"/>
    <mergeCell ref="B30:C30"/>
    <mergeCell ref="D30:F30"/>
    <mergeCell ref="G30:H30"/>
    <mergeCell ref="B31:C31"/>
    <mergeCell ref="D31:F31"/>
    <mergeCell ref="G31:H31"/>
    <mergeCell ref="B32:C32"/>
    <mergeCell ref="D32:F32"/>
    <mergeCell ref="G32:H32"/>
    <mergeCell ref="B33:C33"/>
    <mergeCell ref="D33:F33"/>
    <mergeCell ref="G33:H33"/>
    <mergeCell ref="B34:C34"/>
    <mergeCell ref="D34:F34"/>
    <mergeCell ref="G34:H34"/>
    <mergeCell ref="B35:C35"/>
    <mergeCell ref="D35:F35"/>
    <mergeCell ref="G35:H35"/>
    <mergeCell ref="B36:C36"/>
    <mergeCell ref="D36:F36"/>
    <mergeCell ref="G36:H36"/>
    <mergeCell ref="B38:H38"/>
    <mergeCell ref="B39:C39"/>
    <mergeCell ref="D39:F39"/>
    <mergeCell ref="G39:H39"/>
    <mergeCell ref="B40:C40"/>
    <mergeCell ref="D40:F40"/>
    <mergeCell ref="G40:H40"/>
    <mergeCell ref="B41:C41"/>
    <mergeCell ref="D41:F41"/>
    <mergeCell ref="G41:H41"/>
    <mergeCell ref="B42:C42"/>
    <mergeCell ref="D42:F42"/>
    <mergeCell ref="G42:H42"/>
    <mergeCell ref="B43:C43"/>
    <mergeCell ref="D43:F43"/>
    <mergeCell ref="G43:H43"/>
    <mergeCell ref="B44:C44"/>
    <mergeCell ref="D44:F44"/>
    <mergeCell ref="G44:H44"/>
    <mergeCell ref="B45:C45"/>
    <mergeCell ref="D45:F45"/>
    <mergeCell ref="G45:H45"/>
    <mergeCell ref="B46:C46"/>
    <mergeCell ref="D46:F46"/>
    <mergeCell ref="G46:H46"/>
    <mergeCell ref="B47:C47"/>
    <mergeCell ref="D47:F47"/>
    <mergeCell ref="G47:H47"/>
    <mergeCell ref="B49:H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2026-10-05T00:57:01Z</dcterms:created>
  <dc:creator>Modelo Processos</dc:creator>
  <dc:description/>
  <dc:language>pt-BR</dc:language>
  <cp:lastModifiedBy/>
  <dcterms:modified xsi:type="dcterms:W3CDTF">2026-10-05T00:57:02Z</dcterms:modified>
  <cp:revision>0</cp:revision>
  <dc:subject/>
  <dc:title>Mapa de processos e diagrama de tartaruga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