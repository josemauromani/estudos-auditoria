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rontidão" sheetId="2" state="visible" r:id="rId4"/>
    <sheet name="Ciclo" sheetId="3" state="visible" r:id="rId5"/>
    <sheet name="Constatações" sheetId="4" state="visible" r:id="rId6"/>
    <sheet name="Painel" sheetId="5" state="visible" r:id="rId7"/>
    <sheet name="Checklist" sheetId="6" state="visible" r:id="rId8"/>
    <sheet name="Exemplo 1 - Pizzaria" sheetId="7" state="visible" r:id="rId9"/>
    <sheet name="Exemplo 2 - Indústria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2" name="_xlnm.Print_Area" vbProcedure="false">Ciclo!$B$1:$H$24</definedName>
    <definedName function="false" hidden="false" localSheetId="3" name="_xlnm.Print_Area" vbProcedure="false">Constatações!$B$1:$O$51</definedName>
    <definedName function="false" hidden="false" localSheetId="6" name="_xlnm.Print_Area" vbProcedure="false">'Exemplo 1 - Pizzaria'!$B$1:$O$57</definedName>
    <definedName function="false" hidden="false" localSheetId="7" name="_xlnm.Print_Area" vbProcedure="false">'Exemplo 2 - Indústria'!$B$1:$O$59</definedName>
    <definedName function="false" hidden="false" localSheetId="0" name="_xlnm.Print_Area" vbProcedure="false">Instruções!$B$1:$C$39</definedName>
    <definedName function="false" hidden="false" localSheetId="4" name="_xlnm.Print_Area" vbProcedure="false">Painel!$B$1:$F$46</definedName>
    <definedName function="false" hidden="false" localSheetId="1" name="_xlnm.Print_Area" vbProcedure="false">Prontidão!$B$1:$L$27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6" authorId="0">
      <text>
        <r>
          <rPr>
            <sz val="10"/>
            <rFont val="Arial"/>
            <family val="2"/>
          </rPr>
          <t xml:space="preserve">Impeditivo: precisa estar em Sim antes da fase indicada. Os outros pesam no percentual, mas não impedem.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12" authorId="0">
      <text>
        <r>
          <rPr>
            <sz val="10"/>
            <rFont val="Arial"/>
            <family val="2"/>
          </rPr>
          <t xml:space="preserve">A data em que a auditoria aconteceu. A data da decisão vem do campo de cima.</t>
        </r>
      </text>
    </comment>
    <comment ref="H12" authorId="0">
      <text>
        <r>
          <rPr>
            <sz val="10"/>
            <rFont val="Arial"/>
            <family val="2"/>
          </rPr>
          <t xml:space="preserve">Calculada: o limite dos eventos que ainda não aconteceram. O painel usa o menor deles como o próximo limite.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K4" authorId="0">
      <text>
        <r>
          <rPr>
            <sz val="10"/>
            <rFont val="Arial"/>
            <family val="2"/>
          </rPr>
          <t xml:space="preserve">A data em que o organismo aceitou a evidência. Para a NC maior, é ela que permite a decisão.</t>
        </r>
      </text>
    </comment>
    <comment ref="N4" authorId="0">
      <text>
        <r>
          <rPr>
            <sz val="10"/>
            <rFont val="Arial"/>
            <family val="2"/>
          </rPr>
          <t xml:space="preserve">A situação é lida na data da leitura da aba Ciclo.</t>
        </r>
      </text>
    </comment>
  </commentList>
</comments>
</file>

<file path=xl/sharedStrings.xml><?xml version="1.0" encoding="utf-8"?>
<sst xmlns="http://schemas.openxmlformats.org/spreadsheetml/2006/main" count="604" uniqueCount="295">
  <si>
    <t xml:space="preserve">Processo de certificação — Como usar esta planilha</t>
  </si>
  <si>
    <t xml:space="preserve">Modelo para avaliar a prontidão, acompanhar o ciclo do certificado e tratar as constatações do organismo.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</si>
  <si>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</si>
  <si>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</si>
  <si>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</si>
  <si>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</si>
  <si>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(critérios, limites, prazos, situações, conferências).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</si>
  <si>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</si>
  <si>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</si>
  <si>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</si>
  <si>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Status, edição, auditoria, tipo de constatação e checklist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</si>
  <si>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</si>
  <si>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</si>
  <si>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</si>
  <si>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Prontidão</t>
  </si>
  <si>
    <t xml:space="preserve">Sim vale 1, Parcial 0,5, Não 0. Ainda não está pronta: há impeditivo da fase 1 diferente de Sim. Pronta para a fase 1: só faltam impeditivos da fase 2. Pronta para a fase 2: nenhum impeditivo pendente.</t>
  </si>
  <si>
    <t xml:space="preserve">Validade</t>
  </si>
  <si>
    <t xml:space="preserve">A data da decisão mais 36 meses, menos um dia.</t>
  </si>
  <si>
    <t xml:space="preserve">Limites do ciclo</t>
  </si>
  <si>
    <t xml:space="preserve">Fase 2: até 6 meses depois da fase 1. Manutenções: 12 e 24 meses depois da decisão. Recertificação: auditoria até 3 meses antes do vencimento. Transição: o fim da janela ou a validade, o que vier antes, só para a edição de 2015.</t>
  </si>
  <si>
    <t xml:space="preserve">Situação do evento</t>
  </si>
  <si>
    <t xml:space="preserve">No prazo ou Fora do prazo, se realizado. Se não: Atrasada depois do limite, Vence em 60 dias a 60 dias ou menos, Prevista antes disso.</t>
  </si>
  <si>
    <t xml:space="preserve">Prazos das constatações</t>
  </si>
  <si>
    <t xml:space="preserve">Plano em até 30 dias para as não conformidades. A maior fechada, com evidência aceita, em até 90 dias.</t>
  </si>
  <si>
    <t xml:space="preserve">Situação da constatação</t>
  </si>
  <si>
    <t xml:space="preserve">Fechada com evidência aceita. Plano atrasado sem plano depois do prazo. Vencida: risco ao certificado se a maior passou de 90 dias. Aguarda verificação para a menor com plano. Tratar antes da fase 2 para o ponto da fase 1 em aberto.</t>
  </si>
  <si>
    <t xml:space="preserve">Ordem recomendada de preenchimento</t>
  </si>
  <si>
    <t xml:space="preserve">Passo 1</t>
  </si>
  <si>
    <t xml:space="preserve">Aba Prontidão: a data e o status de cada critério, com a evidência, ou a ação, o responsável e o prazo.</t>
  </si>
  <si>
    <t xml:space="preserve">Passo 2</t>
  </si>
  <si>
    <t xml:space="preserve">Aba Ciclo: o organismo, a edição da norma, a data da decisão (real ou prevista), a data da leitura e o fim da transição.</t>
  </si>
  <si>
    <t xml:space="preserve">Passo 3</t>
  </si>
  <si>
    <t xml:space="preserve">Aba Ciclo: as datas em que cada auditoria foi realizada.</t>
  </si>
  <si>
    <t xml:space="preserve">Passo 4</t>
  </si>
  <si>
    <t xml:space="preserve">Aba Constatações: depois de cada auditoria, as constatações e as datas do plano, da ação e da evidência aceita.</t>
  </si>
  <si>
    <t xml:space="preserve">Passo 5</t>
  </si>
  <si>
    <t xml:space="preserve">Aba Painel: leia os avisos. Depois, valide na aba Checklist.</t>
  </si>
  <si>
    <t xml:space="preserve">Abas da planilha</t>
  </si>
  <si>
    <t xml:space="preserve">Os 14 critérios, com o momento e se são impeditivos. Calcula o percentual, os impeditivos e o resultado.</t>
  </si>
  <si>
    <t xml:space="preserve">Ciclo</t>
  </si>
  <si>
    <t xml:space="preserve">Os dados do certificado e os sete eventos. Calcula a validade, os limites e as situações.</t>
  </si>
  <si>
    <t xml:space="preserve">Constatações</t>
  </si>
  <si>
    <t xml:space="preserve">Até 40 constatações do organismo. Calcula os prazos, a situação e a conferência.</t>
  </si>
  <si>
    <t xml:space="preserve">Painel</t>
  </si>
  <si>
    <t xml:space="preserve">Os números das três abas, o gráfico das constatações e o aviso.</t>
  </si>
  <si>
    <t xml:space="preserve">Checklist</t>
  </si>
  <si>
    <t xml:space="preserve">Doze verificações da certificação, com percentual de conclusão.</t>
  </si>
  <si>
    <t xml:space="preserve">Exemplo 1 - Pizzaria</t>
  </si>
  <si>
    <t xml:space="preserve">Prontidão em 30/11/2027, certificação pela edição de 2026 em 2028.</t>
  </si>
  <si>
    <t xml:space="preserve">Exemplo 2 - Indústria</t>
  </si>
  <si>
    <t xml:space="preserve">Prontidão em 30/09/2027, certificação pela edição de 2015 em dezembro de 2027.</t>
  </si>
  <si>
    <t xml:space="preserve">Premissas do modelo</t>
  </si>
  <si>
    <t xml:space="preserve">Convenções</t>
  </si>
  <si>
    <t xml:space="preserve">Os prazos de 30 e 90 dias, os 6 meses entre as fases, os 3 meses da recertificação e os critérios de prontidão são uma convenção deste material. Vale o regulamento do seu organismo.</t>
  </si>
  <si>
    <t xml:space="preserve">Transição</t>
  </si>
  <si>
    <t xml:space="preserve">A ISO 9001:2026 foi publicada em 16/09/2026. O fim da transição vem preenchido com 30/09/2029, fixado pela Global ACI; desde 31/03/2028, certificados novos só pela edição de 2026. Confirme com o seu organismo.</t>
  </si>
  <si>
    <t xml:space="preserve">Exemplos</t>
  </si>
  <si>
    <t xml:space="preserve">Os dados das abas de exemplo são ilustrativos, criados para este material.</t>
  </si>
  <si>
    <t xml:space="preserve">Prontidão para a certificação</t>
  </si>
  <si>
    <t xml:space="preserve">Um critério por linha. Os impeditivos precisam estar em Sim antes da fase indicada.</t>
  </si>
  <si>
    <t xml:space="preserve">Data da avaliação</t>
  </si>
  <si>
    <t xml:space="preserve">#</t>
  </si>
  <si>
    <t xml:space="preserve">Critério</t>
  </si>
  <si>
    <t xml:space="preserve">Antes da</t>
  </si>
  <si>
    <t xml:space="preserve">Impeditivo</t>
  </si>
  <si>
    <t xml:space="preserve">Status</t>
  </si>
  <si>
    <t xml:space="preserve">Evidência</t>
  </si>
  <si>
    <t xml:space="preserve">Ação, se não está pronto</t>
  </si>
  <si>
    <t xml:space="preserve">Responsável</t>
  </si>
  <si>
    <t xml:space="preserve">Prazo</t>
  </si>
  <si>
    <t xml:space="preserve">Pontos</t>
  </si>
  <si>
    <t xml:space="preserve">Conferência</t>
  </si>
  <si>
    <t xml:space="preserve">O escopo está definido, com a justificativa do que não se aplica.</t>
  </si>
  <si>
    <t xml:space="preserve">Fase 1</t>
  </si>
  <si>
    <t xml:space="preserve">Sim</t>
  </si>
  <si>
    <t xml:space="preserve">A política e os objetivos da qualidade estão aprovados e comunicados.</t>
  </si>
  <si>
    <t xml:space="preserve">Os processos estão determinados, com a sequência e a interação entre eles.</t>
  </si>
  <si>
    <t xml:space="preserve">A informação documentada exigida existe e está sob controle.</t>
  </si>
  <si>
    <t xml:space="preserve">O organismo de certificação está escolhido, acreditado para o escopo.</t>
  </si>
  <si>
    <t xml:space="preserve">—</t>
  </si>
  <si>
    <t xml:space="preserve">O sistema funciona há pelo menos três meses, com registros.</t>
  </si>
  <si>
    <t xml:space="preserve">Fase 2</t>
  </si>
  <si>
    <t xml:space="preserve">Há um ciclo completo de auditoria interna, cobrindo todos os processos.</t>
  </si>
  <si>
    <t xml:space="preserve">Houve ao menos uma análise crítica pela direção, com todas as entradas.</t>
  </si>
  <si>
    <t xml:space="preserve">As não conformidades da auditoria interna têm ação definida.</t>
  </si>
  <si>
    <t xml:space="preserve">Os indicadores têm série de pelo menos três meses.</t>
  </si>
  <si>
    <t xml:space="preserve">As pessoas sabem explicar a política e o próprio papel no sistema.</t>
  </si>
  <si>
    <t xml:space="preserve">Os requisitos legais do produto estão identificados e atendidos.</t>
  </si>
  <si>
    <t xml:space="preserve">A calibração e a manutenção dos itens críticos estão em dia.</t>
  </si>
  <si>
    <t xml:space="preserve">As reclamações e a satisfação do cliente são registradas e analisadas.</t>
  </si>
  <si>
    <t xml:space="preserve">Resumo automático</t>
  </si>
  <si>
    <t xml:space="preserve">Percentual atendido</t>
  </si>
  <si>
    <t xml:space="preserve">Impeditivos antes da fase 1</t>
  </si>
  <si>
    <t xml:space="preserve">Impeditivos antes da fase 2</t>
  </si>
  <si>
    <t xml:space="preserve">Resultado</t>
  </si>
  <si>
    <t xml:space="preserve">Aviso</t>
  </si>
  <si>
    <t xml:space="preserve">Ciclo do certificado</t>
  </si>
  <si>
    <t xml:space="preserve">Os dados do certificado e os eventos do ciclo, com os limites calculados.</t>
  </si>
  <si>
    <t xml:space="preserve">Organismo</t>
  </si>
  <si>
    <t xml:space="preserve">O organismo de certificação, e a acreditação dele.</t>
  </si>
  <si>
    <t xml:space="preserve">Edição da norma</t>
  </si>
  <si>
    <t xml:space="preserve">A edição pela qual o certificado foi, ou será, emitido.</t>
  </si>
  <si>
    <t xml:space="preserve">Data da decisão de certificação</t>
  </si>
  <si>
    <t xml:space="preserve">A data real, ou a prevista, para simular o ciclo.</t>
  </si>
  <si>
    <t xml:space="preserve">Data da leitura</t>
  </si>
  <si>
    <t xml:space="preserve">Os eventos são comparados com esta data.</t>
  </si>
  <si>
    <t xml:space="preserve">Fim da transição</t>
  </si>
  <si>
    <t xml:space="preserve">Prazo para os certificados de 2015 migrarem. Confirme no comunicado da acreditação.</t>
  </si>
  <si>
    <t xml:space="preserve">Validade do certificado</t>
  </si>
  <si>
    <t xml:space="preserve">Evento</t>
  </si>
  <si>
    <t xml:space="preserve">Limite</t>
  </si>
  <si>
    <t xml:space="preserve">Realizado em</t>
  </si>
  <si>
    <t xml:space="preserve">Situação</t>
  </si>
  <si>
    <t xml:space="preserve">Observação</t>
  </si>
  <si>
    <t xml:space="preserve">Limite pendente</t>
  </si>
  <si>
    <t xml:space="preserve">Decisão de certificação</t>
  </si>
  <si>
    <t xml:space="preserve">1ª manutenção</t>
  </si>
  <si>
    <t xml:space="preserve">2ª manutenção</t>
  </si>
  <si>
    <t xml:space="preserve">Auditoria de recertificação</t>
  </si>
  <si>
    <t xml:space="preserve">Transição para a edição de 2026</t>
  </si>
  <si>
    <t xml:space="preserve">Eventos</t>
  </si>
  <si>
    <t xml:space="preserve">Constatações do organismo</t>
  </si>
  <si>
    <t xml:space="preserve">Uma constatação por linha, com as datas do plano, da ação e da evidência aceita.</t>
  </si>
  <si>
    <t xml:space="preserve">Nº</t>
  </si>
  <si>
    <t xml:space="preserve">Auditoria</t>
  </si>
  <si>
    <t xml:space="preserve">Data</t>
  </si>
  <si>
    <t xml:space="preserve">Tipo</t>
  </si>
  <si>
    <t xml:space="preserve">Requisito</t>
  </si>
  <si>
    <t xml:space="preserve">Constatação</t>
  </si>
  <si>
    <t xml:space="preserve">Plano enviado</t>
  </si>
  <si>
    <t xml:space="preserve">Ação concluída</t>
  </si>
  <si>
    <t xml:space="preserve">Evidência aceita</t>
  </si>
  <si>
    <t xml:space="preserve">Prazo do plano</t>
  </si>
  <si>
    <t xml:space="preserve">Prazo para fechar</t>
  </si>
  <si>
    <t xml:space="preserve">Lista</t>
  </si>
  <si>
    <t xml:space="preserve">Da auditoria</t>
  </si>
  <si>
    <t xml:space="preserve">Ex.: 8.5.6</t>
  </si>
  <si>
    <t xml:space="preserve">Como o organismo escreveu</t>
  </si>
  <si>
    <t xml:space="preserve">Calculado</t>
  </si>
  <si>
    <t xml:space="preserve">Calculada</t>
  </si>
  <si>
    <t xml:space="preserve">Ex.</t>
  </si>
  <si>
    <t xml:space="preserve">I-4</t>
  </si>
  <si>
    <t xml:space="preserve">NC menor</t>
  </si>
  <si>
    <t xml:space="preserve">7.2</t>
  </si>
  <si>
    <t xml:space="preserve">Operador novo sem registro de treinamento</t>
  </si>
  <si>
    <t xml:space="preserve">Aguarda verificação</t>
  </si>
  <si>
    <t xml:space="preserve">OK</t>
  </si>
  <si>
    <t xml:space="preserve">Painel da certificação</t>
  </si>
  <si>
    <t xml:space="preserve">Nada a preencher: tudo vem das outras abas.</t>
  </si>
  <si>
    <t xml:space="preserve">Indicador</t>
  </si>
  <si>
    <t xml:space="preserve">Como se lê</t>
  </si>
  <si>
    <t xml:space="preserve">PRONTIDÃO</t>
  </si>
  <si>
    <t xml:space="preserve">Da aba Prontidão.</t>
  </si>
  <si>
    <t xml:space="preserve">Sim vale 1, Parcial 0,5.</t>
  </si>
  <si>
    <t xml:space="preserve">Precisam estar em Sim antes da fase 1.</t>
  </si>
  <si>
    <t xml:space="preserve">Precisam estar em Sim antes da fase 2.</t>
  </si>
  <si>
    <t xml:space="preserve">Pronta para a fase 2, para a fase 1, ou ainda não.</t>
  </si>
  <si>
    <t xml:space="preserve">CICLO</t>
  </si>
  <si>
    <t xml:space="preserve">Edição</t>
  </si>
  <si>
    <t xml:space="preserve">Do certificado.</t>
  </si>
  <si>
    <t xml:space="preserve">Decisão mais três anos, menos um dia.</t>
  </si>
  <si>
    <t xml:space="preserve">Próximo limite</t>
  </si>
  <si>
    <t xml:space="preserve">O limite mais próximo de um evento ainda não feito.</t>
  </si>
  <si>
    <t xml:space="preserve">Próximo evento</t>
  </si>
  <si>
    <t xml:space="preserve">O evento desse limite.</t>
  </si>
  <si>
    <t xml:space="preserve">Eventos atrasados</t>
  </si>
  <si>
    <t xml:space="preserve">Falar com o organismo.</t>
  </si>
  <si>
    <t xml:space="preserve">Eventos que vencem em 60 dias</t>
  </si>
  <si>
    <t xml:space="preserve">Confirmar a data.</t>
  </si>
  <si>
    <t xml:space="preserve">CONSTATAÇÕES</t>
  </si>
  <si>
    <t xml:space="preserve">Da aba Constatações.</t>
  </si>
  <si>
    <t xml:space="preserve">NC maiores</t>
  </si>
  <si>
    <t xml:space="preserve">Precisam fechar antes da decisão.</t>
  </si>
  <si>
    <t xml:space="preserve">NC maiores abertas</t>
  </si>
  <si>
    <t xml:space="preserve">Sem evidência aceita.</t>
  </si>
  <si>
    <t xml:space="preserve">Planos atrasados</t>
  </si>
  <si>
    <t xml:space="preserve">Enviar ao organismo.</t>
  </si>
  <si>
    <t xml:space="preserve">NC maiores vencidas</t>
  </si>
  <si>
    <t xml:space="preserve">Risco ao certificado.</t>
  </si>
  <si>
    <t xml:space="preserve">Aguardando verificação</t>
  </si>
  <si>
    <t xml:space="preserve">Menores a verificar na próxima auditoria.</t>
  </si>
  <si>
    <t xml:space="preserve">Linhas a completar</t>
  </si>
  <si>
    <t xml:space="preserve">Conferências diferentes de OK.</t>
  </si>
  <si>
    <t xml:space="preserve">Constatações por tipo</t>
  </si>
  <si>
    <t xml:space="preserve">NC maior</t>
  </si>
  <si>
    <t xml:space="preserve">Oportunidade de melhoria</t>
  </si>
  <si>
    <t xml:space="preserve">Ponto de atenção da fase 1</t>
  </si>
  <si>
    <t xml:space="preserve">Checklist da certificação</t>
  </si>
  <si>
    <t xml:space="preserve">Escolha o status de cada item na lista suspensa (coluna em amarelo-claro).</t>
  </si>
  <si>
    <t xml:space="preserve">Item de verificação</t>
  </si>
  <si>
    <t xml:space="preserve">Observações</t>
  </si>
  <si>
    <t xml:space="preserve">O escopo da certificação está definido e é o mesmo do sistema.</t>
  </si>
  <si>
    <t xml:space="preserve">O organismo escolhido é acreditado para o escopo, e o regulamento foi lido.</t>
  </si>
  <si>
    <t xml:space="preserve">O sistema funciona há meses, com indicadores, auditoria interna completa e análise crítica.</t>
  </si>
  <si>
    <t xml:space="preserve">As constatações da fase 1 foram tratadas antes da fase 2.</t>
  </si>
  <si>
    <t xml:space="preserve">Quem será entrevistado sabe explicar o próprio trabalho e a política.</t>
  </si>
  <si>
    <t xml:space="preserve">Os registros pedidos pela norma estão acessíveis no dia da auditoria.</t>
  </si>
  <si>
    <t xml:space="preserve">Os planos de ação são enviados dentro do prazo do organismo.</t>
  </si>
  <si>
    <t xml:space="preserve">As não conformidades maiores são fechadas, com evidência, antes da decisão.</t>
  </si>
  <si>
    <t xml:space="preserve">As datas das manutenções e da recertificação estão no calendário do sistema.</t>
  </si>
  <si>
    <t xml:space="preserve">O uso da marca de certificação segue as regras do organismo.</t>
  </si>
  <si>
    <t xml:space="preserve">Mudanças importantes, como escopo, endereço ou porte, são comunicadas ao organismo.</t>
  </si>
  <si>
    <t xml:space="preserve">A transição para a nova edição da norma está planejada antes do fim do prazo.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</si>
  <si>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</si>
  <si>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</si>
  <si>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</si>
  <si>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</si>
  <si>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Processo de certificação</t>
  </si>
  <si>
    <t xml:space="preserve">Exemplo preenchido, para consulta. Use as abas Prontidão, Ciclo e Constatações para a sua organização.</t>
  </si>
  <si>
    <t xml:space="preserve">Organização</t>
  </si>
  <si>
    <t xml:space="preserve">Pizzaria (loja com salão e delivery)</t>
  </si>
  <si>
    <t xml:space="preserve">Escopo</t>
  </si>
  <si>
    <t xml:space="preserve">Produção e venda de pizzas no salão, para retirada e por entrega, na loja do bairro.</t>
  </si>
  <si>
    <t xml:space="preserve">Organismo acreditado pela Cgcre, escolhido em dezembro de 2027</t>
  </si>
  <si>
    <t xml:space="preserve">Por que certificar</t>
  </si>
  <si>
    <t xml:space="preserve">Decisão da análise crítica de 14/06/2027: certificar para atender contratos de refeições de empresas.</t>
  </si>
  <si>
    <t xml:space="preserve">Data da avaliação de prontidão</t>
  </si>
  <si>
    <t xml:space="preserve">ISO 9001:2026</t>
  </si>
  <si>
    <t xml:space="preserve">Data da decisão</t>
  </si>
  <si>
    <t xml:space="preserve">Data da leitura do ciclo</t>
  </si>
  <si>
    <t xml:space="preserve">Ação</t>
  </si>
  <si>
    <t xml:space="preserve">Escopo de fevereiro de 2027, revisado em novembro</t>
  </si>
  <si>
    <t xml:space="preserve">Política no salão; objetivos de 2027 no quadro da cozinha</t>
  </si>
  <si>
    <t xml:space="preserve">Mapa de processos e SIPOC dos quatro processos</t>
  </si>
  <si>
    <t xml:space="preserve">Parcial</t>
  </si>
  <si>
    <t xml:space="preserve">Lista mestra em dia</t>
  </si>
  <si>
    <t xml:space="preserve">Recolher a instrução do salão na revisão 1, ainda em uso no balcão.</t>
  </si>
  <si>
    <t xml:space="preserve">Gerente da loja</t>
  </si>
  <si>
    <t xml:space="preserve">Não</t>
  </si>
  <si>
    <t xml:space="preserve">Escolher entre as três propostas pedidas em outubro.</t>
  </si>
  <si>
    <t xml:space="preserve">Dono da loja</t>
  </si>
  <si>
    <t xml:space="preserve">Registros desde janeiro de 2027</t>
  </si>
  <si>
    <t xml:space="preserve">Delivery, salão e recebimento auditados</t>
  </si>
  <si>
    <t xml:space="preserve">Auditar a produção e as compras em janeiro.</t>
  </si>
  <si>
    <t xml:space="preserve">Atendente do turno do almoço</t>
  </si>
  <si>
    <t xml:space="preserve">Atas de 14/12/2026 e de 14/06/2027</t>
  </si>
  <si>
    <t xml:space="preserve">Ações das auditorias de 2026 e de março de 2027</t>
  </si>
  <si>
    <t xml:space="preserve">Painel com 12 meses de entregas no prazo e de reclamações</t>
  </si>
  <si>
    <t xml:space="preserve">Perguntas de conscientização feitas a 6 pessoas</t>
  </si>
  <si>
    <t xml:space="preserve">Repetir a conversa da política com a equipe nova do salão.</t>
  </si>
  <si>
    <t xml:space="preserve">Licença sanitária renovada; rotulagem de alergênicos</t>
  </si>
  <si>
    <t xml:space="preserve">Balança e termômetros em dia</t>
  </si>
  <si>
    <t xml:space="preserve">Fazer a revisão da câmara fria, atrasada desde outubro.</t>
  </si>
  <si>
    <t xml:space="preserve">Pizzaiolo líder</t>
  </si>
  <si>
    <t xml:space="preserve">Registro de reclamações e pesquisa trimestral</t>
  </si>
  <si>
    <t xml:space="preserve">P-1</t>
  </si>
  <si>
    <t xml:space="preserve">9.2</t>
  </si>
  <si>
    <t xml:space="preserve">A auditoria interna da produção ficou para depois da fase 1. Fazer antes da fase 2.</t>
  </si>
  <si>
    <t xml:space="preserve">P-2</t>
  </si>
  <si>
    <t xml:space="preserve">7.1.4</t>
  </si>
  <si>
    <t xml:space="preserve">O checklist de limpeza da bancada ficou abaixo do mínimo de 95% em fevereiro, e nenhuma ação foi registrada.</t>
  </si>
  <si>
    <t xml:space="preserve">P-3</t>
  </si>
  <si>
    <t xml:space="preserve">8.2.1</t>
  </si>
  <si>
    <t xml:space="preserve">O cliente do salão não é avisado do tempo de espera nas noites de pico, como prevê a instrução.</t>
  </si>
  <si>
    <t xml:space="preserve">P-4</t>
  </si>
  <si>
    <t xml:space="preserve">9.1.2</t>
  </si>
  <si>
    <t xml:space="preserve">As reclamações do salão poderiam entrar no mesmo registro do delivery.</t>
  </si>
  <si>
    <t xml:space="preserve">Indústria de embalagens plásticas</t>
  </si>
  <si>
    <t xml:space="preserve">Desenvolvimento e produção de filmes técnicos lisos e impressos para embalagem de alimentos.</t>
  </si>
  <si>
    <t xml:space="preserve">Organismo acreditado pela Cgcre, contratado em 23/04/2027 por R$ 38.000</t>
  </si>
  <si>
    <t xml:space="preserve">Objetivo O4: certificação até dezembro de 2027. Dois grandes clientes passam a exigir o certificado.</t>
  </si>
  <si>
    <t xml:space="preserve">ISO 9001:2015</t>
  </si>
  <si>
    <t xml:space="preserve">Escopo revisado em maio de 2027</t>
  </si>
  <si>
    <t xml:space="preserve">Política e objetivos de 2027, com o O4</t>
  </si>
  <si>
    <t xml:space="preserve">Mapa dos nove processos, com tartarugas</t>
  </si>
  <si>
    <t xml:space="preserve">Lista mestra e tabela de retenção de março de 2027</t>
  </si>
  <si>
    <t xml:space="preserve">Contrato de 23/04/2027</t>
  </si>
  <si>
    <t xml:space="preserve">Indicadores desde 2025</t>
  </si>
  <si>
    <t xml:space="preserve">Sete dos nove processos auditados</t>
  </si>
  <si>
    <t xml:space="preserve">Auditar a manutenção e a gestão de pessoas em outubro.</t>
  </si>
  <si>
    <t xml:space="preserve">Coordenador da Qualidade</t>
  </si>
  <si>
    <t xml:space="preserve">Ata de 19/08/2027</t>
  </si>
  <si>
    <t xml:space="preserve">Ações das auditorias de 2027 definidas</t>
  </si>
  <si>
    <t xml:space="preserve">Painel de indicadores por processo</t>
  </si>
  <si>
    <t xml:space="preserve">Entrevistas de conscientização em julho</t>
  </si>
  <si>
    <t xml:space="preserve">Laudos de migração do filme para alimentos</t>
  </si>
  <si>
    <t xml:space="preserve">Instrumentos em dia</t>
  </si>
  <si>
    <t xml:space="preserve">Concluir a preventiva atrasada da extrusora 3.</t>
  </si>
  <si>
    <t xml:space="preserve">Supervisor de manutenção</t>
  </si>
  <si>
    <t xml:space="preserve">Pesquisa anual e registro de reclamações</t>
  </si>
  <si>
    <t xml:space="preserve">I-1</t>
  </si>
  <si>
    <t xml:space="preserve">O ciclo de auditoria interna não incluiu a manutenção e a gestão de pessoas.</t>
  </si>
  <si>
    <t xml:space="preserve">I-2</t>
  </si>
  <si>
    <t xml:space="preserve">9.3</t>
  </si>
  <si>
    <t xml:space="preserve">A análise crítica de 19/08 não tratou a satisfação do cliente como entrada.</t>
  </si>
  <si>
    <t xml:space="preserve">I-3</t>
  </si>
  <si>
    <t xml:space="preserve">8.5.6</t>
  </si>
  <si>
    <t xml:space="preserve">Das 9 mudanças de processo de 2027, 4 sem autorização, 2 delas depois da constatação da auditoria interna de outubro: a ação corretiva não funcionou.</t>
  </si>
  <si>
    <t xml:space="preserve">O operador novo do turno C regula a extrusora 3 sem registro de treinamento.</t>
  </si>
  <si>
    <t xml:space="preserve">I-5</t>
  </si>
  <si>
    <t xml:space="preserve">8.5.5</t>
  </si>
  <si>
    <t xml:space="preserve">A política do filme impresso aceita reclamação em 30 dias, e o contrato do cliente A exige 60.</t>
  </si>
  <si>
    <t xml:space="preserve">I-6</t>
  </si>
  <si>
    <t xml:space="preserve">7.1.3</t>
  </si>
  <si>
    <t xml:space="preserve">O destino do produto afetado por quebra poderia constar em todas as ordens de manutenção.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</si>
</sst>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b val="true"/>
      <sz val="9"/>
      <color rgb="FF16242E"/>
      <name val="Arial"/>
      <family val="0"/>
      <charset val="1"/>
    </font>
    <font>
      <sz val="10"/>
      <name val="Arial"/>
      <family val="2"/>
    </font>
    <font>
      <i val="true"/>
      <sz val="9"/>
      <color rgb="FF5B6B76"/>
      <name val="Arial"/>
      <family val="0"/>
      <charset val="1"/>
    </font>
    <font>
      <b val="true"/>
      <sz val="9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  <fill>
      <patternFill patternType="solid">
        <fgColor rgb="FFA96A12"/>
        <bgColor rgb="FFB041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  <dxf>
      <fill>
        <patternFill>
          <bgColor rgb="FFF8EBCB"/>
        </patternFill>
      </fill>
    </dxf>
    <dxf>
      <fill>
        <patternFill>
          <bgColor rgb="FFEEF1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BE0"/>
      <rgbColor rgb="FFD8EFDD"/>
      <rgbColor rgb="FFFBEBC8"/>
      <rgbColor rgb="FFF8EBCB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"Constatações"</c:f>
              <c:strCache>
                <c:ptCount val="1"/>
                <c:pt idx="0">
                  <c:v>Constatações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Painel!$B$32:$B$35</c:f>
              <c:strCache>
                <c:ptCount val="4"/>
                <c:pt idx="0">
                  <c:v>NC maior</c:v>
                </c:pt>
                <c:pt idx="1">
                  <c:v>NC menor</c:v>
                </c:pt>
                <c:pt idx="2">
                  <c:v>Oportunidade de melhoria</c:v>
                </c:pt>
                <c:pt idx="3">
                  <c:v>Ponto de atenção da fase 1</c:v>
                </c:pt>
              </c:strCache>
            </c:strRef>
          </c:cat>
          <c:val>
            <c:numRef>
              <c:f>Painel!$C$32:$C$35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70"/>
        <c:overlap val="0"/>
        <c:axId val="37895148"/>
        <c:axId val="23941354"/>
      </c:barChart>
      <c:catAx>
        <c:axId val="378951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41354"/>
        <c:crosses val="autoZero"/>
        <c:auto val="1"/>
        <c:lblAlgn val="ctr"/>
        <c:lblOffset val="100"/>
        <c:noMultiLvlLbl val="0"/>
      </c:catAx>
      <c:valAx>
        <c:axId val="2394135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95148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30</xdr:row>
      <xdr:rowOff>0</xdr:rowOff>
    </xdr:from>
    <xdr:to>
      <xdr:col>5</xdr:col>
      <xdr:colOff>2345760</xdr:colOff>
      <xdr:row>43</xdr:row>
      <xdr:rowOff>43200</xdr:rowOff>
    </xdr:to>
    <xdr:graphicFrame>
      <xdr:nvGraphicFramePr>
        <xdr:cNvPr id="0" name="Chart 1"/>
        <xdr:cNvGraphicFramePr/>
      </xdr:nvGraphicFramePr>
      <xdr:xfrm>
        <a:off x="3947040" y="80391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45.75" hidden="false" customHeight="true" outlineLevel="0" collapsed="false">
      <c r="B12" s="4" t="s">
        <v>14</v>
      </c>
      <c r="C12" s="7" t="s">
        <v>15</v>
      </c>
    </row>
    <row r="13" customFormat="false" ht="19.5" hidden="false" customHeight="true" outlineLevel="0" collapsed="false">
      <c r="B13" s="4" t="s">
        <v>16</v>
      </c>
      <c r="C13" s="7" t="s">
        <v>17</v>
      </c>
    </row>
    <row r="14" customFormat="false" ht="45.75" hidden="false" customHeight="true" outlineLevel="0" collapsed="false">
      <c r="B14" s="4" t="s">
        <v>18</v>
      </c>
      <c r="C14" s="7" t="s">
        <v>19</v>
      </c>
    </row>
    <row r="15" customFormat="false" ht="31.5" hidden="false" customHeight="true" outlineLevel="0" collapsed="false">
      <c r="B15" s="4" t="s">
        <v>20</v>
      </c>
      <c r="C15" s="7" t="s">
        <v>21</v>
      </c>
    </row>
    <row r="16" customFormat="false" ht="31.5" hidden="false" customHeight="true" outlineLevel="0" collapsed="false">
      <c r="B16" s="4" t="s">
        <v>22</v>
      </c>
      <c r="C16" s="7" t="s">
        <v>23</v>
      </c>
    </row>
    <row r="17" customFormat="false" ht="45.75" hidden="false" customHeight="true" outlineLevel="0" collapsed="false">
      <c r="B17" s="4" t="s">
        <v>24</v>
      </c>
      <c r="C17" s="7" t="s">
        <v>25</v>
      </c>
    </row>
    <row r="19" customFormat="false" ht="21.75" hidden="false" customHeight="true" outlineLevel="0" collapsed="false">
      <c r="B19" s="3" t="s">
        <v>26</v>
      </c>
      <c r="C19" s="3"/>
    </row>
    <row r="20" customFormat="false" ht="31.5" hidden="false" customHeight="true" outlineLevel="0" collapsed="false">
      <c r="B20" s="4" t="s">
        <v>27</v>
      </c>
      <c r="C20" s="7" t="s">
        <v>28</v>
      </c>
    </row>
    <row r="21" customFormat="false" ht="31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6" customFormat="false" ht="21.75" hidden="false" customHeight="true" outlineLevel="0" collapsed="false">
      <c r="B26" s="3" t="s">
        <v>37</v>
      </c>
      <c r="C26" s="3"/>
    </row>
    <row r="27" customFormat="false" ht="31.5" hidden="false" customHeight="true" outlineLevel="0" collapsed="false">
      <c r="B27" s="4" t="s">
        <v>14</v>
      </c>
      <c r="C27" s="7" t="s">
        <v>38</v>
      </c>
    </row>
    <row r="28" customFormat="false" ht="19.5" hidden="false" customHeight="true" outlineLevel="0" collapsed="false">
      <c r="B28" s="4" t="s">
        <v>39</v>
      </c>
      <c r="C28" s="7" t="s">
        <v>40</v>
      </c>
    </row>
    <row r="29" customFormat="false" ht="19.5" hidden="false" customHeight="true" outlineLevel="0" collapsed="false">
      <c r="B29" s="4" t="s">
        <v>41</v>
      </c>
      <c r="C29" s="7" t="s">
        <v>42</v>
      </c>
    </row>
    <row r="30" customFormat="false" ht="19.5" hidden="false" customHeight="true" outlineLevel="0" collapsed="false">
      <c r="B30" s="4" t="s">
        <v>43</v>
      </c>
      <c r="C30" s="7" t="s">
        <v>44</v>
      </c>
    </row>
    <row r="31" customFormat="false" ht="19.5" hidden="false" customHeight="true" outlineLevel="0" collapsed="false">
      <c r="B31" s="4" t="s">
        <v>45</v>
      </c>
      <c r="C31" s="7" t="s">
        <v>46</v>
      </c>
    </row>
    <row r="32" customFormat="false" ht="19.5" hidden="false" customHeight="true" outlineLevel="0" collapsed="false">
      <c r="B32" s="4" t="s">
        <v>47</v>
      </c>
      <c r="C32" s="7" t="s">
        <v>48</v>
      </c>
    </row>
    <row r="33" customFormat="false" ht="19.5" hidden="false" customHeight="true" outlineLevel="0" collapsed="false">
      <c r="B33" s="4" t="s">
        <v>49</v>
      </c>
      <c r="C33" s="7" t="s">
        <v>50</v>
      </c>
    </row>
    <row r="35" customFormat="false" ht="21.75" hidden="false" customHeight="true" outlineLevel="0" collapsed="false">
      <c r="B35" s="3" t="s">
        <v>51</v>
      </c>
      <c r="C35" s="3"/>
    </row>
    <row r="36" customFormat="false" ht="31.5" hidden="false" customHeight="true" outlineLevel="0" collapsed="false">
      <c r="B36" s="4" t="s">
        <v>52</v>
      </c>
      <c r="C36" s="7" t="s">
        <v>53</v>
      </c>
    </row>
    <row r="37" customFormat="false" ht="45.75" hidden="false" customHeight="true" outlineLevel="0" collapsed="false">
      <c r="B37" s="4" t="s">
        <v>54</v>
      </c>
      <c r="C37" s="7" t="s">
        <v>55</v>
      </c>
    </row>
    <row r="38" customFormat="false" ht="19.5" hidden="false" customHeight="true" outlineLevel="0" collapsed="false">
      <c r="B38" s="4" t="s">
        <v>56</v>
      </c>
      <c r="C38" s="7" t="s">
        <v>57</v>
      </c>
    </row>
  </sheetData>
  <mergeCells count="7">
    <mergeCell ref="B1:C1"/>
    <mergeCell ref="B2:C2"/>
    <mergeCell ref="B4:C4"/>
    <mergeCell ref="B11:C11"/>
    <mergeCell ref="B19:C19"/>
    <mergeCell ref="B26:C26"/>
    <mergeCell ref="B35:C3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L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20"/>
    <col collapsed="false" customWidth="true" hidden="false" outlineLevel="0" max="13" min="10" style="0" width="12"/>
    <col collapsed="false" customWidth="true" hidden="false" outlineLevel="0" max="14" min="14" style="0" width="24"/>
    <col collapsed="false" customWidth="true" hidden="false" outlineLevel="0" max="15" min="15" style="0" width="28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58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59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4" t="s">
        <v>60</v>
      </c>
      <c r="C4" s="4"/>
      <c r="D4" s="8"/>
    </row>
    <row r="6" customFormat="false" ht="33" hidden="false" customHeight="true" outlineLevel="0" collapsed="false">
      <c r="B6" s="9" t="s">
        <v>61</v>
      </c>
      <c r="C6" s="9" t="s">
        <v>62</v>
      </c>
      <c r="D6" s="9" t="s">
        <v>63</v>
      </c>
      <c r="E6" s="9" t="s">
        <v>64</v>
      </c>
      <c r="F6" s="9" t="s">
        <v>65</v>
      </c>
      <c r="G6" s="9" t="s">
        <v>66</v>
      </c>
      <c r="H6" s="9" t="s">
        <v>67</v>
      </c>
      <c r="I6" s="9" t="s">
        <v>68</v>
      </c>
      <c r="J6" s="9" t="s">
        <v>69</v>
      </c>
      <c r="K6" s="9" t="s">
        <v>70</v>
      </c>
      <c r="L6" s="9" t="s">
        <v>71</v>
      </c>
    </row>
    <row r="7" customFormat="false" ht="30" hidden="false" customHeight="true" outlineLevel="0" collapsed="false">
      <c r="B7" s="10" t="n">
        <v>1</v>
      </c>
      <c r="C7" s="11" t="s">
        <v>72</v>
      </c>
      <c r="D7" s="12" t="s">
        <v>73</v>
      </c>
      <c r="E7" s="13" t="s">
        <v>74</v>
      </c>
      <c r="F7" s="14"/>
      <c r="G7" s="5"/>
      <c r="H7" s="5"/>
      <c r="I7" s="5"/>
      <c r="J7" s="8"/>
      <c r="K7" s="15" t="str">
        <f aca="false">IF(F7="","",IF(F7="Sim",1,IF(F7="Parcial",0.5,0)))</f>
        <v/>
      </c>
      <c r="L7" s="16" t="str">
        <f aca="false">IF(F7="","Falta o status",IF(AND(F7&lt;&gt;"Sim",H7=""),"Falta a ação",IF(AND(F7&lt;&gt;"Sim",J7=""),"Falta o prazo",IF(AND(F7="Sim",G7=""),"Falta a evidência","OK"))))</f>
        <v>Falta o status</v>
      </c>
    </row>
    <row r="8" customFormat="false" ht="30" hidden="false" customHeight="true" outlineLevel="0" collapsed="false">
      <c r="B8" s="10" t="n">
        <v>2</v>
      </c>
      <c r="C8" s="11" t="s">
        <v>75</v>
      </c>
      <c r="D8" s="12" t="s">
        <v>73</v>
      </c>
      <c r="E8" s="13" t="s">
        <v>74</v>
      </c>
      <c r="F8" s="14"/>
      <c r="G8" s="5"/>
      <c r="H8" s="5"/>
      <c r="I8" s="5"/>
      <c r="J8" s="8"/>
      <c r="K8" s="15" t="str">
        <f aca="false">IF(F8="","",IF(F8="Sim",1,IF(F8="Parcial",0.5,0)))</f>
        <v/>
      </c>
      <c r="L8" s="16" t="str">
        <f aca="false">IF(F8="","Falta o status",IF(AND(F8&lt;&gt;"Sim",H8=""),"Falta a ação",IF(AND(F8&lt;&gt;"Sim",J8=""),"Falta o prazo",IF(AND(F8="Sim",G8=""),"Falta a evidência","OK"))))</f>
        <v>Falta o status</v>
      </c>
    </row>
    <row r="9" customFormat="false" ht="30" hidden="false" customHeight="true" outlineLevel="0" collapsed="false">
      <c r="B9" s="10" t="n">
        <v>3</v>
      </c>
      <c r="C9" s="11" t="s">
        <v>76</v>
      </c>
      <c r="D9" s="12" t="s">
        <v>73</v>
      </c>
      <c r="E9" s="13" t="s">
        <v>74</v>
      </c>
      <c r="F9" s="14"/>
      <c r="G9" s="5"/>
      <c r="H9" s="5"/>
      <c r="I9" s="5"/>
      <c r="J9" s="8"/>
      <c r="K9" s="15" t="str">
        <f aca="false">IF(F9="","",IF(F9="Sim",1,IF(F9="Parcial",0.5,0)))</f>
        <v/>
      </c>
      <c r="L9" s="16" t="str">
        <f aca="false">IF(F9="","Falta o status",IF(AND(F9&lt;&gt;"Sim",H9=""),"Falta a ação",IF(AND(F9&lt;&gt;"Sim",J9=""),"Falta o prazo",IF(AND(F9="Sim",G9=""),"Falta a evidência","OK"))))</f>
        <v>Falta o status</v>
      </c>
    </row>
    <row r="10" customFormat="false" ht="30" hidden="false" customHeight="true" outlineLevel="0" collapsed="false">
      <c r="B10" s="10" t="n">
        <v>4</v>
      </c>
      <c r="C10" s="11" t="s">
        <v>77</v>
      </c>
      <c r="D10" s="12" t="s">
        <v>73</v>
      </c>
      <c r="E10" s="13" t="s">
        <v>74</v>
      </c>
      <c r="F10" s="14"/>
      <c r="G10" s="5"/>
      <c r="H10" s="5"/>
      <c r="I10" s="5"/>
      <c r="J10" s="8"/>
      <c r="K10" s="15" t="str">
        <f aca="false">IF(F10="","",IF(F10="Sim",1,IF(F10="Parcial",0.5,0)))</f>
        <v/>
      </c>
      <c r="L10" s="16" t="str">
        <f aca="false">IF(F10="","Falta o status",IF(AND(F10&lt;&gt;"Sim",H10=""),"Falta a ação",IF(AND(F10&lt;&gt;"Sim",J10=""),"Falta o prazo",IF(AND(F10="Sim",G10=""),"Falta a evidência","OK"))))</f>
        <v>Falta o status</v>
      </c>
    </row>
    <row r="11" customFormat="false" ht="30" hidden="false" customHeight="true" outlineLevel="0" collapsed="false">
      <c r="B11" s="10" t="n">
        <v>5</v>
      </c>
      <c r="C11" s="11" t="s">
        <v>78</v>
      </c>
      <c r="D11" s="12" t="s">
        <v>73</v>
      </c>
      <c r="E11" s="12" t="s">
        <v>79</v>
      </c>
      <c r="F11" s="14"/>
      <c r="G11" s="5"/>
      <c r="H11" s="5"/>
      <c r="I11" s="5"/>
      <c r="J11" s="8"/>
      <c r="K11" s="15" t="str">
        <f aca="false">IF(F11="","",IF(F11="Sim",1,IF(F11="Parcial",0.5,0)))</f>
        <v/>
      </c>
      <c r="L11" s="16" t="str">
        <f aca="false">IF(F11="","Falta o status",IF(AND(F11&lt;&gt;"Sim",H11=""),"Falta a ação",IF(AND(F11&lt;&gt;"Sim",J11=""),"Falta o prazo",IF(AND(F11="Sim",G11=""),"Falta a evidência","OK"))))</f>
        <v>Falta o status</v>
      </c>
    </row>
    <row r="12" customFormat="false" ht="30" hidden="false" customHeight="true" outlineLevel="0" collapsed="false">
      <c r="B12" s="10" t="n">
        <v>6</v>
      </c>
      <c r="C12" s="11" t="s">
        <v>80</v>
      </c>
      <c r="D12" s="12" t="s">
        <v>81</v>
      </c>
      <c r="E12" s="13" t="s">
        <v>74</v>
      </c>
      <c r="F12" s="14"/>
      <c r="G12" s="5"/>
      <c r="H12" s="5"/>
      <c r="I12" s="5"/>
      <c r="J12" s="8"/>
      <c r="K12" s="15" t="str">
        <f aca="false">IF(F12="","",IF(F12="Sim",1,IF(F12="Parcial",0.5,0)))</f>
        <v/>
      </c>
      <c r="L12" s="16" t="str">
        <f aca="false">IF(F12="","Falta o status",IF(AND(F12&lt;&gt;"Sim",H12=""),"Falta a ação",IF(AND(F12&lt;&gt;"Sim",J12=""),"Falta o prazo",IF(AND(F12="Sim",G12=""),"Falta a evidência","OK"))))</f>
        <v>Falta o status</v>
      </c>
    </row>
    <row r="13" customFormat="false" ht="30" hidden="false" customHeight="true" outlineLevel="0" collapsed="false">
      <c r="B13" s="10" t="n">
        <v>7</v>
      </c>
      <c r="C13" s="11" t="s">
        <v>82</v>
      </c>
      <c r="D13" s="12" t="s">
        <v>81</v>
      </c>
      <c r="E13" s="13" t="s">
        <v>74</v>
      </c>
      <c r="F13" s="14"/>
      <c r="G13" s="5"/>
      <c r="H13" s="5"/>
      <c r="I13" s="5"/>
      <c r="J13" s="8"/>
      <c r="K13" s="15" t="str">
        <f aca="false">IF(F13="","",IF(F13="Sim",1,IF(F13="Parcial",0.5,0)))</f>
        <v/>
      </c>
      <c r="L13" s="16" t="str">
        <f aca="false">IF(F13="","Falta o status",IF(AND(F13&lt;&gt;"Sim",H13=""),"Falta a ação",IF(AND(F13&lt;&gt;"Sim",J13=""),"Falta o prazo",IF(AND(F13="Sim",G13=""),"Falta a evidência","OK"))))</f>
        <v>Falta o status</v>
      </c>
    </row>
    <row r="14" customFormat="false" ht="30" hidden="false" customHeight="true" outlineLevel="0" collapsed="false">
      <c r="B14" s="10" t="n">
        <v>8</v>
      </c>
      <c r="C14" s="11" t="s">
        <v>83</v>
      </c>
      <c r="D14" s="12" t="s">
        <v>81</v>
      </c>
      <c r="E14" s="13" t="s">
        <v>74</v>
      </c>
      <c r="F14" s="14"/>
      <c r="G14" s="5"/>
      <c r="H14" s="5"/>
      <c r="I14" s="5"/>
      <c r="J14" s="8"/>
      <c r="K14" s="15" t="str">
        <f aca="false">IF(F14="","",IF(F14="Sim",1,IF(F14="Parcial",0.5,0)))</f>
        <v/>
      </c>
      <c r="L14" s="16" t="str">
        <f aca="false">IF(F14="","Falta o status",IF(AND(F14&lt;&gt;"Sim",H14=""),"Falta a ação",IF(AND(F14&lt;&gt;"Sim",J14=""),"Falta o prazo",IF(AND(F14="Sim",G14=""),"Falta a evidência","OK"))))</f>
        <v>Falta o status</v>
      </c>
    </row>
    <row r="15" customFormat="false" ht="30" hidden="false" customHeight="true" outlineLevel="0" collapsed="false">
      <c r="B15" s="10" t="n">
        <v>9</v>
      </c>
      <c r="C15" s="11" t="s">
        <v>84</v>
      </c>
      <c r="D15" s="12" t="s">
        <v>81</v>
      </c>
      <c r="E15" s="13" t="s">
        <v>74</v>
      </c>
      <c r="F15" s="14"/>
      <c r="G15" s="5"/>
      <c r="H15" s="5"/>
      <c r="I15" s="5"/>
      <c r="J15" s="8"/>
      <c r="K15" s="15" t="str">
        <f aca="false">IF(F15="","",IF(F15="Sim",1,IF(F15="Parcial",0.5,0)))</f>
        <v/>
      </c>
      <c r="L15" s="16" t="str">
        <f aca="false">IF(F15="","Falta o status",IF(AND(F15&lt;&gt;"Sim",H15=""),"Falta a ação",IF(AND(F15&lt;&gt;"Sim",J15=""),"Falta o prazo",IF(AND(F15="Sim",G15=""),"Falta a evidência","OK"))))</f>
        <v>Falta o status</v>
      </c>
    </row>
    <row r="16" customFormat="false" ht="30" hidden="false" customHeight="true" outlineLevel="0" collapsed="false">
      <c r="B16" s="10" t="n">
        <v>10</v>
      </c>
      <c r="C16" s="11" t="s">
        <v>85</v>
      </c>
      <c r="D16" s="12" t="s">
        <v>81</v>
      </c>
      <c r="E16" s="12" t="s">
        <v>79</v>
      </c>
      <c r="F16" s="14"/>
      <c r="G16" s="5"/>
      <c r="H16" s="5"/>
      <c r="I16" s="5"/>
      <c r="J16" s="8"/>
      <c r="K16" s="15" t="str">
        <f aca="false">IF(F16="","",IF(F16="Sim",1,IF(F16="Parcial",0.5,0)))</f>
        <v/>
      </c>
      <c r="L16" s="16" t="str">
        <f aca="false">IF(F16="","Falta o status",IF(AND(F16&lt;&gt;"Sim",H16=""),"Falta a ação",IF(AND(F16&lt;&gt;"Sim",J16=""),"Falta o prazo",IF(AND(F16="Sim",G16=""),"Falta a evidência","OK"))))</f>
        <v>Falta o status</v>
      </c>
    </row>
    <row r="17" customFormat="false" ht="30" hidden="false" customHeight="true" outlineLevel="0" collapsed="false">
      <c r="B17" s="10" t="n">
        <v>11</v>
      </c>
      <c r="C17" s="11" t="s">
        <v>86</v>
      </c>
      <c r="D17" s="12" t="s">
        <v>81</v>
      </c>
      <c r="E17" s="12" t="s">
        <v>79</v>
      </c>
      <c r="F17" s="14"/>
      <c r="G17" s="5"/>
      <c r="H17" s="5"/>
      <c r="I17" s="5"/>
      <c r="J17" s="8"/>
      <c r="K17" s="15" t="str">
        <f aca="false">IF(F17="","",IF(F17="Sim",1,IF(F17="Parcial",0.5,0)))</f>
        <v/>
      </c>
      <c r="L17" s="16" t="str">
        <f aca="false">IF(F17="","Falta o status",IF(AND(F17&lt;&gt;"Sim",H17=""),"Falta a ação",IF(AND(F17&lt;&gt;"Sim",J17=""),"Falta o prazo",IF(AND(F17="Sim",G17=""),"Falta a evidência","OK"))))</f>
        <v>Falta o status</v>
      </c>
    </row>
    <row r="18" customFormat="false" ht="30" hidden="false" customHeight="true" outlineLevel="0" collapsed="false">
      <c r="B18" s="10" t="n">
        <v>12</v>
      </c>
      <c r="C18" s="11" t="s">
        <v>87</v>
      </c>
      <c r="D18" s="12" t="s">
        <v>81</v>
      </c>
      <c r="E18" s="12" t="s">
        <v>79</v>
      </c>
      <c r="F18" s="14"/>
      <c r="G18" s="5"/>
      <c r="H18" s="5"/>
      <c r="I18" s="5"/>
      <c r="J18" s="8"/>
      <c r="K18" s="15" t="str">
        <f aca="false">IF(F18="","",IF(F18="Sim",1,IF(F18="Parcial",0.5,0)))</f>
        <v/>
      </c>
      <c r="L18" s="16" t="str">
        <f aca="false">IF(F18="","Falta o status",IF(AND(F18&lt;&gt;"Sim",H18=""),"Falta a ação",IF(AND(F18&lt;&gt;"Sim",J18=""),"Falta o prazo",IF(AND(F18="Sim",G18=""),"Falta a evidência","OK"))))</f>
        <v>Falta o status</v>
      </c>
    </row>
    <row r="19" customFormat="false" ht="30" hidden="false" customHeight="true" outlineLevel="0" collapsed="false">
      <c r="B19" s="10" t="n">
        <v>13</v>
      </c>
      <c r="C19" s="11" t="s">
        <v>88</v>
      </c>
      <c r="D19" s="12" t="s">
        <v>81</v>
      </c>
      <c r="E19" s="12" t="s">
        <v>79</v>
      </c>
      <c r="F19" s="14"/>
      <c r="G19" s="5"/>
      <c r="H19" s="5"/>
      <c r="I19" s="5"/>
      <c r="J19" s="8"/>
      <c r="K19" s="15" t="str">
        <f aca="false">IF(F19="","",IF(F19="Sim",1,IF(F19="Parcial",0.5,0)))</f>
        <v/>
      </c>
      <c r="L19" s="16" t="str">
        <f aca="false">IF(F19="","Falta o status",IF(AND(F19&lt;&gt;"Sim",H19=""),"Falta a ação",IF(AND(F19&lt;&gt;"Sim",J19=""),"Falta o prazo",IF(AND(F19="Sim",G19=""),"Falta a evidência","OK"))))</f>
        <v>Falta o status</v>
      </c>
    </row>
    <row r="20" customFormat="false" ht="30" hidden="false" customHeight="true" outlineLevel="0" collapsed="false">
      <c r="B20" s="10" t="n">
        <v>14</v>
      </c>
      <c r="C20" s="11" t="s">
        <v>89</v>
      </c>
      <c r="D20" s="12" t="s">
        <v>81</v>
      </c>
      <c r="E20" s="12" t="s">
        <v>79</v>
      </c>
      <c r="F20" s="14"/>
      <c r="G20" s="5"/>
      <c r="H20" s="5"/>
      <c r="I20" s="5"/>
      <c r="J20" s="8"/>
      <c r="K20" s="15" t="str">
        <f aca="false">IF(F20="","",IF(F20="Sim",1,IF(F20="Parcial",0.5,0)))</f>
        <v/>
      </c>
      <c r="L20" s="16" t="str">
        <f aca="false">IF(F20="","Falta o status",IF(AND(F20&lt;&gt;"Sim",H20=""),"Falta a ação",IF(AND(F20&lt;&gt;"Sim",J20=""),"Falta o prazo",IF(AND(F20="Sim",G20=""),"Falta a evidência","OK"))))</f>
        <v>Falta o status</v>
      </c>
    </row>
    <row r="22" customFormat="false" ht="21.75" hidden="false" customHeight="true" outlineLevel="0" collapsed="false">
      <c r="B22" s="17" t="s">
        <v>90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customFormat="false" ht="21.75" hidden="false" customHeight="true" outlineLevel="0" collapsed="false">
      <c r="B23" s="18" t="s">
        <v>91</v>
      </c>
      <c r="C23" s="18"/>
      <c r="D23" s="18"/>
      <c r="E23" s="19" t="str">
        <f aca="false">IF(COUNTA(F7:F20)=0,"",SUM(K7:K20)/ROWS(K7:K20))</f>
        <v/>
      </c>
      <c r="F23" s="19"/>
      <c r="G23" s="19"/>
      <c r="H23" s="19"/>
      <c r="I23" s="19"/>
      <c r="J23" s="19"/>
      <c r="K23" s="19"/>
      <c r="L23" s="19"/>
    </row>
    <row r="24" customFormat="false" ht="21.75" hidden="false" customHeight="true" outlineLevel="0" collapsed="false">
      <c r="B24" s="18" t="s">
        <v>92</v>
      </c>
      <c r="C24" s="18"/>
      <c r="D24" s="18"/>
      <c r="E24" s="20" t="n">
        <f aca="false">SUMPRODUCT((D7:D20="Fase 1")*(E7:E20="Sim")*(F7:F20&lt;&gt;"Sim"))</f>
        <v>4</v>
      </c>
      <c r="F24" s="20"/>
      <c r="G24" s="20"/>
      <c r="H24" s="20"/>
      <c r="I24" s="20"/>
      <c r="J24" s="20"/>
      <c r="K24" s="20"/>
      <c r="L24" s="20"/>
    </row>
    <row r="25" customFormat="false" ht="21.75" hidden="false" customHeight="true" outlineLevel="0" collapsed="false">
      <c r="B25" s="18" t="s">
        <v>93</v>
      </c>
      <c r="C25" s="18"/>
      <c r="D25" s="18"/>
      <c r="E25" s="20" t="n">
        <f aca="false">SUMPRODUCT((D7:D20="Fase 2")*(E7:E20="Sim")*(F7:F20&lt;&gt;"Sim"))</f>
        <v>4</v>
      </c>
      <c r="F25" s="20"/>
      <c r="G25" s="20"/>
      <c r="H25" s="20"/>
      <c r="I25" s="20"/>
      <c r="J25" s="20"/>
      <c r="K25" s="20"/>
      <c r="L25" s="20"/>
    </row>
    <row r="26" customFormat="false" ht="21.75" hidden="false" customHeight="true" outlineLevel="0" collapsed="false">
      <c r="B26" s="18" t="s">
        <v>94</v>
      </c>
      <c r="C26" s="18"/>
      <c r="D26" s="18"/>
      <c r="E26" s="20" t="str">
        <f aca="false">IF(COUNTA(F7:F20)=0,"",IF(SUMPRODUCT((D7:D20="Fase 1")*(E7:E20="Sim")*(F7:F20&lt;&gt;"Sim"))&gt;0,"Ainda não está pronta",IF(SUMPRODUCT((D7:D20="Fase 2")*(E7:E20="Sim")*(F7:F20&lt;&gt;"Sim"))&gt;0,"Pronta para a fase 1","Pronta para a fase 2")))</f>
        <v/>
      </c>
      <c r="F26" s="20"/>
      <c r="G26" s="20"/>
      <c r="H26" s="20"/>
      <c r="I26" s="20"/>
      <c r="J26" s="20"/>
      <c r="K26" s="20"/>
      <c r="L26" s="20"/>
    </row>
    <row r="27" customFormat="false" ht="21.75" hidden="false" customHeight="true" outlineLevel="0" collapsed="false">
      <c r="B27" s="18" t="s">
        <v>95</v>
      </c>
      <c r="C27" s="18"/>
      <c r="D27" s="18"/>
      <c r="E27" s="21" t="str">
        <f aca="false">IF(COUNTA(F7:F20)=0,"Responda os critérios",IF(E24&gt;0,"Há impeditivo pendente antes da fase 1",IF(E25&gt;0,"Há impeditivo pendente antes da fase 2",IF(SUMPRODUCT((L7:L20&lt;&gt;"OK")*1)&gt;0,"Há critério a completar: veja a coluna Conferência","OK"))))</f>
        <v>Responda os critérios</v>
      </c>
      <c r="F27" s="21"/>
      <c r="G27" s="21"/>
      <c r="H27" s="21"/>
      <c r="I27" s="21"/>
      <c r="J27" s="21"/>
      <c r="K27" s="21"/>
      <c r="L27" s="21"/>
    </row>
  </sheetData>
  <mergeCells count="14">
    <mergeCell ref="B1:L1"/>
    <mergeCell ref="B2:L2"/>
    <mergeCell ref="B4:C4"/>
    <mergeCell ref="B22:L22"/>
    <mergeCell ref="B23:D23"/>
    <mergeCell ref="E23:L23"/>
    <mergeCell ref="B24:D24"/>
    <mergeCell ref="E24:L24"/>
    <mergeCell ref="B25:D25"/>
    <mergeCell ref="E25:L25"/>
    <mergeCell ref="B26:D26"/>
    <mergeCell ref="E26:L26"/>
    <mergeCell ref="B27:D27"/>
    <mergeCell ref="E27:L27"/>
  </mergeCells>
  <conditionalFormatting sqref="F7:F20">
    <cfRule type="expression" priority="2" aboveAverage="0" equalAverage="0" bottom="0" percent="0" rank="0" text="" dxfId="0">
      <formula>F7="Sim"</formula>
    </cfRule>
    <cfRule type="expression" priority="3" aboveAverage="0" equalAverage="0" bottom="0" percent="0" rank="0" text="" dxfId="1">
      <formula>F7="Parcial"</formula>
    </cfRule>
    <cfRule type="expression" priority="4" aboveAverage="0" equalAverage="0" bottom="0" percent="0" rank="0" text="" dxfId="2">
      <formula>F7="Não"</formula>
    </cfRule>
    <cfRule type="expression" priority="5" aboveAverage="0" equalAverage="0" bottom="0" percent="0" rank="0" text="" dxfId="2">
      <formula>AND($E7="Sim",F7&lt;&gt;"",F7&lt;&gt;"Sim")</formula>
    </cfRule>
  </conditionalFormatting>
  <conditionalFormatting sqref="L7:L20">
    <cfRule type="expression" priority="6" aboveAverage="0" equalAverage="0" bottom="0" percent="0" rank="0" text="" dxfId="0">
      <formula>OR(L7="OK")</formula>
    </cfRule>
    <cfRule type="expression" priority="7" aboveAverage="0" equalAverage="0" bottom="0" percent="0" rank="0" text="" dxfId="1">
      <formula>AND(LEN(L7)&gt;0,NOT(OR(L7="OK")))</formula>
    </cfRule>
  </conditionalFormatting>
  <conditionalFormatting sqref="E27:L27">
    <cfRule type="expression" priority="8" aboveAverage="0" equalAverage="0" bottom="0" percent="0" rank="0" text="" dxfId="0">
      <formula>OR(E27="OK")</formula>
    </cfRule>
    <cfRule type="expression" priority="9" aboveAverage="0" equalAverage="0" bottom="0" percent="0" rank="0" text="" dxfId="1">
      <formula>AND(LEN(E27)&gt;0,NOT(OR(E27="OK")))</formula>
    </cfRule>
  </conditionalFormatting>
  <conditionalFormatting sqref="E26:L26">
    <cfRule type="expression" priority="10" aboveAverage="0" equalAverage="0" bottom="0" percent="0" rank="0" text="" dxfId="0">
      <formula>$E26="Pronta para a fase 2"</formula>
    </cfRule>
    <cfRule type="expression" priority="11" aboveAverage="0" equalAverage="0" bottom="0" percent="0" rank="0" text="" dxfId="3">
      <formula>$E26="Pronta para a fase 1"</formula>
    </cfRule>
    <cfRule type="expression" priority="12" aboveAverage="0" equalAverage="0" bottom="0" percent="0" rank="0" text="" dxfId="2">
      <formula>$E26="Ainda não está pronta"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D4 J7:J20" type="date">
      <formula1>36526</formula1>
      <formula2>0</formula2>
    </dataValidation>
    <dataValidation allowBlank="true" error="Escolha uma das opções da lista." errorStyle="stop" errorTitle="Valor inválido" operator="between" prompt="Sim, Parcial ou Não" promptTitle="Opções" showDropDown="false" showErrorMessage="true" showInputMessage="true" sqref="F7:F20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7" min="7" style="0" width="44"/>
    <col collapsed="false" customWidth="true" hidden="false" outlineLevel="0" max="8" min="8" style="0" width="14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96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97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4" t="s">
        <v>98</v>
      </c>
      <c r="C4" s="4"/>
      <c r="D4" s="5"/>
      <c r="E4" s="5"/>
      <c r="F4" s="22" t="s">
        <v>99</v>
      </c>
      <c r="G4" s="22"/>
    </row>
    <row r="5" customFormat="false" ht="15" hidden="false" customHeight="true" outlineLevel="0" collapsed="false">
      <c r="B5" s="4" t="s">
        <v>100</v>
      </c>
      <c r="C5" s="4"/>
      <c r="D5" s="5"/>
      <c r="E5" s="5"/>
      <c r="F5" s="22" t="s">
        <v>101</v>
      </c>
      <c r="G5" s="22"/>
    </row>
    <row r="6" customFormat="false" ht="15" hidden="false" customHeight="true" outlineLevel="0" collapsed="false">
      <c r="B6" s="4" t="s">
        <v>102</v>
      </c>
      <c r="C6" s="4"/>
      <c r="D6" s="8"/>
      <c r="F6" s="22" t="s">
        <v>103</v>
      </c>
      <c r="G6" s="22"/>
    </row>
    <row r="7" customFormat="false" ht="15" hidden="false" customHeight="true" outlineLevel="0" collapsed="false">
      <c r="B7" s="4" t="s">
        <v>104</v>
      </c>
      <c r="C7" s="4"/>
      <c r="D7" s="8"/>
      <c r="F7" s="22" t="s">
        <v>105</v>
      </c>
      <c r="G7" s="22"/>
    </row>
    <row r="8" customFormat="false" ht="22.35" hidden="false" customHeight="true" outlineLevel="0" collapsed="false">
      <c r="B8" s="4" t="s">
        <v>106</v>
      </c>
      <c r="C8" s="4"/>
      <c r="D8" s="8" t="n">
        <v>47391</v>
      </c>
      <c r="F8" s="22" t="s">
        <v>107</v>
      </c>
      <c r="G8" s="22"/>
    </row>
    <row r="9" customFormat="false" ht="15" hidden="false" customHeight="true" outlineLevel="0" collapsed="false">
      <c r="B9" s="4" t="s">
        <v>108</v>
      </c>
      <c r="C9" s="4"/>
      <c r="D9" s="23" t="str">
        <f aca="false">IF(D6="","",EDATE(D6,36)-1)</f>
        <v/>
      </c>
    </row>
    <row r="12" customFormat="false" ht="21.75" hidden="false" customHeight="true" outlineLevel="0" collapsed="false">
      <c r="B12" s="9" t="s">
        <v>61</v>
      </c>
      <c r="C12" s="9" t="s">
        <v>109</v>
      </c>
      <c r="D12" s="9" t="s">
        <v>110</v>
      </c>
      <c r="E12" s="9" t="s">
        <v>111</v>
      </c>
      <c r="F12" s="9" t="s">
        <v>112</v>
      </c>
      <c r="G12" s="9" t="s">
        <v>113</v>
      </c>
      <c r="H12" s="9" t="s">
        <v>114</v>
      </c>
    </row>
    <row r="13" customFormat="false" ht="21.75" hidden="false" customHeight="true" outlineLevel="0" collapsed="false">
      <c r="B13" s="10" t="n">
        <v>1</v>
      </c>
      <c r="C13" s="4" t="s">
        <v>73</v>
      </c>
      <c r="D13" s="24" t="str">
        <f aca="false">""</f>
        <v/>
      </c>
      <c r="E13" s="8"/>
      <c r="F13" s="25" t="str">
        <f aca="false">IF(E13="","Prevista","Realizada")</f>
        <v>Prevista</v>
      </c>
      <c r="G13" s="5"/>
      <c r="H13" s="24" t="str">
        <f aca="false">IF(AND(D13&lt;&gt;"",E13=""),D13,"")</f>
        <v/>
      </c>
    </row>
    <row r="14" customFormat="false" ht="21.75" hidden="false" customHeight="true" outlineLevel="0" collapsed="false">
      <c r="B14" s="10" t="n">
        <v>2</v>
      </c>
      <c r="C14" s="4" t="s">
        <v>81</v>
      </c>
      <c r="D14" s="24" t="str">
        <f aca="false">IF(E13="","",EDATE(E13,6))</f>
        <v/>
      </c>
      <c r="E14" s="8"/>
      <c r="F14" s="25" t="str">
        <f aca="false">IF(D14="","",IF(E14&lt;&gt;"",IF(E14&lt;=D14,"No prazo","Fora do prazo"),IF(N($D$7)=0,"",IF($D$7&gt;D14,"Atrasada",IF(D14-$D$7&lt;=60,"Vence em 60 dias","Prevista")))))</f>
        <v/>
      </c>
      <c r="G14" s="5"/>
      <c r="H14" s="24" t="str">
        <f aca="false">IF(AND(D14&lt;&gt;"",E14=""),D14,"")</f>
        <v/>
      </c>
    </row>
    <row r="15" customFormat="false" ht="21.75" hidden="false" customHeight="true" outlineLevel="0" collapsed="false">
      <c r="B15" s="10" t="n">
        <v>3</v>
      </c>
      <c r="C15" s="4" t="s">
        <v>115</v>
      </c>
      <c r="D15" s="24" t="str">
        <f aca="false">""</f>
        <v/>
      </c>
      <c r="E15" s="24" t="str">
        <f aca="false">IF($D$6="","",$D$6)</f>
        <v/>
      </c>
      <c r="F15" s="25" t="str">
        <f aca="false">IF(E15="","Prevista","Realizada")</f>
        <v>Prevista</v>
      </c>
      <c r="G15" s="5"/>
      <c r="H15" s="24" t="str">
        <f aca="false">IF(AND(D15&lt;&gt;"",E15=""),D15,"")</f>
        <v/>
      </c>
    </row>
    <row r="16" customFormat="false" ht="21.75" hidden="false" customHeight="true" outlineLevel="0" collapsed="false">
      <c r="B16" s="10" t="n">
        <v>4</v>
      </c>
      <c r="C16" s="4" t="s">
        <v>116</v>
      </c>
      <c r="D16" s="24" t="str">
        <f aca="false">IF($D$6="","",EDATE($D$6,12))</f>
        <v/>
      </c>
      <c r="E16" s="8"/>
      <c r="F16" s="25" t="str">
        <f aca="false">IF(D16="","",IF(E16&lt;&gt;"",IF(E16&lt;=D16,"No prazo","Fora do prazo"),IF(N($D$7)=0,"",IF($D$7&gt;D16,"Atrasada",IF(D16-$D$7&lt;=60,"Vence em 60 dias","Prevista")))))</f>
        <v/>
      </c>
      <c r="G16" s="5"/>
      <c r="H16" s="24" t="str">
        <f aca="false">IF(AND(D16&lt;&gt;"",E16=""),D16,"")</f>
        <v/>
      </c>
    </row>
    <row r="17" customFormat="false" ht="21.75" hidden="false" customHeight="true" outlineLevel="0" collapsed="false">
      <c r="B17" s="10" t="n">
        <v>5</v>
      </c>
      <c r="C17" s="4" t="s">
        <v>117</v>
      </c>
      <c r="D17" s="24" t="str">
        <f aca="false">IF($D$6="","",EDATE($D$6,24))</f>
        <v/>
      </c>
      <c r="E17" s="8"/>
      <c r="F17" s="25" t="str">
        <f aca="false">IF(D17="","",IF(E17&lt;&gt;"",IF(E17&lt;=D17,"No prazo","Fora do prazo"),IF(N($D$7)=0,"",IF($D$7&gt;D17,"Atrasada",IF(D17-$D$7&lt;=60,"Vence em 60 dias","Prevista")))))</f>
        <v/>
      </c>
      <c r="G17" s="5"/>
      <c r="H17" s="24" t="str">
        <f aca="false">IF(AND(D17&lt;&gt;"",E17=""),D17,"")</f>
        <v/>
      </c>
    </row>
    <row r="18" customFormat="false" ht="21.75" hidden="false" customHeight="true" outlineLevel="0" collapsed="false">
      <c r="B18" s="10" t="n">
        <v>6</v>
      </c>
      <c r="C18" s="4" t="s">
        <v>118</v>
      </c>
      <c r="D18" s="24" t="str">
        <f aca="false">IF($D$6="","",EDATE($D$6,33))</f>
        <v/>
      </c>
      <c r="E18" s="8"/>
      <c r="F18" s="25" t="str">
        <f aca="false">IF(D18="","",IF(E18&lt;&gt;"",IF(E18&lt;=D18,"No prazo","Fora do prazo"),IF(N($D$7)=0,"",IF($D$7&gt;D18,"Atrasada",IF(D18-$D$7&lt;=60,"Vence em 60 dias","Prevista")))))</f>
        <v/>
      </c>
      <c r="G18" s="5"/>
      <c r="H18" s="24" t="str">
        <f aca="false">IF(AND(D18&lt;&gt;"",E18=""),D18,"")</f>
        <v/>
      </c>
    </row>
    <row r="19" customFormat="false" ht="21.75" hidden="false" customHeight="true" outlineLevel="0" collapsed="false">
      <c r="B19" s="10" t="n">
        <v>7</v>
      </c>
      <c r="C19" s="4" t="s">
        <v>119</v>
      </c>
      <c r="D19" s="24" t="str">
        <f aca="false">IF(OR($D$6="",$D$5&lt;&gt;"ISO 9001:2015"),"",MIN($D$8,$D$9))</f>
        <v/>
      </c>
      <c r="E19" s="8"/>
      <c r="F19" s="25" t="str">
        <f aca="false">IF($D$5&lt;&gt;"ISO 9001:2015","Não se aplica",IF(D19="","",IF(E19&lt;&gt;"",IF(E19&lt;=D19,"No prazo","Fora do prazo"),IF(N($D$7)=0,"",IF($D$7&gt;D19,"Atrasada",IF(D19-$D$7&lt;=60,"Vence em 60 dias","Prevista"))))))</f>
        <v>Não se aplica</v>
      </c>
      <c r="G19" s="5"/>
      <c r="H19" s="24" t="str">
        <f aca="false">IF(AND(D19&lt;&gt;"",E19=""),D19,"")</f>
        <v/>
      </c>
    </row>
    <row r="21" customFormat="false" ht="21.75" hidden="false" customHeight="true" outlineLevel="0" collapsed="false">
      <c r="B21" s="17" t="s">
        <v>90</v>
      </c>
      <c r="C21" s="17"/>
      <c r="D21" s="17"/>
      <c r="E21" s="17"/>
      <c r="F21" s="17"/>
      <c r="G21" s="17"/>
      <c r="H21" s="17"/>
    </row>
    <row r="22" customFormat="false" ht="21.75" hidden="false" customHeight="true" outlineLevel="0" collapsed="false">
      <c r="B22" s="18" t="s">
        <v>16</v>
      </c>
      <c r="C22" s="18"/>
      <c r="D22" s="18"/>
      <c r="E22" s="26" t="str">
        <f aca="false">IF(D9="","",D9)</f>
        <v/>
      </c>
      <c r="F22" s="26"/>
      <c r="G22" s="26"/>
      <c r="H22" s="26"/>
    </row>
    <row r="23" customFormat="false" ht="21.75" hidden="false" customHeight="true" outlineLevel="0" collapsed="false">
      <c r="B23" s="18" t="s">
        <v>120</v>
      </c>
      <c r="C23" s="18"/>
      <c r="D23" s="18"/>
      <c r="E23" s="20" t="str">
        <f aca="false">COUNTIF(F13:F19,"Realizada")&amp;" realizada"&amp;", "&amp;COUNTIF(F13:F19,"No prazo")&amp;" no prazo"&amp;", "&amp;COUNTIF(F13:F19,"Fora do prazo")&amp;" fora do prazo"&amp;", "&amp;COUNTIF(F13:F19,"Vence em 60 dias")&amp;" vence em 60 dias"&amp;", "&amp;COUNTIF(F13:F19,"Atrasada")&amp;" atrasada"&amp;", "&amp;COUNTIF(F13:F19,"Prevista")&amp;" prevista"</f>
        <v>0 realizada, 0 no prazo, 0 fora do prazo, 0 vence em 60 dias, 0 atrasada, 2 prevista</v>
      </c>
      <c r="F23" s="20"/>
      <c r="G23" s="20"/>
      <c r="H23" s="20"/>
    </row>
    <row r="24" customFormat="false" ht="21.75" hidden="false" customHeight="true" outlineLevel="0" collapsed="false">
      <c r="B24" s="18" t="s">
        <v>95</v>
      </c>
      <c r="C24" s="18"/>
      <c r="D24" s="18"/>
      <c r="E24" s="21" t="str">
        <f aca="false">IF(D6="","Informe a data da decisão, real ou prevista",IF(D7="","Informe a data da leitura",IF(COUNTIF(F13:F19,"Atrasada")&gt;0,"Há evento atrasado: fale com o organismo",IF(COUNTIF(F13:F19,"Vence em 60 dias")&gt;0,"Há evento que vence em 60 dias: confirme a data com o organismo","OK"))))</f>
        <v>Informe a data da decisão, real ou prevista</v>
      </c>
      <c r="F24" s="21"/>
      <c r="G24" s="21"/>
      <c r="H24" s="21"/>
    </row>
  </sheetData>
  <mergeCells count="22">
    <mergeCell ref="B1:H1"/>
    <mergeCell ref="B2:H2"/>
    <mergeCell ref="B4:C4"/>
    <mergeCell ref="D4:E4"/>
    <mergeCell ref="F4:G4"/>
    <mergeCell ref="B5:C5"/>
    <mergeCell ref="D5:E5"/>
    <mergeCell ref="F5:G5"/>
    <mergeCell ref="B6:C6"/>
    <mergeCell ref="F6:G6"/>
    <mergeCell ref="B7:C7"/>
    <mergeCell ref="F7:G7"/>
    <mergeCell ref="B8:C8"/>
    <mergeCell ref="F8:G8"/>
    <mergeCell ref="B9:C9"/>
    <mergeCell ref="B21:H21"/>
    <mergeCell ref="B22:D22"/>
    <mergeCell ref="E22:H22"/>
    <mergeCell ref="B23:D23"/>
    <mergeCell ref="E23:H23"/>
    <mergeCell ref="B24:D24"/>
    <mergeCell ref="E24:H24"/>
  </mergeCells>
  <conditionalFormatting sqref="F13:F19">
    <cfRule type="expression" priority="2" aboveAverage="0" equalAverage="0" bottom="0" percent="0" rank="0" text="" dxfId="0">
      <formula>F13="Realizada"</formula>
    </cfRule>
    <cfRule type="expression" priority="3" aboveAverage="0" equalAverage="0" bottom="0" percent="0" rank="0" text="" dxfId="0">
      <formula>F13="No prazo"</formula>
    </cfRule>
    <cfRule type="expression" priority="4" aboveAverage="0" equalAverage="0" bottom="0" percent="0" rank="0" text="" dxfId="2">
      <formula>F13="Fora do prazo"</formula>
    </cfRule>
    <cfRule type="expression" priority="5" aboveAverage="0" equalAverage="0" bottom="0" percent="0" rank="0" text="" dxfId="2">
      <formula>F13="Atrasada"</formula>
    </cfRule>
    <cfRule type="expression" priority="6" aboveAverage="0" equalAverage="0" bottom="0" percent="0" rank="0" text="" dxfId="3">
      <formula>F13="Vence em 60 dias"</formula>
    </cfRule>
    <cfRule type="expression" priority="7" aboveAverage="0" equalAverage="0" bottom="0" percent="0" rank="0" text="" dxfId="4">
      <formula>F13="Prevista"</formula>
    </cfRule>
    <cfRule type="expression" priority="8" aboveAverage="0" equalAverage="0" bottom="0" percent="0" rank="0" text="" dxfId="4">
      <formula>F13="Não se aplica"</formula>
    </cfRule>
  </conditionalFormatting>
  <conditionalFormatting sqref="E24:H24">
    <cfRule type="expression" priority="9" aboveAverage="0" equalAverage="0" bottom="0" percent="0" rank="0" text="" dxfId="0">
      <formula>OR(E24="OK")</formula>
    </cfRule>
    <cfRule type="expression" priority="10" aboveAverage="0" equalAverage="0" bottom="0" percent="0" rank="0" text="" dxfId="1">
      <formula>AND(LEN(E24)&gt;0,NOT(OR(E24="OK")))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D6:D8 E13:E19" type="date">
      <formula1>36526</formula1>
      <formula2>0</formula2>
    </dataValidation>
    <dataValidation allowBlank="true" error="Escolha uma das opções da lista." errorStyle="stop" errorTitle="Valor inválido" operator="between" prompt="ISO 9001:2015 ou ISO 9001:2026" promptTitle="Opções" showDropDown="false" showErrorMessage="true" showInputMessage="true" sqref="D5" type="list">
      <formula1>"ISO 9001:2015,ISO 9001:2026"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O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48"/>
    <col collapsed="false" customWidth="true" hidden="false" outlineLevel="0" max="13" min="9" style="0" width="12"/>
    <col collapsed="false" customWidth="true" hidden="false" outlineLevel="0" max="14" min="14" style="0" width="24"/>
    <col collapsed="false" customWidth="true" hidden="false" outlineLevel="0" max="15" min="15" style="0" width="28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121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122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3" hidden="false" customHeight="true" outlineLevel="0" collapsed="false">
      <c r="B4" s="9" t="s">
        <v>61</v>
      </c>
      <c r="C4" s="9" t="s">
        <v>123</v>
      </c>
      <c r="D4" s="9" t="s">
        <v>124</v>
      </c>
      <c r="E4" s="9" t="s">
        <v>125</v>
      </c>
      <c r="F4" s="9" t="s">
        <v>126</v>
      </c>
      <c r="G4" s="9" t="s">
        <v>127</v>
      </c>
      <c r="H4" s="9" t="s">
        <v>128</v>
      </c>
      <c r="I4" s="9" t="s">
        <v>129</v>
      </c>
      <c r="J4" s="9" t="s">
        <v>130</v>
      </c>
      <c r="K4" s="9" t="s">
        <v>131</v>
      </c>
      <c r="L4" s="9" t="s">
        <v>132</v>
      </c>
      <c r="M4" s="9" t="s">
        <v>133</v>
      </c>
      <c r="N4" s="9" t="s">
        <v>112</v>
      </c>
      <c r="O4" s="9" t="s">
        <v>71</v>
      </c>
    </row>
    <row r="5" customFormat="false" ht="30" hidden="false" customHeight="true" outlineLevel="0" collapsed="false">
      <c r="B5" s="27"/>
      <c r="C5" s="27"/>
      <c r="D5" s="27" t="s">
        <v>134</v>
      </c>
      <c r="E5" s="27" t="s">
        <v>135</v>
      </c>
      <c r="F5" s="27" t="s">
        <v>134</v>
      </c>
      <c r="G5" s="27" t="s">
        <v>136</v>
      </c>
      <c r="H5" s="27" t="s">
        <v>137</v>
      </c>
      <c r="I5" s="27" t="s">
        <v>125</v>
      </c>
      <c r="J5" s="27" t="s">
        <v>125</v>
      </c>
      <c r="K5" s="27" t="s">
        <v>125</v>
      </c>
      <c r="L5" s="27" t="s">
        <v>138</v>
      </c>
      <c r="M5" s="27" t="s">
        <v>138</v>
      </c>
      <c r="N5" s="27" t="s">
        <v>139</v>
      </c>
      <c r="O5" s="27" t="s">
        <v>139</v>
      </c>
    </row>
    <row r="6" customFormat="false" ht="30" hidden="false" customHeight="true" outlineLevel="0" collapsed="false">
      <c r="B6" s="27" t="s">
        <v>140</v>
      </c>
      <c r="C6" s="27" t="s">
        <v>141</v>
      </c>
      <c r="D6" s="27" t="s">
        <v>81</v>
      </c>
      <c r="E6" s="28" t="n">
        <v>46714</v>
      </c>
      <c r="F6" s="27" t="s">
        <v>142</v>
      </c>
      <c r="G6" s="27" t="s">
        <v>143</v>
      </c>
      <c r="H6" s="22" t="s">
        <v>144</v>
      </c>
      <c r="I6" s="28" t="n">
        <v>46726</v>
      </c>
      <c r="J6" s="27"/>
      <c r="K6" s="27"/>
      <c r="L6" s="28" t="n">
        <v>46744</v>
      </c>
      <c r="M6" s="27"/>
      <c r="N6" s="27" t="s">
        <v>145</v>
      </c>
      <c r="O6" s="27" t="s">
        <v>146</v>
      </c>
    </row>
    <row r="7" customFormat="false" ht="30" hidden="false" customHeight="true" outlineLevel="0" collapsed="false">
      <c r="B7" s="10" t="n">
        <v>1</v>
      </c>
      <c r="C7" s="14"/>
      <c r="D7" s="14"/>
      <c r="E7" s="8"/>
      <c r="F7" s="14"/>
      <c r="G7" s="14"/>
      <c r="H7" s="5"/>
      <c r="I7" s="8"/>
      <c r="J7" s="8"/>
      <c r="K7" s="8"/>
      <c r="L7" s="24" t="str">
        <f aca="false">IF(OR(E7="",AND(F7&lt;&gt;"NC maior",F7&lt;&gt;"NC menor")),"",E7+30)</f>
        <v/>
      </c>
      <c r="M7" s="24" t="str">
        <f aca="false">IF(OR(E7="",F7&lt;&gt;"NC maior"),"",E7+90)</f>
        <v/>
      </c>
      <c r="N7" s="25" t="str">
        <f aca="false">IF(OR(F7="",E7=""),"",IF(OR(F7="Oportunidade de melhoria",F7="Ponto de atenção da fase 1"),IF(K7&lt;&gt;"","Fechada",IF(F7="Ponto de atenção da fase 1","Tratar antes da fase 2","Para considerar")),IF(K7&lt;&gt;"","Fechada",IF(AND(I7="",N(Ciclo!$D$7)&gt;L7),"Plano atrasado",IF(AND(F7="NC maior",N(Ciclo!$D$7)&gt;M7),"Vencida: risco ao certificado",IF(AND(F7="NC menor",I7&lt;&gt;""),"Aguarda verificação","Aberta no prazo"))))))</f>
        <v/>
      </c>
      <c r="O7" s="16" t="str">
        <f aca="false">IF(AND(C7="",COUNTA(D7:K7)=0),"",IF(E7="","Falta a data da auditoria",IF(F7="","Falta o tipo",IF(G7="","Falta o requisito",IF(H7="","Falta a descrição",IF(AND(I7&lt;&gt;"",I7&lt;E7),"Plano antes da auditoria",IF(AND(F7="NC maior",K7&lt;&gt;"",J7=""),"Falta a conclusão da ação","OK")))))))</f>
        <v/>
      </c>
    </row>
    <row r="8" customFormat="false" ht="30" hidden="false" customHeight="true" outlineLevel="0" collapsed="false">
      <c r="B8" s="10" t="n">
        <v>2</v>
      </c>
      <c r="C8" s="14"/>
      <c r="D8" s="14"/>
      <c r="E8" s="8"/>
      <c r="F8" s="14"/>
      <c r="G8" s="14"/>
      <c r="H8" s="5"/>
      <c r="I8" s="8"/>
      <c r="J8" s="8"/>
      <c r="K8" s="8"/>
      <c r="L8" s="24" t="str">
        <f aca="false">IF(OR(E8="",AND(F8&lt;&gt;"NC maior",F8&lt;&gt;"NC menor")),"",E8+30)</f>
        <v/>
      </c>
      <c r="M8" s="24" t="str">
        <f aca="false">IF(OR(E8="",F8&lt;&gt;"NC maior"),"",E8+90)</f>
        <v/>
      </c>
      <c r="N8" s="25" t="str">
        <f aca="false">IF(OR(F8="",E8=""),"",IF(OR(F8="Oportunidade de melhoria",F8="Ponto de atenção da fase 1"),IF(K8&lt;&gt;"","Fechada",IF(F8="Ponto de atenção da fase 1","Tratar antes da fase 2","Para considerar")),IF(K8&lt;&gt;"","Fechada",IF(AND(I8="",N(Ciclo!$D$7)&gt;L8),"Plano atrasado",IF(AND(F8="NC maior",N(Ciclo!$D$7)&gt;M8),"Vencida: risco ao certificado",IF(AND(F8="NC menor",I8&lt;&gt;""),"Aguarda verificação","Aberta no prazo"))))))</f>
        <v/>
      </c>
      <c r="O8" s="16" t="str">
        <f aca="false">IF(AND(C8="",COUNTA(D8:K8)=0),"",IF(E8="","Falta a data da auditoria",IF(F8="","Falta o tipo",IF(G8="","Falta o requisito",IF(H8="","Falta a descrição",IF(AND(I8&lt;&gt;"",I8&lt;E8),"Plano antes da auditoria",IF(AND(F8="NC maior",K8&lt;&gt;"",J8=""),"Falta a conclusão da ação","OK")))))))</f>
        <v/>
      </c>
    </row>
    <row r="9" customFormat="false" ht="30" hidden="false" customHeight="true" outlineLevel="0" collapsed="false">
      <c r="B9" s="10" t="n">
        <v>3</v>
      </c>
      <c r="C9" s="14"/>
      <c r="D9" s="14"/>
      <c r="E9" s="8"/>
      <c r="F9" s="14"/>
      <c r="G9" s="14"/>
      <c r="H9" s="5"/>
      <c r="I9" s="8"/>
      <c r="J9" s="8"/>
      <c r="K9" s="8"/>
      <c r="L9" s="24" t="str">
        <f aca="false">IF(OR(E9="",AND(F9&lt;&gt;"NC maior",F9&lt;&gt;"NC menor")),"",E9+30)</f>
        <v/>
      </c>
      <c r="M9" s="24" t="str">
        <f aca="false">IF(OR(E9="",F9&lt;&gt;"NC maior"),"",E9+90)</f>
        <v/>
      </c>
      <c r="N9" s="25" t="str">
        <f aca="false">IF(OR(F9="",E9=""),"",IF(OR(F9="Oportunidade de melhoria",F9="Ponto de atenção da fase 1"),IF(K9&lt;&gt;"","Fechada",IF(F9="Ponto de atenção da fase 1","Tratar antes da fase 2","Para considerar")),IF(K9&lt;&gt;"","Fechada",IF(AND(I9="",N(Ciclo!$D$7)&gt;L9),"Plano atrasado",IF(AND(F9="NC maior",N(Ciclo!$D$7)&gt;M9),"Vencida: risco ao certificado",IF(AND(F9="NC menor",I9&lt;&gt;""),"Aguarda verificação","Aberta no prazo"))))))</f>
        <v/>
      </c>
      <c r="O9" s="16" t="str">
        <f aca="false">IF(AND(C9="",COUNTA(D9:K9)=0),"",IF(E9="","Falta a data da auditoria",IF(F9="","Falta o tipo",IF(G9="","Falta o requisito",IF(H9="","Falta a descrição",IF(AND(I9&lt;&gt;"",I9&lt;E9),"Plano antes da auditoria",IF(AND(F9="NC maior",K9&lt;&gt;"",J9=""),"Falta a conclusão da ação","OK")))))))</f>
        <v/>
      </c>
    </row>
    <row r="10" customFormat="false" ht="30" hidden="false" customHeight="true" outlineLevel="0" collapsed="false">
      <c r="B10" s="10" t="n">
        <v>4</v>
      </c>
      <c r="C10" s="14"/>
      <c r="D10" s="14"/>
      <c r="E10" s="8"/>
      <c r="F10" s="14"/>
      <c r="G10" s="14"/>
      <c r="H10" s="5"/>
      <c r="I10" s="8"/>
      <c r="J10" s="8"/>
      <c r="K10" s="8"/>
      <c r="L10" s="24" t="str">
        <f aca="false">IF(OR(E10="",AND(F10&lt;&gt;"NC maior",F10&lt;&gt;"NC menor")),"",E10+30)</f>
        <v/>
      </c>
      <c r="M10" s="24" t="str">
        <f aca="false">IF(OR(E10="",F10&lt;&gt;"NC maior"),"",E10+90)</f>
        <v/>
      </c>
      <c r="N10" s="25" t="str">
        <f aca="false">IF(OR(F10="",E10=""),"",IF(OR(F10="Oportunidade de melhoria",F10="Ponto de atenção da fase 1"),IF(K10&lt;&gt;"","Fechada",IF(F10="Ponto de atenção da fase 1","Tratar antes da fase 2","Para considerar")),IF(K10&lt;&gt;"","Fechada",IF(AND(I10="",N(Ciclo!$D$7)&gt;L10),"Plano atrasado",IF(AND(F10="NC maior",N(Ciclo!$D$7)&gt;M10),"Vencida: risco ao certificado",IF(AND(F10="NC menor",I10&lt;&gt;""),"Aguarda verificação","Aberta no prazo"))))))</f>
        <v/>
      </c>
      <c r="O10" s="16" t="str">
        <f aca="false">IF(AND(C10="",COUNTA(D10:K10)=0),"",IF(E10="","Falta a data da auditoria",IF(F10="","Falta o tipo",IF(G10="","Falta o requisito",IF(H10="","Falta a descrição",IF(AND(I10&lt;&gt;"",I10&lt;E10),"Plano antes da auditoria",IF(AND(F10="NC maior",K10&lt;&gt;"",J10=""),"Falta a conclusão da ação","OK")))))))</f>
        <v/>
      </c>
    </row>
    <row r="11" customFormat="false" ht="30" hidden="false" customHeight="true" outlineLevel="0" collapsed="false">
      <c r="B11" s="10" t="n">
        <v>5</v>
      </c>
      <c r="C11" s="14"/>
      <c r="D11" s="14"/>
      <c r="E11" s="8"/>
      <c r="F11" s="14"/>
      <c r="G11" s="14"/>
      <c r="H11" s="5"/>
      <c r="I11" s="8"/>
      <c r="J11" s="8"/>
      <c r="K11" s="8"/>
      <c r="L11" s="24" t="str">
        <f aca="false">IF(OR(E11="",AND(F11&lt;&gt;"NC maior",F11&lt;&gt;"NC menor")),"",E11+30)</f>
        <v/>
      </c>
      <c r="M11" s="24" t="str">
        <f aca="false">IF(OR(E11="",F11&lt;&gt;"NC maior"),"",E11+90)</f>
        <v/>
      </c>
      <c r="N11" s="25" t="str">
        <f aca="false">IF(OR(F11="",E11=""),"",IF(OR(F11="Oportunidade de melhoria",F11="Ponto de atenção da fase 1"),IF(K11&lt;&gt;"","Fechada",IF(F11="Ponto de atenção da fase 1","Tratar antes da fase 2","Para considerar")),IF(K11&lt;&gt;"","Fechada",IF(AND(I11="",N(Ciclo!$D$7)&gt;L11),"Plano atrasado",IF(AND(F11="NC maior",N(Ciclo!$D$7)&gt;M11),"Vencida: risco ao certificado",IF(AND(F11="NC menor",I11&lt;&gt;""),"Aguarda verificação","Aberta no prazo"))))))</f>
        <v/>
      </c>
      <c r="O11" s="16" t="str">
        <f aca="false">IF(AND(C11="",COUNTA(D11:K11)=0),"",IF(E11="","Falta a data da auditoria",IF(F11="","Falta o tipo",IF(G11="","Falta o requisito",IF(H11="","Falta a descrição",IF(AND(I11&lt;&gt;"",I11&lt;E11),"Plano antes da auditoria",IF(AND(F11="NC maior",K11&lt;&gt;"",J11=""),"Falta a conclusão da ação","OK")))))))</f>
        <v/>
      </c>
    </row>
    <row r="12" customFormat="false" ht="30" hidden="false" customHeight="true" outlineLevel="0" collapsed="false">
      <c r="B12" s="10" t="n">
        <v>6</v>
      </c>
      <c r="C12" s="14"/>
      <c r="D12" s="14"/>
      <c r="E12" s="8"/>
      <c r="F12" s="14"/>
      <c r="G12" s="14"/>
      <c r="H12" s="5"/>
      <c r="I12" s="8"/>
      <c r="J12" s="8"/>
      <c r="K12" s="8"/>
      <c r="L12" s="24" t="str">
        <f aca="false">IF(OR(E12="",AND(F12&lt;&gt;"NC maior",F12&lt;&gt;"NC menor")),"",E12+30)</f>
        <v/>
      </c>
      <c r="M12" s="24" t="str">
        <f aca="false">IF(OR(E12="",F12&lt;&gt;"NC maior"),"",E12+90)</f>
        <v/>
      </c>
      <c r="N12" s="25" t="str">
        <f aca="false">IF(OR(F12="",E12=""),"",IF(OR(F12="Oportunidade de melhoria",F12="Ponto de atenção da fase 1"),IF(K12&lt;&gt;"","Fechada",IF(F12="Ponto de atenção da fase 1","Tratar antes da fase 2","Para considerar")),IF(K12&lt;&gt;"","Fechada",IF(AND(I12="",N(Ciclo!$D$7)&gt;L12),"Plano atrasado",IF(AND(F12="NC maior",N(Ciclo!$D$7)&gt;M12),"Vencida: risco ao certificado",IF(AND(F12="NC menor",I12&lt;&gt;""),"Aguarda verificação","Aberta no prazo"))))))</f>
        <v/>
      </c>
      <c r="O12" s="16" t="str">
        <f aca="false">IF(AND(C12="",COUNTA(D12:K12)=0),"",IF(E12="","Falta a data da auditoria",IF(F12="","Falta o tipo",IF(G12="","Falta o requisito",IF(H12="","Falta a descrição",IF(AND(I12&lt;&gt;"",I12&lt;E12),"Plano antes da auditoria",IF(AND(F12="NC maior",K12&lt;&gt;"",J12=""),"Falta a conclusão da ação","OK")))))))</f>
        <v/>
      </c>
    </row>
    <row r="13" customFormat="false" ht="30" hidden="false" customHeight="true" outlineLevel="0" collapsed="false">
      <c r="B13" s="10" t="n">
        <v>7</v>
      </c>
      <c r="C13" s="14"/>
      <c r="D13" s="14"/>
      <c r="E13" s="8"/>
      <c r="F13" s="14"/>
      <c r="G13" s="14"/>
      <c r="H13" s="5"/>
      <c r="I13" s="8"/>
      <c r="J13" s="8"/>
      <c r="K13" s="8"/>
      <c r="L13" s="24" t="str">
        <f aca="false">IF(OR(E13="",AND(F13&lt;&gt;"NC maior",F13&lt;&gt;"NC menor")),"",E13+30)</f>
        <v/>
      </c>
      <c r="M13" s="24" t="str">
        <f aca="false">IF(OR(E13="",F13&lt;&gt;"NC maior"),"",E13+90)</f>
        <v/>
      </c>
      <c r="N13" s="25" t="str">
        <f aca="false">IF(OR(F13="",E13=""),"",IF(OR(F13="Oportunidade de melhoria",F13="Ponto de atenção da fase 1"),IF(K13&lt;&gt;"","Fechada",IF(F13="Ponto de atenção da fase 1","Tratar antes da fase 2","Para considerar")),IF(K13&lt;&gt;"","Fechada",IF(AND(I13="",N(Ciclo!$D$7)&gt;L13),"Plano atrasado",IF(AND(F13="NC maior",N(Ciclo!$D$7)&gt;M13),"Vencida: risco ao certificado",IF(AND(F13="NC menor",I13&lt;&gt;""),"Aguarda verificação","Aberta no prazo"))))))</f>
        <v/>
      </c>
      <c r="O13" s="16" t="str">
        <f aca="false">IF(AND(C13="",COUNTA(D13:K13)=0),"",IF(E13="","Falta a data da auditoria",IF(F13="","Falta o tipo",IF(G13="","Falta o requisito",IF(H13="","Falta a descrição",IF(AND(I13&lt;&gt;"",I13&lt;E13),"Plano antes da auditoria",IF(AND(F13="NC maior",K13&lt;&gt;"",J13=""),"Falta a conclusão da ação","OK")))))))</f>
        <v/>
      </c>
    </row>
    <row r="14" customFormat="false" ht="30" hidden="false" customHeight="true" outlineLevel="0" collapsed="false">
      <c r="B14" s="10" t="n">
        <v>8</v>
      </c>
      <c r="C14" s="14"/>
      <c r="D14" s="14"/>
      <c r="E14" s="8"/>
      <c r="F14" s="14"/>
      <c r="G14" s="14"/>
      <c r="H14" s="5"/>
      <c r="I14" s="8"/>
      <c r="J14" s="8"/>
      <c r="K14" s="8"/>
      <c r="L14" s="24" t="str">
        <f aca="false">IF(OR(E14="",AND(F14&lt;&gt;"NC maior",F14&lt;&gt;"NC menor")),"",E14+30)</f>
        <v/>
      </c>
      <c r="M14" s="24" t="str">
        <f aca="false">IF(OR(E14="",F14&lt;&gt;"NC maior"),"",E14+90)</f>
        <v/>
      </c>
      <c r="N14" s="25" t="str">
        <f aca="false">IF(OR(F14="",E14=""),"",IF(OR(F14="Oportunidade de melhoria",F14="Ponto de atenção da fase 1"),IF(K14&lt;&gt;"","Fechada",IF(F14="Ponto de atenção da fase 1","Tratar antes da fase 2","Para considerar")),IF(K14&lt;&gt;"","Fechada",IF(AND(I14="",N(Ciclo!$D$7)&gt;L14),"Plano atrasado",IF(AND(F14="NC maior",N(Ciclo!$D$7)&gt;M14),"Vencida: risco ao certificado",IF(AND(F14="NC menor",I14&lt;&gt;""),"Aguarda verificação","Aberta no prazo"))))))</f>
        <v/>
      </c>
      <c r="O14" s="16" t="str">
        <f aca="false">IF(AND(C14="",COUNTA(D14:K14)=0),"",IF(E14="","Falta a data da auditoria",IF(F14="","Falta o tipo",IF(G14="","Falta o requisito",IF(H14="","Falta a descrição",IF(AND(I14&lt;&gt;"",I14&lt;E14),"Plano antes da auditoria",IF(AND(F14="NC maior",K14&lt;&gt;"",J14=""),"Falta a conclusão da ação","OK")))))))</f>
        <v/>
      </c>
    </row>
    <row r="15" customFormat="false" ht="30" hidden="false" customHeight="true" outlineLevel="0" collapsed="false">
      <c r="B15" s="10" t="n">
        <v>9</v>
      </c>
      <c r="C15" s="14"/>
      <c r="D15" s="14"/>
      <c r="E15" s="8"/>
      <c r="F15" s="14"/>
      <c r="G15" s="14"/>
      <c r="H15" s="5"/>
      <c r="I15" s="8"/>
      <c r="J15" s="8"/>
      <c r="K15" s="8"/>
      <c r="L15" s="24" t="str">
        <f aca="false">IF(OR(E15="",AND(F15&lt;&gt;"NC maior",F15&lt;&gt;"NC menor")),"",E15+30)</f>
        <v/>
      </c>
      <c r="M15" s="24" t="str">
        <f aca="false">IF(OR(E15="",F15&lt;&gt;"NC maior"),"",E15+90)</f>
        <v/>
      </c>
      <c r="N15" s="25" t="str">
        <f aca="false">IF(OR(F15="",E15=""),"",IF(OR(F15="Oportunidade de melhoria",F15="Ponto de atenção da fase 1"),IF(K15&lt;&gt;"","Fechada",IF(F15="Ponto de atenção da fase 1","Tratar antes da fase 2","Para considerar")),IF(K15&lt;&gt;"","Fechada",IF(AND(I15="",N(Ciclo!$D$7)&gt;L15),"Plano atrasado",IF(AND(F15="NC maior",N(Ciclo!$D$7)&gt;M15),"Vencida: risco ao certificado",IF(AND(F15="NC menor",I15&lt;&gt;""),"Aguarda verificação","Aberta no prazo"))))))</f>
        <v/>
      </c>
      <c r="O15" s="16" t="str">
        <f aca="false">IF(AND(C15="",COUNTA(D15:K15)=0),"",IF(E15="","Falta a data da auditoria",IF(F15="","Falta o tipo",IF(G15="","Falta o requisito",IF(H15="","Falta a descrição",IF(AND(I15&lt;&gt;"",I15&lt;E15),"Plano antes da auditoria",IF(AND(F15="NC maior",K15&lt;&gt;"",J15=""),"Falta a conclusão da ação","OK")))))))</f>
        <v/>
      </c>
    </row>
    <row r="16" customFormat="false" ht="30" hidden="false" customHeight="true" outlineLevel="0" collapsed="false">
      <c r="B16" s="10" t="n">
        <v>10</v>
      </c>
      <c r="C16" s="14"/>
      <c r="D16" s="14"/>
      <c r="E16" s="8"/>
      <c r="F16" s="14"/>
      <c r="G16" s="14"/>
      <c r="H16" s="5"/>
      <c r="I16" s="8"/>
      <c r="J16" s="8"/>
      <c r="K16" s="8"/>
      <c r="L16" s="24" t="str">
        <f aca="false">IF(OR(E16="",AND(F16&lt;&gt;"NC maior",F16&lt;&gt;"NC menor")),"",E16+30)</f>
        <v/>
      </c>
      <c r="M16" s="24" t="str">
        <f aca="false">IF(OR(E16="",F16&lt;&gt;"NC maior"),"",E16+90)</f>
        <v/>
      </c>
      <c r="N16" s="25" t="str">
        <f aca="false">IF(OR(F16="",E16=""),"",IF(OR(F16="Oportunidade de melhoria",F16="Ponto de atenção da fase 1"),IF(K16&lt;&gt;"","Fechada",IF(F16="Ponto de atenção da fase 1","Tratar antes da fase 2","Para considerar")),IF(K16&lt;&gt;"","Fechada",IF(AND(I16="",N(Ciclo!$D$7)&gt;L16),"Plano atrasado",IF(AND(F16="NC maior",N(Ciclo!$D$7)&gt;M16),"Vencida: risco ao certificado",IF(AND(F16="NC menor",I16&lt;&gt;""),"Aguarda verificação","Aberta no prazo"))))))</f>
        <v/>
      </c>
      <c r="O16" s="16" t="str">
        <f aca="false">IF(AND(C16="",COUNTA(D16:K16)=0),"",IF(E16="","Falta a data da auditoria",IF(F16="","Falta o tipo",IF(G16="","Falta o requisito",IF(H16="","Falta a descrição",IF(AND(I16&lt;&gt;"",I16&lt;E16),"Plano antes da auditoria",IF(AND(F16="NC maior",K16&lt;&gt;"",J16=""),"Falta a conclusão da ação","OK")))))))</f>
        <v/>
      </c>
    </row>
    <row r="17" customFormat="false" ht="30" hidden="false" customHeight="true" outlineLevel="0" collapsed="false">
      <c r="B17" s="10" t="n">
        <v>11</v>
      </c>
      <c r="C17" s="14"/>
      <c r="D17" s="14"/>
      <c r="E17" s="8"/>
      <c r="F17" s="14"/>
      <c r="G17" s="14"/>
      <c r="H17" s="5"/>
      <c r="I17" s="8"/>
      <c r="J17" s="8"/>
      <c r="K17" s="8"/>
      <c r="L17" s="24" t="str">
        <f aca="false">IF(OR(E17="",AND(F17&lt;&gt;"NC maior",F17&lt;&gt;"NC menor")),"",E17+30)</f>
        <v/>
      </c>
      <c r="M17" s="24" t="str">
        <f aca="false">IF(OR(E17="",F17&lt;&gt;"NC maior"),"",E17+90)</f>
        <v/>
      </c>
      <c r="N17" s="25" t="str">
        <f aca="false">IF(OR(F17="",E17=""),"",IF(OR(F17="Oportunidade de melhoria",F17="Ponto de atenção da fase 1"),IF(K17&lt;&gt;"","Fechada",IF(F17="Ponto de atenção da fase 1","Tratar antes da fase 2","Para considerar")),IF(K17&lt;&gt;"","Fechada",IF(AND(I17="",N(Ciclo!$D$7)&gt;L17),"Plano atrasado",IF(AND(F17="NC maior",N(Ciclo!$D$7)&gt;M17),"Vencida: risco ao certificado",IF(AND(F17="NC menor",I17&lt;&gt;""),"Aguarda verificação","Aberta no prazo"))))))</f>
        <v/>
      </c>
      <c r="O17" s="16" t="str">
        <f aca="false">IF(AND(C17="",COUNTA(D17:K17)=0),"",IF(E17="","Falta a data da auditoria",IF(F17="","Falta o tipo",IF(G17="","Falta o requisito",IF(H17="","Falta a descrição",IF(AND(I17&lt;&gt;"",I17&lt;E17),"Plano antes da auditoria",IF(AND(F17="NC maior",K17&lt;&gt;"",J17=""),"Falta a conclusão da ação","OK")))))))</f>
        <v/>
      </c>
    </row>
    <row r="18" customFormat="false" ht="30" hidden="false" customHeight="true" outlineLevel="0" collapsed="false">
      <c r="B18" s="10" t="n">
        <v>12</v>
      </c>
      <c r="C18" s="14"/>
      <c r="D18" s="14"/>
      <c r="E18" s="8"/>
      <c r="F18" s="14"/>
      <c r="G18" s="14"/>
      <c r="H18" s="5"/>
      <c r="I18" s="8"/>
      <c r="J18" s="8"/>
      <c r="K18" s="8"/>
      <c r="L18" s="24" t="str">
        <f aca="false">IF(OR(E18="",AND(F18&lt;&gt;"NC maior",F18&lt;&gt;"NC menor")),"",E18+30)</f>
        <v/>
      </c>
      <c r="M18" s="24" t="str">
        <f aca="false">IF(OR(E18="",F18&lt;&gt;"NC maior"),"",E18+90)</f>
        <v/>
      </c>
      <c r="N18" s="25" t="str">
        <f aca="false">IF(OR(F18="",E18=""),"",IF(OR(F18="Oportunidade de melhoria",F18="Ponto de atenção da fase 1"),IF(K18&lt;&gt;"","Fechada",IF(F18="Ponto de atenção da fase 1","Tratar antes da fase 2","Para considerar")),IF(K18&lt;&gt;"","Fechada",IF(AND(I18="",N(Ciclo!$D$7)&gt;L18),"Plano atrasado",IF(AND(F18="NC maior",N(Ciclo!$D$7)&gt;M18),"Vencida: risco ao certificado",IF(AND(F18="NC menor",I18&lt;&gt;""),"Aguarda verificação","Aberta no prazo"))))))</f>
        <v/>
      </c>
      <c r="O18" s="16" t="str">
        <f aca="false">IF(AND(C18="",COUNTA(D18:K18)=0),"",IF(E18="","Falta a data da auditoria",IF(F18="","Falta o tipo",IF(G18="","Falta o requisito",IF(H18="","Falta a descrição",IF(AND(I18&lt;&gt;"",I18&lt;E18),"Plano antes da auditoria",IF(AND(F18="NC maior",K18&lt;&gt;"",J18=""),"Falta a conclusão da ação","OK")))))))</f>
        <v/>
      </c>
    </row>
    <row r="19" customFormat="false" ht="30" hidden="false" customHeight="true" outlineLevel="0" collapsed="false">
      <c r="B19" s="10" t="n">
        <v>13</v>
      </c>
      <c r="C19" s="14"/>
      <c r="D19" s="14"/>
      <c r="E19" s="8"/>
      <c r="F19" s="14"/>
      <c r="G19" s="14"/>
      <c r="H19" s="5"/>
      <c r="I19" s="8"/>
      <c r="J19" s="8"/>
      <c r="K19" s="8"/>
      <c r="L19" s="24" t="str">
        <f aca="false">IF(OR(E19="",AND(F19&lt;&gt;"NC maior",F19&lt;&gt;"NC menor")),"",E19+30)</f>
        <v/>
      </c>
      <c r="M19" s="24" t="str">
        <f aca="false">IF(OR(E19="",F19&lt;&gt;"NC maior"),"",E19+90)</f>
        <v/>
      </c>
      <c r="N19" s="25" t="str">
        <f aca="false">IF(OR(F19="",E19=""),"",IF(OR(F19="Oportunidade de melhoria",F19="Ponto de atenção da fase 1"),IF(K19&lt;&gt;"","Fechada",IF(F19="Ponto de atenção da fase 1","Tratar antes da fase 2","Para considerar")),IF(K19&lt;&gt;"","Fechada",IF(AND(I19="",N(Ciclo!$D$7)&gt;L19),"Plano atrasado",IF(AND(F19="NC maior",N(Ciclo!$D$7)&gt;M19),"Vencida: risco ao certificado",IF(AND(F19="NC menor",I19&lt;&gt;""),"Aguarda verificação","Aberta no prazo"))))))</f>
        <v/>
      </c>
      <c r="O19" s="16" t="str">
        <f aca="false">IF(AND(C19="",COUNTA(D19:K19)=0),"",IF(E19="","Falta a data da auditoria",IF(F19="","Falta o tipo",IF(G19="","Falta o requisito",IF(H19="","Falta a descrição",IF(AND(I19&lt;&gt;"",I19&lt;E19),"Plano antes da auditoria",IF(AND(F19="NC maior",K19&lt;&gt;"",J19=""),"Falta a conclusão da ação","OK")))))))</f>
        <v/>
      </c>
    </row>
    <row r="20" customFormat="false" ht="30" hidden="false" customHeight="true" outlineLevel="0" collapsed="false">
      <c r="B20" s="10" t="n">
        <v>14</v>
      </c>
      <c r="C20" s="14"/>
      <c r="D20" s="14"/>
      <c r="E20" s="8"/>
      <c r="F20" s="14"/>
      <c r="G20" s="14"/>
      <c r="H20" s="5"/>
      <c r="I20" s="8"/>
      <c r="J20" s="8"/>
      <c r="K20" s="8"/>
      <c r="L20" s="24" t="str">
        <f aca="false">IF(OR(E20="",AND(F20&lt;&gt;"NC maior",F20&lt;&gt;"NC menor")),"",E20+30)</f>
        <v/>
      </c>
      <c r="M20" s="24" t="str">
        <f aca="false">IF(OR(E20="",F20&lt;&gt;"NC maior"),"",E20+90)</f>
        <v/>
      </c>
      <c r="N20" s="25" t="str">
        <f aca="false">IF(OR(F20="",E20=""),"",IF(OR(F20="Oportunidade de melhoria",F20="Ponto de atenção da fase 1"),IF(K20&lt;&gt;"","Fechada",IF(F20="Ponto de atenção da fase 1","Tratar antes da fase 2","Para considerar")),IF(K20&lt;&gt;"","Fechada",IF(AND(I20="",N(Ciclo!$D$7)&gt;L20),"Plano atrasado",IF(AND(F20="NC maior",N(Ciclo!$D$7)&gt;M20),"Vencida: risco ao certificado",IF(AND(F20="NC menor",I20&lt;&gt;""),"Aguarda verificação","Aberta no prazo"))))))</f>
        <v/>
      </c>
      <c r="O20" s="16" t="str">
        <f aca="false">IF(AND(C20="",COUNTA(D20:K20)=0),"",IF(E20="","Falta a data da auditoria",IF(F20="","Falta o tipo",IF(G20="","Falta o requisito",IF(H20="","Falta a descrição",IF(AND(I20&lt;&gt;"",I20&lt;E20),"Plano antes da auditoria",IF(AND(F20="NC maior",K20&lt;&gt;"",J20=""),"Falta a conclusão da ação","OK")))))))</f>
        <v/>
      </c>
    </row>
    <row r="21" customFormat="false" ht="30" hidden="false" customHeight="true" outlineLevel="0" collapsed="false">
      <c r="B21" s="10" t="n">
        <v>15</v>
      </c>
      <c r="C21" s="14"/>
      <c r="D21" s="14"/>
      <c r="E21" s="8"/>
      <c r="F21" s="14"/>
      <c r="G21" s="14"/>
      <c r="H21" s="5"/>
      <c r="I21" s="8"/>
      <c r="J21" s="8"/>
      <c r="K21" s="8"/>
      <c r="L21" s="24" t="str">
        <f aca="false">IF(OR(E21="",AND(F21&lt;&gt;"NC maior",F21&lt;&gt;"NC menor")),"",E21+30)</f>
        <v/>
      </c>
      <c r="M21" s="24" t="str">
        <f aca="false">IF(OR(E21="",F21&lt;&gt;"NC maior"),"",E21+90)</f>
        <v/>
      </c>
      <c r="N21" s="25" t="str">
        <f aca="false">IF(OR(F21="",E21=""),"",IF(OR(F21="Oportunidade de melhoria",F21="Ponto de atenção da fase 1"),IF(K21&lt;&gt;"","Fechada",IF(F21="Ponto de atenção da fase 1","Tratar antes da fase 2","Para considerar")),IF(K21&lt;&gt;"","Fechada",IF(AND(I21="",N(Ciclo!$D$7)&gt;L21),"Plano atrasado",IF(AND(F21="NC maior",N(Ciclo!$D$7)&gt;M21),"Vencida: risco ao certificado",IF(AND(F21="NC menor",I21&lt;&gt;""),"Aguarda verificação","Aberta no prazo"))))))</f>
        <v/>
      </c>
      <c r="O21" s="16" t="str">
        <f aca="false">IF(AND(C21="",COUNTA(D21:K21)=0),"",IF(E21="","Falta a data da auditoria",IF(F21="","Falta o tipo",IF(G21="","Falta o requisito",IF(H21="","Falta a descrição",IF(AND(I21&lt;&gt;"",I21&lt;E21),"Plano antes da auditoria",IF(AND(F21="NC maior",K21&lt;&gt;"",J21=""),"Falta a conclusão da ação","OK")))))))</f>
        <v/>
      </c>
    </row>
    <row r="22" customFormat="false" ht="30" hidden="false" customHeight="true" outlineLevel="0" collapsed="false">
      <c r="B22" s="10" t="n">
        <v>16</v>
      </c>
      <c r="C22" s="14"/>
      <c r="D22" s="14"/>
      <c r="E22" s="8"/>
      <c r="F22" s="14"/>
      <c r="G22" s="14"/>
      <c r="H22" s="5"/>
      <c r="I22" s="8"/>
      <c r="J22" s="8"/>
      <c r="K22" s="8"/>
      <c r="L22" s="24" t="str">
        <f aca="false">IF(OR(E22="",AND(F22&lt;&gt;"NC maior",F22&lt;&gt;"NC menor")),"",E22+30)</f>
        <v/>
      </c>
      <c r="M22" s="24" t="str">
        <f aca="false">IF(OR(E22="",F22&lt;&gt;"NC maior"),"",E22+90)</f>
        <v/>
      </c>
      <c r="N22" s="25" t="str">
        <f aca="false">IF(OR(F22="",E22=""),"",IF(OR(F22="Oportunidade de melhoria",F22="Ponto de atenção da fase 1"),IF(K22&lt;&gt;"","Fechada",IF(F22="Ponto de atenção da fase 1","Tratar antes da fase 2","Para considerar")),IF(K22&lt;&gt;"","Fechada",IF(AND(I22="",N(Ciclo!$D$7)&gt;L22),"Plano atrasado",IF(AND(F22="NC maior",N(Ciclo!$D$7)&gt;M22),"Vencida: risco ao certificado",IF(AND(F22="NC menor",I22&lt;&gt;""),"Aguarda verificação","Aberta no prazo"))))))</f>
        <v/>
      </c>
      <c r="O22" s="16" t="str">
        <f aca="false">IF(AND(C22="",COUNTA(D22:K22)=0),"",IF(E22="","Falta a data da auditoria",IF(F22="","Falta o tipo",IF(G22="","Falta o requisito",IF(H22="","Falta a descrição",IF(AND(I22&lt;&gt;"",I22&lt;E22),"Plano antes da auditoria",IF(AND(F22="NC maior",K22&lt;&gt;"",J22=""),"Falta a conclusão da ação","OK")))))))</f>
        <v/>
      </c>
    </row>
    <row r="23" customFormat="false" ht="30" hidden="false" customHeight="true" outlineLevel="0" collapsed="false">
      <c r="B23" s="10" t="n">
        <v>17</v>
      </c>
      <c r="C23" s="14"/>
      <c r="D23" s="14"/>
      <c r="E23" s="8"/>
      <c r="F23" s="14"/>
      <c r="G23" s="14"/>
      <c r="H23" s="5"/>
      <c r="I23" s="8"/>
      <c r="J23" s="8"/>
      <c r="K23" s="8"/>
      <c r="L23" s="24" t="str">
        <f aca="false">IF(OR(E23="",AND(F23&lt;&gt;"NC maior",F23&lt;&gt;"NC menor")),"",E23+30)</f>
        <v/>
      </c>
      <c r="M23" s="24" t="str">
        <f aca="false">IF(OR(E23="",F23&lt;&gt;"NC maior"),"",E23+90)</f>
        <v/>
      </c>
      <c r="N23" s="25" t="str">
        <f aca="false">IF(OR(F23="",E23=""),"",IF(OR(F23="Oportunidade de melhoria",F23="Ponto de atenção da fase 1"),IF(K23&lt;&gt;"","Fechada",IF(F23="Ponto de atenção da fase 1","Tratar antes da fase 2","Para considerar")),IF(K23&lt;&gt;"","Fechada",IF(AND(I23="",N(Ciclo!$D$7)&gt;L23),"Plano atrasado",IF(AND(F23="NC maior",N(Ciclo!$D$7)&gt;M23),"Vencida: risco ao certificado",IF(AND(F23="NC menor",I23&lt;&gt;""),"Aguarda verificação","Aberta no prazo"))))))</f>
        <v/>
      </c>
      <c r="O23" s="16" t="str">
        <f aca="false">IF(AND(C23="",COUNTA(D23:K23)=0),"",IF(E23="","Falta a data da auditoria",IF(F23="","Falta o tipo",IF(G23="","Falta o requisito",IF(H23="","Falta a descrição",IF(AND(I23&lt;&gt;"",I23&lt;E23),"Plano antes da auditoria",IF(AND(F23="NC maior",K23&lt;&gt;"",J23=""),"Falta a conclusão da ação","OK")))))))</f>
        <v/>
      </c>
    </row>
    <row r="24" customFormat="false" ht="30" hidden="false" customHeight="true" outlineLevel="0" collapsed="false">
      <c r="B24" s="10" t="n">
        <v>18</v>
      </c>
      <c r="C24" s="14"/>
      <c r="D24" s="14"/>
      <c r="E24" s="8"/>
      <c r="F24" s="14"/>
      <c r="G24" s="14"/>
      <c r="H24" s="5"/>
      <c r="I24" s="8"/>
      <c r="J24" s="8"/>
      <c r="K24" s="8"/>
      <c r="L24" s="24" t="str">
        <f aca="false">IF(OR(E24="",AND(F24&lt;&gt;"NC maior",F24&lt;&gt;"NC menor")),"",E24+30)</f>
        <v/>
      </c>
      <c r="M24" s="24" t="str">
        <f aca="false">IF(OR(E24="",F24&lt;&gt;"NC maior"),"",E24+90)</f>
        <v/>
      </c>
      <c r="N24" s="25" t="str">
        <f aca="false">IF(OR(F24="",E24=""),"",IF(OR(F24="Oportunidade de melhoria",F24="Ponto de atenção da fase 1"),IF(K24&lt;&gt;"","Fechada",IF(F24="Ponto de atenção da fase 1","Tratar antes da fase 2","Para considerar")),IF(K24&lt;&gt;"","Fechada",IF(AND(I24="",N(Ciclo!$D$7)&gt;L24),"Plano atrasado",IF(AND(F24="NC maior",N(Ciclo!$D$7)&gt;M24),"Vencida: risco ao certificado",IF(AND(F24="NC menor",I24&lt;&gt;""),"Aguarda verificação","Aberta no prazo"))))))</f>
        <v/>
      </c>
      <c r="O24" s="16" t="str">
        <f aca="false">IF(AND(C24="",COUNTA(D24:K24)=0),"",IF(E24="","Falta a data da auditoria",IF(F24="","Falta o tipo",IF(G24="","Falta o requisito",IF(H24="","Falta a descrição",IF(AND(I24&lt;&gt;"",I24&lt;E24),"Plano antes da auditoria",IF(AND(F24="NC maior",K24&lt;&gt;"",J24=""),"Falta a conclusão da ação","OK")))))))</f>
        <v/>
      </c>
    </row>
    <row r="25" customFormat="false" ht="30" hidden="false" customHeight="true" outlineLevel="0" collapsed="false">
      <c r="B25" s="10" t="n">
        <v>19</v>
      </c>
      <c r="C25" s="14"/>
      <c r="D25" s="14"/>
      <c r="E25" s="8"/>
      <c r="F25" s="14"/>
      <c r="G25" s="14"/>
      <c r="H25" s="5"/>
      <c r="I25" s="8"/>
      <c r="J25" s="8"/>
      <c r="K25" s="8"/>
      <c r="L25" s="24" t="str">
        <f aca="false">IF(OR(E25="",AND(F25&lt;&gt;"NC maior",F25&lt;&gt;"NC menor")),"",E25+30)</f>
        <v/>
      </c>
      <c r="M25" s="24" t="str">
        <f aca="false">IF(OR(E25="",F25&lt;&gt;"NC maior"),"",E25+90)</f>
        <v/>
      </c>
      <c r="N25" s="25" t="str">
        <f aca="false">IF(OR(F25="",E25=""),"",IF(OR(F25="Oportunidade de melhoria",F25="Ponto de atenção da fase 1"),IF(K25&lt;&gt;"","Fechada",IF(F25="Ponto de atenção da fase 1","Tratar antes da fase 2","Para considerar")),IF(K25&lt;&gt;"","Fechada",IF(AND(I25="",N(Ciclo!$D$7)&gt;L25),"Plano atrasado",IF(AND(F25="NC maior",N(Ciclo!$D$7)&gt;M25),"Vencida: risco ao certificado",IF(AND(F25="NC menor",I25&lt;&gt;""),"Aguarda verificação","Aberta no prazo"))))))</f>
        <v/>
      </c>
      <c r="O25" s="16" t="str">
        <f aca="false">IF(AND(C25="",COUNTA(D25:K25)=0),"",IF(E25="","Falta a data da auditoria",IF(F25="","Falta o tipo",IF(G25="","Falta o requisito",IF(H25="","Falta a descrição",IF(AND(I25&lt;&gt;"",I25&lt;E25),"Plano antes da auditoria",IF(AND(F25="NC maior",K25&lt;&gt;"",J25=""),"Falta a conclusão da ação","OK")))))))</f>
        <v/>
      </c>
    </row>
    <row r="26" customFormat="false" ht="30" hidden="false" customHeight="true" outlineLevel="0" collapsed="false">
      <c r="B26" s="10" t="n">
        <v>20</v>
      </c>
      <c r="C26" s="14"/>
      <c r="D26" s="14"/>
      <c r="E26" s="8"/>
      <c r="F26" s="14"/>
      <c r="G26" s="14"/>
      <c r="H26" s="5"/>
      <c r="I26" s="8"/>
      <c r="J26" s="8"/>
      <c r="K26" s="8"/>
      <c r="L26" s="24" t="str">
        <f aca="false">IF(OR(E26="",AND(F26&lt;&gt;"NC maior",F26&lt;&gt;"NC menor")),"",E26+30)</f>
        <v/>
      </c>
      <c r="M26" s="24" t="str">
        <f aca="false">IF(OR(E26="",F26&lt;&gt;"NC maior"),"",E26+90)</f>
        <v/>
      </c>
      <c r="N26" s="25" t="str">
        <f aca="false">IF(OR(F26="",E26=""),"",IF(OR(F26="Oportunidade de melhoria",F26="Ponto de atenção da fase 1"),IF(K26&lt;&gt;"","Fechada",IF(F26="Ponto de atenção da fase 1","Tratar antes da fase 2","Para considerar")),IF(K26&lt;&gt;"","Fechada",IF(AND(I26="",N(Ciclo!$D$7)&gt;L26),"Plano atrasado",IF(AND(F26="NC maior",N(Ciclo!$D$7)&gt;M26),"Vencida: risco ao certificado",IF(AND(F26="NC menor",I26&lt;&gt;""),"Aguarda verificação","Aberta no prazo"))))))</f>
        <v/>
      </c>
      <c r="O26" s="16" t="str">
        <f aca="false">IF(AND(C26="",COUNTA(D26:K26)=0),"",IF(E26="","Falta a data da auditoria",IF(F26="","Falta o tipo",IF(G26="","Falta o requisito",IF(H26="","Falta a descrição",IF(AND(I26&lt;&gt;"",I26&lt;E26),"Plano antes da auditoria",IF(AND(F26="NC maior",K26&lt;&gt;"",J26=""),"Falta a conclusão da ação","OK")))))))</f>
        <v/>
      </c>
    </row>
    <row r="27" customFormat="false" ht="30" hidden="false" customHeight="true" outlineLevel="0" collapsed="false">
      <c r="B27" s="10" t="n">
        <v>21</v>
      </c>
      <c r="C27" s="14"/>
      <c r="D27" s="14"/>
      <c r="E27" s="8"/>
      <c r="F27" s="14"/>
      <c r="G27" s="14"/>
      <c r="H27" s="5"/>
      <c r="I27" s="8"/>
      <c r="J27" s="8"/>
      <c r="K27" s="8"/>
      <c r="L27" s="24" t="str">
        <f aca="false">IF(OR(E27="",AND(F27&lt;&gt;"NC maior",F27&lt;&gt;"NC menor")),"",E27+30)</f>
        <v/>
      </c>
      <c r="M27" s="24" t="str">
        <f aca="false">IF(OR(E27="",F27&lt;&gt;"NC maior"),"",E27+90)</f>
        <v/>
      </c>
      <c r="N27" s="25" t="str">
        <f aca="false">IF(OR(F27="",E27=""),"",IF(OR(F27="Oportunidade de melhoria",F27="Ponto de atenção da fase 1"),IF(K27&lt;&gt;"","Fechada",IF(F27="Ponto de atenção da fase 1","Tratar antes da fase 2","Para considerar")),IF(K27&lt;&gt;"","Fechada",IF(AND(I27="",N(Ciclo!$D$7)&gt;L27),"Plano atrasado",IF(AND(F27="NC maior",N(Ciclo!$D$7)&gt;M27),"Vencida: risco ao certificado",IF(AND(F27="NC menor",I27&lt;&gt;""),"Aguarda verificação","Aberta no prazo"))))))</f>
        <v/>
      </c>
      <c r="O27" s="16" t="str">
        <f aca="false">IF(AND(C27="",COUNTA(D27:K27)=0),"",IF(E27="","Falta a data da auditoria",IF(F27="","Falta o tipo",IF(G27="","Falta o requisito",IF(H27="","Falta a descrição",IF(AND(I27&lt;&gt;"",I27&lt;E27),"Plano antes da auditoria",IF(AND(F27="NC maior",K27&lt;&gt;"",J27=""),"Falta a conclusão da ação","OK")))))))</f>
        <v/>
      </c>
    </row>
    <row r="28" customFormat="false" ht="30" hidden="false" customHeight="true" outlineLevel="0" collapsed="false">
      <c r="B28" s="10" t="n">
        <v>22</v>
      </c>
      <c r="C28" s="14"/>
      <c r="D28" s="14"/>
      <c r="E28" s="8"/>
      <c r="F28" s="14"/>
      <c r="G28" s="14"/>
      <c r="H28" s="5"/>
      <c r="I28" s="8"/>
      <c r="J28" s="8"/>
      <c r="K28" s="8"/>
      <c r="L28" s="24" t="str">
        <f aca="false">IF(OR(E28="",AND(F28&lt;&gt;"NC maior",F28&lt;&gt;"NC menor")),"",E28+30)</f>
        <v/>
      </c>
      <c r="M28" s="24" t="str">
        <f aca="false">IF(OR(E28="",F28&lt;&gt;"NC maior"),"",E28+90)</f>
        <v/>
      </c>
      <c r="N28" s="25" t="str">
        <f aca="false">IF(OR(F28="",E28=""),"",IF(OR(F28="Oportunidade de melhoria",F28="Ponto de atenção da fase 1"),IF(K28&lt;&gt;"","Fechada",IF(F28="Ponto de atenção da fase 1","Tratar antes da fase 2","Para considerar")),IF(K28&lt;&gt;"","Fechada",IF(AND(I28="",N(Ciclo!$D$7)&gt;L28),"Plano atrasado",IF(AND(F28="NC maior",N(Ciclo!$D$7)&gt;M28),"Vencida: risco ao certificado",IF(AND(F28="NC menor",I28&lt;&gt;""),"Aguarda verificação","Aberta no prazo"))))))</f>
        <v/>
      </c>
      <c r="O28" s="16" t="str">
        <f aca="false">IF(AND(C28="",COUNTA(D28:K28)=0),"",IF(E28="","Falta a data da auditoria",IF(F28="","Falta o tipo",IF(G28="","Falta o requisito",IF(H28="","Falta a descrição",IF(AND(I28&lt;&gt;"",I28&lt;E28),"Plano antes da auditoria",IF(AND(F28="NC maior",K28&lt;&gt;"",J28=""),"Falta a conclusão da ação","OK")))))))</f>
        <v/>
      </c>
    </row>
    <row r="29" customFormat="false" ht="30" hidden="false" customHeight="true" outlineLevel="0" collapsed="false">
      <c r="B29" s="10" t="n">
        <v>23</v>
      </c>
      <c r="C29" s="14"/>
      <c r="D29" s="14"/>
      <c r="E29" s="8"/>
      <c r="F29" s="14"/>
      <c r="G29" s="14"/>
      <c r="H29" s="5"/>
      <c r="I29" s="8"/>
      <c r="J29" s="8"/>
      <c r="K29" s="8"/>
      <c r="L29" s="24" t="str">
        <f aca="false">IF(OR(E29="",AND(F29&lt;&gt;"NC maior",F29&lt;&gt;"NC menor")),"",E29+30)</f>
        <v/>
      </c>
      <c r="M29" s="24" t="str">
        <f aca="false">IF(OR(E29="",F29&lt;&gt;"NC maior"),"",E29+90)</f>
        <v/>
      </c>
      <c r="N29" s="25" t="str">
        <f aca="false">IF(OR(F29="",E29=""),"",IF(OR(F29="Oportunidade de melhoria",F29="Ponto de atenção da fase 1"),IF(K29&lt;&gt;"","Fechada",IF(F29="Ponto de atenção da fase 1","Tratar antes da fase 2","Para considerar")),IF(K29&lt;&gt;"","Fechada",IF(AND(I29="",N(Ciclo!$D$7)&gt;L29),"Plano atrasado",IF(AND(F29="NC maior",N(Ciclo!$D$7)&gt;M29),"Vencida: risco ao certificado",IF(AND(F29="NC menor",I29&lt;&gt;""),"Aguarda verificação","Aberta no prazo"))))))</f>
        <v/>
      </c>
      <c r="O29" s="16" t="str">
        <f aca="false">IF(AND(C29="",COUNTA(D29:K29)=0),"",IF(E29="","Falta a data da auditoria",IF(F29="","Falta o tipo",IF(G29="","Falta o requisito",IF(H29="","Falta a descrição",IF(AND(I29&lt;&gt;"",I29&lt;E29),"Plano antes da auditoria",IF(AND(F29="NC maior",K29&lt;&gt;"",J29=""),"Falta a conclusão da ação","OK")))))))</f>
        <v/>
      </c>
    </row>
    <row r="30" customFormat="false" ht="30" hidden="false" customHeight="true" outlineLevel="0" collapsed="false">
      <c r="B30" s="10" t="n">
        <v>24</v>
      </c>
      <c r="C30" s="14"/>
      <c r="D30" s="14"/>
      <c r="E30" s="8"/>
      <c r="F30" s="14"/>
      <c r="G30" s="14"/>
      <c r="H30" s="5"/>
      <c r="I30" s="8"/>
      <c r="J30" s="8"/>
      <c r="K30" s="8"/>
      <c r="L30" s="24" t="str">
        <f aca="false">IF(OR(E30="",AND(F30&lt;&gt;"NC maior",F30&lt;&gt;"NC menor")),"",E30+30)</f>
        <v/>
      </c>
      <c r="M30" s="24" t="str">
        <f aca="false">IF(OR(E30="",F30&lt;&gt;"NC maior"),"",E30+90)</f>
        <v/>
      </c>
      <c r="N30" s="25" t="str">
        <f aca="false">IF(OR(F30="",E30=""),"",IF(OR(F30="Oportunidade de melhoria",F30="Ponto de atenção da fase 1"),IF(K30&lt;&gt;"","Fechada",IF(F30="Ponto de atenção da fase 1","Tratar antes da fase 2","Para considerar")),IF(K30&lt;&gt;"","Fechada",IF(AND(I30="",N(Ciclo!$D$7)&gt;L30),"Plano atrasado",IF(AND(F30="NC maior",N(Ciclo!$D$7)&gt;M30),"Vencida: risco ao certificado",IF(AND(F30="NC menor",I30&lt;&gt;""),"Aguarda verificação","Aberta no prazo"))))))</f>
        <v/>
      </c>
      <c r="O30" s="16" t="str">
        <f aca="false">IF(AND(C30="",COUNTA(D30:K30)=0),"",IF(E30="","Falta a data da auditoria",IF(F30="","Falta o tipo",IF(G30="","Falta o requisito",IF(H30="","Falta a descrição",IF(AND(I30&lt;&gt;"",I30&lt;E30),"Plano antes da auditoria",IF(AND(F30="NC maior",K30&lt;&gt;"",J30=""),"Falta a conclusão da ação","OK")))))))</f>
        <v/>
      </c>
    </row>
    <row r="31" customFormat="false" ht="30" hidden="false" customHeight="true" outlineLevel="0" collapsed="false">
      <c r="B31" s="10" t="n">
        <v>25</v>
      </c>
      <c r="C31" s="14"/>
      <c r="D31" s="14"/>
      <c r="E31" s="8"/>
      <c r="F31" s="14"/>
      <c r="G31" s="14"/>
      <c r="H31" s="5"/>
      <c r="I31" s="8"/>
      <c r="J31" s="8"/>
      <c r="K31" s="8"/>
      <c r="L31" s="24" t="str">
        <f aca="false">IF(OR(E31="",AND(F31&lt;&gt;"NC maior",F31&lt;&gt;"NC menor")),"",E31+30)</f>
        <v/>
      </c>
      <c r="M31" s="24" t="str">
        <f aca="false">IF(OR(E31="",F31&lt;&gt;"NC maior"),"",E31+90)</f>
        <v/>
      </c>
      <c r="N31" s="25" t="str">
        <f aca="false">IF(OR(F31="",E31=""),"",IF(OR(F31="Oportunidade de melhoria",F31="Ponto de atenção da fase 1"),IF(K31&lt;&gt;"","Fechada",IF(F31="Ponto de atenção da fase 1","Tratar antes da fase 2","Para considerar")),IF(K31&lt;&gt;"","Fechada",IF(AND(I31="",N(Ciclo!$D$7)&gt;L31),"Plano atrasado",IF(AND(F31="NC maior",N(Ciclo!$D$7)&gt;M31),"Vencida: risco ao certificado",IF(AND(F31="NC menor",I31&lt;&gt;""),"Aguarda verificação","Aberta no prazo"))))))</f>
        <v/>
      </c>
      <c r="O31" s="16" t="str">
        <f aca="false">IF(AND(C31="",COUNTA(D31:K31)=0),"",IF(E31="","Falta a data da auditoria",IF(F31="","Falta o tipo",IF(G31="","Falta o requisito",IF(H31="","Falta a descrição",IF(AND(I31&lt;&gt;"",I31&lt;E31),"Plano antes da auditoria",IF(AND(F31="NC maior",K31&lt;&gt;"",J31=""),"Falta a conclusão da ação","OK")))))))</f>
        <v/>
      </c>
    </row>
    <row r="32" customFormat="false" ht="30" hidden="false" customHeight="true" outlineLevel="0" collapsed="false">
      <c r="B32" s="10" t="n">
        <v>26</v>
      </c>
      <c r="C32" s="14"/>
      <c r="D32" s="14"/>
      <c r="E32" s="8"/>
      <c r="F32" s="14"/>
      <c r="G32" s="14"/>
      <c r="H32" s="5"/>
      <c r="I32" s="8"/>
      <c r="J32" s="8"/>
      <c r="K32" s="8"/>
      <c r="L32" s="24" t="str">
        <f aca="false">IF(OR(E32="",AND(F32&lt;&gt;"NC maior",F32&lt;&gt;"NC menor")),"",E32+30)</f>
        <v/>
      </c>
      <c r="M32" s="24" t="str">
        <f aca="false">IF(OR(E32="",F32&lt;&gt;"NC maior"),"",E32+90)</f>
        <v/>
      </c>
      <c r="N32" s="25" t="str">
        <f aca="false">IF(OR(F32="",E32=""),"",IF(OR(F32="Oportunidade de melhoria",F32="Ponto de atenção da fase 1"),IF(K32&lt;&gt;"","Fechada",IF(F32="Ponto de atenção da fase 1","Tratar antes da fase 2","Para considerar")),IF(K32&lt;&gt;"","Fechada",IF(AND(I32="",N(Ciclo!$D$7)&gt;L32),"Plano atrasado",IF(AND(F32="NC maior",N(Ciclo!$D$7)&gt;M32),"Vencida: risco ao certificado",IF(AND(F32="NC menor",I32&lt;&gt;""),"Aguarda verificação","Aberta no prazo"))))))</f>
        <v/>
      </c>
      <c r="O32" s="16" t="str">
        <f aca="false">IF(AND(C32="",COUNTA(D32:K32)=0),"",IF(E32="","Falta a data da auditoria",IF(F32="","Falta o tipo",IF(G32="","Falta o requisito",IF(H32="","Falta a descrição",IF(AND(I32&lt;&gt;"",I32&lt;E32),"Plano antes da auditoria",IF(AND(F32="NC maior",K32&lt;&gt;"",J32=""),"Falta a conclusão da ação","OK")))))))</f>
        <v/>
      </c>
    </row>
    <row r="33" customFormat="false" ht="30" hidden="false" customHeight="true" outlineLevel="0" collapsed="false">
      <c r="B33" s="10" t="n">
        <v>27</v>
      </c>
      <c r="C33" s="14"/>
      <c r="D33" s="14"/>
      <c r="E33" s="8"/>
      <c r="F33" s="14"/>
      <c r="G33" s="14"/>
      <c r="H33" s="5"/>
      <c r="I33" s="8"/>
      <c r="J33" s="8"/>
      <c r="K33" s="8"/>
      <c r="L33" s="24" t="str">
        <f aca="false">IF(OR(E33="",AND(F33&lt;&gt;"NC maior",F33&lt;&gt;"NC menor")),"",E33+30)</f>
        <v/>
      </c>
      <c r="M33" s="24" t="str">
        <f aca="false">IF(OR(E33="",F33&lt;&gt;"NC maior"),"",E33+90)</f>
        <v/>
      </c>
      <c r="N33" s="25" t="str">
        <f aca="false">IF(OR(F33="",E33=""),"",IF(OR(F33="Oportunidade de melhoria",F33="Ponto de atenção da fase 1"),IF(K33&lt;&gt;"","Fechada",IF(F33="Ponto de atenção da fase 1","Tratar antes da fase 2","Para considerar")),IF(K33&lt;&gt;"","Fechada",IF(AND(I33="",N(Ciclo!$D$7)&gt;L33),"Plano atrasado",IF(AND(F33="NC maior",N(Ciclo!$D$7)&gt;M33),"Vencida: risco ao certificado",IF(AND(F33="NC menor",I33&lt;&gt;""),"Aguarda verificação","Aberta no prazo"))))))</f>
        <v/>
      </c>
      <c r="O33" s="16" t="str">
        <f aca="false">IF(AND(C33="",COUNTA(D33:K33)=0),"",IF(E33="","Falta a data da auditoria",IF(F33="","Falta o tipo",IF(G33="","Falta o requisito",IF(H33="","Falta a descrição",IF(AND(I33&lt;&gt;"",I33&lt;E33),"Plano antes da auditoria",IF(AND(F33="NC maior",K33&lt;&gt;"",J33=""),"Falta a conclusão da ação","OK")))))))</f>
        <v/>
      </c>
    </row>
    <row r="34" customFormat="false" ht="30" hidden="false" customHeight="true" outlineLevel="0" collapsed="false">
      <c r="B34" s="10" t="n">
        <v>28</v>
      </c>
      <c r="C34" s="14"/>
      <c r="D34" s="14"/>
      <c r="E34" s="8"/>
      <c r="F34" s="14"/>
      <c r="G34" s="14"/>
      <c r="H34" s="5"/>
      <c r="I34" s="8"/>
      <c r="J34" s="8"/>
      <c r="K34" s="8"/>
      <c r="L34" s="24" t="str">
        <f aca="false">IF(OR(E34="",AND(F34&lt;&gt;"NC maior",F34&lt;&gt;"NC menor")),"",E34+30)</f>
        <v/>
      </c>
      <c r="M34" s="24" t="str">
        <f aca="false">IF(OR(E34="",F34&lt;&gt;"NC maior"),"",E34+90)</f>
        <v/>
      </c>
      <c r="N34" s="25" t="str">
        <f aca="false">IF(OR(F34="",E34=""),"",IF(OR(F34="Oportunidade de melhoria",F34="Ponto de atenção da fase 1"),IF(K34&lt;&gt;"","Fechada",IF(F34="Ponto de atenção da fase 1","Tratar antes da fase 2","Para considerar")),IF(K34&lt;&gt;"","Fechada",IF(AND(I34="",N(Ciclo!$D$7)&gt;L34),"Plano atrasado",IF(AND(F34="NC maior",N(Ciclo!$D$7)&gt;M34),"Vencida: risco ao certificado",IF(AND(F34="NC menor",I34&lt;&gt;""),"Aguarda verificação","Aberta no prazo"))))))</f>
        <v/>
      </c>
      <c r="O34" s="16" t="str">
        <f aca="false">IF(AND(C34="",COUNTA(D34:K34)=0),"",IF(E34="","Falta a data da auditoria",IF(F34="","Falta o tipo",IF(G34="","Falta o requisito",IF(H34="","Falta a descrição",IF(AND(I34&lt;&gt;"",I34&lt;E34),"Plano antes da auditoria",IF(AND(F34="NC maior",K34&lt;&gt;"",J34=""),"Falta a conclusão da ação","OK")))))))</f>
        <v/>
      </c>
    </row>
    <row r="35" customFormat="false" ht="30" hidden="false" customHeight="true" outlineLevel="0" collapsed="false">
      <c r="B35" s="10" t="n">
        <v>29</v>
      </c>
      <c r="C35" s="14"/>
      <c r="D35" s="14"/>
      <c r="E35" s="8"/>
      <c r="F35" s="14"/>
      <c r="G35" s="14"/>
      <c r="H35" s="5"/>
      <c r="I35" s="8"/>
      <c r="J35" s="8"/>
      <c r="K35" s="8"/>
      <c r="L35" s="24" t="str">
        <f aca="false">IF(OR(E35="",AND(F35&lt;&gt;"NC maior",F35&lt;&gt;"NC menor")),"",E35+30)</f>
        <v/>
      </c>
      <c r="M35" s="24" t="str">
        <f aca="false">IF(OR(E35="",F35&lt;&gt;"NC maior"),"",E35+90)</f>
        <v/>
      </c>
      <c r="N35" s="25" t="str">
        <f aca="false">IF(OR(F35="",E35=""),"",IF(OR(F35="Oportunidade de melhoria",F35="Ponto de atenção da fase 1"),IF(K35&lt;&gt;"","Fechada",IF(F35="Ponto de atenção da fase 1","Tratar antes da fase 2","Para considerar")),IF(K35&lt;&gt;"","Fechada",IF(AND(I35="",N(Ciclo!$D$7)&gt;L35),"Plano atrasado",IF(AND(F35="NC maior",N(Ciclo!$D$7)&gt;M35),"Vencida: risco ao certificado",IF(AND(F35="NC menor",I35&lt;&gt;""),"Aguarda verificação","Aberta no prazo"))))))</f>
        <v/>
      </c>
      <c r="O35" s="16" t="str">
        <f aca="false">IF(AND(C35="",COUNTA(D35:K35)=0),"",IF(E35="","Falta a data da auditoria",IF(F35="","Falta o tipo",IF(G35="","Falta o requisito",IF(H35="","Falta a descrição",IF(AND(I35&lt;&gt;"",I35&lt;E35),"Plano antes da auditoria",IF(AND(F35="NC maior",K35&lt;&gt;"",J35=""),"Falta a conclusão da ação","OK")))))))</f>
        <v/>
      </c>
    </row>
    <row r="36" customFormat="false" ht="30" hidden="false" customHeight="true" outlineLevel="0" collapsed="false">
      <c r="B36" s="10" t="n">
        <v>30</v>
      </c>
      <c r="C36" s="14"/>
      <c r="D36" s="14"/>
      <c r="E36" s="8"/>
      <c r="F36" s="14"/>
      <c r="G36" s="14"/>
      <c r="H36" s="5"/>
      <c r="I36" s="8"/>
      <c r="J36" s="8"/>
      <c r="K36" s="8"/>
      <c r="L36" s="24" t="str">
        <f aca="false">IF(OR(E36="",AND(F36&lt;&gt;"NC maior",F36&lt;&gt;"NC menor")),"",E36+30)</f>
        <v/>
      </c>
      <c r="M36" s="24" t="str">
        <f aca="false">IF(OR(E36="",F36&lt;&gt;"NC maior"),"",E36+90)</f>
        <v/>
      </c>
      <c r="N36" s="25" t="str">
        <f aca="false">IF(OR(F36="",E36=""),"",IF(OR(F36="Oportunidade de melhoria",F36="Ponto de atenção da fase 1"),IF(K36&lt;&gt;"","Fechada",IF(F36="Ponto de atenção da fase 1","Tratar antes da fase 2","Para considerar")),IF(K36&lt;&gt;"","Fechada",IF(AND(I36="",N(Ciclo!$D$7)&gt;L36),"Plano atrasado",IF(AND(F36="NC maior",N(Ciclo!$D$7)&gt;M36),"Vencida: risco ao certificado",IF(AND(F36="NC menor",I36&lt;&gt;""),"Aguarda verificação","Aberta no prazo"))))))</f>
        <v/>
      </c>
      <c r="O36" s="16" t="str">
        <f aca="false">IF(AND(C36="",COUNTA(D36:K36)=0),"",IF(E36="","Falta a data da auditoria",IF(F36="","Falta o tipo",IF(G36="","Falta o requisito",IF(H36="","Falta a descrição",IF(AND(I36&lt;&gt;"",I36&lt;E36),"Plano antes da auditoria",IF(AND(F36="NC maior",K36&lt;&gt;"",J36=""),"Falta a conclusão da ação","OK")))))))</f>
        <v/>
      </c>
    </row>
    <row r="37" customFormat="false" ht="30" hidden="false" customHeight="true" outlineLevel="0" collapsed="false">
      <c r="B37" s="10" t="n">
        <v>31</v>
      </c>
      <c r="C37" s="14"/>
      <c r="D37" s="14"/>
      <c r="E37" s="8"/>
      <c r="F37" s="14"/>
      <c r="G37" s="14"/>
      <c r="H37" s="5"/>
      <c r="I37" s="8"/>
      <c r="J37" s="8"/>
      <c r="K37" s="8"/>
      <c r="L37" s="24" t="str">
        <f aca="false">IF(OR(E37="",AND(F37&lt;&gt;"NC maior",F37&lt;&gt;"NC menor")),"",E37+30)</f>
        <v/>
      </c>
      <c r="M37" s="24" t="str">
        <f aca="false">IF(OR(E37="",F37&lt;&gt;"NC maior"),"",E37+90)</f>
        <v/>
      </c>
      <c r="N37" s="25" t="str">
        <f aca="false">IF(OR(F37="",E37=""),"",IF(OR(F37="Oportunidade de melhoria",F37="Ponto de atenção da fase 1"),IF(K37&lt;&gt;"","Fechada",IF(F37="Ponto de atenção da fase 1","Tratar antes da fase 2","Para considerar")),IF(K37&lt;&gt;"","Fechada",IF(AND(I37="",N(Ciclo!$D$7)&gt;L37),"Plano atrasado",IF(AND(F37="NC maior",N(Ciclo!$D$7)&gt;M37),"Vencida: risco ao certificado",IF(AND(F37="NC menor",I37&lt;&gt;""),"Aguarda verificação","Aberta no prazo"))))))</f>
        <v/>
      </c>
      <c r="O37" s="16" t="str">
        <f aca="false">IF(AND(C37="",COUNTA(D37:K37)=0),"",IF(E37="","Falta a data da auditoria",IF(F37="","Falta o tipo",IF(G37="","Falta o requisito",IF(H37="","Falta a descrição",IF(AND(I37&lt;&gt;"",I37&lt;E37),"Plano antes da auditoria",IF(AND(F37="NC maior",K37&lt;&gt;"",J37=""),"Falta a conclusão da ação","OK")))))))</f>
        <v/>
      </c>
    </row>
    <row r="38" customFormat="false" ht="30" hidden="false" customHeight="true" outlineLevel="0" collapsed="false">
      <c r="B38" s="10" t="n">
        <v>32</v>
      </c>
      <c r="C38" s="14"/>
      <c r="D38" s="14"/>
      <c r="E38" s="8"/>
      <c r="F38" s="14"/>
      <c r="G38" s="14"/>
      <c r="H38" s="5"/>
      <c r="I38" s="8"/>
      <c r="J38" s="8"/>
      <c r="K38" s="8"/>
      <c r="L38" s="24" t="str">
        <f aca="false">IF(OR(E38="",AND(F38&lt;&gt;"NC maior",F38&lt;&gt;"NC menor")),"",E38+30)</f>
        <v/>
      </c>
      <c r="M38" s="24" t="str">
        <f aca="false">IF(OR(E38="",F38&lt;&gt;"NC maior"),"",E38+90)</f>
        <v/>
      </c>
      <c r="N38" s="25" t="str">
        <f aca="false">IF(OR(F38="",E38=""),"",IF(OR(F38="Oportunidade de melhoria",F38="Ponto de atenção da fase 1"),IF(K38&lt;&gt;"","Fechada",IF(F38="Ponto de atenção da fase 1","Tratar antes da fase 2","Para considerar")),IF(K38&lt;&gt;"","Fechada",IF(AND(I38="",N(Ciclo!$D$7)&gt;L38),"Plano atrasado",IF(AND(F38="NC maior",N(Ciclo!$D$7)&gt;M38),"Vencida: risco ao certificado",IF(AND(F38="NC menor",I38&lt;&gt;""),"Aguarda verificação","Aberta no prazo"))))))</f>
        <v/>
      </c>
      <c r="O38" s="16" t="str">
        <f aca="false">IF(AND(C38="",COUNTA(D38:K38)=0),"",IF(E38="","Falta a data da auditoria",IF(F38="","Falta o tipo",IF(G38="","Falta o requisito",IF(H38="","Falta a descrição",IF(AND(I38&lt;&gt;"",I38&lt;E38),"Plano antes da auditoria",IF(AND(F38="NC maior",K38&lt;&gt;"",J38=""),"Falta a conclusão da ação","OK")))))))</f>
        <v/>
      </c>
    </row>
    <row r="39" customFormat="false" ht="30" hidden="false" customHeight="true" outlineLevel="0" collapsed="false">
      <c r="B39" s="10" t="n">
        <v>33</v>
      </c>
      <c r="C39" s="14"/>
      <c r="D39" s="14"/>
      <c r="E39" s="8"/>
      <c r="F39" s="14"/>
      <c r="G39" s="14"/>
      <c r="H39" s="5"/>
      <c r="I39" s="8"/>
      <c r="J39" s="8"/>
      <c r="K39" s="8"/>
      <c r="L39" s="24" t="str">
        <f aca="false">IF(OR(E39="",AND(F39&lt;&gt;"NC maior",F39&lt;&gt;"NC menor")),"",E39+30)</f>
        <v/>
      </c>
      <c r="M39" s="24" t="str">
        <f aca="false">IF(OR(E39="",F39&lt;&gt;"NC maior"),"",E39+90)</f>
        <v/>
      </c>
      <c r="N39" s="25" t="str">
        <f aca="false">IF(OR(F39="",E39=""),"",IF(OR(F39="Oportunidade de melhoria",F39="Ponto de atenção da fase 1"),IF(K39&lt;&gt;"","Fechada",IF(F39="Ponto de atenção da fase 1","Tratar antes da fase 2","Para considerar")),IF(K39&lt;&gt;"","Fechada",IF(AND(I39="",N(Ciclo!$D$7)&gt;L39),"Plano atrasado",IF(AND(F39="NC maior",N(Ciclo!$D$7)&gt;M39),"Vencida: risco ao certificado",IF(AND(F39="NC menor",I39&lt;&gt;""),"Aguarda verificação","Aberta no prazo"))))))</f>
        <v/>
      </c>
      <c r="O39" s="16" t="str">
        <f aca="false">IF(AND(C39="",COUNTA(D39:K39)=0),"",IF(E39="","Falta a data da auditoria",IF(F39="","Falta o tipo",IF(G39="","Falta o requisito",IF(H39="","Falta a descrição",IF(AND(I39&lt;&gt;"",I39&lt;E39),"Plano antes da auditoria",IF(AND(F39="NC maior",K39&lt;&gt;"",J39=""),"Falta a conclusão da ação","OK")))))))</f>
        <v/>
      </c>
    </row>
    <row r="40" customFormat="false" ht="30" hidden="false" customHeight="true" outlineLevel="0" collapsed="false">
      <c r="B40" s="10" t="n">
        <v>34</v>
      </c>
      <c r="C40" s="14"/>
      <c r="D40" s="14"/>
      <c r="E40" s="8"/>
      <c r="F40" s="14"/>
      <c r="G40" s="14"/>
      <c r="H40" s="5"/>
      <c r="I40" s="8"/>
      <c r="J40" s="8"/>
      <c r="K40" s="8"/>
      <c r="L40" s="24" t="str">
        <f aca="false">IF(OR(E40="",AND(F40&lt;&gt;"NC maior",F40&lt;&gt;"NC menor")),"",E40+30)</f>
        <v/>
      </c>
      <c r="M40" s="24" t="str">
        <f aca="false">IF(OR(E40="",F40&lt;&gt;"NC maior"),"",E40+90)</f>
        <v/>
      </c>
      <c r="N40" s="25" t="str">
        <f aca="false">IF(OR(F40="",E40=""),"",IF(OR(F40="Oportunidade de melhoria",F40="Ponto de atenção da fase 1"),IF(K40&lt;&gt;"","Fechada",IF(F40="Ponto de atenção da fase 1","Tratar antes da fase 2","Para considerar")),IF(K40&lt;&gt;"","Fechada",IF(AND(I40="",N(Ciclo!$D$7)&gt;L40),"Plano atrasado",IF(AND(F40="NC maior",N(Ciclo!$D$7)&gt;M40),"Vencida: risco ao certificado",IF(AND(F40="NC menor",I40&lt;&gt;""),"Aguarda verificação","Aberta no prazo"))))))</f>
        <v/>
      </c>
      <c r="O40" s="16" t="str">
        <f aca="false">IF(AND(C40="",COUNTA(D40:K40)=0),"",IF(E40="","Falta a data da auditoria",IF(F40="","Falta o tipo",IF(G40="","Falta o requisito",IF(H40="","Falta a descrição",IF(AND(I40&lt;&gt;"",I40&lt;E40),"Plano antes da auditoria",IF(AND(F40="NC maior",K40&lt;&gt;"",J40=""),"Falta a conclusão da ação","OK")))))))</f>
        <v/>
      </c>
    </row>
    <row r="41" customFormat="false" ht="30" hidden="false" customHeight="true" outlineLevel="0" collapsed="false">
      <c r="B41" s="10" t="n">
        <v>35</v>
      </c>
      <c r="C41" s="14"/>
      <c r="D41" s="14"/>
      <c r="E41" s="8"/>
      <c r="F41" s="14"/>
      <c r="G41" s="14"/>
      <c r="H41" s="5"/>
      <c r="I41" s="8"/>
      <c r="J41" s="8"/>
      <c r="K41" s="8"/>
      <c r="L41" s="24" t="str">
        <f aca="false">IF(OR(E41="",AND(F41&lt;&gt;"NC maior",F41&lt;&gt;"NC menor")),"",E41+30)</f>
        <v/>
      </c>
      <c r="M41" s="24" t="str">
        <f aca="false">IF(OR(E41="",F41&lt;&gt;"NC maior"),"",E41+90)</f>
        <v/>
      </c>
      <c r="N41" s="25" t="str">
        <f aca="false">IF(OR(F41="",E41=""),"",IF(OR(F41="Oportunidade de melhoria",F41="Ponto de atenção da fase 1"),IF(K41&lt;&gt;"","Fechada",IF(F41="Ponto de atenção da fase 1","Tratar antes da fase 2","Para considerar")),IF(K41&lt;&gt;"","Fechada",IF(AND(I41="",N(Ciclo!$D$7)&gt;L41),"Plano atrasado",IF(AND(F41="NC maior",N(Ciclo!$D$7)&gt;M41),"Vencida: risco ao certificado",IF(AND(F41="NC menor",I41&lt;&gt;""),"Aguarda verificação","Aberta no prazo"))))))</f>
        <v/>
      </c>
      <c r="O41" s="16" t="str">
        <f aca="false">IF(AND(C41="",COUNTA(D41:K41)=0),"",IF(E41="","Falta a data da auditoria",IF(F41="","Falta o tipo",IF(G41="","Falta o requisito",IF(H41="","Falta a descrição",IF(AND(I41&lt;&gt;"",I41&lt;E41),"Plano antes da auditoria",IF(AND(F41="NC maior",K41&lt;&gt;"",J41=""),"Falta a conclusão da ação","OK")))))))</f>
        <v/>
      </c>
    </row>
    <row r="42" customFormat="false" ht="30" hidden="false" customHeight="true" outlineLevel="0" collapsed="false">
      <c r="B42" s="10" t="n">
        <v>36</v>
      </c>
      <c r="C42" s="14"/>
      <c r="D42" s="14"/>
      <c r="E42" s="8"/>
      <c r="F42" s="14"/>
      <c r="G42" s="14"/>
      <c r="H42" s="5"/>
      <c r="I42" s="8"/>
      <c r="J42" s="8"/>
      <c r="K42" s="8"/>
      <c r="L42" s="24" t="str">
        <f aca="false">IF(OR(E42="",AND(F42&lt;&gt;"NC maior",F42&lt;&gt;"NC menor")),"",E42+30)</f>
        <v/>
      </c>
      <c r="M42" s="24" t="str">
        <f aca="false">IF(OR(E42="",F42&lt;&gt;"NC maior"),"",E42+90)</f>
        <v/>
      </c>
      <c r="N42" s="25" t="str">
        <f aca="false">IF(OR(F42="",E42=""),"",IF(OR(F42="Oportunidade de melhoria",F42="Ponto de atenção da fase 1"),IF(K42&lt;&gt;"","Fechada",IF(F42="Ponto de atenção da fase 1","Tratar antes da fase 2","Para considerar")),IF(K42&lt;&gt;"","Fechada",IF(AND(I42="",N(Ciclo!$D$7)&gt;L42),"Plano atrasado",IF(AND(F42="NC maior",N(Ciclo!$D$7)&gt;M42),"Vencida: risco ao certificado",IF(AND(F42="NC menor",I42&lt;&gt;""),"Aguarda verificação","Aberta no prazo"))))))</f>
        <v/>
      </c>
      <c r="O42" s="16" t="str">
        <f aca="false">IF(AND(C42="",COUNTA(D42:K42)=0),"",IF(E42="","Falta a data da auditoria",IF(F42="","Falta o tipo",IF(G42="","Falta o requisito",IF(H42="","Falta a descrição",IF(AND(I42&lt;&gt;"",I42&lt;E42),"Plano antes da auditoria",IF(AND(F42="NC maior",K42&lt;&gt;"",J42=""),"Falta a conclusão da ação","OK")))))))</f>
        <v/>
      </c>
    </row>
    <row r="43" customFormat="false" ht="30" hidden="false" customHeight="true" outlineLevel="0" collapsed="false">
      <c r="B43" s="10" t="n">
        <v>37</v>
      </c>
      <c r="C43" s="14"/>
      <c r="D43" s="14"/>
      <c r="E43" s="8"/>
      <c r="F43" s="14"/>
      <c r="G43" s="14"/>
      <c r="H43" s="5"/>
      <c r="I43" s="8"/>
      <c r="J43" s="8"/>
      <c r="K43" s="8"/>
      <c r="L43" s="24" t="str">
        <f aca="false">IF(OR(E43="",AND(F43&lt;&gt;"NC maior",F43&lt;&gt;"NC menor")),"",E43+30)</f>
        <v/>
      </c>
      <c r="M43" s="24" t="str">
        <f aca="false">IF(OR(E43="",F43&lt;&gt;"NC maior"),"",E43+90)</f>
        <v/>
      </c>
      <c r="N43" s="25" t="str">
        <f aca="false">IF(OR(F43="",E43=""),"",IF(OR(F43="Oportunidade de melhoria",F43="Ponto de atenção da fase 1"),IF(K43&lt;&gt;"","Fechada",IF(F43="Ponto de atenção da fase 1","Tratar antes da fase 2","Para considerar")),IF(K43&lt;&gt;"","Fechada",IF(AND(I43="",N(Ciclo!$D$7)&gt;L43),"Plano atrasado",IF(AND(F43="NC maior",N(Ciclo!$D$7)&gt;M43),"Vencida: risco ao certificado",IF(AND(F43="NC menor",I43&lt;&gt;""),"Aguarda verificação","Aberta no prazo"))))))</f>
        <v/>
      </c>
      <c r="O43" s="16" t="str">
        <f aca="false">IF(AND(C43="",COUNTA(D43:K43)=0),"",IF(E43="","Falta a data da auditoria",IF(F43="","Falta o tipo",IF(G43="","Falta o requisito",IF(H43="","Falta a descrição",IF(AND(I43&lt;&gt;"",I43&lt;E43),"Plano antes da auditoria",IF(AND(F43="NC maior",K43&lt;&gt;"",J43=""),"Falta a conclusão da ação","OK")))))))</f>
        <v/>
      </c>
    </row>
    <row r="44" customFormat="false" ht="30" hidden="false" customHeight="true" outlineLevel="0" collapsed="false">
      <c r="B44" s="10" t="n">
        <v>38</v>
      </c>
      <c r="C44" s="14"/>
      <c r="D44" s="14"/>
      <c r="E44" s="8"/>
      <c r="F44" s="14"/>
      <c r="G44" s="14"/>
      <c r="H44" s="5"/>
      <c r="I44" s="8"/>
      <c r="J44" s="8"/>
      <c r="K44" s="8"/>
      <c r="L44" s="24" t="str">
        <f aca="false">IF(OR(E44="",AND(F44&lt;&gt;"NC maior",F44&lt;&gt;"NC menor")),"",E44+30)</f>
        <v/>
      </c>
      <c r="M44" s="24" t="str">
        <f aca="false">IF(OR(E44="",F44&lt;&gt;"NC maior"),"",E44+90)</f>
        <v/>
      </c>
      <c r="N44" s="25" t="str">
        <f aca="false">IF(OR(F44="",E44=""),"",IF(OR(F44="Oportunidade de melhoria",F44="Ponto de atenção da fase 1"),IF(K44&lt;&gt;"","Fechada",IF(F44="Ponto de atenção da fase 1","Tratar antes da fase 2","Para considerar")),IF(K44&lt;&gt;"","Fechada",IF(AND(I44="",N(Ciclo!$D$7)&gt;L44),"Plano atrasado",IF(AND(F44="NC maior",N(Ciclo!$D$7)&gt;M44),"Vencida: risco ao certificado",IF(AND(F44="NC menor",I44&lt;&gt;""),"Aguarda verificação","Aberta no prazo"))))))</f>
        <v/>
      </c>
      <c r="O44" s="16" t="str">
        <f aca="false">IF(AND(C44="",COUNTA(D44:K44)=0),"",IF(E44="","Falta a data da auditoria",IF(F44="","Falta o tipo",IF(G44="","Falta o requisito",IF(H44="","Falta a descrição",IF(AND(I44&lt;&gt;"",I44&lt;E44),"Plano antes da auditoria",IF(AND(F44="NC maior",K44&lt;&gt;"",J44=""),"Falta a conclusão da ação","OK")))))))</f>
        <v/>
      </c>
    </row>
    <row r="45" customFormat="false" ht="30" hidden="false" customHeight="true" outlineLevel="0" collapsed="false">
      <c r="B45" s="10" t="n">
        <v>39</v>
      </c>
      <c r="C45" s="14"/>
      <c r="D45" s="14"/>
      <c r="E45" s="8"/>
      <c r="F45" s="14"/>
      <c r="G45" s="14"/>
      <c r="H45" s="5"/>
      <c r="I45" s="8"/>
      <c r="J45" s="8"/>
      <c r="K45" s="8"/>
      <c r="L45" s="24" t="str">
        <f aca="false">IF(OR(E45="",AND(F45&lt;&gt;"NC maior",F45&lt;&gt;"NC menor")),"",E45+30)</f>
        <v/>
      </c>
      <c r="M45" s="24" t="str">
        <f aca="false">IF(OR(E45="",F45&lt;&gt;"NC maior"),"",E45+90)</f>
        <v/>
      </c>
      <c r="N45" s="25" t="str">
        <f aca="false">IF(OR(F45="",E45=""),"",IF(OR(F45="Oportunidade de melhoria",F45="Ponto de atenção da fase 1"),IF(K45&lt;&gt;"","Fechada",IF(F45="Ponto de atenção da fase 1","Tratar antes da fase 2","Para considerar")),IF(K45&lt;&gt;"","Fechada",IF(AND(I45="",N(Ciclo!$D$7)&gt;L45),"Plano atrasado",IF(AND(F45="NC maior",N(Ciclo!$D$7)&gt;M45),"Vencida: risco ao certificado",IF(AND(F45="NC menor",I45&lt;&gt;""),"Aguarda verificação","Aberta no prazo"))))))</f>
        <v/>
      </c>
      <c r="O45" s="16" t="str">
        <f aca="false">IF(AND(C45="",COUNTA(D45:K45)=0),"",IF(E45="","Falta a data da auditoria",IF(F45="","Falta o tipo",IF(G45="","Falta o requisito",IF(H45="","Falta a descrição",IF(AND(I45&lt;&gt;"",I45&lt;E45),"Plano antes da auditoria",IF(AND(F45="NC maior",K45&lt;&gt;"",J45=""),"Falta a conclusão da ação","OK")))))))</f>
        <v/>
      </c>
    </row>
    <row r="46" customFormat="false" ht="30" hidden="false" customHeight="true" outlineLevel="0" collapsed="false">
      <c r="B46" s="10" t="n">
        <v>40</v>
      </c>
      <c r="C46" s="14"/>
      <c r="D46" s="14"/>
      <c r="E46" s="8"/>
      <c r="F46" s="14"/>
      <c r="G46" s="14"/>
      <c r="H46" s="5"/>
      <c r="I46" s="8"/>
      <c r="J46" s="8"/>
      <c r="K46" s="8"/>
      <c r="L46" s="24" t="str">
        <f aca="false">IF(OR(E46="",AND(F46&lt;&gt;"NC maior",F46&lt;&gt;"NC menor")),"",E46+30)</f>
        <v/>
      </c>
      <c r="M46" s="24" t="str">
        <f aca="false">IF(OR(E46="",F46&lt;&gt;"NC maior"),"",E46+90)</f>
        <v/>
      </c>
      <c r="N46" s="25" t="str">
        <f aca="false">IF(OR(F46="",E46=""),"",IF(OR(F46="Oportunidade de melhoria",F46="Ponto de atenção da fase 1"),IF(K46&lt;&gt;"","Fechada",IF(F46="Ponto de atenção da fase 1","Tratar antes da fase 2","Para considerar")),IF(K46&lt;&gt;"","Fechada",IF(AND(I46="",N(Ciclo!$D$7)&gt;L46),"Plano atrasado",IF(AND(F46="NC maior",N(Ciclo!$D$7)&gt;M46),"Vencida: risco ao certificado",IF(AND(F46="NC menor",I46&lt;&gt;""),"Aguarda verificação","Aberta no prazo"))))))</f>
        <v/>
      </c>
      <c r="O46" s="16" t="str">
        <f aca="false">IF(AND(C46="",COUNTA(D46:K46)=0),"",IF(E46="","Falta a data da auditoria",IF(F46="","Falta o tipo",IF(G46="","Falta o requisito",IF(H46="","Falta a descrição",IF(AND(I46&lt;&gt;"",I46&lt;E46),"Plano antes da auditoria",IF(AND(F46="NC maior",K46&lt;&gt;"",J46=""),"Falta a conclusão da ação","OK")))))))</f>
        <v/>
      </c>
    </row>
    <row r="48" customFormat="false" ht="21.75" hidden="false" customHeight="true" outlineLevel="0" collapsed="false">
      <c r="B48" s="17" t="s">
        <v>90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customFormat="false" ht="21.75" hidden="false" customHeight="true" outlineLevel="0" collapsed="false">
      <c r="B49" s="18" t="s">
        <v>41</v>
      </c>
      <c r="C49" s="18"/>
      <c r="D49" s="18"/>
      <c r="E49" s="20" t="str">
        <f aca="false">COUNTA(F7:F46)&amp;" constatações: "&amp;COUNTIF(F7:F46,"NC maior")&amp;" nc maior"&amp;", "&amp;COUNTIF(F7:F46,"NC menor")&amp;" nc menor"&amp;", "&amp;COUNTIF(F7:F46,"Oportunidade de melhoria")&amp;" oportunidade de melhoria"&amp;", "&amp;COUNTIF(F7:F46,"Ponto de atenção da fase 1")&amp;" ponto de atenção da fase 1"</f>
        <v>0 constatações: 0 nc maior, 0 nc menor, 0 oportunidade de melhoria, 0 ponto de atenção da fase 1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customFormat="false" ht="21.75" hidden="false" customHeight="true" outlineLevel="0" collapsed="false">
      <c r="B50" s="18" t="s">
        <v>112</v>
      </c>
      <c r="C50" s="18"/>
      <c r="D50" s="18"/>
      <c r="E50" s="20" t="str">
        <f aca="false">COUNTIF(N7:N46,"Fechada")&amp;" fechada"&amp;", "&amp;COUNTIF(N7:N46,"Aguarda verificação")&amp;" aguarda verificação"&amp;", "&amp;COUNTIF(N7:N46,"Aberta no prazo")&amp;" aberta no prazo"&amp;", "&amp;COUNTIF(N7:N46,"Plano atrasado")&amp;" plano atrasado"&amp;", "&amp;COUNTIF(N7:N46,"Vencida: risco ao certificado")&amp;" vencida: risco ao certificado"</f>
        <v>0 fechada, 0 aguarda verificação, 0 aberta no prazo, 0 plano atrasado, 0 vencida: risco ao certificado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customFormat="false" ht="21.75" hidden="false" customHeight="true" outlineLevel="0" collapsed="false">
      <c r="B51" s="18" t="s">
        <v>95</v>
      </c>
      <c r="C51" s="18"/>
      <c r="D51" s="18"/>
      <c r="E51" s="21" t="str">
        <f aca="false">IF(COUNTA(F7:F46)=0,"Registre as constatações depois de cada auditoria",IF(COUNTIF(N7:N46,"Vencida: risco ao certificado")&gt;0,"Há NC maior vencida: o certificado está em risco",IF(COUNTIF(N7:N46,"Plano atrasado")&gt;0,"Há plano atrasado: envie ao organismo",IF(SUMPRODUCT((O7:O46&lt;&gt;"")*(O7:O46&lt;&gt;"OK"))&gt;0,"Há constatação a completar: veja a coluna Conferência","OK"))))</f>
        <v>Registre as constatações depois de cada auditoria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</row>
  </sheetData>
  <mergeCells count="9">
    <mergeCell ref="B1:O1"/>
    <mergeCell ref="B2:O2"/>
    <mergeCell ref="B48:O48"/>
    <mergeCell ref="B49:D49"/>
    <mergeCell ref="E49:O49"/>
    <mergeCell ref="B50:D50"/>
    <mergeCell ref="E50:O50"/>
    <mergeCell ref="B51:D51"/>
    <mergeCell ref="E51:O51"/>
  </mergeCells>
  <conditionalFormatting sqref="N7:N46">
    <cfRule type="expression" priority="2" aboveAverage="0" equalAverage="0" bottom="0" percent="0" rank="0" text="" dxfId="0">
      <formula>N7="Fechada"</formula>
    </cfRule>
    <cfRule type="expression" priority="3" aboveAverage="0" equalAverage="0" bottom="0" percent="0" rank="0" text="" dxfId="2">
      <formula>N7="Plano atrasado"</formula>
    </cfRule>
    <cfRule type="expression" priority="4" aboveAverage="0" equalAverage="0" bottom="0" percent="0" rank="0" text="" dxfId="2">
      <formula>N7="Vencida: risco ao certificado"</formula>
    </cfRule>
    <cfRule type="expression" priority="5" aboveAverage="0" equalAverage="0" bottom="0" percent="0" rank="0" text="" dxfId="3">
      <formula>N7="Aguarda verificação"</formula>
    </cfRule>
    <cfRule type="expression" priority="6" aboveAverage="0" equalAverage="0" bottom="0" percent="0" rank="0" text="" dxfId="3">
      <formula>N7="Aberta no prazo"</formula>
    </cfRule>
    <cfRule type="expression" priority="7" aboveAverage="0" equalAverage="0" bottom="0" percent="0" rank="0" text="" dxfId="3">
      <formula>N7="Tratar antes da fase 2"</formula>
    </cfRule>
    <cfRule type="expression" priority="8" aboveAverage="0" equalAverage="0" bottom="0" percent="0" rank="0" text="" dxfId="4">
      <formula>N7="Para considerar"</formula>
    </cfRule>
  </conditionalFormatting>
  <conditionalFormatting sqref="F7:F46">
    <cfRule type="expression" priority="9" aboveAverage="0" equalAverage="0" bottom="0" percent="0" rank="0" text="" dxfId="2">
      <formula>F7="NC maior"</formula>
    </cfRule>
    <cfRule type="expression" priority="10" aboveAverage="0" equalAverage="0" bottom="0" percent="0" rank="0" text="" dxfId="3">
      <formula>F7="NC menor"</formula>
    </cfRule>
  </conditionalFormatting>
  <conditionalFormatting sqref="O7:O46">
    <cfRule type="expression" priority="11" aboveAverage="0" equalAverage="0" bottom="0" percent="0" rank="0" text="" dxfId="0">
      <formula>OR(O7="OK")</formula>
    </cfRule>
    <cfRule type="expression" priority="12" aboveAverage="0" equalAverage="0" bottom="0" percent="0" rank="0" text="" dxfId="1">
      <formula>AND(LEN(O7)&gt;0,NOT(OR(O7="OK")))</formula>
    </cfRule>
  </conditionalFormatting>
  <conditionalFormatting sqref="E51:O51">
    <cfRule type="expression" priority="13" aboveAverage="0" equalAverage="0" bottom="0" percent="0" rank="0" text="" dxfId="0">
      <formula>OR(E51="OK")</formula>
    </cfRule>
    <cfRule type="expression" priority="14" aboveAverage="0" equalAverage="0" bottom="0" percent="0" rank="0" text="" dxfId="1">
      <formula>AND(LEN(E51)&gt;0,NOT(OR(E51="OK")))</formula>
    </cfRule>
  </conditionalFormatting>
  <dataValidations count="3">
    <dataValidation allowBlank="true" error="Escolha uma das opções da lista." errorStyle="stop" errorTitle="Valor inválido" operator="between" prompt="Em que auditoria a constatação foi feita" promptTitle="Opções" showDropDown="false" showErrorMessage="true" showInputMessage="true" sqref="D7:D46" type="list">
      <formula1>"Fase 1,Fase 2,Manutenção,Recertificação,Transição"</formula1>
      <formula2>0</formula2>
    </dataValidation>
    <dataValidation allowBlank="true" error="Escolha uma das opções da lista." errorStyle="stop" errorTitle="Valor inválido" operator="between" prompt="NC maior, NC menor, oportunidade de melhoria ou ponto de atenção da fase 1" promptTitle="Opções" showDropDown="false" showErrorMessage="true" showInputMessage="true" sqref="F7:F46" type="list">
      <formula1>"NC maior,NC menor,Oportunidade de melhoria,Ponto de atenção da fase 1"</formula1>
      <formula2>0</formula2>
    </dataValidation>
    <dataValidation allowBlank="true" error="Digite uma data no formato dia/mês/ano." errorStyle="stop" errorTitle="Data inválida" operator="greaterThanOrEqual" showDropDown="false" showErrorMessage="true" showInputMessage="false" sqref="E7:E46 I7:K46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34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147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148</v>
      </c>
      <c r="C2" s="2"/>
      <c r="D2" s="2"/>
      <c r="E2" s="2"/>
      <c r="F2" s="2"/>
    </row>
    <row r="3" customFormat="false" ht="15" hidden="false" customHeight="false" outlineLevel="0" collapsed="false">
      <c r="B3" s="4" t="s">
        <v>98</v>
      </c>
      <c r="C3" s="20" t="str">
        <f aca="false">IF(Ciclo!D4="","",Ciclo!D4)</f>
        <v/>
      </c>
      <c r="D3" s="20"/>
      <c r="E3" s="20"/>
      <c r="F3" s="20"/>
    </row>
    <row r="5" customFormat="false" ht="21.75" hidden="false" customHeight="true" outlineLevel="0" collapsed="false">
      <c r="B5" s="9" t="s">
        <v>149</v>
      </c>
      <c r="C5" s="9" t="s">
        <v>94</v>
      </c>
      <c r="D5" s="9" t="s">
        <v>150</v>
      </c>
      <c r="E5" s="9"/>
      <c r="F5" s="9"/>
    </row>
    <row r="6" customFormat="false" ht="21.75" hidden="false" customHeight="true" outlineLevel="0" collapsed="false">
      <c r="B6" s="29" t="s">
        <v>151</v>
      </c>
      <c r="C6" s="29"/>
      <c r="D6" s="29"/>
      <c r="E6" s="29"/>
      <c r="F6" s="29"/>
    </row>
    <row r="7" customFormat="false" ht="21.75" hidden="false" customHeight="true" outlineLevel="0" collapsed="false">
      <c r="B7" s="4" t="s">
        <v>60</v>
      </c>
      <c r="C7" s="23" t="str">
        <f aca="false">IF(Prontidão!D4="","",Prontidão!D4)</f>
        <v/>
      </c>
      <c r="D7" s="30" t="s">
        <v>152</v>
      </c>
      <c r="E7" s="30"/>
      <c r="F7" s="30"/>
    </row>
    <row r="8" customFormat="false" ht="21.75" hidden="false" customHeight="true" outlineLevel="0" collapsed="false">
      <c r="B8" s="4" t="s">
        <v>91</v>
      </c>
      <c r="C8" s="31" t="str">
        <f aca="false">IF(COUNTA(Prontidão!F7:F20)=0,"",SUM(Prontidão!K7:K20)/ROWS(Prontidão!K7:K20))</f>
        <v/>
      </c>
      <c r="D8" s="30" t="s">
        <v>153</v>
      </c>
      <c r="E8" s="30"/>
      <c r="F8" s="30"/>
    </row>
    <row r="9" customFormat="false" ht="21.75" hidden="false" customHeight="true" outlineLevel="0" collapsed="false">
      <c r="B9" s="4" t="s">
        <v>92</v>
      </c>
      <c r="C9" s="32" t="n">
        <f aca="false">SUMPRODUCT((Prontidão!D7:D20="Fase 1")*(Prontidão!E7:E20="Sim")*(Prontidão!F7:F20&lt;&gt;"Sim"))</f>
        <v>4</v>
      </c>
      <c r="D9" s="30" t="s">
        <v>154</v>
      </c>
      <c r="E9" s="30"/>
      <c r="F9" s="30"/>
    </row>
    <row r="10" customFormat="false" ht="21.75" hidden="false" customHeight="true" outlineLevel="0" collapsed="false">
      <c r="B10" s="4" t="s">
        <v>93</v>
      </c>
      <c r="C10" s="32" t="n">
        <f aca="false">SUMPRODUCT((Prontidão!D7:D20="Fase 2")*(Prontidão!E7:E20="Sim")*(Prontidão!F7:F20&lt;&gt;"Sim"))</f>
        <v>4</v>
      </c>
      <c r="D10" s="30" t="s">
        <v>155</v>
      </c>
      <c r="E10" s="30"/>
      <c r="F10" s="30"/>
    </row>
    <row r="11" customFormat="false" ht="21.75" hidden="false" customHeight="true" outlineLevel="0" collapsed="false">
      <c r="B11" s="4" t="s">
        <v>94</v>
      </c>
      <c r="C11" s="32" t="str">
        <f aca="false">IF(COUNTA(Prontidão!F7:F20)=0,"",IF(SUMPRODUCT((Prontidão!D7:D20="Fase 1")*(Prontidão!E7:E20="Sim")*(Prontidão!F7:F20&lt;&gt;"Sim"))&gt;0,"Ainda não está pronta",IF(SUMPRODUCT((Prontidão!D7:D20="Fase 2")*(Prontidão!E7:E20="Sim")*(Prontidão!F7:F20&lt;&gt;"Sim"))&gt;0,"Pronta para a fase 1","Pronta para a fase 2")))</f>
        <v/>
      </c>
      <c r="D11" s="30" t="s">
        <v>156</v>
      </c>
      <c r="E11" s="30"/>
      <c r="F11" s="30"/>
    </row>
    <row r="12" customFormat="false" ht="21.75" hidden="false" customHeight="true" outlineLevel="0" collapsed="false">
      <c r="B12" s="29" t="s">
        <v>157</v>
      </c>
      <c r="C12" s="29"/>
      <c r="D12" s="29"/>
      <c r="E12" s="29"/>
      <c r="F12" s="29"/>
    </row>
    <row r="13" customFormat="false" ht="21.75" hidden="false" customHeight="true" outlineLevel="0" collapsed="false">
      <c r="B13" s="4" t="s">
        <v>158</v>
      </c>
      <c r="C13" s="32" t="str">
        <f aca="false">IF(Ciclo!D5="","",Ciclo!D5)</f>
        <v/>
      </c>
      <c r="D13" s="30" t="s">
        <v>159</v>
      </c>
      <c r="E13" s="30"/>
      <c r="F13" s="30"/>
    </row>
    <row r="14" customFormat="false" ht="21.75" hidden="false" customHeight="true" outlineLevel="0" collapsed="false">
      <c r="B14" s="4" t="s">
        <v>16</v>
      </c>
      <c r="C14" s="23" t="str">
        <f aca="false">IF(Ciclo!D9="","",Ciclo!D9)</f>
        <v/>
      </c>
      <c r="D14" s="30" t="s">
        <v>160</v>
      </c>
      <c r="E14" s="30"/>
      <c r="F14" s="30"/>
    </row>
    <row r="15" customFormat="false" ht="21.75" hidden="false" customHeight="true" outlineLevel="0" collapsed="false">
      <c r="B15" s="4" t="s">
        <v>161</v>
      </c>
      <c r="C15" s="23" t="str">
        <f aca="false">IF(MIN(Ciclo!H13:H19)=0,"",MIN(Ciclo!H13:H19))</f>
        <v/>
      </c>
      <c r="D15" s="30" t="s">
        <v>162</v>
      </c>
      <c r="E15" s="30"/>
      <c r="F15" s="30"/>
    </row>
    <row r="16" customFormat="false" ht="21.75" hidden="false" customHeight="true" outlineLevel="0" collapsed="false">
      <c r="B16" s="4" t="s">
        <v>163</v>
      </c>
      <c r="C16" s="32" t="str">
        <f aca="false">IF(C15="","",IFERROR(INDEX(Ciclo!C13:C19,MATCH(C15,Ciclo!H13:H19,0)),""))</f>
        <v/>
      </c>
      <c r="D16" s="30" t="s">
        <v>164</v>
      </c>
      <c r="E16" s="30"/>
      <c r="F16" s="30"/>
    </row>
    <row r="17" customFormat="false" ht="21.75" hidden="false" customHeight="true" outlineLevel="0" collapsed="false">
      <c r="B17" s="4" t="s">
        <v>165</v>
      </c>
      <c r="C17" s="32" t="n">
        <f aca="false">COUNTIF(Ciclo!F13:F19,"Atrasada")</f>
        <v>0</v>
      </c>
      <c r="D17" s="30" t="s">
        <v>166</v>
      </c>
      <c r="E17" s="30"/>
      <c r="F17" s="30"/>
    </row>
    <row r="18" customFormat="false" ht="21.75" hidden="false" customHeight="true" outlineLevel="0" collapsed="false">
      <c r="B18" s="4" t="s">
        <v>167</v>
      </c>
      <c r="C18" s="32" t="n">
        <f aca="false">COUNTIF(Ciclo!F13:F19,"Vence em 60 dias")</f>
        <v>0</v>
      </c>
      <c r="D18" s="30" t="s">
        <v>168</v>
      </c>
      <c r="E18" s="30"/>
      <c r="F18" s="30"/>
    </row>
    <row r="19" customFormat="false" ht="21.75" hidden="false" customHeight="true" outlineLevel="0" collapsed="false">
      <c r="B19" s="29" t="s">
        <v>169</v>
      </c>
      <c r="C19" s="29"/>
      <c r="D19" s="29"/>
      <c r="E19" s="29"/>
      <c r="F19" s="29"/>
    </row>
    <row r="20" customFormat="false" ht="21.75" hidden="false" customHeight="true" outlineLevel="0" collapsed="false">
      <c r="B20" s="4" t="s">
        <v>41</v>
      </c>
      <c r="C20" s="32" t="n">
        <f aca="false">COUNTA(Constatações!F7:F46)</f>
        <v>0</v>
      </c>
      <c r="D20" s="30" t="s">
        <v>170</v>
      </c>
      <c r="E20" s="30"/>
      <c r="F20" s="30"/>
    </row>
    <row r="21" customFormat="false" ht="21.75" hidden="false" customHeight="true" outlineLevel="0" collapsed="false">
      <c r="B21" s="4" t="s">
        <v>171</v>
      </c>
      <c r="C21" s="32" t="n">
        <f aca="false">COUNTIF(Constatações!F7:F46,"NC maior")</f>
        <v>0</v>
      </c>
      <c r="D21" s="30" t="s">
        <v>172</v>
      </c>
      <c r="E21" s="30"/>
      <c r="F21" s="30"/>
    </row>
    <row r="22" customFormat="false" ht="21.75" hidden="false" customHeight="true" outlineLevel="0" collapsed="false">
      <c r="B22" s="4" t="s">
        <v>173</v>
      </c>
      <c r="C22" s="32" t="n">
        <f aca="false">SUMPRODUCT((Constatações!F7:F46="NC maior")*(Constatações!N7:N46&lt;&gt;"Fechada"))</f>
        <v>0</v>
      </c>
      <c r="D22" s="30" t="s">
        <v>174</v>
      </c>
      <c r="E22" s="30"/>
      <c r="F22" s="30"/>
    </row>
    <row r="23" customFormat="false" ht="21.75" hidden="false" customHeight="true" outlineLevel="0" collapsed="false">
      <c r="B23" s="4" t="s">
        <v>175</v>
      </c>
      <c r="C23" s="32" t="n">
        <f aca="false">COUNTIF(Constatações!N7:N46,"Plano atrasado")</f>
        <v>0</v>
      </c>
      <c r="D23" s="30" t="s">
        <v>176</v>
      </c>
      <c r="E23" s="30"/>
      <c r="F23" s="30"/>
    </row>
    <row r="24" customFormat="false" ht="21.75" hidden="false" customHeight="true" outlineLevel="0" collapsed="false">
      <c r="B24" s="4" t="s">
        <v>177</v>
      </c>
      <c r="C24" s="32" t="n">
        <f aca="false">COUNTIF(Constatações!N7:N46,"Vencida: risco ao certificado")</f>
        <v>0</v>
      </c>
      <c r="D24" s="30" t="s">
        <v>178</v>
      </c>
      <c r="E24" s="30"/>
      <c r="F24" s="30"/>
    </row>
    <row r="25" customFormat="false" ht="21.75" hidden="false" customHeight="true" outlineLevel="0" collapsed="false">
      <c r="B25" s="4" t="s">
        <v>179</v>
      </c>
      <c r="C25" s="32" t="n">
        <f aca="false">COUNTIF(Constatações!N7:N46,"Aguarda verificação")</f>
        <v>0</v>
      </c>
      <c r="D25" s="30" t="s">
        <v>180</v>
      </c>
      <c r="E25" s="30"/>
      <c r="F25" s="30"/>
    </row>
    <row r="26" customFormat="false" ht="21.75" hidden="false" customHeight="true" outlineLevel="0" collapsed="false">
      <c r="B26" s="4" t="s">
        <v>181</v>
      </c>
      <c r="C26" s="32" t="n">
        <f aca="false">SUMPRODUCT((Prontidão!L7:L20&lt;&gt;"")*(Prontidão!L7:L20&lt;&gt;"OK"))+SUMPRODUCT((Constatações!O7:O46&lt;&gt;"")*(Constatações!O7:O46&lt;&gt;"OK"))</f>
        <v>14</v>
      </c>
      <c r="D26" s="30" t="s">
        <v>182</v>
      </c>
      <c r="E26" s="30"/>
      <c r="F26" s="30"/>
    </row>
    <row r="28" customFormat="false" ht="21.75" hidden="false" customHeight="true" outlineLevel="0" collapsed="false">
      <c r="B28" s="17" t="s">
        <v>90</v>
      </c>
      <c r="C28" s="17"/>
      <c r="D28" s="17"/>
      <c r="E28" s="17"/>
      <c r="F28" s="17"/>
    </row>
    <row r="29" customFormat="false" ht="21.75" hidden="false" customHeight="true" outlineLevel="0" collapsed="false">
      <c r="B29" s="4" t="s">
        <v>95</v>
      </c>
      <c r="C29" s="21" t="str">
        <f aca="false">IF(AND(COUNTA(Prontidão!F7:F20)=0,Ciclo!D6="",C20=0),"Preencha as abas Prontidão, Ciclo e Constatações",IF(C24&gt;0,"Há NC maior vencida: o certificado está em risco",IF(C23&gt;0,"Há plano atrasado: envie ao organismo",IF(C17&gt;0,"Há evento do ciclo atrasado",IF(N(C9)+N(C10)&gt;0,"Há impeditivo pendente na prontidão",IF(C18&gt;0,"Há evento que vence em 60 dias",IF(C22&gt;0,"Há NC maior aberta: feche antes da decisão",IF(C26&gt;0,"Há linha a completar: veja as conferências","OK"))))))))</f>
        <v>Preencha as abas Prontidão, Ciclo e Constatações</v>
      </c>
      <c r="D29" s="21"/>
      <c r="E29" s="21"/>
      <c r="F29" s="21"/>
    </row>
    <row r="31" customFormat="false" ht="15" hidden="false" customHeight="false" outlineLevel="0" collapsed="false">
      <c r="B31" s="33" t="s">
        <v>183</v>
      </c>
    </row>
    <row r="32" customFormat="false" ht="15" hidden="false" customHeight="false" outlineLevel="0" collapsed="false">
      <c r="B32" s="11" t="s">
        <v>184</v>
      </c>
      <c r="C32" s="15" t="n">
        <f aca="false">COUNTIF(Constatações!F7:F46,B32)</f>
        <v>0</v>
      </c>
    </row>
    <row r="33" customFormat="false" ht="15" hidden="false" customHeight="false" outlineLevel="0" collapsed="false">
      <c r="B33" s="11" t="s">
        <v>142</v>
      </c>
      <c r="C33" s="15" t="n">
        <f aca="false">COUNTIF(Constatações!F7:F46,B33)</f>
        <v>0</v>
      </c>
    </row>
    <row r="34" customFormat="false" ht="15" hidden="false" customHeight="false" outlineLevel="0" collapsed="false">
      <c r="B34" s="11" t="s">
        <v>185</v>
      </c>
      <c r="C34" s="15" t="n">
        <f aca="false">COUNTIF(Constatações!F7:F46,B34)</f>
        <v>0</v>
      </c>
    </row>
    <row r="35" customFormat="false" ht="15" hidden="false" customHeight="false" outlineLevel="0" collapsed="false">
      <c r="B35" s="11" t="s">
        <v>186</v>
      </c>
      <c r="C35" s="15" t="n">
        <f aca="false">COUNTIF(Constatações!F7:F46,B35)</f>
        <v>0</v>
      </c>
    </row>
  </sheetData>
  <mergeCells count="27">
    <mergeCell ref="B1:F1"/>
    <mergeCell ref="B2:F2"/>
    <mergeCell ref="C3:F3"/>
    <mergeCell ref="D5:F5"/>
    <mergeCell ref="B6:F6"/>
    <mergeCell ref="D7:F7"/>
    <mergeCell ref="D8:F8"/>
    <mergeCell ref="D9:F9"/>
    <mergeCell ref="D10:F10"/>
    <mergeCell ref="D11:F11"/>
    <mergeCell ref="B12:F12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D23:F23"/>
    <mergeCell ref="D24:F24"/>
    <mergeCell ref="D25:F25"/>
    <mergeCell ref="D26:F26"/>
    <mergeCell ref="B28:F28"/>
    <mergeCell ref="C29:F29"/>
  </mergeCells>
  <conditionalFormatting sqref="C29:F29">
    <cfRule type="expression" priority="2" aboveAverage="0" equalAverage="0" bottom="0" percent="0" rank="0" text="" dxfId="0">
      <formula>OR(C29="OK")</formula>
    </cfRule>
    <cfRule type="expression" priority="3" aboveAverage="0" equalAverage="0" bottom="0" percent="0" rank="0" text="" dxfId="1">
      <formula>AND(LEN(C29)&gt;0,NOT(OR(C29="OK")))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187</v>
      </c>
      <c r="C1" s="1"/>
      <c r="D1" s="1"/>
      <c r="E1" s="1"/>
    </row>
    <row r="2" customFormat="false" ht="19.5" hidden="false" customHeight="true" outlineLevel="0" collapsed="false">
      <c r="B2" s="2" t="s">
        <v>188</v>
      </c>
      <c r="C2" s="2"/>
      <c r="D2" s="2"/>
      <c r="E2" s="2"/>
    </row>
    <row r="4" customFormat="false" ht="21.75" hidden="false" customHeight="true" outlineLevel="0" collapsed="false">
      <c r="B4" s="9" t="s">
        <v>61</v>
      </c>
      <c r="C4" s="9" t="s">
        <v>189</v>
      </c>
      <c r="D4" s="9" t="s">
        <v>65</v>
      </c>
      <c r="E4" s="9" t="s">
        <v>190</v>
      </c>
    </row>
    <row r="5" customFormat="false" ht="30" hidden="false" customHeight="true" outlineLevel="0" collapsed="false">
      <c r="B5" s="10" t="n">
        <v>1</v>
      </c>
      <c r="C5" s="6" t="s">
        <v>191</v>
      </c>
      <c r="D5" s="14"/>
      <c r="E5" s="5"/>
    </row>
    <row r="6" customFormat="false" ht="30" hidden="false" customHeight="true" outlineLevel="0" collapsed="false">
      <c r="B6" s="10" t="n">
        <v>2</v>
      </c>
      <c r="C6" s="6" t="s">
        <v>192</v>
      </c>
      <c r="D6" s="14"/>
      <c r="E6" s="5"/>
    </row>
    <row r="7" customFormat="false" ht="30" hidden="false" customHeight="true" outlineLevel="0" collapsed="false">
      <c r="B7" s="10" t="n">
        <v>3</v>
      </c>
      <c r="C7" s="6" t="s">
        <v>193</v>
      </c>
      <c r="D7" s="14"/>
      <c r="E7" s="5"/>
    </row>
    <row r="8" customFormat="false" ht="30" hidden="false" customHeight="true" outlineLevel="0" collapsed="false">
      <c r="B8" s="10" t="n">
        <v>4</v>
      </c>
      <c r="C8" s="6" t="s">
        <v>194</v>
      </c>
      <c r="D8" s="14"/>
      <c r="E8" s="5"/>
    </row>
    <row r="9" customFormat="false" ht="30" hidden="false" customHeight="true" outlineLevel="0" collapsed="false">
      <c r="B9" s="10" t="n">
        <v>5</v>
      </c>
      <c r="C9" s="6" t="s">
        <v>195</v>
      </c>
      <c r="D9" s="14"/>
      <c r="E9" s="5"/>
    </row>
    <row r="10" customFormat="false" ht="30" hidden="false" customHeight="true" outlineLevel="0" collapsed="false">
      <c r="B10" s="10" t="n">
        <v>6</v>
      </c>
      <c r="C10" s="6" t="s">
        <v>196</v>
      </c>
      <c r="D10" s="14"/>
      <c r="E10" s="5"/>
    </row>
    <row r="11" customFormat="false" ht="30" hidden="false" customHeight="true" outlineLevel="0" collapsed="false">
      <c r="B11" s="10" t="n">
        <v>7</v>
      </c>
      <c r="C11" s="6" t="s">
        <v>197</v>
      </c>
      <c r="D11" s="14"/>
      <c r="E11" s="5"/>
    </row>
    <row r="12" customFormat="false" ht="30" hidden="false" customHeight="true" outlineLevel="0" collapsed="false">
      <c r="B12" s="10" t="n">
        <v>8</v>
      </c>
      <c r="C12" s="6" t="s">
        <v>198</v>
      </c>
      <c r="D12" s="14"/>
      <c r="E12" s="5"/>
    </row>
    <row r="13" customFormat="false" ht="30" hidden="false" customHeight="true" outlineLevel="0" collapsed="false">
      <c r="B13" s="10" t="n">
        <v>9</v>
      </c>
      <c r="C13" s="6" t="s">
        <v>199</v>
      </c>
      <c r="D13" s="14"/>
      <c r="E13" s="5"/>
    </row>
    <row r="14" customFormat="false" ht="30" hidden="false" customHeight="true" outlineLevel="0" collapsed="false">
      <c r="B14" s="10" t="n">
        <v>10</v>
      </c>
      <c r="C14" s="6" t="s">
        <v>200</v>
      </c>
      <c r="D14" s="14"/>
      <c r="E14" s="5"/>
    </row>
    <row r="15" customFormat="false" ht="30" hidden="false" customHeight="true" outlineLevel="0" collapsed="false">
      <c r="B15" s="10" t="n">
        <v>11</v>
      </c>
      <c r="C15" s="6" t="s">
        <v>201</v>
      </c>
      <c r="D15" s="14"/>
      <c r="E15" s="5"/>
    </row>
    <row r="16" customFormat="false" ht="30" hidden="false" customHeight="true" outlineLevel="0" collapsed="false">
      <c r="B16" s="10" t="n">
        <v>12</v>
      </c>
      <c r="C16" s="6" t="s">
        <v>202</v>
      </c>
      <c r="D16" s="14"/>
      <c r="E16" s="5"/>
    </row>
    <row r="18" customFormat="false" ht="21.75" hidden="false" customHeight="true" outlineLevel="0" collapsed="false">
      <c r="B18" s="17" t="s">
        <v>90</v>
      </c>
      <c r="C18" s="17"/>
      <c r="D18" s="17"/>
      <c r="E18" s="17"/>
    </row>
    <row r="19" customFormat="false" ht="19.5" hidden="false" customHeight="true" outlineLevel="0" collapsed="false">
      <c r="B19" s="18" t="s">
        <v>203</v>
      </c>
      <c r="C19" s="18"/>
      <c r="D19" s="32" t="n">
        <f aca="false">COUNTIF(D5:D16,"Sim")</f>
        <v>0</v>
      </c>
    </row>
    <row r="20" customFormat="false" ht="19.5" hidden="false" customHeight="true" outlineLevel="0" collapsed="false">
      <c r="B20" s="18" t="s">
        <v>204</v>
      </c>
      <c r="C20" s="18"/>
      <c r="D20" s="32" t="n">
        <f aca="false">COUNTIF(D5:D16,"Parcial")</f>
        <v>0</v>
      </c>
    </row>
    <row r="21" customFormat="false" ht="19.5" hidden="false" customHeight="true" outlineLevel="0" collapsed="false">
      <c r="B21" s="18" t="s">
        <v>205</v>
      </c>
      <c r="C21" s="18"/>
      <c r="D21" s="32" t="n">
        <f aca="false">COUNTIF(D5:D16,"Não")</f>
        <v>0</v>
      </c>
    </row>
    <row r="22" customFormat="false" ht="19.5" hidden="false" customHeight="true" outlineLevel="0" collapsed="false">
      <c r="B22" s="18" t="s">
        <v>206</v>
      </c>
      <c r="C22" s="18"/>
      <c r="D22" s="32" t="n">
        <f aca="false">COUNTBLANK(D5:D16)</f>
        <v>12</v>
      </c>
    </row>
    <row r="23" customFormat="false" ht="19.5" hidden="false" customHeight="true" outlineLevel="0" collapsed="false">
      <c r="B23" s="18" t="s">
        <v>91</v>
      </c>
      <c r="C23" s="18"/>
      <c r="D23" s="31" t="n">
        <f aca="false">D19/ROWS(D5:D16)</f>
        <v>0</v>
      </c>
    </row>
    <row r="24" customFormat="false" ht="19.5" hidden="false" customHeight="true" outlineLevel="0" collapsed="false">
      <c r="B24" s="18" t="s">
        <v>112</v>
      </c>
      <c r="C24" s="18"/>
      <c r="D24" s="32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3" min="10" style="0" width="12"/>
    <col collapsed="false" customWidth="true" hidden="false" outlineLevel="0" max="14" min="14" style="0" width="24"/>
    <col collapsed="false" customWidth="true" hidden="false" outlineLevel="0" max="15" min="15" style="0" width="28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207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208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B4" s="4" t="s">
        <v>209</v>
      </c>
      <c r="C4" s="4"/>
      <c r="D4" s="34" t="s">
        <v>210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customFormat="false" ht="19.5" hidden="false" customHeight="true" outlineLevel="0" collapsed="false">
      <c r="B5" s="4" t="s">
        <v>211</v>
      </c>
      <c r="C5" s="4"/>
      <c r="D5" s="34" t="s">
        <v>212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customFormat="false" ht="19.5" hidden="false" customHeight="true" outlineLevel="0" collapsed="false">
      <c r="B6" s="4" t="s">
        <v>98</v>
      </c>
      <c r="C6" s="4"/>
      <c r="D6" s="34" t="s">
        <v>213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customFormat="false" ht="19.5" hidden="false" customHeight="true" outlineLevel="0" collapsed="false">
      <c r="B7" s="4" t="s">
        <v>214</v>
      </c>
      <c r="C7" s="4"/>
      <c r="D7" s="34" t="s">
        <v>215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customFormat="false" ht="15" hidden="false" customHeight="true" outlineLevel="0" collapsed="false">
      <c r="B8" s="4" t="s">
        <v>216</v>
      </c>
      <c r="C8" s="4"/>
      <c r="D8" s="35" t="n">
        <v>46721</v>
      </c>
    </row>
    <row r="9" customFormat="false" ht="15" hidden="false" customHeight="true" outlineLevel="0" collapsed="false">
      <c r="B9" s="4" t="s">
        <v>100</v>
      </c>
      <c r="C9" s="4"/>
      <c r="D9" s="36" t="s">
        <v>217</v>
      </c>
    </row>
    <row r="10" customFormat="false" ht="15" hidden="false" customHeight="true" outlineLevel="0" collapsed="false">
      <c r="B10" s="4" t="s">
        <v>218</v>
      </c>
      <c r="C10" s="4"/>
      <c r="D10" s="35" t="n">
        <v>46868</v>
      </c>
    </row>
    <row r="11" customFormat="false" ht="15" hidden="false" customHeight="true" outlineLevel="0" collapsed="false">
      <c r="B11" s="4" t="s">
        <v>219</v>
      </c>
      <c r="C11" s="4"/>
      <c r="D11" s="35" t="n">
        <v>46904</v>
      </c>
    </row>
    <row r="12" customFormat="false" ht="15" hidden="false" customHeight="true" outlineLevel="0" collapsed="false">
      <c r="B12" s="4" t="s">
        <v>106</v>
      </c>
      <c r="C12" s="4"/>
      <c r="D12" s="35" t="n">
        <v>47391</v>
      </c>
    </row>
    <row r="13" customFormat="false" ht="15" hidden="false" customHeight="true" outlineLevel="0" collapsed="false">
      <c r="B13" s="4" t="s">
        <v>108</v>
      </c>
      <c r="C13" s="4"/>
      <c r="D13" s="23" t="n">
        <f aca="false">IF($D$10="","",EDATE($D$10,36)-1)</f>
        <v>47962</v>
      </c>
    </row>
    <row r="15" customFormat="false" ht="21.75" hidden="false" customHeight="true" outlineLevel="0" collapsed="false">
      <c r="B15" s="37" t="s">
        <v>14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customFormat="false" ht="30" hidden="false" customHeight="true" outlineLevel="0" collapsed="false">
      <c r="B16" s="32" t="s">
        <v>61</v>
      </c>
      <c r="C16" s="32" t="s">
        <v>62</v>
      </c>
      <c r="D16" s="32" t="s">
        <v>63</v>
      </c>
      <c r="E16" s="32" t="s">
        <v>64</v>
      </c>
      <c r="F16" s="32" t="s">
        <v>65</v>
      </c>
      <c r="G16" s="32" t="s">
        <v>66</v>
      </c>
      <c r="H16" s="32" t="s">
        <v>220</v>
      </c>
      <c r="I16" s="32" t="s">
        <v>68</v>
      </c>
      <c r="J16" s="32" t="s">
        <v>69</v>
      </c>
      <c r="K16" s="32" t="s">
        <v>70</v>
      </c>
      <c r="L16" s="38" t="s">
        <v>71</v>
      </c>
      <c r="M16" s="38"/>
      <c r="N16" s="38"/>
      <c r="O16" s="38"/>
    </row>
    <row r="17" customFormat="false" ht="30.75" hidden="false" customHeight="true" outlineLevel="0" collapsed="false">
      <c r="B17" s="10" t="n">
        <v>1</v>
      </c>
      <c r="C17" s="11" t="s">
        <v>72</v>
      </c>
      <c r="D17" s="12" t="s">
        <v>73</v>
      </c>
      <c r="E17" s="13" t="s">
        <v>74</v>
      </c>
      <c r="F17" s="39" t="s">
        <v>74</v>
      </c>
      <c r="G17" s="40" t="s">
        <v>221</v>
      </c>
      <c r="H17" s="40"/>
      <c r="I17" s="40"/>
      <c r="J17" s="41"/>
      <c r="K17" s="15" t="n">
        <f aca="false">IF(F17="","",IF(F17="Sim",1,IF(F17="Parcial",0.5,0)))</f>
        <v>1</v>
      </c>
      <c r="L17" s="16" t="str">
        <f aca="false">IF(F17="","Falta o status",IF(AND(F17&lt;&gt;"Sim",H17=""),"Falta a ação",IF(AND(F17&lt;&gt;"Sim",J17=""),"Falta o prazo",IF(AND(F17="Sim",G17=""),"Falta a evidência","OK"))))</f>
        <v>OK</v>
      </c>
      <c r="M17" s="16"/>
      <c r="N17" s="16"/>
      <c r="O17" s="16"/>
    </row>
    <row r="18" customFormat="false" ht="30.75" hidden="false" customHeight="true" outlineLevel="0" collapsed="false">
      <c r="B18" s="10" t="n">
        <v>2</v>
      </c>
      <c r="C18" s="11" t="s">
        <v>75</v>
      </c>
      <c r="D18" s="12" t="s">
        <v>73</v>
      </c>
      <c r="E18" s="13" t="s">
        <v>74</v>
      </c>
      <c r="F18" s="39" t="s">
        <v>74</v>
      </c>
      <c r="G18" s="40" t="s">
        <v>222</v>
      </c>
      <c r="H18" s="40"/>
      <c r="I18" s="40"/>
      <c r="J18" s="41"/>
      <c r="K18" s="15" t="n">
        <f aca="false">IF(F18="","",IF(F18="Sim",1,IF(F18="Parcial",0.5,0)))</f>
        <v>1</v>
      </c>
      <c r="L18" s="16" t="str">
        <f aca="false">IF(F18="","Falta o status",IF(AND(F18&lt;&gt;"Sim",H18=""),"Falta a ação",IF(AND(F18&lt;&gt;"Sim",J18=""),"Falta o prazo",IF(AND(F18="Sim",G18=""),"Falta a evidência","OK"))))</f>
        <v>OK</v>
      </c>
      <c r="M18" s="16"/>
      <c r="N18" s="16"/>
      <c r="O18" s="16"/>
    </row>
    <row r="19" customFormat="false" ht="30.75" hidden="false" customHeight="true" outlineLevel="0" collapsed="false">
      <c r="B19" s="10" t="n">
        <v>3</v>
      </c>
      <c r="C19" s="11" t="s">
        <v>76</v>
      </c>
      <c r="D19" s="12" t="s">
        <v>73</v>
      </c>
      <c r="E19" s="13" t="s">
        <v>74</v>
      </c>
      <c r="F19" s="39" t="s">
        <v>74</v>
      </c>
      <c r="G19" s="40" t="s">
        <v>223</v>
      </c>
      <c r="H19" s="40"/>
      <c r="I19" s="40"/>
      <c r="J19" s="41"/>
      <c r="K19" s="15" t="n">
        <f aca="false">IF(F19="","",IF(F19="Sim",1,IF(F19="Parcial",0.5,0)))</f>
        <v>1</v>
      </c>
      <c r="L19" s="16" t="str">
        <f aca="false">IF(F19="","Falta o status",IF(AND(F19&lt;&gt;"Sim",H19=""),"Falta a ação",IF(AND(F19&lt;&gt;"Sim",J19=""),"Falta o prazo",IF(AND(F19="Sim",G19=""),"Falta a evidência","OK"))))</f>
        <v>OK</v>
      </c>
      <c r="M19" s="16"/>
      <c r="N19" s="16"/>
      <c r="O19" s="16"/>
    </row>
    <row r="20" customFormat="false" ht="30.75" hidden="false" customHeight="true" outlineLevel="0" collapsed="false">
      <c r="B20" s="10" t="n">
        <v>4</v>
      </c>
      <c r="C20" s="11" t="s">
        <v>77</v>
      </c>
      <c r="D20" s="12" t="s">
        <v>73</v>
      </c>
      <c r="E20" s="13" t="s">
        <v>74</v>
      </c>
      <c r="F20" s="39" t="s">
        <v>224</v>
      </c>
      <c r="G20" s="40" t="s">
        <v>225</v>
      </c>
      <c r="H20" s="40" t="s">
        <v>226</v>
      </c>
      <c r="I20" s="40" t="s">
        <v>227</v>
      </c>
      <c r="J20" s="41" t="n">
        <v>46731</v>
      </c>
      <c r="K20" s="15" t="n">
        <f aca="false">IF(F20="","",IF(F20="Sim",1,IF(F20="Parcial",0.5,0)))</f>
        <v>0.5</v>
      </c>
      <c r="L20" s="16" t="str">
        <f aca="false">IF(F20="","Falta o status",IF(AND(F20&lt;&gt;"Sim",H20=""),"Falta a ação",IF(AND(F20&lt;&gt;"Sim",J20=""),"Falta o prazo",IF(AND(F20="Sim",G20=""),"Falta a evidência","OK"))))</f>
        <v>OK</v>
      </c>
      <c r="M20" s="16"/>
      <c r="N20" s="16"/>
      <c r="O20" s="16"/>
    </row>
    <row r="21" customFormat="false" ht="30.75" hidden="false" customHeight="true" outlineLevel="0" collapsed="false">
      <c r="B21" s="10" t="n">
        <v>5</v>
      </c>
      <c r="C21" s="11" t="s">
        <v>78</v>
      </c>
      <c r="D21" s="12" t="s">
        <v>73</v>
      </c>
      <c r="E21" s="12" t="s">
        <v>79</v>
      </c>
      <c r="F21" s="39" t="s">
        <v>228</v>
      </c>
      <c r="G21" s="40"/>
      <c r="H21" s="40" t="s">
        <v>229</v>
      </c>
      <c r="I21" s="40" t="s">
        <v>230</v>
      </c>
      <c r="J21" s="41" t="n">
        <v>46736</v>
      </c>
      <c r="K21" s="15" t="n">
        <f aca="false">IF(F21="","",IF(F21="Sim",1,IF(F21="Parcial",0.5,0)))</f>
        <v>0</v>
      </c>
      <c r="L21" s="16" t="str">
        <f aca="false">IF(F21="","Falta o status",IF(AND(F21&lt;&gt;"Sim",H21=""),"Falta a ação",IF(AND(F21&lt;&gt;"Sim",J21=""),"Falta o prazo",IF(AND(F21="Sim",G21=""),"Falta a evidência","OK"))))</f>
        <v>OK</v>
      </c>
      <c r="M21" s="16"/>
      <c r="N21" s="16"/>
      <c r="O21" s="16"/>
    </row>
    <row r="22" customFormat="false" ht="30.75" hidden="false" customHeight="true" outlineLevel="0" collapsed="false">
      <c r="B22" s="10" t="n">
        <v>6</v>
      </c>
      <c r="C22" s="11" t="s">
        <v>80</v>
      </c>
      <c r="D22" s="12" t="s">
        <v>81</v>
      </c>
      <c r="E22" s="13" t="s">
        <v>74</v>
      </c>
      <c r="F22" s="39" t="s">
        <v>74</v>
      </c>
      <c r="G22" s="40" t="s">
        <v>231</v>
      </c>
      <c r="H22" s="40"/>
      <c r="I22" s="40"/>
      <c r="J22" s="41"/>
      <c r="K22" s="15" t="n">
        <f aca="false">IF(F22="","",IF(F22="Sim",1,IF(F22="Parcial",0.5,0)))</f>
        <v>1</v>
      </c>
      <c r="L22" s="16" t="str">
        <f aca="false">IF(F22="","Falta o status",IF(AND(F22&lt;&gt;"Sim",H22=""),"Falta a ação",IF(AND(F22&lt;&gt;"Sim",J22=""),"Falta o prazo",IF(AND(F22="Sim",G22=""),"Falta a evidência","OK"))))</f>
        <v>OK</v>
      </c>
      <c r="M22" s="16"/>
      <c r="N22" s="16"/>
      <c r="O22" s="16"/>
    </row>
    <row r="23" customFormat="false" ht="30.75" hidden="false" customHeight="true" outlineLevel="0" collapsed="false">
      <c r="B23" s="10" t="n">
        <v>7</v>
      </c>
      <c r="C23" s="11" t="s">
        <v>82</v>
      </c>
      <c r="D23" s="12" t="s">
        <v>81</v>
      </c>
      <c r="E23" s="13" t="s">
        <v>74</v>
      </c>
      <c r="F23" s="39" t="s">
        <v>224</v>
      </c>
      <c r="G23" s="40" t="s">
        <v>232</v>
      </c>
      <c r="H23" s="40" t="s">
        <v>233</v>
      </c>
      <c r="I23" s="40" t="s">
        <v>234</v>
      </c>
      <c r="J23" s="41" t="n">
        <v>46783</v>
      </c>
      <c r="K23" s="15" t="n">
        <f aca="false">IF(F23="","",IF(F23="Sim",1,IF(F23="Parcial",0.5,0)))</f>
        <v>0.5</v>
      </c>
      <c r="L23" s="16" t="str">
        <f aca="false">IF(F23="","Falta o status",IF(AND(F23&lt;&gt;"Sim",H23=""),"Falta a ação",IF(AND(F23&lt;&gt;"Sim",J23=""),"Falta o prazo",IF(AND(F23="Sim",G23=""),"Falta a evidência","OK"))))</f>
        <v>OK</v>
      </c>
      <c r="M23" s="16"/>
      <c r="N23" s="16"/>
      <c r="O23" s="16"/>
    </row>
    <row r="24" customFormat="false" ht="30.75" hidden="false" customHeight="true" outlineLevel="0" collapsed="false">
      <c r="B24" s="10" t="n">
        <v>8</v>
      </c>
      <c r="C24" s="11" t="s">
        <v>83</v>
      </c>
      <c r="D24" s="12" t="s">
        <v>81</v>
      </c>
      <c r="E24" s="13" t="s">
        <v>74</v>
      </c>
      <c r="F24" s="39" t="s">
        <v>74</v>
      </c>
      <c r="G24" s="40" t="s">
        <v>235</v>
      </c>
      <c r="H24" s="40"/>
      <c r="I24" s="40"/>
      <c r="J24" s="41"/>
      <c r="K24" s="15" t="n">
        <f aca="false">IF(F24="","",IF(F24="Sim",1,IF(F24="Parcial",0.5,0)))</f>
        <v>1</v>
      </c>
      <c r="L24" s="16" t="str">
        <f aca="false">IF(F24="","Falta o status",IF(AND(F24&lt;&gt;"Sim",H24=""),"Falta a ação",IF(AND(F24&lt;&gt;"Sim",J24=""),"Falta o prazo",IF(AND(F24="Sim",G24=""),"Falta a evidência","OK"))))</f>
        <v>OK</v>
      </c>
      <c r="M24" s="16"/>
      <c r="N24" s="16"/>
      <c r="O24" s="16"/>
    </row>
    <row r="25" customFormat="false" ht="30.75" hidden="false" customHeight="true" outlineLevel="0" collapsed="false">
      <c r="B25" s="10" t="n">
        <v>9</v>
      </c>
      <c r="C25" s="11" t="s">
        <v>84</v>
      </c>
      <c r="D25" s="12" t="s">
        <v>81</v>
      </c>
      <c r="E25" s="13" t="s">
        <v>74</v>
      </c>
      <c r="F25" s="39" t="s">
        <v>74</v>
      </c>
      <c r="G25" s="40" t="s">
        <v>236</v>
      </c>
      <c r="H25" s="40"/>
      <c r="I25" s="40"/>
      <c r="J25" s="41"/>
      <c r="K25" s="15" t="n">
        <f aca="false">IF(F25="","",IF(F25="Sim",1,IF(F25="Parcial",0.5,0)))</f>
        <v>1</v>
      </c>
      <c r="L25" s="16" t="str">
        <f aca="false">IF(F25="","Falta o status",IF(AND(F25&lt;&gt;"Sim",H25=""),"Falta a ação",IF(AND(F25&lt;&gt;"Sim",J25=""),"Falta o prazo",IF(AND(F25="Sim",G25=""),"Falta a evidência","OK"))))</f>
        <v>OK</v>
      </c>
      <c r="M25" s="16"/>
      <c r="N25" s="16"/>
      <c r="O25" s="16"/>
    </row>
    <row r="26" customFormat="false" ht="30.75" hidden="false" customHeight="true" outlineLevel="0" collapsed="false">
      <c r="B26" s="10" t="n">
        <v>10</v>
      </c>
      <c r="C26" s="11" t="s">
        <v>85</v>
      </c>
      <c r="D26" s="12" t="s">
        <v>81</v>
      </c>
      <c r="E26" s="12" t="s">
        <v>79</v>
      </c>
      <c r="F26" s="39" t="s">
        <v>74</v>
      </c>
      <c r="G26" s="40" t="s">
        <v>237</v>
      </c>
      <c r="H26" s="40"/>
      <c r="I26" s="40"/>
      <c r="J26" s="41"/>
      <c r="K26" s="15" t="n">
        <f aca="false">IF(F26="","",IF(F26="Sim",1,IF(F26="Parcial",0.5,0)))</f>
        <v>1</v>
      </c>
      <c r="L26" s="16" t="str">
        <f aca="false">IF(F26="","Falta o status",IF(AND(F26&lt;&gt;"Sim",H26=""),"Falta a ação",IF(AND(F26&lt;&gt;"Sim",J26=""),"Falta o prazo",IF(AND(F26="Sim",G26=""),"Falta a evidência","OK"))))</f>
        <v>OK</v>
      </c>
      <c r="M26" s="16"/>
      <c r="N26" s="16"/>
      <c r="O26" s="16"/>
    </row>
    <row r="27" customFormat="false" ht="30.75" hidden="false" customHeight="true" outlineLevel="0" collapsed="false">
      <c r="B27" s="10" t="n">
        <v>11</v>
      </c>
      <c r="C27" s="11" t="s">
        <v>86</v>
      </c>
      <c r="D27" s="12" t="s">
        <v>81</v>
      </c>
      <c r="E27" s="12" t="s">
        <v>79</v>
      </c>
      <c r="F27" s="39" t="s">
        <v>224</v>
      </c>
      <c r="G27" s="40" t="s">
        <v>238</v>
      </c>
      <c r="H27" s="40" t="s">
        <v>239</v>
      </c>
      <c r="I27" s="40" t="s">
        <v>227</v>
      </c>
      <c r="J27" s="41" t="n">
        <v>46767</v>
      </c>
      <c r="K27" s="15" t="n">
        <f aca="false">IF(F27="","",IF(F27="Sim",1,IF(F27="Parcial",0.5,0)))</f>
        <v>0.5</v>
      </c>
      <c r="L27" s="16" t="str">
        <f aca="false">IF(F27="","Falta o status",IF(AND(F27&lt;&gt;"Sim",H27=""),"Falta a ação",IF(AND(F27&lt;&gt;"Sim",J27=""),"Falta o prazo",IF(AND(F27="Sim",G27=""),"Falta a evidência","OK"))))</f>
        <v>OK</v>
      </c>
      <c r="M27" s="16"/>
      <c r="N27" s="16"/>
      <c r="O27" s="16"/>
    </row>
    <row r="28" customFormat="false" ht="30.75" hidden="false" customHeight="true" outlineLevel="0" collapsed="false">
      <c r="B28" s="10" t="n">
        <v>12</v>
      </c>
      <c r="C28" s="11" t="s">
        <v>87</v>
      </c>
      <c r="D28" s="12" t="s">
        <v>81</v>
      </c>
      <c r="E28" s="12" t="s">
        <v>79</v>
      </c>
      <c r="F28" s="39" t="s">
        <v>74</v>
      </c>
      <c r="G28" s="40" t="s">
        <v>240</v>
      </c>
      <c r="H28" s="40"/>
      <c r="I28" s="40"/>
      <c r="J28" s="41"/>
      <c r="K28" s="15" t="n">
        <f aca="false">IF(F28="","",IF(F28="Sim",1,IF(F28="Parcial",0.5,0)))</f>
        <v>1</v>
      </c>
      <c r="L28" s="16" t="str">
        <f aca="false">IF(F28="","Falta o status",IF(AND(F28&lt;&gt;"Sim",H28=""),"Falta a ação",IF(AND(F28&lt;&gt;"Sim",J28=""),"Falta o prazo",IF(AND(F28="Sim",G28=""),"Falta a evidência","OK"))))</f>
        <v>OK</v>
      </c>
      <c r="M28" s="16"/>
      <c r="N28" s="16"/>
      <c r="O28" s="16"/>
    </row>
    <row r="29" customFormat="false" ht="30.75" hidden="false" customHeight="true" outlineLevel="0" collapsed="false">
      <c r="B29" s="10" t="n">
        <v>13</v>
      </c>
      <c r="C29" s="11" t="s">
        <v>88</v>
      </c>
      <c r="D29" s="12" t="s">
        <v>81</v>
      </c>
      <c r="E29" s="12" t="s">
        <v>79</v>
      </c>
      <c r="F29" s="39" t="s">
        <v>224</v>
      </c>
      <c r="G29" s="40" t="s">
        <v>241</v>
      </c>
      <c r="H29" s="40" t="s">
        <v>242</v>
      </c>
      <c r="I29" s="40" t="s">
        <v>243</v>
      </c>
      <c r="J29" s="41" t="n">
        <v>46731</v>
      </c>
      <c r="K29" s="15" t="n">
        <f aca="false">IF(F29="","",IF(F29="Sim",1,IF(F29="Parcial",0.5,0)))</f>
        <v>0.5</v>
      </c>
      <c r="L29" s="16" t="str">
        <f aca="false">IF(F29="","Falta o status",IF(AND(F29&lt;&gt;"Sim",H29=""),"Falta a ação",IF(AND(F29&lt;&gt;"Sim",J29=""),"Falta o prazo",IF(AND(F29="Sim",G29=""),"Falta a evidência","OK"))))</f>
        <v>OK</v>
      </c>
      <c r="M29" s="16"/>
      <c r="N29" s="16"/>
      <c r="O29" s="16"/>
    </row>
    <row r="30" customFormat="false" ht="30.75" hidden="false" customHeight="true" outlineLevel="0" collapsed="false">
      <c r="B30" s="10" t="n">
        <v>14</v>
      </c>
      <c r="C30" s="11" t="s">
        <v>89</v>
      </c>
      <c r="D30" s="12" t="s">
        <v>81</v>
      </c>
      <c r="E30" s="12" t="s">
        <v>79</v>
      </c>
      <c r="F30" s="39" t="s">
        <v>74</v>
      </c>
      <c r="G30" s="40" t="s">
        <v>244</v>
      </c>
      <c r="H30" s="40"/>
      <c r="I30" s="40"/>
      <c r="J30" s="41"/>
      <c r="K30" s="15" t="n">
        <f aca="false">IF(F30="","",IF(F30="Sim",1,IF(F30="Parcial",0.5,0)))</f>
        <v>1</v>
      </c>
      <c r="L30" s="16" t="str">
        <f aca="false">IF(F30="","Falta o status",IF(AND(F30&lt;&gt;"Sim",H30=""),"Falta a ação",IF(AND(F30&lt;&gt;"Sim",J30=""),"Falta o prazo",IF(AND(F30="Sim",G30=""),"Falta a evidência","OK"))))</f>
        <v>OK</v>
      </c>
      <c r="M30" s="16"/>
      <c r="N30" s="16"/>
      <c r="O30" s="16"/>
    </row>
    <row r="31" customFormat="false" ht="21.75" hidden="false" customHeight="true" outlineLevel="0" collapsed="false">
      <c r="B31" s="18" t="s">
        <v>91</v>
      </c>
      <c r="C31" s="18"/>
      <c r="D31" s="19" t="n">
        <f aca="false">IF(COUNTA(F17:F30)=0,"",SUM(K17:K30)/ROWS(K17:K30))</f>
        <v>0.785714285714286</v>
      </c>
      <c r="E31" s="19"/>
      <c r="F31" s="19"/>
    </row>
    <row r="32" customFormat="false" ht="21.75" hidden="false" customHeight="true" outlineLevel="0" collapsed="false">
      <c r="B32" s="18" t="s">
        <v>92</v>
      </c>
      <c r="C32" s="18"/>
      <c r="D32" s="20" t="n">
        <f aca="false">SUMPRODUCT((D17:D30="Fase 1")*(E17:E30="Sim")*(F17:F30&lt;&gt;"Sim"))</f>
        <v>1</v>
      </c>
      <c r="E32" s="20"/>
      <c r="F32" s="20"/>
    </row>
    <row r="33" customFormat="false" ht="21.75" hidden="false" customHeight="true" outlineLevel="0" collapsed="false">
      <c r="B33" s="18" t="s">
        <v>93</v>
      </c>
      <c r="C33" s="18"/>
      <c r="D33" s="20" t="n">
        <f aca="false">SUMPRODUCT((D17:D30="Fase 2")*(E17:E30="Sim")*(F17:F30&lt;&gt;"Sim"))</f>
        <v>1</v>
      </c>
      <c r="E33" s="20"/>
      <c r="F33" s="20"/>
    </row>
    <row r="34" customFormat="false" ht="21.75" hidden="false" customHeight="true" outlineLevel="0" collapsed="false">
      <c r="B34" s="18" t="s">
        <v>94</v>
      </c>
      <c r="C34" s="18"/>
      <c r="D34" s="20" t="str">
        <f aca="false">IF(COUNTA(F17:F30)=0,"",IF(SUMPRODUCT((D17:D30="Fase 1")*(E17:E30="Sim")*(F17:F30&lt;&gt;"Sim"))&gt;0,"Ainda não está pronta",IF(SUMPRODUCT((D17:D30="Fase 2")*(E17:E30="Sim")*(F17:F30&lt;&gt;"Sim"))&gt;0,"Pronta para a fase 1","Pronta para a fase 2")))</f>
        <v>Ainda não está pronta</v>
      </c>
      <c r="E34" s="20"/>
      <c r="F34" s="20"/>
    </row>
    <row r="36" customFormat="false" ht="21.75" hidden="false" customHeight="true" outlineLevel="0" collapsed="false">
      <c r="B36" s="42" t="s">
        <v>96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</row>
    <row r="37" customFormat="false" ht="30" hidden="false" customHeight="true" outlineLevel="0" collapsed="false">
      <c r="B37" s="32" t="s">
        <v>61</v>
      </c>
      <c r="C37" s="32" t="s">
        <v>109</v>
      </c>
      <c r="D37" s="32" t="s">
        <v>110</v>
      </c>
      <c r="E37" s="32" t="s">
        <v>111</v>
      </c>
      <c r="F37" s="32" t="s">
        <v>112</v>
      </c>
    </row>
    <row r="38" customFormat="false" ht="21.75" hidden="false" customHeight="true" outlineLevel="0" collapsed="false">
      <c r="B38" s="10" t="n">
        <v>1</v>
      </c>
      <c r="C38" s="4" t="s">
        <v>73</v>
      </c>
      <c r="D38" s="24" t="str">
        <f aca="false">""</f>
        <v/>
      </c>
      <c r="E38" s="41" t="n">
        <v>46798</v>
      </c>
      <c r="F38" s="25" t="str">
        <f aca="false">IF(E38="","Prevista","Realizada")</f>
        <v>Realizada</v>
      </c>
    </row>
    <row r="39" customFormat="false" ht="21.75" hidden="false" customHeight="true" outlineLevel="0" collapsed="false">
      <c r="B39" s="10" t="n">
        <v>2</v>
      </c>
      <c r="C39" s="4" t="s">
        <v>81</v>
      </c>
      <c r="D39" s="24" t="n">
        <f aca="false">IF(E38="","",EDATE(E38,6))</f>
        <v>46980</v>
      </c>
      <c r="E39" s="41" t="n">
        <v>46833</v>
      </c>
      <c r="F39" s="25" t="str">
        <f aca="false">IF(D39="","",IF(E39&lt;&gt;"",IF(E39&lt;=D39,"No prazo","Fora do prazo"),IF(N($D$11)=0,"",IF($D$11&gt;D39,"Atrasada",IF(D39-$D$11&lt;=60,"Vence em 60 dias","Prevista")))))</f>
        <v>No prazo</v>
      </c>
    </row>
    <row r="40" customFormat="false" ht="21.75" hidden="false" customHeight="true" outlineLevel="0" collapsed="false">
      <c r="B40" s="10" t="n">
        <v>3</v>
      </c>
      <c r="C40" s="4" t="s">
        <v>115</v>
      </c>
      <c r="D40" s="24" t="str">
        <f aca="false">""</f>
        <v/>
      </c>
      <c r="E40" s="24" t="n">
        <f aca="false">IF($D$10="","",$D$10)</f>
        <v>46868</v>
      </c>
      <c r="F40" s="25" t="str">
        <f aca="false">IF(E40="","Prevista","Realizada")</f>
        <v>Realizada</v>
      </c>
    </row>
    <row r="41" customFormat="false" ht="21.75" hidden="false" customHeight="true" outlineLevel="0" collapsed="false">
      <c r="B41" s="10" t="n">
        <v>4</v>
      </c>
      <c r="C41" s="4" t="s">
        <v>116</v>
      </c>
      <c r="D41" s="24" t="n">
        <f aca="false">IF($D$10="","",EDATE($D$10,12))</f>
        <v>47233</v>
      </c>
      <c r="E41" s="41"/>
      <c r="F41" s="25" t="str">
        <f aca="false">IF(D41="","",IF(E41&lt;&gt;"",IF(E41&lt;=D41,"No prazo","Fora do prazo"),IF(N($D$11)=0,"",IF($D$11&gt;D41,"Atrasada",IF(D41-$D$11&lt;=60,"Vence em 60 dias","Prevista")))))</f>
        <v>Prevista</v>
      </c>
    </row>
    <row r="42" customFormat="false" ht="21.75" hidden="false" customHeight="true" outlineLevel="0" collapsed="false">
      <c r="B42" s="10" t="n">
        <v>5</v>
      </c>
      <c r="C42" s="4" t="s">
        <v>117</v>
      </c>
      <c r="D42" s="24" t="n">
        <f aca="false">IF($D$10="","",EDATE($D$10,24))</f>
        <v>47598</v>
      </c>
      <c r="E42" s="41"/>
      <c r="F42" s="25" t="str">
        <f aca="false">IF(D42="","",IF(E42&lt;&gt;"",IF(E42&lt;=D42,"No prazo","Fora do prazo"),IF(N($D$11)=0,"",IF($D$11&gt;D42,"Atrasada",IF(D42-$D$11&lt;=60,"Vence em 60 dias","Prevista")))))</f>
        <v>Prevista</v>
      </c>
    </row>
    <row r="43" customFormat="false" ht="21.75" hidden="false" customHeight="true" outlineLevel="0" collapsed="false">
      <c r="B43" s="10" t="n">
        <v>6</v>
      </c>
      <c r="C43" s="4" t="s">
        <v>118</v>
      </c>
      <c r="D43" s="24" t="n">
        <f aca="false">IF($D$10="","",EDATE($D$10,33))</f>
        <v>47873</v>
      </c>
      <c r="E43" s="41"/>
      <c r="F43" s="25" t="str">
        <f aca="false">IF(D43="","",IF(E43&lt;&gt;"",IF(E43&lt;=D43,"No prazo","Fora do prazo"),IF(N($D$11)=0,"",IF($D$11&gt;D43,"Atrasada",IF(D43-$D$11&lt;=60,"Vence em 60 dias","Prevista")))))</f>
        <v>Prevista</v>
      </c>
    </row>
    <row r="44" customFormat="false" ht="21.75" hidden="false" customHeight="true" outlineLevel="0" collapsed="false">
      <c r="B44" s="10" t="n">
        <v>7</v>
      </c>
      <c r="C44" s="4" t="s">
        <v>119</v>
      </c>
      <c r="D44" s="24" t="str">
        <f aca="false">IF(OR($D$10="",$D$9&lt;&gt;"ISO 9001:2015"),"",MIN($D$12,$D$13))</f>
        <v/>
      </c>
      <c r="E44" s="41"/>
      <c r="F44" s="25" t="str">
        <f aca="false">IF($D$9&lt;&gt;"ISO 9001:2015","Não se aplica",IF(D44="","",IF(E44&lt;&gt;"",IF(E44&lt;=D44,"No prazo","Fora do prazo"),IF(N($D$11)=0,"",IF($D$11&gt;D44,"Atrasada",IF(D44-$D$11&lt;=60,"Vence em 60 dias","Prevista"))))))</f>
        <v>Não se aplica</v>
      </c>
    </row>
    <row r="46" customFormat="false" ht="21.75" hidden="false" customHeight="true" outlineLevel="0" collapsed="false">
      <c r="B46" s="43" t="s">
        <v>121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</row>
    <row r="47" customFormat="false" ht="30" hidden="false" customHeight="true" outlineLevel="0" collapsed="false">
      <c r="B47" s="32" t="s">
        <v>61</v>
      </c>
      <c r="C47" s="32" t="s">
        <v>123</v>
      </c>
      <c r="D47" s="32" t="s">
        <v>124</v>
      </c>
      <c r="E47" s="32" t="s">
        <v>125</v>
      </c>
      <c r="F47" s="32" t="s">
        <v>126</v>
      </c>
      <c r="G47" s="32" t="s">
        <v>127</v>
      </c>
      <c r="H47" s="32" t="s">
        <v>128</v>
      </c>
      <c r="I47" s="32" t="s">
        <v>129</v>
      </c>
      <c r="J47" s="32" t="s">
        <v>130</v>
      </c>
      <c r="K47" s="32" t="s">
        <v>131</v>
      </c>
      <c r="L47" s="32" t="s">
        <v>132</v>
      </c>
      <c r="M47" s="32" t="s">
        <v>133</v>
      </c>
      <c r="N47" s="32" t="s">
        <v>112</v>
      </c>
      <c r="O47" s="32" t="s">
        <v>71</v>
      </c>
    </row>
    <row r="48" customFormat="false" ht="30.75" hidden="false" customHeight="true" outlineLevel="0" collapsed="false">
      <c r="B48" s="10" t="n">
        <v>1</v>
      </c>
      <c r="C48" s="44" t="s">
        <v>245</v>
      </c>
      <c r="D48" s="45" t="s">
        <v>73</v>
      </c>
      <c r="E48" s="41" t="n">
        <v>46798</v>
      </c>
      <c r="F48" s="45" t="s">
        <v>186</v>
      </c>
      <c r="G48" s="39" t="s">
        <v>246</v>
      </c>
      <c r="H48" s="40" t="s">
        <v>247</v>
      </c>
      <c r="I48" s="41" t="n">
        <v>46803</v>
      </c>
      <c r="J48" s="41" t="n">
        <v>46813</v>
      </c>
      <c r="K48" s="41" t="n">
        <v>46814</v>
      </c>
      <c r="L48" s="24" t="str">
        <f aca="false">IF(OR(E48="",AND(F48&lt;&gt;"NC maior",F48&lt;&gt;"NC menor")),"",E48+30)</f>
        <v/>
      </c>
      <c r="M48" s="24" t="str">
        <f aca="false">IF(OR(E48="",F48&lt;&gt;"NC maior"),"",E48+90)</f>
        <v/>
      </c>
      <c r="N48" s="25" t="str">
        <f aca="false">IF(OR(F48="",E48=""),"",IF(OR(F48="Oportunidade de melhoria",F48="Ponto de atenção da fase 1"),IF(K48&lt;&gt;"","Fechada",IF(F48="Ponto de atenção da fase 1","Tratar antes da fase 2","Para considerar")),IF(K48&lt;&gt;"","Fechada",IF(AND(I48="",N($D$11)&gt;L48),"Plano atrasado",IF(AND(F48="NC maior",N($D$11)&gt;M48),"Vencida: risco ao certificado",IF(AND(F48="NC menor",I48&lt;&gt;""),"Aguarda verificação","Aberta no prazo"))))))</f>
        <v>Fechada</v>
      </c>
      <c r="O48" s="16" t="str">
        <f aca="false">IF(AND(C48="",COUNTA(D48:K48)=0),"",IF(E48="","Falta a data da auditoria",IF(F48="","Falta o tipo",IF(G48="","Falta o requisito",IF(H48="","Falta a descrição",IF(AND(I48&lt;&gt;"",I48&lt;E48),"Plano antes da auditoria",IF(AND(F48="NC maior",K48&lt;&gt;"",J48=""),"Falta a conclusão da ação","OK")))))))</f>
        <v>OK</v>
      </c>
    </row>
    <row r="49" customFormat="false" ht="42.75" hidden="false" customHeight="true" outlineLevel="0" collapsed="false">
      <c r="B49" s="10" t="n">
        <v>2</v>
      </c>
      <c r="C49" s="44" t="s">
        <v>248</v>
      </c>
      <c r="D49" s="45" t="s">
        <v>81</v>
      </c>
      <c r="E49" s="41" t="n">
        <v>46833</v>
      </c>
      <c r="F49" s="45" t="s">
        <v>142</v>
      </c>
      <c r="G49" s="39" t="s">
        <v>249</v>
      </c>
      <c r="H49" s="40" t="s">
        <v>250</v>
      </c>
      <c r="I49" s="41" t="n">
        <v>46853</v>
      </c>
      <c r="J49" s="41"/>
      <c r="K49" s="41"/>
      <c r="L49" s="24" t="n">
        <f aca="false">IF(OR(E49="",AND(F49&lt;&gt;"NC maior",F49&lt;&gt;"NC menor")),"",E49+30)</f>
        <v>46863</v>
      </c>
      <c r="M49" s="24" t="str">
        <f aca="false">IF(OR(E49="",F49&lt;&gt;"NC maior"),"",E49+90)</f>
        <v/>
      </c>
      <c r="N49" s="25" t="str">
        <f aca="false">IF(OR(F49="",E49=""),"",IF(OR(F49="Oportunidade de melhoria",F49="Ponto de atenção da fase 1"),IF(K49&lt;&gt;"","Fechada",IF(F49="Ponto de atenção da fase 1","Tratar antes da fase 2","Para considerar")),IF(K49&lt;&gt;"","Fechada",IF(AND(I49="",N($D$11)&gt;L49),"Plano atrasado",IF(AND(F49="NC maior",N($D$11)&gt;M49),"Vencida: risco ao certificado",IF(AND(F49="NC menor",I49&lt;&gt;""),"Aguarda verificação","Aberta no prazo"))))))</f>
        <v>Aguarda verificação</v>
      </c>
      <c r="O49" s="16" t="str">
        <f aca="false">IF(AND(C49="",COUNTA(D49:K49)=0),"",IF(E49="","Falta a data da auditoria",IF(F49="","Falta o tipo",IF(G49="","Falta o requisito",IF(H49="","Falta a descrição",IF(AND(I49&lt;&gt;"",I49&lt;E49),"Plano antes da auditoria",IF(AND(F49="NC maior",K49&lt;&gt;"",J49=""),"Falta a conclusão da ação","OK")))))))</f>
        <v>OK</v>
      </c>
    </row>
    <row r="50" customFormat="false" ht="42.75" hidden="false" customHeight="true" outlineLevel="0" collapsed="false">
      <c r="B50" s="10" t="n">
        <v>3</v>
      </c>
      <c r="C50" s="44" t="s">
        <v>251</v>
      </c>
      <c r="D50" s="45" t="s">
        <v>81</v>
      </c>
      <c r="E50" s="41" t="n">
        <v>46833</v>
      </c>
      <c r="F50" s="45" t="s">
        <v>142</v>
      </c>
      <c r="G50" s="39" t="s">
        <v>252</v>
      </c>
      <c r="H50" s="40" t="s">
        <v>253</v>
      </c>
      <c r="I50" s="41" t="n">
        <v>46855</v>
      </c>
      <c r="J50" s="41"/>
      <c r="K50" s="41"/>
      <c r="L50" s="24" t="n">
        <f aca="false">IF(OR(E50="",AND(F50&lt;&gt;"NC maior",F50&lt;&gt;"NC menor")),"",E50+30)</f>
        <v>46863</v>
      </c>
      <c r="M50" s="24" t="str">
        <f aca="false">IF(OR(E50="",F50&lt;&gt;"NC maior"),"",E50+90)</f>
        <v/>
      </c>
      <c r="N50" s="25" t="str">
        <f aca="false">IF(OR(F50="",E50=""),"",IF(OR(F50="Oportunidade de melhoria",F50="Ponto de atenção da fase 1"),IF(K50&lt;&gt;"","Fechada",IF(F50="Ponto de atenção da fase 1","Tratar antes da fase 2","Para considerar")),IF(K50&lt;&gt;"","Fechada",IF(AND(I50="",N($D$11)&gt;L50),"Plano atrasado",IF(AND(F50="NC maior",N($D$11)&gt;M50),"Vencida: risco ao certificado",IF(AND(F50="NC menor",I50&lt;&gt;""),"Aguarda verificação","Aberta no prazo"))))))</f>
        <v>Aguarda verificação</v>
      </c>
      <c r="O50" s="16" t="str">
        <f aca="false">IF(AND(C50="",COUNTA(D50:K50)=0),"",IF(E50="","Falta a data da auditoria",IF(F50="","Falta o tipo",IF(G50="","Falta o requisito",IF(H50="","Falta a descrição",IF(AND(I50&lt;&gt;"",I50&lt;E50),"Plano antes da auditoria",IF(AND(F50="NC maior",K50&lt;&gt;"",J50=""),"Falta a conclusão da ação","OK")))))))</f>
        <v>OK</v>
      </c>
    </row>
    <row r="51" customFormat="false" ht="30.75" hidden="false" customHeight="true" outlineLevel="0" collapsed="false">
      <c r="B51" s="10" t="n">
        <v>4</v>
      </c>
      <c r="C51" s="44" t="s">
        <v>254</v>
      </c>
      <c r="D51" s="45" t="s">
        <v>81</v>
      </c>
      <c r="E51" s="41" t="n">
        <v>46833</v>
      </c>
      <c r="F51" s="45" t="s">
        <v>185</v>
      </c>
      <c r="G51" s="39" t="s">
        <v>255</v>
      </c>
      <c r="H51" s="40" t="s">
        <v>256</v>
      </c>
      <c r="I51" s="41"/>
      <c r="J51" s="41"/>
      <c r="K51" s="41"/>
      <c r="L51" s="24" t="str">
        <f aca="false">IF(OR(E51="",AND(F51&lt;&gt;"NC maior",F51&lt;&gt;"NC menor")),"",E51+30)</f>
        <v/>
      </c>
      <c r="M51" s="24" t="str">
        <f aca="false">IF(OR(E51="",F51&lt;&gt;"NC maior"),"",E51+90)</f>
        <v/>
      </c>
      <c r="N51" s="25" t="str">
        <f aca="false">IF(OR(F51="",E51=""),"",IF(OR(F51="Oportunidade de melhoria",F51="Ponto de atenção da fase 1"),IF(K51&lt;&gt;"","Fechada",IF(F51="Ponto de atenção da fase 1","Tratar antes da fase 2","Para considerar")),IF(K51&lt;&gt;"","Fechada",IF(AND(I51="",N($D$11)&gt;L51),"Plano atrasado",IF(AND(F51="NC maior",N($D$11)&gt;M51),"Vencida: risco ao certificado",IF(AND(F51="NC menor",I51&lt;&gt;""),"Aguarda verificação","Aberta no prazo"))))))</f>
        <v>Para considerar</v>
      </c>
      <c r="O51" s="16" t="str">
        <f aca="false">IF(AND(C51="",COUNTA(D51:K51)=0),"",IF(E51="","Falta a data da auditoria",IF(F51="","Falta o tipo",IF(G51="","Falta o requisito",IF(H51="","Falta a descrição",IF(AND(I51&lt;&gt;"",I51&lt;E51),"Plano antes da auditoria",IF(AND(F51="NC maior",K51&lt;&gt;"",J51=""),"Falta a conclusão da ação","OK")))))))</f>
        <v>OK</v>
      </c>
    </row>
    <row r="53" customFormat="false" ht="21.75" hidden="false" customHeight="true" outlineLevel="0" collapsed="false">
      <c r="B53" s="17" t="s">
        <v>90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customFormat="false" ht="21.75" hidden="false" customHeight="true" outlineLevel="0" collapsed="false">
      <c r="B54" s="18" t="s">
        <v>14</v>
      </c>
      <c r="C54" s="18"/>
      <c r="D54" s="18"/>
      <c r="E54" s="20" t="str">
        <f aca="false">TEXT(D31,"0%")&amp;" atendido. "&amp;D34</f>
        <v>79% atendido. Ainda não está pronta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customFormat="false" ht="21.75" hidden="false" customHeight="true" outlineLevel="0" collapsed="false">
      <c r="B55" s="18" t="s">
        <v>39</v>
      </c>
      <c r="C55" s="18"/>
      <c r="D55" s="18"/>
      <c r="E55" s="20" t="str">
        <f aca="false">COUNTIF(F38:F44,"Realizada")&amp;" realizada"&amp;", "&amp;COUNTIF(F38:F44,"No prazo")&amp;" no prazo"&amp;", "&amp;COUNTIF(F38:F44,"Vence em 60 dias")&amp;" vence em 60 dias"&amp;", "&amp;COUNTIF(F38:F44,"Atrasada")&amp;" atrasada"&amp;", "&amp;COUNTIF(F38:F44,"Prevista")&amp;" prevista"</f>
        <v>2 realizada, 1 no prazo, 0 vence em 60 dias, 0 atrasada, 3 prevista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customFormat="false" ht="21.75" hidden="false" customHeight="true" outlineLevel="0" collapsed="false">
      <c r="B56" s="18" t="s">
        <v>41</v>
      </c>
      <c r="C56" s="18"/>
      <c r="D56" s="18"/>
      <c r="E56" s="20" t="str">
        <f aca="false">COUNTIF(N48:N51,"Fechada")&amp;" fechada"&amp;", "&amp;COUNTIF(N48:N51,"Aguarda verificação")&amp;" aguarda verificação"&amp;", "&amp;COUNTIF(N48:N51,"Plano atrasado")&amp;" plano atrasado"&amp;", "&amp;COUNTIF(N48:N51,"Vencida: risco ao certificado")&amp;" vencida: risco ao certificado"&amp;", "&amp;COUNTIF(N48:N51,"Para considerar")&amp;" para considerar"</f>
        <v>1 fechada, 2 aguarda verificação, 0 plano atrasado, 0 vencida: risco ao certificado, 1 para considerar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customFormat="false" ht="21.75" hidden="false" customHeight="true" outlineLevel="0" collapsed="false">
      <c r="B57" s="18" t="s">
        <v>181</v>
      </c>
      <c r="C57" s="18"/>
      <c r="D57" s="18"/>
      <c r="E57" s="20" t="n">
        <f aca="false">SUMPRODUCT((L17:L30&lt;&gt;"OK")*1)+SUMPRODUCT((O48:O51&lt;&gt;"OK")*1)</f>
        <v>0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</row>
  </sheetData>
  <mergeCells count="51">
    <mergeCell ref="B1:O1"/>
    <mergeCell ref="B2:O2"/>
    <mergeCell ref="B4:C4"/>
    <mergeCell ref="D4:O4"/>
    <mergeCell ref="B5:C5"/>
    <mergeCell ref="D5:O5"/>
    <mergeCell ref="B6:C6"/>
    <mergeCell ref="D6:O6"/>
    <mergeCell ref="B7:C7"/>
    <mergeCell ref="D7:O7"/>
    <mergeCell ref="B8:C8"/>
    <mergeCell ref="B9:C9"/>
    <mergeCell ref="B10:C10"/>
    <mergeCell ref="B11:C11"/>
    <mergeCell ref="B12:C12"/>
    <mergeCell ref="B13:C13"/>
    <mergeCell ref="B15:O15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B31:C31"/>
    <mergeCell ref="D31:F31"/>
    <mergeCell ref="B32:C32"/>
    <mergeCell ref="D32:F32"/>
    <mergeCell ref="B33:C33"/>
    <mergeCell ref="D33:F33"/>
    <mergeCell ref="B34:C34"/>
    <mergeCell ref="D34:F34"/>
    <mergeCell ref="B36:O36"/>
    <mergeCell ref="B46:O46"/>
    <mergeCell ref="B53:O53"/>
    <mergeCell ref="B54:D54"/>
    <mergeCell ref="E54:O54"/>
    <mergeCell ref="B55:D55"/>
    <mergeCell ref="E55:O55"/>
    <mergeCell ref="B56:D56"/>
    <mergeCell ref="E56:O56"/>
    <mergeCell ref="B57:D57"/>
    <mergeCell ref="E57:O57"/>
  </mergeCells>
  <conditionalFormatting sqref="F17:F30">
    <cfRule type="expression" priority="2" aboveAverage="0" equalAverage="0" bottom="0" percent="0" rank="0" text="" dxfId="0">
      <formula>F17="Sim"</formula>
    </cfRule>
    <cfRule type="expression" priority="3" aboveAverage="0" equalAverage="0" bottom="0" percent="0" rank="0" text="" dxfId="1">
      <formula>F17="Parcial"</formula>
    </cfRule>
    <cfRule type="expression" priority="4" aboveAverage="0" equalAverage="0" bottom="0" percent="0" rank="0" text="" dxfId="2">
      <formula>F17="Não"</formula>
    </cfRule>
    <cfRule type="expression" priority="5" aboveAverage="0" equalAverage="0" bottom="0" percent="0" rank="0" text="" dxfId="2">
      <formula>AND($E17="Sim",F17&lt;&gt;"",F17&lt;&gt;"Sim")</formula>
    </cfRule>
  </conditionalFormatting>
  <conditionalFormatting sqref="L17:O30">
    <cfRule type="expression" priority="6" aboveAverage="0" equalAverage="0" bottom="0" percent="0" rank="0" text="" dxfId="0">
      <formula>OR($L17="OK")</formula>
    </cfRule>
    <cfRule type="expression" priority="7" aboveAverage="0" equalAverage="0" bottom="0" percent="0" rank="0" text="" dxfId="1">
      <formula>AND(LEN($L17)&gt;0,NOT(OR($L17="OK")))</formula>
    </cfRule>
  </conditionalFormatting>
  <conditionalFormatting sqref="D34:F34">
    <cfRule type="expression" priority="8" aboveAverage="0" equalAverage="0" bottom="0" percent="0" rank="0" text="" dxfId="0">
      <formula>$D34="Pronta para a fase 2"</formula>
    </cfRule>
    <cfRule type="expression" priority="9" aboveAverage="0" equalAverage="0" bottom="0" percent="0" rank="0" text="" dxfId="3">
      <formula>$D34="Pronta para a fase 1"</formula>
    </cfRule>
    <cfRule type="expression" priority="10" aboveAverage="0" equalAverage="0" bottom="0" percent="0" rank="0" text="" dxfId="2">
      <formula>$D34="Ainda não está pronta"</formula>
    </cfRule>
  </conditionalFormatting>
  <conditionalFormatting sqref="F38:F44">
    <cfRule type="expression" priority="11" aboveAverage="0" equalAverage="0" bottom="0" percent="0" rank="0" text="" dxfId="0">
      <formula>F38="Realizada"</formula>
    </cfRule>
    <cfRule type="expression" priority="12" aboveAverage="0" equalAverage="0" bottom="0" percent="0" rank="0" text="" dxfId="0">
      <formula>F38="No prazo"</formula>
    </cfRule>
    <cfRule type="expression" priority="13" aboveAverage="0" equalAverage="0" bottom="0" percent="0" rank="0" text="" dxfId="2">
      <formula>F38="Fora do prazo"</formula>
    </cfRule>
    <cfRule type="expression" priority="14" aboveAverage="0" equalAverage="0" bottom="0" percent="0" rank="0" text="" dxfId="2">
      <formula>F38="Atrasada"</formula>
    </cfRule>
    <cfRule type="expression" priority="15" aboveAverage="0" equalAverage="0" bottom="0" percent="0" rank="0" text="" dxfId="3">
      <formula>F38="Vence em 60 dias"</formula>
    </cfRule>
    <cfRule type="expression" priority="16" aboveAverage="0" equalAverage="0" bottom="0" percent="0" rank="0" text="" dxfId="4">
      <formula>F38="Prevista"</formula>
    </cfRule>
    <cfRule type="expression" priority="17" aboveAverage="0" equalAverage="0" bottom="0" percent="0" rank="0" text="" dxfId="4">
      <formula>F38="Não se aplica"</formula>
    </cfRule>
  </conditionalFormatting>
  <conditionalFormatting sqref="N48:N51">
    <cfRule type="expression" priority="18" aboveAverage="0" equalAverage="0" bottom="0" percent="0" rank="0" text="" dxfId="0">
      <formula>N48="Fechada"</formula>
    </cfRule>
    <cfRule type="expression" priority="19" aboveAverage="0" equalAverage="0" bottom="0" percent="0" rank="0" text="" dxfId="2">
      <formula>N48="Plano atrasado"</formula>
    </cfRule>
    <cfRule type="expression" priority="20" aboveAverage="0" equalAverage="0" bottom="0" percent="0" rank="0" text="" dxfId="2">
      <formula>N48="Vencida: risco ao certificado"</formula>
    </cfRule>
    <cfRule type="expression" priority="21" aboveAverage="0" equalAverage="0" bottom="0" percent="0" rank="0" text="" dxfId="3">
      <formula>N48="Aguarda verificação"</formula>
    </cfRule>
    <cfRule type="expression" priority="22" aboveAverage="0" equalAverage="0" bottom="0" percent="0" rank="0" text="" dxfId="3">
      <formula>N48="Aberta no prazo"</formula>
    </cfRule>
    <cfRule type="expression" priority="23" aboveAverage="0" equalAverage="0" bottom="0" percent="0" rank="0" text="" dxfId="3">
      <formula>N48="Tratar antes da fase 2"</formula>
    </cfRule>
    <cfRule type="expression" priority="24" aboveAverage="0" equalAverage="0" bottom="0" percent="0" rank="0" text="" dxfId="4">
      <formula>N48="Para considerar"</formula>
    </cfRule>
  </conditionalFormatting>
  <conditionalFormatting sqref="F48:F51">
    <cfRule type="expression" priority="25" aboveAverage="0" equalAverage="0" bottom="0" percent="0" rank="0" text="" dxfId="2">
      <formula>F48="NC maior"</formula>
    </cfRule>
    <cfRule type="expression" priority="26" aboveAverage="0" equalAverage="0" bottom="0" percent="0" rank="0" text="" dxfId="3">
      <formula>F48="NC menor"</formula>
    </cfRule>
  </conditionalFormatting>
  <conditionalFormatting sqref="O48:O51">
    <cfRule type="expression" priority="27" aboveAverage="0" equalAverage="0" bottom="0" percent="0" rank="0" text="" dxfId="0">
      <formula>OR(O48="OK")</formula>
    </cfRule>
    <cfRule type="expression" priority="28" aboveAverage="0" equalAverage="0" bottom="0" percent="0" rank="0" text="" dxfId="1">
      <formula>AND(LEN(O48)&gt;0,NOT(OR(O48="OK")))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5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3" min="10" style="0" width="12"/>
    <col collapsed="false" customWidth="true" hidden="false" outlineLevel="0" max="14" min="14" style="0" width="24"/>
    <col collapsed="false" customWidth="true" hidden="false" outlineLevel="0" max="15" min="15" style="0" width="28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207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208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B4" s="4" t="s">
        <v>209</v>
      </c>
      <c r="C4" s="4"/>
      <c r="D4" s="34" t="s">
        <v>257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customFormat="false" ht="19.5" hidden="false" customHeight="true" outlineLevel="0" collapsed="false">
      <c r="B5" s="4" t="s">
        <v>211</v>
      </c>
      <c r="C5" s="4"/>
      <c r="D5" s="34" t="s">
        <v>258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customFormat="false" ht="19.5" hidden="false" customHeight="true" outlineLevel="0" collapsed="false">
      <c r="B6" s="4" t="s">
        <v>98</v>
      </c>
      <c r="C6" s="4"/>
      <c r="D6" s="34" t="s">
        <v>259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customFormat="false" ht="19.5" hidden="false" customHeight="true" outlineLevel="0" collapsed="false">
      <c r="B7" s="4" t="s">
        <v>214</v>
      </c>
      <c r="C7" s="4"/>
      <c r="D7" s="34" t="s">
        <v>260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customFormat="false" ht="15" hidden="false" customHeight="true" outlineLevel="0" collapsed="false">
      <c r="B8" s="4" t="s">
        <v>216</v>
      </c>
      <c r="C8" s="4"/>
      <c r="D8" s="35" t="n">
        <v>46660</v>
      </c>
    </row>
    <row r="9" customFormat="false" ht="15" hidden="false" customHeight="true" outlineLevel="0" collapsed="false">
      <c r="B9" s="4" t="s">
        <v>100</v>
      </c>
      <c r="C9" s="4"/>
      <c r="D9" s="36" t="s">
        <v>261</v>
      </c>
    </row>
    <row r="10" customFormat="false" ht="15" hidden="false" customHeight="true" outlineLevel="0" collapsed="false">
      <c r="B10" s="4" t="s">
        <v>218</v>
      </c>
      <c r="C10" s="4"/>
      <c r="D10" s="35" t="n">
        <v>46738</v>
      </c>
    </row>
    <row r="11" customFormat="false" ht="15" hidden="false" customHeight="true" outlineLevel="0" collapsed="false">
      <c r="B11" s="4" t="s">
        <v>219</v>
      </c>
      <c r="C11" s="4"/>
      <c r="D11" s="35" t="n">
        <v>46767</v>
      </c>
    </row>
    <row r="12" customFormat="false" ht="15" hidden="false" customHeight="true" outlineLevel="0" collapsed="false">
      <c r="B12" s="4" t="s">
        <v>106</v>
      </c>
      <c r="C12" s="4"/>
      <c r="D12" s="35" t="n">
        <v>47391</v>
      </c>
    </row>
    <row r="13" customFormat="false" ht="15" hidden="false" customHeight="true" outlineLevel="0" collapsed="false">
      <c r="B13" s="4" t="s">
        <v>108</v>
      </c>
      <c r="C13" s="4"/>
      <c r="D13" s="23" t="n">
        <f aca="false">IF($D$10="","",EDATE($D$10,36)-1)</f>
        <v>47833</v>
      </c>
    </row>
    <row r="15" customFormat="false" ht="21.75" hidden="false" customHeight="true" outlineLevel="0" collapsed="false">
      <c r="B15" s="37" t="s">
        <v>14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customFormat="false" ht="30" hidden="false" customHeight="true" outlineLevel="0" collapsed="false">
      <c r="B16" s="32" t="s">
        <v>61</v>
      </c>
      <c r="C16" s="32" t="s">
        <v>62</v>
      </c>
      <c r="D16" s="32" t="s">
        <v>63</v>
      </c>
      <c r="E16" s="32" t="s">
        <v>64</v>
      </c>
      <c r="F16" s="32" t="s">
        <v>65</v>
      </c>
      <c r="G16" s="32" t="s">
        <v>66</v>
      </c>
      <c r="H16" s="32" t="s">
        <v>220</v>
      </c>
      <c r="I16" s="32" t="s">
        <v>68</v>
      </c>
      <c r="J16" s="32" t="s">
        <v>69</v>
      </c>
      <c r="K16" s="32" t="s">
        <v>70</v>
      </c>
      <c r="L16" s="38" t="s">
        <v>71</v>
      </c>
      <c r="M16" s="38"/>
      <c r="N16" s="38"/>
      <c r="O16" s="38"/>
    </row>
    <row r="17" customFormat="false" ht="30.75" hidden="false" customHeight="true" outlineLevel="0" collapsed="false">
      <c r="B17" s="10" t="n">
        <v>1</v>
      </c>
      <c r="C17" s="11" t="s">
        <v>72</v>
      </c>
      <c r="D17" s="12" t="s">
        <v>73</v>
      </c>
      <c r="E17" s="13" t="s">
        <v>74</v>
      </c>
      <c r="F17" s="39" t="s">
        <v>74</v>
      </c>
      <c r="G17" s="40" t="s">
        <v>262</v>
      </c>
      <c r="H17" s="40"/>
      <c r="I17" s="40"/>
      <c r="J17" s="41"/>
      <c r="K17" s="15" t="n">
        <f aca="false">IF(F17="","",IF(F17="Sim",1,IF(F17="Parcial",0.5,0)))</f>
        <v>1</v>
      </c>
      <c r="L17" s="16" t="str">
        <f aca="false">IF(F17="","Falta o status",IF(AND(F17&lt;&gt;"Sim",H17=""),"Falta a ação",IF(AND(F17&lt;&gt;"Sim",J17=""),"Falta o prazo",IF(AND(F17="Sim",G17=""),"Falta a evidência","OK"))))</f>
        <v>OK</v>
      </c>
      <c r="M17" s="16"/>
      <c r="N17" s="16"/>
      <c r="O17" s="16"/>
    </row>
    <row r="18" customFormat="false" ht="30.75" hidden="false" customHeight="true" outlineLevel="0" collapsed="false">
      <c r="B18" s="10" t="n">
        <v>2</v>
      </c>
      <c r="C18" s="11" t="s">
        <v>75</v>
      </c>
      <c r="D18" s="12" t="s">
        <v>73</v>
      </c>
      <c r="E18" s="13" t="s">
        <v>74</v>
      </c>
      <c r="F18" s="39" t="s">
        <v>74</v>
      </c>
      <c r="G18" s="40" t="s">
        <v>263</v>
      </c>
      <c r="H18" s="40"/>
      <c r="I18" s="40"/>
      <c r="J18" s="41"/>
      <c r="K18" s="15" t="n">
        <f aca="false">IF(F18="","",IF(F18="Sim",1,IF(F18="Parcial",0.5,0)))</f>
        <v>1</v>
      </c>
      <c r="L18" s="16" t="str">
        <f aca="false">IF(F18="","Falta o status",IF(AND(F18&lt;&gt;"Sim",H18=""),"Falta a ação",IF(AND(F18&lt;&gt;"Sim",J18=""),"Falta o prazo",IF(AND(F18="Sim",G18=""),"Falta a evidência","OK"))))</f>
        <v>OK</v>
      </c>
      <c r="M18" s="16"/>
      <c r="N18" s="16"/>
      <c r="O18" s="16"/>
    </row>
    <row r="19" customFormat="false" ht="30.75" hidden="false" customHeight="true" outlineLevel="0" collapsed="false">
      <c r="B19" s="10" t="n">
        <v>3</v>
      </c>
      <c r="C19" s="11" t="s">
        <v>76</v>
      </c>
      <c r="D19" s="12" t="s">
        <v>73</v>
      </c>
      <c r="E19" s="13" t="s">
        <v>74</v>
      </c>
      <c r="F19" s="39" t="s">
        <v>74</v>
      </c>
      <c r="G19" s="40" t="s">
        <v>264</v>
      </c>
      <c r="H19" s="40"/>
      <c r="I19" s="40"/>
      <c r="J19" s="41"/>
      <c r="K19" s="15" t="n">
        <f aca="false">IF(F19="","",IF(F19="Sim",1,IF(F19="Parcial",0.5,0)))</f>
        <v>1</v>
      </c>
      <c r="L19" s="16" t="str">
        <f aca="false">IF(F19="","Falta o status",IF(AND(F19&lt;&gt;"Sim",H19=""),"Falta a ação",IF(AND(F19&lt;&gt;"Sim",J19=""),"Falta o prazo",IF(AND(F19="Sim",G19=""),"Falta a evidência","OK"))))</f>
        <v>OK</v>
      </c>
      <c r="M19" s="16"/>
      <c r="N19" s="16"/>
      <c r="O19" s="16"/>
    </row>
    <row r="20" customFormat="false" ht="30.75" hidden="false" customHeight="true" outlineLevel="0" collapsed="false">
      <c r="B20" s="10" t="n">
        <v>4</v>
      </c>
      <c r="C20" s="11" t="s">
        <v>77</v>
      </c>
      <c r="D20" s="12" t="s">
        <v>73</v>
      </c>
      <c r="E20" s="13" t="s">
        <v>74</v>
      </c>
      <c r="F20" s="39" t="s">
        <v>74</v>
      </c>
      <c r="G20" s="40" t="s">
        <v>265</v>
      </c>
      <c r="H20" s="40"/>
      <c r="I20" s="40"/>
      <c r="J20" s="41"/>
      <c r="K20" s="15" t="n">
        <f aca="false">IF(F20="","",IF(F20="Sim",1,IF(F20="Parcial",0.5,0)))</f>
        <v>1</v>
      </c>
      <c r="L20" s="16" t="str">
        <f aca="false">IF(F20="","Falta o status",IF(AND(F20&lt;&gt;"Sim",H20=""),"Falta a ação",IF(AND(F20&lt;&gt;"Sim",J20=""),"Falta o prazo",IF(AND(F20="Sim",G20=""),"Falta a evidência","OK"))))</f>
        <v>OK</v>
      </c>
      <c r="M20" s="16"/>
      <c r="N20" s="16"/>
      <c r="O20" s="16"/>
    </row>
    <row r="21" customFormat="false" ht="30.75" hidden="false" customHeight="true" outlineLevel="0" collapsed="false">
      <c r="B21" s="10" t="n">
        <v>5</v>
      </c>
      <c r="C21" s="11" t="s">
        <v>78</v>
      </c>
      <c r="D21" s="12" t="s">
        <v>73</v>
      </c>
      <c r="E21" s="12" t="s">
        <v>79</v>
      </c>
      <c r="F21" s="39" t="s">
        <v>74</v>
      </c>
      <c r="G21" s="40" t="s">
        <v>266</v>
      </c>
      <c r="H21" s="40"/>
      <c r="I21" s="40"/>
      <c r="J21" s="41"/>
      <c r="K21" s="15" t="n">
        <f aca="false">IF(F21="","",IF(F21="Sim",1,IF(F21="Parcial",0.5,0)))</f>
        <v>1</v>
      </c>
      <c r="L21" s="16" t="str">
        <f aca="false">IF(F21="","Falta o status",IF(AND(F21&lt;&gt;"Sim",H21=""),"Falta a ação",IF(AND(F21&lt;&gt;"Sim",J21=""),"Falta o prazo",IF(AND(F21="Sim",G21=""),"Falta a evidência","OK"))))</f>
        <v>OK</v>
      </c>
      <c r="M21" s="16"/>
      <c r="N21" s="16"/>
      <c r="O21" s="16"/>
    </row>
    <row r="22" customFormat="false" ht="30.75" hidden="false" customHeight="true" outlineLevel="0" collapsed="false">
      <c r="B22" s="10" t="n">
        <v>6</v>
      </c>
      <c r="C22" s="11" t="s">
        <v>80</v>
      </c>
      <c r="D22" s="12" t="s">
        <v>81</v>
      </c>
      <c r="E22" s="13" t="s">
        <v>74</v>
      </c>
      <c r="F22" s="39" t="s">
        <v>74</v>
      </c>
      <c r="G22" s="40" t="s">
        <v>267</v>
      </c>
      <c r="H22" s="40"/>
      <c r="I22" s="40"/>
      <c r="J22" s="41"/>
      <c r="K22" s="15" t="n">
        <f aca="false">IF(F22="","",IF(F22="Sim",1,IF(F22="Parcial",0.5,0)))</f>
        <v>1</v>
      </c>
      <c r="L22" s="16" t="str">
        <f aca="false">IF(F22="","Falta o status",IF(AND(F22&lt;&gt;"Sim",H22=""),"Falta a ação",IF(AND(F22&lt;&gt;"Sim",J22=""),"Falta o prazo",IF(AND(F22="Sim",G22=""),"Falta a evidência","OK"))))</f>
        <v>OK</v>
      </c>
      <c r="M22" s="16"/>
      <c r="N22" s="16"/>
      <c r="O22" s="16"/>
    </row>
    <row r="23" customFormat="false" ht="30.75" hidden="false" customHeight="true" outlineLevel="0" collapsed="false">
      <c r="B23" s="10" t="n">
        <v>7</v>
      </c>
      <c r="C23" s="11" t="s">
        <v>82</v>
      </c>
      <c r="D23" s="12" t="s">
        <v>81</v>
      </c>
      <c r="E23" s="13" t="s">
        <v>74</v>
      </c>
      <c r="F23" s="39" t="s">
        <v>224</v>
      </c>
      <c r="G23" s="40" t="s">
        <v>268</v>
      </c>
      <c r="H23" s="40" t="s">
        <v>269</v>
      </c>
      <c r="I23" s="40" t="s">
        <v>270</v>
      </c>
      <c r="J23" s="41" t="n">
        <v>46691</v>
      </c>
      <c r="K23" s="15" t="n">
        <f aca="false">IF(F23="","",IF(F23="Sim",1,IF(F23="Parcial",0.5,0)))</f>
        <v>0.5</v>
      </c>
      <c r="L23" s="16" t="str">
        <f aca="false">IF(F23="","Falta o status",IF(AND(F23&lt;&gt;"Sim",H23=""),"Falta a ação",IF(AND(F23&lt;&gt;"Sim",J23=""),"Falta o prazo",IF(AND(F23="Sim",G23=""),"Falta a evidência","OK"))))</f>
        <v>OK</v>
      </c>
      <c r="M23" s="16"/>
      <c r="N23" s="16"/>
      <c r="O23" s="16"/>
    </row>
    <row r="24" customFormat="false" ht="30.75" hidden="false" customHeight="true" outlineLevel="0" collapsed="false">
      <c r="B24" s="10" t="n">
        <v>8</v>
      </c>
      <c r="C24" s="11" t="s">
        <v>83</v>
      </c>
      <c r="D24" s="12" t="s">
        <v>81</v>
      </c>
      <c r="E24" s="13" t="s">
        <v>74</v>
      </c>
      <c r="F24" s="39" t="s">
        <v>74</v>
      </c>
      <c r="G24" s="40" t="s">
        <v>271</v>
      </c>
      <c r="H24" s="40"/>
      <c r="I24" s="40"/>
      <c r="J24" s="41"/>
      <c r="K24" s="15" t="n">
        <f aca="false">IF(F24="","",IF(F24="Sim",1,IF(F24="Parcial",0.5,0)))</f>
        <v>1</v>
      </c>
      <c r="L24" s="16" t="str">
        <f aca="false">IF(F24="","Falta o status",IF(AND(F24&lt;&gt;"Sim",H24=""),"Falta a ação",IF(AND(F24&lt;&gt;"Sim",J24=""),"Falta o prazo",IF(AND(F24="Sim",G24=""),"Falta a evidência","OK"))))</f>
        <v>OK</v>
      </c>
      <c r="M24" s="16"/>
      <c r="N24" s="16"/>
      <c r="O24" s="16"/>
    </row>
    <row r="25" customFormat="false" ht="30.75" hidden="false" customHeight="true" outlineLevel="0" collapsed="false">
      <c r="B25" s="10" t="n">
        <v>9</v>
      </c>
      <c r="C25" s="11" t="s">
        <v>84</v>
      </c>
      <c r="D25" s="12" t="s">
        <v>81</v>
      </c>
      <c r="E25" s="13" t="s">
        <v>74</v>
      </c>
      <c r="F25" s="39" t="s">
        <v>74</v>
      </c>
      <c r="G25" s="40" t="s">
        <v>272</v>
      </c>
      <c r="H25" s="40"/>
      <c r="I25" s="40"/>
      <c r="J25" s="41"/>
      <c r="K25" s="15" t="n">
        <f aca="false">IF(F25="","",IF(F25="Sim",1,IF(F25="Parcial",0.5,0)))</f>
        <v>1</v>
      </c>
      <c r="L25" s="16" t="str">
        <f aca="false">IF(F25="","Falta o status",IF(AND(F25&lt;&gt;"Sim",H25=""),"Falta a ação",IF(AND(F25&lt;&gt;"Sim",J25=""),"Falta o prazo",IF(AND(F25="Sim",G25=""),"Falta a evidência","OK"))))</f>
        <v>OK</v>
      </c>
      <c r="M25" s="16"/>
      <c r="N25" s="16"/>
      <c r="O25" s="16"/>
    </row>
    <row r="26" customFormat="false" ht="21.75" hidden="false" customHeight="true" outlineLevel="0" collapsed="false">
      <c r="B26" s="10" t="n">
        <v>10</v>
      </c>
      <c r="C26" s="11" t="s">
        <v>85</v>
      </c>
      <c r="D26" s="12" t="s">
        <v>81</v>
      </c>
      <c r="E26" s="12" t="s">
        <v>79</v>
      </c>
      <c r="F26" s="39" t="s">
        <v>74</v>
      </c>
      <c r="G26" s="40" t="s">
        <v>273</v>
      </c>
      <c r="H26" s="40"/>
      <c r="I26" s="40"/>
      <c r="J26" s="41"/>
      <c r="K26" s="15" t="n">
        <f aca="false">IF(F26="","",IF(F26="Sim",1,IF(F26="Parcial",0.5,0)))</f>
        <v>1</v>
      </c>
      <c r="L26" s="16" t="str">
        <f aca="false">IF(F26="","Falta o status",IF(AND(F26&lt;&gt;"Sim",H26=""),"Falta a ação",IF(AND(F26&lt;&gt;"Sim",J26=""),"Falta o prazo",IF(AND(F26="Sim",G26=""),"Falta a evidência","OK"))))</f>
        <v>OK</v>
      </c>
      <c r="M26" s="16"/>
      <c r="N26" s="16"/>
      <c r="O26" s="16"/>
    </row>
    <row r="27" customFormat="false" ht="30.75" hidden="false" customHeight="true" outlineLevel="0" collapsed="false">
      <c r="B27" s="10" t="n">
        <v>11</v>
      </c>
      <c r="C27" s="11" t="s">
        <v>86</v>
      </c>
      <c r="D27" s="12" t="s">
        <v>81</v>
      </c>
      <c r="E27" s="12" t="s">
        <v>79</v>
      </c>
      <c r="F27" s="39" t="s">
        <v>74</v>
      </c>
      <c r="G27" s="40" t="s">
        <v>274</v>
      </c>
      <c r="H27" s="40"/>
      <c r="I27" s="40"/>
      <c r="J27" s="41"/>
      <c r="K27" s="15" t="n">
        <f aca="false">IF(F27="","",IF(F27="Sim",1,IF(F27="Parcial",0.5,0)))</f>
        <v>1</v>
      </c>
      <c r="L27" s="16" t="str">
        <f aca="false">IF(F27="","Falta o status",IF(AND(F27&lt;&gt;"Sim",H27=""),"Falta a ação",IF(AND(F27&lt;&gt;"Sim",J27=""),"Falta o prazo",IF(AND(F27="Sim",G27=""),"Falta a evidência","OK"))))</f>
        <v>OK</v>
      </c>
      <c r="M27" s="16"/>
      <c r="N27" s="16"/>
      <c r="O27" s="16"/>
    </row>
    <row r="28" customFormat="false" ht="30.75" hidden="false" customHeight="true" outlineLevel="0" collapsed="false">
      <c r="B28" s="10" t="n">
        <v>12</v>
      </c>
      <c r="C28" s="11" t="s">
        <v>87</v>
      </c>
      <c r="D28" s="12" t="s">
        <v>81</v>
      </c>
      <c r="E28" s="12" t="s">
        <v>79</v>
      </c>
      <c r="F28" s="39" t="s">
        <v>74</v>
      </c>
      <c r="G28" s="40" t="s">
        <v>275</v>
      </c>
      <c r="H28" s="40"/>
      <c r="I28" s="40"/>
      <c r="J28" s="41"/>
      <c r="K28" s="15" t="n">
        <f aca="false">IF(F28="","",IF(F28="Sim",1,IF(F28="Parcial",0.5,0)))</f>
        <v>1</v>
      </c>
      <c r="L28" s="16" t="str">
        <f aca="false">IF(F28="","Falta o status",IF(AND(F28&lt;&gt;"Sim",H28=""),"Falta a ação",IF(AND(F28&lt;&gt;"Sim",J28=""),"Falta o prazo",IF(AND(F28="Sim",G28=""),"Falta a evidência","OK"))))</f>
        <v>OK</v>
      </c>
      <c r="M28" s="16"/>
      <c r="N28" s="16"/>
      <c r="O28" s="16"/>
    </row>
    <row r="29" customFormat="false" ht="30.75" hidden="false" customHeight="true" outlineLevel="0" collapsed="false">
      <c r="B29" s="10" t="n">
        <v>13</v>
      </c>
      <c r="C29" s="11" t="s">
        <v>88</v>
      </c>
      <c r="D29" s="12" t="s">
        <v>81</v>
      </c>
      <c r="E29" s="12" t="s">
        <v>79</v>
      </c>
      <c r="F29" s="39" t="s">
        <v>224</v>
      </c>
      <c r="G29" s="40" t="s">
        <v>276</v>
      </c>
      <c r="H29" s="40" t="s">
        <v>277</v>
      </c>
      <c r="I29" s="40" t="s">
        <v>278</v>
      </c>
      <c r="J29" s="41" t="n">
        <v>46675</v>
      </c>
      <c r="K29" s="15" t="n">
        <f aca="false">IF(F29="","",IF(F29="Sim",1,IF(F29="Parcial",0.5,0)))</f>
        <v>0.5</v>
      </c>
      <c r="L29" s="16" t="str">
        <f aca="false">IF(F29="","Falta o status",IF(AND(F29&lt;&gt;"Sim",H29=""),"Falta a ação",IF(AND(F29&lt;&gt;"Sim",J29=""),"Falta o prazo",IF(AND(F29="Sim",G29=""),"Falta a evidência","OK"))))</f>
        <v>OK</v>
      </c>
      <c r="M29" s="16"/>
      <c r="N29" s="16"/>
      <c r="O29" s="16"/>
    </row>
    <row r="30" customFormat="false" ht="30.75" hidden="false" customHeight="true" outlineLevel="0" collapsed="false">
      <c r="B30" s="10" t="n">
        <v>14</v>
      </c>
      <c r="C30" s="11" t="s">
        <v>89</v>
      </c>
      <c r="D30" s="12" t="s">
        <v>81</v>
      </c>
      <c r="E30" s="12" t="s">
        <v>79</v>
      </c>
      <c r="F30" s="39" t="s">
        <v>74</v>
      </c>
      <c r="G30" s="40" t="s">
        <v>279</v>
      </c>
      <c r="H30" s="40"/>
      <c r="I30" s="40"/>
      <c r="J30" s="41"/>
      <c r="K30" s="15" t="n">
        <f aca="false">IF(F30="","",IF(F30="Sim",1,IF(F30="Parcial",0.5,0)))</f>
        <v>1</v>
      </c>
      <c r="L30" s="16" t="str">
        <f aca="false">IF(F30="","Falta o status",IF(AND(F30&lt;&gt;"Sim",H30=""),"Falta a ação",IF(AND(F30&lt;&gt;"Sim",J30=""),"Falta o prazo",IF(AND(F30="Sim",G30=""),"Falta a evidência","OK"))))</f>
        <v>OK</v>
      </c>
      <c r="M30" s="16"/>
      <c r="N30" s="16"/>
      <c r="O30" s="16"/>
    </row>
    <row r="31" customFormat="false" ht="21.75" hidden="false" customHeight="true" outlineLevel="0" collapsed="false">
      <c r="B31" s="18" t="s">
        <v>91</v>
      </c>
      <c r="C31" s="18"/>
      <c r="D31" s="19" t="n">
        <f aca="false">IF(COUNTA(F17:F30)=0,"",SUM(K17:K30)/ROWS(K17:K30))</f>
        <v>0.928571428571429</v>
      </c>
      <c r="E31" s="19"/>
      <c r="F31" s="19"/>
    </row>
    <row r="32" customFormat="false" ht="21.75" hidden="false" customHeight="true" outlineLevel="0" collapsed="false">
      <c r="B32" s="18" t="s">
        <v>92</v>
      </c>
      <c r="C32" s="18"/>
      <c r="D32" s="20" t="n">
        <f aca="false">SUMPRODUCT((D17:D30="Fase 1")*(E17:E30="Sim")*(F17:F30&lt;&gt;"Sim"))</f>
        <v>0</v>
      </c>
      <c r="E32" s="20"/>
      <c r="F32" s="20"/>
    </row>
    <row r="33" customFormat="false" ht="21.75" hidden="false" customHeight="true" outlineLevel="0" collapsed="false">
      <c r="B33" s="18" t="s">
        <v>93</v>
      </c>
      <c r="C33" s="18"/>
      <c r="D33" s="20" t="n">
        <f aca="false">SUMPRODUCT((D17:D30="Fase 2")*(E17:E30="Sim")*(F17:F30&lt;&gt;"Sim"))</f>
        <v>1</v>
      </c>
      <c r="E33" s="20"/>
      <c r="F33" s="20"/>
    </row>
    <row r="34" customFormat="false" ht="21.75" hidden="false" customHeight="true" outlineLevel="0" collapsed="false">
      <c r="B34" s="18" t="s">
        <v>94</v>
      </c>
      <c r="C34" s="18"/>
      <c r="D34" s="20" t="str">
        <f aca="false">IF(COUNTA(F17:F30)=0,"",IF(SUMPRODUCT((D17:D30="Fase 1")*(E17:E30="Sim")*(F17:F30&lt;&gt;"Sim"))&gt;0,"Ainda não está pronta",IF(SUMPRODUCT((D17:D30="Fase 2")*(E17:E30="Sim")*(F17:F30&lt;&gt;"Sim"))&gt;0,"Pronta para a fase 1","Pronta para a fase 2")))</f>
        <v>Pronta para a fase 1</v>
      </c>
      <c r="E34" s="20"/>
      <c r="F34" s="20"/>
    </row>
    <row r="36" customFormat="false" ht="21.75" hidden="false" customHeight="true" outlineLevel="0" collapsed="false">
      <c r="B36" s="42" t="s">
        <v>96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</row>
    <row r="37" customFormat="false" ht="30" hidden="false" customHeight="true" outlineLevel="0" collapsed="false">
      <c r="B37" s="32" t="s">
        <v>61</v>
      </c>
      <c r="C37" s="32" t="s">
        <v>109</v>
      </c>
      <c r="D37" s="32" t="s">
        <v>110</v>
      </c>
      <c r="E37" s="32" t="s">
        <v>111</v>
      </c>
      <c r="F37" s="32" t="s">
        <v>112</v>
      </c>
    </row>
    <row r="38" customFormat="false" ht="21.75" hidden="false" customHeight="true" outlineLevel="0" collapsed="false">
      <c r="B38" s="10" t="n">
        <v>1</v>
      </c>
      <c r="C38" s="4" t="s">
        <v>73</v>
      </c>
      <c r="D38" s="24" t="str">
        <f aca="false">""</f>
        <v/>
      </c>
      <c r="E38" s="41" t="n">
        <v>46680</v>
      </c>
      <c r="F38" s="25" t="str">
        <f aca="false">IF(E38="","Prevista","Realizada")</f>
        <v>Realizada</v>
      </c>
    </row>
    <row r="39" customFormat="false" ht="21.75" hidden="false" customHeight="true" outlineLevel="0" collapsed="false">
      <c r="B39" s="10" t="n">
        <v>2</v>
      </c>
      <c r="C39" s="4" t="s">
        <v>81</v>
      </c>
      <c r="D39" s="24" t="n">
        <f aca="false">IF(E38="","",EDATE(E38,6))</f>
        <v>46863</v>
      </c>
      <c r="E39" s="41" t="n">
        <v>46714</v>
      </c>
      <c r="F39" s="25" t="str">
        <f aca="false">IF(D39="","",IF(E39&lt;&gt;"",IF(E39&lt;=D39,"No prazo","Fora do prazo"),IF(N($D$11)=0,"",IF($D$11&gt;D39,"Atrasada",IF(D39-$D$11&lt;=60,"Vence em 60 dias","Prevista")))))</f>
        <v>No prazo</v>
      </c>
    </row>
    <row r="40" customFormat="false" ht="21.75" hidden="false" customHeight="true" outlineLevel="0" collapsed="false">
      <c r="B40" s="10" t="n">
        <v>3</v>
      </c>
      <c r="C40" s="4" t="s">
        <v>115</v>
      </c>
      <c r="D40" s="24" t="str">
        <f aca="false">""</f>
        <v/>
      </c>
      <c r="E40" s="24" t="n">
        <f aca="false">IF($D$10="","",$D$10)</f>
        <v>46738</v>
      </c>
      <c r="F40" s="25" t="str">
        <f aca="false">IF(E40="","Prevista","Realizada")</f>
        <v>Realizada</v>
      </c>
    </row>
    <row r="41" customFormat="false" ht="21.75" hidden="false" customHeight="true" outlineLevel="0" collapsed="false">
      <c r="B41" s="10" t="n">
        <v>4</v>
      </c>
      <c r="C41" s="4" t="s">
        <v>116</v>
      </c>
      <c r="D41" s="24" t="n">
        <f aca="false">IF($D$10="","",EDATE($D$10,12))</f>
        <v>47104</v>
      </c>
      <c r="E41" s="41"/>
      <c r="F41" s="25" t="str">
        <f aca="false">IF(D41="","",IF(E41&lt;&gt;"",IF(E41&lt;=D41,"No prazo","Fora do prazo"),IF(N($D$11)=0,"",IF($D$11&gt;D41,"Atrasada",IF(D41-$D$11&lt;=60,"Vence em 60 dias","Prevista")))))</f>
        <v>Prevista</v>
      </c>
    </row>
    <row r="42" customFormat="false" ht="21.75" hidden="false" customHeight="true" outlineLevel="0" collapsed="false">
      <c r="B42" s="10" t="n">
        <v>5</v>
      </c>
      <c r="C42" s="4" t="s">
        <v>117</v>
      </c>
      <c r="D42" s="24" t="n">
        <f aca="false">IF($D$10="","",EDATE($D$10,24))</f>
        <v>47469</v>
      </c>
      <c r="E42" s="41"/>
      <c r="F42" s="25" t="str">
        <f aca="false">IF(D42="","",IF(E42&lt;&gt;"",IF(E42&lt;=D42,"No prazo","Fora do prazo"),IF(N($D$11)=0,"",IF($D$11&gt;D42,"Atrasada",IF(D42-$D$11&lt;=60,"Vence em 60 dias","Prevista")))))</f>
        <v>Prevista</v>
      </c>
    </row>
    <row r="43" customFormat="false" ht="21.75" hidden="false" customHeight="true" outlineLevel="0" collapsed="false">
      <c r="B43" s="10" t="n">
        <v>6</v>
      </c>
      <c r="C43" s="4" t="s">
        <v>118</v>
      </c>
      <c r="D43" s="24" t="n">
        <f aca="false">IF($D$10="","",EDATE($D$10,33))</f>
        <v>47743</v>
      </c>
      <c r="E43" s="41"/>
      <c r="F43" s="25" t="str">
        <f aca="false">IF(D43="","",IF(E43&lt;&gt;"",IF(E43&lt;=D43,"No prazo","Fora do prazo"),IF(N($D$11)=0,"",IF($D$11&gt;D43,"Atrasada",IF(D43-$D$11&lt;=60,"Vence em 60 dias","Prevista")))))</f>
        <v>Prevista</v>
      </c>
    </row>
    <row r="44" customFormat="false" ht="21.75" hidden="false" customHeight="true" outlineLevel="0" collapsed="false">
      <c r="B44" s="10" t="n">
        <v>7</v>
      </c>
      <c r="C44" s="4" t="s">
        <v>119</v>
      </c>
      <c r="D44" s="24" t="n">
        <f aca="false">IF(OR($D$10="",$D$9&lt;&gt;"ISO 9001:2015"),"",MIN($D$12,$D$13))</f>
        <v>47391</v>
      </c>
      <c r="E44" s="41"/>
      <c r="F44" s="25" t="str">
        <f aca="false">IF($D$9&lt;&gt;"ISO 9001:2015","Não se aplica",IF(D44="","",IF(E44&lt;&gt;"",IF(E44&lt;=D44,"No prazo","Fora do prazo"),IF(N($D$11)=0,"",IF($D$11&gt;D44,"Atrasada",IF(D44-$D$11&lt;=60,"Vence em 60 dias","Prevista"))))))</f>
        <v>Prevista</v>
      </c>
    </row>
    <row r="46" customFormat="false" ht="21.75" hidden="false" customHeight="true" outlineLevel="0" collapsed="false">
      <c r="B46" s="43" t="s">
        <v>121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</row>
    <row r="47" customFormat="false" ht="30" hidden="false" customHeight="true" outlineLevel="0" collapsed="false">
      <c r="B47" s="32" t="s">
        <v>61</v>
      </c>
      <c r="C47" s="32" t="s">
        <v>123</v>
      </c>
      <c r="D47" s="32" t="s">
        <v>124</v>
      </c>
      <c r="E47" s="32" t="s">
        <v>125</v>
      </c>
      <c r="F47" s="32" t="s">
        <v>126</v>
      </c>
      <c r="G47" s="32" t="s">
        <v>127</v>
      </c>
      <c r="H47" s="32" t="s">
        <v>128</v>
      </c>
      <c r="I47" s="32" t="s">
        <v>129</v>
      </c>
      <c r="J47" s="32" t="s">
        <v>130</v>
      </c>
      <c r="K47" s="32" t="s">
        <v>131</v>
      </c>
      <c r="L47" s="32" t="s">
        <v>132</v>
      </c>
      <c r="M47" s="32" t="s">
        <v>133</v>
      </c>
      <c r="N47" s="32" t="s">
        <v>112</v>
      </c>
      <c r="O47" s="32" t="s">
        <v>71</v>
      </c>
    </row>
    <row r="48" customFormat="false" ht="30.75" hidden="false" customHeight="true" outlineLevel="0" collapsed="false">
      <c r="B48" s="10" t="n">
        <v>1</v>
      </c>
      <c r="C48" s="44" t="s">
        <v>280</v>
      </c>
      <c r="D48" s="45" t="s">
        <v>73</v>
      </c>
      <c r="E48" s="41" t="n">
        <v>46680</v>
      </c>
      <c r="F48" s="45" t="s">
        <v>186</v>
      </c>
      <c r="G48" s="39" t="s">
        <v>246</v>
      </c>
      <c r="H48" s="40" t="s">
        <v>281</v>
      </c>
      <c r="I48" s="41" t="n">
        <v>46685</v>
      </c>
      <c r="J48" s="41" t="n">
        <v>46691</v>
      </c>
      <c r="K48" s="41" t="n">
        <v>46696</v>
      </c>
      <c r="L48" s="24" t="str">
        <f aca="false">IF(OR(E48="",AND(F48&lt;&gt;"NC maior",F48&lt;&gt;"NC menor")),"",E48+30)</f>
        <v/>
      </c>
      <c r="M48" s="24" t="str">
        <f aca="false">IF(OR(E48="",F48&lt;&gt;"NC maior"),"",E48+90)</f>
        <v/>
      </c>
      <c r="N48" s="25" t="str">
        <f aca="false">IF(OR(F48="",E48=""),"",IF(OR(F48="Oportunidade de melhoria",F48="Ponto de atenção da fase 1"),IF(K48&lt;&gt;"","Fechada",IF(F48="Ponto de atenção da fase 1","Tratar antes da fase 2","Para considerar")),IF(K48&lt;&gt;"","Fechada",IF(AND(I48="",N($D$11)&gt;L48),"Plano atrasado",IF(AND(F48="NC maior",N($D$11)&gt;M48),"Vencida: risco ao certificado",IF(AND(F48="NC menor",I48&lt;&gt;""),"Aguarda verificação","Aberta no prazo"))))))</f>
        <v>Fechada</v>
      </c>
      <c r="O48" s="16" t="str">
        <f aca="false">IF(AND(C48="",COUNTA(D48:K48)=0),"",IF(E48="","Falta a data da auditoria",IF(F48="","Falta o tipo",IF(G48="","Falta o requisito",IF(H48="","Falta a descrição",IF(AND(I48&lt;&gt;"",I48&lt;E48),"Plano antes da auditoria",IF(AND(F48="NC maior",K48&lt;&gt;"",J48=""),"Falta a conclusão da ação","OK")))))))</f>
        <v>OK</v>
      </c>
    </row>
    <row r="49" customFormat="false" ht="30.75" hidden="false" customHeight="true" outlineLevel="0" collapsed="false">
      <c r="B49" s="10" t="n">
        <v>2</v>
      </c>
      <c r="C49" s="44" t="s">
        <v>282</v>
      </c>
      <c r="D49" s="45" t="s">
        <v>73</v>
      </c>
      <c r="E49" s="41" t="n">
        <v>46680</v>
      </c>
      <c r="F49" s="45" t="s">
        <v>186</v>
      </c>
      <c r="G49" s="39" t="s">
        <v>283</v>
      </c>
      <c r="H49" s="40" t="s">
        <v>284</v>
      </c>
      <c r="I49" s="41" t="n">
        <v>46685</v>
      </c>
      <c r="J49" s="41" t="n">
        <v>46703</v>
      </c>
      <c r="K49" s="41" t="n">
        <v>46706</v>
      </c>
      <c r="L49" s="24" t="str">
        <f aca="false">IF(OR(E49="",AND(F49&lt;&gt;"NC maior",F49&lt;&gt;"NC menor")),"",E49+30)</f>
        <v/>
      </c>
      <c r="M49" s="24" t="str">
        <f aca="false">IF(OR(E49="",F49&lt;&gt;"NC maior"),"",E49+90)</f>
        <v/>
      </c>
      <c r="N49" s="25" t="str">
        <f aca="false">IF(OR(F49="",E49=""),"",IF(OR(F49="Oportunidade de melhoria",F49="Ponto de atenção da fase 1"),IF(K49&lt;&gt;"","Fechada",IF(F49="Ponto de atenção da fase 1","Tratar antes da fase 2","Para considerar")),IF(K49&lt;&gt;"","Fechada",IF(AND(I49="",N($D$11)&gt;L49),"Plano atrasado",IF(AND(F49="NC maior",N($D$11)&gt;M49),"Vencida: risco ao certificado",IF(AND(F49="NC menor",I49&lt;&gt;""),"Aguarda verificação","Aberta no prazo"))))))</f>
        <v>Fechada</v>
      </c>
      <c r="O49" s="16" t="str">
        <f aca="false">IF(AND(C49="",COUNTA(D49:K49)=0),"",IF(E49="","Falta a data da auditoria",IF(F49="","Falta o tipo",IF(G49="","Falta o requisito",IF(H49="","Falta a descrição",IF(AND(I49&lt;&gt;"",I49&lt;E49),"Plano antes da auditoria",IF(AND(F49="NC maior",K49&lt;&gt;"",J49=""),"Falta a conclusão da ação","OK")))))))</f>
        <v>OK</v>
      </c>
    </row>
    <row r="50" customFormat="false" ht="54.75" hidden="false" customHeight="true" outlineLevel="0" collapsed="false">
      <c r="B50" s="10" t="n">
        <v>3</v>
      </c>
      <c r="C50" s="44" t="s">
        <v>285</v>
      </c>
      <c r="D50" s="45" t="s">
        <v>81</v>
      </c>
      <c r="E50" s="41" t="n">
        <v>46714</v>
      </c>
      <c r="F50" s="45" t="s">
        <v>184</v>
      </c>
      <c r="G50" s="39" t="s">
        <v>286</v>
      </c>
      <c r="H50" s="40" t="s">
        <v>287</v>
      </c>
      <c r="I50" s="41" t="n">
        <v>46721</v>
      </c>
      <c r="J50" s="41" t="n">
        <v>46729</v>
      </c>
      <c r="K50" s="41" t="n">
        <v>46731</v>
      </c>
      <c r="L50" s="24" t="n">
        <f aca="false">IF(OR(E50="",AND(F50&lt;&gt;"NC maior",F50&lt;&gt;"NC menor")),"",E50+30)</f>
        <v>46744</v>
      </c>
      <c r="M50" s="24" t="n">
        <f aca="false">IF(OR(E50="",F50&lt;&gt;"NC maior"),"",E50+90)</f>
        <v>46804</v>
      </c>
      <c r="N50" s="25" t="str">
        <f aca="false">IF(OR(F50="",E50=""),"",IF(OR(F50="Oportunidade de melhoria",F50="Ponto de atenção da fase 1"),IF(K50&lt;&gt;"","Fechada",IF(F50="Ponto de atenção da fase 1","Tratar antes da fase 2","Para considerar")),IF(K50&lt;&gt;"","Fechada",IF(AND(I50="",N($D$11)&gt;L50),"Plano atrasado",IF(AND(F50="NC maior",N($D$11)&gt;M50),"Vencida: risco ao certificado",IF(AND(F50="NC menor",I50&lt;&gt;""),"Aguarda verificação","Aberta no prazo"))))))</f>
        <v>Fechada</v>
      </c>
      <c r="O50" s="16" t="str">
        <f aca="false">IF(AND(C50="",COUNTA(D50:K50)=0),"",IF(E50="","Falta a data da auditoria",IF(F50="","Falta o tipo",IF(G50="","Falta o requisito",IF(H50="","Falta a descrição",IF(AND(I50&lt;&gt;"",I50&lt;E50),"Plano antes da auditoria",IF(AND(F50="NC maior",K50&lt;&gt;"",J50=""),"Falta a conclusão da ação","OK")))))))</f>
        <v>OK</v>
      </c>
    </row>
    <row r="51" customFormat="false" ht="30.75" hidden="false" customHeight="true" outlineLevel="0" collapsed="false">
      <c r="B51" s="10" t="n">
        <v>4</v>
      </c>
      <c r="C51" s="44" t="s">
        <v>141</v>
      </c>
      <c r="D51" s="45" t="s">
        <v>81</v>
      </c>
      <c r="E51" s="41" t="n">
        <v>46714</v>
      </c>
      <c r="F51" s="45" t="s">
        <v>142</v>
      </c>
      <c r="G51" s="39" t="s">
        <v>143</v>
      </c>
      <c r="H51" s="40" t="s">
        <v>288</v>
      </c>
      <c r="I51" s="41" t="n">
        <v>46726</v>
      </c>
      <c r="J51" s="41"/>
      <c r="K51" s="41"/>
      <c r="L51" s="24" t="n">
        <f aca="false">IF(OR(E51="",AND(F51&lt;&gt;"NC maior",F51&lt;&gt;"NC menor")),"",E51+30)</f>
        <v>46744</v>
      </c>
      <c r="M51" s="24" t="str">
        <f aca="false">IF(OR(E51="",F51&lt;&gt;"NC maior"),"",E51+90)</f>
        <v/>
      </c>
      <c r="N51" s="25" t="str">
        <f aca="false">IF(OR(F51="",E51=""),"",IF(OR(F51="Oportunidade de melhoria",F51="Ponto de atenção da fase 1"),IF(K51&lt;&gt;"","Fechada",IF(F51="Ponto de atenção da fase 1","Tratar antes da fase 2","Para considerar")),IF(K51&lt;&gt;"","Fechada",IF(AND(I51="",N($D$11)&gt;L51),"Plano atrasado",IF(AND(F51="NC maior",N($D$11)&gt;M51),"Vencida: risco ao certificado",IF(AND(F51="NC menor",I51&lt;&gt;""),"Aguarda verificação","Aberta no prazo"))))))</f>
        <v>Aguarda verificação</v>
      </c>
      <c r="O51" s="16" t="str">
        <f aca="false">IF(AND(C51="",COUNTA(D51:K51)=0),"",IF(E51="","Falta a data da auditoria",IF(F51="","Falta o tipo",IF(G51="","Falta o requisito",IF(H51="","Falta a descrição",IF(AND(I51&lt;&gt;"",I51&lt;E51),"Plano antes da auditoria",IF(AND(F51="NC maior",K51&lt;&gt;"",J51=""),"Falta a conclusão da ação","OK")))))))</f>
        <v>OK</v>
      </c>
    </row>
    <row r="52" customFormat="false" ht="42.75" hidden="false" customHeight="true" outlineLevel="0" collapsed="false">
      <c r="B52" s="10" t="n">
        <v>5</v>
      </c>
      <c r="C52" s="44" t="s">
        <v>289</v>
      </c>
      <c r="D52" s="45" t="s">
        <v>81</v>
      </c>
      <c r="E52" s="41" t="n">
        <v>46714</v>
      </c>
      <c r="F52" s="45" t="s">
        <v>142</v>
      </c>
      <c r="G52" s="39" t="s">
        <v>290</v>
      </c>
      <c r="H52" s="40" t="s">
        <v>291</v>
      </c>
      <c r="I52" s="41"/>
      <c r="J52" s="41"/>
      <c r="K52" s="41"/>
      <c r="L52" s="24" t="n">
        <f aca="false">IF(OR(E52="",AND(F52&lt;&gt;"NC maior",F52&lt;&gt;"NC menor")),"",E52+30)</f>
        <v>46744</v>
      </c>
      <c r="M52" s="24" t="str">
        <f aca="false">IF(OR(E52="",F52&lt;&gt;"NC maior"),"",E52+90)</f>
        <v/>
      </c>
      <c r="N52" s="25" t="str">
        <f aca="false">IF(OR(F52="",E52=""),"",IF(OR(F52="Oportunidade de melhoria",F52="Ponto de atenção da fase 1"),IF(K52&lt;&gt;"","Fechada",IF(F52="Ponto de atenção da fase 1","Tratar antes da fase 2","Para considerar")),IF(K52&lt;&gt;"","Fechada",IF(AND(I52="",N($D$11)&gt;L52),"Plano atrasado",IF(AND(F52="NC maior",N($D$11)&gt;M52),"Vencida: risco ao certificado",IF(AND(F52="NC menor",I52&lt;&gt;""),"Aguarda verificação","Aberta no prazo"))))))</f>
        <v>Plano atrasado</v>
      </c>
      <c r="O52" s="16" t="str">
        <f aca="false">IF(AND(C52="",COUNTA(D52:K52)=0),"",IF(E52="","Falta a data da auditoria",IF(F52="","Falta o tipo",IF(G52="","Falta o requisito",IF(H52="","Falta a descrição",IF(AND(I52&lt;&gt;"",I52&lt;E52),"Plano antes da auditoria",IF(AND(F52="NC maior",K52&lt;&gt;"",J52=""),"Falta a conclusão da ação","OK")))))))</f>
        <v>OK</v>
      </c>
    </row>
    <row r="53" customFormat="false" ht="30.75" hidden="false" customHeight="true" outlineLevel="0" collapsed="false">
      <c r="B53" s="10" t="n">
        <v>6</v>
      </c>
      <c r="C53" s="44" t="s">
        <v>292</v>
      </c>
      <c r="D53" s="45" t="s">
        <v>81</v>
      </c>
      <c r="E53" s="41" t="n">
        <v>46714</v>
      </c>
      <c r="F53" s="45" t="s">
        <v>185</v>
      </c>
      <c r="G53" s="39" t="s">
        <v>293</v>
      </c>
      <c r="H53" s="40" t="s">
        <v>294</v>
      </c>
      <c r="I53" s="41"/>
      <c r="J53" s="41"/>
      <c r="K53" s="41"/>
      <c r="L53" s="24" t="str">
        <f aca="false">IF(OR(E53="",AND(F53&lt;&gt;"NC maior",F53&lt;&gt;"NC menor")),"",E53+30)</f>
        <v/>
      </c>
      <c r="M53" s="24" t="str">
        <f aca="false">IF(OR(E53="",F53&lt;&gt;"NC maior"),"",E53+90)</f>
        <v/>
      </c>
      <c r="N53" s="25" t="str">
        <f aca="false">IF(OR(F53="",E53=""),"",IF(OR(F53="Oportunidade de melhoria",F53="Ponto de atenção da fase 1"),IF(K53&lt;&gt;"","Fechada",IF(F53="Ponto de atenção da fase 1","Tratar antes da fase 2","Para considerar")),IF(K53&lt;&gt;"","Fechada",IF(AND(I53="",N($D$11)&gt;L53),"Plano atrasado",IF(AND(F53="NC maior",N($D$11)&gt;M53),"Vencida: risco ao certificado",IF(AND(F53="NC menor",I53&lt;&gt;""),"Aguarda verificação","Aberta no prazo"))))))</f>
        <v>Para considerar</v>
      </c>
      <c r="O53" s="16" t="str">
        <f aca="false">IF(AND(C53="",COUNTA(D53:K53)=0),"",IF(E53="","Falta a data da auditoria",IF(F53="","Falta o tipo",IF(G53="","Falta o requisito",IF(H53="","Falta a descrição",IF(AND(I53&lt;&gt;"",I53&lt;E53),"Plano antes da auditoria",IF(AND(F53="NC maior",K53&lt;&gt;"",J53=""),"Falta a conclusão da ação","OK")))))))</f>
        <v>OK</v>
      </c>
    </row>
    <row r="55" customFormat="false" ht="21.75" hidden="false" customHeight="true" outlineLevel="0" collapsed="false">
      <c r="B55" s="17" t="s">
        <v>90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customFormat="false" ht="21.75" hidden="false" customHeight="true" outlineLevel="0" collapsed="false">
      <c r="B56" s="18" t="s">
        <v>14</v>
      </c>
      <c r="C56" s="18"/>
      <c r="D56" s="18"/>
      <c r="E56" s="20" t="str">
        <f aca="false">TEXT(D31,"0%")&amp;" atendido. "&amp;D34</f>
        <v>93% atendido. Pronta para a fase 1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customFormat="false" ht="21.75" hidden="false" customHeight="true" outlineLevel="0" collapsed="false">
      <c r="B57" s="18" t="s">
        <v>39</v>
      </c>
      <c r="C57" s="18"/>
      <c r="D57" s="18"/>
      <c r="E57" s="20" t="str">
        <f aca="false">COUNTIF(F38:F44,"Realizada")&amp;" realizada"&amp;", "&amp;COUNTIF(F38:F44,"No prazo")&amp;" no prazo"&amp;", "&amp;COUNTIF(F38:F44,"Vence em 60 dias")&amp;" vence em 60 dias"&amp;", "&amp;COUNTIF(F38:F44,"Atrasada")&amp;" atrasada"&amp;", "&amp;COUNTIF(F38:F44,"Prevista")&amp;" prevista"</f>
        <v>2 realizada, 1 no prazo, 0 vence em 60 dias, 0 atrasada, 4 prevista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customFormat="false" ht="21.75" hidden="false" customHeight="true" outlineLevel="0" collapsed="false">
      <c r="B58" s="18" t="s">
        <v>41</v>
      </c>
      <c r="C58" s="18"/>
      <c r="D58" s="18"/>
      <c r="E58" s="20" t="str">
        <f aca="false">COUNTIF(N48:N53,"Fechada")&amp;" fechada"&amp;", "&amp;COUNTIF(N48:N53,"Aguarda verificação")&amp;" aguarda verificação"&amp;", "&amp;COUNTIF(N48:N53,"Plano atrasado")&amp;" plano atrasado"&amp;", "&amp;COUNTIF(N48:N53,"Vencida: risco ao certificado")&amp;" vencida: risco ao certificado"&amp;", "&amp;COUNTIF(N48:N53,"Para considerar")&amp;" para considerar"</f>
        <v>3 fechada, 1 aguarda verificação, 1 plano atrasado, 0 vencida: risco ao certificado, 1 para considerar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customFormat="false" ht="21.75" hidden="false" customHeight="true" outlineLevel="0" collapsed="false">
      <c r="B59" s="18" t="s">
        <v>181</v>
      </c>
      <c r="C59" s="18"/>
      <c r="D59" s="18"/>
      <c r="E59" s="20" t="n">
        <f aca="false">SUMPRODUCT((L17:L30&lt;&gt;"OK")*1)+SUMPRODUCT((O48:O53&lt;&gt;"OK")*1)</f>
        <v>0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</row>
  </sheetData>
  <mergeCells count="51">
    <mergeCell ref="B1:O1"/>
    <mergeCell ref="B2:O2"/>
    <mergeCell ref="B4:C4"/>
    <mergeCell ref="D4:O4"/>
    <mergeCell ref="B5:C5"/>
    <mergeCell ref="D5:O5"/>
    <mergeCell ref="B6:C6"/>
    <mergeCell ref="D6:O6"/>
    <mergeCell ref="B7:C7"/>
    <mergeCell ref="D7:O7"/>
    <mergeCell ref="B8:C8"/>
    <mergeCell ref="B9:C9"/>
    <mergeCell ref="B10:C10"/>
    <mergeCell ref="B11:C11"/>
    <mergeCell ref="B12:C12"/>
    <mergeCell ref="B13:C13"/>
    <mergeCell ref="B15:O15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B31:C31"/>
    <mergeCell ref="D31:F31"/>
    <mergeCell ref="B32:C32"/>
    <mergeCell ref="D32:F32"/>
    <mergeCell ref="B33:C33"/>
    <mergeCell ref="D33:F33"/>
    <mergeCell ref="B34:C34"/>
    <mergeCell ref="D34:F34"/>
    <mergeCell ref="B36:O36"/>
    <mergeCell ref="B46:O46"/>
    <mergeCell ref="B55:O55"/>
    <mergeCell ref="B56:D56"/>
    <mergeCell ref="E56:O56"/>
    <mergeCell ref="B57:D57"/>
    <mergeCell ref="E57:O57"/>
    <mergeCell ref="B58:D58"/>
    <mergeCell ref="E58:O58"/>
    <mergeCell ref="B59:D59"/>
    <mergeCell ref="E59:O59"/>
  </mergeCells>
  <conditionalFormatting sqref="F17:F30">
    <cfRule type="expression" priority="2" aboveAverage="0" equalAverage="0" bottom="0" percent="0" rank="0" text="" dxfId="0">
      <formula>F17="Sim"</formula>
    </cfRule>
    <cfRule type="expression" priority="3" aboveAverage="0" equalAverage="0" bottom="0" percent="0" rank="0" text="" dxfId="1">
      <formula>F17="Parcial"</formula>
    </cfRule>
    <cfRule type="expression" priority="4" aboveAverage="0" equalAverage="0" bottom="0" percent="0" rank="0" text="" dxfId="2">
      <formula>F17="Não"</formula>
    </cfRule>
    <cfRule type="expression" priority="5" aboveAverage="0" equalAverage="0" bottom="0" percent="0" rank="0" text="" dxfId="2">
      <formula>AND($E17="Sim",F17&lt;&gt;"",F17&lt;&gt;"Sim")</formula>
    </cfRule>
  </conditionalFormatting>
  <conditionalFormatting sqref="L17:O30">
    <cfRule type="expression" priority="6" aboveAverage="0" equalAverage="0" bottom="0" percent="0" rank="0" text="" dxfId="0">
      <formula>OR($L17="OK")</formula>
    </cfRule>
    <cfRule type="expression" priority="7" aboveAverage="0" equalAverage="0" bottom="0" percent="0" rank="0" text="" dxfId="1">
      <formula>AND(LEN($L17)&gt;0,NOT(OR($L17="OK")))</formula>
    </cfRule>
  </conditionalFormatting>
  <conditionalFormatting sqref="D34:F34">
    <cfRule type="expression" priority="8" aboveAverage="0" equalAverage="0" bottom="0" percent="0" rank="0" text="" dxfId="0">
      <formula>$D34="Pronta para a fase 2"</formula>
    </cfRule>
    <cfRule type="expression" priority="9" aboveAverage="0" equalAverage="0" bottom="0" percent="0" rank="0" text="" dxfId="3">
      <formula>$D34="Pronta para a fase 1"</formula>
    </cfRule>
    <cfRule type="expression" priority="10" aboveAverage="0" equalAverage="0" bottom="0" percent="0" rank="0" text="" dxfId="2">
      <formula>$D34="Ainda não está pronta"</formula>
    </cfRule>
  </conditionalFormatting>
  <conditionalFormatting sqref="F38:F44">
    <cfRule type="expression" priority="11" aboveAverage="0" equalAverage="0" bottom="0" percent="0" rank="0" text="" dxfId="0">
      <formula>F38="Realizada"</formula>
    </cfRule>
    <cfRule type="expression" priority="12" aboveAverage="0" equalAverage="0" bottom="0" percent="0" rank="0" text="" dxfId="0">
      <formula>F38="No prazo"</formula>
    </cfRule>
    <cfRule type="expression" priority="13" aboveAverage="0" equalAverage="0" bottom="0" percent="0" rank="0" text="" dxfId="2">
      <formula>F38="Fora do prazo"</formula>
    </cfRule>
    <cfRule type="expression" priority="14" aboveAverage="0" equalAverage="0" bottom="0" percent="0" rank="0" text="" dxfId="2">
      <formula>F38="Atrasada"</formula>
    </cfRule>
    <cfRule type="expression" priority="15" aboveAverage="0" equalAverage="0" bottom="0" percent="0" rank="0" text="" dxfId="3">
      <formula>F38="Vence em 60 dias"</formula>
    </cfRule>
    <cfRule type="expression" priority="16" aboveAverage="0" equalAverage="0" bottom="0" percent="0" rank="0" text="" dxfId="4">
      <formula>F38="Prevista"</formula>
    </cfRule>
    <cfRule type="expression" priority="17" aboveAverage="0" equalAverage="0" bottom="0" percent="0" rank="0" text="" dxfId="4">
      <formula>F38="Não se aplica"</formula>
    </cfRule>
  </conditionalFormatting>
  <conditionalFormatting sqref="N48:N53">
    <cfRule type="expression" priority="18" aboveAverage="0" equalAverage="0" bottom="0" percent="0" rank="0" text="" dxfId="0">
      <formula>N48="Fechada"</formula>
    </cfRule>
    <cfRule type="expression" priority="19" aboveAverage="0" equalAverage="0" bottom="0" percent="0" rank="0" text="" dxfId="2">
      <formula>N48="Plano atrasado"</formula>
    </cfRule>
    <cfRule type="expression" priority="20" aboveAverage="0" equalAverage="0" bottom="0" percent="0" rank="0" text="" dxfId="2">
      <formula>N48="Vencida: risco ao certificado"</formula>
    </cfRule>
    <cfRule type="expression" priority="21" aboveAverage="0" equalAverage="0" bottom="0" percent="0" rank="0" text="" dxfId="3">
      <formula>N48="Aguarda verificação"</formula>
    </cfRule>
    <cfRule type="expression" priority="22" aboveAverage="0" equalAverage="0" bottom="0" percent="0" rank="0" text="" dxfId="3">
      <formula>N48="Aberta no prazo"</formula>
    </cfRule>
    <cfRule type="expression" priority="23" aboveAverage="0" equalAverage="0" bottom="0" percent="0" rank="0" text="" dxfId="3">
      <formula>N48="Tratar antes da fase 2"</formula>
    </cfRule>
    <cfRule type="expression" priority="24" aboveAverage="0" equalAverage="0" bottom="0" percent="0" rank="0" text="" dxfId="4">
      <formula>N48="Para considerar"</formula>
    </cfRule>
  </conditionalFormatting>
  <conditionalFormatting sqref="F48:F53">
    <cfRule type="expression" priority="25" aboveAverage="0" equalAverage="0" bottom="0" percent="0" rank="0" text="" dxfId="2">
      <formula>F48="NC maior"</formula>
    </cfRule>
    <cfRule type="expression" priority="26" aboveAverage="0" equalAverage="0" bottom="0" percent="0" rank="0" text="" dxfId="3">
      <formula>F48="NC menor"</formula>
    </cfRule>
  </conditionalFormatting>
  <conditionalFormatting sqref="O48:O53">
    <cfRule type="expression" priority="27" aboveAverage="0" equalAverage="0" bottom="0" percent="0" rank="0" text="" dxfId="0">
      <formula>OR(O48="OK")</formula>
    </cfRule>
    <cfRule type="expression" priority="28" aboveAverage="0" equalAverage="0" bottom="0" percent="0" rank="0" text="" dxfId="1">
      <formula>AND(LEN(O48)&gt;0,NOT(OR(O48="OK")))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5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2026-10-03T13:23:14Z</dcterms:created>
  <dc:creator>Modelo Certificação</dc:creator>
  <dc:description/>
  <dc:language>pt-BR</dc:language>
  <cp:lastModifiedBy/>
  <dcterms:modified xsi:type="dcterms:W3CDTF">2026-10-03T13:23:14Z</dcterms:modified>
  <cp:revision>0</cp:revision>
  <dc:subject/>
  <dc:title>Processo de certificação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