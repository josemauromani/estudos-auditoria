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RACI" sheetId="2" state="visible" r:id="rId4"/>
    <sheet name="Análise" sheetId="3" state="visible" r:id="rId5"/>
    <sheet name="Comunicação" sheetId="4" state="visible" r:id="rId6"/>
    <sheet name="Checklist" sheetId="5" state="visible" r:id="rId7"/>
    <sheet name="Exemplo 1 - Pizzaria" sheetId="6" state="visible" r:id="rId8"/>
    <sheet name="Exemplo 2 - Compras" sheetId="7" state="visible" r:id="rId9"/>
  </sheets>
  <definedNames>
    <definedName function="false" hidden="false" localSheetId="2" name="_xlnm.Print_Area" vbProcedure="false">Análise!$B$1:$J$42</definedName>
    <definedName function="false" hidden="false" localSheetId="4" name="_xlnm.Print_Area" vbProcedure="false">Checklist!$B$1:$E$24</definedName>
    <definedName function="false" hidden="false" localSheetId="3" name="_xlnm.Print_Area" vbProcedure="false">Comunicação!$B$1:$I$21</definedName>
    <definedName function="false" hidden="false" localSheetId="5" name="_xlnm.Print_Area" vbProcedure="false">'Exemplo 1 - Pizzaria'!$B$1:$O$47</definedName>
    <definedName function="false" hidden="false" localSheetId="5" name="_xlnm.Print_Titles" vbProcedure="false">'Exemplo 1 - Pizzaria'!$12:$12</definedName>
    <definedName function="false" hidden="false" localSheetId="6" name="_xlnm.Print_Area" vbProcedure="false">'Exemplo 2 - Compras'!$B$1:$O$47</definedName>
    <definedName function="false" hidden="false" localSheetId="6" name="_xlnm.Print_Titles" vbProcedure="false">'Exemplo 2 - Compras'!$12:$12</definedName>
    <definedName function="false" hidden="false" localSheetId="0" name="_xlnm.Print_Area" vbProcedure="false">Instruções!$B$1:$C$44</definedName>
    <definedName function="false" hidden="false" localSheetId="1" name="_xlnm.Print_Area" vbProcedure="false">RACI!$B$1:$O$47</definedName>
    <definedName function="false" hidden="false" localSheetId="1" name="_xlnm.Print_Titles" vbProcedure="false">RACI!$12:$12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O processo ou o projeto coberto pela matriz.
Ex.: "Adquirir materiais e serviços".</t>
        </r>
      </text>
    </comment>
    <comment ref="D7" authorId="0">
      <text>
        <r>
          <rPr>
            <sz val="10"/>
            <rFont val="Arial"/>
            <family val="2"/>
          </rPr>
          <t xml:space="preserve">Onde o processo começa e onde termina.
Ex.: "Da requisição de compra à liberação da nota fiscal".</t>
        </r>
      </text>
    </comment>
    <comment ref="D8" authorId="0">
      <text>
        <r>
          <rPr>
            <sz val="10"/>
            <rFont val="Arial"/>
            <family val="2"/>
          </rPr>
          <t xml:space="preserve">De onde vieram as atividades.
Ex.: "Macroetapas do SIPOC", "Fluxograma do processo".</t>
        </r>
      </text>
    </comment>
    <comment ref="E12" authorId="0">
      <text>
        <r>
          <rPr>
            <sz val="10"/>
            <rFont val="Arial"/>
            <family val="2"/>
          </rPr>
          <t xml:space="preserve">Escreva um cargo ou uma função, e não o nome de uma pessoa.
Ex.: Comprador, Gerente de Suprimentos.</t>
        </r>
      </text>
    </comment>
    <comment ref="M12" authorId="0">
      <text>
        <r>
          <rPr>
            <sz val="10"/>
            <rFont val="Arial"/>
            <family val="2"/>
          </rPr>
          <t xml:space="preserve">Quantidade de A na linha. Cada atividade deve ter um, e só um. A célula A/R conta como A e como R.</t>
        </r>
      </text>
    </comment>
    <comment ref="N12" authorId="0">
      <text>
        <r>
          <rPr>
            <sz val="10"/>
            <rFont val="Arial"/>
            <family val="2"/>
          </rPr>
          <t xml:space="preserve">Quantidade de R na linha. Cada atividade deve ter pelo menos um.</t>
        </r>
      </text>
    </comment>
  </commentList>
</comments>
</file>

<file path=xl/sharedStrings.xml><?xml version="1.0" encoding="utf-8"?>
<sst xmlns="http://schemas.openxmlformats.org/spreadsheetml/2006/main" count="387" uniqueCount="205">
  <si>
    <t xml:space="preserve">RACI — Como usar esta planilha</t>
  </si>
  <si>
    <t xml:space="preserve">Modelo para definir quem executa, quem responde, quem é consultado e quem é informado em cada atividade.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</si>
  <si>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</si>
  <si>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</si>
  <si>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</si>
  <si>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</si>
  <si>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</si>
  <si>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</si>
  <si>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</si>
  <si>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</si>
  <si>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As células da matriz aceitam apenas R, A, A/R, C ou I. Deixe em branco quando o papel não participa da atividade.</t>
  </si>
  <si>
    <t xml:space="preserve">Comentários</t>
  </si>
  <si>
    <t xml:space="preserve">Células com triângulo vermelho no canto trazem uma dica de preenchimento. Passe o mouse sobre elas.</t>
  </si>
  <si>
    <t xml:space="preserve">As quatro letras</t>
  </si>
  <si>
    <t xml:space="preserve">R</t>
  </si>
  <si>
    <t xml:space="preserve">Responsável: executa a atividade ou coordena a execução. Pelo menos um por atividade.</t>
  </si>
  <si>
    <t xml:space="preserve">A</t>
  </si>
  <si>
    <t xml:space="preserve">Aprovador: responde pelo resultado e tem autoridade para decidir. Um, e só um, por atividade.</t>
  </si>
  <si>
    <t xml:space="preserve">C</t>
  </si>
  <si>
    <t xml:space="preserve">Consultado: é ouvido antes da decisão ou da execução. Conversa de mão dupla.</t>
  </si>
  <si>
    <t xml:space="preserve">I</t>
  </si>
  <si>
    <t xml:space="preserve">Informado: recebe a notícia do que foi decidido ou feito. Aviso de mão única.</t>
  </si>
  <si>
    <t xml:space="preserve">A/R</t>
  </si>
  <si>
    <t xml:space="preserve">O mesmo papel executa e responde pelo resultado. Conta como A e como R nas conferências.</t>
  </si>
  <si>
    <t xml:space="preserve">Ordem recomendada de preenchimento</t>
  </si>
  <si>
    <t xml:space="preserve">Passo 1</t>
  </si>
  <si>
    <t xml:space="preserve">Aba RACI: preencha o cabeçalho, com o processo e o escopo: onde começa e onde termina.</t>
  </si>
  <si>
    <t xml:space="preserve">Passo 2</t>
  </si>
  <si>
    <t xml:space="preserve">Aba RACI: liste as atividades, com verbo no infinitivo e objeto, todas no mesmo nível de detalhe.</t>
  </si>
  <si>
    <t xml:space="preserve">Passo 3</t>
  </si>
  <si>
    <t xml:space="preserve">Aba RACI: escreva os papéis na linha de cabeçalho da matriz. Use cargos ou funções, e não nomes.</t>
  </si>
  <si>
    <t xml:space="preserve">Passo 4</t>
  </si>
  <si>
    <t xml:space="preserve">Aba RACI: marque o A de cada atividade. Um por linha.</t>
  </si>
  <si>
    <t xml:space="preserve">Passo 5</t>
  </si>
  <si>
    <t xml:space="preserve">Aba RACI: marque os R. Use A/R quando o mesmo papel executa e responde.</t>
  </si>
  <si>
    <t xml:space="preserve">Passo 6</t>
  </si>
  <si>
    <t xml:space="preserve">Aba RACI: marque os C e os I. Na dúvida entre os dois, escolha I.</t>
  </si>
  <si>
    <t xml:space="preserve">Passo 7</t>
  </si>
  <si>
    <t xml:space="preserve">Aba RACI: confira os avisos de cada linha e de cada coluna. Aba Análise: veja a carga por papel.</t>
  </si>
  <si>
    <t xml:space="preserve">Passo 8</t>
  </si>
  <si>
    <t xml:space="preserve">Aba Comunicação: registre quem ocupa cada papel, quem substitui e como a matriz foi comunicada.</t>
  </si>
  <si>
    <t xml:space="preserve">Passo 9</t>
  </si>
  <si>
    <t xml:space="preserve">Aba Checklist: valide a matriz com quem ocupa os papéis.</t>
  </si>
  <si>
    <t xml:space="preserve">Abas da planilha</t>
  </si>
  <si>
    <t xml:space="preserve">RACI</t>
  </si>
  <si>
    <t xml:space="preserve">Modelo principal. Cabeçalho, matriz com até 15 atividades e 8 papéis, conferências e resumo automático.</t>
  </si>
  <si>
    <t xml:space="preserve">Análise</t>
  </si>
  <si>
    <t xml:space="preserve">Carga de cada papel, com contagem de R, A, C e I, participação, leitura da coluna e gráfico.</t>
  </si>
  <si>
    <t xml:space="preserve">Comunicação</t>
  </si>
  <si>
    <t xml:space="preserve">Quem ocupa cada papel, quem substitui, e como e quando a matriz foi comunicada e entendida.</t>
  </si>
  <si>
    <t xml:space="preserve">Checklist</t>
  </si>
  <si>
    <t xml:space="preserve">Doze verificações de qualidade da matriz, com percentual de conclusão.</t>
  </si>
  <si>
    <t xml:space="preserve">Exemplo 1 - Pizzaria</t>
  </si>
  <si>
    <t xml:space="preserve">Matriz preenchida de um processo operacional, com cinco papéis.</t>
  </si>
  <si>
    <t xml:space="preserve">Exemplo 2 - Compras</t>
  </si>
  <si>
    <t xml:space="preserve">Matriz preenchida de um processo que atravessa seis áreas, com avisos de gargalo e de sobrecarga.</t>
  </si>
  <si>
    <t xml:space="preserve">Regras e premissas do modelo</t>
  </si>
  <si>
    <t xml:space="preserve">Conferência da linha</t>
  </si>
  <si>
    <t xml:space="preserve">Cada atividade deve ter um único A e pelo menos um R. O aviso também aparece quando há mais de três consultados ou quando todos os papéis participam da atividade.</t>
  </si>
  <si>
    <t xml:space="preserve">Conferência da coluna</t>
  </si>
  <si>
    <t xml:space="preserve">Com cinco atividades ou mais, o aviso aparece quando um papel tem A ou R em mais de 60% delas. O limite é uma referência do modelo: a decisão sobre redistribuir é do grupo.</t>
  </si>
  <si>
    <t xml:space="preserve">Papéis, não pessoas</t>
  </si>
  <si>
    <t xml:space="preserve">As colunas da matriz trazem cargos ou funções. A relação entre o papel e as pessoas que o ocupam fica na aba Comunicação.</t>
  </si>
  <si>
    <t xml:space="preserve">Célula em branco</t>
  </si>
  <si>
    <t xml:space="preserve">Deixar a célula em branco é uma resposta válida: o papel não participa da atividade.</t>
  </si>
  <si>
    <t xml:space="preserve">Capacidade</t>
  </si>
  <si>
    <t xml:space="preserve">A planilha comporta 15 atividades e 8 papéis. Se faltar espaço, divida o processo em duas matrizes.</t>
  </si>
  <si>
    <t xml:space="preserve">Exemplos</t>
  </si>
  <si>
    <t xml:space="preserve">Os dados das abas de exemplo são ilustrativos, criados para este material.</t>
  </si>
  <si>
    <t xml:space="preserve">RACI — Matriz de responsabilidades</t>
  </si>
  <si>
    <t xml:space="preserve">Preencha as células em amarelo-claro. As células cinza são calculadas automaticamente.</t>
  </si>
  <si>
    <t xml:space="preserve">Processo ou projeto</t>
  </si>
  <si>
    <t xml:space="preserve">Dono do processo</t>
  </si>
  <si>
    <t xml:space="preserve">Área / unidade</t>
  </si>
  <si>
    <t xml:space="preserve">Data</t>
  </si>
  <si>
    <t xml:space="preserve">Elaborado por</t>
  </si>
  <si>
    <t xml:space="preserve">Versão</t>
  </si>
  <si>
    <t xml:space="preserve">Escopo</t>
  </si>
  <si>
    <t xml:space="preserve">Origem das atividades</t>
  </si>
  <si>
    <t xml:space="preserve">Participantes</t>
  </si>
  <si>
    <t xml:space="preserve">Fora do escopo</t>
  </si>
  <si>
    <t xml:space="preserve">Atividades</t>
  </si>
  <si>
    <t xml:space="preserve">Papéis</t>
  </si>
  <si>
    <t xml:space="preserve">#</t>
  </si>
  <si>
    <t xml:space="preserve">Atividade</t>
  </si>
  <si>
    <t xml:space="preserve">Aviso da linha</t>
  </si>
  <si>
    <t xml:space="preserve">Verbo no infinitivo + objeto</t>
  </si>
  <si>
    <t xml:space="preserve">Cargo ou função na linha de cima. Nas células: R, A, A/R, C ou I</t>
  </si>
  <si>
    <t xml:space="preserve">Deve ser 1</t>
  </si>
  <si>
    <t xml:space="preserve">1 ou mais</t>
  </si>
  <si>
    <t xml:space="preserve">Calculado</t>
  </si>
  <si>
    <t xml:space="preserve">Ex.</t>
  </si>
  <si>
    <t xml:space="preserve">Cotar com fornecedores</t>
  </si>
  <si>
    <t xml:space="preserve">OK</t>
  </si>
  <si>
    <t xml:space="preserve">Conferência da coluna: carga por papel</t>
  </si>
  <si>
    <t xml:space="preserve">Atividades em que executa (R)</t>
  </si>
  <si>
    <t xml:space="preserve">Atividades em que responde (A)</t>
  </si>
  <si>
    <t xml:space="preserve">Atividades em que é consultado (C)</t>
  </si>
  <si>
    <t xml:space="preserve">Atividades em que é informado (I)</t>
  </si>
  <si>
    <t xml:space="preserve">Total de participações</t>
  </si>
  <si>
    <t xml:space="preserve">Aviso da coluna</t>
  </si>
  <si>
    <t xml:space="preserve">Resumo automático</t>
  </si>
  <si>
    <t xml:space="preserve">Atividades listadas</t>
  </si>
  <si>
    <t xml:space="preserve">Papéis definidos</t>
  </si>
  <si>
    <t xml:space="preserve">Atividades sem aviso</t>
  </si>
  <si>
    <t xml:space="preserve">Atividades sem A ou com mais de um A</t>
  </si>
  <si>
    <t xml:space="preserve">Atividades sem R</t>
  </si>
  <si>
    <t xml:space="preserve">Papéis com aviso</t>
  </si>
  <si>
    <t xml:space="preserve">Situação da matriz</t>
  </si>
  <si>
    <t xml:space="preserve">Campos do cabeçalho preenchidos</t>
  </si>
  <si>
    <t xml:space="preserve">Análise — carga por papel</t>
  </si>
  <si>
    <t xml:space="preserve">Esta aba é calculada a partir da aba RACI. Não há nada para digitar aqui.</t>
  </si>
  <si>
    <t xml:space="preserve">Participação de cada papel</t>
  </si>
  <si>
    <t xml:space="preserve">Papel</t>
  </si>
  <si>
    <t xml:space="preserve">Total</t>
  </si>
  <si>
    <t xml:space="preserve">Atividades de que participa</t>
  </si>
  <si>
    <t xml:space="preserve">Leitura da coluna</t>
  </si>
  <si>
    <t xml:space="preserve">Atividades na matriz</t>
  </si>
  <si>
    <t xml:space="preserve">Papéis na matriz</t>
  </si>
  <si>
    <t xml:space="preserve">Papel com mais R</t>
  </si>
  <si>
    <t xml:space="preserve">Papel com mais A</t>
  </si>
  <si>
    <t xml:space="preserve">Letras por atividade, em média</t>
  </si>
  <si>
    <t xml:space="preserve">Gráfico: letras por papel</t>
  </si>
  <si>
    <t xml:space="preserve">Comunicação dos papéis</t>
  </si>
  <si>
    <t xml:space="preserve">Os papéis vêm da aba RACI. Registre quem ocupa cada um, quem substitui e como a matriz foi comunicada.</t>
  </si>
  <si>
    <t xml:space="preserve">Quem ocupa</t>
  </si>
  <si>
    <t xml:space="preserve">Substituto</t>
  </si>
  <si>
    <t xml:space="preserve">Forma de comunicação</t>
  </si>
  <si>
    <t xml:space="preserve">Entendido?</t>
  </si>
  <si>
    <t xml:space="preserve">Observações</t>
  </si>
  <si>
    <t xml:space="preserve">Comprador</t>
  </si>
  <si>
    <t xml:space="preserve">Três compradores da equipe de Suprimentos</t>
  </si>
  <si>
    <t xml:space="preserve">Comprador sênior</t>
  </si>
  <si>
    <t xml:space="preserve">Reunião da área, com a matriz projetada</t>
  </si>
  <si>
    <t xml:space="preserve">Sim</t>
  </si>
  <si>
    <t xml:space="preserve">Matriz afixada no quadro da área</t>
  </si>
  <si>
    <t xml:space="preserve">Papéis com ocupante registrado</t>
  </si>
  <si>
    <t xml:space="preserve">Papéis com substituto</t>
  </si>
  <si>
    <t xml:space="preserve">Papéis comunicados</t>
  </si>
  <si>
    <t xml:space="preserve">Papéis que entenderam (Sim)</t>
  </si>
  <si>
    <t xml:space="preserve">Situação</t>
  </si>
  <si>
    <t xml:space="preserve">Checklist de validação da Matriz RACI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</si>
  <si>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</si>
  <si>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</si>
  <si>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</si>
  <si>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 escopo da matriz está definido: um processo ou um projeto, com início e fim.</t>
  </si>
  <si>
    <t xml:space="preserve">As atividades estão escritas com verbo no infinitivo e objeto.</t>
  </si>
  <si>
    <t xml:space="preserve">As atividades têm o mesmo nível de detalhe.</t>
  </si>
  <si>
    <t xml:space="preserve">As colunas trazem papéis ou cargos, e não nomes de pessoas.</t>
  </si>
  <si>
    <t xml:space="preserve">Cada atividade tem um único A.</t>
  </si>
  <si>
    <t xml:space="preserve">Cada atividade tem pelo menos um R.</t>
  </si>
  <si>
    <t xml:space="preserve">Os consultados de cada atividade são só os necessários.</t>
  </si>
  <si>
    <t xml:space="preserve">Nenhum papel concentra R ou A a ponto de virar sobrecarga ou gargalo.</t>
  </si>
  <si>
    <t xml:space="preserve">Quem tem o A tem autoridade para decidir sobre a atividade.</t>
  </si>
  <si>
    <t xml:space="preserve">A matriz foi construída com a participação de quem ocupa os papéis.</t>
  </si>
  <si>
    <t xml:space="preserve">A matriz foi comunicada, e as pessoas entendem o próprio papel.</t>
  </si>
  <si>
    <t xml:space="preserve">A data da próxima revisão está marcada.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</si>
  <si>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</si>
  <si>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</si>
  <si>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</si>
  <si>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</si>
  <si>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</si>
  <si>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 aba RACI para a sua matriz.</t>
  </si>
  <si>
    <t xml:space="preserve">Atender pedido de delivery</t>
  </si>
  <si>
    <t xml:space="preserve">Gerente da loja</t>
  </si>
  <si>
    <t xml:space="preserve">Pizzaria (loja)</t>
  </si>
  <si>
    <t xml:space="preserve">Equipe da loja</t>
  </si>
  <si>
    <t xml:space="preserve">1.0</t>
  </si>
  <si>
    <t xml:space="preserve">Do pedido confirmado pelo cliente até o pagamento recebido, mais a rotina de escala e de acompanhamento.</t>
  </si>
  <si>
    <t xml:space="preserve">Macroetapas do SIPOC do processo</t>
  </si>
  <si>
    <t xml:space="preserve">Gerente, atendente, pizzaiolo, líder da expedição e um entregador</t>
  </si>
  <si>
    <t xml:space="preserve">Compra de ingredientes e atendimento no salão.</t>
  </si>
  <si>
    <t xml:space="preserve">Atendente</t>
  </si>
  <si>
    <t xml:space="preserve">Pizzaiolo</t>
  </si>
  <si>
    <t xml:space="preserve">Líder da expedição</t>
  </si>
  <si>
    <t xml:space="preserve">Entregador</t>
  </si>
  <si>
    <t xml:space="preserve">Leia na horizontal para conferir cada atividade: um A e pelo menos um R. Leia na vertical para conferir a carga de cada papel.</t>
  </si>
  <si>
    <t xml:space="preserve">Registrar o pedido</t>
  </si>
  <si>
    <t xml:space="preserve">Montar e assar a pizza</t>
  </si>
  <si>
    <t xml:space="preserve">Embalar e conferir o pedido</t>
  </si>
  <si>
    <t xml:space="preserve">Agrupar os pedidos por bairro e despachar</t>
  </si>
  <si>
    <t xml:space="preserve">Entregar ao cliente</t>
  </si>
  <si>
    <t xml:space="preserve">Confirmar o pagamento</t>
  </si>
  <si>
    <t xml:space="preserve">Tratar a reclamação do cliente</t>
  </si>
  <si>
    <t xml:space="preserve">Definir a escala de entregadores</t>
  </si>
  <si>
    <t xml:space="preserve">Acompanhar o indicador de entregas no prazo</t>
  </si>
  <si>
    <t xml:space="preserve">Adquirir materiais e serviços</t>
  </si>
  <si>
    <t xml:space="preserve">Gerente de Suprimentos</t>
  </si>
  <si>
    <t xml:space="preserve">Suprimentos</t>
  </si>
  <si>
    <t xml:space="preserve">Equipe de compras</t>
  </si>
  <si>
    <t xml:space="preserve">Da requisição de compra até a liberação da nota fiscal para pagamento, mais a avaliação do fornecedor.</t>
  </si>
  <si>
    <t xml:space="preserve">Gerente, compradores, dois requisitantes, Controladoria e Recebimento</t>
  </si>
  <si>
    <t xml:space="preserve">Homologação de fornecedores, pagamento e gestão de estoque.</t>
  </si>
  <si>
    <t xml:space="preserve">Requisitante</t>
  </si>
  <si>
    <t xml:space="preserve">Controladoria</t>
  </si>
  <si>
    <t xml:space="preserve">Jurídico</t>
  </si>
  <si>
    <t xml:space="preserve">Recebimento</t>
  </si>
  <si>
    <t xml:space="preserve">Emitir a requisição de compra</t>
  </si>
  <si>
    <t xml:space="preserve">Analisar a requisição</t>
  </si>
  <si>
    <t xml:space="preserve">Selecionar a proposta</t>
  </si>
  <si>
    <t xml:space="preserve">Aprovar a compra, conforme a alçada</t>
  </si>
  <si>
    <t xml:space="preserve">Emitir o pedido de compra ou o contrato</t>
  </si>
  <si>
    <t xml:space="preserve">Receber e conferir o item</t>
  </si>
  <si>
    <t xml:space="preserve">Liberar a nota fiscal para pagamento</t>
  </si>
  <si>
    <t xml:space="preserve">Avaliar o desempenho do fornecedor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</si>
</sst>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&quot; de 10&quot;"/>
    <numFmt numFmtId="168" formatCode="0%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E3E8EB"/>
      </patternFill>
    </fill>
    <fill>
      <patternFill patternType="solid">
        <fgColor rgb="FFFFF9DB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7A4A9A"/>
        <bgColor rgb="FF993366"/>
      </patternFill>
    </fill>
    <fill>
      <patternFill patternType="solid">
        <fgColor rgb="FFE9DEF1"/>
        <bgColor rgb="FFE3E8EB"/>
      </patternFill>
    </fill>
    <fill>
      <patternFill patternType="solid">
        <fgColor rgb="FFA96A12"/>
        <bgColor rgb="FF993300"/>
      </patternFill>
    </fill>
    <fill>
      <patternFill patternType="solid">
        <fgColor rgb="FFF6E8CF"/>
        <bgColor rgb="FFFBEBC8"/>
      </patternFill>
    </fill>
    <fill>
      <patternFill patternType="solid">
        <fgColor rgb="FF5B6B76"/>
        <bgColor rgb="FF808080"/>
      </patternFill>
    </fill>
    <fill>
      <patternFill patternType="solid">
        <fgColor rgb="FFE3E8EB"/>
        <bgColor rgb="FFD9EEEB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FFFFFF"/>
      </font>
      <fill>
        <patternFill>
          <bgColor rgb="FF1E7B73"/>
        </patternFill>
      </fill>
    </dxf>
    <dxf>
      <font>
        <b val="1"/>
        <color rgb="FFFFFFFF"/>
      </font>
      <fill>
        <patternFill>
          <bgColor rgb="FF7A4A9A"/>
        </patternFill>
      </fill>
    </dxf>
    <dxf>
      <font>
        <b val="1"/>
        <color rgb="FFFFFFFF"/>
      </font>
      <fill>
        <patternFill>
          <bgColor rgb="FFA96A12"/>
        </patternFill>
      </fill>
    </dxf>
    <dxf>
      <font>
        <b val="1"/>
        <color rgb="FFFFFFFF"/>
      </font>
      <fill>
        <patternFill>
          <bgColor rgb="FF5B6B76"/>
        </patternFill>
      </fill>
    </dxf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E3E8EB"/>
      <rgbColor rgb="FF7A4A9A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6E8CF"/>
      <rgbColor rgb="FFE9DEF1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Análise!D5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1e7b73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Análise!$C$6:$C$13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Análise!$D$6:$D$13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Análise!E5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7a4a9a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Análise!$C$6:$C$13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Análise!$E$6:$E$13</c:f>
              <c:numCache>
                <c:formatCode>General</c:formatCode>
                <c:ptCount val="8"/>
              </c:numCache>
            </c:numRef>
          </c:val>
        </c:ser>
        <c:ser>
          <c:idx val="2"/>
          <c:order val="2"/>
          <c:tx>
            <c:strRef>
              <c:f>Análise!F5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a96a12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Análise!$C$6:$C$13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Análise!$F$6:$F$13</c:f>
              <c:numCache>
                <c:formatCode>General</c:formatCode>
                <c:ptCount val="8"/>
              </c:numCache>
            </c:numRef>
          </c:val>
        </c:ser>
        <c:ser>
          <c:idx val="3"/>
          <c:order val="3"/>
          <c:tx>
            <c:strRef>
              <c:f>Análise!G5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5b6b7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Análise!$C$6:$C$13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Análise!$G$6:$G$13</c:f>
              <c:numCache>
                <c:formatCode>General</c:formatCode>
                <c:ptCount val="8"/>
              </c:numCache>
            </c:numRef>
          </c:val>
        </c:ser>
        <c:gapWidth val="90"/>
        <c:overlap val="100"/>
        <c:axId val="8588612"/>
        <c:axId val="11633398"/>
      </c:barChart>
      <c:catAx>
        <c:axId val="8588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33398"/>
        <c:crosses val="autoZero"/>
        <c:auto val="1"/>
        <c:lblAlgn val="ctr"/>
        <c:lblOffset val="100"/>
        <c:noMultiLvlLbl val="0"/>
      </c:catAx>
      <c:valAx>
        <c:axId val="116333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86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9</xdr:col>
      <xdr:colOff>934200</xdr:colOff>
      <xdr:row>40</xdr:row>
      <xdr:rowOff>1080</xdr:rowOff>
    </xdr:to>
    <xdr:graphicFrame>
      <xdr:nvGraphicFramePr>
        <xdr:cNvPr id="0" name="Chart 1"/>
        <xdr:cNvGraphicFramePr/>
      </xdr:nvGraphicFramePr>
      <xdr:xfrm>
        <a:off x="141120" y="6353280"/>
        <a:ext cx="75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5" customFormat="false" ht="19.5" hidden="false" customHeight="true" outlineLevel="0" collapsed="false">
      <c r="B15" s="14" t="s">
        <v>20</v>
      </c>
      <c r="C15" s="15" t="s">
        <v>21</v>
      </c>
    </row>
    <row r="16" customFormat="false" ht="19.5" hidden="false" customHeight="true" outlineLevel="0" collapsed="false">
      <c r="B16" s="10" t="s">
        <v>22</v>
      </c>
      <c r="C16" s="11" t="s">
        <v>23</v>
      </c>
    </row>
    <row r="18" customFormat="false" ht="21.75" hidden="false" customHeight="true" outlineLevel="0" collapsed="false">
      <c r="B18" s="3" t="s">
        <v>24</v>
      </c>
      <c r="C18" s="3"/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7" customFormat="false" ht="21.75" hidden="false" customHeight="true" outlineLevel="0" collapsed="false">
      <c r="B37" s="3" t="s">
        <v>56</v>
      </c>
      <c r="C37" s="3"/>
    </row>
    <row r="38" customFormat="false" ht="45.75" hidden="false" customHeight="true" outlineLevel="0" collapsed="false">
      <c r="B38" s="4" t="s">
        <v>57</v>
      </c>
      <c r="C38" s="7" t="s">
        <v>58</v>
      </c>
    </row>
    <row r="39" customFormat="false" ht="45.75" hidden="false" customHeight="true" outlineLevel="0" collapsed="false">
      <c r="B39" s="4" t="s">
        <v>59</v>
      </c>
      <c r="C39" s="7" t="s">
        <v>60</v>
      </c>
    </row>
    <row r="40" customFormat="false" ht="45.75" hidden="false" customHeight="true" outlineLevel="0" collapsed="false">
      <c r="B40" s="4" t="s">
        <v>61</v>
      </c>
      <c r="C40" s="7" t="s">
        <v>62</v>
      </c>
    </row>
    <row r="41" customFormat="false" ht="31.5" hidden="false" customHeight="true" outlineLevel="0" collapsed="false">
      <c r="B41" s="4" t="s">
        <v>63</v>
      </c>
      <c r="C41" s="7" t="s">
        <v>64</v>
      </c>
    </row>
    <row r="42" customFormat="false" ht="31.5" hidden="false" customHeight="true" outlineLevel="0" collapsed="false">
      <c r="B42" s="4" t="s">
        <v>65</v>
      </c>
      <c r="C42" s="7" t="s">
        <v>66</v>
      </c>
    </row>
    <row r="43" customFormat="false" ht="31.5" hidden="false" customHeight="true" outlineLevel="0" collapsed="false">
      <c r="B43" s="4" t="s">
        <v>67</v>
      </c>
      <c r="C43" s="7" t="s">
        <v>68</v>
      </c>
    </row>
  </sheetData>
  <mergeCells count="7">
    <mergeCell ref="B1:C1"/>
    <mergeCell ref="B2:C2"/>
    <mergeCell ref="B4:C4"/>
    <mergeCell ref="B11:C11"/>
    <mergeCell ref="B18:C18"/>
    <mergeCell ref="B29:C29"/>
    <mergeCell ref="B37:C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O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12" min="5" style="0" width="13"/>
    <col collapsed="false" customWidth="true" hidden="false" outlineLevel="0" max="14" min="13" style="0" width="7"/>
    <col collapsed="false" customWidth="true" hidden="false" outlineLevel="0" max="15" min="15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71</v>
      </c>
      <c r="C4" s="4"/>
      <c r="D4" s="5"/>
      <c r="E4" s="5"/>
      <c r="F4" s="5"/>
      <c r="G4" s="5"/>
      <c r="H4" s="4" t="s">
        <v>72</v>
      </c>
      <c r="I4" s="4"/>
      <c r="J4" s="5"/>
      <c r="K4" s="5"/>
      <c r="L4" s="5"/>
      <c r="M4" s="5"/>
      <c r="N4" s="5"/>
      <c r="O4" s="5"/>
    </row>
    <row r="5" customFormat="false" ht="21.75" hidden="false" customHeight="true" outlineLevel="0" collapsed="false">
      <c r="B5" s="4" t="s">
        <v>73</v>
      </c>
      <c r="C5" s="4"/>
      <c r="D5" s="5"/>
      <c r="E5" s="5"/>
      <c r="F5" s="5"/>
      <c r="G5" s="5"/>
      <c r="H5" s="4" t="s">
        <v>74</v>
      </c>
      <c r="I5" s="4"/>
      <c r="J5" s="16"/>
      <c r="K5" s="16"/>
      <c r="L5" s="16"/>
      <c r="M5" s="16"/>
      <c r="N5" s="16"/>
      <c r="O5" s="16"/>
    </row>
    <row r="6" customFormat="false" ht="21.75" hidden="false" customHeight="true" outlineLevel="0" collapsed="false">
      <c r="B6" s="4" t="s">
        <v>75</v>
      </c>
      <c r="C6" s="4"/>
      <c r="D6" s="5"/>
      <c r="E6" s="5"/>
      <c r="F6" s="5"/>
      <c r="G6" s="5"/>
      <c r="H6" s="4" t="s">
        <v>76</v>
      </c>
      <c r="I6" s="4"/>
      <c r="J6" s="5"/>
      <c r="K6" s="5"/>
      <c r="L6" s="5"/>
      <c r="M6" s="5"/>
      <c r="N6" s="5"/>
      <c r="O6" s="5"/>
    </row>
    <row r="7" customFormat="false" ht="24" hidden="false" customHeight="true" outlineLevel="0" collapsed="false">
      <c r="B7" s="4" t="s">
        <v>77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24" hidden="false" customHeight="true" outlineLevel="0" collapsed="false">
      <c r="B8" s="4" t="s">
        <v>78</v>
      </c>
      <c r="C8" s="4"/>
      <c r="D8" s="5"/>
      <c r="E8" s="5"/>
      <c r="F8" s="5"/>
      <c r="G8" s="5"/>
      <c r="H8" s="4" t="s">
        <v>79</v>
      </c>
      <c r="I8" s="4"/>
      <c r="J8" s="5"/>
      <c r="K8" s="5"/>
      <c r="L8" s="5"/>
      <c r="M8" s="5"/>
      <c r="N8" s="5"/>
      <c r="O8" s="5"/>
    </row>
    <row r="9" customFormat="false" ht="24" hidden="false" customHeight="true" outlineLevel="0" collapsed="false">
      <c r="B9" s="4" t="s">
        <v>80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1" customFormat="false" ht="21.75" hidden="false" customHeight="true" outlineLevel="0" collapsed="false">
      <c r="B11" s="17" t="s">
        <v>81</v>
      </c>
      <c r="C11" s="17"/>
      <c r="D11" s="17"/>
      <c r="E11" s="17" t="s">
        <v>82</v>
      </c>
      <c r="F11" s="17"/>
      <c r="G11" s="17"/>
      <c r="H11" s="17"/>
      <c r="I11" s="17"/>
      <c r="J11" s="17"/>
      <c r="K11" s="17"/>
      <c r="L11" s="17"/>
      <c r="M11" s="17" t="s">
        <v>57</v>
      </c>
      <c r="N11" s="17"/>
      <c r="O11" s="17"/>
    </row>
    <row r="12" customFormat="false" ht="39" hidden="false" customHeight="true" outlineLevel="0" collapsed="false">
      <c r="B12" s="18" t="s">
        <v>83</v>
      </c>
      <c r="C12" s="18" t="s">
        <v>84</v>
      </c>
      <c r="D12" s="18"/>
      <c r="E12" s="19"/>
      <c r="F12" s="19"/>
      <c r="G12" s="19"/>
      <c r="H12" s="19"/>
      <c r="I12" s="19"/>
      <c r="J12" s="19"/>
      <c r="K12" s="19"/>
      <c r="L12" s="19"/>
      <c r="M12" s="10" t="s">
        <v>16</v>
      </c>
      <c r="N12" s="8" t="s">
        <v>14</v>
      </c>
      <c r="O12" s="18" t="s">
        <v>85</v>
      </c>
    </row>
    <row r="13" customFormat="false" ht="24" hidden="false" customHeight="true" outlineLevel="0" collapsed="false">
      <c r="B13" s="20"/>
      <c r="C13" s="20" t="s">
        <v>86</v>
      </c>
      <c r="D13" s="20"/>
      <c r="E13" s="20" t="s">
        <v>87</v>
      </c>
      <c r="F13" s="20"/>
      <c r="G13" s="20"/>
      <c r="H13" s="20"/>
      <c r="I13" s="20"/>
      <c r="J13" s="20"/>
      <c r="K13" s="20"/>
      <c r="L13" s="20"/>
      <c r="M13" s="20" t="s">
        <v>88</v>
      </c>
      <c r="N13" s="20" t="s">
        <v>89</v>
      </c>
      <c r="O13" s="20" t="s">
        <v>90</v>
      </c>
    </row>
    <row r="14" customFormat="false" ht="24" hidden="false" customHeight="true" outlineLevel="0" collapsed="false">
      <c r="B14" s="20" t="s">
        <v>91</v>
      </c>
      <c r="C14" s="21" t="s">
        <v>92</v>
      </c>
      <c r="D14" s="21"/>
      <c r="E14" s="20" t="s">
        <v>18</v>
      </c>
      <c r="F14" s="20" t="s">
        <v>22</v>
      </c>
      <c r="G14" s="20"/>
      <c r="H14" s="20"/>
      <c r="I14" s="20"/>
      <c r="J14" s="20"/>
      <c r="K14" s="20"/>
      <c r="L14" s="20"/>
      <c r="M14" s="20" t="n">
        <v>1</v>
      </c>
      <c r="N14" s="20" t="n">
        <v>1</v>
      </c>
      <c r="O14" s="20" t="s">
        <v>93</v>
      </c>
    </row>
    <row r="15" customFormat="false" ht="24" hidden="false" customHeight="true" outlineLevel="0" collapsed="false">
      <c r="B15" s="22" t="n">
        <v>1</v>
      </c>
      <c r="C15" s="5"/>
      <c r="D15" s="5"/>
      <c r="E15" s="23"/>
      <c r="F15" s="23"/>
      <c r="G15" s="23"/>
      <c r="H15" s="23"/>
      <c r="I15" s="23"/>
      <c r="J15" s="23"/>
      <c r="K15" s="23"/>
      <c r="L15" s="23"/>
      <c r="M15" s="24" t="str">
        <f aca="false">IF(C15="","",COUNTIF(E15:L15,"A")+COUNTIF(E15:L15,"A/R"))</f>
        <v/>
      </c>
      <c r="N15" s="24" t="str">
        <f aca="false">IF(C15="","",COUNTIF(E15:L15,"R")+COUNTIF(E15:L15,"A/R"))</f>
        <v/>
      </c>
      <c r="O15" s="25" t="str">
        <f aca="false">IF(C15="","",IF(COUNTA(E15:L15)=0,"Distribua os papéis",IF(M15=0,"Falta o A",IF(M15&gt;1,"Mais de um A",IF(N15=0,"Falta o R",IF(COUNTIF(E15:L15,"C")&gt;3,"Muitos consultados",IF(COUNTA(E15:L15)=COUNTA($E$12:$L$12),"Todos participam: confira","OK")))))))</f>
        <v/>
      </c>
    </row>
    <row r="16" customFormat="false" ht="24" hidden="false" customHeight="true" outlineLevel="0" collapsed="false">
      <c r="B16" s="22" t="n">
        <v>2</v>
      </c>
      <c r="C16" s="5"/>
      <c r="D16" s="5"/>
      <c r="E16" s="23"/>
      <c r="F16" s="23"/>
      <c r="G16" s="23"/>
      <c r="H16" s="23"/>
      <c r="I16" s="23"/>
      <c r="J16" s="23"/>
      <c r="K16" s="23"/>
      <c r="L16" s="23"/>
      <c r="M16" s="24" t="str">
        <f aca="false">IF(C16="","",COUNTIF(E16:L16,"A")+COUNTIF(E16:L16,"A/R"))</f>
        <v/>
      </c>
      <c r="N16" s="24" t="str">
        <f aca="false">IF(C16="","",COUNTIF(E16:L16,"R")+COUNTIF(E16:L16,"A/R"))</f>
        <v/>
      </c>
      <c r="O16" s="25" t="str">
        <f aca="false">IF(C16="","",IF(COUNTA(E16:L16)=0,"Distribua os papéis",IF(M16=0,"Falta o A",IF(M16&gt;1,"Mais de um A",IF(N16=0,"Falta o R",IF(COUNTIF(E16:L16,"C")&gt;3,"Muitos consultados",IF(COUNTA(E16:L16)=COUNTA($E$12:$L$12),"Todos participam: confira","OK")))))))</f>
        <v/>
      </c>
    </row>
    <row r="17" customFormat="false" ht="24" hidden="false" customHeight="true" outlineLevel="0" collapsed="false">
      <c r="B17" s="22" t="n">
        <v>3</v>
      </c>
      <c r="C17" s="5"/>
      <c r="D17" s="5"/>
      <c r="E17" s="23"/>
      <c r="F17" s="23"/>
      <c r="G17" s="23"/>
      <c r="H17" s="23"/>
      <c r="I17" s="23"/>
      <c r="J17" s="23"/>
      <c r="K17" s="23"/>
      <c r="L17" s="23"/>
      <c r="M17" s="24" t="str">
        <f aca="false">IF(C17="","",COUNTIF(E17:L17,"A")+COUNTIF(E17:L17,"A/R"))</f>
        <v/>
      </c>
      <c r="N17" s="24" t="str">
        <f aca="false">IF(C17="","",COUNTIF(E17:L17,"R")+COUNTIF(E17:L17,"A/R"))</f>
        <v/>
      </c>
      <c r="O17" s="25" t="str">
        <f aca="false">IF(C17="","",IF(COUNTA(E17:L17)=0,"Distribua os papéis",IF(M17=0,"Falta o A",IF(M17&gt;1,"Mais de um A",IF(N17=0,"Falta o R",IF(COUNTIF(E17:L17,"C")&gt;3,"Muitos consultados",IF(COUNTA(E17:L17)=COUNTA($E$12:$L$12),"Todos participam: confira","OK")))))))</f>
        <v/>
      </c>
    </row>
    <row r="18" customFormat="false" ht="24" hidden="false" customHeight="true" outlineLevel="0" collapsed="false">
      <c r="B18" s="22" t="n">
        <v>4</v>
      </c>
      <c r="C18" s="5"/>
      <c r="D18" s="5"/>
      <c r="E18" s="23"/>
      <c r="F18" s="23"/>
      <c r="G18" s="23"/>
      <c r="H18" s="23"/>
      <c r="I18" s="23"/>
      <c r="J18" s="23"/>
      <c r="K18" s="23"/>
      <c r="L18" s="23"/>
      <c r="M18" s="24" t="str">
        <f aca="false">IF(C18="","",COUNTIF(E18:L18,"A")+COUNTIF(E18:L18,"A/R"))</f>
        <v/>
      </c>
      <c r="N18" s="24" t="str">
        <f aca="false">IF(C18="","",COUNTIF(E18:L18,"R")+COUNTIF(E18:L18,"A/R"))</f>
        <v/>
      </c>
      <c r="O18" s="25" t="str">
        <f aca="false">IF(C18="","",IF(COUNTA(E18:L18)=0,"Distribua os papéis",IF(M18=0,"Falta o A",IF(M18&gt;1,"Mais de um A",IF(N18=0,"Falta o R",IF(COUNTIF(E18:L18,"C")&gt;3,"Muitos consultados",IF(COUNTA(E18:L18)=COUNTA($E$12:$L$12),"Todos participam: confira","OK")))))))</f>
        <v/>
      </c>
    </row>
    <row r="19" customFormat="false" ht="24" hidden="false" customHeight="true" outlineLevel="0" collapsed="false">
      <c r="B19" s="22" t="n">
        <v>5</v>
      </c>
      <c r="C19" s="5"/>
      <c r="D19" s="5"/>
      <c r="E19" s="23"/>
      <c r="F19" s="23"/>
      <c r="G19" s="23"/>
      <c r="H19" s="23"/>
      <c r="I19" s="23"/>
      <c r="J19" s="23"/>
      <c r="K19" s="23"/>
      <c r="L19" s="23"/>
      <c r="M19" s="24" t="str">
        <f aca="false">IF(C19="","",COUNTIF(E19:L19,"A")+COUNTIF(E19:L19,"A/R"))</f>
        <v/>
      </c>
      <c r="N19" s="24" t="str">
        <f aca="false">IF(C19="","",COUNTIF(E19:L19,"R")+COUNTIF(E19:L19,"A/R"))</f>
        <v/>
      </c>
      <c r="O19" s="25" t="str">
        <f aca="false">IF(C19="","",IF(COUNTA(E19:L19)=0,"Distribua os papéis",IF(M19=0,"Falta o A",IF(M19&gt;1,"Mais de um A",IF(N19=0,"Falta o R",IF(COUNTIF(E19:L19,"C")&gt;3,"Muitos consultados",IF(COUNTA(E19:L19)=COUNTA($E$12:$L$12),"Todos participam: confira","OK")))))))</f>
        <v/>
      </c>
    </row>
    <row r="20" customFormat="false" ht="24" hidden="false" customHeight="true" outlineLevel="0" collapsed="false">
      <c r="B20" s="22" t="n">
        <v>6</v>
      </c>
      <c r="C20" s="5"/>
      <c r="D20" s="5"/>
      <c r="E20" s="23"/>
      <c r="F20" s="23"/>
      <c r="G20" s="23"/>
      <c r="H20" s="23"/>
      <c r="I20" s="23"/>
      <c r="J20" s="23"/>
      <c r="K20" s="23"/>
      <c r="L20" s="23"/>
      <c r="M20" s="24" t="str">
        <f aca="false">IF(C20="","",COUNTIF(E20:L20,"A")+COUNTIF(E20:L20,"A/R"))</f>
        <v/>
      </c>
      <c r="N20" s="24" t="str">
        <f aca="false">IF(C20="","",COUNTIF(E20:L20,"R")+COUNTIF(E20:L20,"A/R"))</f>
        <v/>
      </c>
      <c r="O20" s="25" t="str">
        <f aca="false">IF(C20="","",IF(COUNTA(E20:L20)=0,"Distribua os papéis",IF(M20=0,"Falta o A",IF(M20&gt;1,"Mais de um A",IF(N20=0,"Falta o R",IF(COUNTIF(E20:L20,"C")&gt;3,"Muitos consultados",IF(COUNTA(E20:L20)=COUNTA($E$12:$L$12),"Todos participam: confira","OK")))))))</f>
        <v/>
      </c>
    </row>
    <row r="21" customFormat="false" ht="24" hidden="false" customHeight="true" outlineLevel="0" collapsed="false">
      <c r="B21" s="22" t="n">
        <v>7</v>
      </c>
      <c r="C21" s="5"/>
      <c r="D21" s="5"/>
      <c r="E21" s="23"/>
      <c r="F21" s="23"/>
      <c r="G21" s="23"/>
      <c r="H21" s="23"/>
      <c r="I21" s="23"/>
      <c r="J21" s="23"/>
      <c r="K21" s="23"/>
      <c r="L21" s="23"/>
      <c r="M21" s="24" t="str">
        <f aca="false">IF(C21="","",COUNTIF(E21:L21,"A")+COUNTIF(E21:L21,"A/R"))</f>
        <v/>
      </c>
      <c r="N21" s="24" t="str">
        <f aca="false">IF(C21="","",COUNTIF(E21:L21,"R")+COUNTIF(E21:L21,"A/R"))</f>
        <v/>
      </c>
      <c r="O21" s="25" t="str">
        <f aca="false">IF(C21="","",IF(COUNTA(E21:L21)=0,"Distribua os papéis",IF(M21=0,"Falta o A",IF(M21&gt;1,"Mais de um A",IF(N21=0,"Falta o R",IF(COUNTIF(E21:L21,"C")&gt;3,"Muitos consultados",IF(COUNTA(E21:L21)=COUNTA($E$12:$L$12),"Todos participam: confira","OK")))))))</f>
        <v/>
      </c>
    </row>
    <row r="22" customFormat="false" ht="24" hidden="false" customHeight="true" outlineLevel="0" collapsed="false">
      <c r="B22" s="22" t="n">
        <v>8</v>
      </c>
      <c r="C22" s="5"/>
      <c r="D22" s="5"/>
      <c r="E22" s="23"/>
      <c r="F22" s="23"/>
      <c r="G22" s="23"/>
      <c r="H22" s="23"/>
      <c r="I22" s="23"/>
      <c r="J22" s="23"/>
      <c r="K22" s="23"/>
      <c r="L22" s="23"/>
      <c r="M22" s="24" t="str">
        <f aca="false">IF(C22="","",COUNTIF(E22:L22,"A")+COUNTIF(E22:L22,"A/R"))</f>
        <v/>
      </c>
      <c r="N22" s="24" t="str">
        <f aca="false">IF(C22="","",COUNTIF(E22:L22,"R")+COUNTIF(E22:L22,"A/R"))</f>
        <v/>
      </c>
      <c r="O22" s="25" t="str">
        <f aca="false">IF(C22="","",IF(COUNTA(E22:L22)=0,"Distribua os papéis",IF(M22=0,"Falta o A",IF(M22&gt;1,"Mais de um A",IF(N22=0,"Falta o R",IF(COUNTIF(E22:L22,"C")&gt;3,"Muitos consultados",IF(COUNTA(E22:L22)=COUNTA($E$12:$L$12),"Todos participam: confira","OK")))))))</f>
        <v/>
      </c>
    </row>
    <row r="23" customFormat="false" ht="24" hidden="false" customHeight="true" outlineLevel="0" collapsed="false">
      <c r="B23" s="22" t="n">
        <v>9</v>
      </c>
      <c r="C23" s="5"/>
      <c r="D23" s="5"/>
      <c r="E23" s="23"/>
      <c r="F23" s="23"/>
      <c r="G23" s="23"/>
      <c r="H23" s="23"/>
      <c r="I23" s="23"/>
      <c r="J23" s="23"/>
      <c r="K23" s="23"/>
      <c r="L23" s="23"/>
      <c r="M23" s="24" t="str">
        <f aca="false">IF(C23="","",COUNTIF(E23:L23,"A")+COUNTIF(E23:L23,"A/R"))</f>
        <v/>
      </c>
      <c r="N23" s="24" t="str">
        <f aca="false">IF(C23="","",COUNTIF(E23:L23,"R")+COUNTIF(E23:L23,"A/R"))</f>
        <v/>
      </c>
      <c r="O23" s="25" t="str">
        <f aca="false">IF(C23="","",IF(COUNTA(E23:L23)=0,"Distribua os papéis",IF(M23=0,"Falta o A",IF(M23&gt;1,"Mais de um A",IF(N23=0,"Falta o R",IF(COUNTIF(E23:L23,"C")&gt;3,"Muitos consultados",IF(COUNTA(E23:L23)=COUNTA($E$12:$L$12),"Todos participam: confira","OK")))))))</f>
        <v/>
      </c>
    </row>
    <row r="24" customFormat="false" ht="24" hidden="false" customHeight="true" outlineLevel="0" collapsed="false">
      <c r="B24" s="22" t="n">
        <v>10</v>
      </c>
      <c r="C24" s="5"/>
      <c r="D24" s="5"/>
      <c r="E24" s="23"/>
      <c r="F24" s="23"/>
      <c r="G24" s="23"/>
      <c r="H24" s="23"/>
      <c r="I24" s="23"/>
      <c r="J24" s="23"/>
      <c r="K24" s="23"/>
      <c r="L24" s="23"/>
      <c r="M24" s="24" t="str">
        <f aca="false">IF(C24="","",COUNTIF(E24:L24,"A")+COUNTIF(E24:L24,"A/R"))</f>
        <v/>
      </c>
      <c r="N24" s="24" t="str">
        <f aca="false">IF(C24="","",COUNTIF(E24:L24,"R")+COUNTIF(E24:L24,"A/R"))</f>
        <v/>
      </c>
      <c r="O24" s="25" t="str">
        <f aca="false">IF(C24="","",IF(COUNTA(E24:L24)=0,"Distribua os papéis",IF(M24=0,"Falta o A",IF(M24&gt;1,"Mais de um A",IF(N24=0,"Falta o R",IF(COUNTIF(E24:L24,"C")&gt;3,"Muitos consultados",IF(COUNTA(E24:L24)=COUNTA($E$12:$L$12),"Todos participam: confira","OK")))))))</f>
        <v/>
      </c>
    </row>
    <row r="25" customFormat="false" ht="24" hidden="false" customHeight="true" outlineLevel="0" collapsed="false">
      <c r="B25" s="22" t="n">
        <v>11</v>
      </c>
      <c r="C25" s="5"/>
      <c r="D25" s="5"/>
      <c r="E25" s="23"/>
      <c r="F25" s="23"/>
      <c r="G25" s="23"/>
      <c r="H25" s="23"/>
      <c r="I25" s="23"/>
      <c r="J25" s="23"/>
      <c r="K25" s="23"/>
      <c r="L25" s="23"/>
      <c r="M25" s="24" t="str">
        <f aca="false">IF(C25="","",COUNTIF(E25:L25,"A")+COUNTIF(E25:L25,"A/R"))</f>
        <v/>
      </c>
      <c r="N25" s="24" t="str">
        <f aca="false">IF(C25="","",COUNTIF(E25:L25,"R")+COUNTIF(E25:L25,"A/R"))</f>
        <v/>
      </c>
      <c r="O25" s="25" t="str">
        <f aca="false">IF(C25="","",IF(COUNTA(E25:L25)=0,"Distribua os papéis",IF(M25=0,"Falta o A",IF(M25&gt;1,"Mais de um A",IF(N25=0,"Falta o R",IF(COUNTIF(E25:L25,"C")&gt;3,"Muitos consultados",IF(COUNTA(E25:L25)=COUNTA($E$12:$L$12),"Todos participam: confira","OK")))))))</f>
        <v/>
      </c>
    </row>
    <row r="26" customFormat="false" ht="24" hidden="false" customHeight="true" outlineLevel="0" collapsed="false">
      <c r="B26" s="22" t="n">
        <v>12</v>
      </c>
      <c r="C26" s="5"/>
      <c r="D26" s="5"/>
      <c r="E26" s="23"/>
      <c r="F26" s="23"/>
      <c r="G26" s="23"/>
      <c r="H26" s="23"/>
      <c r="I26" s="23"/>
      <c r="J26" s="23"/>
      <c r="K26" s="23"/>
      <c r="L26" s="23"/>
      <c r="M26" s="24" t="str">
        <f aca="false">IF(C26="","",COUNTIF(E26:L26,"A")+COUNTIF(E26:L26,"A/R"))</f>
        <v/>
      </c>
      <c r="N26" s="24" t="str">
        <f aca="false">IF(C26="","",COUNTIF(E26:L26,"R")+COUNTIF(E26:L26,"A/R"))</f>
        <v/>
      </c>
      <c r="O26" s="25" t="str">
        <f aca="false">IF(C26="","",IF(COUNTA(E26:L26)=0,"Distribua os papéis",IF(M26=0,"Falta o A",IF(M26&gt;1,"Mais de um A",IF(N26=0,"Falta o R",IF(COUNTIF(E26:L26,"C")&gt;3,"Muitos consultados",IF(COUNTA(E26:L26)=COUNTA($E$12:$L$12),"Todos participam: confira","OK")))))))</f>
        <v/>
      </c>
    </row>
    <row r="27" customFormat="false" ht="24" hidden="false" customHeight="true" outlineLevel="0" collapsed="false">
      <c r="B27" s="22" t="n">
        <v>13</v>
      </c>
      <c r="C27" s="5"/>
      <c r="D27" s="5"/>
      <c r="E27" s="23"/>
      <c r="F27" s="23"/>
      <c r="G27" s="23"/>
      <c r="H27" s="23"/>
      <c r="I27" s="23"/>
      <c r="J27" s="23"/>
      <c r="K27" s="23"/>
      <c r="L27" s="23"/>
      <c r="M27" s="24" t="str">
        <f aca="false">IF(C27="","",COUNTIF(E27:L27,"A")+COUNTIF(E27:L27,"A/R"))</f>
        <v/>
      </c>
      <c r="N27" s="24" t="str">
        <f aca="false">IF(C27="","",COUNTIF(E27:L27,"R")+COUNTIF(E27:L27,"A/R"))</f>
        <v/>
      </c>
      <c r="O27" s="25" t="str">
        <f aca="false">IF(C27="","",IF(COUNTA(E27:L27)=0,"Distribua os papéis",IF(M27=0,"Falta o A",IF(M27&gt;1,"Mais de um A",IF(N27=0,"Falta o R",IF(COUNTIF(E27:L27,"C")&gt;3,"Muitos consultados",IF(COUNTA(E27:L27)=COUNTA($E$12:$L$12),"Todos participam: confira","OK")))))))</f>
        <v/>
      </c>
    </row>
    <row r="28" customFormat="false" ht="24" hidden="false" customHeight="true" outlineLevel="0" collapsed="false">
      <c r="B28" s="22" t="n">
        <v>14</v>
      </c>
      <c r="C28" s="5"/>
      <c r="D28" s="5"/>
      <c r="E28" s="23"/>
      <c r="F28" s="23"/>
      <c r="G28" s="23"/>
      <c r="H28" s="23"/>
      <c r="I28" s="23"/>
      <c r="J28" s="23"/>
      <c r="K28" s="23"/>
      <c r="L28" s="23"/>
      <c r="M28" s="24" t="str">
        <f aca="false">IF(C28="","",COUNTIF(E28:L28,"A")+COUNTIF(E28:L28,"A/R"))</f>
        <v/>
      </c>
      <c r="N28" s="24" t="str">
        <f aca="false">IF(C28="","",COUNTIF(E28:L28,"R")+COUNTIF(E28:L28,"A/R"))</f>
        <v/>
      </c>
      <c r="O28" s="25" t="str">
        <f aca="false">IF(C28="","",IF(COUNTA(E28:L28)=0,"Distribua os papéis",IF(M28=0,"Falta o A",IF(M28&gt;1,"Mais de um A",IF(N28=0,"Falta o R",IF(COUNTIF(E28:L28,"C")&gt;3,"Muitos consultados",IF(COUNTA(E28:L28)=COUNTA($E$12:$L$12),"Todos participam: confira","OK")))))))</f>
        <v/>
      </c>
    </row>
    <row r="29" customFormat="false" ht="24" hidden="false" customHeight="true" outlineLevel="0" collapsed="false">
      <c r="B29" s="22" t="n">
        <v>15</v>
      </c>
      <c r="C29" s="5"/>
      <c r="D29" s="5"/>
      <c r="E29" s="23"/>
      <c r="F29" s="23"/>
      <c r="G29" s="23"/>
      <c r="H29" s="23"/>
      <c r="I29" s="23"/>
      <c r="J29" s="23"/>
      <c r="K29" s="23"/>
      <c r="L29" s="23"/>
      <c r="M29" s="24" t="str">
        <f aca="false">IF(C29="","",COUNTIF(E29:L29,"A")+COUNTIF(E29:L29,"A/R"))</f>
        <v/>
      </c>
      <c r="N29" s="24" t="str">
        <f aca="false">IF(C29="","",COUNTIF(E29:L29,"R")+COUNTIF(E29:L29,"A/R"))</f>
        <v/>
      </c>
      <c r="O29" s="25" t="str">
        <f aca="false">IF(C29="","",IF(COUNTA(E29:L29)=0,"Distribua os papéis",IF(M29=0,"Falta o A",IF(M29&gt;1,"Mais de um A",IF(N29=0,"Falta o R",IF(COUNTIF(E29:L29,"C")&gt;3,"Muitos consultados",IF(COUNTA(E29:L29)=COUNTA($E$12:$L$12),"Todos participam: confira","OK")))))))</f>
        <v/>
      </c>
    </row>
    <row r="31" customFormat="false" ht="21.75" hidden="false" customHeight="true" outlineLevel="0" collapsed="false">
      <c r="B31" s="17" t="s">
        <v>94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customFormat="false" ht="21.75" hidden="false" customHeight="true" outlineLevel="0" collapsed="false">
      <c r="B32" s="8" t="s">
        <v>14</v>
      </c>
      <c r="C32" s="4" t="s">
        <v>95</v>
      </c>
      <c r="D32" s="4"/>
      <c r="E32" s="24" t="str">
        <f aca="false">IF(AND(E$12="",COUNTA(E15:E29)=0),"",COUNTIF(E15:E29,"R")+COUNTIF(E15:E29,"A/R"))</f>
        <v/>
      </c>
      <c r="F32" s="24" t="str">
        <f aca="false">IF(AND(F$12="",COUNTA(F15:F29)=0),"",COUNTIF(F15:F29,"R")+COUNTIF(F15:F29,"A/R"))</f>
        <v/>
      </c>
      <c r="G32" s="24" t="str">
        <f aca="false">IF(AND(G$12="",COUNTA(G15:G29)=0),"",COUNTIF(G15:G29,"R")+COUNTIF(G15:G29,"A/R"))</f>
        <v/>
      </c>
      <c r="H32" s="24" t="str">
        <f aca="false">IF(AND(H$12="",COUNTA(H15:H29)=0),"",COUNTIF(H15:H29,"R")+COUNTIF(H15:H29,"A/R"))</f>
        <v/>
      </c>
      <c r="I32" s="24" t="str">
        <f aca="false">IF(AND(I$12="",COUNTA(I15:I29)=0),"",COUNTIF(I15:I29,"R")+COUNTIF(I15:I29,"A/R"))</f>
        <v/>
      </c>
      <c r="J32" s="24" t="str">
        <f aca="false">IF(AND(J$12="",COUNTA(J15:J29)=0),"",COUNTIF(J15:J29,"R")+COUNTIF(J15:J29,"A/R"))</f>
        <v/>
      </c>
      <c r="K32" s="24" t="str">
        <f aca="false">IF(AND(K$12="",COUNTA(K15:K29)=0),"",COUNTIF(K15:K29,"R")+COUNTIF(K15:K29,"A/R"))</f>
        <v/>
      </c>
      <c r="L32" s="24" t="str">
        <f aca="false">IF(AND(L$12="",COUNTA(L15:L29)=0),"",COUNTIF(L15:L29,"R")+COUNTIF(L15:L29,"A/R"))</f>
        <v/>
      </c>
    </row>
    <row r="33" customFormat="false" ht="21.75" hidden="false" customHeight="true" outlineLevel="0" collapsed="false">
      <c r="B33" s="10" t="s">
        <v>16</v>
      </c>
      <c r="C33" s="4" t="s">
        <v>96</v>
      </c>
      <c r="D33" s="4"/>
      <c r="E33" s="24" t="str">
        <f aca="false">IF(AND(E$12="",COUNTA(E15:E29)=0),"",COUNTIF(E15:E29,"A")+COUNTIF(E15:E29,"A/R"))</f>
        <v/>
      </c>
      <c r="F33" s="24" t="str">
        <f aca="false">IF(AND(F$12="",COUNTA(F15:F29)=0),"",COUNTIF(F15:F29,"A")+COUNTIF(F15:F29,"A/R"))</f>
        <v/>
      </c>
      <c r="G33" s="24" t="str">
        <f aca="false">IF(AND(G$12="",COUNTA(G15:G29)=0),"",COUNTIF(G15:G29,"A")+COUNTIF(G15:G29,"A/R"))</f>
        <v/>
      </c>
      <c r="H33" s="24" t="str">
        <f aca="false">IF(AND(H$12="",COUNTA(H15:H29)=0),"",COUNTIF(H15:H29,"A")+COUNTIF(H15:H29,"A/R"))</f>
        <v/>
      </c>
      <c r="I33" s="24" t="str">
        <f aca="false">IF(AND(I$12="",COUNTA(I15:I29)=0),"",COUNTIF(I15:I29,"A")+COUNTIF(I15:I29,"A/R"))</f>
        <v/>
      </c>
      <c r="J33" s="24" t="str">
        <f aca="false">IF(AND(J$12="",COUNTA(J15:J29)=0),"",COUNTIF(J15:J29,"A")+COUNTIF(J15:J29,"A/R"))</f>
        <v/>
      </c>
      <c r="K33" s="24" t="str">
        <f aca="false">IF(AND(K$12="",COUNTA(K15:K29)=0),"",COUNTIF(K15:K29,"A")+COUNTIF(K15:K29,"A/R"))</f>
        <v/>
      </c>
      <c r="L33" s="24" t="str">
        <f aca="false">IF(AND(L$12="",COUNTA(L15:L29)=0),"",COUNTIF(L15:L29,"A")+COUNTIF(L15:L29,"A/R"))</f>
        <v/>
      </c>
    </row>
    <row r="34" customFormat="false" ht="21.75" hidden="false" customHeight="true" outlineLevel="0" collapsed="false">
      <c r="B34" s="12" t="s">
        <v>18</v>
      </c>
      <c r="C34" s="4" t="s">
        <v>97</v>
      </c>
      <c r="D34" s="4"/>
      <c r="E34" s="24" t="str">
        <f aca="false">IF(AND(E$12="",COUNTA(E15:E29)=0),"",COUNTIF(E15:E29,"C"))</f>
        <v/>
      </c>
      <c r="F34" s="24" t="str">
        <f aca="false">IF(AND(F$12="",COUNTA(F15:F29)=0),"",COUNTIF(F15:F29,"C"))</f>
        <v/>
      </c>
      <c r="G34" s="24" t="str">
        <f aca="false">IF(AND(G$12="",COUNTA(G15:G29)=0),"",COUNTIF(G15:G29,"C"))</f>
        <v/>
      </c>
      <c r="H34" s="24" t="str">
        <f aca="false">IF(AND(H$12="",COUNTA(H15:H29)=0),"",COUNTIF(H15:H29,"C"))</f>
        <v/>
      </c>
      <c r="I34" s="24" t="str">
        <f aca="false">IF(AND(I$12="",COUNTA(I15:I29)=0),"",COUNTIF(I15:I29,"C"))</f>
        <v/>
      </c>
      <c r="J34" s="24" t="str">
        <f aca="false">IF(AND(J$12="",COUNTA(J15:J29)=0),"",COUNTIF(J15:J29,"C"))</f>
        <v/>
      </c>
      <c r="K34" s="24" t="str">
        <f aca="false">IF(AND(K$12="",COUNTA(K15:K29)=0),"",COUNTIF(K15:K29,"C"))</f>
        <v/>
      </c>
      <c r="L34" s="24" t="str">
        <f aca="false">IF(AND(L$12="",COUNTA(L15:L29)=0),"",COUNTIF(L15:L29,"C"))</f>
        <v/>
      </c>
    </row>
    <row r="35" customFormat="false" ht="21.75" hidden="false" customHeight="true" outlineLevel="0" collapsed="false">
      <c r="B35" s="14" t="s">
        <v>20</v>
      </c>
      <c r="C35" s="4" t="s">
        <v>98</v>
      </c>
      <c r="D35" s="4"/>
      <c r="E35" s="24" t="str">
        <f aca="false">IF(AND(E$12="",COUNTA(E15:E29)=0),"",COUNTIF(E15:E29,"I"))</f>
        <v/>
      </c>
      <c r="F35" s="24" t="str">
        <f aca="false">IF(AND(F$12="",COUNTA(F15:F29)=0),"",COUNTIF(F15:F29,"I"))</f>
        <v/>
      </c>
      <c r="G35" s="24" t="str">
        <f aca="false">IF(AND(G$12="",COUNTA(G15:G29)=0),"",COUNTIF(G15:G29,"I"))</f>
        <v/>
      </c>
      <c r="H35" s="24" t="str">
        <f aca="false">IF(AND(H$12="",COUNTA(H15:H29)=0),"",COUNTIF(H15:H29,"I"))</f>
        <v/>
      </c>
      <c r="I35" s="24" t="str">
        <f aca="false">IF(AND(I$12="",COUNTA(I15:I29)=0),"",COUNTIF(I15:I29,"I"))</f>
        <v/>
      </c>
      <c r="J35" s="24" t="str">
        <f aca="false">IF(AND(J$12="",COUNTA(J15:J29)=0),"",COUNTIF(J15:J29,"I"))</f>
        <v/>
      </c>
      <c r="K35" s="24" t="str">
        <f aca="false">IF(AND(K$12="",COUNTA(K15:K29)=0),"",COUNTIF(K15:K29,"I"))</f>
        <v/>
      </c>
      <c r="L35" s="24" t="str">
        <f aca="false">IF(AND(L$12="",COUNTA(L15:L29)=0),"",COUNTIF(L15:L29,"I"))</f>
        <v/>
      </c>
    </row>
    <row r="36" customFormat="false" ht="21.75" hidden="false" customHeight="true" outlineLevel="0" collapsed="false">
      <c r="B36" s="4" t="s">
        <v>99</v>
      </c>
      <c r="C36" s="4"/>
      <c r="D36" s="4"/>
      <c r="E36" s="24" t="str">
        <f aca="false">IF(AND(E$12="",COUNTA(E15:E29)=0),"",COUNTA(E15:E29))</f>
        <v/>
      </c>
      <c r="F36" s="24" t="str">
        <f aca="false">IF(AND(F$12="",COUNTA(F15:F29)=0),"",COUNTA(F15:F29))</f>
        <v/>
      </c>
      <c r="G36" s="24" t="str">
        <f aca="false">IF(AND(G$12="",COUNTA(G15:G29)=0),"",COUNTA(G15:G29))</f>
        <v/>
      </c>
      <c r="H36" s="24" t="str">
        <f aca="false">IF(AND(H$12="",COUNTA(H15:H29)=0),"",COUNTA(H15:H29))</f>
        <v/>
      </c>
      <c r="I36" s="24" t="str">
        <f aca="false">IF(AND(I$12="",COUNTA(I15:I29)=0),"",COUNTA(I15:I29))</f>
        <v/>
      </c>
      <c r="J36" s="24" t="str">
        <f aca="false">IF(AND(J$12="",COUNTA(J15:J29)=0),"",COUNTA(J15:J29))</f>
        <v/>
      </c>
      <c r="K36" s="24" t="str">
        <f aca="false">IF(AND(K$12="",COUNTA(K15:K29)=0),"",COUNTA(K15:K29))</f>
        <v/>
      </c>
      <c r="L36" s="24" t="str">
        <f aca="false">IF(AND(L$12="",COUNTA(L15:L29)=0),"",COUNTA(L15:L29))</f>
        <v/>
      </c>
    </row>
    <row r="37" customFormat="false" ht="45" hidden="false" customHeight="true" outlineLevel="0" collapsed="false">
      <c r="B37" s="4" t="s">
        <v>100</v>
      </c>
      <c r="C37" s="4"/>
      <c r="D37" s="4"/>
      <c r="E37" s="25" t="str">
        <f aca="false">IF(E$12="",IF(COUNTA(E15:E29)&gt;0,"Papel sem nome",""),IF(E36=0,"Sem participação",IF(AND($H$40&gt;=5,E33/$H$40&gt;0.6),"Muitos A: possível gargalo",IF(AND($H$40&gt;=5,E32/$H$40&gt;0.6),"Muitos R: possível sobrecarga",IF(E32+E33=0,IF(E34=0,"Só informado","Só consultado ou informado"),"OK")))))</f>
        <v/>
      </c>
      <c r="F37" s="25" t="str">
        <f aca="false">IF(F$12="",IF(COUNTA(F15:F29)&gt;0,"Papel sem nome",""),IF(F36=0,"Sem participação",IF(AND($H$40&gt;=5,F33/$H$40&gt;0.6),"Muitos A: possível gargalo",IF(AND($H$40&gt;=5,F32/$H$40&gt;0.6),"Muitos R: possível sobrecarga",IF(F32+F33=0,IF(F34=0,"Só informado","Só consultado ou informado"),"OK")))))</f>
        <v/>
      </c>
      <c r="G37" s="25" t="str">
        <f aca="false">IF(G$12="",IF(COUNTA(G15:G29)&gt;0,"Papel sem nome",""),IF(G36=0,"Sem participação",IF(AND($H$40&gt;=5,G33/$H$40&gt;0.6),"Muitos A: possível gargalo",IF(AND($H$40&gt;=5,G32/$H$40&gt;0.6),"Muitos R: possível sobrecarga",IF(G32+G33=0,IF(G34=0,"Só informado","Só consultado ou informado"),"OK")))))</f>
        <v/>
      </c>
      <c r="H37" s="25" t="str">
        <f aca="false">IF(H$12="",IF(COUNTA(H15:H29)&gt;0,"Papel sem nome",""),IF(H36=0,"Sem participação",IF(AND($H$40&gt;=5,H33/$H$40&gt;0.6),"Muitos A: possível gargalo",IF(AND($H$40&gt;=5,H32/$H$40&gt;0.6),"Muitos R: possível sobrecarga",IF(H32+H33=0,IF(H34=0,"Só informado","Só consultado ou informado"),"OK")))))</f>
        <v/>
      </c>
      <c r="I37" s="25" t="str">
        <f aca="false">IF(I$12="",IF(COUNTA(I15:I29)&gt;0,"Papel sem nome",""),IF(I36=0,"Sem participação",IF(AND($H$40&gt;=5,I33/$H$40&gt;0.6),"Muitos A: possível gargalo",IF(AND($H$40&gt;=5,I32/$H$40&gt;0.6),"Muitos R: possível sobrecarga",IF(I32+I33=0,IF(I34=0,"Só informado","Só consultado ou informado"),"OK")))))</f>
        <v/>
      </c>
      <c r="J37" s="25" t="str">
        <f aca="false">IF(J$12="",IF(COUNTA(J15:J29)&gt;0,"Papel sem nome",""),IF(J36=0,"Sem participação",IF(AND($H$40&gt;=5,J33/$H$40&gt;0.6),"Muitos A: possível gargalo",IF(AND($H$40&gt;=5,J32/$H$40&gt;0.6),"Muitos R: possível sobrecarga",IF(J32+J33=0,IF(J34=0,"Só informado","Só consultado ou informado"),"OK")))))</f>
        <v/>
      </c>
      <c r="K37" s="25" t="str">
        <f aca="false">IF(K$12="",IF(COUNTA(K15:K29)&gt;0,"Papel sem nome",""),IF(K36=0,"Sem participação",IF(AND($H$40&gt;=5,K33/$H$40&gt;0.6),"Muitos A: possível gargalo",IF(AND($H$40&gt;=5,K32/$H$40&gt;0.6),"Muitos R: possível sobrecarga",IF(K32+K33=0,IF(K34=0,"Só informado","Só consultado ou informado"),"OK")))))</f>
        <v/>
      </c>
      <c r="L37" s="25" t="str">
        <f aca="false">IF(L$12="",IF(COUNTA(L15:L29)&gt;0,"Papel sem nome",""),IF(L36=0,"Sem participação",IF(AND($H$40&gt;=5,L33/$H$40&gt;0.6),"Muitos A: possível gargalo",IF(AND($H$40&gt;=5,L32/$H$40&gt;0.6),"Muitos R: possível sobrecarga",IF(L32+L33=0,IF(L34=0,"Só informado","Só consultado ou informado"),"OK")))))</f>
        <v/>
      </c>
    </row>
    <row r="39" customFormat="false" ht="21.75" hidden="false" customHeight="true" outlineLevel="0" collapsed="false">
      <c r="B39" s="17" t="s">
        <v>101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customFormat="false" ht="21.75" hidden="false" customHeight="true" outlineLevel="0" collapsed="false">
      <c r="B40" s="26" t="s">
        <v>102</v>
      </c>
      <c r="C40" s="26"/>
      <c r="D40" s="26"/>
      <c r="E40" s="26"/>
      <c r="F40" s="26"/>
      <c r="G40" s="26"/>
      <c r="H40" s="24" t="n">
        <f aca="false">COUNTA(C15:C29)</f>
        <v>0</v>
      </c>
      <c r="I40" s="24"/>
      <c r="J40" s="24"/>
      <c r="K40" s="24"/>
      <c r="L40" s="24"/>
    </row>
    <row r="41" customFormat="false" ht="21.75" hidden="false" customHeight="true" outlineLevel="0" collapsed="false">
      <c r="B41" s="26" t="s">
        <v>103</v>
      </c>
      <c r="C41" s="26"/>
      <c r="D41" s="26"/>
      <c r="E41" s="26"/>
      <c r="F41" s="26"/>
      <c r="G41" s="26"/>
      <c r="H41" s="24" t="n">
        <f aca="false">COUNTA(E12:L12)</f>
        <v>0</v>
      </c>
      <c r="I41" s="24"/>
      <c r="J41" s="24"/>
      <c r="K41" s="24"/>
      <c r="L41" s="24"/>
    </row>
    <row r="42" customFormat="false" ht="21.75" hidden="false" customHeight="true" outlineLevel="0" collapsed="false">
      <c r="B42" s="26" t="s">
        <v>104</v>
      </c>
      <c r="C42" s="26"/>
      <c r="D42" s="26"/>
      <c r="E42" s="26"/>
      <c r="F42" s="26"/>
      <c r="G42" s="26"/>
      <c r="H42" s="24" t="n">
        <f aca="false">COUNTIF(O15:O29,"OK")</f>
        <v>0</v>
      </c>
      <c r="I42" s="24"/>
      <c r="J42" s="24"/>
      <c r="K42" s="24"/>
      <c r="L42" s="24"/>
    </row>
    <row r="43" customFormat="false" ht="21.75" hidden="false" customHeight="true" outlineLevel="0" collapsed="false">
      <c r="B43" s="26" t="s">
        <v>105</v>
      </c>
      <c r="C43" s="26"/>
      <c r="D43" s="26"/>
      <c r="E43" s="26"/>
      <c r="F43" s="26"/>
      <c r="G43" s="26"/>
      <c r="H43" s="24" t="n">
        <f aca="false">COUNTIF(O15:O29,"Falta o A")+COUNTIF(O15:O29,"Mais de um A")</f>
        <v>0</v>
      </c>
      <c r="I43" s="24"/>
      <c r="J43" s="24"/>
      <c r="K43" s="24"/>
      <c r="L43" s="24"/>
    </row>
    <row r="44" customFormat="false" ht="21.75" hidden="false" customHeight="true" outlineLevel="0" collapsed="false">
      <c r="B44" s="26" t="s">
        <v>106</v>
      </c>
      <c r="C44" s="26"/>
      <c r="D44" s="26"/>
      <c r="E44" s="26"/>
      <c r="F44" s="26"/>
      <c r="G44" s="26"/>
      <c r="H44" s="24" t="n">
        <f aca="false">COUNTIF(O15:O29,"Falta o R")</f>
        <v>0</v>
      </c>
      <c r="I44" s="24"/>
      <c r="J44" s="24"/>
      <c r="K44" s="24"/>
      <c r="L44" s="24"/>
    </row>
    <row r="45" customFormat="false" ht="21.75" hidden="false" customHeight="true" outlineLevel="0" collapsed="false">
      <c r="B45" s="26" t="s">
        <v>107</v>
      </c>
      <c r="C45" s="26"/>
      <c r="D45" s="26"/>
      <c r="E45" s="26"/>
      <c r="F45" s="26"/>
      <c r="G45" s="26"/>
      <c r="H45" s="24" t="n">
        <f aca="false">SUMPRODUCT((E37:L37&lt;&gt;"")*(E37:L37&lt;&gt;"OK"))</f>
        <v>0</v>
      </c>
      <c r="I45" s="24"/>
      <c r="J45" s="24"/>
      <c r="K45" s="24"/>
      <c r="L45" s="24"/>
    </row>
    <row r="46" customFormat="false" ht="21.75" hidden="false" customHeight="true" outlineLevel="0" collapsed="false">
      <c r="B46" s="26" t="s">
        <v>108</v>
      </c>
      <c r="C46" s="26"/>
      <c r="D46" s="26"/>
      <c r="E46" s="26"/>
      <c r="F46" s="26"/>
      <c r="G46" s="26"/>
      <c r="H46" s="27" t="str">
        <f aca="false">IF(H40=0,"Liste as atividades",IF(H41=0,"Defina os papéis",IF(H42&lt;H40,"Há atividade com aviso: veja a conferência da linha","Linhas conferidas")))</f>
        <v>Liste as atividades</v>
      </c>
      <c r="I46" s="27"/>
      <c r="J46" s="27"/>
      <c r="K46" s="27"/>
      <c r="L46" s="27"/>
    </row>
    <row r="47" customFormat="false" ht="21.75" hidden="false" customHeight="true" outlineLevel="0" collapsed="false">
      <c r="B47" s="26" t="s">
        <v>109</v>
      </c>
      <c r="C47" s="26"/>
      <c r="D47" s="26"/>
      <c r="E47" s="26"/>
      <c r="F47" s="26"/>
      <c r="G47" s="26"/>
      <c r="H47" s="28" t="n">
        <f aca="false">COUNTA(D4,J4,D5,J5,D6,J6,D7,D8,J8,D9)</f>
        <v>0</v>
      </c>
      <c r="I47" s="28"/>
      <c r="J47" s="28"/>
      <c r="K47" s="28"/>
      <c r="L47" s="28"/>
    </row>
  </sheetData>
  <mergeCells count="68">
    <mergeCell ref="B1:O1"/>
    <mergeCell ref="B2:O2"/>
    <mergeCell ref="B4:C4"/>
    <mergeCell ref="D4:G4"/>
    <mergeCell ref="H4:I4"/>
    <mergeCell ref="J4:O4"/>
    <mergeCell ref="B5:C5"/>
    <mergeCell ref="D5:G5"/>
    <mergeCell ref="H5:I5"/>
    <mergeCell ref="J5:O5"/>
    <mergeCell ref="B6:C6"/>
    <mergeCell ref="D6:G6"/>
    <mergeCell ref="H6:I6"/>
    <mergeCell ref="J6:O6"/>
    <mergeCell ref="B7:C7"/>
    <mergeCell ref="D7:O7"/>
    <mergeCell ref="B8:C8"/>
    <mergeCell ref="D8:G8"/>
    <mergeCell ref="H8:I8"/>
    <mergeCell ref="J8:O8"/>
    <mergeCell ref="B9:C9"/>
    <mergeCell ref="D9:O9"/>
    <mergeCell ref="B11:D11"/>
    <mergeCell ref="E11:L11"/>
    <mergeCell ref="M11:O11"/>
    <mergeCell ref="C12:D12"/>
    <mergeCell ref="C13:D13"/>
    <mergeCell ref="E13:L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1:O31"/>
    <mergeCell ref="C32:D32"/>
    <mergeCell ref="C33:D33"/>
    <mergeCell ref="C34:D34"/>
    <mergeCell ref="C35:D35"/>
    <mergeCell ref="B36:D36"/>
    <mergeCell ref="B37:D37"/>
    <mergeCell ref="B39:O39"/>
    <mergeCell ref="B40:G40"/>
    <mergeCell ref="H40:L40"/>
    <mergeCell ref="B41:G41"/>
    <mergeCell ref="H41:L41"/>
    <mergeCell ref="B42:G42"/>
    <mergeCell ref="H42:L42"/>
    <mergeCell ref="B43:G43"/>
    <mergeCell ref="H43:L43"/>
    <mergeCell ref="B44:G44"/>
    <mergeCell ref="H44:L44"/>
    <mergeCell ref="B45:G45"/>
    <mergeCell ref="H45:L45"/>
    <mergeCell ref="B46:G46"/>
    <mergeCell ref="H46:L46"/>
    <mergeCell ref="B47:G47"/>
    <mergeCell ref="H47:L47"/>
  </mergeCells>
  <conditionalFormatting sqref="E15:L29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1">
      <formula>"A/R"</formula>
    </cfRule>
    <cfRule type="cellIs" priority="5" operator="equal" aboveAverage="0" equalAverage="0" bottom="0" percent="0" rank="0" text="" dxfId="2">
      <formula>"C"</formula>
    </cfRule>
    <cfRule type="cellIs" priority="6" operator="equal" aboveAverage="0" equalAverage="0" bottom="0" percent="0" rank="0" text="" dxfId="3">
      <formula>"I"</formula>
    </cfRule>
  </conditionalFormatting>
  <conditionalFormatting sqref="O15:O29">
    <cfRule type="expression" priority="7" aboveAverage="0" equalAverage="0" bottom="0" percent="0" rank="0" text="" dxfId="4">
      <formula>O15="OK"</formula>
    </cfRule>
    <cfRule type="expression" priority="8" aboveAverage="0" equalAverage="0" bottom="0" percent="0" rank="0" text="" dxfId="5">
      <formula>LEN(O15)&gt;2</formula>
    </cfRule>
  </conditionalFormatting>
  <conditionalFormatting sqref="M15:M29">
    <cfRule type="expression" priority="9" aboveAverage="0" equalAverage="0" bottom="0" percent="0" rank="0" text="" dxfId="6">
      <formula>AND(M15&lt;&gt;"",M15&lt;&gt;1)</formula>
    </cfRule>
  </conditionalFormatting>
  <conditionalFormatting sqref="N15:N29">
    <cfRule type="expression" priority="10" aboveAverage="0" equalAverage="0" bottom="0" percent="0" rank="0" text="" dxfId="6">
      <formula>AND(N15&lt;&gt;"",N15=0)</formula>
    </cfRule>
  </conditionalFormatting>
  <conditionalFormatting sqref="E37:L37">
    <cfRule type="expression" priority="11" aboveAverage="0" equalAverage="0" bottom="0" percent="0" rank="0" text="" dxfId="4">
      <formula>E37="OK"</formula>
    </cfRule>
    <cfRule type="expression" priority="12" aboveAverage="0" equalAverage="0" bottom="0" percent="0" rank="0" text="" dxfId="5">
      <formula>LEN(E37)&gt;2</formula>
    </cfRule>
  </conditionalFormatting>
  <conditionalFormatting sqref="H46:L46">
    <cfRule type="cellIs" priority="13" operator="equal" aboveAverage="0" equalAverage="0" bottom="0" percent="0" rank="0" text="" dxfId="4">
      <formula>"Linhas conferidas"</formula>
    </cfRule>
    <cfRule type="expression" priority="14" aboveAverage="0" equalAverage="0" bottom="0" percent="0" rank="0" text="" dxfId="5">
      <formula>H46&lt;&gt;"Linhas conferidas"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J5" type="date">
      <formula1>36526</formula1>
      <formula2>0</formula2>
    </dataValidation>
    <dataValidation allowBlank="true" error="Escolha uma das opções da lista." errorStyle="stop" errorTitle="Valor inválido" operator="between" prompt="R, A, A/R, C ou I. Deixe em branco se o papel não participa." promptTitle="Opções" showDropDown="false" showErrorMessage="true" showInputMessage="true" sqref="E15:L29" type="list">
      <formula1>"R,A,A/R,C,I"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0" man="true" max="16383" min="0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7" min="4" style="0" width="9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36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110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111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17" t="s">
        <v>112</v>
      </c>
      <c r="C4" s="17"/>
      <c r="D4" s="17"/>
      <c r="E4" s="17"/>
      <c r="F4" s="17"/>
      <c r="G4" s="17"/>
      <c r="H4" s="17"/>
      <c r="I4" s="17"/>
      <c r="J4" s="17"/>
    </row>
    <row r="5" customFormat="false" ht="30" hidden="false" customHeight="true" outlineLevel="0" collapsed="false">
      <c r="B5" s="24" t="s">
        <v>83</v>
      </c>
      <c r="C5" s="24" t="s">
        <v>113</v>
      </c>
      <c r="D5" s="8" t="s">
        <v>14</v>
      </c>
      <c r="E5" s="10" t="s">
        <v>16</v>
      </c>
      <c r="F5" s="12" t="s">
        <v>18</v>
      </c>
      <c r="G5" s="14" t="s">
        <v>20</v>
      </c>
      <c r="H5" s="24" t="s">
        <v>114</v>
      </c>
      <c r="I5" s="24" t="s">
        <v>115</v>
      </c>
      <c r="J5" s="24" t="s">
        <v>116</v>
      </c>
    </row>
    <row r="6" customFormat="false" ht="24" hidden="false" customHeight="true" outlineLevel="0" collapsed="false">
      <c r="B6" s="22" t="n">
        <v>1</v>
      </c>
      <c r="C6" s="4" t="str">
        <f aca="false">IF(RACI!E12="","",RACI!E12)</f>
        <v/>
      </c>
      <c r="D6" s="29" t="str">
        <f aca="false">IF(C6="","",RACI!E32)</f>
        <v/>
      </c>
      <c r="E6" s="29" t="str">
        <f aca="false">IF(C6="","",RACI!E33)</f>
        <v/>
      </c>
      <c r="F6" s="29" t="str">
        <f aca="false">IF(C6="","",RACI!E34)</f>
        <v/>
      </c>
      <c r="G6" s="29" t="str">
        <f aca="false">IF(C6="","",RACI!E35)</f>
        <v/>
      </c>
      <c r="H6" s="24" t="str">
        <f aca="false">IF(C6="","",RACI!E36)</f>
        <v/>
      </c>
      <c r="I6" s="30" t="str">
        <f aca="false">IF(OR(C6="",RACI!$H$40=0),"",H6/RACI!$H$40)</f>
        <v/>
      </c>
      <c r="J6" s="25" t="str">
        <f aca="false">IF(C6="","",RACI!E37)</f>
        <v/>
      </c>
    </row>
    <row r="7" customFormat="false" ht="24" hidden="false" customHeight="true" outlineLevel="0" collapsed="false">
      <c r="B7" s="22" t="n">
        <v>2</v>
      </c>
      <c r="C7" s="4" t="str">
        <f aca="false">IF(RACI!F12="","",RACI!F12)</f>
        <v/>
      </c>
      <c r="D7" s="29" t="str">
        <f aca="false">IF(C7="","",RACI!F32)</f>
        <v/>
      </c>
      <c r="E7" s="29" t="str">
        <f aca="false">IF(C7="","",RACI!F33)</f>
        <v/>
      </c>
      <c r="F7" s="29" t="str">
        <f aca="false">IF(C7="","",RACI!F34)</f>
        <v/>
      </c>
      <c r="G7" s="29" t="str">
        <f aca="false">IF(C7="","",RACI!F35)</f>
        <v/>
      </c>
      <c r="H7" s="24" t="str">
        <f aca="false">IF(C7="","",RACI!F36)</f>
        <v/>
      </c>
      <c r="I7" s="30" t="str">
        <f aca="false">IF(OR(C7="",RACI!$H$40=0),"",H7/RACI!$H$40)</f>
        <v/>
      </c>
      <c r="J7" s="25" t="str">
        <f aca="false">IF(C7="","",RACI!F37)</f>
        <v/>
      </c>
    </row>
    <row r="8" customFormat="false" ht="24" hidden="false" customHeight="true" outlineLevel="0" collapsed="false">
      <c r="B8" s="22" t="n">
        <v>3</v>
      </c>
      <c r="C8" s="4" t="str">
        <f aca="false">IF(RACI!G12="","",RACI!G12)</f>
        <v/>
      </c>
      <c r="D8" s="29" t="str">
        <f aca="false">IF(C8="","",RACI!G32)</f>
        <v/>
      </c>
      <c r="E8" s="29" t="str">
        <f aca="false">IF(C8="","",RACI!G33)</f>
        <v/>
      </c>
      <c r="F8" s="29" t="str">
        <f aca="false">IF(C8="","",RACI!G34)</f>
        <v/>
      </c>
      <c r="G8" s="29" t="str">
        <f aca="false">IF(C8="","",RACI!G35)</f>
        <v/>
      </c>
      <c r="H8" s="24" t="str">
        <f aca="false">IF(C8="","",RACI!G36)</f>
        <v/>
      </c>
      <c r="I8" s="30" t="str">
        <f aca="false">IF(OR(C8="",RACI!$H$40=0),"",H8/RACI!$H$40)</f>
        <v/>
      </c>
      <c r="J8" s="25" t="str">
        <f aca="false">IF(C8="","",RACI!G37)</f>
        <v/>
      </c>
    </row>
    <row r="9" customFormat="false" ht="24" hidden="false" customHeight="true" outlineLevel="0" collapsed="false">
      <c r="B9" s="22" t="n">
        <v>4</v>
      </c>
      <c r="C9" s="4" t="str">
        <f aca="false">IF(RACI!H12="","",RACI!H12)</f>
        <v/>
      </c>
      <c r="D9" s="29" t="str">
        <f aca="false">IF(C9="","",RACI!H32)</f>
        <v/>
      </c>
      <c r="E9" s="29" t="str">
        <f aca="false">IF(C9="","",RACI!H33)</f>
        <v/>
      </c>
      <c r="F9" s="29" t="str">
        <f aca="false">IF(C9="","",RACI!H34)</f>
        <v/>
      </c>
      <c r="G9" s="29" t="str">
        <f aca="false">IF(C9="","",RACI!H35)</f>
        <v/>
      </c>
      <c r="H9" s="24" t="str">
        <f aca="false">IF(C9="","",RACI!H36)</f>
        <v/>
      </c>
      <c r="I9" s="30" t="str">
        <f aca="false">IF(OR(C9="",RACI!$H$40=0),"",H9/RACI!$H$40)</f>
        <v/>
      </c>
      <c r="J9" s="25" t="str">
        <f aca="false">IF(C9="","",RACI!H37)</f>
        <v/>
      </c>
    </row>
    <row r="10" customFormat="false" ht="24" hidden="false" customHeight="true" outlineLevel="0" collapsed="false">
      <c r="B10" s="22" t="n">
        <v>5</v>
      </c>
      <c r="C10" s="4" t="str">
        <f aca="false">IF(RACI!I12="","",RACI!I12)</f>
        <v/>
      </c>
      <c r="D10" s="29" t="str">
        <f aca="false">IF(C10="","",RACI!I32)</f>
        <v/>
      </c>
      <c r="E10" s="29" t="str">
        <f aca="false">IF(C10="","",RACI!I33)</f>
        <v/>
      </c>
      <c r="F10" s="29" t="str">
        <f aca="false">IF(C10="","",RACI!I34)</f>
        <v/>
      </c>
      <c r="G10" s="29" t="str">
        <f aca="false">IF(C10="","",RACI!I35)</f>
        <v/>
      </c>
      <c r="H10" s="24" t="str">
        <f aca="false">IF(C10="","",RACI!I36)</f>
        <v/>
      </c>
      <c r="I10" s="30" t="str">
        <f aca="false">IF(OR(C10="",RACI!$H$40=0),"",H10/RACI!$H$40)</f>
        <v/>
      </c>
      <c r="J10" s="25" t="str">
        <f aca="false">IF(C10="","",RACI!I37)</f>
        <v/>
      </c>
    </row>
    <row r="11" customFormat="false" ht="24" hidden="false" customHeight="true" outlineLevel="0" collapsed="false">
      <c r="B11" s="22" t="n">
        <v>6</v>
      </c>
      <c r="C11" s="4" t="str">
        <f aca="false">IF(RACI!J12="","",RACI!J12)</f>
        <v/>
      </c>
      <c r="D11" s="29" t="str">
        <f aca="false">IF(C11="","",RACI!J32)</f>
        <v/>
      </c>
      <c r="E11" s="29" t="str">
        <f aca="false">IF(C11="","",RACI!J33)</f>
        <v/>
      </c>
      <c r="F11" s="29" t="str">
        <f aca="false">IF(C11="","",RACI!J34)</f>
        <v/>
      </c>
      <c r="G11" s="29" t="str">
        <f aca="false">IF(C11="","",RACI!J35)</f>
        <v/>
      </c>
      <c r="H11" s="24" t="str">
        <f aca="false">IF(C11="","",RACI!J36)</f>
        <v/>
      </c>
      <c r="I11" s="30" t="str">
        <f aca="false">IF(OR(C11="",RACI!$H$40=0),"",H11/RACI!$H$40)</f>
        <v/>
      </c>
      <c r="J11" s="25" t="str">
        <f aca="false">IF(C11="","",RACI!J37)</f>
        <v/>
      </c>
    </row>
    <row r="12" customFormat="false" ht="24" hidden="false" customHeight="true" outlineLevel="0" collapsed="false">
      <c r="B12" s="22" t="n">
        <v>7</v>
      </c>
      <c r="C12" s="4" t="str">
        <f aca="false">IF(RACI!K12="","",RACI!K12)</f>
        <v/>
      </c>
      <c r="D12" s="29" t="str">
        <f aca="false">IF(C12="","",RACI!K32)</f>
        <v/>
      </c>
      <c r="E12" s="29" t="str">
        <f aca="false">IF(C12="","",RACI!K33)</f>
        <v/>
      </c>
      <c r="F12" s="29" t="str">
        <f aca="false">IF(C12="","",RACI!K34)</f>
        <v/>
      </c>
      <c r="G12" s="29" t="str">
        <f aca="false">IF(C12="","",RACI!K35)</f>
        <v/>
      </c>
      <c r="H12" s="24" t="str">
        <f aca="false">IF(C12="","",RACI!K36)</f>
        <v/>
      </c>
      <c r="I12" s="30" t="str">
        <f aca="false">IF(OR(C12="",RACI!$H$40=0),"",H12/RACI!$H$40)</f>
        <v/>
      </c>
      <c r="J12" s="25" t="str">
        <f aca="false">IF(C12="","",RACI!K37)</f>
        <v/>
      </c>
    </row>
    <row r="13" customFormat="false" ht="24" hidden="false" customHeight="true" outlineLevel="0" collapsed="false">
      <c r="B13" s="22" t="n">
        <v>8</v>
      </c>
      <c r="C13" s="4" t="str">
        <f aca="false">IF(RACI!L12="","",RACI!L12)</f>
        <v/>
      </c>
      <c r="D13" s="29" t="str">
        <f aca="false">IF(C13="","",RACI!L32)</f>
        <v/>
      </c>
      <c r="E13" s="29" t="str">
        <f aca="false">IF(C13="","",RACI!L33)</f>
        <v/>
      </c>
      <c r="F13" s="29" t="str">
        <f aca="false">IF(C13="","",RACI!L34)</f>
        <v/>
      </c>
      <c r="G13" s="29" t="str">
        <f aca="false">IF(C13="","",RACI!L35)</f>
        <v/>
      </c>
      <c r="H13" s="24" t="str">
        <f aca="false">IF(C13="","",RACI!L36)</f>
        <v/>
      </c>
      <c r="I13" s="30" t="str">
        <f aca="false">IF(OR(C13="",RACI!$H$40=0),"",H13/RACI!$H$40)</f>
        <v/>
      </c>
      <c r="J13" s="25" t="str">
        <f aca="false">IF(C13="","",RACI!L37)</f>
        <v/>
      </c>
    </row>
    <row r="15" customFormat="false" ht="21.75" hidden="false" customHeight="true" outlineLevel="0" collapsed="false">
      <c r="B15" s="17" t="s">
        <v>101</v>
      </c>
      <c r="C15" s="17"/>
      <c r="D15" s="17"/>
      <c r="E15" s="17"/>
      <c r="F15" s="17"/>
      <c r="G15" s="17"/>
      <c r="H15" s="17"/>
      <c r="I15" s="17"/>
      <c r="J15" s="17"/>
    </row>
    <row r="16" customFormat="false" ht="19.5" hidden="false" customHeight="true" outlineLevel="0" collapsed="false">
      <c r="B16" s="26" t="s">
        <v>117</v>
      </c>
      <c r="C16" s="26"/>
      <c r="D16" s="24" t="n">
        <f aca="false">RACI!$H$40</f>
        <v>0</v>
      </c>
      <c r="E16" s="24"/>
      <c r="F16" s="24"/>
      <c r="G16" s="24"/>
      <c r="H16" s="24"/>
    </row>
    <row r="17" customFormat="false" ht="19.5" hidden="false" customHeight="true" outlineLevel="0" collapsed="false">
      <c r="B17" s="26" t="s">
        <v>118</v>
      </c>
      <c r="C17" s="26"/>
      <c r="D17" s="24" t="n">
        <f aca="false">RACI!$H$41</f>
        <v>0</v>
      </c>
      <c r="E17" s="24"/>
      <c r="F17" s="24"/>
      <c r="G17" s="24"/>
      <c r="H17" s="24"/>
    </row>
    <row r="18" customFormat="false" ht="19.5" hidden="false" customHeight="true" outlineLevel="0" collapsed="false">
      <c r="B18" s="26" t="s">
        <v>119</v>
      </c>
      <c r="C18" s="26"/>
      <c r="D18" s="24" t="str">
        <f aca="false">IF(MAX(D6:D13)=0,"",INDEX(C6:C13,MATCH(MAX(D6:D13),D6:D13,0)))</f>
        <v/>
      </c>
      <c r="E18" s="24"/>
      <c r="F18" s="24"/>
      <c r="G18" s="24"/>
      <c r="H18" s="24"/>
    </row>
    <row r="19" customFormat="false" ht="19.5" hidden="false" customHeight="true" outlineLevel="0" collapsed="false">
      <c r="B19" s="26" t="s">
        <v>120</v>
      </c>
      <c r="C19" s="26"/>
      <c r="D19" s="24" t="str">
        <f aca="false">IF(MAX(E6:E13)=0,"",INDEX(C6:C13,MATCH(MAX(E6:E13),E6:E13,0)))</f>
        <v/>
      </c>
      <c r="E19" s="24"/>
      <c r="F19" s="24"/>
      <c r="G19" s="24"/>
      <c r="H19" s="24"/>
    </row>
    <row r="20" customFormat="false" ht="19.5" hidden="false" customHeight="true" outlineLevel="0" collapsed="false">
      <c r="B20" s="26" t="s">
        <v>121</v>
      </c>
      <c r="C20" s="26"/>
      <c r="D20" s="31" t="n">
        <f aca="false">IF(RACI!$H$40=0,0,SUM(H6:H13)/RACI!$H$40)</f>
        <v>0</v>
      </c>
      <c r="E20" s="31"/>
      <c r="F20" s="31"/>
      <c r="G20" s="31"/>
      <c r="H20" s="31"/>
    </row>
    <row r="21" customFormat="false" ht="19.5" hidden="false" customHeight="true" outlineLevel="0" collapsed="false">
      <c r="B21" s="26" t="s">
        <v>107</v>
      </c>
      <c r="C21" s="26"/>
      <c r="D21" s="24" t="n">
        <f aca="false">RACI!$H$45</f>
        <v>0</v>
      </c>
      <c r="E21" s="24"/>
      <c r="F21" s="24"/>
      <c r="G21" s="24"/>
      <c r="H21" s="24"/>
    </row>
    <row r="23" customFormat="false" ht="21.75" hidden="false" customHeight="true" outlineLevel="0" collapsed="false">
      <c r="B23" s="17" t="s">
        <v>122</v>
      </c>
      <c r="C23" s="17"/>
      <c r="D23" s="17"/>
      <c r="E23" s="17"/>
      <c r="F23" s="17"/>
      <c r="G23" s="17"/>
      <c r="H23" s="17"/>
      <c r="I23" s="17"/>
      <c r="J23" s="17"/>
    </row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</sheetData>
  <mergeCells count="17">
    <mergeCell ref="B1:J1"/>
    <mergeCell ref="B2:J2"/>
    <mergeCell ref="B4:J4"/>
    <mergeCell ref="B15:J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3:J23"/>
  </mergeCells>
  <conditionalFormatting sqref="J6:J13">
    <cfRule type="expression" priority="2" aboveAverage="0" equalAverage="0" bottom="0" percent="0" rank="0" text="" dxfId="4">
      <formula>J6="OK"</formula>
    </cfRule>
    <cfRule type="expression" priority="3" aboveAverage="0" equalAverage="0" bottom="0" percent="0" rank="0" text="" dxfId="5">
      <formula>LEN(J6)&gt;2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28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123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124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18" t="s">
        <v>83</v>
      </c>
      <c r="C4" s="18" t="s">
        <v>113</v>
      </c>
      <c r="D4" s="18" t="s">
        <v>125</v>
      </c>
      <c r="E4" s="18" t="s">
        <v>126</v>
      </c>
      <c r="F4" s="18" t="s">
        <v>127</v>
      </c>
      <c r="G4" s="18" t="s">
        <v>74</v>
      </c>
      <c r="H4" s="18" t="s">
        <v>128</v>
      </c>
      <c r="I4" s="18" t="s">
        <v>129</v>
      </c>
    </row>
    <row r="5" customFormat="false" ht="31.5" hidden="false" customHeight="true" outlineLevel="0" collapsed="false">
      <c r="B5" s="20" t="s">
        <v>91</v>
      </c>
      <c r="C5" s="21" t="s">
        <v>130</v>
      </c>
      <c r="D5" s="21" t="s">
        <v>131</v>
      </c>
      <c r="E5" s="21" t="s">
        <v>132</v>
      </c>
      <c r="F5" s="21" t="s">
        <v>133</v>
      </c>
      <c r="G5" s="32" t="n">
        <v>46325</v>
      </c>
      <c r="H5" s="20" t="s">
        <v>134</v>
      </c>
      <c r="I5" s="21" t="s">
        <v>135</v>
      </c>
    </row>
    <row r="6" customFormat="false" ht="30" hidden="false" customHeight="true" outlineLevel="0" collapsed="false">
      <c r="B6" s="22" t="n">
        <v>1</v>
      </c>
      <c r="C6" s="4" t="str">
        <f aca="false">IF(RACI!E12="","",RACI!E12)</f>
        <v/>
      </c>
      <c r="D6" s="5"/>
      <c r="E6" s="5"/>
      <c r="F6" s="5"/>
      <c r="G6" s="33"/>
      <c r="H6" s="23"/>
      <c r="I6" s="5"/>
    </row>
    <row r="7" customFormat="false" ht="30" hidden="false" customHeight="true" outlineLevel="0" collapsed="false">
      <c r="B7" s="22" t="n">
        <v>2</v>
      </c>
      <c r="C7" s="4" t="str">
        <f aca="false">IF(RACI!F12="","",RACI!F12)</f>
        <v/>
      </c>
      <c r="D7" s="5"/>
      <c r="E7" s="5"/>
      <c r="F7" s="5"/>
      <c r="G7" s="33"/>
      <c r="H7" s="23"/>
      <c r="I7" s="5"/>
    </row>
    <row r="8" customFormat="false" ht="30" hidden="false" customHeight="true" outlineLevel="0" collapsed="false">
      <c r="B8" s="22" t="n">
        <v>3</v>
      </c>
      <c r="C8" s="4" t="str">
        <f aca="false">IF(RACI!G12="","",RACI!G12)</f>
        <v/>
      </c>
      <c r="D8" s="5"/>
      <c r="E8" s="5"/>
      <c r="F8" s="5"/>
      <c r="G8" s="33"/>
      <c r="H8" s="23"/>
      <c r="I8" s="5"/>
    </row>
    <row r="9" customFormat="false" ht="30" hidden="false" customHeight="true" outlineLevel="0" collapsed="false">
      <c r="B9" s="22" t="n">
        <v>4</v>
      </c>
      <c r="C9" s="4" t="str">
        <f aca="false">IF(RACI!H12="","",RACI!H12)</f>
        <v/>
      </c>
      <c r="D9" s="5"/>
      <c r="E9" s="5"/>
      <c r="F9" s="5"/>
      <c r="G9" s="33"/>
      <c r="H9" s="23"/>
      <c r="I9" s="5"/>
    </row>
    <row r="10" customFormat="false" ht="30" hidden="false" customHeight="true" outlineLevel="0" collapsed="false">
      <c r="B10" s="22" t="n">
        <v>5</v>
      </c>
      <c r="C10" s="4" t="str">
        <f aca="false">IF(RACI!I12="","",RACI!I12)</f>
        <v/>
      </c>
      <c r="D10" s="5"/>
      <c r="E10" s="5"/>
      <c r="F10" s="5"/>
      <c r="G10" s="33"/>
      <c r="H10" s="23"/>
      <c r="I10" s="5"/>
    </row>
    <row r="11" customFormat="false" ht="30" hidden="false" customHeight="true" outlineLevel="0" collapsed="false">
      <c r="B11" s="22" t="n">
        <v>6</v>
      </c>
      <c r="C11" s="4" t="str">
        <f aca="false">IF(RACI!J12="","",RACI!J12)</f>
        <v/>
      </c>
      <c r="D11" s="5"/>
      <c r="E11" s="5"/>
      <c r="F11" s="5"/>
      <c r="G11" s="33"/>
      <c r="H11" s="23"/>
      <c r="I11" s="5"/>
    </row>
    <row r="12" customFormat="false" ht="30" hidden="false" customHeight="true" outlineLevel="0" collapsed="false">
      <c r="B12" s="22" t="n">
        <v>7</v>
      </c>
      <c r="C12" s="4" t="str">
        <f aca="false">IF(RACI!K12="","",RACI!K12)</f>
        <v/>
      </c>
      <c r="D12" s="5"/>
      <c r="E12" s="5"/>
      <c r="F12" s="5"/>
      <c r="G12" s="33"/>
      <c r="H12" s="23"/>
      <c r="I12" s="5"/>
    </row>
    <row r="13" customFormat="false" ht="30" hidden="false" customHeight="true" outlineLevel="0" collapsed="false">
      <c r="B13" s="22" t="n">
        <v>8</v>
      </c>
      <c r="C13" s="4" t="str">
        <f aca="false">IF(RACI!L12="","",RACI!L12)</f>
        <v/>
      </c>
      <c r="D13" s="5"/>
      <c r="E13" s="5"/>
      <c r="F13" s="5"/>
      <c r="G13" s="33"/>
      <c r="H13" s="23"/>
      <c r="I13" s="5"/>
    </row>
    <row r="15" customFormat="false" ht="21.75" hidden="false" customHeight="true" outlineLevel="0" collapsed="false">
      <c r="B15" s="17" t="s">
        <v>101</v>
      </c>
      <c r="C15" s="17"/>
      <c r="D15" s="17"/>
      <c r="E15" s="17"/>
      <c r="F15" s="17"/>
      <c r="G15" s="17"/>
      <c r="H15" s="17"/>
      <c r="I15" s="17"/>
    </row>
    <row r="16" customFormat="false" ht="19.5" hidden="false" customHeight="true" outlineLevel="0" collapsed="false">
      <c r="B16" s="26" t="s">
        <v>118</v>
      </c>
      <c r="C16" s="26"/>
      <c r="D16" s="26"/>
      <c r="E16" s="26"/>
      <c r="F16" s="24" t="n">
        <f aca="false">SUMPRODUCT(--(C6:C13&lt;&gt;""))</f>
        <v>0</v>
      </c>
    </row>
    <row r="17" customFormat="false" ht="19.5" hidden="false" customHeight="true" outlineLevel="0" collapsed="false">
      <c r="B17" s="26" t="s">
        <v>136</v>
      </c>
      <c r="C17" s="26"/>
      <c r="D17" s="26"/>
      <c r="E17" s="26"/>
      <c r="F17" s="24" t="n">
        <f aca="false">SUMPRODUCT((C6:C13&lt;&gt;"")*(D6:D13&lt;&gt;""))</f>
        <v>0</v>
      </c>
    </row>
    <row r="18" customFormat="false" ht="19.5" hidden="false" customHeight="true" outlineLevel="0" collapsed="false">
      <c r="B18" s="26" t="s">
        <v>137</v>
      </c>
      <c r="C18" s="26"/>
      <c r="D18" s="26"/>
      <c r="E18" s="26"/>
      <c r="F18" s="24" t="n">
        <f aca="false">SUMPRODUCT((C6:C13&lt;&gt;"")*(E6:E13&lt;&gt;""))</f>
        <v>0</v>
      </c>
    </row>
    <row r="19" customFormat="false" ht="19.5" hidden="false" customHeight="true" outlineLevel="0" collapsed="false">
      <c r="B19" s="26" t="s">
        <v>138</v>
      </c>
      <c r="C19" s="26"/>
      <c r="D19" s="26"/>
      <c r="E19" s="26"/>
      <c r="F19" s="24" t="n">
        <f aca="false">SUMPRODUCT((C6:C13&lt;&gt;"")*(G6:G13&lt;&gt;""))</f>
        <v>0</v>
      </c>
    </row>
    <row r="20" customFormat="false" ht="19.5" hidden="false" customHeight="true" outlineLevel="0" collapsed="false">
      <c r="B20" s="26" t="s">
        <v>139</v>
      </c>
      <c r="C20" s="26"/>
      <c r="D20" s="26"/>
      <c r="E20" s="26"/>
      <c r="F20" s="24" t="n">
        <f aca="false">COUNTIF(H6:H13,"Sim")</f>
        <v>0</v>
      </c>
    </row>
    <row r="21" customFormat="false" ht="30" hidden="false" customHeight="true" outlineLevel="0" collapsed="false">
      <c r="B21" s="26" t="s">
        <v>140</v>
      </c>
      <c r="C21" s="26"/>
      <c r="D21" s="26"/>
      <c r="E21" s="26"/>
      <c r="F21" s="27" t="str">
        <f aca="false">IF(F16=0,"Defina os papéis na aba RACI",IF(F19&lt;F16,"Há papel sem comunicação registrada",IF(F20&lt;F16,"Há papel sem entendimento confirmado","Matriz comunicada e entendida")))</f>
        <v>Defina os papéis na aba RACI</v>
      </c>
    </row>
  </sheetData>
  <mergeCells count="9">
    <mergeCell ref="B1:I1"/>
    <mergeCell ref="B2:I2"/>
    <mergeCell ref="B15:I15"/>
    <mergeCell ref="B16:E16"/>
    <mergeCell ref="B17:E17"/>
    <mergeCell ref="B18:E18"/>
    <mergeCell ref="B19:E19"/>
    <mergeCell ref="B20:E20"/>
    <mergeCell ref="B21:E21"/>
  </mergeCells>
  <conditionalFormatting sqref="H6:H13">
    <cfRule type="cellIs" priority="2" operator="equal" aboveAverage="0" equalAverage="0" bottom="0" percent="0" rank="0" text="" dxfId="4">
      <formula>"Sim"</formula>
    </cfRule>
    <cfRule type="cellIs" priority="3" operator="equal" aboveAverage="0" equalAverage="0" bottom="0" percent="0" rank="0" text="" dxfId="5">
      <formula>"Parcial"</formula>
    </cfRule>
    <cfRule type="cellIs" priority="4" operator="equal" aboveAverage="0" equalAverage="0" bottom="0" percent="0" rank="0" text="" dxfId="6">
      <formula>"Não"</formula>
    </cfRule>
  </conditionalFormatting>
  <conditionalFormatting sqref="F21">
    <cfRule type="cellIs" priority="5" operator="equal" aboveAverage="0" equalAverage="0" bottom="0" percent="0" rank="0" text="" dxfId="4">
      <formula>"Matriz comunicada e entendida"</formula>
    </cfRule>
    <cfRule type="expression" priority="6" aboveAverage="0" equalAverage="0" bottom="0" percent="0" rank="0" text="" dxfId="5">
      <formula>F21&lt;&gt;"Matriz comunicada e entendida"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G6:G13" type="date">
      <formula1>36526</formula1>
      <formula2>0</formula2>
    </dataValidation>
    <dataValidation allowBlank="true" error="Escolha uma das opções da lista." errorStyle="stop" errorTitle="Valor inválido" operator="between" prompt="Sim, Parcial ou Não" promptTitle="Opções" showDropDown="false" showErrorMessage="true" showInputMessage="true" sqref="H6:H13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141</v>
      </c>
      <c r="C1" s="1"/>
      <c r="D1" s="1"/>
      <c r="E1" s="1"/>
    </row>
    <row r="2" customFormat="false" ht="19.5" hidden="false" customHeight="true" outlineLevel="0" collapsed="false">
      <c r="B2" s="2" t="s">
        <v>142</v>
      </c>
      <c r="C2" s="2"/>
      <c r="D2" s="2"/>
      <c r="E2" s="2"/>
    </row>
    <row r="4" customFormat="false" ht="21.75" hidden="false" customHeight="true" outlineLevel="0" collapsed="false">
      <c r="B4" s="18" t="s">
        <v>83</v>
      </c>
      <c r="C4" s="18" t="s">
        <v>143</v>
      </c>
      <c r="D4" s="18" t="s">
        <v>144</v>
      </c>
      <c r="E4" s="18" t="s">
        <v>129</v>
      </c>
    </row>
    <row r="5" customFormat="false" ht="30" hidden="false" customHeight="true" outlineLevel="0" collapsed="false">
      <c r="B5" s="22" t="n">
        <v>1</v>
      </c>
      <c r="C5" s="6" t="s">
        <v>145</v>
      </c>
      <c r="D5" s="23"/>
      <c r="E5" s="5"/>
    </row>
    <row r="6" customFormat="false" ht="30" hidden="false" customHeight="true" outlineLevel="0" collapsed="false">
      <c r="B6" s="22" t="n">
        <v>2</v>
      </c>
      <c r="C6" s="6" t="s">
        <v>146</v>
      </c>
      <c r="D6" s="23"/>
      <c r="E6" s="5"/>
    </row>
    <row r="7" customFormat="false" ht="30" hidden="false" customHeight="true" outlineLevel="0" collapsed="false">
      <c r="B7" s="22" t="n">
        <v>3</v>
      </c>
      <c r="C7" s="6" t="s">
        <v>147</v>
      </c>
      <c r="D7" s="23"/>
      <c r="E7" s="5"/>
    </row>
    <row r="8" customFormat="false" ht="30" hidden="false" customHeight="true" outlineLevel="0" collapsed="false">
      <c r="B8" s="22" t="n">
        <v>4</v>
      </c>
      <c r="C8" s="6" t="s">
        <v>148</v>
      </c>
      <c r="D8" s="23"/>
      <c r="E8" s="5"/>
    </row>
    <row r="9" customFormat="false" ht="30" hidden="false" customHeight="true" outlineLevel="0" collapsed="false">
      <c r="B9" s="22" t="n">
        <v>5</v>
      </c>
      <c r="C9" s="6" t="s">
        <v>149</v>
      </c>
      <c r="D9" s="23"/>
      <c r="E9" s="5"/>
    </row>
    <row r="10" customFormat="false" ht="30" hidden="false" customHeight="true" outlineLevel="0" collapsed="false">
      <c r="B10" s="22" t="n">
        <v>6</v>
      </c>
      <c r="C10" s="6" t="s">
        <v>150</v>
      </c>
      <c r="D10" s="23"/>
      <c r="E10" s="5"/>
    </row>
    <row r="11" customFormat="false" ht="30" hidden="false" customHeight="true" outlineLevel="0" collapsed="false">
      <c r="B11" s="22" t="n">
        <v>7</v>
      </c>
      <c r="C11" s="6" t="s">
        <v>151</v>
      </c>
      <c r="D11" s="23"/>
      <c r="E11" s="5"/>
    </row>
    <row r="12" customFormat="false" ht="30" hidden="false" customHeight="true" outlineLevel="0" collapsed="false">
      <c r="B12" s="22" t="n">
        <v>8</v>
      </c>
      <c r="C12" s="6" t="s">
        <v>152</v>
      </c>
      <c r="D12" s="23"/>
      <c r="E12" s="5"/>
    </row>
    <row r="13" customFormat="false" ht="30" hidden="false" customHeight="true" outlineLevel="0" collapsed="false">
      <c r="B13" s="22" t="n">
        <v>9</v>
      </c>
      <c r="C13" s="6" t="s">
        <v>153</v>
      </c>
      <c r="D13" s="23"/>
      <c r="E13" s="5"/>
    </row>
    <row r="14" customFormat="false" ht="30" hidden="false" customHeight="true" outlineLevel="0" collapsed="false">
      <c r="B14" s="22" t="n">
        <v>10</v>
      </c>
      <c r="C14" s="6" t="s">
        <v>154</v>
      </c>
      <c r="D14" s="23"/>
      <c r="E14" s="5"/>
    </row>
    <row r="15" customFormat="false" ht="30" hidden="false" customHeight="true" outlineLevel="0" collapsed="false">
      <c r="B15" s="22" t="n">
        <v>11</v>
      </c>
      <c r="C15" s="6" t="s">
        <v>155</v>
      </c>
      <c r="D15" s="23"/>
      <c r="E15" s="5"/>
    </row>
    <row r="16" customFormat="false" ht="30" hidden="false" customHeight="true" outlineLevel="0" collapsed="false">
      <c r="B16" s="22" t="n">
        <v>12</v>
      </c>
      <c r="C16" s="6" t="s">
        <v>156</v>
      </c>
      <c r="D16" s="23"/>
      <c r="E16" s="5"/>
    </row>
    <row r="18" customFormat="false" ht="21.75" hidden="false" customHeight="true" outlineLevel="0" collapsed="false">
      <c r="B18" s="17" t="s">
        <v>101</v>
      </c>
      <c r="C18" s="17"/>
      <c r="D18" s="17"/>
      <c r="E18" s="17"/>
    </row>
    <row r="19" customFormat="false" ht="19.5" hidden="false" customHeight="true" outlineLevel="0" collapsed="false">
      <c r="B19" s="26" t="s">
        <v>157</v>
      </c>
      <c r="C19" s="26"/>
      <c r="D19" s="24" t="n">
        <f aca="false">COUNTIF(D5:D16,"Sim")</f>
        <v>0</v>
      </c>
    </row>
    <row r="20" customFormat="false" ht="19.5" hidden="false" customHeight="true" outlineLevel="0" collapsed="false">
      <c r="B20" s="26" t="s">
        <v>158</v>
      </c>
      <c r="C20" s="26"/>
      <c r="D20" s="24" t="n">
        <f aca="false">COUNTIF(D5:D16,"Parcial")</f>
        <v>0</v>
      </c>
    </row>
    <row r="21" customFormat="false" ht="19.5" hidden="false" customHeight="true" outlineLevel="0" collapsed="false">
      <c r="B21" s="26" t="s">
        <v>159</v>
      </c>
      <c r="C21" s="26"/>
      <c r="D21" s="24" t="n">
        <f aca="false">COUNTIF(D5:D16,"Não")</f>
        <v>0</v>
      </c>
    </row>
    <row r="22" customFormat="false" ht="19.5" hidden="false" customHeight="true" outlineLevel="0" collapsed="false">
      <c r="B22" s="26" t="s">
        <v>160</v>
      </c>
      <c r="C22" s="26"/>
      <c r="D22" s="24" t="n">
        <f aca="false">COUNTBLANK(D5:D16)</f>
        <v>12</v>
      </c>
    </row>
    <row r="23" customFormat="false" ht="19.5" hidden="false" customHeight="true" outlineLevel="0" collapsed="false">
      <c r="B23" s="26" t="s">
        <v>161</v>
      </c>
      <c r="C23" s="26"/>
      <c r="D23" s="34" t="n">
        <f aca="false">D19/ROWS(D5:D16)</f>
        <v>0</v>
      </c>
    </row>
    <row r="24" customFormat="false" ht="19.5" hidden="false" customHeight="true" outlineLevel="0" collapsed="false">
      <c r="B24" s="26" t="s">
        <v>140</v>
      </c>
      <c r="C24" s="26"/>
      <c r="D24" s="24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4">
      <formula>"Sim"</formula>
    </cfRule>
    <cfRule type="cellIs" priority="3" operator="equal" aboveAverage="0" equalAverage="0" bottom="0" percent="0" rank="0" text="" dxfId="5">
      <formula>"Parcial"</formula>
    </cfRule>
    <cfRule type="cellIs" priority="4" operator="equal" aboveAverage="0" equalAverage="0" bottom="0" percent="0" rank="0" text="" dxfId="6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12" min="5" style="0" width="13"/>
    <col collapsed="false" customWidth="true" hidden="false" outlineLevel="0" max="14" min="13" style="0" width="7"/>
    <col collapsed="false" customWidth="true" hidden="false" outlineLevel="0" max="15" min="15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71</v>
      </c>
      <c r="C4" s="4"/>
      <c r="D4" s="35" t="s">
        <v>163</v>
      </c>
      <c r="E4" s="35"/>
      <c r="F4" s="35"/>
      <c r="G4" s="35"/>
      <c r="H4" s="4" t="s">
        <v>72</v>
      </c>
      <c r="I4" s="4"/>
      <c r="J4" s="35" t="s">
        <v>164</v>
      </c>
      <c r="K4" s="35"/>
      <c r="L4" s="35"/>
      <c r="M4" s="35"/>
      <c r="N4" s="35"/>
      <c r="O4" s="35"/>
    </row>
    <row r="5" customFormat="false" ht="21.75" hidden="false" customHeight="true" outlineLevel="0" collapsed="false">
      <c r="B5" s="4" t="s">
        <v>73</v>
      </c>
      <c r="C5" s="4"/>
      <c r="D5" s="35" t="s">
        <v>165</v>
      </c>
      <c r="E5" s="35"/>
      <c r="F5" s="35"/>
      <c r="G5" s="35"/>
      <c r="H5" s="4" t="s">
        <v>74</v>
      </c>
      <c r="I5" s="4"/>
      <c r="J5" s="36" t="n">
        <v>46294</v>
      </c>
      <c r="K5" s="36"/>
      <c r="L5" s="36"/>
      <c r="M5" s="36"/>
      <c r="N5" s="36"/>
      <c r="O5" s="36"/>
    </row>
    <row r="6" customFormat="false" ht="21.75" hidden="false" customHeight="true" outlineLevel="0" collapsed="false">
      <c r="B6" s="4" t="s">
        <v>75</v>
      </c>
      <c r="C6" s="4"/>
      <c r="D6" s="35" t="s">
        <v>166</v>
      </c>
      <c r="E6" s="35"/>
      <c r="F6" s="35"/>
      <c r="G6" s="35"/>
      <c r="H6" s="4" t="s">
        <v>76</v>
      </c>
      <c r="I6" s="4"/>
      <c r="J6" s="35" t="s">
        <v>167</v>
      </c>
      <c r="K6" s="35"/>
      <c r="L6" s="35"/>
      <c r="M6" s="35"/>
      <c r="N6" s="35"/>
      <c r="O6" s="35"/>
    </row>
    <row r="7" customFormat="false" ht="24" hidden="false" customHeight="true" outlineLevel="0" collapsed="false">
      <c r="B7" s="4" t="s">
        <v>77</v>
      </c>
      <c r="C7" s="4"/>
      <c r="D7" s="35" t="s">
        <v>168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customFormat="false" ht="24" hidden="false" customHeight="true" outlineLevel="0" collapsed="false">
      <c r="B8" s="4" t="s">
        <v>78</v>
      </c>
      <c r="C8" s="4"/>
      <c r="D8" s="35" t="s">
        <v>169</v>
      </c>
      <c r="E8" s="35"/>
      <c r="F8" s="35"/>
      <c r="G8" s="35"/>
      <c r="H8" s="4" t="s">
        <v>79</v>
      </c>
      <c r="I8" s="4"/>
      <c r="J8" s="35" t="s">
        <v>170</v>
      </c>
      <c r="K8" s="35"/>
      <c r="L8" s="35"/>
      <c r="M8" s="35"/>
      <c r="N8" s="35"/>
      <c r="O8" s="35"/>
    </row>
    <row r="9" customFormat="false" ht="24" hidden="false" customHeight="true" outlineLevel="0" collapsed="false">
      <c r="B9" s="4" t="s">
        <v>80</v>
      </c>
      <c r="C9" s="4"/>
      <c r="D9" s="35" t="s">
        <v>171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1" customFormat="false" ht="21.75" hidden="false" customHeight="true" outlineLevel="0" collapsed="false">
      <c r="B11" s="17" t="s">
        <v>81</v>
      </c>
      <c r="C11" s="17"/>
      <c r="D11" s="17"/>
      <c r="E11" s="17" t="s">
        <v>82</v>
      </c>
      <c r="F11" s="17"/>
      <c r="G11" s="17"/>
      <c r="H11" s="17"/>
      <c r="I11" s="17"/>
      <c r="J11" s="17"/>
      <c r="K11" s="17"/>
      <c r="L11" s="17"/>
      <c r="M11" s="17" t="s">
        <v>57</v>
      </c>
      <c r="N11" s="17"/>
      <c r="O11" s="17"/>
    </row>
    <row r="12" customFormat="false" ht="39" hidden="false" customHeight="true" outlineLevel="0" collapsed="false">
      <c r="B12" s="18" t="s">
        <v>83</v>
      </c>
      <c r="C12" s="18" t="s">
        <v>84</v>
      </c>
      <c r="D12" s="18"/>
      <c r="E12" s="37" t="s">
        <v>164</v>
      </c>
      <c r="F12" s="37" t="s">
        <v>172</v>
      </c>
      <c r="G12" s="37" t="s">
        <v>173</v>
      </c>
      <c r="H12" s="37" t="s">
        <v>174</v>
      </c>
      <c r="I12" s="37" t="s">
        <v>175</v>
      </c>
      <c r="J12" s="37"/>
      <c r="K12" s="37"/>
      <c r="L12" s="37"/>
      <c r="M12" s="10" t="s">
        <v>16</v>
      </c>
      <c r="N12" s="8" t="s">
        <v>14</v>
      </c>
      <c r="O12" s="18" t="s">
        <v>85</v>
      </c>
    </row>
    <row r="13" customFormat="false" ht="24" hidden="false" customHeight="true" outlineLevel="0" collapsed="false">
      <c r="B13" s="20"/>
      <c r="C13" s="20" t="s">
        <v>86</v>
      </c>
      <c r="D13" s="20"/>
      <c r="E13" s="20" t="s">
        <v>87</v>
      </c>
      <c r="F13" s="20"/>
      <c r="G13" s="20"/>
      <c r="H13" s="20"/>
      <c r="I13" s="20"/>
      <c r="J13" s="20"/>
      <c r="K13" s="20"/>
      <c r="L13" s="20"/>
      <c r="M13" s="20" t="s">
        <v>88</v>
      </c>
      <c r="N13" s="20" t="s">
        <v>89</v>
      </c>
      <c r="O13" s="20" t="s">
        <v>90</v>
      </c>
    </row>
    <row r="14" customFormat="false" ht="24" hidden="false" customHeight="true" outlineLevel="0" collapsed="false">
      <c r="B14" s="21" t="s">
        <v>176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customFormat="false" ht="24" hidden="false" customHeight="true" outlineLevel="0" collapsed="false">
      <c r="B15" s="22" t="n">
        <v>1</v>
      </c>
      <c r="C15" s="35" t="s">
        <v>177</v>
      </c>
      <c r="D15" s="35"/>
      <c r="E15" s="38"/>
      <c r="F15" s="38" t="s">
        <v>22</v>
      </c>
      <c r="G15" s="38" t="s">
        <v>20</v>
      </c>
      <c r="H15" s="38" t="s">
        <v>20</v>
      </c>
      <c r="I15" s="38"/>
      <c r="J15" s="38"/>
      <c r="K15" s="38"/>
      <c r="L15" s="38"/>
      <c r="M15" s="24" t="n">
        <f aca="false">IF(C15="","",COUNTIF(E15:L15,"A")+COUNTIF(E15:L15,"A/R"))</f>
        <v>1</v>
      </c>
      <c r="N15" s="24" t="n">
        <f aca="false">IF(C15="","",COUNTIF(E15:L15,"R")+COUNTIF(E15:L15,"A/R"))</f>
        <v>1</v>
      </c>
      <c r="O15" s="25" t="str">
        <f aca="false">IF(C15="","",IF(COUNTA(E15:L15)=0,"Distribua os papéis",IF(M15=0,"Falta o A",IF(M15&gt;1,"Mais de um A",IF(N15=0,"Falta o R",IF(COUNTIF(E15:L15,"C")&gt;3,"Muitos consultados",IF(COUNTA(E15:L15)=COUNTA($E$12:$L$12),"Todos participam: confira","OK")))))))</f>
        <v>OK</v>
      </c>
    </row>
    <row r="16" customFormat="false" ht="24" hidden="false" customHeight="true" outlineLevel="0" collapsed="false">
      <c r="B16" s="22" t="n">
        <v>2</v>
      </c>
      <c r="C16" s="35" t="s">
        <v>178</v>
      </c>
      <c r="D16" s="35"/>
      <c r="E16" s="38"/>
      <c r="F16" s="38" t="s">
        <v>18</v>
      </c>
      <c r="G16" s="38" t="s">
        <v>22</v>
      </c>
      <c r="H16" s="38" t="s">
        <v>20</v>
      </c>
      <c r="I16" s="38"/>
      <c r="J16" s="38"/>
      <c r="K16" s="38"/>
      <c r="L16" s="38"/>
      <c r="M16" s="24" t="n">
        <f aca="false">IF(C16="","",COUNTIF(E16:L16,"A")+COUNTIF(E16:L16,"A/R"))</f>
        <v>1</v>
      </c>
      <c r="N16" s="24" t="n">
        <f aca="false">IF(C16="","",COUNTIF(E16:L16,"R")+COUNTIF(E16:L16,"A/R"))</f>
        <v>1</v>
      </c>
      <c r="O16" s="25" t="str">
        <f aca="false">IF(C16="","",IF(COUNTA(E16:L16)=0,"Distribua os papéis",IF(M16=0,"Falta o A",IF(M16&gt;1,"Mais de um A",IF(N16=0,"Falta o R",IF(COUNTIF(E16:L16,"C")&gt;3,"Muitos consultados",IF(COUNTA(E16:L16)=COUNTA($E$12:$L$12),"Todos participam: confira","OK")))))))</f>
        <v>OK</v>
      </c>
    </row>
    <row r="17" customFormat="false" ht="24" hidden="false" customHeight="true" outlineLevel="0" collapsed="false">
      <c r="B17" s="22" t="n">
        <v>3</v>
      </c>
      <c r="C17" s="35" t="s">
        <v>179</v>
      </c>
      <c r="D17" s="35"/>
      <c r="E17" s="38"/>
      <c r="F17" s="38"/>
      <c r="G17" s="38" t="s">
        <v>18</v>
      </c>
      <c r="H17" s="38" t="s">
        <v>22</v>
      </c>
      <c r="I17" s="38"/>
      <c r="J17" s="38"/>
      <c r="K17" s="38"/>
      <c r="L17" s="38"/>
      <c r="M17" s="24" t="n">
        <f aca="false">IF(C17="","",COUNTIF(E17:L17,"A")+COUNTIF(E17:L17,"A/R"))</f>
        <v>1</v>
      </c>
      <c r="N17" s="24" t="n">
        <f aca="false">IF(C17="","",COUNTIF(E17:L17,"R")+COUNTIF(E17:L17,"A/R"))</f>
        <v>1</v>
      </c>
      <c r="O17" s="25" t="str">
        <f aca="false">IF(C17="","",IF(COUNTA(E17:L17)=0,"Distribua os papéis",IF(M17=0,"Falta o A",IF(M17&gt;1,"Mais de um A",IF(N17=0,"Falta o R",IF(COUNTIF(E17:L17,"C")&gt;3,"Muitos consultados",IF(COUNTA(E17:L17)=COUNTA($E$12:$L$12),"Todos participam: confira","OK")))))))</f>
        <v>OK</v>
      </c>
    </row>
    <row r="18" customFormat="false" ht="24" hidden="false" customHeight="true" outlineLevel="0" collapsed="false">
      <c r="B18" s="22" t="n">
        <v>4</v>
      </c>
      <c r="C18" s="35" t="s">
        <v>180</v>
      </c>
      <c r="D18" s="35"/>
      <c r="E18" s="38" t="s">
        <v>20</v>
      </c>
      <c r="F18" s="38"/>
      <c r="G18" s="38"/>
      <c r="H18" s="38" t="s">
        <v>22</v>
      </c>
      <c r="I18" s="38" t="s">
        <v>20</v>
      </c>
      <c r="J18" s="38"/>
      <c r="K18" s="38"/>
      <c r="L18" s="38"/>
      <c r="M18" s="24" t="n">
        <f aca="false">IF(C18="","",COUNTIF(E18:L18,"A")+COUNTIF(E18:L18,"A/R"))</f>
        <v>1</v>
      </c>
      <c r="N18" s="24" t="n">
        <f aca="false">IF(C18="","",COUNTIF(E18:L18,"R")+COUNTIF(E18:L18,"A/R"))</f>
        <v>1</v>
      </c>
      <c r="O18" s="25" t="str">
        <f aca="false">IF(C18="","",IF(COUNTA(E18:L18)=0,"Distribua os papéis",IF(M18=0,"Falta o A",IF(M18&gt;1,"Mais de um A",IF(N18=0,"Falta o R",IF(COUNTIF(E18:L18,"C")&gt;3,"Muitos consultados",IF(COUNTA(E18:L18)=COUNTA($E$12:$L$12),"Todos participam: confira","OK")))))))</f>
        <v>OK</v>
      </c>
    </row>
    <row r="19" customFormat="false" ht="24" hidden="false" customHeight="true" outlineLevel="0" collapsed="false">
      <c r="B19" s="22" t="n">
        <v>5</v>
      </c>
      <c r="C19" s="35" t="s">
        <v>181</v>
      </c>
      <c r="D19" s="35"/>
      <c r="E19" s="38"/>
      <c r="F19" s="38" t="s">
        <v>20</v>
      </c>
      <c r="G19" s="38"/>
      <c r="H19" s="38" t="s">
        <v>16</v>
      </c>
      <c r="I19" s="38" t="s">
        <v>14</v>
      </c>
      <c r="J19" s="38"/>
      <c r="K19" s="38"/>
      <c r="L19" s="38"/>
      <c r="M19" s="24" t="n">
        <f aca="false">IF(C19="","",COUNTIF(E19:L19,"A")+COUNTIF(E19:L19,"A/R"))</f>
        <v>1</v>
      </c>
      <c r="N19" s="24" t="n">
        <f aca="false">IF(C19="","",COUNTIF(E19:L19,"R")+COUNTIF(E19:L19,"A/R"))</f>
        <v>1</v>
      </c>
      <c r="O19" s="25" t="str">
        <f aca="false">IF(C19="","",IF(COUNTA(E19:L19)=0,"Distribua os papéis",IF(M19=0,"Falta o A",IF(M19&gt;1,"Mais de um A",IF(N19=0,"Falta o R",IF(COUNTIF(E19:L19,"C")&gt;3,"Muitos consultados",IF(COUNTA(E19:L19)=COUNTA($E$12:$L$12),"Todos participam: confira","OK")))))))</f>
        <v>OK</v>
      </c>
    </row>
    <row r="20" customFormat="false" ht="24" hidden="false" customHeight="true" outlineLevel="0" collapsed="false">
      <c r="B20" s="22" t="n">
        <v>6</v>
      </c>
      <c r="C20" s="35" t="s">
        <v>182</v>
      </c>
      <c r="D20" s="35"/>
      <c r="E20" s="38" t="s">
        <v>20</v>
      </c>
      <c r="F20" s="38" t="s">
        <v>16</v>
      </c>
      <c r="G20" s="38"/>
      <c r="H20" s="38"/>
      <c r="I20" s="38" t="s">
        <v>14</v>
      </c>
      <c r="J20" s="38"/>
      <c r="K20" s="38"/>
      <c r="L20" s="38"/>
      <c r="M20" s="24" t="n">
        <f aca="false">IF(C20="","",COUNTIF(E20:L20,"A")+COUNTIF(E20:L20,"A/R"))</f>
        <v>1</v>
      </c>
      <c r="N20" s="24" t="n">
        <f aca="false">IF(C20="","",COUNTIF(E20:L20,"R")+COUNTIF(E20:L20,"A/R"))</f>
        <v>1</v>
      </c>
      <c r="O20" s="25" t="str">
        <f aca="false">IF(C20="","",IF(COUNTA(E20:L20)=0,"Distribua os papéis",IF(M20=0,"Falta o A",IF(M20&gt;1,"Mais de um A",IF(N20=0,"Falta o R",IF(COUNTIF(E20:L20,"C")&gt;3,"Muitos consultados",IF(COUNTA(E20:L20)=COUNTA($E$12:$L$12),"Todos participam: confira","OK")))))))</f>
        <v>OK</v>
      </c>
    </row>
    <row r="21" customFormat="false" ht="24" hidden="false" customHeight="true" outlineLevel="0" collapsed="false">
      <c r="B21" s="22" t="n">
        <v>7</v>
      </c>
      <c r="C21" s="35" t="s">
        <v>183</v>
      </c>
      <c r="D21" s="35"/>
      <c r="E21" s="38" t="s">
        <v>16</v>
      </c>
      <c r="F21" s="38" t="s">
        <v>14</v>
      </c>
      <c r="G21" s="38" t="s">
        <v>18</v>
      </c>
      <c r="H21" s="38" t="s">
        <v>18</v>
      </c>
      <c r="I21" s="38"/>
      <c r="J21" s="38"/>
      <c r="K21" s="38"/>
      <c r="L21" s="38"/>
      <c r="M21" s="24" t="n">
        <f aca="false">IF(C21="","",COUNTIF(E21:L21,"A")+COUNTIF(E21:L21,"A/R"))</f>
        <v>1</v>
      </c>
      <c r="N21" s="24" t="n">
        <f aca="false">IF(C21="","",COUNTIF(E21:L21,"R")+COUNTIF(E21:L21,"A/R"))</f>
        <v>1</v>
      </c>
      <c r="O21" s="25" t="str">
        <f aca="false">IF(C21="","",IF(COUNTA(E21:L21)=0,"Distribua os papéis",IF(M21=0,"Falta o A",IF(M21&gt;1,"Mais de um A",IF(N21=0,"Falta o R",IF(COUNTIF(E21:L21,"C")&gt;3,"Muitos consultados",IF(COUNTA(E21:L21)=COUNTA($E$12:$L$12),"Todos participam: confira","OK")))))))</f>
        <v>OK</v>
      </c>
    </row>
    <row r="22" customFormat="false" ht="24" hidden="false" customHeight="true" outlineLevel="0" collapsed="false">
      <c r="B22" s="22" t="n">
        <v>8</v>
      </c>
      <c r="C22" s="35" t="s">
        <v>184</v>
      </c>
      <c r="D22" s="35"/>
      <c r="E22" s="38" t="s">
        <v>22</v>
      </c>
      <c r="F22" s="38"/>
      <c r="G22" s="38"/>
      <c r="H22" s="38" t="s">
        <v>18</v>
      </c>
      <c r="I22" s="38" t="s">
        <v>20</v>
      </c>
      <c r="J22" s="38"/>
      <c r="K22" s="38"/>
      <c r="L22" s="38"/>
      <c r="M22" s="24" t="n">
        <f aca="false">IF(C22="","",COUNTIF(E22:L22,"A")+COUNTIF(E22:L22,"A/R"))</f>
        <v>1</v>
      </c>
      <c r="N22" s="24" t="n">
        <f aca="false">IF(C22="","",COUNTIF(E22:L22,"R")+COUNTIF(E22:L22,"A/R"))</f>
        <v>1</v>
      </c>
      <c r="O22" s="25" t="str">
        <f aca="false">IF(C22="","",IF(COUNTA(E22:L22)=0,"Distribua os papéis",IF(M22=0,"Falta o A",IF(M22&gt;1,"Mais de um A",IF(N22=0,"Falta o R",IF(COUNTIF(E22:L22,"C")&gt;3,"Muitos consultados",IF(COUNTA(E22:L22)=COUNTA($E$12:$L$12),"Todos participam: confira","OK")))))))</f>
        <v>OK</v>
      </c>
    </row>
    <row r="23" customFormat="false" ht="24" hidden="false" customHeight="true" outlineLevel="0" collapsed="false">
      <c r="B23" s="22" t="n">
        <v>9</v>
      </c>
      <c r="C23" s="35" t="s">
        <v>185</v>
      </c>
      <c r="D23" s="35"/>
      <c r="E23" s="38" t="s">
        <v>16</v>
      </c>
      <c r="F23" s="38"/>
      <c r="G23" s="38" t="s">
        <v>20</v>
      </c>
      <c r="H23" s="38" t="s">
        <v>14</v>
      </c>
      <c r="I23" s="38" t="s">
        <v>20</v>
      </c>
      <c r="J23" s="38"/>
      <c r="K23" s="38"/>
      <c r="L23" s="38"/>
      <c r="M23" s="24" t="n">
        <f aca="false">IF(C23="","",COUNTIF(E23:L23,"A")+COUNTIF(E23:L23,"A/R"))</f>
        <v>1</v>
      </c>
      <c r="N23" s="24" t="n">
        <f aca="false">IF(C23="","",COUNTIF(E23:L23,"R")+COUNTIF(E23:L23,"A/R"))</f>
        <v>1</v>
      </c>
      <c r="O23" s="25" t="str">
        <f aca="false">IF(C23="","",IF(COUNTA(E23:L23)=0,"Distribua os papéis",IF(M23=0,"Falta o A",IF(M23&gt;1,"Mais de um A",IF(N23=0,"Falta o R",IF(COUNTIF(E23:L23,"C")&gt;3,"Muitos consultados",IF(COUNTA(E23:L23)=COUNTA($E$12:$L$12),"Todos participam: confira","OK")))))))</f>
        <v>OK</v>
      </c>
    </row>
    <row r="24" customFormat="false" ht="24" hidden="true" customHeight="true" outlineLevel="0" collapsed="false">
      <c r="B24" s="22" t="n">
        <v>10</v>
      </c>
      <c r="C24" s="35"/>
      <c r="D24" s="35"/>
      <c r="E24" s="38"/>
      <c r="F24" s="38"/>
      <c r="G24" s="38"/>
      <c r="H24" s="38"/>
      <c r="I24" s="38"/>
      <c r="J24" s="38"/>
      <c r="K24" s="38"/>
      <c r="L24" s="38"/>
      <c r="M24" s="24" t="str">
        <f aca="false">IF(C24="","",COUNTIF(E24:L24,"A")+COUNTIF(E24:L24,"A/R"))</f>
        <v/>
      </c>
      <c r="N24" s="24" t="str">
        <f aca="false">IF(C24="","",COUNTIF(E24:L24,"R")+COUNTIF(E24:L24,"A/R"))</f>
        <v/>
      </c>
      <c r="O24" s="25" t="str">
        <f aca="false">IF(C24="","",IF(COUNTA(E24:L24)=0,"Distribua os papéis",IF(M24=0,"Falta o A",IF(M24&gt;1,"Mais de um A",IF(N24=0,"Falta o R",IF(COUNTIF(E24:L24,"C")&gt;3,"Muitos consultados",IF(COUNTA(E24:L24)=COUNTA($E$12:$L$12),"Todos participam: confira","OK")))))))</f>
        <v/>
      </c>
    </row>
    <row r="25" customFormat="false" ht="24" hidden="true" customHeight="true" outlineLevel="0" collapsed="false">
      <c r="B25" s="22" t="n">
        <v>11</v>
      </c>
      <c r="C25" s="35"/>
      <c r="D25" s="35"/>
      <c r="E25" s="38"/>
      <c r="F25" s="38"/>
      <c r="G25" s="38"/>
      <c r="H25" s="38"/>
      <c r="I25" s="38"/>
      <c r="J25" s="38"/>
      <c r="K25" s="38"/>
      <c r="L25" s="38"/>
      <c r="M25" s="24" t="str">
        <f aca="false">IF(C25="","",COUNTIF(E25:L25,"A")+COUNTIF(E25:L25,"A/R"))</f>
        <v/>
      </c>
      <c r="N25" s="24" t="str">
        <f aca="false">IF(C25="","",COUNTIF(E25:L25,"R")+COUNTIF(E25:L25,"A/R"))</f>
        <v/>
      </c>
      <c r="O25" s="25" t="str">
        <f aca="false">IF(C25="","",IF(COUNTA(E25:L25)=0,"Distribua os papéis",IF(M25=0,"Falta o A",IF(M25&gt;1,"Mais de um A",IF(N25=0,"Falta o R",IF(COUNTIF(E25:L25,"C")&gt;3,"Muitos consultados",IF(COUNTA(E25:L25)=COUNTA($E$12:$L$12),"Todos participam: confira","OK")))))))</f>
        <v/>
      </c>
    </row>
    <row r="26" customFormat="false" ht="24" hidden="true" customHeight="true" outlineLevel="0" collapsed="false">
      <c r="B26" s="22" t="n">
        <v>12</v>
      </c>
      <c r="C26" s="35"/>
      <c r="D26" s="35"/>
      <c r="E26" s="38"/>
      <c r="F26" s="38"/>
      <c r="G26" s="38"/>
      <c r="H26" s="38"/>
      <c r="I26" s="38"/>
      <c r="J26" s="38"/>
      <c r="K26" s="38"/>
      <c r="L26" s="38"/>
      <c r="M26" s="24" t="str">
        <f aca="false">IF(C26="","",COUNTIF(E26:L26,"A")+COUNTIF(E26:L26,"A/R"))</f>
        <v/>
      </c>
      <c r="N26" s="24" t="str">
        <f aca="false">IF(C26="","",COUNTIF(E26:L26,"R")+COUNTIF(E26:L26,"A/R"))</f>
        <v/>
      </c>
      <c r="O26" s="25" t="str">
        <f aca="false">IF(C26="","",IF(COUNTA(E26:L26)=0,"Distribua os papéis",IF(M26=0,"Falta o A",IF(M26&gt;1,"Mais de um A",IF(N26=0,"Falta o R",IF(COUNTIF(E26:L26,"C")&gt;3,"Muitos consultados",IF(COUNTA(E26:L26)=COUNTA($E$12:$L$12),"Todos participam: confira","OK")))))))</f>
        <v/>
      </c>
    </row>
    <row r="27" customFormat="false" ht="24" hidden="true" customHeight="true" outlineLevel="0" collapsed="false">
      <c r="B27" s="22" t="n">
        <v>13</v>
      </c>
      <c r="C27" s="35"/>
      <c r="D27" s="35"/>
      <c r="E27" s="38"/>
      <c r="F27" s="38"/>
      <c r="G27" s="38"/>
      <c r="H27" s="38"/>
      <c r="I27" s="38"/>
      <c r="J27" s="38"/>
      <c r="K27" s="38"/>
      <c r="L27" s="38"/>
      <c r="M27" s="24" t="str">
        <f aca="false">IF(C27="","",COUNTIF(E27:L27,"A")+COUNTIF(E27:L27,"A/R"))</f>
        <v/>
      </c>
      <c r="N27" s="24" t="str">
        <f aca="false">IF(C27="","",COUNTIF(E27:L27,"R")+COUNTIF(E27:L27,"A/R"))</f>
        <v/>
      </c>
      <c r="O27" s="25" t="str">
        <f aca="false">IF(C27="","",IF(COUNTA(E27:L27)=0,"Distribua os papéis",IF(M27=0,"Falta o A",IF(M27&gt;1,"Mais de um A",IF(N27=0,"Falta o R",IF(COUNTIF(E27:L27,"C")&gt;3,"Muitos consultados",IF(COUNTA(E27:L27)=COUNTA($E$12:$L$12),"Todos participam: confira","OK")))))))</f>
        <v/>
      </c>
    </row>
    <row r="28" customFormat="false" ht="24" hidden="true" customHeight="true" outlineLevel="0" collapsed="false">
      <c r="B28" s="22" t="n">
        <v>14</v>
      </c>
      <c r="C28" s="35"/>
      <c r="D28" s="35"/>
      <c r="E28" s="38"/>
      <c r="F28" s="38"/>
      <c r="G28" s="38"/>
      <c r="H28" s="38"/>
      <c r="I28" s="38"/>
      <c r="J28" s="38"/>
      <c r="K28" s="38"/>
      <c r="L28" s="38"/>
      <c r="M28" s="24" t="str">
        <f aca="false">IF(C28="","",COUNTIF(E28:L28,"A")+COUNTIF(E28:L28,"A/R"))</f>
        <v/>
      </c>
      <c r="N28" s="24" t="str">
        <f aca="false">IF(C28="","",COUNTIF(E28:L28,"R")+COUNTIF(E28:L28,"A/R"))</f>
        <v/>
      </c>
      <c r="O28" s="25" t="str">
        <f aca="false">IF(C28="","",IF(COUNTA(E28:L28)=0,"Distribua os papéis",IF(M28=0,"Falta o A",IF(M28&gt;1,"Mais de um A",IF(N28=0,"Falta o R",IF(COUNTIF(E28:L28,"C")&gt;3,"Muitos consultados",IF(COUNTA(E28:L28)=COUNTA($E$12:$L$12),"Todos participam: confira","OK")))))))</f>
        <v/>
      </c>
    </row>
    <row r="29" customFormat="false" ht="24" hidden="true" customHeight="true" outlineLevel="0" collapsed="false">
      <c r="B29" s="22" t="n">
        <v>15</v>
      </c>
      <c r="C29" s="35"/>
      <c r="D29" s="35"/>
      <c r="E29" s="38"/>
      <c r="F29" s="38"/>
      <c r="G29" s="38"/>
      <c r="H29" s="38"/>
      <c r="I29" s="38"/>
      <c r="J29" s="38"/>
      <c r="K29" s="38"/>
      <c r="L29" s="38"/>
      <c r="M29" s="24" t="str">
        <f aca="false">IF(C29="","",COUNTIF(E29:L29,"A")+COUNTIF(E29:L29,"A/R"))</f>
        <v/>
      </c>
      <c r="N29" s="24" t="str">
        <f aca="false">IF(C29="","",COUNTIF(E29:L29,"R")+COUNTIF(E29:L29,"A/R"))</f>
        <v/>
      </c>
      <c r="O29" s="25" t="str">
        <f aca="false">IF(C29="","",IF(COUNTA(E29:L29)=0,"Distribua os papéis",IF(M29=0,"Falta o A",IF(M29&gt;1,"Mais de um A",IF(N29=0,"Falta o R",IF(COUNTIF(E29:L29,"C")&gt;3,"Muitos consultados",IF(COUNTA(E29:L29)=COUNTA($E$12:$L$12),"Todos participam: confira","OK")))))))</f>
        <v/>
      </c>
    </row>
    <row r="31" customFormat="false" ht="21.75" hidden="false" customHeight="true" outlineLevel="0" collapsed="false">
      <c r="B31" s="17" t="s">
        <v>94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customFormat="false" ht="21.75" hidden="false" customHeight="true" outlineLevel="0" collapsed="false">
      <c r="B32" s="8" t="s">
        <v>14</v>
      </c>
      <c r="C32" s="4" t="s">
        <v>95</v>
      </c>
      <c r="D32" s="4"/>
      <c r="E32" s="24" t="n">
        <f aca="false">IF(AND(E$12="",COUNTA(E15:E29)=0),"",COUNTIF(E15:E29,"R")+COUNTIF(E15:E29,"A/R"))</f>
        <v>1</v>
      </c>
      <c r="F32" s="24" t="n">
        <f aca="false">IF(AND(F$12="",COUNTA(F15:F29)=0),"",COUNTIF(F15:F29,"R")+COUNTIF(F15:F29,"A/R"))</f>
        <v>2</v>
      </c>
      <c r="G32" s="24" t="n">
        <f aca="false">IF(AND(G$12="",COUNTA(G15:G29)=0),"",COUNTIF(G15:G29,"R")+COUNTIF(G15:G29,"A/R"))</f>
        <v>1</v>
      </c>
      <c r="H32" s="24" t="n">
        <f aca="false">IF(AND(H$12="",COUNTA(H15:H29)=0),"",COUNTIF(H15:H29,"R")+COUNTIF(H15:H29,"A/R"))</f>
        <v>3</v>
      </c>
      <c r="I32" s="24" t="n">
        <f aca="false">IF(AND(I$12="",COUNTA(I15:I29)=0),"",COUNTIF(I15:I29,"R")+COUNTIF(I15:I29,"A/R"))</f>
        <v>2</v>
      </c>
      <c r="J32" s="24" t="str">
        <f aca="false">IF(AND(J$12="",COUNTA(J15:J29)=0),"",COUNTIF(J15:J29,"R")+COUNTIF(J15:J29,"A/R"))</f>
        <v/>
      </c>
      <c r="K32" s="24" t="str">
        <f aca="false">IF(AND(K$12="",COUNTA(K15:K29)=0),"",COUNTIF(K15:K29,"R")+COUNTIF(K15:K29,"A/R"))</f>
        <v/>
      </c>
      <c r="L32" s="24" t="str">
        <f aca="false">IF(AND(L$12="",COUNTA(L15:L29)=0),"",COUNTIF(L15:L29,"R")+COUNTIF(L15:L29,"A/R"))</f>
        <v/>
      </c>
    </row>
    <row r="33" customFormat="false" ht="21.75" hidden="false" customHeight="true" outlineLevel="0" collapsed="false">
      <c r="B33" s="10" t="s">
        <v>16</v>
      </c>
      <c r="C33" s="4" t="s">
        <v>96</v>
      </c>
      <c r="D33" s="4"/>
      <c r="E33" s="24" t="n">
        <f aca="false">IF(AND(E$12="",COUNTA(E15:E29)=0),"",COUNTIF(E15:E29,"A")+COUNTIF(E15:E29,"A/R"))</f>
        <v>3</v>
      </c>
      <c r="F33" s="24" t="n">
        <f aca="false">IF(AND(F$12="",COUNTA(F15:F29)=0),"",COUNTIF(F15:F29,"A")+COUNTIF(F15:F29,"A/R"))</f>
        <v>2</v>
      </c>
      <c r="G33" s="24" t="n">
        <f aca="false">IF(AND(G$12="",COUNTA(G15:G29)=0),"",COUNTIF(G15:G29,"A")+COUNTIF(G15:G29,"A/R"))</f>
        <v>1</v>
      </c>
      <c r="H33" s="24" t="n">
        <f aca="false">IF(AND(H$12="",COUNTA(H15:H29)=0),"",COUNTIF(H15:H29,"A")+COUNTIF(H15:H29,"A/R"))</f>
        <v>3</v>
      </c>
      <c r="I33" s="24" t="n">
        <f aca="false">IF(AND(I$12="",COUNTA(I15:I29)=0),"",COUNTIF(I15:I29,"A")+COUNTIF(I15:I29,"A/R"))</f>
        <v>0</v>
      </c>
      <c r="J33" s="24" t="str">
        <f aca="false">IF(AND(J$12="",COUNTA(J15:J29)=0),"",COUNTIF(J15:J29,"A")+COUNTIF(J15:J29,"A/R"))</f>
        <v/>
      </c>
      <c r="K33" s="24" t="str">
        <f aca="false">IF(AND(K$12="",COUNTA(K15:K29)=0),"",COUNTIF(K15:K29,"A")+COUNTIF(K15:K29,"A/R"))</f>
        <v/>
      </c>
      <c r="L33" s="24" t="str">
        <f aca="false">IF(AND(L$12="",COUNTA(L15:L29)=0),"",COUNTIF(L15:L29,"A")+COUNTIF(L15:L29,"A/R"))</f>
        <v/>
      </c>
    </row>
    <row r="34" customFormat="false" ht="21.75" hidden="false" customHeight="true" outlineLevel="0" collapsed="false">
      <c r="B34" s="12" t="s">
        <v>18</v>
      </c>
      <c r="C34" s="4" t="s">
        <v>97</v>
      </c>
      <c r="D34" s="4"/>
      <c r="E34" s="24" t="n">
        <f aca="false">IF(AND(E$12="",COUNTA(E15:E29)=0),"",COUNTIF(E15:E29,"C"))</f>
        <v>0</v>
      </c>
      <c r="F34" s="24" t="n">
        <f aca="false">IF(AND(F$12="",COUNTA(F15:F29)=0),"",COUNTIF(F15:F29,"C"))</f>
        <v>1</v>
      </c>
      <c r="G34" s="24" t="n">
        <f aca="false">IF(AND(G$12="",COUNTA(G15:G29)=0),"",COUNTIF(G15:G29,"C"))</f>
        <v>2</v>
      </c>
      <c r="H34" s="24" t="n">
        <f aca="false">IF(AND(H$12="",COUNTA(H15:H29)=0),"",COUNTIF(H15:H29,"C"))</f>
        <v>2</v>
      </c>
      <c r="I34" s="24" t="n">
        <f aca="false">IF(AND(I$12="",COUNTA(I15:I29)=0),"",COUNTIF(I15:I29,"C"))</f>
        <v>0</v>
      </c>
      <c r="J34" s="24" t="str">
        <f aca="false">IF(AND(J$12="",COUNTA(J15:J29)=0),"",COUNTIF(J15:J29,"C"))</f>
        <v/>
      </c>
      <c r="K34" s="24" t="str">
        <f aca="false">IF(AND(K$12="",COUNTA(K15:K29)=0),"",COUNTIF(K15:K29,"C"))</f>
        <v/>
      </c>
      <c r="L34" s="24" t="str">
        <f aca="false">IF(AND(L$12="",COUNTA(L15:L29)=0),"",COUNTIF(L15:L29,"C"))</f>
        <v/>
      </c>
    </row>
    <row r="35" customFormat="false" ht="21.75" hidden="false" customHeight="true" outlineLevel="0" collapsed="false">
      <c r="B35" s="14" t="s">
        <v>20</v>
      </c>
      <c r="C35" s="4" t="s">
        <v>98</v>
      </c>
      <c r="D35" s="4"/>
      <c r="E35" s="24" t="n">
        <f aca="false">IF(AND(E$12="",COUNTA(E15:E29)=0),"",COUNTIF(E15:E29,"I"))</f>
        <v>2</v>
      </c>
      <c r="F35" s="24" t="n">
        <f aca="false">IF(AND(F$12="",COUNTA(F15:F29)=0),"",COUNTIF(F15:F29,"I"))</f>
        <v>1</v>
      </c>
      <c r="G35" s="24" t="n">
        <f aca="false">IF(AND(G$12="",COUNTA(G15:G29)=0),"",COUNTIF(G15:G29,"I"))</f>
        <v>2</v>
      </c>
      <c r="H35" s="24" t="n">
        <f aca="false">IF(AND(H$12="",COUNTA(H15:H29)=0),"",COUNTIF(H15:H29,"I"))</f>
        <v>2</v>
      </c>
      <c r="I35" s="24" t="n">
        <f aca="false">IF(AND(I$12="",COUNTA(I15:I29)=0),"",COUNTIF(I15:I29,"I"))</f>
        <v>3</v>
      </c>
      <c r="J35" s="24" t="str">
        <f aca="false">IF(AND(J$12="",COUNTA(J15:J29)=0),"",COUNTIF(J15:J29,"I"))</f>
        <v/>
      </c>
      <c r="K35" s="24" t="str">
        <f aca="false">IF(AND(K$12="",COUNTA(K15:K29)=0),"",COUNTIF(K15:K29,"I"))</f>
        <v/>
      </c>
      <c r="L35" s="24" t="str">
        <f aca="false">IF(AND(L$12="",COUNTA(L15:L29)=0),"",COUNTIF(L15:L29,"I"))</f>
        <v/>
      </c>
    </row>
    <row r="36" customFormat="false" ht="21.75" hidden="false" customHeight="true" outlineLevel="0" collapsed="false">
      <c r="B36" s="4" t="s">
        <v>99</v>
      </c>
      <c r="C36" s="4"/>
      <c r="D36" s="4"/>
      <c r="E36" s="24" t="n">
        <f aca="false">IF(AND(E$12="",COUNTA(E15:E29)=0),"",COUNTA(E15:E29))</f>
        <v>5</v>
      </c>
      <c r="F36" s="24" t="n">
        <f aca="false">IF(AND(F$12="",COUNTA(F15:F29)=0),"",COUNTA(F15:F29))</f>
        <v>5</v>
      </c>
      <c r="G36" s="24" t="n">
        <f aca="false">IF(AND(G$12="",COUNTA(G15:G29)=0),"",COUNTA(G15:G29))</f>
        <v>5</v>
      </c>
      <c r="H36" s="24" t="n">
        <f aca="false">IF(AND(H$12="",COUNTA(H15:H29)=0),"",COUNTA(H15:H29))</f>
        <v>8</v>
      </c>
      <c r="I36" s="24" t="n">
        <f aca="false">IF(AND(I$12="",COUNTA(I15:I29)=0),"",COUNTA(I15:I29))</f>
        <v>5</v>
      </c>
      <c r="J36" s="24" t="str">
        <f aca="false">IF(AND(J$12="",COUNTA(J15:J29)=0),"",COUNTA(J15:J29))</f>
        <v/>
      </c>
      <c r="K36" s="24" t="str">
        <f aca="false">IF(AND(K$12="",COUNTA(K15:K29)=0),"",COUNTA(K15:K29))</f>
        <v/>
      </c>
      <c r="L36" s="24" t="str">
        <f aca="false">IF(AND(L$12="",COUNTA(L15:L29)=0),"",COUNTA(L15:L29))</f>
        <v/>
      </c>
    </row>
    <row r="37" customFormat="false" ht="45" hidden="false" customHeight="true" outlineLevel="0" collapsed="false">
      <c r="B37" s="4" t="s">
        <v>100</v>
      </c>
      <c r="C37" s="4"/>
      <c r="D37" s="4"/>
      <c r="E37" s="25" t="str">
        <f aca="false">IF(E$12="",IF(COUNTA(E15:E29)&gt;0,"Papel sem nome",""),IF(E36=0,"Sem participação",IF(AND($H$40&gt;=5,E33/$H$40&gt;0.6),"Muitos A: possível gargalo",IF(AND($H$40&gt;=5,E32/$H$40&gt;0.6),"Muitos R: possível sobrecarga",IF(E32+E33=0,IF(E34=0,"Só informado","Só consultado ou informado"),"OK")))))</f>
        <v>OK</v>
      </c>
      <c r="F37" s="25" t="str">
        <f aca="false">IF(F$12="",IF(COUNTA(F15:F29)&gt;0,"Papel sem nome",""),IF(F36=0,"Sem participação",IF(AND($H$40&gt;=5,F33/$H$40&gt;0.6),"Muitos A: possível gargalo",IF(AND($H$40&gt;=5,F32/$H$40&gt;0.6),"Muitos R: possível sobrecarga",IF(F32+F33=0,IF(F34=0,"Só informado","Só consultado ou informado"),"OK")))))</f>
        <v>OK</v>
      </c>
      <c r="G37" s="25" t="str">
        <f aca="false">IF(G$12="",IF(COUNTA(G15:G29)&gt;0,"Papel sem nome",""),IF(G36=0,"Sem participação",IF(AND($H$40&gt;=5,G33/$H$40&gt;0.6),"Muitos A: possível gargalo",IF(AND($H$40&gt;=5,G32/$H$40&gt;0.6),"Muitos R: possível sobrecarga",IF(G32+G33=0,IF(G34=0,"Só informado","Só consultado ou informado"),"OK")))))</f>
        <v>OK</v>
      </c>
      <c r="H37" s="25" t="str">
        <f aca="false">IF(H$12="",IF(COUNTA(H15:H29)&gt;0,"Papel sem nome",""),IF(H36=0,"Sem participação",IF(AND($H$40&gt;=5,H33/$H$40&gt;0.6),"Muitos A: possível gargalo",IF(AND($H$40&gt;=5,H32/$H$40&gt;0.6),"Muitos R: possível sobrecarga",IF(H32+H33=0,IF(H34=0,"Só informado","Só consultado ou informado"),"OK")))))</f>
        <v>OK</v>
      </c>
      <c r="I37" s="25" t="str">
        <f aca="false">IF(I$12="",IF(COUNTA(I15:I29)&gt;0,"Papel sem nome",""),IF(I36=0,"Sem participação",IF(AND($H$40&gt;=5,I33/$H$40&gt;0.6),"Muitos A: possível gargalo",IF(AND($H$40&gt;=5,I32/$H$40&gt;0.6),"Muitos R: possível sobrecarga",IF(I32+I33=0,IF(I34=0,"Só informado","Só consultado ou informado"),"OK")))))</f>
        <v>OK</v>
      </c>
      <c r="J37" s="25" t="str">
        <f aca="false">IF(J$12="",IF(COUNTA(J15:J29)&gt;0,"Papel sem nome",""),IF(J36=0,"Sem participação",IF(AND($H$40&gt;=5,J33/$H$40&gt;0.6),"Muitos A: possível gargalo",IF(AND($H$40&gt;=5,J32/$H$40&gt;0.6),"Muitos R: possível sobrecarga",IF(J32+J33=0,IF(J34=0,"Só informado","Só consultado ou informado"),"OK")))))</f>
        <v/>
      </c>
      <c r="K37" s="25" t="str">
        <f aca="false">IF(K$12="",IF(COUNTA(K15:K29)&gt;0,"Papel sem nome",""),IF(K36=0,"Sem participação",IF(AND($H$40&gt;=5,K33/$H$40&gt;0.6),"Muitos A: possível gargalo",IF(AND($H$40&gt;=5,K32/$H$40&gt;0.6),"Muitos R: possível sobrecarga",IF(K32+K33=0,IF(K34=0,"Só informado","Só consultado ou informado"),"OK")))))</f>
        <v/>
      </c>
      <c r="L37" s="25" t="str">
        <f aca="false">IF(L$12="",IF(COUNTA(L15:L29)&gt;0,"Papel sem nome",""),IF(L36=0,"Sem participação",IF(AND($H$40&gt;=5,L33/$H$40&gt;0.6),"Muitos A: possível gargalo",IF(AND($H$40&gt;=5,L32/$H$40&gt;0.6),"Muitos R: possível sobrecarga",IF(L32+L33=0,IF(L34=0,"Só informado","Só consultado ou informado"),"OK")))))</f>
        <v/>
      </c>
    </row>
    <row r="39" customFormat="false" ht="21.75" hidden="false" customHeight="true" outlineLevel="0" collapsed="false">
      <c r="B39" s="17" t="s">
        <v>101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customFormat="false" ht="21.75" hidden="false" customHeight="true" outlineLevel="0" collapsed="false">
      <c r="B40" s="26" t="s">
        <v>102</v>
      </c>
      <c r="C40" s="26"/>
      <c r="D40" s="26"/>
      <c r="E40" s="26"/>
      <c r="F40" s="26"/>
      <c r="G40" s="26"/>
      <c r="H40" s="24" t="n">
        <f aca="false">COUNTA(C15:C29)</f>
        <v>9</v>
      </c>
      <c r="I40" s="24"/>
      <c r="J40" s="24"/>
      <c r="K40" s="24"/>
      <c r="L40" s="24"/>
    </row>
    <row r="41" customFormat="false" ht="21.75" hidden="false" customHeight="true" outlineLevel="0" collapsed="false">
      <c r="B41" s="26" t="s">
        <v>103</v>
      </c>
      <c r="C41" s="26"/>
      <c r="D41" s="26"/>
      <c r="E41" s="26"/>
      <c r="F41" s="26"/>
      <c r="G41" s="26"/>
      <c r="H41" s="24" t="n">
        <f aca="false">COUNTA(E12:L12)</f>
        <v>5</v>
      </c>
      <c r="I41" s="24"/>
      <c r="J41" s="24"/>
      <c r="K41" s="24"/>
      <c r="L41" s="24"/>
    </row>
    <row r="42" customFormat="false" ht="21.75" hidden="false" customHeight="true" outlineLevel="0" collapsed="false">
      <c r="B42" s="26" t="s">
        <v>104</v>
      </c>
      <c r="C42" s="26"/>
      <c r="D42" s="26"/>
      <c r="E42" s="26"/>
      <c r="F42" s="26"/>
      <c r="G42" s="26"/>
      <c r="H42" s="24" t="n">
        <f aca="false">COUNTIF(O15:O29,"OK")</f>
        <v>9</v>
      </c>
      <c r="I42" s="24"/>
      <c r="J42" s="24"/>
      <c r="K42" s="24"/>
      <c r="L42" s="24"/>
    </row>
    <row r="43" customFormat="false" ht="21.75" hidden="false" customHeight="true" outlineLevel="0" collapsed="false">
      <c r="B43" s="26" t="s">
        <v>105</v>
      </c>
      <c r="C43" s="26"/>
      <c r="D43" s="26"/>
      <c r="E43" s="26"/>
      <c r="F43" s="26"/>
      <c r="G43" s="26"/>
      <c r="H43" s="24" t="n">
        <f aca="false">COUNTIF(O15:O29,"Falta o A")+COUNTIF(O15:O29,"Mais de um A")</f>
        <v>0</v>
      </c>
      <c r="I43" s="24"/>
      <c r="J43" s="24"/>
      <c r="K43" s="24"/>
      <c r="L43" s="24"/>
    </row>
    <row r="44" customFormat="false" ht="21.75" hidden="false" customHeight="true" outlineLevel="0" collapsed="false">
      <c r="B44" s="26" t="s">
        <v>106</v>
      </c>
      <c r="C44" s="26"/>
      <c r="D44" s="26"/>
      <c r="E44" s="26"/>
      <c r="F44" s="26"/>
      <c r="G44" s="26"/>
      <c r="H44" s="24" t="n">
        <f aca="false">COUNTIF(O15:O29,"Falta o R")</f>
        <v>0</v>
      </c>
      <c r="I44" s="24"/>
      <c r="J44" s="24"/>
      <c r="K44" s="24"/>
      <c r="L44" s="24"/>
    </row>
    <row r="45" customFormat="false" ht="21.75" hidden="false" customHeight="true" outlineLevel="0" collapsed="false">
      <c r="B45" s="26" t="s">
        <v>107</v>
      </c>
      <c r="C45" s="26"/>
      <c r="D45" s="26"/>
      <c r="E45" s="26"/>
      <c r="F45" s="26"/>
      <c r="G45" s="26"/>
      <c r="H45" s="24" t="n">
        <f aca="false">SUMPRODUCT((E37:L37&lt;&gt;"")*(E37:L37&lt;&gt;"OK"))</f>
        <v>0</v>
      </c>
      <c r="I45" s="24"/>
      <c r="J45" s="24"/>
      <c r="K45" s="24"/>
      <c r="L45" s="24"/>
    </row>
    <row r="46" customFormat="false" ht="21.75" hidden="false" customHeight="true" outlineLevel="0" collapsed="false">
      <c r="B46" s="26" t="s">
        <v>108</v>
      </c>
      <c r="C46" s="26"/>
      <c r="D46" s="26"/>
      <c r="E46" s="26"/>
      <c r="F46" s="26"/>
      <c r="G46" s="26"/>
      <c r="H46" s="27" t="str">
        <f aca="false">IF(H40=0,"Liste as atividades",IF(H41=0,"Defina os papéis",IF(H42&lt;H40,"Há atividade com aviso: veja a conferência da linha","Linhas conferidas")))</f>
        <v>Linhas conferidas</v>
      </c>
      <c r="I46" s="27"/>
      <c r="J46" s="27"/>
      <c r="K46" s="27"/>
      <c r="L46" s="27"/>
    </row>
    <row r="47" customFormat="false" ht="21.75" hidden="false" customHeight="true" outlineLevel="0" collapsed="false">
      <c r="B47" s="26" t="s">
        <v>109</v>
      </c>
      <c r="C47" s="26"/>
      <c r="D47" s="26"/>
      <c r="E47" s="26"/>
      <c r="F47" s="26"/>
      <c r="G47" s="26"/>
      <c r="H47" s="28" t="n">
        <f aca="false">COUNTA(D4,J4,D5,J5,D6,J6,D7,D8,J8,D9)</f>
        <v>10</v>
      </c>
      <c r="I47" s="28"/>
      <c r="J47" s="28"/>
      <c r="K47" s="28"/>
      <c r="L47" s="28"/>
    </row>
  </sheetData>
  <mergeCells count="68">
    <mergeCell ref="B1:O1"/>
    <mergeCell ref="B2:O2"/>
    <mergeCell ref="B4:C4"/>
    <mergeCell ref="D4:G4"/>
    <mergeCell ref="H4:I4"/>
    <mergeCell ref="J4:O4"/>
    <mergeCell ref="B5:C5"/>
    <mergeCell ref="D5:G5"/>
    <mergeCell ref="H5:I5"/>
    <mergeCell ref="J5:O5"/>
    <mergeCell ref="B6:C6"/>
    <mergeCell ref="D6:G6"/>
    <mergeCell ref="H6:I6"/>
    <mergeCell ref="J6:O6"/>
    <mergeCell ref="B7:C7"/>
    <mergeCell ref="D7:O7"/>
    <mergeCell ref="B8:C8"/>
    <mergeCell ref="D8:G8"/>
    <mergeCell ref="H8:I8"/>
    <mergeCell ref="J8:O8"/>
    <mergeCell ref="B9:C9"/>
    <mergeCell ref="D9:O9"/>
    <mergeCell ref="B11:D11"/>
    <mergeCell ref="E11:L11"/>
    <mergeCell ref="M11:O11"/>
    <mergeCell ref="C12:D12"/>
    <mergeCell ref="C13:D13"/>
    <mergeCell ref="E13:L13"/>
    <mergeCell ref="B14:O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1:O31"/>
    <mergeCell ref="C32:D32"/>
    <mergeCell ref="C33:D33"/>
    <mergeCell ref="C34:D34"/>
    <mergeCell ref="C35:D35"/>
    <mergeCell ref="B36:D36"/>
    <mergeCell ref="B37:D37"/>
    <mergeCell ref="B39:O39"/>
    <mergeCell ref="B40:G40"/>
    <mergeCell ref="H40:L40"/>
    <mergeCell ref="B41:G41"/>
    <mergeCell ref="H41:L41"/>
    <mergeCell ref="B42:G42"/>
    <mergeCell ref="H42:L42"/>
    <mergeCell ref="B43:G43"/>
    <mergeCell ref="H43:L43"/>
    <mergeCell ref="B44:G44"/>
    <mergeCell ref="H44:L44"/>
    <mergeCell ref="B45:G45"/>
    <mergeCell ref="H45:L45"/>
    <mergeCell ref="B46:G46"/>
    <mergeCell ref="H46:L46"/>
    <mergeCell ref="B47:G47"/>
    <mergeCell ref="H47:L47"/>
  </mergeCells>
  <conditionalFormatting sqref="E15:L29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1">
      <formula>"A/R"</formula>
    </cfRule>
    <cfRule type="cellIs" priority="5" operator="equal" aboveAverage="0" equalAverage="0" bottom="0" percent="0" rank="0" text="" dxfId="2">
      <formula>"C"</formula>
    </cfRule>
    <cfRule type="cellIs" priority="6" operator="equal" aboveAverage="0" equalAverage="0" bottom="0" percent="0" rank="0" text="" dxfId="3">
      <formula>"I"</formula>
    </cfRule>
  </conditionalFormatting>
  <conditionalFormatting sqref="O15:O29">
    <cfRule type="expression" priority="7" aboveAverage="0" equalAverage="0" bottom="0" percent="0" rank="0" text="" dxfId="4">
      <formula>O15="OK"</formula>
    </cfRule>
    <cfRule type="expression" priority="8" aboveAverage="0" equalAverage="0" bottom="0" percent="0" rank="0" text="" dxfId="5">
      <formula>LEN(O15)&gt;2</formula>
    </cfRule>
  </conditionalFormatting>
  <conditionalFormatting sqref="M15:M29">
    <cfRule type="expression" priority="9" aboveAverage="0" equalAverage="0" bottom="0" percent="0" rank="0" text="" dxfId="6">
      <formula>AND(M15&lt;&gt;"",M15&lt;&gt;1)</formula>
    </cfRule>
  </conditionalFormatting>
  <conditionalFormatting sqref="N15:N29">
    <cfRule type="expression" priority="10" aboveAverage="0" equalAverage="0" bottom="0" percent="0" rank="0" text="" dxfId="6">
      <formula>AND(N15&lt;&gt;"",N15=0)</formula>
    </cfRule>
  </conditionalFormatting>
  <conditionalFormatting sqref="E37:L37">
    <cfRule type="expression" priority="11" aboveAverage="0" equalAverage="0" bottom="0" percent="0" rank="0" text="" dxfId="4">
      <formula>E37="OK"</formula>
    </cfRule>
    <cfRule type="expression" priority="12" aboveAverage="0" equalAverage="0" bottom="0" percent="0" rank="0" text="" dxfId="5">
      <formula>LEN(E37)&gt;2</formula>
    </cfRule>
  </conditionalFormatting>
  <conditionalFormatting sqref="H46:L46">
    <cfRule type="cellIs" priority="13" operator="equal" aboveAverage="0" equalAverage="0" bottom="0" percent="0" rank="0" text="" dxfId="4">
      <formula>"Linhas conferidas"</formula>
    </cfRule>
    <cfRule type="expression" priority="14" aboveAverage="0" equalAverage="0" bottom="0" percent="0" rank="0" text="" dxfId="5">
      <formula>H46&lt;&gt;"Linhas conferidas"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J5" type="date">
      <formula1>36526</formula1>
      <formula2>0</formula2>
    </dataValidation>
    <dataValidation allowBlank="true" error="Escolha uma das opções da lista." errorStyle="stop" errorTitle="Valor inválido" operator="between" prompt="R, A, A/R, C ou I. Deixe em branco se o papel não participa." promptTitle="Opções" showDropDown="false" showErrorMessage="true" showInputMessage="true" sqref="E15:L29" type="list">
      <formula1>"R,A,A/R,C,I"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0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12" min="5" style="0" width="13"/>
    <col collapsed="false" customWidth="true" hidden="false" outlineLevel="0" max="14" min="13" style="0" width="7"/>
    <col collapsed="false" customWidth="true" hidden="false" outlineLevel="0" max="15" min="15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71</v>
      </c>
      <c r="C4" s="4"/>
      <c r="D4" s="35" t="s">
        <v>186</v>
      </c>
      <c r="E4" s="35"/>
      <c r="F4" s="35"/>
      <c r="G4" s="35"/>
      <c r="H4" s="4" t="s">
        <v>72</v>
      </c>
      <c r="I4" s="4"/>
      <c r="J4" s="35" t="s">
        <v>187</v>
      </c>
      <c r="K4" s="35"/>
      <c r="L4" s="35"/>
      <c r="M4" s="35"/>
      <c r="N4" s="35"/>
      <c r="O4" s="35"/>
    </row>
    <row r="5" customFormat="false" ht="21.75" hidden="false" customHeight="true" outlineLevel="0" collapsed="false">
      <c r="B5" s="4" t="s">
        <v>73</v>
      </c>
      <c r="C5" s="4"/>
      <c r="D5" s="35" t="s">
        <v>188</v>
      </c>
      <c r="E5" s="35"/>
      <c r="F5" s="35"/>
      <c r="G5" s="35"/>
      <c r="H5" s="4" t="s">
        <v>74</v>
      </c>
      <c r="I5" s="4"/>
      <c r="J5" s="36" t="n">
        <v>46294</v>
      </c>
      <c r="K5" s="36"/>
      <c r="L5" s="36"/>
      <c r="M5" s="36"/>
      <c r="N5" s="36"/>
      <c r="O5" s="36"/>
    </row>
    <row r="6" customFormat="false" ht="21.75" hidden="false" customHeight="true" outlineLevel="0" collapsed="false">
      <c r="B6" s="4" t="s">
        <v>75</v>
      </c>
      <c r="C6" s="4"/>
      <c r="D6" s="35" t="s">
        <v>189</v>
      </c>
      <c r="E6" s="35"/>
      <c r="F6" s="35"/>
      <c r="G6" s="35"/>
      <c r="H6" s="4" t="s">
        <v>76</v>
      </c>
      <c r="I6" s="4"/>
      <c r="J6" s="35" t="s">
        <v>167</v>
      </c>
      <c r="K6" s="35"/>
      <c r="L6" s="35"/>
      <c r="M6" s="35"/>
      <c r="N6" s="35"/>
      <c r="O6" s="35"/>
    </row>
    <row r="7" customFormat="false" ht="24" hidden="false" customHeight="true" outlineLevel="0" collapsed="false">
      <c r="B7" s="4" t="s">
        <v>77</v>
      </c>
      <c r="C7" s="4"/>
      <c r="D7" s="35" t="s">
        <v>190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customFormat="false" ht="24" hidden="false" customHeight="true" outlineLevel="0" collapsed="false">
      <c r="B8" s="4" t="s">
        <v>78</v>
      </c>
      <c r="C8" s="4"/>
      <c r="D8" s="35" t="s">
        <v>169</v>
      </c>
      <c r="E8" s="35"/>
      <c r="F8" s="35"/>
      <c r="G8" s="35"/>
      <c r="H8" s="4" t="s">
        <v>79</v>
      </c>
      <c r="I8" s="4"/>
      <c r="J8" s="35" t="s">
        <v>191</v>
      </c>
      <c r="K8" s="35"/>
      <c r="L8" s="35"/>
      <c r="M8" s="35"/>
      <c r="N8" s="35"/>
      <c r="O8" s="35"/>
    </row>
    <row r="9" customFormat="false" ht="24" hidden="false" customHeight="true" outlineLevel="0" collapsed="false">
      <c r="B9" s="4" t="s">
        <v>80</v>
      </c>
      <c r="C9" s="4"/>
      <c r="D9" s="35" t="s">
        <v>192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1" customFormat="false" ht="21.75" hidden="false" customHeight="true" outlineLevel="0" collapsed="false">
      <c r="B11" s="17" t="s">
        <v>81</v>
      </c>
      <c r="C11" s="17"/>
      <c r="D11" s="17"/>
      <c r="E11" s="17" t="s">
        <v>82</v>
      </c>
      <c r="F11" s="17"/>
      <c r="G11" s="17"/>
      <c r="H11" s="17"/>
      <c r="I11" s="17"/>
      <c r="J11" s="17"/>
      <c r="K11" s="17"/>
      <c r="L11" s="17"/>
      <c r="M11" s="17" t="s">
        <v>57</v>
      </c>
      <c r="N11" s="17"/>
      <c r="O11" s="17"/>
    </row>
    <row r="12" customFormat="false" ht="39" hidden="false" customHeight="true" outlineLevel="0" collapsed="false">
      <c r="B12" s="18" t="s">
        <v>83</v>
      </c>
      <c r="C12" s="18" t="s">
        <v>84</v>
      </c>
      <c r="D12" s="18"/>
      <c r="E12" s="37" t="s">
        <v>193</v>
      </c>
      <c r="F12" s="37" t="s">
        <v>130</v>
      </c>
      <c r="G12" s="37" t="s">
        <v>187</v>
      </c>
      <c r="H12" s="37" t="s">
        <v>194</v>
      </c>
      <c r="I12" s="37" t="s">
        <v>195</v>
      </c>
      <c r="J12" s="37" t="s">
        <v>196</v>
      </c>
      <c r="K12" s="37"/>
      <c r="L12" s="37"/>
      <c r="M12" s="10" t="s">
        <v>16</v>
      </c>
      <c r="N12" s="8" t="s">
        <v>14</v>
      </c>
      <c r="O12" s="18" t="s">
        <v>85</v>
      </c>
    </row>
    <row r="13" customFormat="false" ht="24" hidden="false" customHeight="true" outlineLevel="0" collapsed="false">
      <c r="B13" s="20"/>
      <c r="C13" s="20" t="s">
        <v>86</v>
      </c>
      <c r="D13" s="20"/>
      <c r="E13" s="20" t="s">
        <v>87</v>
      </c>
      <c r="F13" s="20"/>
      <c r="G13" s="20"/>
      <c r="H13" s="20"/>
      <c r="I13" s="20"/>
      <c r="J13" s="20"/>
      <c r="K13" s="20"/>
      <c r="L13" s="20"/>
      <c r="M13" s="20" t="s">
        <v>88</v>
      </c>
      <c r="N13" s="20" t="s">
        <v>89</v>
      </c>
      <c r="O13" s="20" t="s">
        <v>90</v>
      </c>
    </row>
    <row r="14" customFormat="false" ht="24" hidden="false" customHeight="true" outlineLevel="0" collapsed="false">
      <c r="B14" s="21" t="s">
        <v>176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customFormat="false" ht="24" hidden="false" customHeight="true" outlineLevel="0" collapsed="false">
      <c r="B15" s="22" t="n">
        <v>1</v>
      </c>
      <c r="C15" s="35" t="s">
        <v>197</v>
      </c>
      <c r="D15" s="35"/>
      <c r="E15" s="38" t="s">
        <v>22</v>
      </c>
      <c r="F15" s="38" t="s">
        <v>20</v>
      </c>
      <c r="G15" s="38"/>
      <c r="H15" s="38" t="s">
        <v>18</v>
      </c>
      <c r="I15" s="38"/>
      <c r="J15" s="38"/>
      <c r="K15" s="38"/>
      <c r="L15" s="38"/>
      <c r="M15" s="24" t="n">
        <f aca="false">IF(C15="","",COUNTIF(E15:L15,"A")+COUNTIF(E15:L15,"A/R"))</f>
        <v>1</v>
      </c>
      <c r="N15" s="24" t="n">
        <f aca="false">IF(C15="","",COUNTIF(E15:L15,"R")+COUNTIF(E15:L15,"A/R"))</f>
        <v>1</v>
      </c>
      <c r="O15" s="25" t="str">
        <f aca="false">IF(C15="","",IF(COUNTA(E15:L15)=0,"Distribua os papéis",IF(M15=0,"Falta o A",IF(M15&gt;1,"Mais de um A",IF(N15=0,"Falta o R",IF(COUNTIF(E15:L15,"C")&gt;3,"Muitos consultados",IF(COUNTA(E15:L15)=COUNTA($E$12:$L$12),"Todos participam: confira","OK")))))))</f>
        <v>OK</v>
      </c>
    </row>
    <row r="16" customFormat="false" ht="24" hidden="false" customHeight="true" outlineLevel="0" collapsed="false">
      <c r="B16" s="22" t="n">
        <v>2</v>
      </c>
      <c r="C16" s="35" t="s">
        <v>198</v>
      </c>
      <c r="D16" s="35"/>
      <c r="E16" s="38" t="s">
        <v>18</v>
      </c>
      <c r="F16" s="38" t="s">
        <v>14</v>
      </c>
      <c r="G16" s="38" t="s">
        <v>16</v>
      </c>
      <c r="H16" s="38"/>
      <c r="I16" s="38"/>
      <c r="J16" s="38"/>
      <c r="K16" s="38"/>
      <c r="L16" s="38"/>
      <c r="M16" s="24" t="n">
        <f aca="false">IF(C16="","",COUNTIF(E16:L16,"A")+COUNTIF(E16:L16,"A/R"))</f>
        <v>1</v>
      </c>
      <c r="N16" s="24" t="n">
        <f aca="false">IF(C16="","",COUNTIF(E16:L16,"R")+COUNTIF(E16:L16,"A/R"))</f>
        <v>1</v>
      </c>
      <c r="O16" s="25" t="str">
        <f aca="false">IF(C16="","",IF(COUNTA(E16:L16)=0,"Distribua os papéis",IF(M16=0,"Falta o A",IF(M16&gt;1,"Mais de um A",IF(N16=0,"Falta o R",IF(COUNTIF(E16:L16,"C")&gt;3,"Muitos consultados",IF(COUNTA(E16:L16)=COUNTA($E$12:$L$12),"Todos participam: confira","OK")))))))</f>
        <v>OK</v>
      </c>
    </row>
    <row r="17" customFormat="false" ht="24" hidden="false" customHeight="true" outlineLevel="0" collapsed="false">
      <c r="B17" s="22" t="n">
        <v>3</v>
      </c>
      <c r="C17" s="35" t="s">
        <v>92</v>
      </c>
      <c r="D17" s="35"/>
      <c r="E17" s="38" t="s">
        <v>18</v>
      </c>
      <c r="F17" s="38" t="s">
        <v>22</v>
      </c>
      <c r="G17" s="38"/>
      <c r="H17" s="38"/>
      <c r="I17" s="38"/>
      <c r="J17" s="38"/>
      <c r="K17" s="38"/>
      <c r="L17" s="38"/>
      <c r="M17" s="24" t="n">
        <f aca="false">IF(C17="","",COUNTIF(E17:L17,"A")+COUNTIF(E17:L17,"A/R"))</f>
        <v>1</v>
      </c>
      <c r="N17" s="24" t="n">
        <f aca="false">IF(C17="","",COUNTIF(E17:L17,"R")+COUNTIF(E17:L17,"A/R"))</f>
        <v>1</v>
      </c>
      <c r="O17" s="25" t="str">
        <f aca="false">IF(C17="","",IF(COUNTA(E17:L17)=0,"Distribua os papéis",IF(M17=0,"Falta o A",IF(M17&gt;1,"Mais de um A",IF(N17=0,"Falta o R",IF(COUNTIF(E17:L17,"C")&gt;3,"Muitos consultados",IF(COUNTA(E17:L17)=COUNTA($E$12:$L$12),"Todos participam: confira","OK")))))))</f>
        <v>OK</v>
      </c>
    </row>
    <row r="18" customFormat="false" ht="24" hidden="false" customHeight="true" outlineLevel="0" collapsed="false">
      <c r="B18" s="22" t="n">
        <v>4</v>
      </c>
      <c r="C18" s="35" t="s">
        <v>199</v>
      </c>
      <c r="D18" s="35"/>
      <c r="E18" s="38" t="s">
        <v>18</v>
      </c>
      <c r="F18" s="38" t="s">
        <v>14</v>
      </c>
      <c r="G18" s="38" t="s">
        <v>16</v>
      </c>
      <c r="H18" s="38" t="s">
        <v>20</v>
      </c>
      <c r="I18" s="38"/>
      <c r="J18" s="38"/>
      <c r="K18" s="38"/>
      <c r="L18" s="38"/>
      <c r="M18" s="24" t="n">
        <f aca="false">IF(C18="","",COUNTIF(E18:L18,"A")+COUNTIF(E18:L18,"A/R"))</f>
        <v>1</v>
      </c>
      <c r="N18" s="24" t="n">
        <f aca="false">IF(C18="","",COUNTIF(E18:L18,"R")+COUNTIF(E18:L18,"A/R"))</f>
        <v>1</v>
      </c>
      <c r="O18" s="25" t="str">
        <f aca="false">IF(C18="","",IF(COUNTA(E18:L18)=0,"Distribua os papéis",IF(M18=0,"Falta o A",IF(M18&gt;1,"Mais de um A",IF(N18=0,"Falta o R",IF(COUNTIF(E18:L18,"C")&gt;3,"Muitos consultados",IF(COUNTA(E18:L18)=COUNTA($E$12:$L$12),"Todos participam: confira","OK")))))))</f>
        <v>OK</v>
      </c>
    </row>
    <row r="19" customFormat="false" ht="24" hidden="false" customHeight="true" outlineLevel="0" collapsed="false">
      <c r="B19" s="22" t="n">
        <v>5</v>
      </c>
      <c r="C19" s="35" t="s">
        <v>200</v>
      </c>
      <c r="D19" s="35"/>
      <c r="E19" s="38" t="s">
        <v>20</v>
      </c>
      <c r="F19" s="38" t="s">
        <v>20</v>
      </c>
      <c r="G19" s="38" t="s">
        <v>22</v>
      </c>
      <c r="H19" s="38" t="s">
        <v>18</v>
      </c>
      <c r="I19" s="38"/>
      <c r="J19" s="38"/>
      <c r="K19" s="38"/>
      <c r="L19" s="38"/>
      <c r="M19" s="24" t="n">
        <f aca="false">IF(C19="","",COUNTIF(E19:L19,"A")+COUNTIF(E19:L19,"A/R"))</f>
        <v>1</v>
      </c>
      <c r="N19" s="24" t="n">
        <f aca="false">IF(C19="","",COUNTIF(E19:L19,"R")+COUNTIF(E19:L19,"A/R"))</f>
        <v>1</v>
      </c>
      <c r="O19" s="25" t="str">
        <f aca="false">IF(C19="","",IF(COUNTA(E19:L19)=0,"Distribua os papéis",IF(M19=0,"Falta o A",IF(M19&gt;1,"Mais de um A",IF(N19=0,"Falta o R",IF(COUNTIF(E19:L19,"C")&gt;3,"Muitos consultados",IF(COUNTA(E19:L19)=COUNTA($E$12:$L$12),"Todos participam: confira","OK")))))))</f>
        <v>OK</v>
      </c>
    </row>
    <row r="20" customFormat="false" ht="24" hidden="false" customHeight="true" outlineLevel="0" collapsed="false">
      <c r="B20" s="22" t="n">
        <v>6</v>
      </c>
      <c r="C20" s="35" t="s">
        <v>201</v>
      </c>
      <c r="D20" s="35"/>
      <c r="E20" s="38" t="s">
        <v>20</v>
      </c>
      <c r="F20" s="38" t="s">
        <v>14</v>
      </c>
      <c r="G20" s="38" t="s">
        <v>16</v>
      </c>
      <c r="H20" s="38"/>
      <c r="I20" s="38" t="s">
        <v>18</v>
      </c>
      <c r="J20" s="38" t="s">
        <v>20</v>
      </c>
      <c r="K20" s="38"/>
      <c r="L20" s="38"/>
      <c r="M20" s="24" t="n">
        <f aca="false">IF(C20="","",COUNTIF(E20:L20,"A")+COUNTIF(E20:L20,"A/R"))</f>
        <v>1</v>
      </c>
      <c r="N20" s="24" t="n">
        <f aca="false">IF(C20="","",COUNTIF(E20:L20,"R")+COUNTIF(E20:L20,"A/R"))</f>
        <v>1</v>
      </c>
      <c r="O20" s="25" t="str">
        <f aca="false">IF(C20="","",IF(COUNTA(E20:L20)=0,"Distribua os papéis",IF(M20=0,"Falta o A",IF(M20&gt;1,"Mais de um A",IF(N20=0,"Falta o R",IF(COUNTIF(E20:L20,"C")&gt;3,"Muitos consultados",IF(COUNTA(E20:L20)=COUNTA($E$12:$L$12),"Todos participam: confira","OK")))))))</f>
        <v>OK</v>
      </c>
    </row>
    <row r="21" customFormat="false" ht="24" hidden="false" customHeight="true" outlineLevel="0" collapsed="false">
      <c r="B21" s="22" t="n">
        <v>7</v>
      </c>
      <c r="C21" s="35" t="s">
        <v>202</v>
      </c>
      <c r="D21" s="35"/>
      <c r="E21" s="38" t="s">
        <v>18</v>
      </c>
      <c r="F21" s="38" t="s">
        <v>20</v>
      </c>
      <c r="G21" s="38"/>
      <c r="H21" s="38"/>
      <c r="I21" s="38"/>
      <c r="J21" s="38" t="s">
        <v>22</v>
      </c>
      <c r="K21" s="38"/>
      <c r="L21" s="38"/>
      <c r="M21" s="24" t="n">
        <f aca="false">IF(C21="","",COUNTIF(E21:L21,"A")+COUNTIF(E21:L21,"A/R"))</f>
        <v>1</v>
      </c>
      <c r="N21" s="24" t="n">
        <f aca="false">IF(C21="","",COUNTIF(E21:L21,"R")+COUNTIF(E21:L21,"A/R"))</f>
        <v>1</v>
      </c>
      <c r="O21" s="25" t="str">
        <f aca="false">IF(C21="","",IF(COUNTA(E21:L21)=0,"Distribua os papéis",IF(M21=0,"Falta o A",IF(M21&gt;1,"Mais de um A",IF(N21=0,"Falta o R",IF(COUNTIF(E21:L21,"C")&gt;3,"Muitos consultados",IF(COUNTA(E21:L21)=COUNTA($E$12:$L$12),"Todos participam: confira","OK")))))))</f>
        <v>OK</v>
      </c>
    </row>
    <row r="22" customFormat="false" ht="24" hidden="false" customHeight="true" outlineLevel="0" collapsed="false">
      <c r="B22" s="22" t="n">
        <v>8</v>
      </c>
      <c r="C22" s="35" t="s">
        <v>203</v>
      </c>
      <c r="D22" s="35"/>
      <c r="E22" s="38"/>
      <c r="F22" s="38" t="s">
        <v>14</v>
      </c>
      <c r="G22" s="38" t="s">
        <v>16</v>
      </c>
      <c r="H22" s="38" t="s">
        <v>20</v>
      </c>
      <c r="I22" s="38"/>
      <c r="J22" s="38" t="s">
        <v>18</v>
      </c>
      <c r="K22" s="38"/>
      <c r="L22" s="38"/>
      <c r="M22" s="24" t="n">
        <f aca="false">IF(C22="","",COUNTIF(E22:L22,"A")+COUNTIF(E22:L22,"A/R"))</f>
        <v>1</v>
      </c>
      <c r="N22" s="24" t="n">
        <f aca="false">IF(C22="","",COUNTIF(E22:L22,"R")+COUNTIF(E22:L22,"A/R"))</f>
        <v>1</v>
      </c>
      <c r="O22" s="25" t="str">
        <f aca="false">IF(C22="","",IF(COUNTA(E22:L22)=0,"Distribua os papéis",IF(M22=0,"Falta o A",IF(M22&gt;1,"Mais de um A",IF(N22=0,"Falta o R",IF(COUNTIF(E22:L22,"C")&gt;3,"Muitos consultados",IF(COUNTA(E22:L22)=COUNTA($E$12:$L$12),"Todos participam: confira","OK")))))))</f>
        <v>OK</v>
      </c>
    </row>
    <row r="23" customFormat="false" ht="24" hidden="false" customHeight="true" outlineLevel="0" collapsed="false">
      <c r="B23" s="22" t="n">
        <v>9</v>
      </c>
      <c r="C23" s="35" t="s">
        <v>204</v>
      </c>
      <c r="D23" s="35"/>
      <c r="E23" s="38" t="s">
        <v>18</v>
      </c>
      <c r="F23" s="38" t="s">
        <v>14</v>
      </c>
      <c r="G23" s="38" t="s">
        <v>16</v>
      </c>
      <c r="H23" s="38"/>
      <c r="I23" s="38"/>
      <c r="J23" s="38" t="s">
        <v>18</v>
      </c>
      <c r="K23" s="38"/>
      <c r="L23" s="38"/>
      <c r="M23" s="24" t="n">
        <f aca="false">IF(C23="","",COUNTIF(E23:L23,"A")+COUNTIF(E23:L23,"A/R"))</f>
        <v>1</v>
      </c>
      <c r="N23" s="24" t="n">
        <f aca="false">IF(C23="","",COUNTIF(E23:L23,"R")+COUNTIF(E23:L23,"A/R"))</f>
        <v>1</v>
      </c>
      <c r="O23" s="25" t="str">
        <f aca="false">IF(C23="","",IF(COUNTA(E23:L23)=0,"Distribua os papéis",IF(M23=0,"Falta o A",IF(M23&gt;1,"Mais de um A",IF(N23=0,"Falta o R",IF(COUNTIF(E23:L23,"C")&gt;3,"Muitos consultados",IF(COUNTA(E23:L23)=COUNTA($E$12:$L$12),"Todos participam: confira","OK")))))))</f>
        <v>OK</v>
      </c>
    </row>
    <row r="24" customFormat="false" ht="24" hidden="true" customHeight="true" outlineLevel="0" collapsed="false">
      <c r="B24" s="22" t="n">
        <v>10</v>
      </c>
      <c r="C24" s="35"/>
      <c r="D24" s="35"/>
      <c r="E24" s="38"/>
      <c r="F24" s="38"/>
      <c r="G24" s="38"/>
      <c r="H24" s="38"/>
      <c r="I24" s="38"/>
      <c r="J24" s="38"/>
      <c r="K24" s="38"/>
      <c r="L24" s="38"/>
      <c r="M24" s="24" t="str">
        <f aca="false">IF(C24="","",COUNTIF(E24:L24,"A")+COUNTIF(E24:L24,"A/R"))</f>
        <v/>
      </c>
      <c r="N24" s="24" t="str">
        <f aca="false">IF(C24="","",COUNTIF(E24:L24,"R")+COUNTIF(E24:L24,"A/R"))</f>
        <v/>
      </c>
      <c r="O24" s="25" t="str">
        <f aca="false">IF(C24="","",IF(COUNTA(E24:L24)=0,"Distribua os papéis",IF(M24=0,"Falta o A",IF(M24&gt;1,"Mais de um A",IF(N24=0,"Falta o R",IF(COUNTIF(E24:L24,"C")&gt;3,"Muitos consultados",IF(COUNTA(E24:L24)=COUNTA($E$12:$L$12),"Todos participam: confira","OK")))))))</f>
        <v/>
      </c>
    </row>
    <row r="25" customFormat="false" ht="24" hidden="true" customHeight="true" outlineLevel="0" collapsed="false">
      <c r="B25" s="22" t="n">
        <v>11</v>
      </c>
      <c r="C25" s="35"/>
      <c r="D25" s="35"/>
      <c r="E25" s="38"/>
      <c r="F25" s="38"/>
      <c r="G25" s="38"/>
      <c r="H25" s="38"/>
      <c r="I25" s="38"/>
      <c r="J25" s="38"/>
      <c r="K25" s="38"/>
      <c r="L25" s="38"/>
      <c r="M25" s="24" t="str">
        <f aca="false">IF(C25="","",COUNTIF(E25:L25,"A")+COUNTIF(E25:L25,"A/R"))</f>
        <v/>
      </c>
      <c r="N25" s="24" t="str">
        <f aca="false">IF(C25="","",COUNTIF(E25:L25,"R")+COUNTIF(E25:L25,"A/R"))</f>
        <v/>
      </c>
      <c r="O25" s="25" t="str">
        <f aca="false">IF(C25="","",IF(COUNTA(E25:L25)=0,"Distribua os papéis",IF(M25=0,"Falta o A",IF(M25&gt;1,"Mais de um A",IF(N25=0,"Falta o R",IF(COUNTIF(E25:L25,"C")&gt;3,"Muitos consultados",IF(COUNTA(E25:L25)=COUNTA($E$12:$L$12),"Todos participam: confira","OK")))))))</f>
        <v/>
      </c>
    </row>
    <row r="26" customFormat="false" ht="24" hidden="true" customHeight="true" outlineLevel="0" collapsed="false">
      <c r="B26" s="22" t="n">
        <v>12</v>
      </c>
      <c r="C26" s="35"/>
      <c r="D26" s="35"/>
      <c r="E26" s="38"/>
      <c r="F26" s="38"/>
      <c r="G26" s="38"/>
      <c r="H26" s="38"/>
      <c r="I26" s="38"/>
      <c r="J26" s="38"/>
      <c r="K26" s="38"/>
      <c r="L26" s="38"/>
      <c r="M26" s="24" t="str">
        <f aca="false">IF(C26="","",COUNTIF(E26:L26,"A")+COUNTIF(E26:L26,"A/R"))</f>
        <v/>
      </c>
      <c r="N26" s="24" t="str">
        <f aca="false">IF(C26="","",COUNTIF(E26:L26,"R")+COUNTIF(E26:L26,"A/R"))</f>
        <v/>
      </c>
      <c r="O26" s="25" t="str">
        <f aca="false">IF(C26="","",IF(COUNTA(E26:L26)=0,"Distribua os papéis",IF(M26=0,"Falta o A",IF(M26&gt;1,"Mais de um A",IF(N26=0,"Falta o R",IF(COUNTIF(E26:L26,"C")&gt;3,"Muitos consultados",IF(COUNTA(E26:L26)=COUNTA($E$12:$L$12),"Todos participam: confira","OK")))))))</f>
        <v/>
      </c>
    </row>
    <row r="27" customFormat="false" ht="24" hidden="true" customHeight="true" outlineLevel="0" collapsed="false">
      <c r="B27" s="22" t="n">
        <v>13</v>
      </c>
      <c r="C27" s="35"/>
      <c r="D27" s="35"/>
      <c r="E27" s="38"/>
      <c r="F27" s="38"/>
      <c r="G27" s="38"/>
      <c r="H27" s="38"/>
      <c r="I27" s="38"/>
      <c r="J27" s="38"/>
      <c r="K27" s="38"/>
      <c r="L27" s="38"/>
      <c r="M27" s="24" t="str">
        <f aca="false">IF(C27="","",COUNTIF(E27:L27,"A")+COUNTIF(E27:L27,"A/R"))</f>
        <v/>
      </c>
      <c r="N27" s="24" t="str">
        <f aca="false">IF(C27="","",COUNTIF(E27:L27,"R")+COUNTIF(E27:L27,"A/R"))</f>
        <v/>
      </c>
      <c r="O27" s="25" t="str">
        <f aca="false">IF(C27="","",IF(COUNTA(E27:L27)=0,"Distribua os papéis",IF(M27=0,"Falta o A",IF(M27&gt;1,"Mais de um A",IF(N27=0,"Falta o R",IF(COUNTIF(E27:L27,"C")&gt;3,"Muitos consultados",IF(COUNTA(E27:L27)=COUNTA($E$12:$L$12),"Todos participam: confira","OK")))))))</f>
        <v/>
      </c>
    </row>
    <row r="28" customFormat="false" ht="24" hidden="true" customHeight="true" outlineLevel="0" collapsed="false">
      <c r="B28" s="22" t="n">
        <v>14</v>
      </c>
      <c r="C28" s="35"/>
      <c r="D28" s="35"/>
      <c r="E28" s="38"/>
      <c r="F28" s="38"/>
      <c r="G28" s="38"/>
      <c r="H28" s="38"/>
      <c r="I28" s="38"/>
      <c r="J28" s="38"/>
      <c r="K28" s="38"/>
      <c r="L28" s="38"/>
      <c r="M28" s="24" t="str">
        <f aca="false">IF(C28="","",COUNTIF(E28:L28,"A")+COUNTIF(E28:L28,"A/R"))</f>
        <v/>
      </c>
      <c r="N28" s="24" t="str">
        <f aca="false">IF(C28="","",COUNTIF(E28:L28,"R")+COUNTIF(E28:L28,"A/R"))</f>
        <v/>
      </c>
      <c r="O28" s="25" t="str">
        <f aca="false">IF(C28="","",IF(COUNTA(E28:L28)=0,"Distribua os papéis",IF(M28=0,"Falta o A",IF(M28&gt;1,"Mais de um A",IF(N28=0,"Falta o R",IF(COUNTIF(E28:L28,"C")&gt;3,"Muitos consultados",IF(COUNTA(E28:L28)=COUNTA($E$12:$L$12),"Todos participam: confira","OK")))))))</f>
        <v/>
      </c>
    </row>
    <row r="29" customFormat="false" ht="24" hidden="true" customHeight="true" outlineLevel="0" collapsed="false">
      <c r="B29" s="22" t="n">
        <v>15</v>
      </c>
      <c r="C29" s="35"/>
      <c r="D29" s="35"/>
      <c r="E29" s="38"/>
      <c r="F29" s="38"/>
      <c r="G29" s="38"/>
      <c r="H29" s="38"/>
      <c r="I29" s="38"/>
      <c r="J29" s="38"/>
      <c r="K29" s="38"/>
      <c r="L29" s="38"/>
      <c r="M29" s="24" t="str">
        <f aca="false">IF(C29="","",COUNTIF(E29:L29,"A")+COUNTIF(E29:L29,"A/R"))</f>
        <v/>
      </c>
      <c r="N29" s="24" t="str">
        <f aca="false">IF(C29="","",COUNTIF(E29:L29,"R")+COUNTIF(E29:L29,"A/R"))</f>
        <v/>
      </c>
      <c r="O29" s="25" t="str">
        <f aca="false">IF(C29="","",IF(COUNTA(E29:L29)=0,"Distribua os papéis",IF(M29=0,"Falta o A",IF(M29&gt;1,"Mais de um A",IF(N29=0,"Falta o R",IF(COUNTIF(E29:L29,"C")&gt;3,"Muitos consultados",IF(COUNTA(E29:L29)=COUNTA($E$12:$L$12),"Todos participam: confira","OK")))))))</f>
        <v/>
      </c>
    </row>
    <row r="31" customFormat="false" ht="21.75" hidden="false" customHeight="true" outlineLevel="0" collapsed="false">
      <c r="B31" s="17" t="s">
        <v>94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customFormat="false" ht="21.75" hidden="false" customHeight="true" outlineLevel="0" collapsed="false">
      <c r="B32" s="8" t="s">
        <v>14</v>
      </c>
      <c r="C32" s="4" t="s">
        <v>95</v>
      </c>
      <c r="D32" s="4"/>
      <c r="E32" s="24" t="n">
        <f aca="false">IF(AND(E$12="",COUNTA(E15:E29)=0),"",COUNTIF(E15:E29,"R")+COUNTIF(E15:E29,"A/R"))</f>
        <v>1</v>
      </c>
      <c r="F32" s="24" t="n">
        <f aca="false">IF(AND(F$12="",COUNTA(F15:F29)=0),"",COUNTIF(F15:F29,"R")+COUNTIF(F15:F29,"A/R"))</f>
        <v>6</v>
      </c>
      <c r="G32" s="24" t="n">
        <f aca="false">IF(AND(G$12="",COUNTA(G15:G29)=0),"",COUNTIF(G15:G29,"R")+COUNTIF(G15:G29,"A/R"))</f>
        <v>1</v>
      </c>
      <c r="H32" s="24" t="n">
        <f aca="false">IF(AND(H$12="",COUNTA(H15:H29)=0),"",COUNTIF(H15:H29,"R")+COUNTIF(H15:H29,"A/R"))</f>
        <v>0</v>
      </c>
      <c r="I32" s="24" t="n">
        <f aca="false">IF(AND(I$12="",COUNTA(I15:I29)=0),"",COUNTIF(I15:I29,"R")+COUNTIF(I15:I29,"A/R"))</f>
        <v>0</v>
      </c>
      <c r="J32" s="24" t="n">
        <f aca="false">IF(AND(J$12="",COUNTA(J15:J29)=0),"",COUNTIF(J15:J29,"R")+COUNTIF(J15:J29,"A/R"))</f>
        <v>1</v>
      </c>
      <c r="K32" s="24" t="str">
        <f aca="false">IF(AND(K$12="",COUNTA(K15:K29)=0),"",COUNTIF(K15:K29,"R")+COUNTIF(K15:K29,"A/R"))</f>
        <v/>
      </c>
      <c r="L32" s="24" t="str">
        <f aca="false">IF(AND(L$12="",COUNTA(L15:L29)=0),"",COUNTIF(L15:L29,"R")+COUNTIF(L15:L29,"A/R"))</f>
        <v/>
      </c>
    </row>
    <row r="33" customFormat="false" ht="21.75" hidden="false" customHeight="true" outlineLevel="0" collapsed="false">
      <c r="B33" s="10" t="s">
        <v>16</v>
      </c>
      <c r="C33" s="4" t="s">
        <v>96</v>
      </c>
      <c r="D33" s="4"/>
      <c r="E33" s="24" t="n">
        <f aca="false">IF(AND(E$12="",COUNTA(E15:E29)=0),"",COUNTIF(E15:E29,"A")+COUNTIF(E15:E29,"A/R"))</f>
        <v>1</v>
      </c>
      <c r="F33" s="24" t="n">
        <f aca="false">IF(AND(F$12="",COUNTA(F15:F29)=0),"",COUNTIF(F15:F29,"A")+COUNTIF(F15:F29,"A/R"))</f>
        <v>1</v>
      </c>
      <c r="G33" s="24" t="n">
        <f aca="false">IF(AND(G$12="",COUNTA(G15:G29)=0),"",COUNTIF(G15:G29,"A")+COUNTIF(G15:G29,"A/R"))</f>
        <v>6</v>
      </c>
      <c r="H33" s="24" t="n">
        <f aca="false">IF(AND(H$12="",COUNTA(H15:H29)=0),"",COUNTIF(H15:H29,"A")+COUNTIF(H15:H29,"A/R"))</f>
        <v>0</v>
      </c>
      <c r="I33" s="24" t="n">
        <f aca="false">IF(AND(I$12="",COUNTA(I15:I29)=0),"",COUNTIF(I15:I29,"A")+COUNTIF(I15:I29,"A/R"))</f>
        <v>0</v>
      </c>
      <c r="J33" s="24" t="n">
        <f aca="false">IF(AND(J$12="",COUNTA(J15:J29)=0),"",COUNTIF(J15:J29,"A")+COUNTIF(J15:J29,"A/R"))</f>
        <v>1</v>
      </c>
      <c r="K33" s="24" t="str">
        <f aca="false">IF(AND(K$12="",COUNTA(K15:K29)=0),"",COUNTIF(K15:K29,"A")+COUNTIF(K15:K29,"A/R"))</f>
        <v/>
      </c>
      <c r="L33" s="24" t="str">
        <f aca="false">IF(AND(L$12="",COUNTA(L15:L29)=0),"",COUNTIF(L15:L29,"A")+COUNTIF(L15:L29,"A/R"))</f>
        <v/>
      </c>
    </row>
    <row r="34" customFormat="false" ht="21.75" hidden="false" customHeight="true" outlineLevel="0" collapsed="false">
      <c r="B34" s="12" t="s">
        <v>18</v>
      </c>
      <c r="C34" s="4" t="s">
        <v>97</v>
      </c>
      <c r="D34" s="4"/>
      <c r="E34" s="24" t="n">
        <f aca="false">IF(AND(E$12="",COUNTA(E15:E29)=0),"",COUNTIF(E15:E29,"C"))</f>
        <v>5</v>
      </c>
      <c r="F34" s="24" t="n">
        <f aca="false">IF(AND(F$12="",COUNTA(F15:F29)=0),"",COUNTIF(F15:F29,"C"))</f>
        <v>0</v>
      </c>
      <c r="G34" s="24" t="n">
        <f aca="false">IF(AND(G$12="",COUNTA(G15:G29)=0),"",COUNTIF(G15:G29,"C"))</f>
        <v>0</v>
      </c>
      <c r="H34" s="24" t="n">
        <f aca="false">IF(AND(H$12="",COUNTA(H15:H29)=0),"",COUNTIF(H15:H29,"C"))</f>
        <v>2</v>
      </c>
      <c r="I34" s="24" t="n">
        <f aca="false">IF(AND(I$12="",COUNTA(I15:I29)=0),"",COUNTIF(I15:I29,"C"))</f>
        <v>1</v>
      </c>
      <c r="J34" s="24" t="n">
        <f aca="false">IF(AND(J$12="",COUNTA(J15:J29)=0),"",COUNTIF(J15:J29,"C"))</f>
        <v>2</v>
      </c>
      <c r="K34" s="24" t="str">
        <f aca="false">IF(AND(K$12="",COUNTA(K15:K29)=0),"",COUNTIF(K15:K29,"C"))</f>
        <v/>
      </c>
      <c r="L34" s="24" t="str">
        <f aca="false">IF(AND(L$12="",COUNTA(L15:L29)=0),"",COUNTIF(L15:L29,"C"))</f>
        <v/>
      </c>
    </row>
    <row r="35" customFormat="false" ht="21.75" hidden="false" customHeight="true" outlineLevel="0" collapsed="false">
      <c r="B35" s="14" t="s">
        <v>20</v>
      </c>
      <c r="C35" s="4" t="s">
        <v>98</v>
      </c>
      <c r="D35" s="4"/>
      <c r="E35" s="24" t="n">
        <f aca="false">IF(AND(E$12="",COUNTA(E15:E29)=0),"",COUNTIF(E15:E29,"I"))</f>
        <v>2</v>
      </c>
      <c r="F35" s="24" t="n">
        <f aca="false">IF(AND(F$12="",COUNTA(F15:F29)=0),"",COUNTIF(F15:F29,"I"))</f>
        <v>3</v>
      </c>
      <c r="G35" s="24" t="n">
        <f aca="false">IF(AND(G$12="",COUNTA(G15:G29)=0),"",COUNTIF(G15:G29,"I"))</f>
        <v>0</v>
      </c>
      <c r="H35" s="24" t="n">
        <f aca="false">IF(AND(H$12="",COUNTA(H15:H29)=0),"",COUNTIF(H15:H29,"I"))</f>
        <v>2</v>
      </c>
      <c r="I35" s="24" t="n">
        <f aca="false">IF(AND(I$12="",COUNTA(I15:I29)=0),"",COUNTIF(I15:I29,"I"))</f>
        <v>0</v>
      </c>
      <c r="J35" s="24" t="n">
        <f aca="false">IF(AND(J$12="",COUNTA(J15:J29)=0),"",COUNTIF(J15:J29,"I"))</f>
        <v>1</v>
      </c>
      <c r="K35" s="24" t="str">
        <f aca="false">IF(AND(K$12="",COUNTA(K15:K29)=0),"",COUNTIF(K15:K29,"I"))</f>
        <v/>
      </c>
      <c r="L35" s="24" t="str">
        <f aca="false">IF(AND(L$12="",COUNTA(L15:L29)=0),"",COUNTIF(L15:L29,"I"))</f>
        <v/>
      </c>
    </row>
    <row r="36" customFormat="false" ht="21.75" hidden="false" customHeight="true" outlineLevel="0" collapsed="false">
      <c r="B36" s="4" t="s">
        <v>99</v>
      </c>
      <c r="C36" s="4"/>
      <c r="D36" s="4"/>
      <c r="E36" s="24" t="n">
        <f aca="false">IF(AND(E$12="",COUNTA(E15:E29)=0),"",COUNTA(E15:E29))</f>
        <v>8</v>
      </c>
      <c r="F36" s="24" t="n">
        <f aca="false">IF(AND(F$12="",COUNTA(F15:F29)=0),"",COUNTA(F15:F29))</f>
        <v>9</v>
      </c>
      <c r="G36" s="24" t="n">
        <f aca="false">IF(AND(G$12="",COUNTA(G15:G29)=0),"",COUNTA(G15:G29))</f>
        <v>6</v>
      </c>
      <c r="H36" s="24" t="n">
        <f aca="false">IF(AND(H$12="",COUNTA(H15:H29)=0),"",COUNTA(H15:H29))</f>
        <v>4</v>
      </c>
      <c r="I36" s="24" t="n">
        <f aca="false">IF(AND(I$12="",COUNTA(I15:I29)=0),"",COUNTA(I15:I29))</f>
        <v>1</v>
      </c>
      <c r="J36" s="24" t="n">
        <f aca="false">IF(AND(J$12="",COUNTA(J15:J29)=0),"",COUNTA(J15:J29))</f>
        <v>4</v>
      </c>
      <c r="K36" s="24" t="str">
        <f aca="false">IF(AND(K$12="",COUNTA(K15:K29)=0),"",COUNTA(K15:K29))</f>
        <v/>
      </c>
      <c r="L36" s="24" t="str">
        <f aca="false">IF(AND(L$12="",COUNTA(L15:L29)=0),"",COUNTA(L15:L29))</f>
        <v/>
      </c>
    </row>
    <row r="37" customFormat="false" ht="45" hidden="false" customHeight="true" outlineLevel="0" collapsed="false">
      <c r="B37" s="4" t="s">
        <v>100</v>
      </c>
      <c r="C37" s="4"/>
      <c r="D37" s="4"/>
      <c r="E37" s="25" t="str">
        <f aca="false">IF(E$12="",IF(COUNTA(E15:E29)&gt;0,"Papel sem nome",""),IF(E36=0,"Sem participação",IF(AND($H$40&gt;=5,E33/$H$40&gt;0.6),"Muitos A: possível gargalo",IF(AND($H$40&gt;=5,E32/$H$40&gt;0.6),"Muitos R: possível sobrecarga",IF(E32+E33=0,IF(E34=0,"Só informado","Só consultado ou informado"),"OK")))))</f>
        <v>OK</v>
      </c>
      <c r="F37" s="25" t="str">
        <f aca="false">IF(F$12="",IF(COUNTA(F15:F29)&gt;0,"Papel sem nome",""),IF(F36=0,"Sem participação",IF(AND($H$40&gt;=5,F33/$H$40&gt;0.6),"Muitos A: possível gargalo",IF(AND($H$40&gt;=5,F32/$H$40&gt;0.6),"Muitos R: possível sobrecarga",IF(F32+F33=0,IF(F34=0,"Só informado","Só consultado ou informado"),"OK")))))</f>
        <v>Muitos R: possível sobrecarga</v>
      </c>
      <c r="G37" s="25" t="str">
        <f aca="false">IF(G$12="",IF(COUNTA(G15:G29)&gt;0,"Papel sem nome",""),IF(G36=0,"Sem participação",IF(AND($H$40&gt;=5,G33/$H$40&gt;0.6),"Muitos A: possível gargalo",IF(AND($H$40&gt;=5,G32/$H$40&gt;0.6),"Muitos R: possível sobrecarga",IF(G32+G33=0,IF(G34=0,"Só informado","Só consultado ou informado"),"OK")))))</f>
        <v>Muitos A: possível gargalo</v>
      </c>
      <c r="H37" s="25" t="str">
        <f aca="false">IF(H$12="",IF(COUNTA(H15:H29)&gt;0,"Papel sem nome",""),IF(H36=0,"Sem participação",IF(AND($H$40&gt;=5,H33/$H$40&gt;0.6),"Muitos A: possível gargalo",IF(AND($H$40&gt;=5,H32/$H$40&gt;0.6),"Muitos R: possível sobrecarga",IF(H32+H33=0,IF(H34=0,"Só informado","Só consultado ou informado"),"OK")))))</f>
        <v>Só consultado ou informado</v>
      </c>
      <c r="I37" s="25" t="str">
        <f aca="false">IF(I$12="",IF(COUNTA(I15:I29)&gt;0,"Papel sem nome",""),IF(I36=0,"Sem participação",IF(AND($H$40&gt;=5,I33/$H$40&gt;0.6),"Muitos A: possível gargalo",IF(AND($H$40&gt;=5,I32/$H$40&gt;0.6),"Muitos R: possível sobrecarga",IF(I32+I33=0,IF(I34=0,"Só informado","Só consultado ou informado"),"OK")))))</f>
        <v>Só consultado ou informado</v>
      </c>
      <c r="J37" s="25" t="str">
        <f aca="false">IF(J$12="",IF(COUNTA(J15:J29)&gt;0,"Papel sem nome",""),IF(J36=0,"Sem participação",IF(AND($H$40&gt;=5,J33/$H$40&gt;0.6),"Muitos A: possível gargalo",IF(AND($H$40&gt;=5,J32/$H$40&gt;0.6),"Muitos R: possível sobrecarga",IF(J32+J33=0,IF(J34=0,"Só informado","Só consultado ou informado"),"OK")))))</f>
        <v>OK</v>
      </c>
      <c r="K37" s="25" t="str">
        <f aca="false">IF(K$12="",IF(COUNTA(K15:K29)&gt;0,"Papel sem nome",""),IF(K36=0,"Sem participação",IF(AND($H$40&gt;=5,K33/$H$40&gt;0.6),"Muitos A: possível gargalo",IF(AND($H$40&gt;=5,K32/$H$40&gt;0.6),"Muitos R: possível sobrecarga",IF(K32+K33=0,IF(K34=0,"Só informado","Só consultado ou informado"),"OK")))))</f>
        <v/>
      </c>
      <c r="L37" s="25" t="str">
        <f aca="false">IF(L$12="",IF(COUNTA(L15:L29)&gt;0,"Papel sem nome",""),IF(L36=0,"Sem participação",IF(AND($H$40&gt;=5,L33/$H$40&gt;0.6),"Muitos A: possível gargalo",IF(AND($H$40&gt;=5,L32/$H$40&gt;0.6),"Muitos R: possível sobrecarga",IF(L32+L33=0,IF(L34=0,"Só informado","Só consultado ou informado"),"OK")))))</f>
        <v/>
      </c>
    </row>
    <row r="39" customFormat="false" ht="21.75" hidden="false" customHeight="true" outlineLevel="0" collapsed="false">
      <c r="B39" s="17" t="s">
        <v>101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customFormat="false" ht="21.75" hidden="false" customHeight="true" outlineLevel="0" collapsed="false">
      <c r="B40" s="26" t="s">
        <v>102</v>
      </c>
      <c r="C40" s="26"/>
      <c r="D40" s="26"/>
      <c r="E40" s="26"/>
      <c r="F40" s="26"/>
      <c r="G40" s="26"/>
      <c r="H40" s="24" t="n">
        <f aca="false">COUNTA(C15:C29)</f>
        <v>9</v>
      </c>
      <c r="I40" s="24"/>
      <c r="J40" s="24"/>
      <c r="K40" s="24"/>
      <c r="L40" s="24"/>
    </row>
    <row r="41" customFormat="false" ht="21.75" hidden="false" customHeight="true" outlineLevel="0" collapsed="false">
      <c r="B41" s="26" t="s">
        <v>103</v>
      </c>
      <c r="C41" s="26"/>
      <c r="D41" s="26"/>
      <c r="E41" s="26"/>
      <c r="F41" s="26"/>
      <c r="G41" s="26"/>
      <c r="H41" s="24" t="n">
        <f aca="false">COUNTA(E12:L12)</f>
        <v>6</v>
      </c>
      <c r="I41" s="24"/>
      <c r="J41" s="24"/>
      <c r="K41" s="24"/>
      <c r="L41" s="24"/>
    </row>
    <row r="42" customFormat="false" ht="21.75" hidden="false" customHeight="true" outlineLevel="0" collapsed="false">
      <c r="B42" s="26" t="s">
        <v>104</v>
      </c>
      <c r="C42" s="26"/>
      <c r="D42" s="26"/>
      <c r="E42" s="26"/>
      <c r="F42" s="26"/>
      <c r="G42" s="26"/>
      <c r="H42" s="24" t="n">
        <f aca="false">COUNTIF(O15:O29,"OK")</f>
        <v>9</v>
      </c>
      <c r="I42" s="24"/>
      <c r="J42" s="24"/>
      <c r="K42" s="24"/>
      <c r="L42" s="24"/>
    </row>
    <row r="43" customFormat="false" ht="21.75" hidden="false" customHeight="true" outlineLevel="0" collapsed="false">
      <c r="B43" s="26" t="s">
        <v>105</v>
      </c>
      <c r="C43" s="26"/>
      <c r="D43" s="26"/>
      <c r="E43" s="26"/>
      <c r="F43" s="26"/>
      <c r="G43" s="26"/>
      <c r="H43" s="24" t="n">
        <f aca="false">COUNTIF(O15:O29,"Falta o A")+COUNTIF(O15:O29,"Mais de um A")</f>
        <v>0</v>
      </c>
      <c r="I43" s="24"/>
      <c r="J43" s="24"/>
      <c r="K43" s="24"/>
      <c r="L43" s="24"/>
    </row>
    <row r="44" customFormat="false" ht="21.75" hidden="false" customHeight="true" outlineLevel="0" collapsed="false">
      <c r="B44" s="26" t="s">
        <v>106</v>
      </c>
      <c r="C44" s="26"/>
      <c r="D44" s="26"/>
      <c r="E44" s="26"/>
      <c r="F44" s="26"/>
      <c r="G44" s="26"/>
      <c r="H44" s="24" t="n">
        <f aca="false">COUNTIF(O15:O29,"Falta o R")</f>
        <v>0</v>
      </c>
      <c r="I44" s="24"/>
      <c r="J44" s="24"/>
      <c r="K44" s="24"/>
      <c r="L44" s="24"/>
    </row>
    <row r="45" customFormat="false" ht="21.75" hidden="false" customHeight="true" outlineLevel="0" collapsed="false">
      <c r="B45" s="26" t="s">
        <v>107</v>
      </c>
      <c r="C45" s="26"/>
      <c r="D45" s="26"/>
      <c r="E45" s="26"/>
      <c r="F45" s="26"/>
      <c r="G45" s="26"/>
      <c r="H45" s="24" t="n">
        <f aca="false">SUMPRODUCT((E37:L37&lt;&gt;"")*(E37:L37&lt;&gt;"OK"))</f>
        <v>4</v>
      </c>
      <c r="I45" s="24"/>
      <c r="J45" s="24"/>
      <c r="K45" s="24"/>
      <c r="L45" s="24"/>
    </row>
    <row r="46" customFormat="false" ht="21.75" hidden="false" customHeight="true" outlineLevel="0" collapsed="false">
      <c r="B46" s="26" t="s">
        <v>108</v>
      </c>
      <c r="C46" s="26"/>
      <c r="D46" s="26"/>
      <c r="E46" s="26"/>
      <c r="F46" s="26"/>
      <c r="G46" s="26"/>
      <c r="H46" s="27" t="str">
        <f aca="false">IF(H40=0,"Liste as atividades",IF(H41=0,"Defina os papéis",IF(H42&lt;H40,"Há atividade com aviso: veja a conferência da linha","Linhas conferidas")))</f>
        <v>Linhas conferidas</v>
      </c>
      <c r="I46" s="27"/>
      <c r="J46" s="27"/>
      <c r="K46" s="27"/>
      <c r="L46" s="27"/>
    </row>
    <row r="47" customFormat="false" ht="21.75" hidden="false" customHeight="true" outlineLevel="0" collapsed="false">
      <c r="B47" s="26" t="s">
        <v>109</v>
      </c>
      <c r="C47" s="26"/>
      <c r="D47" s="26"/>
      <c r="E47" s="26"/>
      <c r="F47" s="26"/>
      <c r="G47" s="26"/>
      <c r="H47" s="28" t="n">
        <f aca="false">COUNTA(D4,J4,D5,J5,D6,J6,D7,D8,J8,D9)</f>
        <v>10</v>
      </c>
      <c r="I47" s="28"/>
      <c r="J47" s="28"/>
      <c r="K47" s="28"/>
      <c r="L47" s="28"/>
    </row>
  </sheetData>
  <mergeCells count="68">
    <mergeCell ref="B1:O1"/>
    <mergeCell ref="B2:O2"/>
    <mergeCell ref="B4:C4"/>
    <mergeCell ref="D4:G4"/>
    <mergeCell ref="H4:I4"/>
    <mergeCell ref="J4:O4"/>
    <mergeCell ref="B5:C5"/>
    <mergeCell ref="D5:G5"/>
    <mergeCell ref="H5:I5"/>
    <mergeCell ref="J5:O5"/>
    <mergeCell ref="B6:C6"/>
    <mergeCell ref="D6:G6"/>
    <mergeCell ref="H6:I6"/>
    <mergeCell ref="J6:O6"/>
    <mergeCell ref="B7:C7"/>
    <mergeCell ref="D7:O7"/>
    <mergeCell ref="B8:C8"/>
    <mergeCell ref="D8:G8"/>
    <mergeCell ref="H8:I8"/>
    <mergeCell ref="J8:O8"/>
    <mergeCell ref="B9:C9"/>
    <mergeCell ref="D9:O9"/>
    <mergeCell ref="B11:D11"/>
    <mergeCell ref="E11:L11"/>
    <mergeCell ref="M11:O11"/>
    <mergeCell ref="C12:D12"/>
    <mergeCell ref="C13:D13"/>
    <mergeCell ref="E13:L13"/>
    <mergeCell ref="B14:O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1:O31"/>
    <mergeCell ref="C32:D32"/>
    <mergeCell ref="C33:D33"/>
    <mergeCell ref="C34:D34"/>
    <mergeCell ref="C35:D35"/>
    <mergeCell ref="B36:D36"/>
    <mergeCell ref="B37:D37"/>
    <mergeCell ref="B39:O39"/>
    <mergeCell ref="B40:G40"/>
    <mergeCell ref="H40:L40"/>
    <mergeCell ref="B41:G41"/>
    <mergeCell ref="H41:L41"/>
    <mergeCell ref="B42:G42"/>
    <mergeCell ref="H42:L42"/>
    <mergeCell ref="B43:G43"/>
    <mergeCell ref="H43:L43"/>
    <mergeCell ref="B44:G44"/>
    <mergeCell ref="H44:L44"/>
    <mergeCell ref="B45:G45"/>
    <mergeCell ref="H45:L45"/>
    <mergeCell ref="B46:G46"/>
    <mergeCell ref="H46:L46"/>
    <mergeCell ref="B47:G47"/>
    <mergeCell ref="H47:L47"/>
  </mergeCells>
  <conditionalFormatting sqref="E15:L29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1">
      <formula>"A/R"</formula>
    </cfRule>
    <cfRule type="cellIs" priority="5" operator="equal" aboveAverage="0" equalAverage="0" bottom="0" percent="0" rank="0" text="" dxfId="2">
      <formula>"C"</formula>
    </cfRule>
    <cfRule type="cellIs" priority="6" operator="equal" aboveAverage="0" equalAverage="0" bottom="0" percent="0" rank="0" text="" dxfId="3">
      <formula>"I"</formula>
    </cfRule>
  </conditionalFormatting>
  <conditionalFormatting sqref="O15:O29">
    <cfRule type="expression" priority="7" aboveAverage="0" equalAverage="0" bottom="0" percent="0" rank="0" text="" dxfId="4">
      <formula>O15="OK"</formula>
    </cfRule>
    <cfRule type="expression" priority="8" aboveAverage="0" equalAverage="0" bottom="0" percent="0" rank="0" text="" dxfId="5">
      <formula>LEN(O15)&gt;2</formula>
    </cfRule>
  </conditionalFormatting>
  <conditionalFormatting sqref="M15:M29">
    <cfRule type="expression" priority="9" aboveAverage="0" equalAverage="0" bottom="0" percent="0" rank="0" text="" dxfId="6">
      <formula>AND(M15&lt;&gt;"",M15&lt;&gt;1)</formula>
    </cfRule>
  </conditionalFormatting>
  <conditionalFormatting sqref="N15:N29">
    <cfRule type="expression" priority="10" aboveAverage="0" equalAverage="0" bottom="0" percent="0" rank="0" text="" dxfId="6">
      <formula>AND(N15&lt;&gt;"",N15=0)</formula>
    </cfRule>
  </conditionalFormatting>
  <conditionalFormatting sqref="E37:L37">
    <cfRule type="expression" priority="11" aboveAverage="0" equalAverage="0" bottom="0" percent="0" rank="0" text="" dxfId="4">
      <formula>E37="OK"</formula>
    </cfRule>
    <cfRule type="expression" priority="12" aboveAverage="0" equalAverage="0" bottom="0" percent="0" rank="0" text="" dxfId="5">
      <formula>LEN(E37)&gt;2</formula>
    </cfRule>
  </conditionalFormatting>
  <conditionalFormatting sqref="H46:L46">
    <cfRule type="cellIs" priority="13" operator="equal" aboveAverage="0" equalAverage="0" bottom="0" percent="0" rank="0" text="" dxfId="4">
      <formula>"Linhas conferidas"</formula>
    </cfRule>
    <cfRule type="expression" priority="14" aboveAverage="0" equalAverage="0" bottom="0" percent="0" rank="0" text="" dxfId="5">
      <formula>H46&lt;&gt;"Linhas conferidas"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J5" type="date">
      <formula1>36526</formula1>
      <formula2>0</formula2>
    </dataValidation>
    <dataValidation allowBlank="true" error="Escolha uma das opções da lista." errorStyle="stop" errorTitle="Valor inválido" operator="between" prompt="R, A, A/R, C ou I. Deixe em branco se o papel não participa." promptTitle="Opções" showDropDown="false" showErrorMessage="true" showInputMessage="true" sqref="E15:L29" type="list">
      <formula1>"R,A,A/R,C,I"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2026-10-05T00:57:05Z</dcterms:created>
  <dc:creator>Modelo RACI</dc:creator>
  <dc:description/>
  <dc:language>pt-BR</dc:language>
  <cp:lastModifiedBy/>
  <dcterms:modified xsi:type="dcterms:W3CDTF">2026-10-05T00:57:05Z</dcterms:modified>
  <cp:revision>0</cp:revision>
  <dc:subject/>
  <dc:title>RACI — Modelo de matriz de responsabilidades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