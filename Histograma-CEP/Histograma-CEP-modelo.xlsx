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Dados" sheetId="2" state="visible" r:id="rId4"/>
    <sheet name="Gráficos" sheetId="3" state="visible" r:id="rId5"/>
    <sheet name="Histograma" sheetId="4" state="visible" r:id="rId6"/>
    <sheet name="Painel" sheetId="5" state="visible" r:id="rId7"/>
    <sheet name="Checklist" sheetId="6" state="visible" r:id="rId8"/>
    <sheet name="Exemplo 1 - Pizzaria" sheetId="7" state="visible" r:id="rId9"/>
    <sheet name="Exemplo 2 - Indústria" sheetId="8" state="visible" r:id="rId10"/>
  </sheets>
  <definedNames>
    <definedName function="false" hidden="false" localSheetId="5" name="_xlnm.Print_Area" vbProcedure="false">Checklist!$B$1:$E$24</definedName>
    <definedName function="false" hidden="false" localSheetId="1" name="_xlnm.Print_Area" vbProcedure="false">Dados!$B$1:$Q$46</definedName>
    <definedName function="false" hidden="false" localSheetId="6" name="_xlnm.Print_Area" vbProcedure="false">'Exemplo 1 - Pizzaria'!$B$1:$Q$83</definedName>
    <definedName function="false" hidden="false" localSheetId="7" name="_xlnm.Print_Area" vbProcedure="false">'Exemplo 2 - Indústria'!$B$1:$Q$83</definedName>
    <definedName function="false" hidden="false" localSheetId="2" name="_xlnm.Print_Area" vbProcedure="false">Gráficos!$B$1:$Z$34</definedName>
    <definedName function="false" hidden="false" localSheetId="3" name="_xlnm.Print_Area" vbProcedure="false">Histograma!$B$1:$P$28</definedName>
    <definedName function="false" hidden="false" localSheetId="0" name="_xlnm.Print_Area" vbProcedure="false">Instruções!$B$1:$C$38</definedName>
    <definedName function="false" hidden="false" localSheetId="4" name="_xlnm.Print_Area" vbProcedure="false">Painel!$B$1:$F$28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8" authorId="0">
      <text>
        <r>
          <rPr>
            <sz val="10"/>
            <rFont val="Arial"/>
            <family val="2"/>
          </rPr>
          <t xml:space="preserve">Os primeiros subgrupos, contados de cima, que formam a base dos limites. Em branco, todos entram na base. Recomendado: 20 a 25.</t>
        </r>
      </text>
    </comment>
    <comment ref="B9" authorId="0">
      <text>
        <r>
          <rPr>
            <sz val="10"/>
            <rFont val="Arial"/>
            <family val="2"/>
          </rPr>
          <t xml:space="preserve">Este modelo usa subgrupos de cinco medições, com as constantes de Shewhart para n = 5.</t>
        </r>
      </text>
    </comment>
  </commentList>
</comments>
</file>

<file path=xl/sharedStrings.xml><?xml version="1.0" encoding="utf-8"?>
<sst xmlns="http://schemas.openxmlformats.org/spreadsheetml/2006/main" count="444" uniqueCount="234">
  <si>
    <t xml:space="preserve">Histograma e CEP — Como usar esta planilha</t>
  </si>
  <si>
    <t xml:space="preserve">Modelo para o gráfico de média e amplitude, o histograma e a capacidade de uma característica.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</si>
  <si>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</si>
  <si>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</si>
  <si>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</si>
  <si>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</si>
  <si>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(médias, amplitudes, fases, sinais, limites, capacidade). Não altere.</t>
  </si>
  <si>
    <t xml:space="preserve">Vermelho na medição</t>
  </si>
  <si>
    <t xml:space="preserve">A medição está fora da especificação.</t>
  </si>
  <si>
    <t xml:space="preserve">Comentários</t>
  </si>
  <si>
    <t xml:space="preserve">Células com triângulo vermelho no canto trazem uma dica de preenchimento. Passe o mouse sobre elas.</t>
  </si>
  <si>
    <t xml:space="preserve">As regras de cálculo</t>
  </si>
  <si>
    <t xml:space="preserve">Média e amplitude</t>
  </si>
  <si>
    <t xml:space="preserve">Só com as 5 medições do subgrupo preenchidas.</t>
  </si>
  <si>
    <t xml:space="preserve">Fase</t>
  </si>
  <si>
    <t xml:space="preserve">Excluído quando marcado para excluir. Base para os primeiros subgrupos, até o número informado. Acompanhamento para os seguintes.</t>
  </si>
  <si>
    <t xml:space="preserve">Limites</t>
  </si>
  <si>
    <t xml:space="preserve">Calculados só com os subgrupos da base: LC ± 0,577 × R̄ para a média; 2,114 × R̄ para a amplitude; σ = R̄ ÷ 2,326.</t>
  </si>
  <si>
    <t xml:space="preserve">Sinais</t>
  </si>
  <si>
    <t xml:space="preserve">Na ordem: média fora dos limites; amplitude fora do limite; sete médias seguidas do mesmo lado da linha central; seis médias seguidas subindo ou descendo.</t>
  </si>
  <si>
    <t xml:space="preserve">Capacidade</t>
  </si>
  <si>
    <t xml:space="preserve">Cp = (LSE − LIE) ÷ 6σ. Cpk = menor distância da LC a um limite ÷ 3σ. Capaz: 1,33 ou mais; No limite: de 1,00 a 1,33; abaixo: não capaz.</t>
  </si>
  <si>
    <t xml:space="preserve">Histograma</t>
  </si>
  <si>
    <t xml:space="preserve">12 classes de largura igual a um oitavo da tolerância, a partir de dois oitavos abaixo do LIE. Cada valor entra na classe em que é maior ou igual ao início.</t>
  </si>
  <si>
    <t xml:space="preserve">Ordem recomendada de preenchimento</t>
  </si>
  <si>
    <t xml:space="preserve">Passo 1</t>
  </si>
  <si>
    <t xml:space="preserve">Aba Dados: a característica, a unidade, o LIE, o LSE e quantos subgrupos formam a base.</t>
  </si>
  <si>
    <t xml:space="preserve">Passo 2</t>
  </si>
  <si>
    <t xml:space="preserve">Aba Dados: cada subgrupo com a data, a identificação e as cinco medições.</t>
  </si>
  <si>
    <t xml:space="preserve">Passo 3</t>
  </si>
  <si>
    <t xml:space="preserve">Aba Dados: marque Sim em Excluir da base para os subgrupos com causa conhecida, e escreva o motivo.</t>
  </si>
  <si>
    <t xml:space="preserve">Passo 4</t>
  </si>
  <si>
    <t xml:space="preserve">Abas Gráficos e Histograma: leia os pontos, os limites e a forma.</t>
  </si>
  <si>
    <t xml:space="preserve">Passo 5</t>
  </si>
  <si>
    <t xml:space="preserve">Aba Painel: leia a capacidade e o aviso. Depois, valide na aba Checklist.</t>
  </si>
  <si>
    <t xml:space="preserve">Abas da planilha</t>
  </si>
  <si>
    <t xml:space="preserve">Dados</t>
  </si>
  <si>
    <t xml:space="preserve">Até 30 subgrupos de 5 medições, com os limites calculados no alto.</t>
  </si>
  <si>
    <t xml:space="preserve">Gráficos</t>
  </si>
  <si>
    <t xml:space="preserve">O gráfico das médias e o das amplitudes, com a linha central e os limites.</t>
  </si>
  <si>
    <t xml:space="preserve">As classes, as contagens e o gráfico das medições individuais.</t>
  </si>
  <si>
    <t xml:space="preserve">Painel</t>
  </si>
  <si>
    <t xml:space="preserve">Os números dos subgrupos, dos sinais e da capacidade, com o aviso.</t>
  </si>
  <si>
    <t xml:space="preserve">Checklist</t>
  </si>
  <si>
    <t xml:space="preserve">Doze verificações do gráfico, com percentual de conclusão.</t>
  </si>
  <si>
    <t xml:space="preserve">Exemplo 1 - Pizzaria</t>
  </si>
  <si>
    <t xml:space="preserve">O peso da bola de massa: em controle, mas não capaz.</t>
  </si>
  <si>
    <t xml:space="preserve">Exemplo 2 - Indústria</t>
  </si>
  <si>
    <t xml:space="preserve">A espessura do filme: capaz na base, com sinais no acompanhamento.</t>
  </si>
  <si>
    <t xml:space="preserve">Premissas do modelo</t>
  </si>
  <si>
    <t xml:space="preserve">Gráfico</t>
  </si>
  <si>
    <t xml:space="preserve">Média e amplitude (X̄-R), com subgrupos de 5 e as constantes de Shewhart para esse tamanho. Outro tamanho de subgrupo pede outras constantes.</t>
  </si>
  <si>
    <t xml:space="preserve">Regras e classes</t>
  </si>
  <si>
    <t xml:space="preserve">As regras de sinal, a classificação da capacidade e as classes do histograma são uma convenção deste material, próxima das usuais.</t>
  </si>
  <si>
    <t xml:space="preserve">Exemplos</t>
  </si>
  <si>
    <t xml:space="preserve">Os dados das abas de exemplo são ilustrativos, criados para este material.</t>
  </si>
  <si>
    <t xml:space="preserve">Dados do gráfico de controle</t>
  </si>
  <si>
    <t xml:space="preserve">Um subgrupo por linha: as cinco medições feitas juntas, nas mesmas condições.</t>
  </si>
  <si>
    <t xml:space="preserve">Característica medida</t>
  </si>
  <si>
    <t xml:space="preserve">Subgrupos na base</t>
  </si>
  <si>
    <t xml:space="preserve">Da aba: os subgrupos marcados como Base.</t>
  </si>
  <si>
    <t xml:space="preserve">Unidade</t>
  </si>
  <si>
    <t xml:space="preserve">Linha central da média (LC)</t>
  </si>
  <si>
    <t xml:space="preserve">Média das médias da base.</t>
  </si>
  <si>
    <t xml:space="preserve">Especificação: mínimo (LIE)</t>
  </si>
  <si>
    <t xml:space="preserve">Limite superior de controle (LSC)</t>
  </si>
  <si>
    <t xml:space="preserve">LC + 0,577 × R̄.</t>
  </si>
  <si>
    <t xml:space="preserve">Especificação: máximo (LSE)</t>
  </si>
  <si>
    <t xml:space="preserve">Limite inferior de controle (LIC)</t>
  </si>
  <si>
    <t xml:space="preserve">LC − 0,577 × R̄.</t>
  </si>
  <si>
    <t xml:space="preserve">Subgrupos da base</t>
  </si>
  <si>
    <t xml:space="preserve">Amplitude média (R̄)</t>
  </si>
  <si>
    <t xml:space="preserve">Média das amplitudes da base.</t>
  </si>
  <si>
    <t xml:space="preserve">Tamanho do subgrupo</t>
  </si>
  <si>
    <t xml:space="preserve">Limite da amplitude (LSC de R)</t>
  </si>
  <si>
    <t xml:space="preserve">2,114 × R̄. O inferior é zero.</t>
  </si>
  <si>
    <t xml:space="preserve">Desvio estimado (σ = R̄ ÷ d2)</t>
  </si>
  <si>
    <t xml:space="preserve">R̄ ÷ 2,326. Usado na capacidade.</t>
  </si>
  <si>
    <t xml:space="preserve">#</t>
  </si>
  <si>
    <t xml:space="preserve">Data</t>
  </si>
  <si>
    <t xml:space="preserve">Identificação</t>
  </si>
  <si>
    <t xml:space="preserve">Medição 1</t>
  </si>
  <si>
    <t xml:space="preserve">Medição 2</t>
  </si>
  <si>
    <t xml:space="preserve">Medição 3</t>
  </si>
  <si>
    <t xml:space="preserve">Medição 4</t>
  </si>
  <si>
    <t xml:space="preserve">Medição 5</t>
  </si>
  <si>
    <t xml:space="preserve">Excluir da base</t>
  </si>
  <si>
    <t xml:space="preserve">Motivo da exclusão</t>
  </si>
  <si>
    <t xml:space="preserve">Média</t>
  </si>
  <si>
    <t xml:space="preserve">Amplitude</t>
  </si>
  <si>
    <t xml:space="preserve">Fora da espec.</t>
  </si>
  <si>
    <t xml:space="preserve">Sinal</t>
  </si>
  <si>
    <t xml:space="preserve">Conferência</t>
  </si>
  <si>
    <t xml:space="preserve">Resumo automático</t>
  </si>
  <si>
    <t xml:space="preserve">Fases</t>
  </si>
  <si>
    <t xml:space="preserve">Gráficos de controle</t>
  </si>
  <si>
    <t xml:space="preserve">Nada a preencher: os pontos e os limites vêm da aba Dados.</t>
  </si>
  <si>
    <t xml:space="preserve">Linhas sem subgrupo mostram #N/D, para o gráfico não desenhar um ponto em zero.</t>
  </si>
  <si>
    <t xml:space="preserve">LSC</t>
  </si>
  <si>
    <t xml:space="preserve">LC</t>
  </si>
  <si>
    <t xml:space="preserve">LIC</t>
  </si>
  <si>
    <t xml:space="preserve">LSC de R</t>
  </si>
  <si>
    <t xml:space="preserve">R̄</t>
  </si>
  <si>
    <t xml:space="preserve">Histograma das medições</t>
  </si>
  <si>
    <t xml:space="preserve">Nada a preencher: as classes vêm da especificação, e as medições, da aba Dados.</t>
  </si>
  <si>
    <t xml:space="preserve">Largura da classe</t>
  </si>
  <si>
    <t xml:space="preserve">Início da primeira classe</t>
  </si>
  <si>
    <t xml:space="preserve">De</t>
  </si>
  <si>
    <t xml:space="preserve">Até (exclusive)</t>
  </si>
  <si>
    <t xml:space="preserve">Medições</t>
  </si>
  <si>
    <t xml:space="preserve">Abaixo da primeira classe</t>
  </si>
  <si>
    <t xml:space="preserve">Acima da última classe</t>
  </si>
  <si>
    <t xml:space="preserve">Classes em vermelho na tabela ficam fora da especificação, inteira ou em parte.</t>
  </si>
  <si>
    <t xml:space="preserve">Resumo das medições</t>
  </si>
  <si>
    <t xml:space="preserve">Média geral</t>
  </si>
  <si>
    <t xml:space="preserve">Menor</t>
  </si>
  <si>
    <t xml:space="preserve">Maior</t>
  </si>
  <si>
    <t xml:space="preserve">Fora da especificação</t>
  </si>
  <si>
    <t xml:space="preserve">Painel do processo</t>
  </si>
  <si>
    <t xml:space="preserve">Nada a preencher: tudo vem das outras abas.</t>
  </si>
  <si>
    <t xml:space="preserve">Característica</t>
  </si>
  <si>
    <t xml:space="preserve">Indicador</t>
  </si>
  <si>
    <t xml:space="preserve">Resultado</t>
  </si>
  <si>
    <t xml:space="preserve">Como se lê</t>
  </si>
  <si>
    <t xml:space="preserve">SUBGRUPOS</t>
  </si>
  <si>
    <t xml:space="preserve">Subgrupos completos</t>
  </si>
  <si>
    <t xml:space="preserve">Com as cinco medições.</t>
  </si>
  <si>
    <t xml:space="preserve">Na base</t>
  </si>
  <si>
    <t xml:space="preserve">Usados nos limites.</t>
  </si>
  <si>
    <t xml:space="preserve">Excluídos</t>
  </si>
  <si>
    <t xml:space="preserve">Com causa conhecida.</t>
  </si>
  <si>
    <t xml:space="preserve">Em acompanhamento</t>
  </si>
  <si>
    <t xml:space="preserve">Lidos contra os limites fixos.</t>
  </si>
  <si>
    <t xml:space="preserve">Linhas a completar</t>
  </si>
  <si>
    <t xml:space="preserve">Conferências diferentes de OK.</t>
  </si>
  <si>
    <t xml:space="preserve">SINAIS</t>
  </si>
  <si>
    <t xml:space="preserve">Média fora dos limites</t>
  </si>
  <si>
    <t xml:space="preserve">Média acima do LSC ou abaixo do LIC.</t>
  </si>
  <si>
    <t xml:space="preserve">Amplitude fora do limite</t>
  </si>
  <si>
    <t xml:space="preserve">Amplitude acima do limite.</t>
  </si>
  <si>
    <t xml:space="preserve">7 do mesmo lado</t>
  </si>
  <si>
    <t xml:space="preserve">Sequência do mesmo lado da linha central.</t>
  </si>
  <si>
    <t xml:space="preserve">6 subindo ou descendo</t>
  </si>
  <si>
    <t xml:space="preserve">Tendência: desgaste ou aquecimento.</t>
  </si>
  <si>
    <t xml:space="preserve">Sinais na base</t>
  </si>
  <si>
    <t xml:space="preserve">Com sinal na base, a capacidade não vale.</t>
  </si>
  <si>
    <t xml:space="preserve">Sinais no acompanhamento</t>
  </si>
  <si>
    <t xml:space="preserve">Cada um pede causa e ação.</t>
  </si>
  <si>
    <t xml:space="preserve">Primeiro sinal no acompanhamento</t>
  </si>
  <si>
    <t xml:space="preserve">A data do primeiro aviso.</t>
  </si>
  <si>
    <t xml:space="preserve">CAPACIDADE</t>
  </si>
  <si>
    <t xml:space="preserve">Valores individuais.</t>
  </si>
  <si>
    <t xml:space="preserve">Medições fora da especificação</t>
  </si>
  <si>
    <t xml:space="preserve">Cada uma é uma unidade fora.</t>
  </si>
  <si>
    <t xml:space="preserve">Cp</t>
  </si>
  <si>
    <t xml:space="preserve">Tolerância ÷ seis desvios.</t>
  </si>
  <si>
    <t xml:space="preserve">Cpk</t>
  </si>
  <si>
    <t xml:space="preserve">1,33 ou mais: capaz. De 1,00 a 1,33: no limite.</t>
  </si>
  <si>
    <t xml:space="preserve">Situação da capacidade</t>
  </si>
  <si>
    <t xml:space="preserve">Só vale com a base sem sinal.</t>
  </si>
  <si>
    <t xml:space="preserve">Aviso</t>
  </si>
  <si>
    <t xml:space="preserve">Checklist do CEP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</si>
  <si>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</si>
  <si>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</si>
  <si>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</si>
  <si>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</si>
  <si>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A característica medida pesa para o cliente e tem critério escrito.</t>
  </si>
  <si>
    <t xml:space="preserve">O instrumento tem resolução de no máximo um décimo da tolerância e está calibrado ou verificado.</t>
  </si>
  <si>
    <t xml:space="preserve">Cada subgrupo tem cinco medições feitas nas mesmas condições.</t>
  </si>
  <si>
    <t xml:space="preserve">A base tem pelo menos 20 subgrupos.</t>
  </si>
  <si>
    <t xml:space="preserve">Os subgrupos com causa conhecida foram excluídos da base, com o motivo escrito.</t>
  </si>
  <si>
    <t xml:space="preserve">Os limites de controle vêm dos dados, e não da especificação.</t>
  </si>
  <si>
    <t xml:space="preserve">Os limites ficam fixos durante o acompanhamento, e só são recalculados depois de uma mudança no processo.</t>
  </si>
  <si>
    <t xml:space="preserve">Cada subgrupo novo é lançado e lido no mesmo turno.</t>
  </si>
  <si>
    <t xml:space="preserve">Todo sinal tem causa procurada e ação registrada.</t>
  </si>
  <si>
    <t xml:space="preserve">A capacidade só é calculada com a base em controle.</t>
  </si>
  <si>
    <t xml:space="preserve">O histograma é lido junto com a especificação: centro, largura e forma.</t>
  </si>
  <si>
    <t xml:space="preserve">A decisão sobre capacidade baixa foi levada à direção ou ao dono do processo.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</si>
  <si>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</si>
  <si>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</si>
  <si>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</si>
  <si>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</si>
  <si>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</si>
  <si>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Situação</t>
  </si>
  <si>
    <t xml:space="preserve">Histograma e CEP</t>
  </si>
  <si>
    <t xml:space="preserve">Exemplo preenchido, para consulta. Use a aba Dados para a sua característica.</t>
  </si>
  <si>
    <t xml:space="preserve">Organização</t>
  </si>
  <si>
    <t xml:space="preserve">Pizzaria (loja com salão e delivery)</t>
  </si>
  <si>
    <t xml:space="preserve">Processo</t>
  </si>
  <si>
    <t xml:space="preserve">Preparar a massa</t>
  </si>
  <si>
    <t xml:space="preserve">Medição</t>
  </si>
  <si>
    <t xml:space="preserve">Balança da bancada BAL-01, de 1 g, verificada em 01/03/2027</t>
  </si>
  <si>
    <t xml:space="preserve">Subgrupo</t>
  </si>
  <si>
    <t xml:space="preserve">As cinco bolas de cada lote de massa, pesadas uma a uma. Um lote por dia, de 22/03 a 15/04/2027.</t>
  </si>
  <si>
    <t xml:space="preserve">Origem</t>
  </si>
  <si>
    <t xml:space="preserve">Registro de produto não conforme 2027-17: bolas com 365 g em média em 18/03. O plano registrava só a média de cinco bolas.</t>
  </si>
  <si>
    <t xml:space="preserve">Peso da bola de massa da pizza grande</t>
  </si>
  <si>
    <t xml:space="preserve">g</t>
  </si>
  <si>
    <t xml:space="preserve">Massa 22/03</t>
  </si>
  <si>
    <t xml:space="preserve">Massa 23/03</t>
  </si>
  <si>
    <t xml:space="preserve">Massa 24/03</t>
  </si>
  <si>
    <t xml:space="preserve">Massa 25/03</t>
  </si>
  <si>
    <t xml:space="preserve">Massa 26/03</t>
  </si>
  <si>
    <t xml:space="preserve">Massa 27/03</t>
  </si>
  <si>
    <t xml:space="preserve">Massa 28/03</t>
  </si>
  <si>
    <t xml:space="preserve">Massa 29/03</t>
  </si>
  <si>
    <t xml:space="preserve">Massa 30/03</t>
  </si>
  <si>
    <t xml:space="preserve">Massa 31/03</t>
  </si>
  <si>
    <t xml:space="preserve">Massa 01/04</t>
  </si>
  <si>
    <t xml:space="preserve">Massa 02/04</t>
  </si>
  <si>
    <t xml:space="preserve">Massa 03/04</t>
  </si>
  <si>
    <t xml:space="preserve">Massa 04/04</t>
  </si>
  <si>
    <t xml:space="preserve">Massa 05/04</t>
  </si>
  <si>
    <t xml:space="preserve">Massa 06/04</t>
  </si>
  <si>
    <t xml:space="preserve">Massa 07/04</t>
  </si>
  <si>
    <t xml:space="preserve">Massa 08/04</t>
  </si>
  <si>
    <t xml:space="preserve">Massa 09/04</t>
  </si>
  <si>
    <t xml:space="preserve">Massa 10/04</t>
  </si>
  <si>
    <t xml:space="preserve">Massa 11/04</t>
  </si>
  <si>
    <t xml:space="preserve">Massa 12/04</t>
  </si>
  <si>
    <t xml:space="preserve">Massa 13/04</t>
  </si>
  <si>
    <t xml:space="preserve">Massa 14/04</t>
  </si>
  <si>
    <t xml:space="preserve">Massa 15/04</t>
  </si>
  <si>
    <t xml:space="preserve">Indústria de embalagens plásticas</t>
  </si>
  <si>
    <t xml:space="preserve">Extrusão, na extrusora 3</t>
  </si>
  <si>
    <t xml:space="preserve">Micrômetro digital MIC-08, de 0,1 µm, no lugar do MIC-07 retirado em 12/06</t>
  </si>
  <si>
    <t xml:space="preserve">Os cinco pontos na largura da primeira bobina de cada turno. Turnos A e C, de 04 a 16/07/2027.</t>
  </si>
  <si>
    <t xml:space="preserve">Reclamações de espessura do cliente A e o micrômetro reprovado em junho. A fábrica quer saber se a extrusora 3 segura a espessura.</t>
  </si>
  <si>
    <t xml:space="preserve">Espessura do filme de 40 µm do cliente A</t>
  </si>
  <si>
    <t xml:space="preserve">µm</t>
  </si>
  <si>
    <t xml:space="preserve">Turno A</t>
  </si>
  <si>
    <t xml:space="preserve">Turno C</t>
  </si>
  <si>
    <t xml:space="preserve">Sim</t>
  </si>
  <si>
    <t xml:space="preserve">Resistência da zona 3 queimada; bobina segregada e moída (RNC 2027-29).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</si>
</sst>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##"/>
    <numFmt numFmtId="167" formatCode="0.0###"/>
    <numFmt numFmtId="168" formatCode="dd/mm/yyyy"/>
    <numFmt numFmtId="169" formatCode="0.00#"/>
    <numFmt numFmtId="170" formatCode="General"/>
    <numFmt numFmtId="171" formatCode="0.00"/>
    <numFmt numFmtId="172" formatCode="0%"/>
    <numFmt numFmtId="173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5B6B76"/>
      <name val="Arial"/>
      <family val="0"/>
      <charset val="1"/>
    </font>
    <font>
      <sz val="9"/>
      <color rgb="FF5B6B76"/>
      <name val="Arial"/>
      <family val="0"/>
      <charset val="1"/>
    </font>
    <font>
      <b val="true"/>
      <sz val="9"/>
      <color rgb="FF1624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8EBCB"/>
      </patternFill>
    </fill>
    <fill>
      <patternFill patternType="solid">
        <fgColor rgb="FFFFFFFF"/>
        <bgColor rgb="FFFFF9DB"/>
      </patternFill>
    </fill>
    <fill>
      <patternFill patternType="solid">
        <fgColor rgb="FF1E7B7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3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D8EFDD"/>
        </patternFill>
      </fill>
    </dxf>
    <dxf>
      <fill>
        <patternFill>
          <bgColor rgb="FFEEF1F3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  <dxf>
      <fill>
        <patternFill>
          <bgColor rgb="FFF8EBCB"/>
        </patternFill>
      </fill>
    </dxf>
    <dxf>
      <font>
        <color rgb="FFB8C2C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B8C2C9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DBE0"/>
      <rgbColor rgb="FFD8EFDD"/>
      <rgbColor rgb="FFFBEBC8"/>
      <rgbColor rgb="FFD9D9D9"/>
      <rgbColor rgb="FFF8EBCB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"Média"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rgbClr val="2b5c8a"/>
            </a:solidFill>
            <a:ln w="22320">
              <a:solidFill>
                <a:srgbClr val="2b5c8a"/>
              </a:solidFill>
              <a:round/>
            </a:ln>
          </c:spPr>
          <c:marker>
            <c:symbol val="circle"/>
            <c:size val="6"/>
            <c:spPr>
              <a:solidFill>
                <a:srgbClr val="2b5c8a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Gráficos!$B$5:$B$34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Gráficos!$C$5:$C$34</c:f>
              <c:numCache>
                <c:formatCode>0.00#</c:formatCode>
                <c:ptCount val="30"/>
              </c:numCache>
            </c:numRef>
          </c:val>
          <c:smooth val="0"/>
        </c:ser>
        <c:ser>
          <c:idx val="1"/>
          <c:order val="1"/>
          <c:tx>
            <c:strRef>
              <c:f>"LSC"</c:f>
              <c:strCache>
                <c:ptCount val="1"/>
                <c:pt idx="0">
                  <c:v>LSC</c:v>
                </c:pt>
              </c:strCache>
            </c:strRef>
          </c:tx>
          <c:spPr>
            <a:solidFill>
              <a:srgbClr val="b0413e"/>
            </a:solidFill>
            <a:ln w="15840">
              <a:solidFill>
                <a:srgbClr val="b0413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Gráficos!$B$5:$B$34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Gráficos!$D$5:$D$34</c:f>
              <c:numCache>
                <c:formatCode>0.00#</c:formatCode>
                <c:ptCount val="30"/>
              </c:numCache>
            </c:numRef>
          </c:val>
          <c:smooth val="0"/>
        </c:ser>
        <c:ser>
          <c:idx val="2"/>
          <c:order val="2"/>
          <c:tx>
            <c:strRef>
              <c:f>"LC"</c:f>
              <c:strCache>
                <c:ptCount val="1"/>
                <c:pt idx="0">
                  <c:v>LC</c:v>
                </c:pt>
              </c:strCache>
            </c:strRef>
          </c:tx>
          <c:spPr>
            <a:solidFill>
              <a:srgbClr val="5b6b76"/>
            </a:solidFill>
            <a:ln w="12600">
              <a:solidFill>
                <a:srgbClr val="5b6b7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Gráficos!$B$5:$B$34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Gráficos!$E$5:$E$34</c:f>
              <c:numCache>
                <c:formatCode>0.00#</c:formatCode>
                <c:ptCount val="30"/>
              </c:numCache>
            </c:numRef>
          </c:val>
          <c:smooth val="0"/>
        </c:ser>
        <c:ser>
          <c:idx val="3"/>
          <c:order val="3"/>
          <c:tx>
            <c:strRef>
              <c:f>"LIC"</c:f>
              <c:strCache>
                <c:ptCount val="1"/>
                <c:pt idx="0">
                  <c:v>LIC</c:v>
                </c:pt>
              </c:strCache>
            </c:strRef>
          </c:tx>
          <c:spPr>
            <a:solidFill>
              <a:srgbClr val="b0413e"/>
            </a:solidFill>
            <a:ln w="15840">
              <a:solidFill>
                <a:srgbClr val="b0413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Gráficos!$B$5:$B$34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Gráficos!$F$5:$F$34</c:f>
              <c:numCache>
                <c:formatCode>0.00#</c:formatCode>
                <c:ptCount val="3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569555"/>
        <c:axId val="8562166"/>
      </c:lineChart>
      <c:catAx>
        <c:axId val="95695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2166"/>
        <c:crosses val="autoZero"/>
        <c:auto val="1"/>
        <c:lblAlgn val="ctr"/>
        <c:lblOffset val="100"/>
        <c:noMultiLvlLbl val="0"/>
      </c:catAx>
      <c:valAx>
        <c:axId val="8562166"/>
        <c:scaling>
          <c:orientation val="minMax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t-BR" sz="1000" spc="-1" strike="noStrike">
                    <a:solidFill>
                      <a:srgbClr val="000000"/>
                    </a:solidFill>
                    <a:latin typeface="Calibri"/>
                  </a:rPr>
                  <a:t>Média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#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95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"Amplitude"</c:f>
              <c:strCache>
                <c:ptCount val="1"/>
                <c:pt idx="0">
                  <c:v>Amplitude</c:v>
                </c:pt>
              </c:strCache>
            </c:strRef>
          </c:tx>
          <c:spPr>
            <a:solidFill>
              <a:srgbClr val="1e7b73"/>
            </a:solidFill>
            <a:ln w="22320">
              <a:solidFill>
                <a:srgbClr val="1e7b73"/>
              </a:solidFill>
              <a:round/>
            </a:ln>
          </c:spPr>
          <c:marker>
            <c:symbol val="circle"/>
            <c:size val="6"/>
            <c:spPr>
              <a:solidFill>
                <a:srgbClr val="1e7b73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Gráficos!$B$5:$B$34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Gráficos!$G$5:$G$34</c:f>
              <c:numCache>
                <c:formatCode>0.00#</c:formatCode>
                <c:ptCount val="30"/>
              </c:numCache>
            </c:numRef>
          </c:val>
          <c:smooth val="0"/>
        </c:ser>
        <c:ser>
          <c:idx val="1"/>
          <c:order val="1"/>
          <c:tx>
            <c:strRef>
              <c:f>"LSC de R"</c:f>
              <c:strCache>
                <c:ptCount val="1"/>
                <c:pt idx="0">
                  <c:v>LSC de R</c:v>
                </c:pt>
              </c:strCache>
            </c:strRef>
          </c:tx>
          <c:spPr>
            <a:solidFill>
              <a:srgbClr val="b0413e"/>
            </a:solidFill>
            <a:ln w="15840">
              <a:solidFill>
                <a:srgbClr val="b0413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Gráficos!$B$5:$B$34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Gráficos!$H$5:$H$34</c:f>
              <c:numCache>
                <c:formatCode>0.00#</c:formatCode>
                <c:ptCount val="30"/>
              </c:numCache>
            </c:numRef>
          </c:val>
          <c:smooth val="0"/>
        </c:ser>
        <c:ser>
          <c:idx val="2"/>
          <c:order val="2"/>
          <c:tx>
            <c:strRef>
              <c:f>"R̄"</c:f>
              <c:strCache>
                <c:ptCount val="1"/>
                <c:pt idx="0">
                  <c:v>R̄</c:v>
                </c:pt>
              </c:strCache>
            </c:strRef>
          </c:tx>
          <c:spPr>
            <a:solidFill>
              <a:srgbClr val="5b6b76"/>
            </a:solidFill>
            <a:ln w="12600">
              <a:solidFill>
                <a:srgbClr val="5b6b7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Gráficos!$B$5:$B$34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Gráficos!$I$5:$I$34</c:f>
              <c:numCache>
                <c:formatCode>0.00#</c:formatCode>
                <c:ptCount val="3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112036"/>
        <c:axId val="27400931"/>
      </c:lineChart>
      <c:catAx>
        <c:axId val="311120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00931"/>
        <c:crosses val="autoZero"/>
        <c:auto val="1"/>
        <c:lblAlgn val="ctr"/>
        <c:lblOffset val="100"/>
        <c:noMultiLvlLbl val="0"/>
      </c:catAx>
      <c:valAx>
        <c:axId val="27400931"/>
        <c:scaling>
          <c:orientation val="minMax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t-BR" sz="1000" spc="-1" strike="noStrike">
                    <a:solidFill>
                      <a:srgbClr val="000000"/>
                    </a:solidFill>
                    <a:latin typeface="Calibri"/>
                  </a:rPr>
                  <a:t>Amplitude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#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120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"Medições"</c:f>
              <c:strCache>
                <c:ptCount val="1"/>
                <c:pt idx="0">
                  <c:v>Medições</c:v>
                </c:pt>
              </c:strCache>
            </c:strRef>
          </c:tx>
          <c:spPr>
            <a:solidFill>
              <a:srgbClr val="2b5c8a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Histograma!$C$8:$C$19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Histograma!$E$8:$E$19</c:f>
              <c:numCache>
                <c:formatCode>General</c:formatCode>
                <c:ptCount val="12"/>
              </c:numCache>
            </c:numRef>
          </c:val>
        </c:ser>
        <c:gapWidth val="10"/>
        <c:overlap val="0"/>
        <c:axId val="58090363"/>
        <c:axId val="26572483"/>
      </c:barChart>
      <c:catAx>
        <c:axId val="580903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72483"/>
        <c:crosses val="autoZero"/>
        <c:auto val="1"/>
        <c:lblAlgn val="ctr"/>
        <c:lblOffset val="100"/>
        <c:noMultiLvlLbl val="0"/>
      </c:catAx>
      <c:valAx>
        <c:axId val="2657248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903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"Média"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rgbClr val="2b5c8a"/>
            </a:solidFill>
            <a:ln w="22320">
              <a:solidFill>
                <a:srgbClr val="2b5c8a"/>
              </a:solidFill>
              <a:round/>
            </a:ln>
          </c:spPr>
          <c:marker>
            <c:symbol val="circle"/>
            <c:size val="6"/>
            <c:spPr>
              <a:solidFill>
                <a:srgbClr val="2b5c8a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Pizzaria'!$B$19:$B$43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'Exemplo 1 - Pizzaria'!$L$19:$L$43</c:f>
              <c:numCache>
                <c:formatCode>0.00#</c:formatCode>
                <c:ptCount val="25"/>
                <c:pt idx="0">
                  <c:v>398.6</c:v>
                </c:pt>
                <c:pt idx="1">
                  <c:v>401.2</c:v>
                </c:pt>
                <c:pt idx="2">
                  <c:v>402</c:v>
                </c:pt>
                <c:pt idx="3">
                  <c:v>400.6</c:v>
                </c:pt>
                <c:pt idx="4">
                  <c:v>400</c:v>
                </c:pt>
                <c:pt idx="5">
                  <c:v>397.8</c:v>
                </c:pt>
                <c:pt idx="6">
                  <c:v>398.8</c:v>
                </c:pt>
                <c:pt idx="7">
                  <c:v>396.6</c:v>
                </c:pt>
                <c:pt idx="8">
                  <c:v>402.8</c:v>
                </c:pt>
                <c:pt idx="9">
                  <c:v>394.2</c:v>
                </c:pt>
                <c:pt idx="10">
                  <c:v>402.2</c:v>
                </c:pt>
                <c:pt idx="11">
                  <c:v>407</c:v>
                </c:pt>
                <c:pt idx="12">
                  <c:v>397.8</c:v>
                </c:pt>
                <c:pt idx="13">
                  <c:v>391.2</c:v>
                </c:pt>
                <c:pt idx="14">
                  <c:v>405</c:v>
                </c:pt>
                <c:pt idx="15">
                  <c:v>401.2</c:v>
                </c:pt>
                <c:pt idx="16">
                  <c:v>398.2</c:v>
                </c:pt>
                <c:pt idx="17">
                  <c:v>402</c:v>
                </c:pt>
                <c:pt idx="18">
                  <c:v>409</c:v>
                </c:pt>
                <c:pt idx="19">
                  <c:v>399.8</c:v>
                </c:pt>
                <c:pt idx="20">
                  <c:v>398.4</c:v>
                </c:pt>
                <c:pt idx="21">
                  <c:v>397.4</c:v>
                </c:pt>
                <c:pt idx="22">
                  <c:v>396.4</c:v>
                </c:pt>
                <c:pt idx="23">
                  <c:v>403.8</c:v>
                </c:pt>
                <c:pt idx="24">
                  <c:v>405.6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"LSC"</c:f>
              <c:strCache>
                <c:ptCount val="1"/>
                <c:pt idx="0">
                  <c:v>LSC</c:v>
                </c:pt>
              </c:strCache>
            </c:strRef>
          </c:tx>
          <c:spPr>
            <a:solidFill>
              <a:srgbClr val="b0413e"/>
            </a:solidFill>
            <a:ln w="15840">
              <a:solidFill>
                <a:srgbClr val="b0413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Pizzaria'!$B$19:$B$43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'Exemplo 1 - Pizzaria'!$S$19:$S$43</c:f>
              <c:numCache>
                <c:formatCode>0.00#</c:formatCode>
                <c:ptCount val="25"/>
                <c:pt idx="0">
                  <c:v>411.08236</c:v>
                </c:pt>
                <c:pt idx="1">
                  <c:v>411.08236</c:v>
                </c:pt>
                <c:pt idx="2">
                  <c:v>411.08236</c:v>
                </c:pt>
                <c:pt idx="3">
                  <c:v>411.08236</c:v>
                </c:pt>
                <c:pt idx="4">
                  <c:v>411.08236</c:v>
                </c:pt>
                <c:pt idx="5">
                  <c:v>411.08236</c:v>
                </c:pt>
                <c:pt idx="6">
                  <c:v>411.08236</c:v>
                </c:pt>
                <c:pt idx="7">
                  <c:v>411.08236</c:v>
                </c:pt>
                <c:pt idx="8">
                  <c:v>411.08236</c:v>
                </c:pt>
                <c:pt idx="9">
                  <c:v>411.08236</c:v>
                </c:pt>
                <c:pt idx="10">
                  <c:v>411.08236</c:v>
                </c:pt>
                <c:pt idx="11">
                  <c:v>411.08236</c:v>
                </c:pt>
                <c:pt idx="12">
                  <c:v>411.08236</c:v>
                </c:pt>
                <c:pt idx="13">
                  <c:v>411.08236</c:v>
                </c:pt>
                <c:pt idx="14">
                  <c:v>411.08236</c:v>
                </c:pt>
                <c:pt idx="15">
                  <c:v>411.08236</c:v>
                </c:pt>
                <c:pt idx="16">
                  <c:v>411.08236</c:v>
                </c:pt>
                <c:pt idx="17">
                  <c:v>411.08236</c:v>
                </c:pt>
                <c:pt idx="18">
                  <c:v>411.08236</c:v>
                </c:pt>
                <c:pt idx="19">
                  <c:v>411.08236</c:v>
                </c:pt>
                <c:pt idx="20">
                  <c:v>411.08236</c:v>
                </c:pt>
                <c:pt idx="21">
                  <c:v>411.08236</c:v>
                </c:pt>
                <c:pt idx="22">
                  <c:v>411.08236</c:v>
                </c:pt>
                <c:pt idx="23">
                  <c:v>411.08236</c:v>
                </c:pt>
                <c:pt idx="24">
                  <c:v>411.08236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"LC"</c:f>
              <c:strCache>
                <c:ptCount val="1"/>
                <c:pt idx="0">
                  <c:v>LC</c:v>
                </c:pt>
              </c:strCache>
            </c:strRef>
          </c:tx>
          <c:spPr>
            <a:solidFill>
              <a:srgbClr val="5b6b76"/>
            </a:solidFill>
            <a:ln w="12600">
              <a:solidFill>
                <a:srgbClr val="5b6b7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Pizzaria'!$B$19:$B$43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'Exemplo 1 - Pizzaria'!$T$19:$T$43</c:f>
              <c:numCache>
                <c:formatCode>0.00#</c:formatCode>
                <c:ptCount val="25"/>
                <c:pt idx="0">
                  <c:v>400.304</c:v>
                </c:pt>
                <c:pt idx="1">
                  <c:v>400.304</c:v>
                </c:pt>
                <c:pt idx="2">
                  <c:v>400.304</c:v>
                </c:pt>
                <c:pt idx="3">
                  <c:v>400.304</c:v>
                </c:pt>
                <c:pt idx="4">
                  <c:v>400.304</c:v>
                </c:pt>
                <c:pt idx="5">
                  <c:v>400.304</c:v>
                </c:pt>
                <c:pt idx="6">
                  <c:v>400.304</c:v>
                </c:pt>
                <c:pt idx="7">
                  <c:v>400.304</c:v>
                </c:pt>
                <c:pt idx="8">
                  <c:v>400.304</c:v>
                </c:pt>
                <c:pt idx="9">
                  <c:v>400.304</c:v>
                </c:pt>
                <c:pt idx="10">
                  <c:v>400.304</c:v>
                </c:pt>
                <c:pt idx="11">
                  <c:v>400.304</c:v>
                </c:pt>
                <c:pt idx="12">
                  <c:v>400.304</c:v>
                </c:pt>
                <c:pt idx="13">
                  <c:v>400.304</c:v>
                </c:pt>
                <c:pt idx="14">
                  <c:v>400.304</c:v>
                </c:pt>
                <c:pt idx="15">
                  <c:v>400.304</c:v>
                </c:pt>
                <c:pt idx="16">
                  <c:v>400.304</c:v>
                </c:pt>
                <c:pt idx="17">
                  <c:v>400.304</c:v>
                </c:pt>
                <c:pt idx="18">
                  <c:v>400.304</c:v>
                </c:pt>
                <c:pt idx="19">
                  <c:v>400.304</c:v>
                </c:pt>
                <c:pt idx="20">
                  <c:v>400.304</c:v>
                </c:pt>
                <c:pt idx="21">
                  <c:v>400.304</c:v>
                </c:pt>
                <c:pt idx="22">
                  <c:v>400.304</c:v>
                </c:pt>
                <c:pt idx="23">
                  <c:v>400.304</c:v>
                </c:pt>
                <c:pt idx="24">
                  <c:v>400.304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"LIC"</c:f>
              <c:strCache>
                <c:ptCount val="1"/>
                <c:pt idx="0">
                  <c:v>LIC</c:v>
                </c:pt>
              </c:strCache>
            </c:strRef>
          </c:tx>
          <c:spPr>
            <a:solidFill>
              <a:srgbClr val="b0413e"/>
            </a:solidFill>
            <a:ln w="15840">
              <a:solidFill>
                <a:srgbClr val="b0413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Pizzaria'!$B$19:$B$43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'Exemplo 1 - Pizzaria'!$U$19:$U$43</c:f>
              <c:numCache>
                <c:formatCode>0.00#</c:formatCode>
                <c:ptCount val="25"/>
                <c:pt idx="0">
                  <c:v>389.52564</c:v>
                </c:pt>
                <c:pt idx="1">
                  <c:v>389.52564</c:v>
                </c:pt>
                <c:pt idx="2">
                  <c:v>389.52564</c:v>
                </c:pt>
                <c:pt idx="3">
                  <c:v>389.52564</c:v>
                </c:pt>
                <c:pt idx="4">
                  <c:v>389.52564</c:v>
                </c:pt>
                <c:pt idx="5">
                  <c:v>389.52564</c:v>
                </c:pt>
                <c:pt idx="6">
                  <c:v>389.52564</c:v>
                </c:pt>
                <c:pt idx="7">
                  <c:v>389.52564</c:v>
                </c:pt>
                <c:pt idx="8">
                  <c:v>389.52564</c:v>
                </c:pt>
                <c:pt idx="9">
                  <c:v>389.52564</c:v>
                </c:pt>
                <c:pt idx="10">
                  <c:v>389.52564</c:v>
                </c:pt>
                <c:pt idx="11">
                  <c:v>389.52564</c:v>
                </c:pt>
                <c:pt idx="12">
                  <c:v>389.52564</c:v>
                </c:pt>
                <c:pt idx="13">
                  <c:v>389.52564</c:v>
                </c:pt>
                <c:pt idx="14">
                  <c:v>389.52564</c:v>
                </c:pt>
                <c:pt idx="15">
                  <c:v>389.52564</c:v>
                </c:pt>
                <c:pt idx="16">
                  <c:v>389.52564</c:v>
                </c:pt>
                <c:pt idx="17">
                  <c:v>389.52564</c:v>
                </c:pt>
                <c:pt idx="18">
                  <c:v>389.52564</c:v>
                </c:pt>
                <c:pt idx="19">
                  <c:v>389.52564</c:v>
                </c:pt>
                <c:pt idx="20">
                  <c:v>389.52564</c:v>
                </c:pt>
                <c:pt idx="21">
                  <c:v>389.52564</c:v>
                </c:pt>
                <c:pt idx="22">
                  <c:v>389.52564</c:v>
                </c:pt>
                <c:pt idx="23">
                  <c:v>389.52564</c:v>
                </c:pt>
                <c:pt idx="24">
                  <c:v>389.52564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318504"/>
        <c:axId val="2227862"/>
      </c:lineChart>
      <c:catAx>
        <c:axId val="3531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7862"/>
        <c:crosses val="autoZero"/>
        <c:auto val="1"/>
        <c:lblAlgn val="ctr"/>
        <c:lblOffset val="100"/>
        <c:noMultiLvlLbl val="0"/>
      </c:catAx>
      <c:valAx>
        <c:axId val="2227862"/>
        <c:scaling>
          <c:orientation val="minMax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t-BR" sz="1000" spc="-1" strike="noStrike">
                    <a:solidFill>
                      <a:srgbClr val="000000"/>
                    </a:solidFill>
                    <a:latin typeface="Calibri"/>
                  </a:rPr>
                  <a:t>Média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#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185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"Amplitude"</c:f>
              <c:strCache>
                <c:ptCount val="1"/>
                <c:pt idx="0">
                  <c:v>Amplitude</c:v>
                </c:pt>
              </c:strCache>
            </c:strRef>
          </c:tx>
          <c:spPr>
            <a:solidFill>
              <a:srgbClr val="1e7b73"/>
            </a:solidFill>
            <a:ln w="22320">
              <a:solidFill>
                <a:srgbClr val="1e7b73"/>
              </a:solidFill>
              <a:round/>
            </a:ln>
          </c:spPr>
          <c:marker>
            <c:symbol val="circle"/>
            <c:size val="6"/>
            <c:spPr>
              <a:solidFill>
                <a:srgbClr val="1e7b73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Pizzaria'!$B$19:$B$43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'Exemplo 1 - Pizzaria'!$M$19:$M$43</c:f>
              <c:numCache>
                <c:formatCode>0.0##</c:formatCode>
                <c:ptCount val="25"/>
                <c:pt idx="0">
                  <c:v>25</c:v>
                </c:pt>
                <c:pt idx="1">
                  <c:v>14</c:v>
                </c:pt>
                <c:pt idx="2">
                  <c:v>16</c:v>
                </c:pt>
                <c:pt idx="3">
                  <c:v>24</c:v>
                </c:pt>
                <c:pt idx="4">
                  <c:v>23</c:v>
                </c:pt>
                <c:pt idx="5">
                  <c:v>16</c:v>
                </c:pt>
                <c:pt idx="6">
                  <c:v>12</c:v>
                </c:pt>
                <c:pt idx="7">
                  <c:v>19</c:v>
                </c:pt>
                <c:pt idx="8">
                  <c:v>26</c:v>
                </c:pt>
                <c:pt idx="9">
                  <c:v>25</c:v>
                </c:pt>
                <c:pt idx="10">
                  <c:v>13</c:v>
                </c:pt>
                <c:pt idx="11">
                  <c:v>5</c:v>
                </c:pt>
                <c:pt idx="12">
                  <c:v>23</c:v>
                </c:pt>
                <c:pt idx="13">
                  <c:v>23</c:v>
                </c:pt>
                <c:pt idx="14">
                  <c:v>16</c:v>
                </c:pt>
                <c:pt idx="15">
                  <c:v>32</c:v>
                </c:pt>
                <c:pt idx="16">
                  <c:v>4</c:v>
                </c:pt>
                <c:pt idx="17">
                  <c:v>30</c:v>
                </c:pt>
                <c:pt idx="18">
                  <c:v>22</c:v>
                </c:pt>
                <c:pt idx="19">
                  <c:v>21</c:v>
                </c:pt>
                <c:pt idx="20">
                  <c:v>13</c:v>
                </c:pt>
                <c:pt idx="21">
                  <c:v>21</c:v>
                </c:pt>
                <c:pt idx="22">
                  <c:v>14</c:v>
                </c:pt>
                <c:pt idx="23">
                  <c:v>9</c:v>
                </c:pt>
                <c:pt idx="24">
                  <c:v>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"LSC de R"</c:f>
              <c:strCache>
                <c:ptCount val="1"/>
                <c:pt idx="0">
                  <c:v>LSC de R</c:v>
                </c:pt>
              </c:strCache>
            </c:strRef>
          </c:tx>
          <c:spPr>
            <a:solidFill>
              <a:srgbClr val="b0413e"/>
            </a:solidFill>
            <a:ln w="15840">
              <a:solidFill>
                <a:srgbClr val="b0413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Pizzaria'!$B$19:$B$43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'Exemplo 1 - Pizzaria'!$V$19:$V$43</c:f>
              <c:numCache>
                <c:formatCode>0.00#</c:formatCode>
                <c:ptCount val="25"/>
                <c:pt idx="0">
                  <c:v>39.48952</c:v>
                </c:pt>
                <c:pt idx="1">
                  <c:v>39.48952</c:v>
                </c:pt>
                <c:pt idx="2">
                  <c:v>39.48952</c:v>
                </c:pt>
                <c:pt idx="3">
                  <c:v>39.48952</c:v>
                </c:pt>
                <c:pt idx="4">
                  <c:v>39.48952</c:v>
                </c:pt>
                <c:pt idx="5">
                  <c:v>39.48952</c:v>
                </c:pt>
                <c:pt idx="6">
                  <c:v>39.48952</c:v>
                </c:pt>
                <c:pt idx="7">
                  <c:v>39.48952</c:v>
                </c:pt>
                <c:pt idx="8">
                  <c:v>39.48952</c:v>
                </c:pt>
                <c:pt idx="9">
                  <c:v>39.48952</c:v>
                </c:pt>
                <c:pt idx="10">
                  <c:v>39.48952</c:v>
                </c:pt>
                <c:pt idx="11">
                  <c:v>39.48952</c:v>
                </c:pt>
                <c:pt idx="12">
                  <c:v>39.48952</c:v>
                </c:pt>
                <c:pt idx="13">
                  <c:v>39.48952</c:v>
                </c:pt>
                <c:pt idx="14">
                  <c:v>39.48952</c:v>
                </c:pt>
                <c:pt idx="15">
                  <c:v>39.48952</c:v>
                </c:pt>
                <c:pt idx="16">
                  <c:v>39.48952</c:v>
                </c:pt>
                <c:pt idx="17">
                  <c:v>39.48952</c:v>
                </c:pt>
                <c:pt idx="18">
                  <c:v>39.48952</c:v>
                </c:pt>
                <c:pt idx="19">
                  <c:v>39.48952</c:v>
                </c:pt>
                <c:pt idx="20">
                  <c:v>39.48952</c:v>
                </c:pt>
                <c:pt idx="21">
                  <c:v>39.48952</c:v>
                </c:pt>
                <c:pt idx="22">
                  <c:v>39.48952</c:v>
                </c:pt>
                <c:pt idx="23">
                  <c:v>39.48952</c:v>
                </c:pt>
                <c:pt idx="24">
                  <c:v>39.48952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"R̄"</c:f>
              <c:strCache>
                <c:ptCount val="1"/>
                <c:pt idx="0">
                  <c:v>R̄</c:v>
                </c:pt>
              </c:strCache>
            </c:strRef>
          </c:tx>
          <c:spPr>
            <a:solidFill>
              <a:srgbClr val="5b6b76"/>
            </a:solidFill>
            <a:ln w="12600">
              <a:solidFill>
                <a:srgbClr val="5b6b7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Pizzaria'!$B$19:$B$43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'Exemplo 1 - Pizzaria'!$W$19:$W$43</c:f>
              <c:numCache>
                <c:formatCode>0.00#</c:formatCode>
                <c:ptCount val="25"/>
                <c:pt idx="0">
                  <c:v>18.68</c:v>
                </c:pt>
                <c:pt idx="1">
                  <c:v>18.68</c:v>
                </c:pt>
                <c:pt idx="2">
                  <c:v>18.68</c:v>
                </c:pt>
                <c:pt idx="3">
                  <c:v>18.68</c:v>
                </c:pt>
                <c:pt idx="4">
                  <c:v>18.68</c:v>
                </c:pt>
                <c:pt idx="5">
                  <c:v>18.68</c:v>
                </c:pt>
                <c:pt idx="6">
                  <c:v>18.68</c:v>
                </c:pt>
                <c:pt idx="7">
                  <c:v>18.68</c:v>
                </c:pt>
                <c:pt idx="8">
                  <c:v>18.68</c:v>
                </c:pt>
                <c:pt idx="9">
                  <c:v>18.68</c:v>
                </c:pt>
                <c:pt idx="10">
                  <c:v>18.68</c:v>
                </c:pt>
                <c:pt idx="11">
                  <c:v>18.68</c:v>
                </c:pt>
                <c:pt idx="12">
                  <c:v>18.68</c:v>
                </c:pt>
                <c:pt idx="13">
                  <c:v>18.68</c:v>
                </c:pt>
                <c:pt idx="14">
                  <c:v>18.68</c:v>
                </c:pt>
                <c:pt idx="15">
                  <c:v>18.68</c:v>
                </c:pt>
                <c:pt idx="16">
                  <c:v>18.68</c:v>
                </c:pt>
                <c:pt idx="17">
                  <c:v>18.68</c:v>
                </c:pt>
                <c:pt idx="18">
                  <c:v>18.68</c:v>
                </c:pt>
                <c:pt idx="19">
                  <c:v>18.68</c:v>
                </c:pt>
                <c:pt idx="20">
                  <c:v>18.68</c:v>
                </c:pt>
                <c:pt idx="21">
                  <c:v>18.68</c:v>
                </c:pt>
                <c:pt idx="22">
                  <c:v>18.68</c:v>
                </c:pt>
                <c:pt idx="23">
                  <c:v>18.68</c:v>
                </c:pt>
                <c:pt idx="24">
                  <c:v>18.68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310917"/>
        <c:axId val="58414738"/>
      </c:lineChart>
      <c:catAx>
        <c:axId val="453109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14738"/>
        <c:crosses val="autoZero"/>
        <c:auto val="1"/>
        <c:lblAlgn val="ctr"/>
        <c:lblOffset val="100"/>
        <c:noMultiLvlLbl val="0"/>
      </c:catAx>
      <c:valAx>
        <c:axId val="58414738"/>
        <c:scaling>
          <c:orientation val="minMax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t-BR" sz="1000" spc="-1" strike="noStrike">
                    <a:solidFill>
                      <a:srgbClr val="000000"/>
                    </a:solidFill>
                    <a:latin typeface="Calibri"/>
                  </a:rPr>
                  <a:t>Amplitude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#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109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"Média"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rgbClr val="2b5c8a"/>
            </a:solidFill>
            <a:ln w="22320">
              <a:solidFill>
                <a:srgbClr val="2b5c8a"/>
              </a:solidFill>
              <a:round/>
            </a:ln>
          </c:spPr>
          <c:marker>
            <c:symbol val="circle"/>
            <c:size val="6"/>
            <c:spPr>
              <a:solidFill>
                <a:srgbClr val="2b5c8a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Indústria'!$B$19:$B$43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'Exemplo 2 - Indústria'!$L$19:$L$43</c:f>
              <c:numCache>
                <c:formatCode>0.00#</c:formatCode>
                <c:ptCount val="25"/>
                <c:pt idx="0">
                  <c:v>39.9</c:v>
                </c:pt>
                <c:pt idx="1">
                  <c:v>39.8</c:v>
                </c:pt>
                <c:pt idx="2">
                  <c:v>40.22</c:v>
                </c:pt>
                <c:pt idx="3">
                  <c:v>39.84</c:v>
                </c:pt>
                <c:pt idx="4">
                  <c:v>40.18</c:v>
                </c:pt>
                <c:pt idx="5">
                  <c:v>40.86</c:v>
                </c:pt>
                <c:pt idx="6">
                  <c:v>40.02</c:v>
                </c:pt>
                <c:pt idx="7">
                  <c:v>39.88</c:v>
                </c:pt>
                <c:pt idx="8">
                  <c:v>39.92</c:v>
                </c:pt>
                <c:pt idx="9">
                  <c:v>39.9</c:v>
                </c:pt>
                <c:pt idx="10">
                  <c:v>39.88</c:v>
                </c:pt>
                <c:pt idx="11">
                  <c:v>40.18</c:v>
                </c:pt>
                <c:pt idx="12">
                  <c:v>40.06</c:v>
                </c:pt>
                <c:pt idx="13">
                  <c:v>39.84</c:v>
                </c:pt>
                <c:pt idx="14">
                  <c:v>39.98</c:v>
                </c:pt>
                <c:pt idx="15">
                  <c:v>40.02</c:v>
                </c:pt>
                <c:pt idx="16">
                  <c:v>39.64</c:v>
                </c:pt>
                <c:pt idx="17">
                  <c:v>39.76</c:v>
                </c:pt>
                <c:pt idx="18">
                  <c:v>39.3</c:v>
                </c:pt>
                <c:pt idx="19">
                  <c:v>39.14</c:v>
                </c:pt>
                <c:pt idx="20">
                  <c:v>39.54</c:v>
                </c:pt>
                <c:pt idx="21">
                  <c:v>39.6</c:v>
                </c:pt>
                <c:pt idx="22">
                  <c:v>38.84</c:v>
                </c:pt>
                <c:pt idx="23">
                  <c:v>38.14</c:v>
                </c:pt>
                <c:pt idx="24">
                  <c:v>38.68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"LSC"</c:f>
              <c:strCache>
                <c:ptCount val="1"/>
                <c:pt idx="0">
                  <c:v>LSC</c:v>
                </c:pt>
              </c:strCache>
            </c:strRef>
          </c:tx>
          <c:spPr>
            <a:solidFill>
              <a:srgbClr val="b0413e"/>
            </a:solidFill>
            <a:ln w="15840">
              <a:solidFill>
                <a:srgbClr val="b0413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Indústria'!$B$19:$B$43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'Exemplo 2 - Indústria'!$S$19:$S$43</c:f>
              <c:numCache>
                <c:formatCode>0.00#</c:formatCode>
                <c:ptCount val="25"/>
                <c:pt idx="0">
                  <c:v>40.3391615384615</c:v>
                </c:pt>
                <c:pt idx="1">
                  <c:v>40.3391615384615</c:v>
                </c:pt>
                <c:pt idx="2">
                  <c:v>40.3391615384615</c:v>
                </c:pt>
                <c:pt idx="3">
                  <c:v>40.3391615384615</c:v>
                </c:pt>
                <c:pt idx="4">
                  <c:v>40.3391615384615</c:v>
                </c:pt>
                <c:pt idx="5">
                  <c:v>40.3391615384615</c:v>
                </c:pt>
                <c:pt idx="6">
                  <c:v>40.3391615384615</c:v>
                </c:pt>
                <c:pt idx="7">
                  <c:v>40.3391615384615</c:v>
                </c:pt>
                <c:pt idx="8">
                  <c:v>40.3391615384615</c:v>
                </c:pt>
                <c:pt idx="9">
                  <c:v>40.3391615384615</c:v>
                </c:pt>
                <c:pt idx="10">
                  <c:v>40.3391615384615</c:v>
                </c:pt>
                <c:pt idx="11">
                  <c:v>40.3391615384615</c:v>
                </c:pt>
                <c:pt idx="12">
                  <c:v>40.3391615384615</c:v>
                </c:pt>
                <c:pt idx="13">
                  <c:v>40.3391615384615</c:v>
                </c:pt>
                <c:pt idx="14">
                  <c:v>40.3391615384615</c:v>
                </c:pt>
                <c:pt idx="15">
                  <c:v>40.3391615384615</c:v>
                </c:pt>
                <c:pt idx="16">
                  <c:v>40.3391615384615</c:v>
                </c:pt>
                <c:pt idx="17">
                  <c:v>40.3391615384615</c:v>
                </c:pt>
                <c:pt idx="18">
                  <c:v>40.3391615384615</c:v>
                </c:pt>
                <c:pt idx="19">
                  <c:v>40.3391615384615</c:v>
                </c:pt>
                <c:pt idx="20">
                  <c:v>40.3391615384615</c:v>
                </c:pt>
                <c:pt idx="21">
                  <c:v>40.3391615384615</c:v>
                </c:pt>
                <c:pt idx="22">
                  <c:v>40.3391615384615</c:v>
                </c:pt>
                <c:pt idx="23">
                  <c:v>40.3391615384615</c:v>
                </c:pt>
                <c:pt idx="24">
                  <c:v>40.3391615384615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"LC"</c:f>
              <c:strCache>
                <c:ptCount val="1"/>
                <c:pt idx="0">
                  <c:v>LC</c:v>
                </c:pt>
              </c:strCache>
            </c:strRef>
          </c:tx>
          <c:spPr>
            <a:solidFill>
              <a:srgbClr val="5b6b76"/>
            </a:solidFill>
            <a:ln w="12600">
              <a:solidFill>
                <a:srgbClr val="5b6b7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Indústria'!$B$19:$B$43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'Exemplo 2 - Indústria'!$T$19:$T$43</c:f>
              <c:numCache>
                <c:formatCode>0.00#</c:formatCode>
                <c:ptCount val="25"/>
                <c:pt idx="0">
                  <c:v>39.9707692307692</c:v>
                </c:pt>
                <c:pt idx="1">
                  <c:v>39.9707692307692</c:v>
                </c:pt>
                <c:pt idx="2">
                  <c:v>39.9707692307692</c:v>
                </c:pt>
                <c:pt idx="3">
                  <c:v>39.9707692307692</c:v>
                </c:pt>
                <c:pt idx="4">
                  <c:v>39.9707692307692</c:v>
                </c:pt>
                <c:pt idx="5">
                  <c:v>39.9707692307692</c:v>
                </c:pt>
                <c:pt idx="6">
                  <c:v>39.9707692307692</c:v>
                </c:pt>
                <c:pt idx="7">
                  <c:v>39.9707692307692</c:v>
                </c:pt>
                <c:pt idx="8">
                  <c:v>39.9707692307692</c:v>
                </c:pt>
                <c:pt idx="9">
                  <c:v>39.9707692307692</c:v>
                </c:pt>
                <c:pt idx="10">
                  <c:v>39.9707692307692</c:v>
                </c:pt>
                <c:pt idx="11">
                  <c:v>39.9707692307692</c:v>
                </c:pt>
                <c:pt idx="12">
                  <c:v>39.9707692307692</c:v>
                </c:pt>
                <c:pt idx="13">
                  <c:v>39.9707692307692</c:v>
                </c:pt>
                <c:pt idx="14">
                  <c:v>39.9707692307692</c:v>
                </c:pt>
                <c:pt idx="15">
                  <c:v>39.9707692307692</c:v>
                </c:pt>
                <c:pt idx="16">
                  <c:v>39.9707692307692</c:v>
                </c:pt>
                <c:pt idx="17">
                  <c:v>39.9707692307692</c:v>
                </c:pt>
                <c:pt idx="18">
                  <c:v>39.9707692307692</c:v>
                </c:pt>
                <c:pt idx="19">
                  <c:v>39.9707692307692</c:v>
                </c:pt>
                <c:pt idx="20">
                  <c:v>39.9707692307692</c:v>
                </c:pt>
                <c:pt idx="21">
                  <c:v>39.9707692307692</c:v>
                </c:pt>
                <c:pt idx="22">
                  <c:v>39.9707692307692</c:v>
                </c:pt>
                <c:pt idx="23">
                  <c:v>39.9707692307692</c:v>
                </c:pt>
                <c:pt idx="24">
                  <c:v>39.9707692307692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"LIC"</c:f>
              <c:strCache>
                <c:ptCount val="1"/>
                <c:pt idx="0">
                  <c:v>LIC</c:v>
                </c:pt>
              </c:strCache>
            </c:strRef>
          </c:tx>
          <c:spPr>
            <a:solidFill>
              <a:srgbClr val="b0413e"/>
            </a:solidFill>
            <a:ln w="15840">
              <a:solidFill>
                <a:srgbClr val="b0413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Indústria'!$B$19:$B$43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'Exemplo 2 - Indústria'!$U$19:$U$43</c:f>
              <c:numCache>
                <c:formatCode>0.00#</c:formatCode>
                <c:ptCount val="25"/>
                <c:pt idx="0">
                  <c:v>39.6023769230769</c:v>
                </c:pt>
                <c:pt idx="1">
                  <c:v>39.6023769230769</c:v>
                </c:pt>
                <c:pt idx="2">
                  <c:v>39.6023769230769</c:v>
                </c:pt>
                <c:pt idx="3">
                  <c:v>39.6023769230769</c:v>
                </c:pt>
                <c:pt idx="4">
                  <c:v>39.6023769230769</c:v>
                </c:pt>
                <c:pt idx="5">
                  <c:v>39.6023769230769</c:v>
                </c:pt>
                <c:pt idx="6">
                  <c:v>39.6023769230769</c:v>
                </c:pt>
                <c:pt idx="7">
                  <c:v>39.6023769230769</c:v>
                </c:pt>
                <c:pt idx="8">
                  <c:v>39.6023769230769</c:v>
                </c:pt>
                <c:pt idx="9">
                  <c:v>39.6023769230769</c:v>
                </c:pt>
                <c:pt idx="10">
                  <c:v>39.6023769230769</c:v>
                </c:pt>
                <c:pt idx="11">
                  <c:v>39.6023769230769</c:v>
                </c:pt>
                <c:pt idx="12">
                  <c:v>39.6023769230769</c:v>
                </c:pt>
                <c:pt idx="13">
                  <c:v>39.6023769230769</c:v>
                </c:pt>
                <c:pt idx="14">
                  <c:v>39.6023769230769</c:v>
                </c:pt>
                <c:pt idx="15">
                  <c:v>39.6023769230769</c:v>
                </c:pt>
                <c:pt idx="16">
                  <c:v>39.6023769230769</c:v>
                </c:pt>
                <c:pt idx="17">
                  <c:v>39.6023769230769</c:v>
                </c:pt>
                <c:pt idx="18">
                  <c:v>39.6023769230769</c:v>
                </c:pt>
                <c:pt idx="19">
                  <c:v>39.6023769230769</c:v>
                </c:pt>
                <c:pt idx="20">
                  <c:v>39.6023769230769</c:v>
                </c:pt>
                <c:pt idx="21">
                  <c:v>39.6023769230769</c:v>
                </c:pt>
                <c:pt idx="22">
                  <c:v>39.6023769230769</c:v>
                </c:pt>
                <c:pt idx="23">
                  <c:v>39.6023769230769</c:v>
                </c:pt>
                <c:pt idx="24">
                  <c:v>39.6023769230769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069895"/>
        <c:axId val="27371778"/>
      </c:lineChart>
      <c:catAx>
        <c:axId val="97069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71778"/>
        <c:crosses val="autoZero"/>
        <c:auto val="1"/>
        <c:lblAlgn val="ctr"/>
        <c:lblOffset val="100"/>
        <c:noMultiLvlLbl val="0"/>
      </c:catAx>
      <c:valAx>
        <c:axId val="27371778"/>
        <c:scaling>
          <c:orientation val="minMax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t-BR" sz="1000" spc="-1" strike="noStrike">
                    <a:solidFill>
                      <a:srgbClr val="000000"/>
                    </a:solidFill>
                    <a:latin typeface="Calibri"/>
                  </a:rPr>
                  <a:t>Média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#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698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"Amplitude"</c:f>
              <c:strCache>
                <c:ptCount val="1"/>
                <c:pt idx="0">
                  <c:v>Amplitude</c:v>
                </c:pt>
              </c:strCache>
            </c:strRef>
          </c:tx>
          <c:spPr>
            <a:solidFill>
              <a:srgbClr val="1e7b73"/>
            </a:solidFill>
            <a:ln w="22320">
              <a:solidFill>
                <a:srgbClr val="1e7b73"/>
              </a:solidFill>
              <a:round/>
            </a:ln>
          </c:spPr>
          <c:marker>
            <c:symbol val="circle"/>
            <c:size val="6"/>
            <c:spPr>
              <a:solidFill>
                <a:srgbClr val="1e7b73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Indústria'!$B$19:$B$43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'Exemplo 2 - Indústria'!$M$19:$M$43</c:f>
              <c:numCache>
                <c:formatCode>0.0##</c:formatCode>
                <c:ptCount val="25"/>
                <c:pt idx="0">
                  <c:v>0.5</c:v>
                </c:pt>
                <c:pt idx="1">
                  <c:v>0.5</c:v>
                </c:pt>
                <c:pt idx="2">
                  <c:v>0.700000000000003</c:v>
                </c:pt>
                <c:pt idx="3">
                  <c:v>0.5</c:v>
                </c:pt>
                <c:pt idx="4">
                  <c:v>1.2</c:v>
                </c:pt>
                <c:pt idx="5">
                  <c:v>1.4</c:v>
                </c:pt>
                <c:pt idx="6">
                  <c:v>0.899999999999999</c:v>
                </c:pt>
                <c:pt idx="7">
                  <c:v>0.799999999999997</c:v>
                </c:pt>
                <c:pt idx="8">
                  <c:v>0.800000000000004</c:v>
                </c:pt>
                <c:pt idx="9">
                  <c:v>0.399999999999999</c:v>
                </c:pt>
                <c:pt idx="10">
                  <c:v>0.299999999999997</c:v>
                </c:pt>
                <c:pt idx="11">
                  <c:v>0.600000000000001</c:v>
                </c:pt>
                <c:pt idx="12">
                  <c:v>0.600000000000001</c:v>
                </c:pt>
                <c:pt idx="13">
                  <c:v>0.5</c:v>
                </c:pt>
                <c:pt idx="14">
                  <c:v>1</c:v>
                </c:pt>
                <c:pt idx="15">
                  <c:v>0.5</c:v>
                </c:pt>
                <c:pt idx="16">
                  <c:v>0.900000000000006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0.899999999999999</c:v>
                </c:pt>
                <c:pt idx="21">
                  <c:v>0.799999999999997</c:v>
                </c:pt>
                <c:pt idx="22">
                  <c:v>0.899999999999999</c:v>
                </c:pt>
                <c:pt idx="23">
                  <c:v>1.2</c:v>
                </c:pt>
                <c:pt idx="24">
                  <c:v>1.2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"LSC de R"</c:f>
              <c:strCache>
                <c:ptCount val="1"/>
                <c:pt idx="0">
                  <c:v>LSC de R</c:v>
                </c:pt>
              </c:strCache>
            </c:strRef>
          </c:tx>
          <c:spPr>
            <a:solidFill>
              <a:srgbClr val="b0413e"/>
            </a:solidFill>
            <a:ln w="15840">
              <a:solidFill>
                <a:srgbClr val="b0413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Indústria'!$B$19:$B$43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'Exemplo 2 - Indústria'!$V$19:$V$43</c:f>
              <c:numCache>
                <c:formatCode>0.00#</c:formatCode>
                <c:ptCount val="25"/>
                <c:pt idx="0">
                  <c:v>1.34970769230769</c:v>
                </c:pt>
                <c:pt idx="1">
                  <c:v>1.34970769230769</c:v>
                </c:pt>
                <c:pt idx="2">
                  <c:v>1.34970769230769</c:v>
                </c:pt>
                <c:pt idx="3">
                  <c:v>1.34970769230769</c:v>
                </c:pt>
                <c:pt idx="4">
                  <c:v>1.34970769230769</c:v>
                </c:pt>
                <c:pt idx="5">
                  <c:v>1.34970769230769</c:v>
                </c:pt>
                <c:pt idx="6">
                  <c:v>1.34970769230769</c:v>
                </c:pt>
                <c:pt idx="7">
                  <c:v>1.34970769230769</c:v>
                </c:pt>
                <c:pt idx="8">
                  <c:v>1.34970769230769</c:v>
                </c:pt>
                <c:pt idx="9">
                  <c:v>1.34970769230769</c:v>
                </c:pt>
                <c:pt idx="10">
                  <c:v>1.34970769230769</c:v>
                </c:pt>
                <c:pt idx="11">
                  <c:v>1.34970769230769</c:v>
                </c:pt>
                <c:pt idx="12">
                  <c:v>1.34970769230769</c:v>
                </c:pt>
                <c:pt idx="13">
                  <c:v>1.34970769230769</c:v>
                </c:pt>
                <c:pt idx="14">
                  <c:v>1.34970769230769</c:v>
                </c:pt>
                <c:pt idx="15">
                  <c:v>1.34970769230769</c:v>
                </c:pt>
                <c:pt idx="16">
                  <c:v>1.34970769230769</c:v>
                </c:pt>
                <c:pt idx="17">
                  <c:v>1.34970769230769</c:v>
                </c:pt>
                <c:pt idx="18">
                  <c:v>1.34970769230769</c:v>
                </c:pt>
                <c:pt idx="19">
                  <c:v>1.34970769230769</c:v>
                </c:pt>
                <c:pt idx="20">
                  <c:v>1.34970769230769</c:v>
                </c:pt>
                <c:pt idx="21">
                  <c:v>1.34970769230769</c:v>
                </c:pt>
                <c:pt idx="22">
                  <c:v>1.34970769230769</c:v>
                </c:pt>
                <c:pt idx="23">
                  <c:v>1.34970769230769</c:v>
                </c:pt>
                <c:pt idx="24">
                  <c:v>1.34970769230769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"R̄"</c:f>
              <c:strCache>
                <c:ptCount val="1"/>
                <c:pt idx="0">
                  <c:v>R̄</c:v>
                </c:pt>
              </c:strCache>
            </c:strRef>
          </c:tx>
          <c:spPr>
            <a:solidFill>
              <a:srgbClr val="5b6b76"/>
            </a:solidFill>
            <a:ln w="12600">
              <a:solidFill>
                <a:srgbClr val="5b6b7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Indústria'!$B$19:$B$43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'Exemplo 2 - Indústria'!$W$19:$W$43</c:f>
              <c:numCache>
                <c:formatCode>0.00#</c:formatCode>
                <c:ptCount val="25"/>
                <c:pt idx="0">
                  <c:v>0.638461538461538</c:v>
                </c:pt>
                <c:pt idx="1">
                  <c:v>0.638461538461538</c:v>
                </c:pt>
                <c:pt idx="2">
                  <c:v>0.638461538461538</c:v>
                </c:pt>
                <c:pt idx="3">
                  <c:v>0.638461538461538</c:v>
                </c:pt>
                <c:pt idx="4">
                  <c:v>0.638461538461538</c:v>
                </c:pt>
                <c:pt idx="5">
                  <c:v>0.638461538461538</c:v>
                </c:pt>
                <c:pt idx="6">
                  <c:v>0.638461538461538</c:v>
                </c:pt>
                <c:pt idx="7">
                  <c:v>0.638461538461538</c:v>
                </c:pt>
                <c:pt idx="8">
                  <c:v>0.638461538461538</c:v>
                </c:pt>
                <c:pt idx="9">
                  <c:v>0.638461538461538</c:v>
                </c:pt>
                <c:pt idx="10">
                  <c:v>0.638461538461538</c:v>
                </c:pt>
                <c:pt idx="11">
                  <c:v>0.638461538461538</c:v>
                </c:pt>
                <c:pt idx="12">
                  <c:v>0.638461538461538</c:v>
                </c:pt>
                <c:pt idx="13">
                  <c:v>0.638461538461538</c:v>
                </c:pt>
                <c:pt idx="14">
                  <c:v>0.638461538461538</c:v>
                </c:pt>
                <c:pt idx="15">
                  <c:v>0.638461538461538</c:v>
                </c:pt>
                <c:pt idx="16">
                  <c:v>0.638461538461538</c:v>
                </c:pt>
                <c:pt idx="17">
                  <c:v>0.638461538461538</c:v>
                </c:pt>
                <c:pt idx="18">
                  <c:v>0.638461538461538</c:v>
                </c:pt>
                <c:pt idx="19">
                  <c:v>0.638461538461538</c:v>
                </c:pt>
                <c:pt idx="20">
                  <c:v>0.638461538461538</c:v>
                </c:pt>
                <c:pt idx="21">
                  <c:v>0.638461538461538</c:v>
                </c:pt>
                <c:pt idx="22">
                  <c:v>0.638461538461538</c:v>
                </c:pt>
                <c:pt idx="23">
                  <c:v>0.638461538461538</c:v>
                </c:pt>
                <c:pt idx="24">
                  <c:v>0.638461538461538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80447"/>
        <c:axId val="66446570"/>
      </c:lineChart>
      <c:catAx>
        <c:axId val="408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46570"/>
        <c:crosses val="autoZero"/>
        <c:auto val="1"/>
        <c:lblAlgn val="ctr"/>
        <c:lblOffset val="100"/>
        <c:noMultiLvlLbl val="0"/>
      </c:catAx>
      <c:valAx>
        <c:axId val="66446570"/>
        <c:scaling>
          <c:orientation val="minMax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t-BR" sz="1000" spc="-1" strike="noStrike">
                    <a:solidFill>
                      <a:srgbClr val="000000"/>
                    </a:solidFill>
                    <a:latin typeface="Calibri"/>
                  </a:rPr>
                  <a:t>Amplitude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#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04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25</xdr:col>
      <xdr:colOff>187200</xdr:colOff>
      <xdr:row>17</xdr:row>
      <xdr:rowOff>32400</xdr:rowOff>
    </xdr:to>
    <xdr:graphicFrame>
      <xdr:nvGraphicFramePr>
        <xdr:cNvPr id="0" name="Chart 1"/>
        <xdr:cNvGraphicFramePr/>
      </xdr:nvGraphicFramePr>
      <xdr:xfrm>
        <a:off x="6132240" y="838080"/>
        <a:ext cx="93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0</xdr:rowOff>
    </xdr:from>
    <xdr:to>
      <xdr:col>25</xdr:col>
      <xdr:colOff>187200</xdr:colOff>
      <xdr:row>33</xdr:row>
      <xdr:rowOff>32760</xdr:rowOff>
    </xdr:to>
    <xdr:graphicFrame>
      <xdr:nvGraphicFramePr>
        <xdr:cNvPr id="1" name="Chart 2"/>
        <xdr:cNvGraphicFramePr/>
      </xdr:nvGraphicFramePr>
      <xdr:xfrm>
        <a:off x="6132240" y="3886200"/>
        <a:ext cx="93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16</xdr:col>
      <xdr:colOff>364680</xdr:colOff>
      <xdr:row>18</xdr:row>
      <xdr:rowOff>21960</xdr:rowOff>
    </xdr:to>
    <xdr:graphicFrame>
      <xdr:nvGraphicFramePr>
        <xdr:cNvPr id="2" name="Chart 1"/>
        <xdr:cNvGraphicFramePr/>
      </xdr:nvGraphicFramePr>
      <xdr:xfrm>
        <a:off x="4229280" y="8380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45</xdr:row>
      <xdr:rowOff>0</xdr:rowOff>
    </xdr:from>
    <xdr:to>
      <xdr:col>9</xdr:col>
      <xdr:colOff>622080</xdr:colOff>
      <xdr:row>58</xdr:row>
      <xdr:rowOff>43200</xdr:rowOff>
    </xdr:to>
    <xdr:graphicFrame>
      <xdr:nvGraphicFramePr>
        <xdr:cNvPr id="3" name="Chart 1"/>
        <xdr:cNvGraphicFramePr/>
      </xdr:nvGraphicFramePr>
      <xdr:xfrm>
        <a:off x="141120" y="11153880"/>
        <a:ext cx="61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45</xdr:row>
      <xdr:rowOff>0</xdr:rowOff>
    </xdr:from>
    <xdr:to>
      <xdr:col>15</xdr:col>
      <xdr:colOff>339840</xdr:colOff>
      <xdr:row>58</xdr:row>
      <xdr:rowOff>43200</xdr:rowOff>
    </xdr:to>
    <xdr:graphicFrame>
      <xdr:nvGraphicFramePr>
        <xdr:cNvPr id="4" name="Chart 2"/>
        <xdr:cNvGraphicFramePr/>
      </xdr:nvGraphicFramePr>
      <xdr:xfrm>
        <a:off x="6343560" y="11153880"/>
        <a:ext cx="61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45</xdr:row>
      <xdr:rowOff>0</xdr:rowOff>
    </xdr:from>
    <xdr:to>
      <xdr:col>9</xdr:col>
      <xdr:colOff>622080</xdr:colOff>
      <xdr:row>58</xdr:row>
      <xdr:rowOff>43200</xdr:rowOff>
    </xdr:to>
    <xdr:graphicFrame>
      <xdr:nvGraphicFramePr>
        <xdr:cNvPr id="5" name="Chart 1"/>
        <xdr:cNvGraphicFramePr/>
      </xdr:nvGraphicFramePr>
      <xdr:xfrm>
        <a:off x="141120" y="11306160"/>
        <a:ext cx="61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45</xdr:row>
      <xdr:rowOff>0</xdr:rowOff>
    </xdr:from>
    <xdr:to>
      <xdr:col>15</xdr:col>
      <xdr:colOff>339840</xdr:colOff>
      <xdr:row>58</xdr:row>
      <xdr:rowOff>43200</xdr:rowOff>
    </xdr:to>
    <xdr:graphicFrame>
      <xdr:nvGraphicFramePr>
        <xdr:cNvPr id="6" name="Chart 2"/>
        <xdr:cNvGraphicFramePr/>
      </xdr:nvGraphicFramePr>
      <xdr:xfrm>
        <a:off x="6343560" y="11306160"/>
        <a:ext cx="61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31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7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10" customFormat="false" ht="21.75" hidden="false" customHeight="true" outlineLevel="0" collapsed="false">
      <c r="B10" s="3" t="s">
        <v>11</v>
      </c>
      <c r="C10" s="3"/>
    </row>
    <row r="11" customFormat="false" ht="19.5" hidden="false" customHeight="true" outlineLevel="0" collapsed="false">
      <c r="B11" s="4" t="s">
        <v>12</v>
      </c>
      <c r="C11" s="7" t="s">
        <v>13</v>
      </c>
    </row>
    <row r="12" customFormat="false" ht="31.5" hidden="false" customHeight="true" outlineLevel="0" collapsed="false">
      <c r="B12" s="4" t="s">
        <v>14</v>
      </c>
      <c r="C12" s="7" t="s">
        <v>15</v>
      </c>
    </row>
    <row r="13" customFormat="false" ht="31.5" hidden="false" customHeight="true" outlineLevel="0" collapsed="false">
      <c r="B13" s="4" t="s">
        <v>16</v>
      </c>
      <c r="C13" s="7" t="s">
        <v>17</v>
      </c>
    </row>
    <row r="14" customFormat="false" ht="31.5" hidden="false" customHeight="true" outlineLevel="0" collapsed="false">
      <c r="B14" s="4" t="s">
        <v>18</v>
      </c>
      <c r="C14" s="7" t="s">
        <v>19</v>
      </c>
    </row>
    <row r="15" customFormat="false" ht="31.5" hidden="false" customHeight="true" outlineLevel="0" collapsed="false">
      <c r="B15" s="4" t="s">
        <v>20</v>
      </c>
      <c r="C15" s="7" t="s">
        <v>21</v>
      </c>
    </row>
    <row r="16" customFormat="false" ht="31.5" hidden="false" customHeight="true" outlineLevel="0" collapsed="false">
      <c r="B16" s="4" t="s">
        <v>22</v>
      </c>
      <c r="C16" s="7" t="s">
        <v>23</v>
      </c>
    </row>
    <row r="18" customFormat="false" ht="21.75" hidden="false" customHeight="true" outlineLevel="0" collapsed="false">
      <c r="B18" s="3" t="s">
        <v>24</v>
      </c>
      <c r="C18" s="3"/>
    </row>
    <row r="19" customFormat="false" ht="19.5" hidden="false" customHeight="true" outlineLevel="0" collapsed="false">
      <c r="B19" s="4" t="s">
        <v>25</v>
      </c>
      <c r="C19" s="7" t="s">
        <v>26</v>
      </c>
    </row>
    <row r="20" customFormat="false" ht="19.5" hidden="false" customHeight="true" outlineLevel="0" collapsed="false">
      <c r="B20" s="4" t="s">
        <v>27</v>
      </c>
      <c r="C20" s="7" t="s">
        <v>28</v>
      </c>
    </row>
    <row r="21" customFormat="false" ht="31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5" customFormat="false" ht="21.75" hidden="false" customHeight="true" outlineLevel="0" collapsed="false">
      <c r="B25" s="3" t="s">
        <v>35</v>
      </c>
      <c r="C25" s="3"/>
    </row>
    <row r="26" customFormat="false" ht="19.5" hidden="false" customHeight="true" outlineLevel="0" collapsed="false">
      <c r="B26" s="4" t="s">
        <v>36</v>
      </c>
      <c r="C26" s="7" t="s">
        <v>37</v>
      </c>
    </row>
    <row r="27" customFormat="false" ht="19.5" hidden="false" customHeight="true" outlineLevel="0" collapsed="false">
      <c r="B27" s="4" t="s">
        <v>38</v>
      </c>
      <c r="C27" s="7" t="s">
        <v>39</v>
      </c>
    </row>
    <row r="28" customFormat="false" ht="19.5" hidden="false" customHeight="true" outlineLevel="0" collapsed="false">
      <c r="B28" s="4" t="s">
        <v>22</v>
      </c>
      <c r="C28" s="7" t="s">
        <v>40</v>
      </c>
    </row>
    <row r="29" customFormat="false" ht="19.5" hidden="false" customHeight="true" outlineLevel="0" collapsed="false">
      <c r="B29" s="4" t="s">
        <v>41</v>
      </c>
      <c r="C29" s="7" t="s">
        <v>42</v>
      </c>
    </row>
    <row r="30" customFormat="false" ht="19.5" hidden="false" customHeight="true" outlineLevel="0" collapsed="false">
      <c r="B30" s="4" t="s">
        <v>43</v>
      </c>
      <c r="C30" s="7" t="s">
        <v>44</v>
      </c>
    </row>
    <row r="31" customFormat="false" ht="19.5" hidden="false" customHeight="true" outlineLevel="0" collapsed="false">
      <c r="B31" s="4" t="s">
        <v>45</v>
      </c>
      <c r="C31" s="7" t="s">
        <v>46</v>
      </c>
    </row>
    <row r="32" customFormat="false" ht="19.5" hidden="false" customHeight="true" outlineLevel="0" collapsed="false">
      <c r="B32" s="4" t="s">
        <v>47</v>
      </c>
      <c r="C32" s="7" t="s">
        <v>48</v>
      </c>
    </row>
    <row r="34" customFormat="false" ht="21.75" hidden="false" customHeight="true" outlineLevel="0" collapsed="false">
      <c r="B34" s="3" t="s">
        <v>49</v>
      </c>
      <c r="C34" s="3"/>
    </row>
    <row r="35" customFormat="false" ht="31.5" hidden="false" customHeight="true" outlineLevel="0" collapsed="false">
      <c r="B35" s="4" t="s">
        <v>50</v>
      </c>
      <c r="C35" s="7" t="s">
        <v>51</v>
      </c>
    </row>
    <row r="36" customFormat="false" ht="31.5" hidden="false" customHeight="true" outlineLevel="0" collapsed="false">
      <c r="B36" s="4" t="s">
        <v>52</v>
      </c>
      <c r="C36" s="7" t="s">
        <v>53</v>
      </c>
    </row>
    <row r="37" customFormat="false" ht="19.5" hidden="false" customHeight="true" outlineLevel="0" collapsed="false">
      <c r="B37" s="4" t="s">
        <v>54</v>
      </c>
      <c r="C37" s="7" t="s">
        <v>55</v>
      </c>
    </row>
  </sheetData>
  <mergeCells count="7">
    <mergeCell ref="B1:C1"/>
    <mergeCell ref="B2:C2"/>
    <mergeCell ref="B4:C4"/>
    <mergeCell ref="B10:C10"/>
    <mergeCell ref="B18:C18"/>
    <mergeCell ref="B25:C25"/>
    <mergeCell ref="B34:C3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Q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9" min="5" style="0" width="9"/>
    <col collapsed="false" customWidth="true" hidden="false" outlineLevel="0" max="10" min="10" style="0" width="10"/>
    <col collapsed="false" customWidth="true" hidden="false" outlineLevel="0" max="11" min="11" style="0" width="34"/>
    <col collapsed="false" customWidth="true" hidden="false" outlineLevel="0" max="13" min="12" style="0" width="11"/>
    <col collapsed="false" customWidth="true" hidden="false" outlineLevel="0" max="14" min="14" style="0" width="16"/>
    <col collapsed="false" customWidth="true" hidden="false" outlineLevel="0" max="15" min="15" style="0" width="10"/>
    <col collapsed="false" customWidth="true" hidden="false" outlineLevel="0" max="16" min="16" style="0" width="24"/>
    <col collapsed="false" customWidth="true" hidden="false" outlineLevel="0" max="17" min="17" style="0" width="18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56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57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B4" s="4" t="s">
        <v>58</v>
      </c>
      <c r="C4" s="4"/>
      <c r="D4" s="4"/>
      <c r="E4" s="5"/>
      <c r="F4" s="5"/>
      <c r="G4" s="5"/>
      <c r="H4" s="5"/>
      <c r="I4" s="5"/>
      <c r="K4" s="4" t="s">
        <v>59</v>
      </c>
      <c r="L4" s="8" t="n">
        <f aca="false">COUNTIF($N$13:$N$42,"Base")</f>
        <v>0</v>
      </c>
      <c r="M4" s="8"/>
      <c r="N4" s="9" t="s">
        <v>60</v>
      </c>
      <c r="O4" s="9"/>
      <c r="P4" s="9"/>
      <c r="Q4" s="9"/>
    </row>
    <row r="5" customFormat="false" ht="19.5" hidden="false" customHeight="true" outlineLevel="0" collapsed="false">
      <c r="B5" s="4" t="s">
        <v>61</v>
      </c>
      <c r="C5" s="4"/>
      <c r="D5" s="4"/>
      <c r="E5" s="5"/>
      <c r="F5" s="5"/>
      <c r="G5" s="5"/>
      <c r="H5" s="5"/>
      <c r="I5" s="5"/>
      <c r="K5" s="4" t="s">
        <v>62</v>
      </c>
      <c r="L5" s="10" t="str">
        <f aca="false">IF($L$4=0,"",AVERAGEIF($N$13:$N$42,"Base",$L$13:$L$42))</f>
        <v/>
      </c>
      <c r="M5" s="10"/>
      <c r="N5" s="9" t="s">
        <v>63</v>
      </c>
      <c r="O5" s="9"/>
      <c r="P5" s="9"/>
      <c r="Q5" s="9"/>
    </row>
    <row r="6" customFormat="false" ht="19.5" hidden="false" customHeight="true" outlineLevel="0" collapsed="false">
      <c r="B6" s="4" t="s">
        <v>64</v>
      </c>
      <c r="C6" s="4"/>
      <c r="D6" s="4"/>
      <c r="E6" s="11"/>
      <c r="F6" s="11"/>
      <c r="G6" s="11"/>
      <c r="H6" s="11"/>
      <c r="I6" s="11"/>
      <c r="K6" s="4" t="s">
        <v>65</v>
      </c>
      <c r="L6" s="10" t="str">
        <f aca="false">IF($L$5="","",$L$5+0.577*$L$8)</f>
        <v/>
      </c>
      <c r="M6" s="10"/>
      <c r="N6" s="9" t="s">
        <v>66</v>
      </c>
      <c r="O6" s="9"/>
      <c r="P6" s="9"/>
      <c r="Q6" s="9"/>
    </row>
    <row r="7" customFormat="false" ht="19.5" hidden="false" customHeight="true" outlineLevel="0" collapsed="false">
      <c r="B7" s="4" t="s">
        <v>67</v>
      </c>
      <c r="C7" s="4"/>
      <c r="D7" s="4"/>
      <c r="E7" s="11"/>
      <c r="F7" s="11"/>
      <c r="G7" s="11"/>
      <c r="H7" s="11"/>
      <c r="I7" s="11"/>
      <c r="K7" s="4" t="s">
        <v>68</v>
      </c>
      <c r="L7" s="10" t="str">
        <f aca="false">IF($L$5="","",$L$5-0.577*$L$8)</f>
        <v/>
      </c>
      <c r="M7" s="10"/>
      <c r="N7" s="9" t="s">
        <v>69</v>
      </c>
      <c r="O7" s="9"/>
      <c r="P7" s="9"/>
      <c r="Q7" s="9"/>
    </row>
    <row r="8" customFormat="false" ht="19.5" hidden="false" customHeight="true" outlineLevel="0" collapsed="false">
      <c r="B8" s="4" t="s">
        <v>70</v>
      </c>
      <c r="C8" s="4"/>
      <c r="D8" s="4"/>
      <c r="E8" s="12"/>
      <c r="F8" s="12"/>
      <c r="G8" s="12"/>
      <c r="H8" s="12"/>
      <c r="I8" s="12"/>
      <c r="K8" s="4" t="s">
        <v>71</v>
      </c>
      <c r="L8" s="10" t="str">
        <f aca="false">IF($L$4=0,"",AVERAGEIF($N$13:$N$42,"Base",$M$13:$M$42))</f>
        <v/>
      </c>
      <c r="M8" s="10"/>
      <c r="N8" s="9" t="s">
        <v>72</v>
      </c>
      <c r="O8" s="9"/>
      <c r="P8" s="9"/>
      <c r="Q8" s="9"/>
    </row>
    <row r="9" customFormat="false" ht="15" hidden="false" customHeight="true" outlineLevel="0" collapsed="false">
      <c r="B9" s="4" t="s">
        <v>73</v>
      </c>
      <c r="C9" s="4"/>
      <c r="D9" s="4"/>
      <c r="E9" s="13" t="n">
        <v>5</v>
      </c>
      <c r="F9" s="13"/>
      <c r="G9" s="13"/>
      <c r="H9" s="13"/>
      <c r="I9" s="13"/>
      <c r="K9" s="4" t="s">
        <v>74</v>
      </c>
      <c r="L9" s="10" t="str">
        <f aca="false">IF($L$8="","",2.114*$L$8)</f>
        <v/>
      </c>
      <c r="M9" s="10"/>
      <c r="N9" s="9" t="s">
        <v>75</v>
      </c>
      <c r="O9" s="9"/>
      <c r="P9" s="9"/>
      <c r="Q9" s="9"/>
    </row>
    <row r="10" customFormat="false" ht="15" hidden="false" customHeight="true" outlineLevel="0" collapsed="false">
      <c r="K10" s="4" t="s">
        <v>76</v>
      </c>
      <c r="L10" s="14" t="str">
        <f aca="false">IF($L$8="","",$L$8/2.326)</f>
        <v/>
      </c>
      <c r="M10" s="14"/>
      <c r="N10" s="9" t="s">
        <v>77</v>
      </c>
      <c r="O10" s="9"/>
      <c r="P10" s="9"/>
      <c r="Q10" s="9"/>
    </row>
    <row r="12" customFormat="false" ht="33" hidden="false" customHeight="true" outlineLevel="0" collapsed="false">
      <c r="B12" s="15" t="s">
        <v>78</v>
      </c>
      <c r="C12" s="15" t="s">
        <v>79</v>
      </c>
      <c r="D12" s="15" t="s">
        <v>80</v>
      </c>
      <c r="E12" s="15" t="s">
        <v>81</v>
      </c>
      <c r="F12" s="15" t="s">
        <v>82</v>
      </c>
      <c r="G12" s="15" t="s">
        <v>83</v>
      </c>
      <c r="H12" s="15" t="s">
        <v>84</v>
      </c>
      <c r="I12" s="15" t="s">
        <v>85</v>
      </c>
      <c r="J12" s="15" t="s">
        <v>86</v>
      </c>
      <c r="K12" s="15" t="s">
        <v>87</v>
      </c>
      <c r="L12" s="15" t="s">
        <v>88</v>
      </c>
      <c r="M12" s="15" t="s">
        <v>89</v>
      </c>
      <c r="N12" s="15" t="s">
        <v>14</v>
      </c>
      <c r="O12" s="15" t="s">
        <v>90</v>
      </c>
      <c r="P12" s="15" t="s">
        <v>91</v>
      </c>
      <c r="Q12" s="15" t="s">
        <v>92</v>
      </c>
    </row>
    <row r="13" customFormat="false" ht="19.5" hidden="false" customHeight="true" outlineLevel="0" collapsed="false">
      <c r="B13" s="16" t="n">
        <v>1</v>
      </c>
      <c r="C13" s="17"/>
      <c r="D13" s="5"/>
      <c r="E13" s="11"/>
      <c r="F13" s="11"/>
      <c r="G13" s="11"/>
      <c r="H13" s="11"/>
      <c r="I13" s="11"/>
      <c r="J13" s="11"/>
      <c r="K13" s="5"/>
      <c r="L13" s="18" t="str">
        <f aca="false">IF(COUNT(E13:I13)=5,AVERAGE(E13:I13),"")</f>
        <v/>
      </c>
      <c r="M13" s="19" t="str">
        <f aca="false">IF(COUNT(E13:I13)=5,MAX(E13:I13)-MIN(E13:I13),"")</f>
        <v/>
      </c>
      <c r="N13" s="20" t="str">
        <f aca="false">IF(L13="","",IF(J13="Sim","Excluído",IF(OR($E$8="",B13&lt;=$E$8),"Base","Acompanhamento")))</f>
        <v/>
      </c>
      <c r="O13" s="21" t="str">
        <f aca="false">IF(OR(COUNT(E13:I13)=0,$E$6="",$E$7=""),"",COUNTIF(E13:I13,"&lt;"&amp;$E$6)+COUNTIF(E13:I13,"&gt;"&amp;$E$7))</f>
        <v/>
      </c>
      <c r="P13" s="22" t="str">
        <f aca="false">IF(OR(L13="",$L$5=""),"",IF(OR(L13&gt;$L$6,L13&lt;$L$7),"Média fora dos limites",IF(M13&gt;$L$9,"Amplitude fora do limite",IF(FALSE(),"7 do mesmo lado",IF(FALSE(),"6 subindo ou descendo","")))))</f>
        <v/>
      </c>
      <c r="Q13" s="22" t="str">
        <f aca="false">IF(COUNT(E13:I13)+LEN(C13)+LEN(D13)+LEN(J13)=0,"",IF(AND(COUNT(E13:I13)&gt;0,COUNT(E13:I13)&lt;5),"Faltam medições",IF(AND(COUNT(E13:I13)&gt;0,C13=""),"Falta a data",IF(AND(J13="Sim",K13=""),"Falta o motivo",IF(COUNT(E13:I13)=0,"Faltam medições","OK")))))</f>
        <v/>
      </c>
    </row>
    <row r="14" customFormat="false" ht="19.5" hidden="false" customHeight="true" outlineLevel="0" collapsed="false">
      <c r="B14" s="16" t="n">
        <v>2</v>
      </c>
      <c r="C14" s="17"/>
      <c r="D14" s="5"/>
      <c r="E14" s="11"/>
      <c r="F14" s="11"/>
      <c r="G14" s="11"/>
      <c r="H14" s="11"/>
      <c r="I14" s="11"/>
      <c r="J14" s="11"/>
      <c r="K14" s="5"/>
      <c r="L14" s="18" t="str">
        <f aca="false">IF(COUNT(E14:I14)=5,AVERAGE(E14:I14),"")</f>
        <v/>
      </c>
      <c r="M14" s="19" t="str">
        <f aca="false">IF(COUNT(E14:I14)=5,MAX(E14:I14)-MIN(E14:I14),"")</f>
        <v/>
      </c>
      <c r="N14" s="20" t="str">
        <f aca="false">IF(L14="","",IF(J14="Sim","Excluído",IF(OR($E$8="",B14&lt;=$E$8),"Base","Acompanhamento")))</f>
        <v/>
      </c>
      <c r="O14" s="21" t="str">
        <f aca="false">IF(OR(COUNT(E14:I14)=0,$E$6="",$E$7=""),"",COUNTIF(E14:I14,"&lt;"&amp;$E$6)+COUNTIF(E14:I14,"&gt;"&amp;$E$7))</f>
        <v/>
      </c>
      <c r="P14" s="22" t="str">
        <f aca="false">IF(OR(L14="",$L$5=""),"",IF(OR(L14&gt;$L$6,L14&lt;$L$7),"Média fora dos limites",IF(M14&gt;$L$9,"Amplitude fora do limite",IF(FALSE(),"7 do mesmo lado",IF(FALSE(),"6 subindo ou descendo","")))))</f>
        <v/>
      </c>
      <c r="Q14" s="22" t="str">
        <f aca="false">IF(COUNT(E14:I14)+LEN(C14)+LEN(D14)+LEN(J14)=0,"",IF(AND(COUNT(E14:I14)&gt;0,COUNT(E14:I14)&lt;5),"Faltam medições",IF(AND(COUNT(E14:I14)&gt;0,C14=""),"Falta a data",IF(AND(J14="Sim",K14=""),"Falta o motivo",IF(COUNT(E14:I14)=0,"Faltam medições","OK")))))</f>
        <v/>
      </c>
    </row>
    <row r="15" customFormat="false" ht="19.5" hidden="false" customHeight="true" outlineLevel="0" collapsed="false">
      <c r="B15" s="16" t="n">
        <v>3</v>
      </c>
      <c r="C15" s="17"/>
      <c r="D15" s="5"/>
      <c r="E15" s="11"/>
      <c r="F15" s="11"/>
      <c r="G15" s="11"/>
      <c r="H15" s="11"/>
      <c r="I15" s="11"/>
      <c r="J15" s="11"/>
      <c r="K15" s="5"/>
      <c r="L15" s="18" t="str">
        <f aca="false">IF(COUNT(E15:I15)=5,AVERAGE(E15:I15),"")</f>
        <v/>
      </c>
      <c r="M15" s="19" t="str">
        <f aca="false">IF(COUNT(E15:I15)=5,MAX(E15:I15)-MIN(E15:I15),"")</f>
        <v/>
      </c>
      <c r="N15" s="20" t="str">
        <f aca="false">IF(L15="","",IF(J15="Sim","Excluído",IF(OR($E$8="",B15&lt;=$E$8),"Base","Acompanhamento")))</f>
        <v/>
      </c>
      <c r="O15" s="21" t="str">
        <f aca="false">IF(OR(COUNT(E15:I15)=0,$E$6="",$E$7=""),"",COUNTIF(E15:I15,"&lt;"&amp;$E$6)+COUNTIF(E15:I15,"&gt;"&amp;$E$7))</f>
        <v/>
      </c>
      <c r="P15" s="22" t="str">
        <f aca="false">IF(OR(L15="",$L$5=""),"",IF(OR(L15&gt;$L$6,L15&lt;$L$7),"Média fora dos limites",IF(M15&gt;$L$9,"Amplitude fora do limite",IF(FALSE(),"7 do mesmo lado",IF(FALSE(),"6 subindo ou descendo","")))))</f>
        <v/>
      </c>
      <c r="Q15" s="22" t="str">
        <f aca="false">IF(COUNT(E15:I15)+LEN(C15)+LEN(D15)+LEN(J15)=0,"",IF(AND(COUNT(E15:I15)&gt;0,COUNT(E15:I15)&lt;5),"Faltam medições",IF(AND(COUNT(E15:I15)&gt;0,C15=""),"Falta a data",IF(AND(J15="Sim",K15=""),"Falta o motivo",IF(COUNT(E15:I15)=0,"Faltam medições","OK")))))</f>
        <v/>
      </c>
    </row>
    <row r="16" customFormat="false" ht="19.5" hidden="false" customHeight="true" outlineLevel="0" collapsed="false">
      <c r="B16" s="16" t="n">
        <v>4</v>
      </c>
      <c r="C16" s="17"/>
      <c r="D16" s="5"/>
      <c r="E16" s="11"/>
      <c r="F16" s="11"/>
      <c r="G16" s="11"/>
      <c r="H16" s="11"/>
      <c r="I16" s="11"/>
      <c r="J16" s="11"/>
      <c r="K16" s="5"/>
      <c r="L16" s="18" t="str">
        <f aca="false">IF(COUNT(E16:I16)=5,AVERAGE(E16:I16),"")</f>
        <v/>
      </c>
      <c r="M16" s="19" t="str">
        <f aca="false">IF(COUNT(E16:I16)=5,MAX(E16:I16)-MIN(E16:I16),"")</f>
        <v/>
      </c>
      <c r="N16" s="20" t="str">
        <f aca="false">IF(L16="","",IF(J16="Sim","Excluído",IF(OR($E$8="",B16&lt;=$E$8),"Base","Acompanhamento")))</f>
        <v/>
      </c>
      <c r="O16" s="21" t="str">
        <f aca="false">IF(OR(COUNT(E16:I16)=0,$E$6="",$E$7=""),"",COUNTIF(E16:I16,"&lt;"&amp;$E$6)+COUNTIF(E16:I16,"&gt;"&amp;$E$7))</f>
        <v/>
      </c>
      <c r="P16" s="22" t="str">
        <f aca="false">IF(OR(L16="",$L$5=""),"",IF(OR(L16&gt;$L$6,L16&lt;$L$7),"Média fora dos limites",IF(M16&gt;$L$9,"Amplitude fora do limite",IF(FALSE(),"7 do mesmo lado",IF(FALSE(),"6 subindo ou descendo","")))))</f>
        <v/>
      </c>
      <c r="Q16" s="22" t="str">
        <f aca="false">IF(COUNT(E16:I16)+LEN(C16)+LEN(D16)+LEN(J16)=0,"",IF(AND(COUNT(E16:I16)&gt;0,COUNT(E16:I16)&lt;5),"Faltam medições",IF(AND(COUNT(E16:I16)&gt;0,C16=""),"Falta a data",IF(AND(J16="Sim",K16=""),"Falta o motivo",IF(COUNT(E16:I16)=0,"Faltam medições","OK")))))</f>
        <v/>
      </c>
    </row>
    <row r="17" customFormat="false" ht="19.5" hidden="false" customHeight="true" outlineLevel="0" collapsed="false">
      <c r="B17" s="16" t="n">
        <v>5</v>
      </c>
      <c r="C17" s="17"/>
      <c r="D17" s="5"/>
      <c r="E17" s="11"/>
      <c r="F17" s="11"/>
      <c r="G17" s="11"/>
      <c r="H17" s="11"/>
      <c r="I17" s="11"/>
      <c r="J17" s="11"/>
      <c r="K17" s="5"/>
      <c r="L17" s="18" t="str">
        <f aca="false">IF(COUNT(E17:I17)=5,AVERAGE(E17:I17),"")</f>
        <v/>
      </c>
      <c r="M17" s="19" t="str">
        <f aca="false">IF(COUNT(E17:I17)=5,MAX(E17:I17)-MIN(E17:I17),"")</f>
        <v/>
      </c>
      <c r="N17" s="20" t="str">
        <f aca="false">IF(L17="","",IF(J17="Sim","Excluído",IF(OR($E$8="",B17&lt;=$E$8),"Base","Acompanhamento")))</f>
        <v/>
      </c>
      <c r="O17" s="21" t="str">
        <f aca="false">IF(OR(COUNT(E17:I17)=0,$E$6="",$E$7=""),"",COUNTIF(E17:I17,"&lt;"&amp;$E$6)+COUNTIF(E17:I17,"&gt;"&amp;$E$7))</f>
        <v/>
      </c>
      <c r="P17" s="22" t="str">
        <f aca="false">IF(OR(L17="",$L$5=""),"",IF(OR(L17&gt;$L$6,L17&lt;$L$7),"Média fora dos limites",IF(M17&gt;$L$9,"Amplitude fora do limite",IF(FALSE(),"7 do mesmo lado",IF(FALSE(),"6 subindo ou descendo","")))))</f>
        <v/>
      </c>
      <c r="Q17" s="22" t="str">
        <f aca="false">IF(COUNT(E17:I17)+LEN(C17)+LEN(D17)+LEN(J17)=0,"",IF(AND(COUNT(E17:I17)&gt;0,COUNT(E17:I17)&lt;5),"Faltam medições",IF(AND(COUNT(E17:I17)&gt;0,C17=""),"Falta a data",IF(AND(J17="Sim",K17=""),"Falta o motivo",IF(COUNT(E17:I17)=0,"Faltam medições","OK")))))</f>
        <v/>
      </c>
    </row>
    <row r="18" customFormat="false" ht="19.5" hidden="false" customHeight="true" outlineLevel="0" collapsed="false">
      <c r="B18" s="16" t="n">
        <v>6</v>
      </c>
      <c r="C18" s="17"/>
      <c r="D18" s="5"/>
      <c r="E18" s="11"/>
      <c r="F18" s="11"/>
      <c r="G18" s="11"/>
      <c r="H18" s="11"/>
      <c r="I18" s="11"/>
      <c r="J18" s="11"/>
      <c r="K18" s="5"/>
      <c r="L18" s="18" t="str">
        <f aca="false">IF(COUNT(E18:I18)=5,AVERAGE(E18:I18),"")</f>
        <v/>
      </c>
      <c r="M18" s="19" t="str">
        <f aca="false">IF(COUNT(E18:I18)=5,MAX(E18:I18)-MIN(E18:I18),"")</f>
        <v/>
      </c>
      <c r="N18" s="20" t="str">
        <f aca="false">IF(L18="","",IF(J18="Sim","Excluído",IF(OR($E$8="",B18&lt;=$E$8),"Base","Acompanhamento")))</f>
        <v/>
      </c>
      <c r="O18" s="21" t="str">
        <f aca="false">IF(OR(COUNT(E18:I18)=0,$E$6="",$E$7=""),"",COUNTIF(E18:I18,"&lt;"&amp;$E$6)+COUNTIF(E18:I18,"&gt;"&amp;$E$7))</f>
        <v/>
      </c>
      <c r="P18" s="22" t="str">
        <f aca="false">IF(OR(L18="",$L$5=""),"",IF(OR(L18&gt;$L$6,L18&lt;$L$7),"Média fora dos limites",IF(M18&gt;$L$9,"Amplitude fora do limite",IF(FALSE(),"7 do mesmo lado",IF(AND(COUNT(L13:L18)=6,OR(AND(L18&gt;L17,L17&gt;L16,L16&gt;L15,L15&gt;L14,L14&gt;L13),AND(L18&lt;L17,L17&lt;L16,L16&lt;L15,L15&lt;L14,L14&lt;L13))),"6 subindo ou descendo","")))))</f>
        <v/>
      </c>
      <c r="Q18" s="22" t="str">
        <f aca="false">IF(COUNT(E18:I18)+LEN(C18)+LEN(D18)+LEN(J18)=0,"",IF(AND(COUNT(E18:I18)&gt;0,COUNT(E18:I18)&lt;5),"Faltam medições",IF(AND(COUNT(E18:I18)&gt;0,C18=""),"Falta a data",IF(AND(J18="Sim",K18=""),"Falta o motivo",IF(COUNT(E18:I18)=0,"Faltam medições","OK")))))</f>
        <v/>
      </c>
    </row>
    <row r="19" customFormat="false" ht="19.5" hidden="false" customHeight="true" outlineLevel="0" collapsed="false">
      <c r="B19" s="16" t="n">
        <v>7</v>
      </c>
      <c r="C19" s="17"/>
      <c r="D19" s="5"/>
      <c r="E19" s="11"/>
      <c r="F19" s="11"/>
      <c r="G19" s="11"/>
      <c r="H19" s="11"/>
      <c r="I19" s="11"/>
      <c r="J19" s="11"/>
      <c r="K19" s="5"/>
      <c r="L19" s="18" t="str">
        <f aca="false">IF(COUNT(E19:I19)=5,AVERAGE(E19:I19),"")</f>
        <v/>
      </c>
      <c r="M19" s="19" t="str">
        <f aca="false">IF(COUNT(E19:I19)=5,MAX(E19:I19)-MIN(E19:I19),"")</f>
        <v/>
      </c>
      <c r="N19" s="20" t="str">
        <f aca="false">IF(L19="","",IF(J19="Sim","Excluído",IF(OR($E$8="",B19&lt;=$E$8),"Base","Acompanhamento")))</f>
        <v/>
      </c>
      <c r="O19" s="21" t="str">
        <f aca="false">IF(OR(COUNT(E19:I19)=0,$E$6="",$E$7=""),"",COUNTIF(E19:I19,"&lt;"&amp;$E$6)+COUNTIF(E19:I19,"&gt;"&amp;$E$7))</f>
        <v/>
      </c>
      <c r="P19" s="22" t="str">
        <f aca="false">IF(OR(L19="",$L$5=""),"",IF(OR(L19&gt;$L$6,L19&lt;$L$7),"Média fora dos limites",IF(M19&gt;$L$9,"Amplitude fora do limite",IF(OR(COUNTIF(L13:L19,"&gt;"&amp;$L$5)=7,COUNTIF(L13:L19,"&lt;"&amp;$L$5)=7),"7 do mesmo lado",IF(AND(COUNT(L14:L19)=6,OR(AND(L19&gt;L18,L18&gt;L17,L17&gt;L16,L16&gt;L15,L15&gt;L14),AND(L19&lt;L18,L18&lt;L17,L17&lt;L16,L16&lt;L15,L15&lt;L14))),"6 subindo ou descendo","")))))</f>
        <v/>
      </c>
      <c r="Q19" s="22" t="str">
        <f aca="false">IF(COUNT(E19:I19)+LEN(C19)+LEN(D19)+LEN(J19)=0,"",IF(AND(COUNT(E19:I19)&gt;0,COUNT(E19:I19)&lt;5),"Faltam medições",IF(AND(COUNT(E19:I19)&gt;0,C19=""),"Falta a data",IF(AND(J19="Sim",K19=""),"Falta o motivo",IF(COUNT(E19:I19)=0,"Faltam medições","OK")))))</f>
        <v/>
      </c>
    </row>
    <row r="20" customFormat="false" ht="19.5" hidden="false" customHeight="true" outlineLevel="0" collapsed="false">
      <c r="B20" s="16" t="n">
        <v>8</v>
      </c>
      <c r="C20" s="17"/>
      <c r="D20" s="5"/>
      <c r="E20" s="11"/>
      <c r="F20" s="11"/>
      <c r="G20" s="11"/>
      <c r="H20" s="11"/>
      <c r="I20" s="11"/>
      <c r="J20" s="11"/>
      <c r="K20" s="5"/>
      <c r="L20" s="18" t="str">
        <f aca="false">IF(COUNT(E20:I20)=5,AVERAGE(E20:I20),"")</f>
        <v/>
      </c>
      <c r="M20" s="19" t="str">
        <f aca="false">IF(COUNT(E20:I20)=5,MAX(E20:I20)-MIN(E20:I20),"")</f>
        <v/>
      </c>
      <c r="N20" s="20" t="str">
        <f aca="false">IF(L20="","",IF(J20="Sim","Excluído",IF(OR($E$8="",B20&lt;=$E$8),"Base","Acompanhamento")))</f>
        <v/>
      </c>
      <c r="O20" s="21" t="str">
        <f aca="false">IF(OR(COUNT(E20:I20)=0,$E$6="",$E$7=""),"",COUNTIF(E20:I20,"&lt;"&amp;$E$6)+COUNTIF(E20:I20,"&gt;"&amp;$E$7))</f>
        <v/>
      </c>
      <c r="P20" s="22" t="str">
        <f aca="false">IF(OR(L20="",$L$5=""),"",IF(OR(L20&gt;$L$6,L20&lt;$L$7),"Média fora dos limites",IF(M20&gt;$L$9,"Amplitude fora do limite",IF(OR(COUNTIF(L14:L20,"&gt;"&amp;$L$5)=7,COUNTIF(L14:L20,"&lt;"&amp;$L$5)=7),"7 do mesmo lado",IF(AND(COUNT(L15:L20)=6,OR(AND(L20&gt;L19,L19&gt;L18,L18&gt;L17,L17&gt;L16,L16&gt;L15),AND(L20&lt;L19,L19&lt;L18,L18&lt;L17,L17&lt;L16,L16&lt;L15))),"6 subindo ou descendo","")))))</f>
        <v/>
      </c>
      <c r="Q20" s="22" t="str">
        <f aca="false">IF(COUNT(E20:I20)+LEN(C20)+LEN(D20)+LEN(J20)=0,"",IF(AND(COUNT(E20:I20)&gt;0,COUNT(E20:I20)&lt;5),"Faltam medições",IF(AND(COUNT(E20:I20)&gt;0,C20=""),"Falta a data",IF(AND(J20="Sim",K20=""),"Falta o motivo",IF(COUNT(E20:I20)=0,"Faltam medições","OK")))))</f>
        <v/>
      </c>
    </row>
    <row r="21" customFormat="false" ht="19.5" hidden="false" customHeight="true" outlineLevel="0" collapsed="false">
      <c r="B21" s="16" t="n">
        <v>9</v>
      </c>
      <c r="C21" s="17"/>
      <c r="D21" s="5"/>
      <c r="E21" s="11"/>
      <c r="F21" s="11"/>
      <c r="G21" s="11"/>
      <c r="H21" s="11"/>
      <c r="I21" s="11"/>
      <c r="J21" s="11"/>
      <c r="K21" s="5"/>
      <c r="L21" s="18" t="str">
        <f aca="false">IF(COUNT(E21:I21)=5,AVERAGE(E21:I21),"")</f>
        <v/>
      </c>
      <c r="M21" s="19" t="str">
        <f aca="false">IF(COUNT(E21:I21)=5,MAX(E21:I21)-MIN(E21:I21),"")</f>
        <v/>
      </c>
      <c r="N21" s="20" t="str">
        <f aca="false">IF(L21="","",IF(J21="Sim","Excluído",IF(OR($E$8="",B21&lt;=$E$8),"Base","Acompanhamento")))</f>
        <v/>
      </c>
      <c r="O21" s="21" t="str">
        <f aca="false">IF(OR(COUNT(E21:I21)=0,$E$6="",$E$7=""),"",COUNTIF(E21:I21,"&lt;"&amp;$E$6)+COUNTIF(E21:I21,"&gt;"&amp;$E$7))</f>
        <v/>
      </c>
      <c r="P21" s="22" t="str">
        <f aca="false">IF(OR(L21="",$L$5=""),"",IF(OR(L21&gt;$L$6,L21&lt;$L$7),"Média fora dos limites",IF(M21&gt;$L$9,"Amplitude fora do limite",IF(OR(COUNTIF(L15:L21,"&gt;"&amp;$L$5)=7,COUNTIF(L15:L21,"&lt;"&amp;$L$5)=7),"7 do mesmo lado",IF(AND(COUNT(L16:L21)=6,OR(AND(L21&gt;L20,L20&gt;L19,L19&gt;L18,L18&gt;L17,L17&gt;L16),AND(L21&lt;L20,L20&lt;L19,L19&lt;L18,L18&lt;L17,L17&lt;L16))),"6 subindo ou descendo","")))))</f>
        <v/>
      </c>
      <c r="Q21" s="22" t="str">
        <f aca="false">IF(COUNT(E21:I21)+LEN(C21)+LEN(D21)+LEN(J21)=0,"",IF(AND(COUNT(E21:I21)&gt;0,COUNT(E21:I21)&lt;5),"Faltam medições",IF(AND(COUNT(E21:I21)&gt;0,C21=""),"Falta a data",IF(AND(J21="Sim",K21=""),"Falta o motivo",IF(COUNT(E21:I21)=0,"Faltam medições","OK")))))</f>
        <v/>
      </c>
    </row>
    <row r="22" customFormat="false" ht="19.5" hidden="false" customHeight="true" outlineLevel="0" collapsed="false">
      <c r="B22" s="16" t="n">
        <v>10</v>
      </c>
      <c r="C22" s="17"/>
      <c r="D22" s="5"/>
      <c r="E22" s="11"/>
      <c r="F22" s="11"/>
      <c r="G22" s="11"/>
      <c r="H22" s="11"/>
      <c r="I22" s="11"/>
      <c r="J22" s="11"/>
      <c r="K22" s="5"/>
      <c r="L22" s="18" t="str">
        <f aca="false">IF(COUNT(E22:I22)=5,AVERAGE(E22:I22),"")</f>
        <v/>
      </c>
      <c r="M22" s="19" t="str">
        <f aca="false">IF(COUNT(E22:I22)=5,MAX(E22:I22)-MIN(E22:I22),"")</f>
        <v/>
      </c>
      <c r="N22" s="20" t="str">
        <f aca="false">IF(L22="","",IF(J22="Sim","Excluído",IF(OR($E$8="",B22&lt;=$E$8),"Base","Acompanhamento")))</f>
        <v/>
      </c>
      <c r="O22" s="21" t="str">
        <f aca="false">IF(OR(COUNT(E22:I22)=0,$E$6="",$E$7=""),"",COUNTIF(E22:I22,"&lt;"&amp;$E$6)+COUNTIF(E22:I22,"&gt;"&amp;$E$7))</f>
        <v/>
      </c>
      <c r="P22" s="22" t="str">
        <f aca="false">IF(OR(L22="",$L$5=""),"",IF(OR(L22&gt;$L$6,L22&lt;$L$7),"Média fora dos limites",IF(M22&gt;$L$9,"Amplitude fora do limite",IF(OR(COUNTIF(L16:L22,"&gt;"&amp;$L$5)=7,COUNTIF(L16:L22,"&lt;"&amp;$L$5)=7),"7 do mesmo lado",IF(AND(COUNT(L17:L22)=6,OR(AND(L22&gt;L21,L21&gt;L20,L20&gt;L19,L19&gt;L18,L18&gt;L17),AND(L22&lt;L21,L21&lt;L20,L20&lt;L19,L19&lt;L18,L18&lt;L17))),"6 subindo ou descendo","")))))</f>
        <v/>
      </c>
      <c r="Q22" s="22" t="str">
        <f aca="false">IF(COUNT(E22:I22)+LEN(C22)+LEN(D22)+LEN(J22)=0,"",IF(AND(COUNT(E22:I22)&gt;0,COUNT(E22:I22)&lt;5),"Faltam medições",IF(AND(COUNT(E22:I22)&gt;0,C22=""),"Falta a data",IF(AND(J22="Sim",K22=""),"Falta o motivo",IF(COUNT(E22:I22)=0,"Faltam medições","OK")))))</f>
        <v/>
      </c>
    </row>
    <row r="23" customFormat="false" ht="19.5" hidden="false" customHeight="true" outlineLevel="0" collapsed="false">
      <c r="B23" s="16" t="n">
        <v>11</v>
      </c>
      <c r="C23" s="17"/>
      <c r="D23" s="5"/>
      <c r="E23" s="11"/>
      <c r="F23" s="11"/>
      <c r="G23" s="11"/>
      <c r="H23" s="11"/>
      <c r="I23" s="11"/>
      <c r="J23" s="11"/>
      <c r="K23" s="5"/>
      <c r="L23" s="18" t="str">
        <f aca="false">IF(COUNT(E23:I23)=5,AVERAGE(E23:I23),"")</f>
        <v/>
      </c>
      <c r="M23" s="19" t="str">
        <f aca="false">IF(COUNT(E23:I23)=5,MAX(E23:I23)-MIN(E23:I23),"")</f>
        <v/>
      </c>
      <c r="N23" s="20" t="str">
        <f aca="false">IF(L23="","",IF(J23="Sim","Excluído",IF(OR($E$8="",B23&lt;=$E$8),"Base","Acompanhamento")))</f>
        <v/>
      </c>
      <c r="O23" s="21" t="str">
        <f aca="false">IF(OR(COUNT(E23:I23)=0,$E$6="",$E$7=""),"",COUNTIF(E23:I23,"&lt;"&amp;$E$6)+COUNTIF(E23:I23,"&gt;"&amp;$E$7))</f>
        <v/>
      </c>
      <c r="P23" s="22" t="str">
        <f aca="false">IF(OR(L23="",$L$5=""),"",IF(OR(L23&gt;$L$6,L23&lt;$L$7),"Média fora dos limites",IF(M23&gt;$L$9,"Amplitude fora do limite",IF(OR(COUNTIF(L17:L23,"&gt;"&amp;$L$5)=7,COUNTIF(L17:L23,"&lt;"&amp;$L$5)=7),"7 do mesmo lado",IF(AND(COUNT(L18:L23)=6,OR(AND(L23&gt;L22,L22&gt;L21,L21&gt;L20,L20&gt;L19,L19&gt;L18),AND(L23&lt;L22,L22&lt;L21,L21&lt;L20,L20&lt;L19,L19&lt;L18))),"6 subindo ou descendo","")))))</f>
        <v/>
      </c>
      <c r="Q23" s="22" t="str">
        <f aca="false">IF(COUNT(E23:I23)+LEN(C23)+LEN(D23)+LEN(J23)=0,"",IF(AND(COUNT(E23:I23)&gt;0,COUNT(E23:I23)&lt;5),"Faltam medições",IF(AND(COUNT(E23:I23)&gt;0,C23=""),"Falta a data",IF(AND(J23="Sim",K23=""),"Falta o motivo",IF(COUNT(E23:I23)=0,"Faltam medições","OK")))))</f>
        <v/>
      </c>
    </row>
    <row r="24" customFormat="false" ht="19.5" hidden="false" customHeight="true" outlineLevel="0" collapsed="false">
      <c r="B24" s="16" t="n">
        <v>12</v>
      </c>
      <c r="C24" s="17"/>
      <c r="D24" s="5"/>
      <c r="E24" s="11"/>
      <c r="F24" s="11"/>
      <c r="G24" s="11"/>
      <c r="H24" s="11"/>
      <c r="I24" s="11"/>
      <c r="J24" s="11"/>
      <c r="K24" s="5"/>
      <c r="L24" s="18" t="str">
        <f aca="false">IF(COUNT(E24:I24)=5,AVERAGE(E24:I24),"")</f>
        <v/>
      </c>
      <c r="M24" s="19" t="str">
        <f aca="false">IF(COUNT(E24:I24)=5,MAX(E24:I24)-MIN(E24:I24),"")</f>
        <v/>
      </c>
      <c r="N24" s="20" t="str">
        <f aca="false">IF(L24="","",IF(J24="Sim","Excluído",IF(OR($E$8="",B24&lt;=$E$8),"Base","Acompanhamento")))</f>
        <v/>
      </c>
      <c r="O24" s="21" t="str">
        <f aca="false">IF(OR(COUNT(E24:I24)=0,$E$6="",$E$7=""),"",COUNTIF(E24:I24,"&lt;"&amp;$E$6)+COUNTIF(E24:I24,"&gt;"&amp;$E$7))</f>
        <v/>
      </c>
      <c r="P24" s="22" t="str">
        <f aca="false">IF(OR(L24="",$L$5=""),"",IF(OR(L24&gt;$L$6,L24&lt;$L$7),"Média fora dos limites",IF(M24&gt;$L$9,"Amplitude fora do limite",IF(OR(COUNTIF(L18:L24,"&gt;"&amp;$L$5)=7,COUNTIF(L18:L24,"&lt;"&amp;$L$5)=7),"7 do mesmo lado",IF(AND(COUNT(L19:L24)=6,OR(AND(L24&gt;L23,L23&gt;L22,L22&gt;L21,L21&gt;L20,L20&gt;L19),AND(L24&lt;L23,L23&lt;L22,L22&lt;L21,L21&lt;L20,L20&lt;L19))),"6 subindo ou descendo","")))))</f>
        <v/>
      </c>
      <c r="Q24" s="22" t="str">
        <f aca="false">IF(COUNT(E24:I24)+LEN(C24)+LEN(D24)+LEN(J24)=0,"",IF(AND(COUNT(E24:I24)&gt;0,COUNT(E24:I24)&lt;5),"Faltam medições",IF(AND(COUNT(E24:I24)&gt;0,C24=""),"Falta a data",IF(AND(J24="Sim",K24=""),"Falta o motivo",IF(COUNT(E24:I24)=0,"Faltam medições","OK")))))</f>
        <v/>
      </c>
    </row>
    <row r="25" customFormat="false" ht="19.5" hidden="false" customHeight="true" outlineLevel="0" collapsed="false">
      <c r="B25" s="16" t="n">
        <v>13</v>
      </c>
      <c r="C25" s="17"/>
      <c r="D25" s="5"/>
      <c r="E25" s="11"/>
      <c r="F25" s="11"/>
      <c r="G25" s="11"/>
      <c r="H25" s="11"/>
      <c r="I25" s="11"/>
      <c r="J25" s="11"/>
      <c r="K25" s="5"/>
      <c r="L25" s="18" t="str">
        <f aca="false">IF(COUNT(E25:I25)=5,AVERAGE(E25:I25),"")</f>
        <v/>
      </c>
      <c r="M25" s="19" t="str">
        <f aca="false">IF(COUNT(E25:I25)=5,MAX(E25:I25)-MIN(E25:I25),"")</f>
        <v/>
      </c>
      <c r="N25" s="20" t="str">
        <f aca="false">IF(L25="","",IF(J25="Sim","Excluído",IF(OR($E$8="",B25&lt;=$E$8),"Base","Acompanhamento")))</f>
        <v/>
      </c>
      <c r="O25" s="21" t="str">
        <f aca="false">IF(OR(COUNT(E25:I25)=0,$E$6="",$E$7=""),"",COUNTIF(E25:I25,"&lt;"&amp;$E$6)+COUNTIF(E25:I25,"&gt;"&amp;$E$7))</f>
        <v/>
      </c>
      <c r="P25" s="22" t="str">
        <f aca="false">IF(OR(L25="",$L$5=""),"",IF(OR(L25&gt;$L$6,L25&lt;$L$7),"Média fora dos limites",IF(M25&gt;$L$9,"Amplitude fora do limite",IF(OR(COUNTIF(L19:L25,"&gt;"&amp;$L$5)=7,COUNTIF(L19:L25,"&lt;"&amp;$L$5)=7),"7 do mesmo lado",IF(AND(COUNT(L20:L25)=6,OR(AND(L25&gt;L24,L24&gt;L23,L23&gt;L22,L22&gt;L21,L21&gt;L20),AND(L25&lt;L24,L24&lt;L23,L23&lt;L22,L22&lt;L21,L21&lt;L20))),"6 subindo ou descendo","")))))</f>
        <v/>
      </c>
      <c r="Q25" s="22" t="str">
        <f aca="false">IF(COUNT(E25:I25)+LEN(C25)+LEN(D25)+LEN(J25)=0,"",IF(AND(COUNT(E25:I25)&gt;0,COUNT(E25:I25)&lt;5),"Faltam medições",IF(AND(COUNT(E25:I25)&gt;0,C25=""),"Falta a data",IF(AND(J25="Sim",K25=""),"Falta o motivo",IF(COUNT(E25:I25)=0,"Faltam medições","OK")))))</f>
        <v/>
      </c>
    </row>
    <row r="26" customFormat="false" ht="19.5" hidden="false" customHeight="true" outlineLevel="0" collapsed="false">
      <c r="B26" s="16" t="n">
        <v>14</v>
      </c>
      <c r="C26" s="17"/>
      <c r="D26" s="5"/>
      <c r="E26" s="11"/>
      <c r="F26" s="11"/>
      <c r="G26" s="11"/>
      <c r="H26" s="11"/>
      <c r="I26" s="11"/>
      <c r="J26" s="11"/>
      <c r="K26" s="5"/>
      <c r="L26" s="18" t="str">
        <f aca="false">IF(COUNT(E26:I26)=5,AVERAGE(E26:I26),"")</f>
        <v/>
      </c>
      <c r="M26" s="19" t="str">
        <f aca="false">IF(COUNT(E26:I26)=5,MAX(E26:I26)-MIN(E26:I26),"")</f>
        <v/>
      </c>
      <c r="N26" s="20" t="str">
        <f aca="false">IF(L26="","",IF(J26="Sim","Excluído",IF(OR($E$8="",B26&lt;=$E$8),"Base","Acompanhamento")))</f>
        <v/>
      </c>
      <c r="O26" s="21" t="str">
        <f aca="false">IF(OR(COUNT(E26:I26)=0,$E$6="",$E$7=""),"",COUNTIF(E26:I26,"&lt;"&amp;$E$6)+COUNTIF(E26:I26,"&gt;"&amp;$E$7))</f>
        <v/>
      </c>
      <c r="P26" s="22" t="str">
        <f aca="false">IF(OR(L26="",$L$5=""),"",IF(OR(L26&gt;$L$6,L26&lt;$L$7),"Média fora dos limites",IF(M26&gt;$L$9,"Amplitude fora do limite",IF(OR(COUNTIF(L20:L26,"&gt;"&amp;$L$5)=7,COUNTIF(L20:L26,"&lt;"&amp;$L$5)=7),"7 do mesmo lado",IF(AND(COUNT(L21:L26)=6,OR(AND(L26&gt;L25,L25&gt;L24,L24&gt;L23,L23&gt;L22,L22&gt;L21),AND(L26&lt;L25,L25&lt;L24,L24&lt;L23,L23&lt;L22,L22&lt;L21))),"6 subindo ou descendo","")))))</f>
        <v/>
      </c>
      <c r="Q26" s="22" t="str">
        <f aca="false">IF(COUNT(E26:I26)+LEN(C26)+LEN(D26)+LEN(J26)=0,"",IF(AND(COUNT(E26:I26)&gt;0,COUNT(E26:I26)&lt;5),"Faltam medições",IF(AND(COUNT(E26:I26)&gt;0,C26=""),"Falta a data",IF(AND(J26="Sim",K26=""),"Falta o motivo",IF(COUNT(E26:I26)=0,"Faltam medições","OK")))))</f>
        <v/>
      </c>
    </row>
    <row r="27" customFormat="false" ht="19.5" hidden="false" customHeight="true" outlineLevel="0" collapsed="false">
      <c r="B27" s="16" t="n">
        <v>15</v>
      </c>
      <c r="C27" s="17"/>
      <c r="D27" s="5"/>
      <c r="E27" s="11"/>
      <c r="F27" s="11"/>
      <c r="G27" s="11"/>
      <c r="H27" s="11"/>
      <c r="I27" s="11"/>
      <c r="J27" s="11"/>
      <c r="K27" s="5"/>
      <c r="L27" s="18" t="str">
        <f aca="false">IF(COUNT(E27:I27)=5,AVERAGE(E27:I27),"")</f>
        <v/>
      </c>
      <c r="M27" s="19" t="str">
        <f aca="false">IF(COUNT(E27:I27)=5,MAX(E27:I27)-MIN(E27:I27),"")</f>
        <v/>
      </c>
      <c r="N27" s="20" t="str">
        <f aca="false">IF(L27="","",IF(J27="Sim","Excluído",IF(OR($E$8="",B27&lt;=$E$8),"Base","Acompanhamento")))</f>
        <v/>
      </c>
      <c r="O27" s="21" t="str">
        <f aca="false">IF(OR(COUNT(E27:I27)=0,$E$6="",$E$7=""),"",COUNTIF(E27:I27,"&lt;"&amp;$E$6)+COUNTIF(E27:I27,"&gt;"&amp;$E$7))</f>
        <v/>
      </c>
      <c r="P27" s="22" t="str">
        <f aca="false">IF(OR(L27="",$L$5=""),"",IF(OR(L27&gt;$L$6,L27&lt;$L$7),"Média fora dos limites",IF(M27&gt;$L$9,"Amplitude fora do limite",IF(OR(COUNTIF(L21:L27,"&gt;"&amp;$L$5)=7,COUNTIF(L21:L27,"&lt;"&amp;$L$5)=7),"7 do mesmo lado",IF(AND(COUNT(L22:L27)=6,OR(AND(L27&gt;L26,L26&gt;L25,L25&gt;L24,L24&gt;L23,L23&gt;L22),AND(L27&lt;L26,L26&lt;L25,L25&lt;L24,L24&lt;L23,L23&lt;L22))),"6 subindo ou descendo","")))))</f>
        <v/>
      </c>
      <c r="Q27" s="22" t="str">
        <f aca="false">IF(COUNT(E27:I27)+LEN(C27)+LEN(D27)+LEN(J27)=0,"",IF(AND(COUNT(E27:I27)&gt;0,COUNT(E27:I27)&lt;5),"Faltam medições",IF(AND(COUNT(E27:I27)&gt;0,C27=""),"Falta a data",IF(AND(J27="Sim",K27=""),"Falta o motivo",IF(COUNT(E27:I27)=0,"Faltam medições","OK")))))</f>
        <v/>
      </c>
    </row>
    <row r="28" customFormat="false" ht="19.5" hidden="false" customHeight="true" outlineLevel="0" collapsed="false">
      <c r="B28" s="16" t="n">
        <v>16</v>
      </c>
      <c r="C28" s="17"/>
      <c r="D28" s="5"/>
      <c r="E28" s="11"/>
      <c r="F28" s="11"/>
      <c r="G28" s="11"/>
      <c r="H28" s="11"/>
      <c r="I28" s="11"/>
      <c r="J28" s="11"/>
      <c r="K28" s="5"/>
      <c r="L28" s="18" t="str">
        <f aca="false">IF(COUNT(E28:I28)=5,AVERAGE(E28:I28),"")</f>
        <v/>
      </c>
      <c r="M28" s="19" t="str">
        <f aca="false">IF(COUNT(E28:I28)=5,MAX(E28:I28)-MIN(E28:I28),"")</f>
        <v/>
      </c>
      <c r="N28" s="20" t="str">
        <f aca="false">IF(L28="","",IF(J28="Sim","Excluído",IF(OR($E$8="",B28&lt;=$E$8),"Base","Acompanhamento")))</f>
        <v/>
      </c>
      <c r="O28" s="21" t="str">
        <f aca="false">IF(OR(COUNT(E28:I28)=0,$E$6="",$E$7=""),"",COUNTIF(E28:I28,"&lt;"&amp;$E$6)+COUNTIF(E28:I28,"&gt;"&amp;$E$7))</f>
        <v/>
      </c>
      <c r="P28" s="22" t="str">
        <f aca="false">IF(OR(L28="",$L$5=""),"",IF(OR(L28&gt;$L$6,L28&lt;$L$7),"Média fora dos limites",IF(M28&gt;$L$9,"Amplitude fora do limite",IF(OR(COUNTIF(L22:L28,"&gt;"&amp;$L$5)=7,COUNTIF(L22:L28,"&lt;"&amp;$L$5)=7),"7 do mesmo lado",IF(AND(COUNT(L23:L28)=6,OR(AND(L28&gt;L27,L27&gt;L26,L26&gt;L25,L25&gt;L24,L24&gt;L23),AND(L28&lt;L27,L27&lt;L26,L26&lt;L25,L25&lt;L24,L24&lt;L23))),"6 subindo ou descendo","")))))</f>
        <v/>
      </c>
      <c r="Q28" s="22" t="str">
        <f aca="false">IF(COUNT(E28:I28)+LEN(C28)+LEN(D28)+LEN(J28)=0,"",IF(AND(COUNT(E28:I28)&gt;0,COUNT(E28:I28)&lt;5),"Faltam medições",IF(AND(COUNT(E28:I28)&gt;0,C28=""),"Falta a data",IF(AND(J28="Sim",K28=""),"Falta o motivo",IF(COUNT(E28:I28)=0,"Faltam medições","OK")))))</f>
        <v/>
      </c>
    </row>
    <row r="29" customFormat="false" ht="19.5" hidden="false" customHeight="true" outlineLevel="0" collapsed="false">
      <c r="B29" s="16" t="n">
        <v>17</v>
      </c>
      <c r="C29" s="17"/>
      <c r="D29" s="5"/>
      <c r="E29" s="11"/>
      <c r="F29" s="11"/>
      <c r="G29" s="11"/>
      <c r="H29" s="11"/>
      <c r="I29" s="11"/>
      <c r="J29" s="11"/>
      <c r="K29" s="5"/>
      <c r="L29" s="18" t="str">
        <f aca="false">IF(COUNT(E29:I29)=5,AVERAGE(E29:I29),"")</f>
        <v/>
      </c>
      <c r="M29" s="19" t="str">
        <f aca="false">IF(COUNT(E29:I29)=5,MAX(E29:I29)-MIN(E29:I29),"")</f>
        <v/>
      </c>
      <c r="N29" s="20" t="str">
        <f aca="false">IF(L29="","",IF(J29="Sim","Excluído",IF(OR($E$8="",B29&lt;=$E$8),"Base","Acompanhamento")))</f>
        <v/>
      </c>
      <c r="O29" s="21" t="str">
        <f aca="false">IF(OR(COUNT(E29:I29)=0,$E$6="",$E$7=""),"",COUNTIF(E29:I29,"&lt;"&amp;$E$6)+COUNTIF(E29:I29,"&gt;"&amp;$E$7))</f>
        <v/>
      </c>
      <c r="P29" s="22" t="str">
        <f aca="false">IF(OR(L29="",$L$5=""),"",IF(OR(L29&gt;$L$6,L29&lt;$L$7),"Média fora dos limites",IF(M29&gt;$L$9,"Amplitude fora do limite",IF(OR(COUNTIF(L23:L29,"&gt;"&amp;$L$5)=7,COUNTIF(L23:L29,"&lt;"&amp;$L$5)=7),"7 do mesmo lado",IF(AND(COUNT(L24:L29)=6,OR(AND(L29&gt;L28,L28&gt;L27,L27&gt;L26,L26&gt;L25,L25&gt;L24),AND(L29&lt;L28,L28&lt;L27,L27&lt;L26,L26&lt;L25,L25&lt;L24))),"6 subindo ou descendo","")))))</f>
        <v/>
      </c>
      <c r="Q29" s="22" t="str">
        <f aca="false">IF(COUNT(E29:I29)+LEN(C29)+LEN(D29)+LEN(J29)=0,"",IF(AND(COUNT(E29:I29)&gt;0,COUNT(E29:I29)&lt;5),"Faltam medições",IF(AND(COUNT(E29:I29)&gt;0,C29=""),"Falta a data",IF(AND(J29="Sim",K29=""),"Falta o motivo",IF(COUNT(E29:I29)=0,"Faltam medições","OK")))))</f>
        <v/>
      </c>
    </row>
    <row r="30" customFormat="false" ht="19.5" hidden="false" customHeight="true" outlineLevel="0" collapsed="false">
      <c r="B30" s="16" t="n">
        <v>18</v>
      </c>
      <c r="C30" s="17"/>
      <c r="D30" s="5"/>
      <c r="E30" s="11"/>
      <c r="F30" s="11"/>
      <c r="G30" s="11"/>
      <c r="H30" s="11"/>
      <c r="I30" s="11"/>
      <c r="J30" s="11"/>
      <c r="K30" s="5"/>
      <c r="L30" s="18" t="str">
        <f aca="false">IF(COUNT(E30:I30)=5,AVERAGE(E30:I30),"")</f>
        <v/>
      </c>
      <c r="M30" s="19" t="str">
        <f aca="false">IF(COUNT(E30:I30)=5,MAX(E30:I30)-MIN(E30:I30),"")</f>
        <v/>
      </c>
      <c r="N30" s="20" t="str">
        <f aca="false">IF(L30="","",IF(J30="Sim","Excluído",IF(OR($E$8="",B30&lt;=$E$8),"Base","Acompanhamento")))</f>
        <v/>
      </c>
      <c r="O30" s="21" t="str">
        <f aca="false">IF(OR(COUNT(E30:I30)=0,$E$6="",$E$7=""),"",COUNTIF(E30:I30,"&lt;"&amp;$E$6)+COUNTIF(E30:I30,"&gt;"&amp;$E$7))</f>
        <v/>
      </c>
      <c r="P30" s="22" t="str">
        <f aca="false">IF(OR(L30="",$L$5=""),"",IF(OR(L30&gt;$L$6,L30&lt;$L$7),"Média fora dos limites",IF(M30&gt;$L$9,"Amplitude fora do limite",IF(OR(COUNTIF(L24:L30,"&gt;"&amp;$L$5)=7,COUNTIF(L24:L30,"&lt;"&amp;$L$5)=7),"7 do mesmo lado",IF(AND(COUNT(L25:L30)=6,OR(AND(L30&gt;L29,L29&gt;L28,L28&gt;L27,L27&gt;L26,L26&gt;L25),AND(L30&lt;L29,L29&lt;L28,L28&lt;L27,L27&lt;L26,L26&lt;L25))),"6 subindo ou descendo","")))))</f>
        <v/>
      </c>
      <c r="Q30" s="22" t="str">
        <f aca="false">IF(COUNT(E30:I30)+LEN(C30)+LEN(D30)+LEN(J30)=0,"",IF(AND(COUNT(E30:I30)&gt;0,COUNT(E30:I30)&lt;5),"Faltam medições",IF(AND(COUNT(E30:I30)&gt;0,C30=""),"Falta a data",IF(AND(J30="Sim",K30=""),"Falta o motivo",IF(COUNT(E30:I30)=0,"Faltam medições","OK")))))</f>
        <v/>
      </c>
    </row>
    <row r="31" customFormat="false" ht="19.5" hidden="false" customHeight="true" outlineLevel="0" collapsed="false">
      <c r="B31" s="16" t="n">
        <v>19</v>
      </c>
      <c r="C31" s="17"/>
      <c r="D31" s="5"/>
      <c r="E31" s="11"/>
      <c r="F31" s="11"/>
      <c r="G31" s="11"/>
      <c r="H31" s="11"/>
      <c r="I31" s="11"/>
      <c r="J31" s="11"/>
      <c r="K31" s="5"/>
      <c r="L31" s="18" t="str">
        <f aca="false">IF(COUNT(E31:I31)=5,AVERAGE(E31:I31),"")</f>
        <v/>
      </c>
      <c r="M31" s="19" t="str">
        <f aca="false">IF(COUNT(E31:I31)=5,MAX(E31:I31)-MIN(E31:I31),"")</f>
        <v/>
      </c>
      <c r="N31" s="20" t="str">
        <f aca="false">IF(L31="","",IF(J31="Sim","Excluído",IF(OR($E$8="",B31&lt;=$E$8),"Base","Acompanhamento")))</f>
        <v/>
      </c>
      <c r="O31" s="21" t="str">
        <f aca="false">IF(OR(COUNT(E31:I31)=0,$E$6="",$E$7=""),"",COUNTIF(E31:I31,"&lt;"&amp;$E$6)+COUNTIF(E31:I31,"&gt;"&amp;$E$7))</f>
        <v/>
      </c>
      <c r="P31" s="22" t="str">
        <f aca="false">IF(OR(L31="",$L$5=""),"",IF(OR(L31&gt;$L$6,L31&lt;$L$7),"Média fora dos limites",IF(M31&gt;$L$9,"Amplitude fora do limite",IF(OR(COUNTIF(L25:L31,"&gt;"&amp;$L$5)=7,COUNTIF(L25:L31,"&lt;"&amp;$L$5)=7),"7 do mesmo lado",IF(AND(COUNT(L26:L31)=6,OR(AND(L31&gt;L30,L30&gt;L29,L29&gt;L28,L28&gt;L27,L27&gt;L26),AND(L31&lt;L30,L30&lt;L29,L29&lt;L28,L28&lt;L27,L27&lt;L26))),"6 subindo ou descendo","")))))</f>
        <v/>
      </c>
      <c r="Q31" s="22" t="str">
        <f aca="false">IF(COUNT(E31:I31)+LEN(C31)+LEN(D31)+LEN(J31)=0,"",IF(AND(COUNT(E31:I31)&gt;0,COUNT(E31:I31)&lt;5),"Faltam medições",IF(AND(COUNT(E31:I31)&gt;0,C31=""),"Falta a data",IF(AND(J31="Sim",K31=""),"Falta o motivo",IF(COUNT(E31:I31)=0,"Faltam medições","OK")))))</f>
        <v/>
      </c>
    </row>
    <row r="32" customFormat="false" ht="19.5" hidden="false" customHeight="true" outlineLevel="0" collapsed="false">
      <c r="B32" s="16" t="n">
        <v>20</v>
      </c>
      <c r="C32" s="17"/>
      <c r="D32" s="5"/>
      <c r="E32" s="11"/>
      <c r="F32" s="11"/>
      <c r="G32" s="11"/>
      <c r="H32" s="11"/>
      <c r="I32" s="11"/>
      <c r="J32" s="11"/>
      <c r="K32" s="5"/>
      <c r="L32" s="18" t="str">
        <f aca="false">IF(COUNT(E32:I32)=5,AVERAGE(E32:I32),"")</f>
        <v/>
      </c>
      <c r="M32" s="19" t="str">
        <f aca="false">IF(COUNT(E32:I32)=5,MAX(E32:I32)-MIN(E32:I32),"")</f>
        <v/>
      </c>
      <c r="N32" s="20" t="str">
        <f aca="false">IF(L32="","",IF(J32="Sim","Excluído",IF(OR($E$8="",B32&lt;=$E$8),"Base","Acompanhamento")))</f>
        <v/>
      </c>
      <c r="O32" s="21" t="str">
        <f aca="false">IF(OR(COUNT(E32:I32)=0,$E$6="",$E$7=""),"",COUNTIF(E32:I32,"&lt;"&amp;$E$6)+COUNTIF(E32:I32,"&gt;"&amp;$E$7))</f>
        <v/>
      </c>
      <c r="P32" s="22" t="str">
        <f aca="false">IF(OR(L32="",$L$5=""),"",IF(OR(L32&gt;$L$6,L32&lt;$L$7),"Média fora dos limites",IF(M32&gt;$L$9,"Amplitude fora do limite",IF(OR(COUNTIF(L26:L32,"&gt;"&amp;$L$5)=7,COUNTIF(L26:L32,"&lt;"&amp;$L$5)=7),"7 do mesmo lado",IF(AND(COUNT(L27:L32)=6,OR(AND(L32&gt;L31,L31&gt;L30,L30&gt;L29,L29&gt;L28,L28&gt;L27),AND(L32&lt;L31,L31&lt;L30,L30&lt;L29,L29&lt;L28,L28&lt;L27))),"6 subindo ou descendo","")))))</f>
        <v/>
      </c>
      <c r="Q32" s="22" t="str">
        <f aca="false">IF(COUNT(E32:I32)+LEN(C32)+LEN(D32)+LEN(J32)=0,"",IF(AND(COUNT(E32:I32)&gt;0,COUNT(E32:I32)&lt;5),"Faltam medições",IF(AND(COUNT(E32:I32)&gt;0,C32=""),"Falta a data",IF(AND(J32="Sim",K32=""),"Falta o motivo",IF(COUNT(E32:I32)=0,"Faltam medições","OK")))))</f>
        <v/>
      </c>
    </row>
    <row r="33" customFormat="false" ht="19.5" hidden="false" customHeight="true" outlineLevel="0" collapsed="false">
      <c r="B33" s="16" t="n">
        <v>21</v>
      </c>
      <c r="C33" s="17"/>
      <c r="D33" s="5"/>
      <c r="E33" s="11"/>
      <c r="F33" s="11"/>
      <c r="G33" s="11"/>
      <c r="H33" s="11"/>
      <c r="I33" s="11"/>
      <c r="J33" s="11"/>
      <c r="K33" s="5"/>
      <c r="L33" s="18" t="str">
        <f aca="false">IF(COUNT(E33:I33)=5,AVERAGE(E33:I33),"")</f>
        <v/>
      </c>
      <c r="M33" s="19" t="str">
        <f aca="false">IF(COUNT(E33:I33)=5,MAX(E33:I33)-MIN(E33:I33),"")</f>
        <v/>
      </c>
      <c r="N33" s="20" t="str">
        <f aca="false">IF(L33="","",IF(J33="Sim","Excluído",IF(OR($E$8="",B33&lt;=$E$8),"Base","Acompanhamento")))</f>
        <v/>
      </c>
      <c r="O33" s="21" t="str">
        <f aca="false">IF(OR(COUNT(E33:I33)=0,$E$6="",$E$7=""),"",COUNTIF(E33:I33,"&lt;"&amp;$E$6)+COUNTIF(E33:I33,"&gt;"&amp;$E$7))</f>
        <v/>
      </c>
      <c r="P33" s="22" t="str">
        <f aca="false">IF(OR(L33="",$L$5=""),"",IF(OR(L33&gt;$L$6,L33&lt;$L$7),"Média fora dos limites",IF(M33&gt;$L$9,"Amplitude fora do limite",IF(OR(COUNTIF(L27:L33,"&gt;"&amp;$L$5)=7,COUNTIF(L27:L33,"&lt;"&amp;$L$5)=7),"7 do mesmo lado",IF(AND(COUNT(L28:L33)=6,OR(AND(L33&gt;L32,L32&gt;L31,L31&gt;L30,L30&gt;L29,L29&gt;L28),AND(L33&lt;L32,L32&lt;L31,L31&lt;L30,L30&lt;L29,L29&lt;L28))),"6 subindo ou descendo","")))))</f>
        <v/>
      </c>
      <c r="Q33" s="22" t="str">
        <f aca="false">IF(COUNT(E33:I33)+LEN(C33)+LEN(D33)+LEN(J33)=0,"",IF(AND(COUNT(E33:I33)&gt;0,COUNT(E33:I33)&lt;5),"Faltam medições",IF(AND(COUNT(E33:I33)&gt;0,C33=""),"Falta a data",IF(AND(J33="Sim",K33=""),"Falta o motivo",IF(COUNT(E33:I33)=0,"Faltam medições","OK")))))</f>
        <v/>
      </c>
    </row>
    <row r="34" customFormat="false" ht="19.5" hidden="false" customHeight="true" outlineLevel="0" collapsed="false">
      <c r="B34" s="16" t="n">
        <v>22</v>
      </c>
      <c r="C34" s="17"/>
      <c r="D34" s="5"/>
      <c r="E34" s="11"/>
      <c r="F34" s="11"/>
      <c r="G34" s="11"/>
      <c r="H34" s="11"/>
      <c r="I34" s="11"/>
      <c r="J34" s="11"/>
      <c r="K34" s="5"/>
      <c r="L34" s="18" t="str">
        <f aca="false">IF(COUNT(E34:I34)=5,AVERAGE(E34:I34),"")</f>
        <v/>
      </c>
      <c r="M34" s="19" t="str">
        <f aca="false">IF(COUNT(E34:I34)=5,MAX(E34:I34)-MIN(E34:I34),"")</f>
        <v/>
      </c>
      <c r="N34" s="20" t="str">
        <f aca="false">IF(L34="","",IF(J34="Sim","Excluído",IF(OR($E$8="",B34&lt;=$E$8),"Base","Acompanhamento")))</f>
        <v/>
      </c>
      <c r="O34" s="21" t="str">
        <f aca="false">IF(OR(COUNT(E34:I34)=0,$E$6="",$E$7=""),"",COUNTIF(E34:I34,"&lt;"&amp;$E$6)+COUNTIF(E34:I34,"&gt;"&amp;$E$7))</f>
        <v/>
      </c>
      <c r="P34" s="22" t="str">
        <f aca="false">IF(OR(L34="",$L$5=""),"",IF(OR(L34&gt;$L$6,L34&lt;$L$7),"Média fora dos limites",IF(M34&gt;$L$9,"Amplitude fora do limite",IF(OR(COUNTIF(L28:L34,"&gt;"&amp;$L$5)=7,COUNTIF(L28:L34,"&lt;"&amp;$L$5)=7),"7 do mesmo lado",IF(AND(COUNT(L29:L34)=6,OR(AND(L34&gt;L33,L33&gt;L32,L32&gt;L31,L31&gt;L30,L30&gt;L29),AND(L34&lt;L33,L33&lt;L32,L32&lt;L31,L31&lt;L30,L30&lt;L29))),"6 subindo ou descendo","")))))</f>
        <v/>
      </c>
      <c r="Q34" s="22" t="str">
        <f aca="false">IF(COUNT(E34:I34)+LEN(C34)+LEN(D34)+LEN(J34)=0,"",IF(AND(COUNT(E34:I34)&gt;0,COUNT(E34:I34)&lt;5),"Faltam medições",IF(AND(COUNT(E34:I34)&gt;0,C34=""),"Falta a data",IF(AND(J34="Sim",K34=""),"Falta o motivo",IF(COUNT(E34:I34)=0,"Faltam medições","OK")))))</f>
        <v/>
      </c>
    </row>
    <row r="35" customFormat="false" ht="19.5" hidden="false" customHeight="true" outlineLevel="0" collapsed="false">
      <c r="B35" s="16" t="n">
        <v>23</v>
      </c>
      <c r="C35" s="17"/>
      <c r="D35" s="5"/>
      <c r="E35" s="11"/>
      <c r="F35" s="11"/>
      <c r="G35" s="11"/>
      <c r="H35" s="11"/>
      <c r="I35" s="11"/>
      <c r="J35" s="11"/>
      <c r="K35" s="5"/>
      <c r="L35" s="18" t="str">
        <f aca="false">IF(COUNT(E35:I35)=5,AVERAGE(E35:I35),"")</f>
        <v/>
      </c>
      <c r="M35" s="19" t="str">
        <f aca="false">IF(COUNT(E35:I35)=5,MAX(E35:I35)-MIN(E35:I35),"")</f>
        <v/>
      </c>
      <c r="N35" s="20" t="str">
        <f aca="false">IF(L35="","",IF(J35="Sim","Excluído",IF(OR($E$8="",B35&lt;=$E$8),"Base","Acompanhamento")))</f>
        <v/>
      </c>
      <c r="O35" s="21" t="str">
        <f aca="false">IF(OR(COUNT(E35:I35)=0,$E$6="",$E$7=""),"",COUNTIF(E35:I35,"&lt;"&amp;$E$6)+COUNTIF(E35:I35,"&gt;"&amp;$E$7))</f>
        <v/>
      </c>
      <c r="P35" s="22" t="str">
        <f aca="false">IF(OR(L35="",$L$5=""),"",IF(OR(L35&gt;$L$6,L35&lt;$L$7),"Média fora dos limites",IF(M35&gt;$L$9,"Amplitude fora do limite",IF(OR(COUNTIF(L29:L35,"&gt;"&amp;$L$5)=7,COUNTIF(L29:L35,"&lt;"&amp;$L$5)=7),"7 do mesmo lado",IF(AND(COUNT(L30:L35)=6,OR(AND(L35&gt;L34,L34&gt;L33,L33&gt;L32,L32&gt;L31,L31&gt;L30),AND(L35&lt;L34,L34&lt;L33,L33&lt;L32,L32&lt;L31,L31&lt;L30))),"6 subindo ou descendo","")))))</f>
        <v/>
      </c>
      <c r="Q35" s="22" t="str">
        <f aca="false">IF(COUNT(E35:I35)+LEN(C35)+LEN(D35)+LEN(J35)=0,"",IF(AND(COUNT(E35:I35)&gt;0,COUNT(E35:I35)&lt;5),"Faltam medições",IF(AND(COUNT(E35:I35)&gt;0,C35=""),"Falta a data",IF(AND(J35="Sim",K35=""),"Falta o motivo",IF(COUNT(E35:I35)=0,"Faltam medições","OK")))))</f>
        <v/>
      </c>
    </row>
    <row r="36" customFormat="false" ht="19.5" hidden="false" customHeight="true" outlineLevel="0" collapsed="false">
      <c r="B36" s="16" t="n">
        <v>24</v>
      </c>
      <c r="C36" s="17"/>
      <c r="D36" s="5"/>
      <c r="E36" s="11"/>
      <c r="F36" s="11"/>
      <c r="G36" s="11"/>
      <c r="H36" s="11"/>
      <c r="I36" s="11"/>
      <c r="J36" s="11"/>
      <c r="K36" s="5"/>
      <c r="L36" s="18" t="str">
        <f aca="false">IF(COUNT(E36:I36)=5,AVERAGE(E36:I36),"")</f>
        <v/>
      </c>
      <c r="M36" s="19" t="str">
        <f aca="false">IF(COUNT(E36:I36)=5,MAX(E36:I36)-MIN(E36:I36),"")</f>
        <v/>
      </c>
      <c r="N36" s="20" t="str">
        <f aca="false">IF(L36="","",IF(J36="Sim","Excluído",IF(OR($E$8="",B36&lt;=$E$8),"Base","Acompanhamento")))</f>
        <v/>
      </c>
      <c r="O36" s="21" t="str">
        <f aca="false">IF(OR(COUNT(E36:I36)=0,$E$6="",$E$7=""),"",COUNTIF(E36:I36,"&lt;"&amp;$E$6)+COUNTIF(E36:I36,"&gt;"&amp;$E$7))</f>
        <v/>
      </c>
      <c r="P36" s="22" t="str">
        <f aca="false">IF(OR(L36="",$L$5=""),"",IF(OR(L36&gt;$L$6,L36&lt;$L$7),"Média fora dos limites",IF(M36&gt;$L$9,"Amplitude fora do limite",IF(OR(COUNTIF(L30:L36,"&gt;"&amp;$L$5)=7,COUNTIF(L30:L36,"&lt;"&amp;$L$5)=7),"7 do mesmo lado",IF(AND(COUNT(L31:L36)=6,OR(AND(L36&gt;L35,L35&gt;L34,L34&gt;L33,L33&gt;L32,L32&gt;L31),AND(L36&lt;L35,L35&lt;L34,L34&lt;L33,L33&lt;L32,L32&lt;L31))),"6 subindo ou descendo","")))))</f>
        <v/>
      </c>
      <c r="Q36" s="22" t="str">
        <f aca="false">IF(COUNT(E36:I36)+LEN(C36)+LEN(D36)+LEN(J36)=0,"",IF(AND(COUNT(E36:I36)&gt;0,COUNT(E36:I36)&lt;5),"Faltam medições",IF(AND(COUNT(E36:I36)&gt;0,C36=""),"Falta a data",IF(AND(J36="Sim",K36=""),"Falta o motivo",IF(COUNT(E36:I36)=0,"Faltam medições","OK")))))</f>
        <v/>
      </c>
    </row>
    <row r="37" customFormat="false" ht="19.5" hidden="false" customHeight="true" outlineLevel="0" collapsed="false">
      <c r="B37" s="16" t="n">
        <v>25</v>
      </c>
      <c r="C37" s="17"/>
      <c r="D37" s="5"/>
      <c r="E37" s="11"/>
      <c r="F37" s="11"/>
      <c r="G37" s="11"/>
      <c r="H37" s="11"/>
      <c r="I37" s="11"/>
      <c r="J37" s="11"/>
      <c r="K37" s="5"/>
      <c r="L37" s="18" t="str">
        <f aca="false">IF(COUNT(E37:I37)=5,AVERAGE(E37:I37),"")</f>
        <v/>
      </c>
      <c r="M37" s="19" t="str">
        <f aca="false">IF(COUNT(E37:I37)=5,MAX(E37:I37)-MIN(E37:I37),"")</f>
        <v/>
      </c>
      <c r="N37" s="20" t="str">
        <f aca="false">IF(L37="","",IF(J37="Sim","Excluído",IF(OR($E$8="",B37&lt;=$E$8),"Base","Acompanhamento")))</f>
        <v/>
      </c>
      <c r="O37" s="21" t="str">
        <f aca="false">IF(OR(COUNT(E37:I37)=0,$E$6="",$E$7=""),"",COUNTIF(E37:I37,"&lt;"&amp;$E$6)+COUNTIF(E37:I37,"&gt;"&amp;$E$7))</f>
        <v/>
      </c>
      <c r="P37" s="22" t="str">
        <f aca="false">IF(OR(L37="",$L$5=""),"",IF(OR(L37&gt;$L$6,L37&lt;$L$7),"Média fora dos limites",IF(M37&gt;$L$9,"Amplitude fora do limite",IF(OR(COUNTIF(L31:L37,"&gt;"&amp;$L$5)=7,COUNTIF(L31:L37,"&lt;"&amp;$L$5)=7),"7 do mesmo lado",IF(AND(COUNT(L32:L37)=6,OR(AND(L37&gt;L36,L36&gt;L35,L35&gt;L34,L34&gt;L33,L33&gt;L32),AND(L37&lt;L36,L36&lt;L35,L35&lt;L34,L34&lt;L33,L33&lt;L32))),"6 subindo ou descendo","")))))</f>
        <v/>
      </c>
      <c r="Q37" s="22" t="str">
        <f aca="false">IF(COUNT(E37:I37)+LEN(C37)+LEN(D37)+LEN(J37)=0,"",IF(AND(COUNT(E37:I37)&gt;0,COUNT(E37:I37)&lt;5),"Faltam medições",IF(AND(COUNT(E37:I37)&gt;0,C37=""),"Falta a data",IF(AND(J37="Sim",K37=""),"Falta o motivo",IF(COUNT(E37:I37)=0,"Faltam medições","OK")))))</f>
        <v/>
      </c>
    </row>
    <row r="38" customFormat="false" ht="19.5" hidden="false" customHeight="true" outlineLevel="0" collapsed="false">
      <c r="B38" s="16" t="n">
        <v>26</v>
      </c>
      <c r="C38" s="17"/>
      <c r="D38" s="5"/>
      <c r="E38" s="11"/>
      <c r="F38" s="11"/>
      <c r="G38" s="11"/>
      <c r="H38" s="11"/>
      <c r="I38" s="11"/>
      <c r="J38" s="11"/>
      <c r="K38" s="5"/>
      <c r="L38" s="18" t="str">
        <f aca="false">IF(COUNT(E38:I38)=5,AVERAGE(E38:I38),"")</f>
        <v/>
      </c>
      <c r="M38" s="19" t="str">
        <f aca="false">IF(COUNT(E38:I38)=5,MAX(E38:I38)-MIN(E38:I38),"")</f>
        <v/>
      </c>
      <c r="N38" s="20" t="str">
        <f aca="false">IF(L38="","",IF(J38="Sim","Excluído",IF(OR($E$8="",B38&lt;=$E$8),"Base","Acompanhamento")))</f>
        <v/>
      </c>
      <c r="O38" s="21" t="str">
        <f aca="false">IF(OR(COUNT(E38:I38)=0,$E$6="",$E$7=""),"",COUNTIF(E38:I38,"&lt;"&amp;$E$6)+COUNTIF(E38:I38,"&gt;"&amp;$E$7))</f>
        <v/>
      </c>
      <c r="P38" s="22" t="str">
        <f aca="false">IF(OR(L38="",$L$5=""),"",IF(OR(L38&gt;$L$6,L38&lt;$L$7),"Média fora dos limites",IF(M38&gt;$L$9,"Amplitude fora do limite",IF(OR(COUNTIF(L32:L38,"&gt;"&amp;$L$5)=7,COUNTIF(L32:L38,"&lt;"&amp;$L$5)=7),"7 do mesmo lado",IF(AND(COUNT(L33:L38)=6,OR(AND(L38&gt;L37,L37&gt;L36,L36&gt;L35,L35&gt;L34,L34&gt;L33),AND(L38&lt;L37,L37&lt;L36,L36&lt;L35,L35&lt;L34,L34&lt;L33))),"6 subindo ou descendo","")))))</f>
        <v/>
      </c>
      <c r="Q38" s="22" t="str">
        <f aca="false">IF(COUNT(E38:I38)+LEN(C38)+LEN(D38)+LEN(J38)=0,"",IF(AND(COUNT(E38:I38)&gt;0,COUNT(E38:I38)&lt;5),"Faltam medições",IF(AND(COUNT(E38:I38)&gt;0,C38=""),"Falta a data",IF(AND(J38="Sim",K38=""),"Falta o motivo",IF(COUNT(E38:I38)=0,"Faltam medições","OK")))))</f>
        <v/>
      </c>
    </row>
    <row r="39" customFormat="false" ht="19.5" hidden="false" customHeight="true" outlineLevel="0" collapsed="false">
      <c r="B39" s="16" t="n">
        <v>27</v>
      </c>
      <c r="C39" s="17"/>
      <c r="D39" s="5"/>
      <c r="E39" s="11"/>
      <c r="F39" s="11"/>
      <c r="G39" s="11"/>
      <c r="H39" s="11"/>
      <c r="I39" s="11"/>
      <c r="J39" s="11"/>
      <c r="K39" s="5"/>
      <c r="L39" s="18" t="str">
        <f aca="false">IF(COUNT(E39:I39)=5,AVERAGE(E39:I39),"")</f>
        <v/>
      </c>
      <c r="M39" s="19" t="str">
        <f aca="false">IF(COUNT(E39:I39)=5,MAX(E39:I39)-MIN(E39:I39),"")</f>
        <v/>
      </c>
      <c r="N39" s="20" t="str">
        <f aca="false">IF(L39="","",IF(J39="Sim","Excluído",IF(OR($E$8="",B39&lt;=$E$8),"Base","Acompanhamento")))</f>
        <v/>
      </c>
      <c r="O39" s="21" t="str">
        <f aca="false">IF(OR(COUNT(E39:I39)=0,$E$6="",$E$7=""),"",COUNTIF(E39:I39,"&lt;"&amp;$E$6)+COUNTIF(E39:I39,"&gt;"&amp;$E$7))</f>
        <v/>
      </c>
      <c r="P39" s="22" t="str">
        <f aca="false">IF(OR(L39="",$L$5=""),"",IF(OR(L39&gt;$L$6,L39&lt;$L$7),"Média fora dos limites",IF(M39&gt;$L$9,"Amplitude fora do limite",IF(OR(COUNTIF(L33:L39,"&gt;"&amp;$L$5)=7,COUNTIF(L33:L39,"&lt;"&amp;$L$5)=7),"7 do mesmo lado",IF(AND(COUNT(L34:L39)=6,OR(AND(L39&gt;L38,L38&gt;L37,L37&gt;L36,L36&gt;L35,L35&gt;L34),AND(L39&lt;L38,L38&lt;L37,L37&lt;L36,L36&lt;L35,L35&lt;L34))),"6 subindo ou descendo","")))))</f>
        <v/>
      </c>
      <c r="Q39" s="22" t="str">
        <f aca="false">IF(COUNT(E39:I39)+LEN(C39)+LEN(D39)+LEN(J39)=0,"",IF(AND(COUNT(E39:I39)&gt;0,COUNT(E39:I39)&lt;5),"Faltam medições",IF(AND(COUNT(E39:I39)&gt;0,C39=""),"Falta a data",IF(AND(J39="Sim",K39=""),"Falta o motivo",IF(COUNT(E39:I39)=0,"Faltam medições","OK")))))</f>
        <v/>
      </c>
    </row>
    <row r="40" customFormat="false" ht="19.5" hidden="false" customHeight="true" outlineLevel="0" collapsed="false">
      <c r="B40" s="16" t="n">
        <v>28</v>
      </c>
      <c r="C40" s="17"/>
      <c r="D40" s="5"/>
      <c r="E40" s="11"/>
      <c r="F40" s="11"/>
      <c r="G40" s="11"/>
      <c r="H40" s="11"/>
      <c r="I40" s="11"/>
      <c r="J40" s="11"/>
      <c r="K40" s="5"/>
      <c r="L40" s="18" t="str">
        <f aca="false">IF(COUNT(E40:I40)=5,AVERAGE(E40:I40),"")</f>
        <v/>
      </c>
      <c r="M40" s="19" t="str">
        <f aca="false">IF(COUNT(E40:I40)=5,MAX(E40:I40)-MIN(E40:I40),"")</f>
        <v/>
      </c>
      <c r="N40" s="20" t="str">
        <f aca="false">IF(L40="","",IF(J40="Sim","Excluído",IF(OR($E$8="",B40&lt;=$E$8),"Base","Acompanhamento")))</f>
        <v/>
      </c>
      <c r="O40" s="21" t="str">
        <f aca="false">IF(OR(COUNT(E40:I40)=0,$E$6="",$E$7=""),"",COUNTIF(E40:I40,"&lt;"&amp;$E$6)+COUNTIF(E40:I40,"&gt;"&amp;$E$7))</f>
        <v/>
      </c>
      <c r="P40" s="22" t="str">
        <f aca="false">IF(OR(L40="",$L$5=""),"",IF(OR(L40&gt;$L$6,L40&lt;$L$7),"Média fora dos limites",IF(M40&gt;$L$9,"Amplitude fora do limite",IF(OR(COUNTIF(L34:L40,"&gt;"&amp;$L$5)=7,COUNTIF(L34:L40,"&lt;"&amp;$L$5)=7),"7 do mesmo lado",IF(AND(COUNT(L35:L40)=6,OR(AND(L40&gt;L39,L39&gt;L38,L38&gt;L37,L37&gt;L36,L36&gt;L35),AND(L40&lt;L39,L39&lt;L38,L38&lt;L37,L37&lt;L36,L36&lt;L35))),"6 subindo ou descendo","")))))</f>
        <v/>
      </c>
      <c r="Q40" s="22" t="str">
        <f aca="false">IF(COUNT(E40:I40)+LEN(C40)+LEN(D40)+LEN(J40)=0,"",IF(AND(COUNT(E40:I40)&gt;0,COUNT(E40:I40)&lt;5),"Faltam medições",IF(AND(COUNT(E40:I40)&gt;0,C40=""),"Falta a data",IF(AND(J40="Sim",K40=""),"Falta o motivo",IF(COUNT(E40:I40)=0,"Faltam medições","OK")))))</f>
        <v/>
      </c>
    </row>
    <row r="41" customFormat="false" ht="19.5" hidden="false" customHeight="true" outlineLevel="0" collapsed="false">
      <c r="B41" s="16" t="n">
        <v>29</v>
      </c>
      <c r="C41" s="17"/>
      <c r="D41" s="5"/>
      <c r="E41" s="11"/>
      <c r="F41" s="11"/>
      <c r="G41" s="11"/>
      <c r="H41" s="11"/>
      <c r="I41" s="11"/>
      <c r="J41" s="11"/>
      <c r="K41" s="5"/>
      <c r="L41" s="18" t="str">
        <f aca="false">IF(COUNT(E41:I41)=5,AVERAGE(E41:I41),"")</f>
        <v/>
      </c>
      <c r="M41" s="19" t="str">
        <f aca="false">IF(COUNT(E41:I41)=5,MAX(E41:I41)-MIN(E41:I41),"")</f>
        <v/>
      </c>
      <c r="N41" s="20" t="str">
        <f aca="false">IF(L41="","",IF(J41="Sim","Excluído",IF(OR($E$8="",B41&lt;=$E$8),"Base","Acompanhamento")))</f>
        <v/>
      </c>
      <c r="O41" s="21" t="str">
        <f aca="false">IF(OR(COUNT(E41:I41)=0,$E$6="",$E$7=""),"",COUNTIF(E41:I41,"&lt;"&amp;$E$6)+COUNTIF(E41:I41,"&gt;"&amp;$E$7))</f>
        <v/>
      </c>
      <c r="P41" s="22" t="str">
        <f aca="false">IF(OR(L41="",$L$5=""),"",IF(OR(L41&gt;$L$6,L41&lt;$L$7),"Média fora dos limites",IF(M41&gt;$L$9,"Amplitude fora do limite",IF(OR(COUNTIF(L35:L41,"&gt;"&amp;$L$5)=7,COUNTIF(L35:L41,"&lt;"&amp;$L$5)=7),"7 do mesmo lado",IF(AND(COUNT(L36:L41)=6,OR(AND(L41&gt;L40,L40&gt;L39,L39&gt;L38,L38&gt;L37,L37&gt;L36),AND(L41&lt;L40,L40&lt;L39,L39&lt;L38,L38&lt;L37,L37&lt;L36))),"6 subindo ou descendo","")))))</f>
        <v/>
      </c>
      <c r="Q41" s="22" t="str">
        <f aca="false">IF(COUNT(E41:I41)+LEN(C41)+LEN(D41)+LEN(J41)=0,"",IF(AND(COUNT(E41:I41)&gt;0,COUNT(E41:I41)&lt;5),"Faltam medições",IF(AND(COUNT(E41:I41)&gt;0,C41=""),"Falta a data",IF(AND(J41="Sim",K41=""),"Falta o motivo",IF(COUNT(E41:I41)=0,"Faltam medições","OK")))))</f>
        <v/>
      </c>
    </row>
    <row r="42" customFormat="false" ht="19.5" hidden="false" customHeight="true" outlineLevel="0" collapsed="false">
      <c r="B42" s="16" t="n">
        <v>30</v>
      </c>
      <c r="C42" s="17"/>
      <c r="D42" s="5"/>
      <c r="E42" s="11"/>
      <c r="F42" s="11"/>
      <c r="G42" s="11"/>
      <c r="H42" s="11"/>
      <c r="I42" s="11"/>
      <c r="J42" s="11"/>
      <c r="K42" s="5"/>
      <c r="L42" s="18" t="str">
        <f aca="false">IF(COUNT(E42:I42)=5,AVERAGE(E42:I42),"")</f>
        <v/>
      </c>
      <c r="M42" s="19" t="str">
        <f aca="false">IF(COUNT(E42:I42)=5,MAX(E42:I42)-MIN(E42:I42),"")</f>
        <v/>
      </c>
      <c r="N42" s="20" t="str">
        <f aca="false">IF(L42="","",IF(J42="Sim","Excluído",IF(OR($E$8="",B42&lt;=$E$8),"Base","Acompanhamento")))</f>
        <v/>
      </c>
      <c r="O42" s="21" t="str">
        <f aca="false">IF(OR(COUNT(E42:I42)=0,$E$6="",$E$7=""),"",COUNTIF(E42:I42,"&lt;"&amp;$E$6)+COUNTIF(E42:I42,"&gt;"&amp;$E$7))</f>
        <v/>
      </c>
      <c r="P42" s="22" t="str">
        <f aca="false">IF(OR(L42="",$L$5=""),"",IF(OR(L42&gt;$L$6,L42&lt;$L$7),"Média fora dos limites",IF(M42&gt;$L$9,"Amplitude fora do limite",IF(OR(COUNTIF(L36:L42,"&gt;"&amp;$L$5)=7,COUNTIF(L36:L42,"&lt;"&amp;$L$5)=7),"7 do mesmo lado",IF(AND(COUNT(L37:L42)=6,OR(AND(L42&gt;L41,L41&gt;L40,L40&gt;L39,L39&gt;L38,L38&gt;L37),AND(L42&lt;L41,L41&lt;L40,L40&lt;L39,L39&lt;L38,L38&lt;L37))),"6 subindo ou descendo","")))))</f>
        <v/>
      </c>
      <c r="Q42" s="22" t="str">
        <f aca="false">IF(COUNT(E42:I42)+LEN(C42)+LEN(D42)+LEN(J42)=0,"",IF(AND(COUNT(E42:I42)&gt;0,COUNT(E42:I42)&lt;5),"Faltam medições",IF(AND(COUNT(E42:I42)&gt;0,C42=""),"Falta a data",IF(AND(J42="Sim",K42=""),"Falta o motivo",IF(COUNT(E42:I42)=0,"Faltam medições","OK")))))</f>
        <v/>
      </c>
    </row>
    <row r="44" customFormat="false" ht="21.75" hidden="false" customHeight="true" outlineLevel="0" collapsed="false">
      <c r="B44" s="23" t="s">
        <v>93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  <row r="45" customFormat="false" ht="21.75" hidden="false" customHeight="true" outlineLevel="0" collapsed="false">
      <c r="B45" s="24" t="s">
        <v>94</v>
      </c>
      <c r="C45" s="24"/>
      <c r="D45" s="24"/>
      <c r="E45" s="25" t="str">
        <f aca="false">COUNTIF(N13:N42,"Base")&amp;" base"&amp;", "&amp;COUNTIF(N13:N42,"Excluído")&amp;" excluído"&amp;", "&amp;COUNTIF(N13:N42,"Acompanhamento")&amp;" acompanhamento"</f>
        <v>0 base, 0 excluído, 0 acompanhamento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</row>
    <row r="46" customFormat="false" ht="21.75" hidden="false" customHeight="true" outlineLevel="0" collapsed="false">
      <c r="B46" s="24" t="s">
        <v>18</v>
      </c>
      <c r="C46" s="24"/>
      <c r="D46" s="24"/>
      <c r="E46" s="25" t="str">
        <f aca="false">COUNTIF(P13:P42,"Média fora dos limites")&amp;" média fora dos limites"&amp;", "&amp;COUNTIF(P13:P42,"Amplitude fora do limite")&amp;" amplitude fora do limite"&amp;", "&amp;COUNTIF(P13:P42,"7 do mesmo lado")&amp;" 7 do mesmo lado"&amp;", "&amp;COUNTIF(P13:P42,"6 subindo ou descendo")&amp;" 6 subindo ou descendo"</f>
        <v>0 média fora dos limites, 0 amplitude fora do limite, 0 7 do mesmo lado, 0 6 subindo ou descendo</v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</row>
  </sheetData>
  <mergeCells count="33">
    <mergeCell ref="B1:Q1"/>
    <mergeCell ref="B2:Q2"/>
    <mergeCell ref="B4:D4"/>
    <mergeCell ref="E4:I4"/>
    <mergeCell ref="L4:M4"/>
    <mergeCell ref="N4:Q4"/>
    <mergeCell ref="B5:D5"/>
    <mergeCell ref="E5:I5"/>
    <mergeCell ref="L5:M5"/>
    <mergeCell ref="N5:Q5"/>
    <mergeCell ref="B6:D6"/>
    <mergeCell ref="E6:I6"/>
    <mergeCell ref="L6:M6"/>
    <mergeCell ref="N6:Q6"/>
    <mergeCell ref="B7:D7"/>
    <mergeCell ref="E7:I7"/>
    <mergeCell ref="L7:M7"/>
    <mergeCell ref="N7:Q7"/>
    <mergeCell ref="B8:D8"/>
    <mergeCell ref="E8:I8"/>
    <mergeCell ref="L8:M8"/>
    <mergeCell ref="N8:Q8"/>
    <mergeCell ref="B9:D9"/>
    <mergeCell ref="E9:I9"/>
    <mergeCell ref="L9:M9"/>
    <mergeCell ref="N9:Q9"/>
    <mergeCell ref="L10:M10"/>
    <mergeCell ref="N10:Q10"/>
    <mergeCell ref="B44:Q44"/>
    <mergeCell ref="B45:D45"/>
    <mergeCell ref="E45:Q45"/>
    <mergeCell ref="B46:D46"/>
    <mergeCell ref="E46:Q46"/>
  </mergeCells>
  <conditionalFormatting sqref="N13:N42">
    <cfRule type="expression" priority="2" aboveAverage="0" equalAverage="0" bottom="0" percent="0" rank="0" text="" dxfId="0">
      <formula>N13="Base"</formula>
    </cfRule>
    <cfRule type="expression" priority="3" aboveAverage="0" equalAverage="0" bottom="0" percent="0" rank="0" text="" dxfId="1">
      <formula>N13="Acompanhamento"</formula>
    </cfRule>
    <cfRule type="expression" priority="4" aboveAverage="0" equalAverage="0" bottom="0" percent="0" rank="0" text="" dxfId="2">
      <formula>N13="Excluído"</formula>
    </cfRule>
  </conditionalFormatting>
  <conditionalFormatting sqref="P13:P42">
    <cfRule type="expression" priority="5" aboveAverage="0" equalAverage="0" bottom="0" percent="0" rank="0" text="" dxfId="3">
      <formula>P13="Média fora dos limites"</formula>
    </cfRule>
    <cfRule type="expression" priority="6" aboveAverage="0" equalAverage="0" bottom="0" percent="0" rank="0" text="" dxfId="3">
      <formula>P13="Amplitude fora do limite"</formula>
    </cfRule>
    <cfRule type="expression" priority="7" aboveAverage="0" equalAverage="0" bottom="0" percent="0" rank="0" text="" dxfId="4">
      <formula>P13="7 do mesmo lado"</formula>
    </cfRule>
    <cfRule type="expression" priority="8" aboveAverage="0" equalAverage="0" bottom="0" percent="0" rank="0" text="" dxfId="4">
      <formula>P13="6 subindo ou descendo"</formula>
    </cfRule>
  </conditionalFormatting>
  <conditionalFormatting sqref="Q13:Q42">
    <cfRule type="expression" priority="9" aboveAverage="0" equalAverage="0" bottom="0" percent="0" rank="0" text="" dxfId="0">
      <formula>OR(Q13="OK")</formula>
    </cfRule>
    <cfRule type="expression" priority="10" aboveAverage="0" equalAverage="0" bottom="0" percent="0" rank="0" text="" dxfId="2">
      <formula>AND(LEN(Q13)&gt;0,NOT(OR(Q13="OK")))</formula>
    </cfRule>
  </conditionalFormatting>
  <conditionalFormatting sqref="E13:I42">
    <cfRule type="expression" priority="11" aboveAverage="0" equalAverage="0" bottom="0" percent="0" rank="0" text="" dxfId="3">
      <formula>AND(ISNUMBER(E13),$E$6&lt;&gt;"",$E$7&lt;&gt;"",OR(E13&lt;$E$6,E13&gt;$E$7))</formula>
    </cfRule>
  </conditionalFormatting>
  <dataValidations count="4">
    <dataValidation allowBlank="true" error="Digite apenas o número, sem texto nem unidade." errorStyle="stop" errorTitle="Valor inválido" operator="between" showDropDown="false" showErrorMessage="true" showInputMessage="false" sqref="E6:E7" type="decimal">
      <formula1>-1000000000</formula1>
      <formula2>1000000000</formula2>
    </dataValidation>
    <dataValidation allowBlank="true" error="Digite uma data no formato dia/mês/ano." errorStyle="stop" errorTitle="Data inválida" operator="greaterThanOrEqual" showDropDown="false" showErrorMessage="true" showInputMessage="false" sqref="C13:C42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3:I42" type="decimal">
      <formula1>-1000000000</formula1>
      <formula2>1000000000</formula2>
    </dataValidation>
    <dataValidation allowBlank="true" error="Escolha uma das opções da lista." errorStyle="stop" errorTitle="Valor inválido" operator="between" prompt="Sim, para tirar o subgrupo do cálculo dos limites" promptTitle="Opções" showDropDown="false" showErrorMessage="true" showInputMessage="true" sqref="J13:J42" type="list">
      <formula1>"Sim"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9" min="3" style="0" width="11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95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96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26" t="s">
        <v>97</v>
      </c>
      <c r="C3" s="26"/>
      <c r="D3" s="26"/>
      <c r="E3" s="26"/>
      <c r="F3" s="26"/>
      <c r="G3" s="26"/>
      <c r="H3" s="26"/>
      <c r="I3" s="26"/>
    </row>
    <row r="4" customFormat="false" ht="15" hidden="false" customHeight="false" outlineLevel="0" collapsed="false">
      <c r="B4" s="15" t="s">
        <v>78</v>
      </c>
      <c r="C4" s="15" t="s">
        <v>88</v>
      </c>
      <c r="D4" s="15" t="s">
        <v>98</v>
      </c>
      <c r="E4" s="15" t="s">
        <v>99</v>
      </c>
      <c r="F4" s="15" t="s">
        <v>100</v>
      </c>
      <c r="G4" s="15" t="s">
        <v>89</v>
      </c>
      <c r="H4" s="15" t="s">
        <v>101</v>
      </c>
      <c r="I4" s="15" t="s">
        <v>102</v>
      </c>
    </row>
    <row r="5" customFormat="false" ht="15" hidden="false" customHeight="false" outlineLevel="0" collapsed="false">
      <c r="B5" s="16" t="n">
        <v>1</v>
      </c>
      <c r="C5" s="27" t="e">
        <f aca="false">IF(OR(Dados!L13="",Dados!L13=""),NA(),Dados!L13)</f>
        <v>#N/A</v>
      </c>
      <c r="D5" s="27" t="e">
        <f aca="false">IF(OR(Dados!L13="",Dados!$L$6=""),NA(),Dados!$L$6)</f>
        <v>#N/A</v>
      </c>
      <c r="E5" s="27" t="e">
        <f aca="false">IF(OR(Dados!L13="",Dados!$L$5=""),NA(),Dados!$L$5)</f>
        <v>#N/A</v>
      </c>
      <c r="F5" s="27" t="e">
        <f aca="false">IF(OR(Dados!L13="",Dados!$L$7=""),NA(),Dados!$L$7)</f>
        <v>#N/A</v>
      </c>
      <c r="G5" s="27" t="e">
        <f aca="false">IF(OR(Dados!L13="",Dados!M13=""),NA(),Dados!M13)</f>
        <v>#N/A</v>
      </c>
      <c r="H5" s="27" t="e">
        <f aca="false">IF(OR(Dados!L13="",Dados!$L$9=""),NA(),Dados!$L$9)</f>
        <v>#N/A</v>
      </c>
      <c r="I5" s="27" t="e">
        <f aca="false">IF(OR(Dados!L13="",Dados!$L$8=""),NA(),Dados!$L$8)</f>
        <v>#N/A</v>
      </c>
    </row>
    <row r="6" customFormat="false" ht="15" hidden="false" customHeight="false" outlineLevel="0" collapsed="false">
      <c r="B6" s="16" t="n">
        <v>2</v>
      </c>
      <c r="C6" s="27" t="e">
        <f aca="false">IF(OR(Dados!L14="",Dados!L14=""),NA(),Dados!L14)</f>
        <v>#N/A</v>
      </c>
      <c r="D6" s="27" t="e">
        <f aca="false">IF(OR(Dados!L14="",Dados!$L$6=""),NA(),Dados!$L$6)</f>
        <v>#N/A</v>
      </c>
      <c r="E6" s="27" t="e">
        <f aca="false">IF(OR(Dados!L14="",Dados!$L$5=""),NA(),Dados!$L$5)</f>
        <v>#N/A</v>
      </c>
      <c r="F6" s="27" t="e">
        <f aca="false">IF(OR(Dados!L14="",Dados!$L$7=""),NA(),Dados!$L$7)</f>
        <v>#N/A</v>
      </c>
      <c r="G6" s="27" t="e">
        <f aca="false">IF(OR(Dados!L14="",Dados!M14=""),NA(),Dados!M14)</f>
        <v>#N/A</v>
      </c>
      <c r="H6" s="27" t="e">
        <f aca="false">IF(OR(Dados!L14="",Dados!$L$9=""),NA(),Dados!$L$9)</f>
        <v>#N/A</v>
      </c>
      <c r="I6" s="27" t="e">
        <f aca="false">IF(OR(Dados!L14="",Dados!$L$8=""),NA(),Dados!$L$8)</f>
        <v>#N/A</v>
      </c>
    </row>
    <row r="7" customFormat="false" ht="15" hidden="false" customHeight="false" outlineLevel="0" collapsed="false">
      <c r="B7" s="16" t="n">
        <v>3</v>
      </c>
      <c r="C7" s="27" t="e">
        <f aca="false">IF(OR(Dados!L15="",Dados!L15=""),NA(),Dados!L15)</f>
        <v>#N/A</v>
      </c>
      <c r="D7" s="27" t="e">
        <f aca="false">IF(OR(Dados!L15="",Dados!$L$6=""),NA(),Dados!$L$6)</f>
        <v>#N/A</v>
      </c>
      <c r="E7" s="27" t="e">
        <f aca="false">IF(OR(Dados!L15="",Dados!$L$5=""),NA(),Dados!$L$5)</f>
        <v>#N/A</v>
      </c>
      <c r="F7" s="27" t="e">
        <f aca="false">IF(OR(Dados!L15="",Dados!$L$7=""),NA(),Dados!$L$7)</f>
        <v>#N/A</v>
      </c>
      <c r="G7" s="27" t="e">
        <f aca="false">IF(OR(Dados!L15="",Dados!M15=""),NA(),Dados!M15)</f>
        <v>#N/A</v>
      </c>
      <c r="H7" s="27" t="e">
        <f aca="false">IF(OR(Dados!L15="",Dados!$L$9=""),NA(),Dados!$L$9)</f>
        <v>#N/A</v>
      </c>
      <c r="I7" s="27" t="e">
        <f aca="false">IF(OR(Dados!L15="",Dados!$L$8=""),NA(),Dados!$L$8)</f>
        <v>#N/A</v>
      </c>
    </row>
    <row r="8" customFormat="false" ht="15" hidden="false" customHeight="false" outlineLevel="0" collapsed="false">
      <c r="B8" s="16" t="n">
        <v>4</v>
      </c>
      <c r="C8" s="27" t="e">
        <f aca="false">IF(OR(Dados!L16="",Dados!L16=""),NA(),Dados!L16)</f>
        <v>#N/A</v>
      </c>
      <c r="D8" s="27" t="e">
        <f aca="false">IF(OR(Dados!L16="",Dados!$L$6=""),NA(),Dados!$L$6)</f>
        <v>#N/A</v>
      </c>
      <c r="E8" s="27" t="e">
        <f aca="false">IF(OR(Dados!L16="",Dados!$L$5=""),NA(),Dados!$L$5)</f>
        <v>#N/A</v>
      </c>
      <c r="F8" s="27" t="e">
        <f aca="false">IF(OR(Dados!L16="",Dados!$L$7=""),NA(),Dados!$L$7)</f>
        <v>#N/A</v>
      </c>
      <c r="G8" s="27" t="e">
        <f aca="false">IF(OR(Dados!L16="",Dados!M16=""),NA(),Dados!M16)</f>
        <v>#N/A</v>
      </c>
      <c r="H8" s="27" t="e">
        <f aca="false">IF(OR(Dados!L16="",Dados!$L$9=""),NA(),Dados!$L$9)</f>
        <v>#N/A</v>
      </c>
      <c r="I8" s="27" t="e">
        <f aca="false">IF(OR(Dados!L16="",Dados!$L$8=""),NA(),Dados!$L$8)</f>
        <v>#N/A</v>
      </c>
    </row>
    <row r="9" customFormat="false" ht="15" hidden="false" customHeight="false" outlineLevel="0" collapsed="false">
      <c r="B9" s="16" t="n">
        <v>5</v>
      </c>
      <c r="C9" s="27" t="e">
        <f aca="false">IF(OR(Dados!L17="",Dados!L17=""),NA(),Dados!L17)</f>
        <v>#N/A</v>
      </c>
      <c r="D9" s="27" t="e">
        <f aca="false">IF(OR(Dados!L17="",Dados!$L$6=""),NA(),Dados!$L$6)</f>
        <v>#N/A</v>
      </c>
      <c r="E9" s="27" t="e">
        <f aca="false">IF(OR(Dados!L17="",Dados!$L$5=""),NA(),Dados!$L$5)</f>
        <v>#N/A</v>
      </c>
      <c r="F9" s="27" t="e">
        <f aca="false">IF(OR(Dados!L17="",Dados!$L$7=""),NA(),Dados!$L$7)</f>
        <v>#N/A</v>
      </c>
      <c r="G9" s="27" t="e">
        <f aca="false">IF(OR(Dados!L17="",Dados!M17=""),NA(),Dados!M17)</f>
        <v>#N/A</v>
      </c>
      <c r="H9" s="27" t="e">
        <f aca="false">IF(OR(Dados!L17="",Dados!$L$9=""),NA(),Dados!$L$9)</f>
        <v>#N/A</v>
      </c>
      <c r="I9" s="27" t="e">
        <f aca="false">IF(OR(Dados!L17="",Dados!$L$8=""),NA(),Dados!$L$8)</f>
        <v>#N/A</v>
      </c>
    </row>
    <row r="10" customFormat="false" ht="15" hidden="false" customHeight="false" outlineLevel="0" collapsed="false">
      <c r="B10" s="16" t="n">
        <v>6</v>
      </c>
      <c r="C10" s="27" t="e">
        <f aca="false">IF(OR(Dados!L18="",Dados!L18=""),NA(),Dados!L18)</f>
        <v>#N/A</v>
      </c>
      <c r="D10" s="27" t="e">
        <f aca="false">IF(OR(Dados!L18="",Dados!$L$6=""),NA(),Dados!$L$6)</f>
        <v>#N/A</v>
      </c>
      <c r="E10" s="27" t="e">
        <f aca="false">IF(OR(Dados!L18="",Dados!$L$5=""),NA(),Dados!$L$5)</f>
        <v>#N/A</v>
      </c>
      <c r="F10" s="27" t="e">
        <f aca="false">IF(OR(Dados!L18="",Dados!$L$7=""),NA(),Dados!$L$7)</f>
        <v>#N/A</v>
      </c>
      <c r="G10" s="27" t="e">
        <f aca="false">IF(OR(Dados!L18="",Dados!M18=""),NA(),Dados!M18)</f>
        <v>#N/A</v>
      </c>
      <c r="H10" s="27" t="e">
        <f aca="false">IF(OR(Dados!L18="",Dados!$L$9=""),NA(),Dados!$L$9)</f>
        <v>#N/A</v>
      </c>
      <c r="I10" s="27" t="e">
        <f aca="false">IF(OR(Dados!L18="",Dados!$L$8=""),NA(),Dados!$L$8)</f>
        <v>#N/A</v>
      </c>
    </row>
    <row r="11" customFormat="false" ht="15" hidden="false" customHeight="false" outlineLevel="0" collapsed="false">
      <c r="B11" s="16" t="n">
        <v>7</v>
      </c>
      <c r="C11" s="27" t="e">
        <f aca="false">IF(OR(Dados!L19="",Dados!L19=""),NA(),Dados!L19)</f>
        <v>#N/A</v>
      </c>
      <c r="D11" s="27" t="e">
        <f aca="false">IF(OR(Dados!L19="",Dados!$L$6=""),NA(),Dados!$L$6)</f>
        <v>#N/A</v>
      </c>
      <c r="E11" s="27" t="e">
        <f aca="false">IF(OR(Dados!L19="",Dados!$L$5=""),NA(),Dados!$L$5)</f>
        <v>#N/A</v>
      </c>
      <c r="F11" s="27" t="e">
        <f aca="false">IF(OR(Dados!L19="",Dados!$L$7=""),NA(),Dados!$L$7)</f>
        <v>#N/A</v>
      </c>
      <c r="G11" s="27" t="e">
        <f aca="false">IF(OR(Dados!L19="",Dados!M19=""),NA(),Dados!M19)</f>
        <v>#N/A</v>
      </c>
      <c r="H11" s="27" t="e">
        <f aca="false">IF(OR(Dados!L19="",Dados!$L$9=""),NA(),Dados!$L$9)</f>
        <v>#N/A</v>
      </c>
      <c r="I11" s="27" t="e">
        <f aca="false">IF(OR(Dados!L19="",Dados!$L$8=""),NA(),Dados!$L$8)</f>
        <v>#N/A</v>
      </c>
    </row>
    <row r="12" customFormat="false" ht="15" hidden="false" customHeight="false" outlineLevel="0" collapsed="false">
      <c r="B12" s="16" t="n">
        <v>8</v>
      </c>
      <c r="C12" s="27" t="e">
        <f aca="false">IF(OR(Dados!L20="",Dados!L20=""),NA(),Dados!L20)</f>
        <v>#N/A</v>
      </c>
      <c r="D12" s="27" t="e">
        <f aca="false">IF(OR(Dados!L20="",Dados!$L$6=""),NA(),Dados!$L$6)</f>
        <v>#N/A</v>
      </c>
      <c r="E12" s="27" t="e">
        <f aca="false">IF(OR(Dados!L20="",Dados!$L$5=""),NA(),Dados!$L$5)</f>
        <v>#N/A</v>
      </c>
      <c r="F12" s="27" t="e">
        <f aca="false">IF(OR(Dados!L20="",Dados!$L$7=""),NA(),Dados!$L$7)</f>
        <v>#N/A</v>
      </c>
      <c r="G12" s="27" t="e">
        <f aca="false">IF(OR(Dados!L20="",Dados!M20=""),NA(),Dados!M20)</f>
        <v>#N/A</v>
      </c>
      <c r="H12" s="27" t="e">
        <f aca="false">IF(OR(Dados!L20="",Dados!$L$9=""),NA(),Dados!$L$9)</f>
        <v>#N/A</v>
      </c>
      <c r="I12" s="27" t="e">
        <f aca="false">IF(OR(Dados!L20="",Dados!$L$8=""),NA(),Dados!$L$8)</f>
        <v>#N/A</v>
      </c>
    </row>
    <row r="13" customFormat="false" ht="15" hidden="false" customHeight="false" outlineLevel="0" collapsed="false">
      <c r="B13" s="16" t="n">
        <v>9</v>
      </c>
      <c r="C13" s="27" t="e">
        <f aca="false">IF(OR(Dados!L21="",Dados!L21=""),NA(),Dados!L21)</f>
        <v>#N/A</v>
      </c>
      <c r="D13" s="27" t="e">
        <f aca="false">IF(OR(Dados!L21="",Dados!$L$6=""),NA(),Dados!$L$6)</f>
        <v>#N/A</v>
      </c>
      <c r="E13" s="27" t="e">
        <f aca="false">IF(OR(Dados!L21="",Dados!$L$5=""),NA(),Dados!$L$5)</f>
        <v>#N/A</v>
      </c>
      <c r="F13" s="27" t="e">
        <f aca="false">IF(OR(Dados!L21="",Dados!$L$7=""),NA(),Dados!$L$7)</f>
        <v>#N/A</v>
      </c>
      <c r="G13" s="27" t="e">
        <f aca="false">IF(OR(Dados!L21="",Dados!M21=""),NA(),Dados!M21)</f>
        <v>#N/A</v>
      </c>
      <c r="H13" s="27" t="e">
        <f aca="false">IF(OR(Dados!L21="",Dados!$L$9=""),NA(),Dados!$L$9)</f>
        <v>#N/A</v>
      </c>
      <c r="I13" s="27" t="e">
        <f aca="false">IF(OR(Dados!L21="",Dados!$L$8=""),NA(),Dados!$L$8)</f>
        <v>#N/A</v>
      </c>
    </row>
    <row r="14" customFormat="false" ht="15" hidden="false" customHeight="false" outlineLevel="0" collapsed="false">
      <c r="B14" s="16" t="n">
        <v>10</v>
      </c>
      <c r="C14" s="27" t="e">
        <f aca="false">IF(OR(Dados!L22="",Dados!L22=""),NA(),Dados!L22)</f>
        <v>#N/A</v>
      </c>
      <c r="D14" s="27" t="e">
        <f aca="false">IF(OR(Dados!L22="",Dados!$L$6=""),NA(),Dados!$L$6)</f>
        <v>#N/A</v>
      </c>
      <c r="E14" s="27" t="e">
        <f aca="false">IF(OR(Dados!L22="",Dados!$L$5=""),NA(),Dados!$L$5)</f>
        <v>#N/A</v>
      </c>
      <c r="F14" s="27" t="e">
        <f aca="false">IF(OR(Dados!L22="",Dados!$L$7=""),NA(),Dados!$L$7)</f>
        <v>#N/A</v>
      </c>
      <c r="G14" s="27" t="e">
        <f aca="false">IF(OR(Dados!L22="",Dados!M22=""),NA(),Dados!M22)</f>
        <v>#N/A</v>
      </c>
      <c r="H14" s="27" t="e">
        <f aca="false">IF(OR(Dados!L22="",Dados!$L$9=""),NA(),Dados!$L$9)</f>
        <v>#N/A</v>
      </c>
      <c r="I14" s="27" t="e">
        <f aca="false">IF(OR(Dados!L22="",Dados!$L$8=""),NA(),Dados!$L$8)</f>
        <v>#N/A</v>
      </c>
    </row>
    <row r="15" customFormat="false" ht="15" hidden="false" customHeight="false" outlineLevel="0" collapsed="false">
      <c r="B15" s="16" t="n">
        <v>11</v>
      </c>
      <c r="C15" s="27" t="e">
        <f aca="false">IF(OR(Dados!L23="",Dados!L23=""),NA(),Dados!L23)</f>
        <v>#N/A</v>
      </c>
      <c r="D15" s="27" t="e">
        <f aca="false">IF(OR(Dados!L23="",Dados!$L$6=""),NA(),Dados!$L$6)</f>
        <v>#N/A</v>
      </c>
      <c r="E15" s="27" t="e">
        <f aca="false">IF(OR(Dados!L23="",Dados!$L$5=""),NA(),Dados!$L$5)</f>
        <v>#N/A</v>
      </c>
      <c r="F15" s="27" t="e">
        <f aca="false">IF(OR(Dados!L23="",Dados!$L$7=""),NA(),Dados!$L$7)</f>
        <v>#N/A</v>
      </c>
      <c r="G15" s="27" t="e">
        <f aca="false">IF(OR(Dados!L23="",Dados!M23=""),NA(),Dados!M23)</f>
        <v>#N/A</v>
      </c>
      <c r="H15" s="27" t="e">
        <f aca="false">IF(OR(Dados!L23="",Dados!$L$9=""),NA(),Dados!$L$9)</f>
        <v>#N/A</v>
      </c>
      <c r="I15" s="27" t="e">
        <f aca="false">IF(OR(Dados!L23="",Dados!$L$8=""),NA(),Dados!$L$8)</f>
        <v>#N/A</v>
      </c>
    </row>
    <row r="16" customFormat="false" ht="15" hidden="false" customHeight="false" outlineLevel="0" collapsed="false">
      <c r="B16" s="16" t="n">
        <v>12</v>
      </c>
      <c r="C16" s="27" t="e">
        <f aca="false">IF(OR(Dados!L24="",Dados!L24=""),NA(),Dados!L24)</f>
        <v>#N/A</v>
      </c>
      <c r="D16" s="27" t="e">
        <f aca="false">IF(OR(Dados!L24="",Dados!$L$6=""),NA(),Dados!$L$6)</f>
        <v>#N/A</v>
      </c>
      <c r="E16" s="27" t="e">
        <f aca="false">IF(OR(Dados!L24="",Dados!$L$5=""),NA(),Dados!$L$5)</f>
        <v>#N/A</v>
      </c>
      <c r="F16" s="27" t="e">
        <f aca="false">IF(OR(Dados!L24="",Dados!$L$7=""),NA(),Dados!$L$7)</f>
        <v>#N/A</v>
      </c>
      <c r="G16" s="27" t="e">
        <f aca="false">IF(OR(Dados!L24="",Dados!M24=""),NA(),Dados!M24)</f>
        <v>#N/A</v>
      </c>
      <c r="H16" s="27" t="e">
        <f aca="false">IF(OR(Dados!L24="",Dados!$L$9=""),NA(),Dados!$L$9)</f>
        <v>#N/A</v>
      </c>
      <c r="I16" s="27" t="e">
        <f aca="false">IF(OR(Dados!L24="",Dados!$L$8=""),NA(),Dados!$L$8)</f>
        <v>#N/A</v>
      </c>
    </row>
    <row r="17" customFormat="false" ht="15" hidden="false" customHeight="false" outlineLevel="0" collapsed="false">
      <c r="B17" s="16" t="n">
        <v>13</v>
      </c>
      <c r="C17" s="27" t="e">
        <f aca="false">IF(OR(Dados!L25="",Dados!L25=""),NA(),Dados!L25)</f>
        <v>#N/A</v>
      </c>
      <c r="D17" s="27" t="e">
        <f aca="false">IF(OR(Dados!L25="",Dados!$L$6=""),NA(),Dados!$L$6)</f>
        <v>#N/A</v>
      </c>
      <c r="E17" s="27" t="e">
        <f aca="false">IF(OR(Dados!L25="",Dados!$L$5=""),NA(),Dados!$L$5)</f>
        <v>#N/A</v>
      </c>
      <c r="F17" s="27" t="e">
        <f aca="false">IF(OR(Dados!L25="",Dados!$L$7=""),NA(),Dados!$L$7)</f>
        <v>#N/A</v>
      </c>
      <c r="G17" s="27" t="e">
        <f aca="false">IF(OR(Dados!L25="",Dados!M25=""),NA(),Dados!M25)</f>
        <v>#N/A</v>
      </c>
      <c r="H17" s="27" t="e">
        <f aca="false">IF(OR(Dados!L25="",Dados!$L$9=""),NA(),Dados!$L$9)</f>
        <v>#N/A</v>
      </c>
      <c r="I17" s="27" t="e">
        <f aca="false">IF(OR(Dados!L25="",Dados!$L$8=""),NA(),Dados!$L$8)</f>
        <v>#N/A</v>
      </c>
    </row>
    <row r="18" customFormat="false" ht="15" hidden="false" customHeight="false" outlineLevel="0" collapsed="false">
      <c r="B18" s="16" t="n">
        <v>14</v>
      </c>
      <c r="C18" s="27" t="e">
        <f aca="false">IF(OR(Dados!L26="",Dados!L26=""),NA(),Dados!L26)</f>
        <v>#N/A</v>
      </c>
      <c r="D18" s="27" t="e">
        <f aca="false">IF(OR(Dados!L26="",Dados!$L$6=""),NA(),Dados!$L$6)</f>
        <v>#N/A</v>
      </c>
      <c r="E18" s="27" t="e">
        <f aca="false">IF(OR(Dados!L26="",Dados!$L$5=""),NA(),Dados!$L$5)</f>
        <v>#N/A</v>
      </c>
      <c r="F18" s="27" t="e">
        <f aca="false">IF(OR(Dados!L26="",Dados!$L$7=""),NA(),Dados!$L$7)</f>
        <v>#N/A</v>
      </c>
      <c r="G18" s="27" t="e">
        <f aca="false">IF(OR(Dados!L26="",Dados!M26=""),NA(),Dados!M26)</f>
        <v>#N/A</v>
      </c>
      <c r="H18" s="27" t="e">
        <f aca="false">IF(OR(Dados!L26="",Dados!$L$9=""),NA(),Dados!$L$9)</f>
        <v>#N/A</v>
      </c>
      <c r="I18" s="27" t="e">
        <f aca="false">IF(OR(Dados!L26="",Dados!$L$8=""),NA(),Dados!$L$8)</f>
        <v>#N/A</v>
      </c>
    </row>
    <row r="19" customFormat="false" ht="15" hidden="false" customHeight="false" outlineLevel="0" collapsed="false">
      <c r="B19" s="16" t="n">
        <v>15</v>
      </c>
      <c r="C19" s="27" t="e">
        <f aca="false">IF(OR(Dados!L27="",Dados!L27=""),NA(),Dados!L27)</f>
        <v>#N/A</v>
      </c>
      <c r="D19" s="27" t="e">
        <f aca="false">IF(OR(Dados!L27="",Dados!$L$6=""),NA(),Dados!$L$6)</f>
        <v>#N/A</v>
      </c>
      <c r="E19" s="27" t="e">
        <f aca="false">IF(OR(Dados!L27="",Dados!$L$5=""),NA(),Dados!$L$5)</f>
        <v>#N/A</v>
      </c>
      <c r="F19" s="27" t="e">
        <f aca="false">IF(OR(Dados!L27="",Dados!$L$7=""),NA(),Dados!$L$7)</f>
        <v>#N/A</v>
      </c>
      <c r="G19" s="27" t="e">
        <f aca="false">IF(OR(Dados!L27="",Dados!M27=""),NA(),Dados!M27)</f>
        <v>#N/A</v>
      </c>
      <c r="H19" s="27" t="e">
        <f aca="false">IF(OR(Dados!L27="",Dados!$L$9=""),NA(),Dados!$L$9)</f>
        <v>#N/A</v>
      </c>
      <c r="I19" s="27" t="e">
        <f aca="false">IF(OR(Dados!L27="",Dados!$L$8=""),NA(),Dados!$L$8)</f>
        <v>#N/A</v>
      </c>
    </row>
    <row r="20" customFormat="false" ht="15" hidden="false" customHeight="false" outlineLevel="0" collapsed="false">
      <c r="B20" s="16" t="n">
        <v>16</v>
      </c>
      <c r="C20" s="27" t="e">
        <f aca="false">IF(OR(Dados!L28="",Dados!L28=""),NA(),Dados!L28)</f>
        <v>#N/A</v>
      </c>
      <c r="D20" s="27" t="e">
        <f aca="false">IF(OR(Dados!L28="",Dados!$L$6=""),NA(),Dados!$L$6)</f>
        <v>#N/A</v>
      </c>
      <c r="E20" s="27" t="e">
        <f aca="false">IF(OR(Dados!L28="",Dados!$L$5=""),NA(),Dados!$L$5)</f>
        <v>#N/A</v>
      </c>
      <c r="F20" s="27" t="e">
        <f aca="false">IF(OR(Dados!L28="",Dados!$L$7=""),NA(),Dados!$L$7)</f>
        <v>#N/A</v>
      </c>
      <c r="G20" s="27" t="e">
        <f aca="false">IF(OR(Dados!L28="",Dados!M28=""),NA(),Dados!M28)</f>
        <v>#N/A</v>
      </c>
      <c r="H20" s="27" t="e">
        <f aca="false">IF(OR(Dados!L28="",Dados!$L$9=""),NA(),Dados!$L$9)</f>
        <v>#N/A</v>
      </c>
      <c r="I20" s="27" t="e">
        <f aca="false">IF(OR(Dados!L28="",Dados!$L$8=""),NA(),Dados!$L$8)</f>
        <v>#N/A</v>
      </c>
    </row>
    <row r="21" customFormat="false" ht="15" hidden="false" customHeight="false" outlineLevel="0" collapsed="false">
      <c r="B21" s="16" t="n">
        <v>17</v>
      </c>
      <c r="C21" s="27" t="e">
        <f aca="false">IF(OR(Dados!L29="",Dados!L29=""),NA(),Dados!L29)</f>
        <v>#N/A</v>
      </c>
      <c r="D21" s="27" t="e">
        <f aca="false">IF(OR(Dados!L29="",Dados!$L$6=""),NA(),Dados!$L$6)</f>
        <v>#N/A</v>
      </c>
      <c r="E21" s="27" t="e">
        <f aca="false">IF(OR(Dados!L29="",Dados!$L$5=""),NA(),Dados!$L$5)</f>
        <v>#N/A</v>
      </c>
      <c r="F21" s="27" t="e">
        <f aca="false">IF(OR(Dados!L29="",Dados!$L$7=""),NA(),Dados!$L$7)</f>
        <v>#N/A</v>
      </c>
      <c r="G21" s="27" t="e">
        <f aca="false">IF(OR(Dados!L29="",Dados!M29=""),NA(),Dados!M29)</f>
        <v>#N/A</v>
      </c>
      <c r="H21" s="27" t="e">
        <f aca="false">IF(OR(Dados!L29="",Dados!$L$9=""),NA(),Dados!$L$9)</f>
        <v>#N/A</v>
      </c>
      <c r="I21" s="27" t="e">
        <f aca="false">IF(OR(Dados!L29="",Dados!$L$8=""),NA(),Dados!$L$8)</f>
        <v>#N/A</v>
      </c>
    </row>
    <row r="22" customFormat="false" ht="15" hidden="false" customHeight="false" outlineLevel="0" collapsed="false">
      <c r="B22" s="16" t="n">
        <v>18</v>
      </c>
      <c r="C22" s="27" t="e">
        <f aca="false">IF(OR(Dados!L30="",Dados!L30=""),NA(),Dados!L30)</f>
        <v>#N/A</v>
      </c>
      <c r="D22" s="27" t="e">
        <f aca="false">IF(OR(Dados!L30="",Dados!$L$6=""),NA(),Dados!$L$6)</f>
        <v>#N/A</v>
      </c>
      <c r="E22" s="27" t="e">
        <f aca="false">IF(OR(Dados!L30="",Dados!$L$5=""),NA(),Dados!$L$5)</f>
        <v>#N/A</v>
      </c>
      <c r="F22" s="27" t="e">
        <f aca="false">IF(OR(Dados!L30="",Dados!$L$7=""),NA(),Dados!$L$7)</f>
        <v>#N/A</v>
      </c>
      <c r="G22" s="27" t="e">
        <f aca="false">IF(OR(Dados!L30="",Dados!M30=""),NA(),Dados!M30)</f>
        <v>#N/A</v>
      </c>
      <c r="H22" s="27" t="e">
        <f aca="false">IF(OR(Dados!L30="",Dados!$L$9=""),NA(),Dados!$L$9)</f>
        <v>#N/A</v>
      </c>
      <c r="I22" s="27" t="e">
        <f aca="false">IF(OR(Dados!L30="",Dados!$L$8=""),NA(),Dados!$L$8)</f>
        <v>#N/A</v>
      </c>
    </row>
    <row r="23" customFormat="false" ht="15" hidden="false" customHeight="false" outlineLevel="0" collapsed="false">
      <c r="B23" s="16" t="n">
        <v>19</v>
      </c>
      <c r="C23" s="27" t="e">
        <f aca="false">IF(OR(Dados!L31="",Dados!L31=""),NA(),Dados!L31)</f>
        <v>#N/A</v>
      </c>
      <c r="D23" s="27" t="e">
        <f aca="false">IF(OR(Dados!L31="",Dados!$L$6=""),NA(),Dados!$L$6)</f>
        <v>#N/A</v>
      </c>
      <c r="E23" s="27" t="e">
        <f aca="false">IF(OR(Dados!L31="",Dados!$L$5=""),NA(),Dados!$L$5)</f>
        <v>#N/A</v>
      </c>
      <c r="F23" s="27" t="e">
        <f aca="false">IF(OR(Dados!L31="",Dados!$L$7=""),NA(),Dados!$L$7)</f>
        <v>#N/A</v>
      </c>
      <c r="G23" s="27" t="e">
        <f aca="false">IF(OR(Dados!L31="",Dados!M31=""),NA(),Dados!M31)</f>
        <v>#N/A</v>
      </c>
      <c r="H23" s="27" t="e">
        <f aca="false">IF(OR(Dados!L31="",Dados!$L$9=""),NA(),Dados!$L$9)</f>
        <v>#N/A</v>
      </c>
      <c r="I23" s="27" t="e">
        <f aca="false">IF(OR(Dados!L31="",Dados!$L$8=""),NA(),Dados!$L$8)</f>
        <v>#N/A</v>
      </c>
    </row>
    <row r="24" customFormat="false" ht="15" hidden="false" customHeight="false" outlineLevel="0" collapsed="false">
      <c r="B24" s="16" t="n">
        <v>20</v>
      </c>
      <c r="C24" s="27" t="e">
        <f aca="false">IF(OR(Dados!L32="",Dados!L32=""),NA(),Dados!L32)</f>
        <v>#N/A</v>
      </c>
      <c r="D24" s="27" t="e">
        <f aca="false">IF(OR(Dados!L32="",Dados!$L$6=""),NA(),Dados!$L$6)</f>
        <v>#N/A</v>
      </c>
      <c r="E24" s="27" t="e">
        <f aca="false">IF(OR(Dados!L32="",Dados!$L$5=""),NA(),Dados!$L$5)</f>
        <v>#N/A</v>
      </c>
      <c r="F24" s="27" t="e">
        <f aca="false">IF(OR(Dados!L32="",Dados!$L$7=""),NA(),Dados!$L$7)</f>
        <v>#N/A</v>
      </c>
      <c r="G24" s="27" t="e">
        <f aca="false">IF(OR(Dados!L32="",Dados!M32=""),NA(),Dados!M32)</f>
        <v>#N/A</v>
      </c>
      <c r="H24" s="27" t="e">
        <f aca="false">IF(OR(Dados!L32="",Dados!$L$9=""),NA(),Dados!$L$9)</f>
        <v>#N/A</v>
      </c>
      <c r="I24" s="27" t="e">
        <f aca="false">IF(OR(Dados!L32="",Dados!$L$8=""),NA(),Dados!$L$8)</f>
        <v>#N/A</v>
      </c>
    </row>
    <row r="25" customFormat="false" ht="15" hidden="false" customHeight="false" outlineLevel="0" collapsed="false">
      <c r="B25" s="16" t="n">
        <v>21</v>
      </c>
      <c r="C25" s="27" t="e">
        <f aca="false">IF(OR(Dados!L33="",Dados!L33=""),NA(),Dados!L33)</f>
        <v>#N/A</v>
      </c>
      <c r="D25" s="27" t="e">
        <f aca="false">IF(OR(Dados!L33="",Dados!$L$6=""),NA(),Dados!$L$6)</f>
        <v>#N/A</v>
      </c>
      <c r="E25" s="27" t="e">
        <f aca="false">IF(OR(Dados!L33="",Dados!$L$5=""),NA(),Dados!$L$5)</f>
        <v>#N/A</v>
      </c>
      <c r="F25" s="27" t="e">
        <f aca="false">IF(OR(Dados!L33="",Dados!$L$7=""),NA(),Dados!$L$7)</f>
        <v>#N/A</v>
      </c>
      <c r="G25" s="27" t="e">
        <f aca="false">IF(OR(Dados!L33="",Dados!M33=""),NA(),Dados!M33)</f>
        <v>#N/A</v>
      </c>
      <c r="H25" s="27" t="e">
        <f aca="false">IF(OR(Dados!L33="",Dados!$L$9=""),NA(),Dados!$L$9)</f>
        <v>#N/A</v>
      </c>
      <c r="I25" s="27" t="e">
        <f aca="false">IF(OR(Dados!L33="",Dados!$L$8=""),NA(),Dados!$L$8)</f>
        <v>#N/A</v>
      </c>
    </row>
    <row r="26" customFormat="false" ht="15" hidden="false" customHeight="false" outlineLevel="0" collapsed="false">
      <c r="B26" s="16" t="n">
        <v>22</v>
      </c>
      <c r="C26" s="27" t="e">
        <f aca="false">IF(OR(Dados!L34="",Dados!L34=""),NA(),Dados!L34)</f>
        <v>#N/A</v>
      </c>
      <c r="D26" s="27" t="e">
        <f aca="false">IF(OR(Dados!L34="",Dados!$L$6=""),NA(),Dados!$L$6)</f>
        <v>#N/A</v>
      </c>
      <c r="E26" s="27" t="e">
        <f aca="false">IF(OR(Dados!L34="",Dados!$L$5=""),NA(),Dados!$L$5)</f>
        <v>#N/A</v>
      </c>
      <c r="F26" s="27" t="e">
        <f aca="false">IF(OR(Dados!L34="",Dados!$L$7=""),NA(),Dados!$L$7)</f>
        <v>#N/A</v>
      </c>
      <c r="G26" s="27" t="e">
        <f aca="false">IF(OR(Dados!L34="",Dados!M34=""),NA(),Dados!M34)</f>
        <v>#N/A</v>
      </c>
      <c r="H26" s="27" t="e">
        <f aca="false">IF(OR(Dados!L34="",Dados!$L$9=""),NA(),Dados!$L$9)</f>
        <v>#N/A</v>
      </c>
      <c r="I26" s="27" t="e">
        <f aca="false">IF(OR(Dados!L34="",Dados!$L$8=""),NA(),Dados!$L$8)</f>
        <v>#N/A</v>
      </c>
    </row>
    <row r="27" customFormat="false" ht="15" hidden="false" customHeight="false" outlineLevel="0" collapsed="false">
      <c r="B27" s="16" t="n">
        <v>23</v>
      </c>
      <c r="C27" s="27" t="e">
        <f aca="false">IF(OR(Dados!L35="",Dados!L35=""),NA(),Dados!L35)</f>
        <v>#N/A</v>
      </c>
      <c r="D27" s="27" t="e">
        <f aca="false">IF(OR(Dados!L35="",Dados!$L$6=""),NA(),Dados!$L$6)</f>
        <v>#N/A</v>
      </c>
      <c r="E27" s="27" t="e">
        <f aca="false">IF(OR(Dados!L35="",Dados!$L$5=""),NA(),Dados!$L$5)</f>
        <v>#N/A</v>
      </c>
      <c r="F27" s="27" t="e">
        <f aca="false">IF(OR(Dados!L35="",Dados!$L$7=""),NA(),Dados!$L$7)</f>
        <v>#N/A</v>
      </c>
      <c r="G27" s="27" t="e">
        <f aca="false">IF(OR(Dados!L35="",Dados!M35=""),NA(),Dados!M35)</f>
        <v>#N/A</v>
      </c>
      <c r="H27" s="27" t="e">
        <f aca="false">IF(OR(Dados!L35="",Dados!$L$9=""),NA(),Dados!$L$9)</f>
        <v>#N/A</v>
      </c>
      <c r="I27" s="27" t="e">
        <f aca="false">IF(OR(Dados!L35="",Dados!$L$8=""),NA(),Dados!$L$8)</f>
        <v>#N/A</v>
      </c>
    </row>
    <row r="28" customFormat="false" ht="15" hidden="false" customHeight="false" outlineLevel="0" collapsed="false">
      <c r="B28" s="16" t="n">
        <v>24</v>
      </c>
      <c r="C28" s="27" t="e">
        <f aca="false">IF(OR(Dados!L36="",Dados!L36=""),NA(),Dados!L36)</f>
        <v>#N/A</v>
      </c>
      <c r="D28" s="27" t="e">
        <f aca="false">IF(OR(Dados!L36="",Dados!$L$6=""),NA(),Dados!$L$6)</f>
        <v>#N/A</v>
      </c>
      <c r="E28" s="27" t="e">
        <f aca="false">IF(OR(Dados!L36="",Dados!$L$5=""),NA(),Dados!$L$5)</f>
        <v>#N/A</v>
      </c>
      <c r="F28" s="27" t="e">
        <f aca="false">IF(OR(Dados!L36="",Dados!$L$7=""),NA(),Dados!$L$7)</f>
        <v>#N/A</v>
      </c>
      <c r="G28" s="27" t="e">
        <f aca="false">IF(OR(Dados!L36="",Dados!M36=""),NA(),Dados!M36)</f>
        <v>#N/A</v>
      </c>
      <c r="H28" s="27" t="e">
        <f aca="false">IF(OR(Dados!L36="",Dados!$L$9=""),NA(),Dados!$L$9)</f>
        <v>#N/A</v>
      </c>
      <c r="I28" s="27" t="e">
        <f aca="false">IF(OR(Dados!L36="",Dados!$L$8=""),NA(),Dados!$L$8)</f>
        <v>#N/A</v>
      </c>
    </row>
    <row r="29" customFormat="false" ht="15" hidden="false" customHeight="false" outlineLevel="0" collapsed="false">
      <c r="B29" s="16" t="n">
        <v>25</v>
      </c>
      <c r="C29" s="27" t="e">
        <f aca="false">IF(OR(Dados!L37="",Dados!L37=""),NA(),Dados!L37)</f>
        <v>#N/A</v>
      </c>
      <c r="D29" s="27" t="e">
        <f aca="false">IF(OR(Dados!L37="",Dados!$L$6=""),NA(),Dados!$L$6)</f>
        <v>#N/A</v>
      </c>
      <c r="E29" s="27" t="e">
        <f aca="false">IF(OR(Dados!L37="",Dados!$L$5=""),NA(),Dados!$L$5)</f>
        <v>#N/A</v>
      </c>
      <c r="F29" s="27" t="e">
        <f aca="false">IF(OR(Dados!L37="",Dados!$L$7=""),NA(),Dados!$L$7)</f>
        <v>#N/A</v>
      </c>
      <c r="G29" s="27" t="e">
        <f aca="false">IF(OR(Dados!L37="",Dados!M37=""),NA(),Dados!M37)</f>
        <v>#N/A</v>
      </c>
      <c r="H29" s="27" t="e">
        <f aca="false">IF(OR(Dados!L37="",Dados!$L$9=""),NA(),Dados!$L$9)</f>
        <v>#N/A</v>
      </c>
      <c r="I29" s="27" t="e">
        <f aca="false">IF(OR(Dados!L37="",Dados!$L$8=""),NA(),Dados!$L$8)</f>
        <v>#N/A</v>
      </c>
    </row>
    <row r="30" customFormat="false" ht="15" hidden="false" customHeight="false" outlineLevel="0" collapsed="false">
      <c r="B30" s="16" t="n">
        <v>26</v>
      </c>
      <c r="C30" s="27" t="e">
        <f aca="false">IF(OR(Dados!L38="",Dados!L38=""),NA(),Dados!L38)</f>
        <v>#N/A</v>
      </c>
      <c r="D30" s="27" t="e">
        <f aca="false">IF(OR(Dados!L38="",Dados!$L$6=""),NA(),Dados!$L$6)</f>
        <v>#N/A</v>
      </c>
      <c r="E30" s="27" t="e">
        <f aca="false">IF(OR(Dados!L38="",Dados!$L$5=""),NA(),Dados!$L$5)</f>
        <v>#N/A</v>
      </c>
      <c r="F30" s="27" t="e">
        <f aca="false">IF(OR(Dados!L38="",Dados!$L$7=""),NA(),Dados!$L$7)</f>
        <v>#N/A</v>
      </c>
      <c r="G30" s="27" t="e">
        <f aca="false">IF(OR(Dados!L38="",Dados!M38=""),NA(),Dados!M38)</f>
        <v>#N/A</v>
      </c>
      <c r="H30" s="27" t="e">
        <f aca="false">IF(OR(Dados!L38="",Dados!$L$9=""),NA(),Dados!$L$9)</f>
        <v>#N/A</v>
      </c>
      <c r="I30" s="27" t="e">
        <f aca="false">IF(OR(Dados!L38="",Dados!$L$8=""),NA(),Dados!$L$8)</f>
        <v>#N/A</v>
      </c>
    </row>
    <row r="31" customFormat="false" ht="15" hidden="false" customHeight="false" outlineLevel="0" collapsed="false">
      <c r="B31" s="16" t="n">
        <v>27</v>
      </c>
      <c r="C31" s="27" t="e">
        <f aca="false">IF(OR(Dados!L39="",Dados!L39=""),NA(),Dados!L39)</f>
        <v>#N/A</v>
      </c>
      <c r="D31" s="27" t="e">
        <f aca="false">IF(OR(Dados!L39="",Dados!$L$6=""),NA(),Dados!$L$6)</f>
        <v>#N/A</v>
      </c>
      <c r="E31" s="27" t="e">
        <f aca="false">IF(OR(Dados!L39="",Dados!$L$5=""),NA(),Dados!$L$5)</f>
        <v>#N/A</v>
      </c>
      <c r="F31" s="27" t="e">
        <f aca="false">IF(OR(Dados!L39="",Dados!$L$7=""),NA(),Dados!$L$7)</f>
        <v>#N/A</v>
      </c>
      <c r="G31" s="27" t="e">
        <f aca="false">IF(OR(Dados!L39="",Dados!M39=""),NA(),Dados!M39)</f>
        <v>#N/A</v>
      </c>
      <c r="H31" s="27" t="e">
        <f aca="false">IF(OR(Dados!L39="",Dados!$L$9=""),NA(),Dados!$L$9)</f>
        <v>#N/A</v>
      </c>
      <c r="I31" s="27" t="e">
        <f aca="false">IF(OR(Dados!L39="",Dados!$L$8=""),NA(),Dados!$L$8)</f>
        <v>#N/A</v>
      </c>
    </row>
    <row r="32" customFormat="false" ht="15" hidden="false" customHeight="false" outlineLevel="0" collapsed="false">
      <c r="B32" s="16" t="n">
        <v>28</v>
      </c>
      <c r="C32" s="27" t="e">
        <f aca="false">IF(OR(Dados!L40="",Dados!L40=""),NA(),Dados!L40)</f>
        <v>#N/A</v>
      </c>
      <c r="D32" s="27" t="e">
        <f aca="false">IF(OR(Dados!L40="",Dados!$L$6=""),NA(),Dados!$L$6)</f>
        <v>#N/A</v>
      </c>
      <c r="E32" s="27" t="e">
        <f aca="false">IF(OR(Dados!L40="",Dados!$L$5=""),NA(),Dados!$L$5)</f>
        <v>#N/A</v>
      </c>
      <c r="F32" s="27" t="e">
        <f aca="false">IF(OR(Dados!L40="",Dados!$L$7=""),NA(),Dados!$L$7)</f>
        <v>#N/A</v>
      </c>
      <c r="G32" s="27" t="e">
        <f aca="false">IF(OR(Dados!L40="",Dados!M40=""),NA(),Dados!M40)</f>
        <v>#N/A</v>
      </c>
      <c r="H32" s="27" t="e">
        <f aca="false">IF(OR(Dados!L40="",Dados!$L$9=""),NA(),Dados!$L$9)</f>
        <v>#N/A</v>
      </c>
      <c r="I32" s="27" t="e">
        <f aca="false">IF(OR(Dados!L40="",Dados!$L$8=""),NA(),Dados!$L$8)</f>
        <v>#N/A</v>
      </c>
    </row>
    <row r="33" customFormat="false" ht="15" hidden="false" customHeight="false" outlineLevel="0" collapsed="false">
      <c r="B33" s="16" t="n">
        <v>29</v>
      </c>
      <c r="C33" s="27" t="e">
        <f aca="false">IF(OR(Dados!L41="",Dados!L41=""),NA(),Dados!L41)</f>
        <v>#N/A</v>
      </c>
      <c r="D33" s="27" t="e">
        <f aca="false">IF(OR(Dados!L41="",Dados!$L$6=""),NA(),Dados!$L$6)</f>
        <v>#N/A</v>
      </c>
      <c r="E33" s="27" t="e">
        <f aca="false">IF(OR(Dados!L41="",Dados!$L$5=""),NA(),Dados!$L$5)</f>
        <v>#N/A</v>
      </c>
      <c r="F33" s="27" t="e">
        <f aca="false">IF(OR(Dados!L41="",Dados!$L$7=""),NA(),Dados!$L$7)</f>
        <v>#N/A</v>
      </c>
      <c r="G33" s="27" t="e">
        <f aca="false">IF(OR(Dados!L41="",Dados!M41=""),NA(),Dados!M41)</f>
        <v>#N/A</v>
      </c>
      <c r="H33" s="27" t="e">
        <f aca="false">IF(OR(Dados!L41="",Dados!$L$9=""),NA(),Dados!$L$9)</f>
        <v>#N/A</v>
      </c>
      <c r="I33" s="27" t="e">
        <f aca="false">IF(OR(Dados!L41="",Dados!$L$8=""),NA(),Dados!$L$8)</f>
        <v>#N/A</v>
      </c>
    </row>
    <row r="34" customFormat="false" ht="15" hidden="false" customHeight="false" outlineLevel="0" collapsed="false">
      <c r="B34" s="16" t="n">
        <v>30</v>
      </c>
      <c r="C34" s="27" t="e">
        <f aca="false">IF(OR(Dados!L42="",Dados!L42=""),NA(),Dados!L42)</f>
        <v>#N/A</v>
      </c>
      <c r="D34" s="27" t="e">
        <f aca="false">IF(OR(Dados!L42="",Dados!$L$6=""),NA(),Dados!$L$6)</f>
        <v>#N/A</v>
      </c>
      <c r="E34" s="27" t="e">
        <f aca="false">IF(OR(Dados!L42="",Dados!$L$5=""),NA(),Dados!$L$5)</f>
        <v>#N/A</v>
      </c>
      <c r="F34" s="27" t="e">
        <f aca="false">IF(OR(Dados!L42="",Dados!$L$7=""),NA(),Dados!$L$7)</f>
        <v>#N/A</v>
      </c>
      <c r="G34" s="27" t="e">
        <f aca="false">IF(OR(Dados!L42="",Dados!M42=""),NA(),Dados!M42)</f>
        <v>#N/A</v>
      </c>
      <c r="H34" s="27" t="e">
        <f aca="false">IF(OR(Dados!L42="",Dados!$L$9=""),NA(),Dados!$L$9)</f>
        <v>#N/A</v>
      </c>
      <c r="I34" s="27" t="e">
        <f aca="false">IF(OR(Dados!L42="",Dados!$L$8=""),NA(),Dados!$L$8)</f>
        <v>#N/A</v>
      </c>
    </row>
  </sheetData>
  <mergeCells count="3">
    <mergeCell ref="B1:I1"/>
    <mergeCell ref="B2:I2"/>
    <mergeCell ref="B3:I3"/>
  </mergeCells>
  <conditionalFormatting sqref="C5:I34">
    <cfRule type="expression" priority="2" aboveAverage="0" equalAverage="0" bottom="0" percent="0" rank="0" text="" dxfId="5">
      <formula>ISERROR(C5)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P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103</v>
      </c>
      <c r="C1" s="1"/>
      <c r="D1" s="1"/>
      <c r="E1" s="1"/>
    </row>
    <row r="2" customFormat="false" ht="19.5" hidden="false" customHeight="true" outlineLevel="0" collapsed="false">
      <c r="B2" s="2" t="s">
        <v>104</v>
      </c>
      <c r="C2" s="2"/>
      <c r="D2" s="2"/>
      <c r="E2" s="2"/>
    </row>
    <row r="4" customFormat="false" ht="15" hidden="false" customHeight="true" outlineLevel="0" collapsed="false">
      <c r="B4" s="4" t="s">
        <v>105</v>
      </c>
      <c r="C4" s="4"/>
      <c r="D4" s="10" t="str">
        <f aca="false">IF(OR(Dados!$E$6="",Dados!$E$7=""),"",(Dados!$E$7-Dados!$E$6)/8)</f>
        <v/>
      </c>
    </row>
    <row r="5" customFormat="false" ht="15" hidden="false" customHeight="true" outlineLevel="0" collapsed="false">
      <c r="B5" s="4" t="s">
        <v>106</v>
      </c>
      <c r="C5" s="4"/>
      <c r="D5" s="10" t="str">
        <f aca="false">IF(D4="","",Dados!$E$6-2*D4)</f>
        <v/>
      </c>
    </row>
    <row r="7" customFormat="false" ht="15" hidden="false" customHeight="false" outlineLevel="0" collapsed="false">
      <c r="B7" s="15" t="s">
        <v>78</v>
      </c>
      <c r="C7" s="15" t="s">
        <v>107</v>
      </c>
      <c r="D7" s="15" t="s">
        <v>108</v>
      </c>
      <c r="E7" s="15" t="s">
        <v>109</v>
      </c>
    </row>
    <row r="8" customFormat="false" ht="15" hidden="false" customHeight="false" outlineLevel="0" collapsed="false">
      <c r="B8" s="16" t="n">
        <v>1</v>
      </c>
      <c r="C8" s="19" t="str">
        <f aca="false">IF($D$4="","",Dados!$E$6-2*$D$4+0*$D$4)</f>
        <v/>
      </c>
      <c r="D8" s="19" t="str">
        <f aca="false">IF($D$4="","",Dados!$E$6-2*$D$4+1*$D$4)</f>
        <v/>
      </c>
      <c r="E8" s="28" t="str">
        <f aca="false">IF(C8="","",COUNTIFS(Dados!$E$13:$I$42,"&gt;="&amp;C8,Dados!$E$13:$I$42,"&lt;"&amp;D8))</f>
        <v/>
      </c>
    </row>
    <row r="9" customFormat="false" ht="15" hidden="false" customHeight="false" outlineLevel="0" collapsed="false">
      <c r="B9" s="16" t="n">
        <v>2</v>
      </c>
      <c r="C9" s="19" t="str">
        <f aca="false">IF($D$4="","",Dados!$E$6-2*$D$4+1*$D$4)</f>
        <v/>
      </c>
      <c r="D9" s="19" t="str">
        <f aca="false">IF($D$4="","",Dados!$E$6-2*$D$4+2*$D$4)</f>
        <v/>
      </c>
      <c r="E9" s="28" t="str">
        <f aca="false">IF(C9="","",COUNTIFS(Dados!$E$13:$I$42,"&gt;="&amp;C9,Dados!$E$13:$I$42,"&lt;"&amp;D9))</f>
        <v/>
      </c>
    </row>
    <row r="10" customFormat="false" ht="15" hidden="false" customHeight="false" outlineLevel="0" collapsed="false">
      <c r="B10" s="16" t="n">
        <v>3</v>
      </c>
      <c r="C10" s="19" t="str">
        <f aca="false">IF($D$4="","",Dados!$E$6-2*$D$4+2*$D$4)</f>
        <v/>
      </c>
      <c r="D10" s="19" t="str">
        <f aca="false">IF($D$4="","",Dados!$E$6-2*$D$4+3*$D$4)</f>
        <v/>
      </c>
      <c r="E10" s="28" t="str">
        <f aca="false">IF(C10="","",COUNTIFS(Dados!$E$13:$I$42,"&gt;="&amp;C10,Dados!$E$13:$I$42,"&lt;"&amp;D10))</f>
        <v/>
      </c>
    </row>
    <row r="11" customFormat="false" ht="15" hidden="false" customHeight="false" outlineLevel="0" collapsed="false">
      <c r="B11" s="16" t="n">
        <v>4</v>
      </c>
      <c r="C11" s="19" t="str">
        <f aca="false">IF($D$4="","",Dados!$E$6-2*$D$4+3*$D$4)</f>
        <v/>
      </c>
      <c r="D11" s="19" t="str">
        <f aca="false">IF($D$4="","",Dados!$E$6-2*$D$4+4*$D$4)</f>
        <v/>
      </c>
      <c r="E11" s="28" t="str">
        <f aca="false">IF(C11="","",COUNTIFS(Dados!$E$13:$I$42,"&gt;="&amp;C11,Dados!$E$13:$I$42,"&lt;"&amp;D11))</f>
        <v/>
      </c>
    </row>
    <row r="12" customFormat="false" ht="15" hidden="false" customHeight="false" outlineLevel="0" collapsed="false">
      <c r="B12" s="16" t="n">
        <v>5</v>
      </c>
      <c r="C12" s="19" t="str">
        <f aca="false">IF($D$4="","",Dados!$E$6-2*$D$4+4*$D$4)</f>
        <v/>
      </c>
      <c r="D12" s="19" t="str">
        <f aca="false">IF($D$4="","",Dados!$E$6-2*$D$4+5*$D$4)</f>
        <v/>
      </c>
      <c r="E12" s="28" t="str">
        <f aca="false">IF(C12="","",COUNTIFS(Dados!$E$13:$I$42,"&gt;="&amp;C12,Dados!$E$13:$I$42,"&lt;"&amp;D12))</f>
        <v/>
      </c>
    </row>
    <row r="13" customFormat="false" ht="15" hidden="false" customHeight="false" outlineLevel="0" collapsed="false">
      <c r="B13" s="16" t="n">
        <v>6</v>
      </c>
      <c r="C13" s="19" t="str">
        <f aca="false">IF($D$4="","",Dados!$E$6-2*$D$4+5*$D$4)</f>
        <v/>
      </c>
      <c r="D13" s="19" t="str">
        <f aca="false">IF($D$4="","",Dados!$E$6-2*$D$4+6*$D$4)</f>
        <v/>
      </c>
      <c r="E13" s="28" t="str">
        <f aca="false">IF(C13="","",COUNTIFS(Dados!$E$13:$I$42,"&gt;="&amp;C13,Dados!$E$13:$I$42,"&lt;"&amp;D13))</f>
        <v/>
      </c>
    </row>
    <row r="14" customFormat="false" ht="15" hidden="false" customHeight="false" outlineLevel="0" collapsed="false">
      <c r="B14" s="16" t="n">
        <v>7</v>
      </c>
      <c r="C14" s="19" t="str">
        <f aca="false">IF($D$4="","",Dados!$E$6-2*$D$4+6*$D$4)</f>
        <v/>
      </c>
      <c r="D14" s="19" t="str">
        <f aca="false">IF($D$4="","",Dados!$E$6-2*$D$4+7*$D$4)</f>
        <v/>
      </c>
      <c r="E14" s="28" t="str">
        <f aca="false">IF(C14="","",COUNTIFS(Dados!$E$13:$I$42,"&gt;="&amp;C14,Dados!$E$13:$I$42,"&lt;"&amp;D14))</f>
        <v/>
      </c>
    </row>
    <row r="15" customFormat="false" ht="15" hidden="false" customHeight="false" outlineLevel="0" collapsed="false">
      <c r="B15" s="16" t="n">
        <v>8</v>
      </c>
      <c r="C15" s="19" t="str">
        <f aca="false">IF($D$4="","",Dados!$E$6-2*$D$4+7*$D$4)</f>
        <v/>
      </c>
      <c r="D15" s="19" t="str">
        <f aca="false">IF($D$4="","",Dados!$E$6-2*$D$4+8*$D$4)</f>
        <v/>
      </c>
      <c r="E15" s="28" t="str">
        <f aca="false">IF(C15="","",COUNTIFS(Dados!$E$13:$I$42,"&gt;="&amp;C15,Dados!$E$13:$I$42,"&lt;"&amp;D15))</f>
        <v/>
      </c>
    </row>
    <row r="16" customFormat="false" ht="15" hidden="false" customHeight="false" outlineLevel="0" collapsed="false">
      <c r="B16" s="16" t="n">
        <v>9</v>
      </c>
      <c r="C16" s="19" t="str">
        <f aca="false">IF($D$4="","",Dados!$E$6-2*$D$4+8*$D$4)</f>
        <v/>
      </c>
      <c r="D16" s="19" t="str">
        <f aca="false">IF($D$4="","",Dados!$E$6-2*$D$4+9*$D$4)</f>
        <v/>
      </c>
      <c r="E16" s="28" t="str">
        <f aca="false">IF(C16="","",COUNTIFS(Dados!$E$13:$I$42,"&gt;="&amp;C16,Dados!$E$13:$I$42,"&lt;"&amp;D16))</f>
        <v/>
      </c>
    </row>
    <row r="17" customFormat="false" ht="15" hidden="false" customHeight="false" outlineLevel="0" collapsed="false">
      <c r="B17" s="16" t="n">
        <v>10</v>
      </c>
      <c r="C17" s="19" t="str">
        <f aca="false">IF($D$4="","",Dados!$E$6-2*$D$4+9*$D$4)</f>
        <v/>
      </c>
      <c r="D17" s="19" t="str">
        <f aca="false">IF($D$4="","",Dados!$E$6-2*$D$4+10*$D$4)</f>
        <v/>
      </c>
      <c r="E17" s="28" t="str">
        <f aca="false">IF(C17="","",COUNTIFS(Dados!$E$13:$I$42,"&gt;="&amp;C17,Dados!$E$13:$I$42,"&lt;"&amp;D17))</f>
        <v/>
      </c>
    </row>
    <row r="18" customFormat="false" ht="15" hidden="false" customHeight="false" outlineLevel="0" collapsed="false">
      <c r="B18" s="16" t="n">
        <v>11</v>
      </c>
      <c r="C18" s="19" t="str">
        <f aca="false">IF($D$4="","",Dados!$E$6-2*$D$4+10*$D$4)</f>
        <v/>
      </c>
      <c r="D18" s="19" t="str">
        <f aca="false">IF($D$4="","",Dados!$E$6-2*$D$4+11*$D$4)</f>
        <v/>
      </c>
      <c r="E18" s="28" t="str">
        <f aca="false">IF(C18="","",COUNTIFS(Dados!$E$13:$I$42,"&gt;="&amp;C18,Dados!$E$13:$I$42,"&lt;"&amp;D18))</f>
        <v/>
      </c>
    </row>
    <row r="19" customFormat="false" ht="15" hidden="false" customHeight="false" outlineLevel="0" collapsed="false">
      <c r="B19" s="16" t="n">
        <v>12</v>
      </c>
      <c r="C19" s="19" t="str">
        <f aca="false">IF($D$4="","",Dados!$E$6-2*$D$4+11*$D$4)</f>
        <v/>
      </c>
      <c r="D19" s="19" t="str">
        <f aca="false">IF($D$4="","",Dados!$E$6-2*$D$4+12*$D$4)</f>
        <v/>
      </c>
      <c r="E19" s="28" t="str">
        <f aca="false">IF(C19="","",COUNTIFS(Dados!$E$13:$I$42,"&gt;="&amp;C19,Dados!$E$13:$I$42,"&lt;"&amp;D19))</f>
        <v/>
      </c>
    </row>
    <row r="20" customFormat="false" ht="15" hidden="false" customHeight="true" outlineLevel="0" collapsed="false">
      <c r="B20" s="24" t="s">
        <v>110</v>
      </c>
      <c r="C20" s="24"/>
      <c r="D20" s="24"/>
      <c r="E20" s="28" t="str">
        <f aca="false">IF($D$4="","",COUNTIF(Dados!$E$13:$I$42,"&lt;"&amp;C8))</f>
        <v/>
      </c>
    </row>
    <row r="21" customFormat="false" ht="15" hidden="false" customHeight="true" outlineLevel="0" collapsed="false">
      <c r="B21" s="24" t="s">
        <v>111</v>
      </c>
      <c r="C21" s="24"/>
      <c r="D21" s="24"/>
      <c r="E21" s="28" t="str">
        <f aca="false">IF($D$4="","",COUNTIF(Dados!$E$13:$I$42,"&gt;="&amp;D19))</f>
        <v/>
      </c>
      <c r="G21" s="26" t="s">
        <v>112</v>
      </c>
      <c r="H21" s="26"/>
      <c r="I21" s="26"/>
      <c r="J21" s="26"/>
      <c r="K21" s="26"/>
      <c r="L21" s="26"/>
      <c r="M21" s="26"/>
      <c r="N21" s="26"/>
      <c r="O21" s="26"/>
      <c r="P21" s="26"/>
    </row>
    <row r="23" customFormat="false" ht="21.75" hidden="false" customHeight="true" outlineLevel="0" collapsed="false">
      <c r="B23" s="23" t="s">
        <v>113</v>
      </c>
      <c r="C23" s="23"/>
      <c r="D23" s="23"/>
      <c r="E23" s="23"/>
    </row>
    <row r="24" customFormat="false" ht="19.5" hidden="false" customHeight="true" outlineLevel="0" collapsed="false">
      <c r="B24" s="24" t="s">
        <v>109</v>
      </c>
      <c r="C24" s="24"/>
      <c r="D24" s="24"/>
      <c r="E24" s="8" t="n">
        <f aca="false">COUNT(Dados!$E$13:$I$42)</f>
        <v>0</v>
      </c>
    </row>
    <row r="25" customFormat="false" ht="19.5" hidden="false" customHeight="true" outlineLevel="0" collapsed="false">
      <c r="B25" s="24" t="s">
        <v>114</v>
      </c>
      <c r="C25" s="24"/>
      <c r="D25" s="24"/>
      <c r="E25" s="18" t="str">
        <f aca="false">IF(COUNT(Dados!$E$13:$I$42)=0,"",AVERAGE(Dados!$E$13:$I$42))</f>
        <v/>
      </c>
    </row>
    <row r="26" customFormat="false" ht="19.5" hidden="false" customHeight="true" outlineLevel="0" collapsed="false">
      <c r="B26" s="24" t="s">
        <v>115</v>
      </c>
      <c r="C26" s="24"/>
      <c r="D26" s="24"/>
      <c r="E26" s="10" t="str">
        <f aca="false">IF(COUNT(Dados!$E$13:$I$42)=0,"",MIN(Dados!$E$13:$I$42))</f>
        <v/>
      </c>
    </row>
    <row r="27" customFormat="false" ht="19.5" hidden="false" customHeight="true" outlineLevel="0" collapsed="false">
      <c r="B27" s="24" t="s">
        <v>116</v>
      </c>
      <c r="C27" s="24"/>
      <c r="D27" s="24"/>
      <c r="E27" s="10" t="str">
        <f aca="false">IF(COUNT(Dados!$E$13:$I$42)=0,"",MAX(Dados!$E$13:$I$42))</f>
        <v/>
      </c>
    </row>
    <row r="28" customFormat="false" ht="19.5" hidden="false" customHeight="true" outlineLevel="0" collapsed="false">
      <c r="B28" s="24" t="s">
        <v>117</v>
      </c>
      <c r="C28" s="24"/>
      <c r="D28" s="24"/>
      <c r="E28" s="8" t="str">
        <f aca="false">IF(OR(COUNT(Dados!$E$13:$I$42)=0,Dados!$E$6="",Dados!$E$7=""),"",COUNTIF(Dados!$E$13:$I$42,"&lt;"&amp;Dados!$E$6)+COUNTIF(Dados!$E$13:$I$42,"&gt;"&amp;Dados!$E$7))</f>
        <v/>
      </c>
    </row>
  </sheetData>
  <mergeCells count="13">
    <mergeCell ref="B1:E1"/>
    <mergeCell ref="B2:E2"/>
    <mergeCell ref="B4:C4"/>
    <mergeCell ref="B5:C5"/>
    <mergeCell ref="B20:D20"/>
    <mergeCell ref="B21:D21"/>
    <mergeCell ref="G21:P21"/>
    <mergeCell ref="B23:E23"/>
    <mergeCell ref="B24:D24"/>
    <mergeCell ref="B25:D25"/>
    <mergeCell ref="B26:D26"/>
    <mergeCell ref="B27:D27"/>
    <mergeCell ref="B28:D28"/>
  </mergeCells>
  <conditionalFormatting sqref="B8:E19">
    <cfRule type="expression" priority="2" aboveAverage="0" equalAverage="0" bottom="0" percent="0" rank="0" text="" dxfId="3">
      <formula>AND(ISNUMBER($C8),OR($D8&lt;=Dados!$E$6,$C8&gt;=Dados!$E$7))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3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118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119</v>
      </c>
      <c r="C2" s="2"/>
      <c r="D2" s="2"/>
      <c r="E2" s="2"/>
      <c r="F2" s="2"/>
    </row>
    <row r="3" customFormat="false" ht="15" hidden="false" customHeight="false" outlineLevel="0" collapsed="false">
      <c r="B3" s="4" t="s">
        <v>120</v>
      </c>
      <c r="C3" s="4" t="str">
        <f aca="false">IF(Dados!E4="","",Dados!E4&amp;IF(Dados!E5="",""," ("&amp;Dados!E5&amp;")"))</f>
        <v/>
      </c>
      <c r="D3" s="4"/>
      <c r="E3" s="4"/>
      <c r="F3" s="4"/>
    </row>
    <row r="5" customFormat="false" ht="21.75" hidden="false" customHeight="true" outlineLevel="0" collapsed="false">
      <c r="B5" s="15" t="s">
        <v>121</v>
      </c>
      <c r="C5" s="15" t="s">
        <v>122</v>
      </c>
      <c r="D5" s="15" t="s">
        <v>123</v>
      </c>
      <c r="E5" s="15"/>
      <c r="F5" s="15"/>
    </row>
    <row r="6" customFormat="false" ht="21.75" hidden="false" customHeight="true" outlineLevel="0" collapsed="false">
      <c r="B6" s="29" t="s">
        <v>124</v>
      </c>
      <c r="C6" s="29"/>
      <c r="D6" s="29"/>
      <c r="E6" s="29"/>
      <c r="F6" s="29"/>
    </row>
    <row r="7" customFormat="false" ht="21.75" hidden="false" customHeight="true" outlineLevel="0" collapsed="false">
      <c r="B7" s="4" t="s">
        <v>125</v>
      </c>
      <c r="C7" s="8" t="n">
        <f aca="false">COUNT(Dados!$L$13:$L$42)</f>
        <v>0</v>
      </c>
      <c r="D7" s="30" t="s">
        <v>126</v>
      </c>
      <c r="E7" s="30"/>
      <c r="F7" s="30"/>
    </row>
    <row r="8" customFormat="false" ht="21.75" hidden="false" customHeight="true" outlineLevel="0" collapsed="false">
      <c r="B8" s="4" t="s">
        <v>127</v>
      </c>
      <c r="C8" s="8" t="n">
        <f aca="false">COUNTIF(Dados!$N$13:$N$42,"Base")</f>
        <v>0</v>
      </c>
      <c r="D8" s="30" t="s">
        <v>128</v>
      </c>
      <c r="E8" s="30"/>
      <c r="F8" s="30"/>
    </row>
    <row r="9" customFormat="false" ht="21.75" hidden="false" customHeight="true" outlineLevel="0" collapsed="false">
      <c r="B9" s="4" t="s">
        <v>129</v>
      </c>
      <c r="C9" s="8" t="n">
        <f aca="false">COUNTIF(Dados!$N$13:$N$42,"Excluído")</f>
        <v>0</v>
      </c>
      <c r="D9" s="30" t="s">
        <v>130</v>
      </c>
      <c r="E9" s="30"/>
      <c r="F9" s="30"/>
    </row>
    <row r="10" customFormat="false" ht="21.75" hidden="false" customHeight="true" outlineLevel="0" collapsed="false">
      <c r="B10" s="4" t="s">
        <v>131</v>
      </c>
      <c r="C10" s="8" t="n">
        <f aca="false">COUNTIF(Dados!$N$13:$N$42,"Acompanhamento")</f>
        <v>0</v>
      </c>
      <c r="D10" s="30" t="s">
        <v>132</v>
      </c>
      <c r="E10" s="30"/>
      <c r="F10" s="30"/>
    </row>
    <row r="11" customFormat="false" ht="21.75" hidden="false" customHeight="true" outlineLevel="0" collapsed="false">
      <c r="B11" s="4" t="s">
        <v>133</v>
      </c>
      <c r="C11" s="8" t="n">
        <f aca="false">SUMPRODUCT((Dados!$Q$13:$Q$42&lt;&gt;"")*(Dados!$Q$13:$Q$42&lt;&gt;"OK"))</f>
        <v>0</v>
      </c>
      <c r="D11" s="30" t="s">
        <v>134</v>
      </c>
      <c r="E11" s="30"/>
      <c r="F11" s="30"/>
    </row>
    <row r="12" customFormat="false" ht="21.75" hidden="false" customHeight="true" outlineLevel="0" collapsed="false">
      <c r="B12" s="29" t="s">
        <v>135</v>
      </c>
      <c r="C12" s="29"/>
      <c r="D12" s="29"/>
      <c r="E12" s="29"/>
      <c r="F12" s="29"/>
    </row>
    <row r="13" customFormat="false" ht="21.75" hidden="false" customHeight="true" outlineLevel="0" collapsed="false">
      <c r="B13" s="4" t="s">
        <v>136</v>
      </c>
      <c r="C13" s="8" t="n">
        <f aca="false">COUNTIF(Dados!$P$13:$P$42,"Média fora dos limites")</f>
        <v>0</v>
      </c>
      <c r="D13" s="30" t="s">
        <v>137</v>
      </c>
      <c r="E13" s="30"/>
      <c r="F13" s="30"/>
    </row>
    <row r="14" customFormat="false" ht="21.75" hidden="false" customHeight="true" outlineLevel="0" collapsed="false">
      <c r="B14" s="4" t="s">
        <v>138</v>
      </c>
      <c r="C14" s="8" t="n">
        <f aca="false">COUNTIF(Dados!$P$13:$P$42,"Amplitude fora do limite")</f>
        <v>0</v>
      </c>
      <c r="D14" s="30" t="s">
        <v>139</v>
      </c>
      <c r="E14" s="30"/>
      <c r="F14" s="30"/>
    </row>
    <row r="15" customFormat="false" ht="21.75" hidden="false" customHeight="true" outlineLevel="0" collapsed="false">
      <c r="B15" s="4" t="s">
        <v>140</v>
      </c>
      <c r="C15" s="8" t="n">
        <f aca="false">COUNTIF(Dados!$P$13:$P$42,"7 do mesmo lado")</f>
        <v>0</v>
      </c>
      <c r="D15" s="30" t="s">
        <v>141</v>
      </c>
      <c r="E15" s="30"/>
      <c r="F15" s="30"/>
    </row>
    <row r="16" customFormat="false" ht="21.75" hidden="false" customHeight="true" outlineLevel="0" collapsed="false">
      <c r="B16" s="4" t="s">
        <v>142</v>
      </c>
      <c r="C16" s="8" t="n">
        <f aca="false">COUNTIF(Dados!$P$13:$P$42,"6 subindo ou descendo")</f>
        <v>0</v>
      </c>
      <c r="D16" s="30" t="s">
        <v>143</v>
      </c>
      <c r="E16" s="30"/>
      <c r="F16" s="30"/>
    </row>
    <row r="17" customFormat="false" ht="21.75" hidden="false" customHeight="true" outlineLevel="0" collapsed="false">
      <c r="B17" s="4" t="s">
        <v>144</v>
      </c>
      <c r="C17" s="8" t="n">
        <f aca="false">SUMPRODUCT((Dados!$N$13:$N$42="Base")*(LEN(Dados!$P$13:$P$42)&gt;0))</f>
        <v>0</v>
      </c>
      <c r="D17" s="30" t="s">
        <v>145</v>
      </c>
      <c r="E17" s="30"/>
      <c r="F17" s="30"/>
    </row>
    <row r="18" customFormat="false" ht="21.75" hidden="false" customHeight="true" outlineLevel="0" collapsed="false">
      <c r="B18" s="4" t="s">
        <v>146</v>
      </c>
      <c r="C18" s="8" t="n">
        <f aca="false">SUMPRODUCT((Dados!$N$13:$N$42="Acompanhamento")*(LEN(Dados!$P$13:$P$42)&gt;0))</f>
        <v>0</v>
      </c>
      <c r="D18" s="30" t="s">
        <v>147</v>
      </c>
      <c r="E18" s="30"/>
      <c r="F18" s="30"/>
    </row>
    <row r="19" customFormat="false" ht="21.75" hidden="false" customHeight="true" outlineLevel="0" collapsed="false">
      <c r="B19" s="4" t="s">
        <v>148</v>
      </c>
      <c r="C19" s="31" t="str">
        <f aca="false">IFERROR(INDEX(Dados!$C$13:$C$42,MATCH(1,INDEX((Dados!$N$13:$N$42="Acompanhamento")*(LEN(Dados!$P$13:$P$42)&gt;0),0),0)),"")</f>
        <v/>
      </c>
      <c r="D19" s="30" t="s">
        <v>149</v>
      </c>
      <c r="E19" s="30"/>
      <c r="F19" s="30"/>
    </row>
    <row r="20" customFormat="false" ht="21.75" hidden="false" customHeight="true" outlineLevel="0" collapsed="false">
      <c r="B20" s="29" t="s">
        <v>150</v>
      </c>
      <c r="C20" s="29"/>
      <c r="D20" s="29"/>
      <c r="E20" s="29"/>
      <c r="F20" s="29"/>
    </row>
    <row r="21" customFormat="false" ht="21.75" hidden="false" customHeight="true" outlineLevel="0" collapsed="false">
      <c r="B21" s="4" t="s">
        <v>109</v>
      </c>
      <c r="C21" s="8" t="n">
        <f aca="false">COUNT(Dados!$E$13:$I$42)</f>
        <v>0</v>
      </c>
      <c r="D21" s="30" t="s">
        <v>151</v>
      </c>
      <c r="E21" s="30"/>
      <c r="F21" s="30"/>
    </row>
    <row r="22" customFormat="false" ht="21.75" hidden="false" customHeight="true" outlineLevel="0" collapsed="false">
      <c r="B22" s="4" t="s">
        <v>152</v>
      </c>
      <c r="C22" s="8" t="n">
        <f aca="false">SUM(Dados!$O$13:$O$42)</f>
        <v>0</v>
      </c>
      <c r="D22" s="30" t="s">
        <v>153</v>
      </c>
      <c r="E22" s="30"/>
      <c r="F22" s="30"/>
    </row>
    <row r="23" customFormat="false" ht="21.75" hidden="false" customHeight="true" outlineLevel="0" collapsed="false">
      <c r="B23" s="4" t="s">
        <v>154</v>
      </c>
      <c r="C23" s="32" t="str">
        <f aca="false">IF(OR(Dados!$L$10="",Dados!$E$6="",Dados!$E$7=""),"",IF(Dados!$L$10=0,"",(Dados!$E$7-Dados!$E$6)/(6*Dados!$L$10)))</f>
        <v/>
      </c>
      <c r="D23" s="30" t="s">
        <v>155</v>
      </c>
      <c r="E23" s="30"/>
      <c r="F23" s="30"/>
    </row>
    <row r="24" customFormat="false" ht="21.75" hidden="false" customHeight="true" outlineLevel="0" collapsed="false">
      <c r="B24" s="4" t="s">
        <v>156</v>
      </c>
      <c r="C24" s="32" t="str">
        <f aca="false">IF(OR(Dados!$L$10="",Dados!$E$6="",Dados!$E$7=""),"",IF(Dados!$L$10=0,"",MIN(Dados!$E$7-Dados!$L$5,Dados!$L$5-Dados!$E$6)/(3*Dados!$L$10)))</f>
        <v/>
      </c>
      <c r="D24" s="30" t="s">
        <v>157</v>
      </c>
      <c r="E24" s="30"/>
      <c r="F24" s="30"/>
    </row>
    <row r="25" customFormat="false" ht="21.75" hidden="false" customHeight="true" outlineLevel="0" collapsed="false">
      <c r="B25" s="4" t="s">
        <v>158</v>
      </c>
      <c r="C25" s="33" t="str">
        <f aca="false">IF(C24="","",IF(C17&gt;0,"Base com sinal: trate antes",IF(C24&gt;=1.33,"Capaz",IF(C24&gt;=1,"No limite","Não capaz"))))</f>
        <v/>
      </c>
      <c r="D25" s="30" t="s">
        <v>159</v>
      </c>
      <c r="E25" s="30"/>
      <c r="F25" s="30"/>
    </row>
    <row r="27" customFormat="false" ht="21.75" hidden="false" customHeight="true" outlineLevel="0" collapsed="false">
      <c r="B27" s="23" t="s">
        <v>93</v>
      </c>
      <c r="C27" s="23"/>
      <c r="D27" s="23"/>
      <c r="E27" s="23"/>
      <c r="F27" s="23"/>
    </row>
    <row r="28" customFormat="false" ht="21.75" hidden="false" customHeight="true" outlineLevel="0" collapsed="false">
      <c r="B28" s="4" t="s">
        <v>160</v>
      </c>
      <c r="C28" s="34" t="str">
        <f aca="false">IF(C7=0,"Lance os subgrupos na aba Dados",IF(C8&lt;20,"Base com menos de 20 subgrupos: limites provisórios",IF(C11&gt;0,"Há linha a completar: veja a coluna Conferência",IF(C17&gt;0,"Há sinal na base: procure a causa e exclua o subgrupo",IF(C18&gt;0,"Há sinal no acompanhamento: procure a causa e anote a ação",IF(C25="Não capaz","Processo em controle, mas não capaz: mude o processo",IF(C25="No limite","Capacidade no limite: acompanhe de perto","OK")))))))</f>
        <v>Lance os subgrupos na aba Dados</v>
      </c>
      <c r="D28" s="34"/>
      <c r="E28" s="34"/>
      <c r="F28" s="34"/>
    </row>
  </sheetData>
  <mergeCells count="26">
    <mergeCell ref="B1:F1"/>
    <mergeCell ref="B2:F2"/>
    <mergeCell ref="C3:F3"/>
    <mergeCell ref="D5:F5"/>
    <mergeCell ref="B6:F6"/>
    <mergeCell ref="D7:F7"/>
    <mergeCell ref="D8:F8"/>
    <mergeCell ref="D9:F9"/>
    <mergeCell ref="D10:F10"/>
    <mergeCell ref="D11:F11"/>
    <mergeCell ref="B12:F12"/>
    <mergeCell ref="D13:F13"/>
    <mergeCell ref="D14:F14"/>
    <mergeCell ref="D15:F15"/>
    <mergeCell ref="D16:F16"/>
    <mergeCell ref="D17:F17"/>
    <mergeCell ref="D18:F18"/>
    <mergeCell ref="D19:F19"/>
    <mergeCell ref="B20:F20"/>
    <mergeCell ref="D21:F21"/>
    <mergeCell ref="D22:F22"/>
    <mergeCell ref="D23:F23"/>
    <mergeCell ref="D24:F24"/>
    <mergeCell ref="D25:F25"/>
    <mergeCell ref="B27:F27"/>
    <mergeCell ref="C28:F28"/>
  </mergeCells>
  <conditionalFormatting sqref="C25">
    <cfRule type="expression" priority="2" aboveAverage="0" equalAverage="0" bottom="0" percent="0" rank="0" text="" dxfId="0">
      <formula>C25="Capaz"</formula>
    </cfRule>
    <cfRule type="expression" priority="3" aboveAverage="0" equalAverage="0" bottom="0" percent="0" rank="0" text="" dxfId="4">
      <formula>C25="No limite"</formula>
    </cfRule>
    <cfRule type="expression" priority="4" aboveAverage="0" equalAverage="0" bottom="0" percent="0" rank="0" text="" dxfId="3">
      <formula>C25="Não capaz"</formula>
    </cfRule>
    <cfRule type="expression" priority="5" aboveAverage="0" equalAverage="0" bottom="0" percent="0" rank="0" text="" dxfId="2">
      <formula>C25="Base com sinal: trate antes"</formula>
    </cfRule>
  </conditionalFormatting>
  <conditionalFormatting sqref="C28:F28">
    <cfRule type="expression" priority="6" aboveAverage="0" equalAverage="0" bottom="0" percent="0" rank="0" text="" dxfId="0">
      <formula>OR(C28="OK")</formula>
    </cfRule>
    <cfRule type="expression" priority="7" aboveAverage="0" equalAverage="0" bottom="0" percent="0" rank="0" text="" dxfId="2">
      <formula>AND(LEN(C28)&gt;0,NOT(OR(C28="OK")))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161</v>
      </c>
      <c r="C1" s="1"/>
      <c r="D1" s="1"/>
      <c r="E1" s="1"/>
    </row>
    <row r="2" customFormat="false" ht="19.5" hidden="false" customHeight="true" outlineLevel="0" collapsed="false">
      <c r="B2" s="2" t="s">
        <v>162</v>
      </c>
      <c r="C2" s="2"/>
      <c r="D2" s="2"/>
      <c r="E2" s="2"/>
    </row>
    <row r="4" customFormat="false" ht="21.75" hidden="false" customHeight="true" outlineLevel="0" collapsed="false">
      <c r="B4" s="15" t="s">
        <v>78</v>
      </c>
      <c r="C4" s="15" t="s">
        <v>163</v>
      </c>
      <c r="D4" s="15" t="s">
        <v>164</v>
      </c>
      <c r="E4" s="15" t="s">
        <v>165</v>
      </c>
    </row>
    <row r="5" customFormat="false" ht="30" hidden="false" customHeight="true" outlineLevel="0" collapsed="false">
      <c r="B5" s="16" t="n">
        <v>1</v>
      </c>
      <c r="C5" s="6" t="s">
        <v>166</v>
      </c>
      <c r="D5" s="11"/>
      <c r="E5" s="5"/>
    </row>
    <row r="6" customFormat="false" ht="30" hidden="false" customHeight="true" outlineLevel="0" collapsed="false">
      <c r="B6" s="16" t="n">
        <v>2</v>
      </c>
      <c r="C6" s="6" t="s">
        <v>167</v>
      </c>
      <c r="D6" s="11"/>
      <c r="E6" s="5"/>
    </row>
    <row r="7" customFormat="false" ht="30" hidden="false" customHeight="true" outlineLevel="0" collapsed="false">
      <c r="B7" s="16" t="n">
        <v>3</v>
      </c>
      <c r="C7" s="6" t="s">
        <v>168</v>
      </c>
      <c r="D7" s="11"/>
      <c r="E7" s="5"/>
    </row>
    <row r="8" customFormat="false" ht="30" hidden="false" customHeight="true" outlineLevel="0" collapsed="false">
      <c r="B8" s="16" t="n">
        <v>4</v>
      </c>
      <c r="C8" s="6" t="s">
        <v>169</v>
      </c>
      <c r="D8" s="11"/>
      <c r="E8" s="5"/>
    </row>
    <row r="9" customFormat="false" ht="30" hidden="false" customHeight="true" outlineLevel="0" collapsed="false">
      <c r="B9" s="16" t="n">
        <v>5</v>
      </c>
      <c r="C9" s="6" t="s">
        <v>170</v>
      </c>
      <c r="D9" s="11"/>
      <c r="E9" s="5"/>
    </row>
    <row r="10" customFormat="false" ht="30" hidden="false" customHeight="true" outlineLevel="0" collapsed="false">
      <c r="B10" s="16" t="n">
        <v>6</v>
      </c>
      <c r="C10" s="6" t="s">
        <v>171</v>
      </c>
      <c r="D10" s="11"/>
      <c r="E10" s="5"/>
    </row>
    <row r="11" customFormat="false" ht="30" hidden="false" customHeight="true" outlineLevel="0" collapsed="false">
      <c r="B11" s="16" t="n">
        <v>7</v>
      </c>
      <c r="C11" s="6" t="s">
        <v>172</v>
      </c>
      <c r="D11" s="11"/>
      <c r="E11" s="5"/>
    </row>
    <row r="12" customFormat="false" ht="30" hidden="false" customHeight="true" outlineLevel="0" collapsed="false">
      <c r="B12" s="16" t="n">
        <v>8</v>
      </c>
      <c r="C12" s="6" t="s">
        <v>173</v>
      </c>
      <c r="D12" s="11"/>
      <c r="E12" s="5"/>
    </row>
    <row r="13" customFormat="false" ht="30" hidden="false" customHeight="true" outlineLevel="0" collapsed="false">
      <c r="B13" s="16" t="n">
        <v>9</v>
      </c>
      <c r="C13" s="6" t="s">
        <v>174</v>
      </c>
      <c r="D13" s="11"/>
      <c r="E13" s="5"/>
    </row>
    <row r="14" customFormat="false" ht="30" hidden="false" customHeight="true" outlineLevel="0" collapsed="false">
      <c r="B14" s="16" t="n">
        <v>10</v>
      </c>
      <c r="C14" s="6" t="s">
        <v>175</v>
      </c>
      <c r="D14" s="11"/>
      <c r="E14" s="5"/>
    </row>
    <row r="15" customFormat="false" ht="30" hidden="false" customHeight="true" outlineLevel="0" collapsed="false">
      <c r="B15" s="16" t="n">
        <v>11</v>
      </c>
      <c r="C15" s="6" t="s">
        <v>176</v>
      </c>
      <c r="D15" s="11"/>
      <c r="E15" s="5"/>
    </row>
    <row r="16" customFormat="false" ht="30" hidden="false" customHeight="true" outlineLevel="0" collapsed="false">
      <c r="B16" s="16" t="n">
        <v>12</v>
      </c>
      <c r="C16" s="6" t="s">
        <v>177</v>
      </c>
      <c r="D16" s="11"/>
      <c r="E16" s="5"/>
    </row>
    <row r="18" customFormat="false" ht="21.75" hidden="false" customHeight="true" outlineLevel="0" collapsed="false">
      <c r="B18" s="23" t="s">
        <v>93</v>
      </c>
      <c r="C18" s="23"/>
      <c r="D18" s="23"/>
      <c r="E18" s="23"/>
    </row>
    <row r="19" customFormat="false" ht="19.5" hidden="false" customHeight="true" outlineLevel="0" collapsed="false">
      <c r="B19" s="24" t="s">
        <v>178</v>
      </c>
      <c r="C19" s="24"/>
      <c r="D19" s="28" t="n">
        <f aca="false">COUNTIF(D5:D16,"Sim")</f>
        <v>0</v>
      </c>
    </row>
    <row r="20" customFormat="false" ht="19.5" hidden="false" customHeight="true" outlineLevel="0" collapsed="false">
      <c r="B20" s="24" t="s">
        <v>179</v>
      </c>
      <c r="C20" s="24"/>
      <c r="D20" s="28" t="n">
        <f aca="false">COUNTIF(D5:D16,"Parcial")</f>
        <v>0</v>
      </c>
    </row>
    <row r="21" customFormat="false" ht="19.5" hidden="false" customHeight="true" outlineLevel="0" collapsed="false">
      <c r="B21" s="24" t="s">
        <v>180</v>
      </c>
      <c r="C21" s="24"/>
      <c r="D21" s="28" t="n">
        <f aca="false">COUNTIF(D5:D16,"Não")</f>
        <v>0</v>
      </c>
    </row>
    <row r="22" customFormat="false" ht="19.5" hidden="false" customHeight="true" outlineLevel="0" collapsed="false">
      <c r="B22" s="24" t="s">
        <v>181</v>
      </c>
      <c r="C22" s="24"/>
      <c r="D22" s="28" t="n">
        <f aca="false">COUNTBLANK(D5:D16)</f>
        <v>12</v>
      </c>
    </row>
    <row r="23" customFormat="false" ht="19.5" hidden="false" customHeight="true" outlineLevel="0" collapsed="false">
      <c r="B23" s="24" t="s">
        <v>182</v>
      </c>
      <c r="C23" s="24"/>
      <c r="D23" s="35" t="n">
        <f aca="false">D19/ROWS(D5:D16)</f>
        <v>0</v>
      </c>
    </row>
    <row r="24" customFormat="false" ht="19.5" hidden="false" customHeight="true" outlineLevel="0" collapsed="false">
      <c r="B24" s="24" t="s">
        <v>183</v>
      </c>
      <c r="C24" s="24"/>
      <c r="D24" s="28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2">
      <formula>"Parcial"</formula>
    </cfRule>
    <cfRule type="cellIs" priority="4" operator="equal" aboveAverage="0" equalAverage="0" bottom="0" percent="0" rank="0" text="" dxfId="3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W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9" min="5" style="0" width="9"/>
    <col collapsed="false" customWidth="true" hidden="false" outlineLevel="0" max="10" min="10" style="0" width="10"/>
    <col collapsed="false" customWidth="true" hidden="false" outlineLevel="0" max="11" min="11" style="0" width="34"/>
    <col collapsed="false" customWidth="true" hidden="false" outlineLevel="0" max="13" min="12" style="0" width="11"/>
    <col collapsed="false" customWidth="true" hidden="false" outlineLevel="0" max="14" min="14" style="0" width="16"/>
    <col collapsed="false" customWidth="true" hidden="false" outlineLevel="0" max="15" min="15" style="0" width="10"/>
    <col collapsed="false" customWidth="true" hidden="false" outlineLevel="0" max="16" min="16" style="0" width="24"/>
    <col collapsed="false" customWidth="true" hidden="false" outlineLevel="0" max="17" min="17" style="0" width="18"/>
    <col collapsed="false" customWidth="true" hidden="false" outlineLevel="0" max="18" min="18" style="0" width="2"/>
    <col collapsed="false" customWidth="true" hidden="false" outlineLevel="0" max="23" min="19" style="0" width="10"/>
  </cols>
  <sheetData>
    <row r="1" customFormat="false" ht="31.5" hidden="false" customHeight="true" outlineLevel="0" collapsed="false">
      <c r="B1" s="1" t="s">
        <v>184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185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B4" s="4" t="s">
        <v>186</v>
      </c>
      <c r="C4" s="4"/>
      <c r="D4" s="4"/>
      <c r="E4" s="36" t="s">
        <v>187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customFormat="false" ht="19.5" hidden="false" customHeight="true" outlineLevel="0" collapsed="false">
      <c r="B5" s="4" t="s">
        <v>188</v>
      </c>
      <c r="C5" s="4"/>
      <c r="D5" s="4"/>
      <c r="E5" s="36" t="s">
        <v>189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6" customFormat="false" ht="19.5" hidden="false" customHeight="true" outlineLevel="0" collapsed="false">
      <c r="B6" s="4" t="s">
        <v>190</v>
      </c>
      <c r="C6" s="4"/>
      <c r="D6" s="4"/>
      <c r="E6" s="36" t="s">
        <v>191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</row>
    <row r="7" customFormat="false" ht="19.5" hidden="false" customHeight="true" outlineLevel="0" collapsed="false">
      <c r="B7" s="4" t="s">
        <v>192</v>
      </c>
      <c r="C7" s="4"/>
      <c r="D7" s="4"/>
      <c r="E7" s="36" t="s">
        <v>193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8" customFormat="false" ht="19.5" hidden="false" customHeight="true" outlineLevel="0" collapsed="false">
      <c r="B8" s="4" t="s">
        <v>194</v>
      </c>
      <c r="C8" s="4"/>
      <c r="D8" s="4"/>
      <c r="E8" s="36" t="s">
        <v>195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10" customFormat="false" ht="19.5" hidden="false" customHeight="true" outlineLevel="0" collapsed="false">
      <c r="B10" s="4" t="s">
        <v>58</v>
      </c>
      <c r="C10" s="4"/>
      <c r="D10" s="4"/>
      <c r="E10" s="36" t="s">
        <v>196</v>
      </c>
      <c r="F10" s="36"/>
      <c r="G10" s="36"/>
      <c r="H10" s="36"/>
      <c r="I10" s="36"/>
      <c r="K10" s="4" t="s">
        <v>59</v>
      </c>
      <c r="L10" s="8" t="n">
        <f aca="false">COUNTIF($N$19:$N$43,"Base")</f>
        <v>25</v>
      </c>
      <c r="M10" s="8"/>
      <c r="N10" s="9" t="s">
        <v>60</v>
      </c>
      <c r="O10" s="9"/>
      <c r="P10" s="9"/>
      <c r="Q10" s="9"/>
    </row>
    <row r="11" customFormat="false" ht="19.5" hidden="false" customHeight="true" outlineLevel="0" collapsed="false">
      <c r="B11" s="4" t="s">
        <v>61</v>
      </c>
      <c r="C11" s="4"/>
      <c r="D11" s="4"/>
      <c r="E11" s="36" t="s">
        <v>197</v>
      </c>
      <c r="F11" s="36"/>
      <c r="G11" s="36"/>
      <c r="H11" s="36"/>
      <c r="I11" s="36"/>
      <c r="K11" s="4" t="s">
        <v>62</v>
      </c>
      <c r="L11" s="10" t="n">
        <f aca="false">IF($L$10=0,"",AVERAGEIF($N$19:$N$43,"Base",$L$19:$L$43))</f>
        <v>400.304</v>
      </c>
      <c r="M11" s="10"/>
      <c r="N11" s="9" t="s">
        <v>63</v>
      </c>
      <c r="O11" s="9"/>
      <c r="P11" s="9"/>
      <c r="Q11" s="9"/>
    </row>
    <row r="12" customFormat="false" ht="19.5" hidden="false" customHeight="true" outlineLevel="0" collapsed="false">
      <c r="B12" s="4" t="s">
        <v>64</v>
      </c>
      <c r="C12" s="4"/>
      <c r="D12" s="4"/>
      <c r="E12" s="37" t="n">
        <v>380</v>
      </c>
      <c r="F12" s="37"/>
      <c r="G12" s="37"/>
      <c r="H12" s="37"/>
      <c r="I12" s="37"/>
      <c r="K12" s="4" t="s">
        <v>65</v>
      </c>
      <c r="L12" s="10" t="n">
        <f aca="false">IF($L$11="","",$L$11+0.577*$L$14)</f>
        <v>411.08236</v>
      </c>
      <c r="M12" s="10"/>
      <c r="N12" s="9" t="s">
        <v>66</v>
      </c>
      <c r="O12" s="9"/>
      <c r="P12" s="9"/>
      <c r="Q12" s="9"/>
    </row>
    <row r="13" customFormat="false" ht="19.5" hidden="false" customHeight="true" outlineLevel="0" collapsed="false">
      <c r="B13" s="4" t="s">
        <v>67</v>
      </c>
      <c r="C13" s="4"/>
      <c r="D13" s="4"/>
      <c r="E13" s="37" t="n">
        <v>420</v>
      </c>
      <c r="F13" s="37"/>
      <c r="G13" s="37"/>
      <c r="H13" s="37"/>
      <c r="I13" s="37"/>
      <c r="K13" s="4" t="s">
        <v>68</v>
      </c>
      <c r="L13" s="10" t="n">
        <f aca="false">IF($L$11="","",$L$11-0.577*$L$14)</f>
        <v>389.52564</v>
      </c>
      <c r="M13" s="10"/>
      <c r="N13" s="9" t="s">
        <v>69</v>
      </c>
      <c r="O13" s="9"/>
      <c r="P13" s="9"/>
      <c r="Q13" s="9"/>
    </row>
    <row r="14" customFormat="false" ht="19.5" hidden="false" customHeight="true" outlineLevel="0" collapsed="false">
      <c r="B14" s="4" t="s">
        <v>70</v>
      </c>
      <c r="C14" s="4"/>
      <c r="D14" s="4"/>
      <c r="E14" s="37" t="n">
        <v>25</v>
      </c>
      <c r="F14" s="37"/>
      <c r="G14" s="37"/>
      <c r="H14" s="37"/>
      <c r="I14" s="37"/>
      <c r="K14" s="4" t="s">
        <v>71</v>
      </c>
      <c r="L14" s="10" t="n">
        <f aca="false">IF($L$10=0,"",AVERAGEIF($N$19:$N$43,"Base",$M$19:$M$43))</f>
        <v>18.68</v>
      </c>
      <c r="M14" s="10"/>
      <c r="N14" s="9" t="s">
        <v>72</v>
      </c>
      <c r="O14" s="9"/>
      <c r="P14" s="9"/>
      <c r="Q14" s="9"/>
    </row>
    <row r="15" customFormat="false" ht="15" hidden="false" customHeight="true" outlineLevel="0" collapsed="false">
      <c r="B15" s="4" t="s">
        <v>73</v>
      </c>
      <c r="C15" s="4"/>
      <c r="D15" s="4"/>
      <c r="E15" s="13" t="n">
        <v>5</v>
      </c>
      <c r="F15" s="13"/>
      <c r="G15" s="13"/>
      <c r="H15" s="13"/>
      <c r="I15" s="13"/>
      <c r="K15" s="4" t="s">
        <v>74</v>
      </c>
      <c r="L15" s="10" t="n">
        <f aca="false">IF($L$14="","",2.114*$L$14)</f>
        <v>39.48952</v>
      </c>
      <c r="M15" s="10"/>
      <c r="N15" s="9" t="s">
        <v>75</v>
      </c>
      <c r="O15" s="9"/>
      <c r="P15" s="9"/>
      <c r="Q15" s="9"/>
    </row>
    <row r="16" customFormat="false" ht="15" hidden="false" customHeight="true" outlineLevel="0" collapsed="false">
      <c r="K16" s="4" t="s">
        <v>76</v>
      </c>
      <c r="L16" s="14" t="n">
        <f aca="false">IF($L$14="","",$L$14/2.326)</f>
        <v>8.03095442820292</v>
      </c>
      <c r="M16" s="14"/>
      <c r="N16" s="9" t="s">
        <v>77</v>
      </c>
      <c r="O16" s="9"/>
      <c r="P16" s="9"/>
      <c r="Q16" s="9"/>
    </row>
    <row r="18" customFormat="false" ht="33" hidden="false" customHeight="true" outlineLevel="0" collapsed="false">
      <c r="B18" s="15" t="s">
        <v>78</v>
      </c>
      <c r="C18" s="15" t="s">
        <v>79</v>
      </c>
      <c r="D18" s="15" t="s">
        <v>80</v>
      </c>
      <c r="E18" s="15" t="s">
        <v>81</v>
      </c>
      <c r="F18" s="15" t="s">
        <v>82</v>
      </c>
      <c r="G18" s="15" t="s">
        <v>83</v>
      </c>
      <c r="H18" s="15" t="s">
        <v>84</v>
      </c>
      <c r="I18" s="15" t="s">
        <v>85</v>
      </c>
      <c r="J18" s="15" t="s">
        <v>86</v>
      </c>
      <c r="K18" s="15" t="s">
        <v>87</v>
      </c>
      <c r="L18" s="15" t="s">
        <v>88</v>
      </c>
      <c r="M18" s="15" t="s">
        <v>89</v>
      </c>
      <c r="N18" s="15" t="s">
        <v>14</v>
      </c>
      <c r="O18" s="15" t="s">
        <v>90</v>
      </c>
      <c r="P18" s="15" t="s">
        <v>91</v>
      </c>
      <c r="Q18" s="15" t="s">
        <v>92</v>
      </c>
      <c r="S18" s="15" t="s">
        <v>98</v>
      </c>
      <c r="T18" s="15" t="s">
        <v>99</v>
      </c>
      <c r="U18" s="15" t="s">
        <v>100</v>
      </c>
      <c r="V18" s="15" t="s">
        <v>101</v>
      </c>
      <c r="W18" s="15" t="s">
        <v>102</v>
      </c>
    </row>
    <row r="19" customFormat="false" ht="19.5" hidden="false" customHeight="true" outlineLevel="0" collapsed="false">
      <c r="B19" s="16" t="n">
        <v>1</v>
      </c>
      <c r="C19" s="38" t="n">
        <v>46468</v>
      </c>
      <c r="D19" s="7" t="s">
        <v>198</v>
      </c>
      <c r="E19" s="39" t="n">
        <v>390</v>
      </c>
      <c r="F19" s="39" t="n">
        <v>399</v>
      </c>
      <c r="G19" s="39" t="n">
        <v>411</v>
      </c>
      <c r="H19" s="39" t="n">
        <v>386</v>
      </c>
      <c r="I19" s="39" t="n">
        <v>407</v>
      </c>
      <c r="J19" s="40"/>
      <c r="K19" s="41"/>
      <c r="L19" s="18" t="n">
        <f aca="false">IF(COUNT(E19:I19)=5,AVERAGE(E19:I19),"")</f>
        <v>398.6</v>
      </c>
      <c r="M19" s="19" t="n">
        <f aca="false">IF(COUNT(E19:I19)=5,MAX(E19:I19)-MIN(E19:I19),"")</f>
        <v>25</v>
      </c>
      <c r="N19" s="20" t="str">
        <f aca="false">IF(L19="","",IF(J19="Sim","Excluído",IF(OR($E$14="",B19&lt;=$E$14),"Base","Acompanhamento")))</f>
        <v>Base</v>
      </c>
      <c r="O19" s="21" t="n">
        <f aca="false">IF(OR(COUNT(E19:I19)=0,$E$12="",$E$13=""),"",COUNTIF(E19:I19,"&lt;"&amp;$E$12)+COUNTIF(E19:I19,"&gt;"&amp;$E$13))</f>
        <v>0</v>
      </c>
      <c r="P19" s="22" t="str">
        <f aca="false">IF(OR(L19="",$L$11=""),"",IF(OR(L19&gt;$L$12,L19&lt;$L$13),"Média fora dos limites",IF(M19&gt;$L$15,"Amplitude fora do limite",IF(FALSE(),"7 do mesmo lado",IF(FALSE(),"6 subindo ou descendo","")))))</f>
        <v/>
      </c>
      <c r="Q19" s="22" t="str">
        <f aca="false">IF(COUNT(E19:I19)+LEN(C19)+LEN(D19)+LEN(J19)=0,"",IF(AND(COUNT(E19:I19)&gt;0,COUNT(E19:I19)&lt;5),"Faltam medições",IF(AND(COUNT(E19:I19)&gt;0,C19=""),"Falta a data",IF(AND(J19="Sim",K19=""),"Falta o motivo",IF(COUNT(E19:I19)=0,"Faltam medições","OK")))))</f>
        <v>OK</v>
      </c>
      <c r="S19" s="27" t="n">
        <f aca="false">$L$12</f>
        <v>411.08236</v>
      </c>
      <c r="T19" s="27" t="n">
        <f aca="false">$L$11</f>
        <v>400.304</v>
      </c>
      <c r="U19" s="27" t="n">
        <f aca="false">$L$13</f>
        <v>389.52564</v>
      </c>
      <c r="V19" s="27" t="n">
        <f aca="false">$L$15</f>
        <v>39.48952</v>
      </c>
      <c r="W19" s="27" t="n">
        <f aca="false">$L$14</f>
        <v>18.68</v>
      </c>
    </row>
    <row r="20" customFormat="false" ht="19.5" hidden="false" customHeight="true" outlineLevel="0" collapsed="false">
      <c r="B20" s="16" t="n">
        <v>2</v>
      </c>
      <c r="C20" s="38" t="n">
        <v>46469</v>
      </c>
      <c r="D20" s="7" t="s">
        <v>199</v>
      </c>
      <c r="E20" s="39" t="n">
        <v>395</v>
      </c>
      <c r="F20" s="39" t="n">
        <v>409</v>
      </c>
      <c r="G20" s="39" t="n">
        <v>398</v>
      </c>
      <c r="H20" s="39" t="n">
        <v>400</v>
      </c>
      <c r="I20" s="39" t="n">
        <v>404</v>
      </c>
      <c r="J20" s="40"/>
      <c r="K20" s="41"/>
      <c r="L20" s="18" t="n">
        <f aca="false">IF(COUNT(E20:I20)=5,AVERAGE(E20:I20),"")</f>
        <v>401.2</v>
      </c>
      <c r="M20" s="19" t="n">
        <f aca="false">IF(COUNT(E20:I20)=5,MAX(E20:I20)-MIN(E20:I20),"")</f>
        <v>14</v>
      </c>
      <c r="N20" s="20" t="str">
        <f aca="false">IF(L20="","",IF(J20="Sim","Excluído",IF(OR($E$14="",B20&lt;=$E$14),"Base","Acompanhamento")))</f>
        <v>Base</v>
      </c>
      <c r="O20" s="21" t="n">
        <f aca="false">IF(OR(COUNT(E20:I20)=0,$E$12="",$E$13=""),"",COUNTIF(E20:I20,"&lt;"&amp;$E$12)+COUNTIF(E20:I20,"&gt;"&amp;$E$13))</f>
        <v>0</v>
      </c>
      <c r="P20" s="22" t="str">
        <f aca="false">IF(OR(L20="",$L$11=""),"",IF(OR(L20&gt;$L$12,L20&lt;$L$13),"Média fora dos limites",IF(M20&gt;$L$15,"Amplitude fora do limite",IF(FALSE(),"7 do mesmo lado",IF(FALSE(),"6 subindo ou descendo","")))))</f>
        <v/>
      </c>
      <c r="Q20" s="22" t="str">
        <f aca="false">IF(COUNT(E20:I20)+LEN(C20)+LEN(D20)+LEN(J20)=0,"",IF(AND(COUNT(E20:I20)&gt;0,COUNT(E20:I20)&lt;5),"Faltam medições",IF(AND(COUNT(E20:I20)&gt;0,C20=""),"Falta a data",IF(AND(J20="Sim",K20=""),"Falta o motivo",IF(COUNT(E20:I20)=0,"Faltam medições","OK")))))</f>
        <v>OK</v>
      </c>
      <c r="S20" s="27" t="n">
        <f aca="false">$L$12</f>
        <v>411.08236</v>
      </c>
      <c r="T20" s="27" t="n">
        <f aca="false">$L$11</f>
        <v>400.304</v>
      </c>
      <c r="U20" s="27" t="n">
        <f aca="false">$L$13</f>
        <v>389.52564</v>
      </c>
      <c r="V20" s="27" t="n">
        <f aca="false">$L$15</f>
        <v>39.48952</v>
      </c>
      <c r="W20" s="27" t="n">
        <f aca="false">$L$14</f>
        <v>18.68</v>
      </c>
    </row>
    <row r="21" customFormat="false" ht="19.5" hidden="false" customHeight="true" outlineLevel="0" collapsed="false">
      <c r="B21" s="16" t="n">
        <v>3</v>
      </c>
      <c r="C21" s="38" t="n">
        <v>46470</v>
      </c>
      <c r="D21" s="7" t="s">
        <v>200</v>
      </c>
      <c r="E21" s="39" t="n">
        <v>396</v>
      </c>
      <c r="F21" s="39" t="n">
        <v>400</v>
      </c>
      <c r="G21" s="39" t="n">
        <v>399</v>
      </c>
      <c r="H21" s="39" t="n">
        <v>412</v>
      </c>
      <c r="I21" s="39" t="n">
        <v>403</v>
      </c>
      <c r="J21" s="40"/>
      <c r="K21" s="41"/>
      <c r="L21" s="18" t="n">
        <f aca="false">IF(COUNT(E21:I21)=5,AVERAGE(E21:I21),"")</f>
        <v>402</v>
      </c>
      <c r="M21" s="19" t="n">
        <f aca="false">IF(COUNT(E21:I21)=5,MAX(E21:I21)-MIN(E21:I21),"")</f>
        <v>16</v>
      </c>
      <c r="N21" s="20" t="str">
        <f aca="false">IF(L21="","",IF(J21="Sim","Excluído",IF(OR($E$14="",B21&lt;=$E$14),"Base","Acompanhamento")))</f>
        <v>Base</v>
      </c>
      <c r="O21" s="21" t="n">
        <f aca="false">IF(OR(COUNT(E21:I21)=0,$E$12="",$E$13=""),"",COUNTIF(E21:I21,"&lt;"&amp;$E$12)+COUNTIF(E21:I21,"&gt;"&amp;$E$13))</f>
        <v>0</v>
      </c>
      <c r="P21" s="22" t="str">
        <f aca="false">IF(OR(L21="",$L$11=""),"",IF(OR(L21&gt;$L$12,L21&lt;$L$13),"Média fora dos limites",IF(M21&gt;$L$15,"Amplitude fora do limite",IF(FALSE(),"7 do mesmo lado",IF(FALSE(),"6 subindo ou descendo","")))))</f>
        <v/>
      </c>
      <c r="Q21" s="22" t="str">
        <f aca="false">IF(COUNT(E21:I21)+LEN(C21)+LEN(D21)+LEN(J21)=0,"",IF(AND(COUNT(E21:I21)&gt;0,COUNT(E21:I21)&lt;5),"Faltam medições",IF(AND(COUNT(E21:I21)&gt;0,C21=""),"Falta a data",IF(AND(J21="Sim",K21=""),"Falta o motivo",IF(COUNT(E21:I21)=0,"Faltam medições","OK")))))</f>
        <v>OK</v>
      </c>
      <c r="S21" s="27" t="n">
        <f aca="false">$L$12</f>
        <v>411.08236</v>
      </c>
      <c r="T21" s="27" t="n">
        <f aca="false">$L$11</f>
        <v>400.304</v>
      </c>
      <c r="U21" s="27" t="n">
        <f aca="false">$L$13</f>
        <v>389.52564</v>
      </c>
      <c r="V21" s="27" t="n">
        <f aca="false">$L$15</f>
        <v>39.48952</v>
      </c>
      <c r="W21" s="27" t="n">
        <f aca="false">$L$14</f>
        <v>18.68</v>
      </c>
    </row>
    <row r="22" customFormat="false" ht="19.5" hidden="false" customHeight="true" outlineLevel="0" collapsed="false">
      <c r="B22" s="16" t="n">
        <v>4</v>
      </c>
      <c r="C22" s="38" t="n">
        <v>46471</v>
      </c>
      <c r="D22" s="7" t="s">
        <v>201</v>
      </c>
      <c r="E22" s="39" t="n">
        <v>387</v>
      </c>
      <c r="F22" s="39" t="n">
        <v>403</v>
      </c>
      <c r="G22" s="39" t="n">
        <v>402</v>
      </c>
      <c r="H22" s="39" t="n">
        <v>400</v>
      </c>
      <c r="I22" s="39" t="n">
        <v>411</v>
      </c>
      <c r="J22" s="40"/>
      <c r="K22" s="41"/>
      <c r="L22" s="18" t="n">
        <f aca="false">IF(COUNT(E22:I22)=5,AVERAGE(E22:I22),"")</f>
        <v>400.6</v>
      </c>
      <c r="M22" s="19" t="n">
        <f aca="false">IF(COUNT(E22:I22)=5,MAX(E22:I22)-MIN(E22:I22),"")</f>
        <v>24</v>
      </c>
      <c r="N22" s="20" t="str">
        <f aca="false">IF(L22="","",IF(J22="Sim","Excluído",IF(OR($E$14="",B22&lt;=$E$14),"Base","Acompanhamento")))</f>
        <v>Base</v>
      </c>
      <c r="O22" s="21" t="n">
        <f aca="false">IF(OR(COUNT(E22:I22)=0,$E$12="",$E$13=""),"",COUNTIF(E22:I22,"&lt;"&amp;$E$12)+COUNTIF(E22:I22,"&gt;"&amp;$E$13))</f>
        <v>0</v>
      </c>
      <c r="P22" s="22" t="str">
        <f aca="false">IF(OR(L22="",$L$11=""),"",IF(OR(L22&gt;$L$12,L22&lt;$L$13),"Média fora dos limites",IF(M22&gt;$L$15,"Amplitude fora do limite",IF(FALSE(),"7 do mesmo lado",IF(FALSE(),"6 subindo ou descendo","")))))</f>
        <v/>
      </c>
      <c r="Q22" s="22" t="str">
        <f aca="false">IF(COUNT(E22:I22)+LEN(C22)+LEN(D22)+LEN(J22)=0,"",IF(AND(COUNT(E22:I22)&gt;0,COUNT(E22:I22)&lt;5),"Faltam medições",IF(AND(COUNT(E22:I22)&gt;0,C22=""),"Falta a data",IF(AND(J22="Sim",K22=""),"Falta o motivo",IF(COUNT(E22:I22)=0,"Faltam medições","OK")))))</f>
        <v>OK</v>
      </c>
      <c r="S22" s="27" t="n">
        <f aca="false">$L$12</f>
        <v>411.08236</v>
      </c>
      <c r="T22" s="27" t="n">
        <f aca="false">$L$11</f>
        <v>400.304</v>
      </c>
      <c r="U22" s="27" t="n">
        <f aca="false">$L$13</f>
        <v>389.52564</v>
      </c>
      <c r="V22" s="27" t="n">
        <f aca="false">$L$15</f>
        <v>39.48952</v>
      </c>
      <c r="W22" s="27" t="n">
        <f aca="false">$L$14</f>
        <v>18.68</v>
      </c>
    </row>
    <row r="23" customFormat="false" ht="19.5" hidden="false" customHeight="true" outlineLevel="0" collapsed="false">
      <c r="B23" s="16" t="n">
        <v>5</v>
      </c>
      <c r="C23" s="38" t="n">
        <v>46472</v>
      </c>
      <c r="D23" s="7" t="s">
        <v>202</v>
      </c>
      <c r="E23" s="39" t="n">
        <v>409</v>
      </c>
      <c r="F23" s="39" t="n">
        <v>388</v>
      </c>
      <c r="G23" s="39" t="n">
        <v>411</v>
      </c>
      <c r="H23" s="39" t="n">
        <v>396</v>
      </c>
      <c r="I23" s="39" t="n">
        <v>396</v>
      </c>
      <c r="J23" s="40"/>
      <c r="K23" s="41"/>
      <c r="L23" s="18" t="n">
        <f aca="false">IF(COUNT(E23:I23)=5,AVERAGE(E23:I23),"")</f>
        <v>400</v>
      </c>
      <c r="M23" s="19" t="n">
        <f aca="false">IF(COUNT(E23:I23)=5,MAX(E23:I23)-MIN(E23:I23),"")</f>
        <v>23</v>
      </c>
      <c r="N23" s="20" t="str">
        <f aca="false">IF(L23="","",IF(J23="Sim","Excluído",IF(OR($E$14="",B23&lt;=$E$14),"Base","Acompanhamento")))</f>
        <v>Base</v>
      </c>
      <c r="O23" s="21" t="n">
        <f aca="false">IF(OR(COUNT(E23:I23)=0,$E$12="",$E$13=""),"",COUNTIF(E23:I23,"&lt;"&amp;$E$12)+COUNTIF(E23:I23,"&gt;"&amp;$E$13))</f>
        <v>0</v>
      </c>
      <c r="P23" s="22" t="str">
        <f aca="false">IF(OR(L23="",$L$11=""),"",IF(OR(L23&gt;$L$12,L23&lt;$L$13),"Média fora dos limites",IF(M23&gt;$L$15,"Amplitude fora do limite",IF(FALSE(),"7 do mesmo lado",IF(FALSE(),"6 subindo ou descendo","")))))</f>
        <v/>
      </c>
      <c r="Q23" s="22" t="str">
        <f aca="false">IF(COUNT(E23:I23)+LEN(C23)+LEN(D23)+LEN(J23)=0,"",IF(AND(COUNT(E23:I23)&gt;0,COUNT(E23:I23)&lt;5),"Faltam medições",IF(AND(COUNT(E23:I23)&gt;0,C23=""),"Falta a data",IF(AND(J23="Sim",K23=""),"Falta o motivo",IF(COUNT(E23:I23)=0,"Faltam medições","OK")))))</f>
        <v>OK</v>
      </c>
      <c r="S23" s="27" t="n">
        <f aca="false">$L$12</f>
        <v>411.08236</v>
      </c>
      <c r="T23" s="27" t="n">
        <f aca="false">$L$11</f>
        <v>400.304</v>
      </c>
      <c r="U23" s="27" t="n">
        <f aca="false">$L$13</f>
        <v>389.52564</v>
      </c>
      <c r="V23" s="27" t="n">
        <f aca="false">$L$15</f>
        <v>39.48952</v>
      </c>
      <c r="W23" s="27" t="n">
        <f aca="false">$L$14</f>
        <v>18.68</v>
      </c>
    </row>
    <row r="24" customFormat="false" ht="19.5" hidden="false" customHeight="true" outlineLevel="0" collapsed="false">
      <c r="B24" s="16" t="n">
        <v>6</v>
      </c>
      <c r="C24" s="38" t="n">
        <v>46473</v>
      </c>
      <c r="D24" s="7" t="s">
        <v>203</v>
      </c>
      <c r="E24" s="39" t="n">
        <v>396</v>
      </c>
      <c r="F24" s="39" t="n">
        <v>399</v>
      </c>
      <c r="G24" s="39" t="n">
        <v>406</v>
      </c>
      <c r="H24" s="39" t="n">
        <v>390</v>
      </c>
      <c r="I24" s="39" t="n">
        <v>398</v>
      </c>
      <c r="J24" s="40"/>
      <c r="K24" s="41"/>
      <c r="L24" s="18" t="n">
        <f aca="false">IF(COUNT(E24:I24)=5,AVERAGE(E24:I24),"")</f>
        <v>397.8</v>
      </c>
      <c r="M24" s="19" t="n">
        <f aca="false">IF(COUNT(E24:I24)=5,MAX(E24:I24)-MIN(E24:I24),"")</f>
        <v>16</v>
      </c>
      <c r="N24" s="20" t="str">
        <f aca="false">IF(L24="","",IF(J24="Sim","Excluído",IF(OR($E$14="",B24&lt;=$E$14),"Base","Acompanhamento")))</f>
        <v>Base</v>
      </c>
      <c r="O24" s="21" t="n">
        <f aca="false">IF(OR(COUNT(E24:I24)=0,$E$12="",$E$13=""),"",COUNTIF(E24:I24,"&lt;"&amp;$E$12)+COUNTIF(E24:I24,"&gt;"&amp;$E$13))</f>
        <v>0</v>
      </c>
      <c r="P24" s="22" t="str">
        <f aca="false">IF(OR(L24="",$L$11=""),"",IF(OR(L24&gt;$L$12,L24&lt;$L$13),"Média fora dos limites",IF(M24&gt;$L$15,"Amplitude fora do limite",IF(FALSE(),"7 do mesmo lado",IF(AND(COUNT(L19:L24)=6,OR(AND(L24&gt;L23,L23&gt;L22,L22&gt;L21,L21&gt;L20,L20&gt;L19),AND(L24&lt;L23,L23&lt;L22,L22&lt;L21,L21&lt;L20,L20&lt;L19))),"6 subindo ou descendo","")))))</f>
        <v/>
      </c>
      <c r="Q24" s="22" t="str">
        <f aca="false">IF(COUNT(E24:I24)+LEN(C24)+LEN(D24)+LEN(J24)=0,"",IF(AND(COUNT(E24:I24)&gt;0,COUNT(E24:I24)&lt;5),"Faltam medições",IF(AND(COUNT(E24:I24)&gt;0,C24=""),"Falta a data",IF(AND(J24="Sim",K24=""),"Falta o motivo",IF(COUNT(E24:I24)=0,"Faltam medições","OK")))))</f>
        <v>OK</v>
      </c>
      <c r="S24" s="27" t="n">
        <f aca="false">$L$12</f>
        <v>411.08236</v>
      </c>
      <c r="T24" s="27" t="n">
        <f aca="false">$L$11</f>
        <v>400.304</v>
      </c>
      <c r="U24" s="27" t="n">
        <f aca="false">$L$13</f>
        <v>389.52564</v>
      </c>
      <c r="V24" s="27" t="n">
        <f aca="false">$L$15</f>
        <v>39.48952</v>
      </c>
      <c r="W24" s="27" t="n">
        <f aca="false">$L$14</f>
        <v>18.68</v>
      </c>
    </row>
    <row r="25" customFormat="false" ht="19.5" hidden="false" customHeight="true" outlineLevel="0" collapsed="false">
      <c r="B25" s="16" t="n">
        <v>7</v>
      </c>
      <c r="C25" s="38" t="n">
        <v>46474</v>
      </c>
      <c r="D25" s="7" t="s">
        <v>204</v>
      </c>
      <c r="E25" s="39" t="n">
        <v>393</v>
      </c>
      <c r="F25" s="39" t="n">
        <v>397</v>
      </c>
      <c r="G25" s="39" t="n">
        <v>395</v>
      </c>
      <c r="H25" s="39" t="n">
        <v>404</v>
      </c>
      <c r="I25" s="39" t="n">
        <v>405</v>
      </c>
      <c r="J25" s="40"/>
      <c r="K25" s="41"/>
      <c r="L25" s="18" t="n">
        <f aca="false">IF(COUNT(E25:I25)=5,AVERAGE(E25:I25),"")</f>
        <v>398.8</v>
      </c>
      <c r="M25" s="19" t="n">
        <f aca="false">IF(COUNT(E25:I25)=5,MAX(E25:I25)-MIN(E25:I25),"")</f>
        <v>12</v>
      </c>
      <c r="N25" s="20" t="str">
        <f aca="false">IF(L25="","",IF(J25="Sim","Excluído",IF(OR($E$14="",B25&lt;=$E$14),"Base","Acompanhamento")))</f>
        <v>Base</v>
      </c>
      <c r="O25" s="21" t="n">
        <f aca="false">IF(OR(COUNT(E25:I25)=0,$E$12="",$E$13=""),"",COUNTIF(E25:I25,"&lt;"&amp;$E$12)+COUNTIF(E25:I25,"&gt;"&amp;$E$13))</f>
        <v>0</v>
      </c>
      <c r="P25" s="22" t="str">
        <f aca="false">IF(OR(L25="",$L$11=""),"",IF(OR(L25&gt;$L$12,L25&lt;$L$13),"Média fora dos limites",IF(M25&gt;$L$15,"Amplitude fora do limite",IF(OR(COUNTIF(L19:L25,"&gt;"&amp;$L$11)=7,COUNTIF(L19:L25,"&lt;"&amp;$L$11)=7),"7 do mesmo lado",IF(AND(COUNT(L20:L25)=6,OR(AND(L25&gt;L24,L24&gt;L23,L23&gt;L22,L22&gt;L21,L21&gt;L20),AND(L25&lt;L24,L24&lt;L23,L23&lt;L22,L22&lt;L21,L21&lt;L20))),"6 subindo ou descendo","")))))</f>
        <v/>
      </c>
      <c r="Q25" s="22" t="str">
        <f aca="false">IF(COUNT(E25:I25)+LEN(C25)+LEN(D25)+LEN(J25)=0,"",IF(AND(COUNT(E25:I25)&gt;0,COUNT(E25:I25)&lt;5),"Faltam medições",IF(AND(COUNT(E25:I25)&gt;0,C25=""),"Falta a data",IF(AND(J25="Sim",K25=""),"Falta o motivo",IF(COUNT(E25:I25)=0,"Faltam medições","OK")))))</f>
        <v>OK</v>
      </c>
      <c r="S25" s="27" t="n">
        <f aca="false">$L$12</f>
        <v>411.08236</v>
      </c>
      <c r="T25" s="27" t="n">
        <f aca="false">$L$11</f>
        <v>400.304</v>
      </c>
      <c r="U25" s="27" t="n">
        <f aca="false">$L$13</f>
        <v>389.52564</v>
      </c>
      <c r="V25" s="27" t="n">
        <f aca="false">$L$15</f>
        <v>39.48952</v>
      </c>
      <c r="W25" s="27" t="n">
        <f aca="false">$L$14</f>
        <v>18.68</v>
      </c>
    </row>
    <row r="26" customFormat="false" ht="19.5" hidden="false" customHeight="true" outlineLevel="0" collapsed="false">
      <c r="B26" s="16" t="n">
        <v>8</v>
      </c>
      <c r="C26" s="38" t="n">
        <v>46475</v>
      </c>
      <c r="D26" s="7" t="s">
        <v>205</v>
      </c>
      <c r="E26" s="39" t="n">
        <v>391</v>
      </c>
      <c r="F26" s="39" t="n">
        <v>401</v>
      </c>
      <c r="G26" s="39" t="n">
        <v>386</v>
      </c>
      <c r="H26" s="39" t="n">
        <v>400</v>
      </c>
      <c r="I26" s="39" t="n">
        <v>405</v>
      </c>
      <c r="J26" s="40"/>
      <c r="K26" s="41"/>
      <c r="L26" s="18" t="n">
        <f aca="false">IF(COUNT(E26:I26)=5,AVERAGE(E26:I26),"")</f>
        <v>396.6</v>
      </c>
      <c r="M26" s="19" t="n">
        <f aca="false">IF(COUNT(E26:I26)=5,MAX(E26:I26)-MIN(E26:I26),"")</f>
        <v>19</v>
      </c>
      <c r="N26" s="20" t="str">
        <f aca="false">IF(L26="","",IF(J26="Sim","Excluído",IF(OR($E$14="",B26&lt;=$E$14),"Base","Acompanhamento")))</f>
        <v>Base</v>
      </c>
      <c r="O26" s="21" t="n">
        <f aca="false">IF(OR(COUNT(E26:I26)=0,$E$12="",$E$13=""),"",COUNTIF(E26:I26,"&lt;"&amp;$E$12)+COUNTIF(E26:I26,"&gt;"&amp;$E$13))</f>
        <v>0</v>
      </c>
      <c r="P26" s="22" t="str">
        <f aca="false">IF(OR(L26="",$L$11=""),"",IF(OR(L26&gt;$L$12,L26&lt;$L$13),"Média fora dos limites",IF(M26&gt;$L$15,"Amplitude fora do limite",IF(OR(COUNTIF(L20:L26,"&gt;"&amp;$L$11)=7,COUNTIF(L20:L26,"&lt;"&amp;$L$11)=7),"7 do mesmo lado",IF(AND(COUNT(L21:L26)=6,OR(AND(L26&gt;L25,L25&gt;L24,L24&gt;L23,L23&gt;L22,L22&gt;L21),AND(L26&lt;L25,L25&lt;L24,L24&lt;L23,L23&lt;L22,L22&lt;L21))),"6 subindo ou descendo","")))))</f>
        <v/>
      </c>
      <c r="Q26" s="22" t="str">
        <f aca="false">IF(COUNT(E26:I26)+LEN(C26)+LEN(D26)+LEN(J26)=0,"",IF(AND(COUNT(E26:I26)&gt;0,COUNT(E26:I26)&lt;5),"Faltam medições",IF(AND(COUNT(E26:I26)&gt;0,C26=""),"Falta a data",IF(AND(J26="Sim",K26=""),"Falta o motivo",IF(COUNT(E26:I26)=0,"Faltam medições","OK")))))</f>
        <v>OK</v>
      </c>
      <c r="S26" s="27" t="n">
        <f aca="false">$L$12</f>
        <v>411.08236</v>
      </c>
      <c r="T26" s="27" t="n">
        <f aca="false">$L$11</f>
        <v>400.304</v>
      </c>
      <c r="U26" s="27" t="n">
        <f aca="false">$L$13</f>
        <v>389.52564</v>
      </c>
      <c r="V26" s="27" t="n">
        <f aca="false">$L$15</f>
        <v>39.48952</v>
      </c>
      <c r="W26" s="27" t="n">
        <f aca="false">$L$14</f>
        <v>18.68</v>
      </c>
    </row>
    <row r="27" customFormat="false" ht="19.5" hidden="false" customHeight="true" outlineLevel="0" collapsed="false">
      <c r="B27" s="16" t="n">
        <v>9</v>
      </c>
      <c r="C27" s="38" t="n">
        <v>46476</v>
      </c>
      <c r="D27" s="7" t="s">
        <v>206</v>
      </c>
      <c r="E27" s="39" t="n">
        <v>397</v>
      </c>
      <c r="F27" s="39" t="n">
        <v>419</v>
      </c>
      <c r="G27" s="39" t="n">
        <v>403</v>
      </c>
      <c r="H27" s="39" t="n">
        <v>393</v>
      </c>
      <c r="I27" s="39" t="n">
        <v>402</v>
      </c>
      <c r="J27" s="40"/>
      <c r="K27" s="41"/>
      <c r="L27" s="18" t="n">
        <f aca="false">IF(COUNT(E27:I27)=5,AVERAGE(E27:I27),"")</f>
        <v>402.8</v>
      </c>
      <c r="M27" s="19" t="n">
        <f aca="false">IF(COUNT(E27:I27)=5,MAX(E27:I27)-MIN(E27:I27),"")</f>
        <v>26</v>
      </c>
      <c r="N27" s="20" t="str">
        <f aca="false">IF(L27="","",IF(J27="Sim","Excluído",IF(OR($E$14="",B27&lt;=$E$14),"Base","Acompanhamento")))</f>
        <v>Base</v>
      </c>
      <c r="O27" s="21" t="n">
        <f aca="false">IF(OR(COUNT(E27:I27)=0,$E$12="",$E$13=""),"",COUNTIF(E27:I27,"&lt;"&amp;$E$12)+COUNTIF(E27:I27,"&gt;"&amp;$E$13))</f>
        <v>0</v>
      </c>
      <c r="P27" s="22" t="str">
        <f aca="false">IF(OR(L27="",$L$11=""),"",IF(OR(L27&gt;$L$12,L27&lt;$L$13),"Média fora dos limites",IF(M27&gt;$L$15,"Amplitude fora do limite",IF(OR(COUNTIF(L21:L27,"&gt;"&amp;$L$11)=7,COUNTIF(L21:L27,"&lt;"&amp;$L$11)=7),"7 do mesmo lado",IF(AND(COUNT(L22:L27)=6,OR(AND(L27&gt;L26,L26&gt;L25,L25&gt;L24,L24&gt;L23,L23&gt;L22),AND(L27&lt;L26,L26&lt;L25,L25&lt;L24,L24&lt;L23,L23&lt;L22))),"6 subindo ou descendo","")))))</f>
        <v/>
      </c>
      <c r="Q27" s="22" t="str">
        <f aca="false">IF(COUNT(E27:I27)+LEN(C27)+LEN(D27)+LEN(J27)=0,"",IF(AND(COUNT(E27:I27)&gt;0,COUNT(E27:I27)&lt;5),"Faltam medições",IF(AND(COUNT(E27:I27)&gt;0,C27=""),"Falta a data",IF(AND(J27="Sim",K27=""),"Falta o motivo",IF(COUNT(E27:I27)=0,"Faltam medições","OK")))))</f>
        <v>OK</v>
      </c>
      <c r="S27" s="27" t="n">
        <f aca="false">$L$12</f>
        <v>411.08236</v>
      </c>
      <c r="T27" s="27" t="n">
        <f aca="false">$L$11</f>
        <v>400.304</v>
      </c>
      <c r="U27" s="27" t="n">
        <f aca="false">$L$13</f>
        <v>389.52564</v>
      </c>
      <c r="V27" s="27" t="n">
        <f aca="false">$L$15</f>
        <v>39.48952</v>
      </c>
      <c r="W27" s="27" t="n">
        <f aca="false">$L$14</f>
        <v>18.68</v>
      </c>
    </row>
    <row r="28" customFormat="false" ht="19.5" hidden="false" customHeight="true" outlineLevel="0" collapsed="false">
      <c r="B28" s="16" t="n">
        <v>10</v>
      </c>
      <c r="C28" s="38" t="n">
        <v>46477</v>
      </c>
      <c r="D28" s="7" t="s">
        <v>207</v>
      </c>
      <c r="E28" s="39" t="n">
        <v>393</v>
      </c>
      <c r="F28" s="39" t="n">
        <v>403</v>
      </c>
      <c r="G28" s="39" t="n">
        <v>398</v>
      </c>
      <c r="H28" s="39" t="n">
        <v>399</v>
      </c>
      <c r="I28" s="39" t="n">
        <v>378</v>
      </c>
      <c r="J28" s="40"/>
      <c r="K28" s="41"/>
      <c r="L28" s="18" t="n">
        <f aca="false">IF(COUNT(E28:I28)=5,AVERAGE(E28:I28),"")</f>
        <v>394.2</v>
      </c>
      <c r="M28" s="19" t="n">
        <f aca="false">IF(COUNT(E28:I28)=5,MAX(E28:I28)-MIN(E28:I28),"")</f>
        <v>25</v>
      </c>
      <c r="N28" s="20" t="str">
        <f aca="false">IF(L28="","",IF(J28="Sim","Excluído",IF(OR($E$14="",B28&lt;=$E$14),"Base","Acompanhamento")))</f>
        <v>Base</v>
      </c>
      <c r="O28" s="21" t="n">
        <f aca="false">IF(OR(COUNT(E28:I28)=0,$E$12="",$E$13=""),"",COUNTIF(E28:I28,"&lt;"&amp;$E$12)+COUNTIF(E28:I28,"&gt;"&amp;$E$13))</f>
        <v>1</v>
      </c>
      <c r="P28" s="22" t="str">
        <f aca="false">IF(OR(L28="",$L$11=""),"",IF(OR(L28&gt;$L$12,L28&lt;$L$13),"Média fora dos limites",IF(M28&gt;$L$15,"Amplitude fora do limite",IF(OR(COUNTIF(L22:L28,"&gt;"&amp;$L$11)=7,COUNTIF(L22:L28,"&lt;"&amp;$L$11)=7),"7 do mesmo lado",IF(AND(COUNT(L23:L28)=6,OR(AND(L28&gt;L27,L27&gt;L26,L26&gt;L25,L25&gt;L24,L24&gt;L23),AND(L28&lt;L27,L27&lt;L26,L26&lt;L25,L25&lt;L24,L24&lt;L23))),"6 subindo ou descendo","")))))</f>
        <v/>
      </c>
      <c r="Q28" s="22" t="str">
        <f aca="false">IF(COUNT(E28:I28)+LEN(C28)+LEN(D28)+LEN(J28)=0,"",IF(AND(COUNT(E28:I28)&gt;0,COUNT(E28:I28)&lt;5),"Faltam medições",IF(AND(COUNT(E28:I28)&gt;0,C28=""),"Falta a data",IF(AND(J28="Sim",K28=""),"Falta o motivo",IF(COUNT(E28:I28)=0,"Faltam medições","OK")))))</f>
        <v>OK</v>
      </c>
      <c r="S28" s="27" t="n">
        <f aca="false">$L$12</f>
        <v>411.08236</v>
      </c>
      <c r="T28" s="27" t="n">
        <f aca="false">$L$11</f>
        <v>400.304</v>
      </c>
      <c r="U28" s="27" t="n">
        <f aca="false">$L$13</f>
        <v>389.52564</v>
      </c>
      <c r="V28" s="27" t="n">
        <f aca="false">$L$15</f>
        <v>39.48952</v>
      </c>
      <c r="W28" s="27" t="n">
        <f aca="false">$L$14</f>
        <v>18.68</v>
      </c>
    </row>
    <row r="29" customFormat="false" ht="19.5" hidden="false" customHeight="true" outlineLevel="0" collapsed="false">
      <c r="B29" s="16" t="n">
        <v>11</v>
      </c>
      <c r="C29" s="38" t="n">
        <v>46478</v>
      </c>
      <c r="D29" s="7" t="s">
        <v>208</v>
      </c>
      <c r="E29" s="39" t="n">
        <v>393</v>
      </c>
      <c r="F29" s="39" t="n">
        <v>405</v>
      </c>
      <c r="G29" s="39" t="n">
        <v>405</v>
      </c>
      <c r="H29" s="39" t="n">
        <v>406</v>
      </c>
      <c r="I29" s="39" t="n">
        <v>402</v>
      </c>
      <c r="J29" s="40"/>
      <c r="K29" s="41"/>
      <c r="L29" s="18" t="n">
        <f aca="false">IF(COUNT(E29:I29)=5,AVERAGE(E29:I29),"")</f>
        <v>402.2</v>
      </c>
      <c r="M29" s="19" t="n">
        <f aca="false">IF(COUNT(E29:I29)=5,MAX(E29:I29)-MIN(E29:I29),"")</f>
        <v>13</v>
      </c>
      <c r="N29" s="20" t="str">
        <f aca="false">IF(L29="","",IF(J29="Sim","Excluído",IF(OR($E$14="",B29&lt;=$E$14),"Base","Acompanhamento")))</f>
        <v>Base</v>
      </c>
      <c r="O29" s="21" t="n">
        <f aca="false">IF(OR(COUNT(E29:I29)=0,$E$12="",$E$13=""),"",COUNTIF(E29:I29,"&lt;"&amp;$E$12)+COUNTIF(E29:I29,"&gt;"&amp;$E$13))</f>
        <v>0</v>
      </c>
      <c r="P29" s="22" t="str">
        <f aca="false">IF(OR(L29="",$L$11=""),"",IF(OR(L29&gt;$L$12,L29&lt;$L$13),"Média fora dos limites",IF(M29&gt;$L$15,"Amplitude fora do limite",IF(OR(COUNTIF(L23:L29,"&gt;"&amp;$L$11)=7,COUNTIF(L23:L29,"&lt;"&amp;$L$11)=7),"7 do mesmo lado",IF(AND(COUNT(L24:L29)=6,OR(AND(L29&gt;L28,L28&gt;L27,L27&gt;L26,L26&gt;L25,L25&gt;L24),AND(L29&lt;L28,L28&lt;L27,L27&lt;L26,L26&lt;L25,L25&lt;L24))),"6 subindo ou descendo","")))))</f>
        <v/>
      </c>
      <c r="Q29" s="22" t="str">
        <f aca="false">IF(COUNT(E29:I29)+LEN(C29)+LEN(D29)+LEN(J29)=0,"",IF(AND(COUNT(E29:I29)&gt;0,COUNT(E29:I29)&lt;5),"Faltam medições",IF(AND(COUNT(E29:I29)&gt;0,C29=""),"Falta a data",IF(AND(J29="Sim",K29=""),"Falta o motivo",IF(COUNT(E29:I29)=0,"Faltam medições","OK")))))</f>
        <v>OK</v>
      </c>
      <c r="S29" s="27" t="n">
        <f aca="false">$L$12</f>
        <v>411.08236</v>
      </c>
      <c r="T29" s="27" t="n">
        <f aca="false">$L$11</f>
        <v>400.304</v>
      </c>
      <c r="U29" s="27" t="n">
        <f aca="false">$L$13</f>
        <v>389.52564</v>
      </c>
      <c r="V29" s="27" t="n">
        <f aca="false">$L$15</f>
        <v>39.48952</v>
      </c>
      <c r="W29" s="27" t="n">
        <f aca="false">$L$14</f>
        <v>18.68</v>
      </c>
    </row>
    <row r="30" customFormat="false" ht="19.5" hidden="false" customHeight="true" outlineLevel="0" collapsed="false">
      <c r="B30" s="16" t="n">
        <v>12</v>
      </c>
      <c r="C30" s="38" t="n">
        <v>46479</v>
      </c>
      <c r="D30" s="7" t="s">
        <v>209</v>
      </c>
      <c r="E30" s="39" t="n">
        <v>408</v>
      </c>
      <c r="F30" s="39" t="n">
        <v>407</v>
      </c>
      <c r="G30" s="39" t="n">
        <v>404</v>
      </c>
      <c r="H30" s="39" t="n">
        <v>409</v>
      </c>
      <c r="I30" s="39" t="n">
        <v>407</v>
      </c>
      <c r="J30" s="40"/>
      <c r="K30" s="41"/>
      <c r="L30" s="18" t="n">
        <f aca="false">IF(COUNT(E30:I30)=5,AVERAGE(E30:I30),"")</f>
        <v>407</v>
      </c>
      <c r="M30" s="19" t="n">
        <f aca="false">IF(COUNT(E30:I30)=5,MAX(E30:I30)-MIN(E30:I30),"")</f>
        <v>5</v>
      </c>
      <c r="N30" s="20" t="str">
        <f aca="false">IF(L30="","",IF(J30="Sim","Excluído",IF(OR($E$14="",B30&lt;=$E$14),"Base","Acompanhamento")))</f>
        <v>Base</v>
      </c>
      <c r="O30" s="21" t="n">
        <f aca="false">IF(OR(COUNT(E30:I30)=0,$E$12="",$E$13=""),"",COUNTIF(E30:I30,"&lt;"&amp;$E$12)+COUNTIF(E30:I30,"&gt;"&amp;$E$13))</f>
        <v>0</v>
      </c>
      <c r="P30" s="22" t="str">
        <f aca="false">IF(OR(L30="",$L$11=""),"",IF(OR(L30&gt;$L$12,L30&lt;$L$13),"Média fora dos limites",IF(M30&gt;$L$15,"Amplitude fora do limite",IF(OR(COUNTIF(L24:L30,"&gt;"&amp;$L$11)=7,COUNTIF(L24:L30,"&lt;"&amp;$L$11)=7),"7 do mesmo lado",IF(AND(COUNT(L25:L30)=6,OR(AND(L30&gt;L29,L29&gt;L28,L28&gt;L27,L27&gt;L26,L26&gt;L25),AND(L30&lt;L29,L29&lt;L28,L28&lt;L27,L27&lt;L26,L26&lt;L25))),"6 subindo ou descendo","")))))</f>
        <v/>
      </c>
      <c r="Q30" s="22" t="str">
        <f aca="false">IF(COUNT(E30:I30)+LEN(C30)+LEN(D30)+LEN(J30)=0,"",IF(AND(COUNT(E30:I30)&gt;0,COUNT(E30:I30)&lt;5),"Faltam medições",IF(AND(COUNT(E30:I30)&gt;0,C30=""),"Falta a data",IF(AND(J30="Sim",K30=""),"Falta o motivo",IF(COUNT(E30:I30)=0,"Faltam medições","OK")))))</f>
        <v>OK</v>
      </c>
      <c r="S30" s="27" t="n">
        <f aca="false">$L$12</f>
        <v>411.08236</v>
      </c>
      <c r="T30" s="27" t="n">
        <f aca="false">$L$11</f>
        <v>400.304</v>
      </c>
      <c r="U30" s="27" t="n">
        <f aca="false">$L$13</f>
        <v>389.52564</v>
      </c>
      <c r="V30" s="27" t="n">
        <f aca="false">$L$15</f>
        <v>39.48952</v>
      </c>
      <c r="W30" s="27" t="n">
        <f aca="false">$L$14</f>
        <v>18.68</v>
      </c>
    </row>
    <row r="31" customFormat="false" ht="19.5" hidden="false" customHeight="true" outlineLevel="0" collapsed="false">
      <c r="B31" s="16" t="n">
        <v>13</v>
      </c>
      <c r="C31" s="38" t="n">
        <v>46480</v>
      </c>
      <c r="D31" s="7" t="s">
        <v>210</v>
      </c>
      <c r="E31" s="39" t="n">
        <v>396</v>
      </c>
      <c r="F31" s="39" t="n">
        <v>404</v>
      </c>
      <c r="G31" s="39" t="n">
        <v>407</v>
      </c>
      <c r="H31" s="39" t="n">
        <v>398</v>
      </c>
      <c r="I31" s="39" t="n">
        <v>384</v>
      </c>
      <c r="J31" s="40"/>
      <c r="K31" s="41"/>
      <c r="L31" s="18" t="n">
        <f aca="false">IF(COUNT(E31:I31)=5,AVERAGE(E31:I31),"")</f>
        <v>397.8</v>
      </c>
      <c r="M31" s="19" t="n">
        <f aca="false">IF(COUNT(E31:I31)=5,MAX(E31:I31)-MIN(E31:I31),"")</f>
        <v>23</v>
      </c>
      <c r="N31" s="20" t="str">
        <f aca="false">IF(L31="","",IF(J31="Sim","Excluído",IF(OR($E$14="",B31&lt;=$E$14),"Base","Acompanhamento")))</f>
        <v>Base</v>
      </c>
      <c r="O31" s="21" t="n">
        <f aca="false">IF(OR(COUNT(E31:I31)=0,$E$12="",$E$13=""),"",COUNTIF(E31:I31,"&lt;"&amp;$E$12)+COUNTIF(E31:I31,"&gt;"&amp;$E$13))</f>
        <v>0</v>
      </c>
      <c r="P31" s="22" t="str">
        <f aca="false">IF(OR(L31="",$L$11=""),"",IF(OR(L31&gt;$L$12,L31&lt;$L$13),"Média fora dos limites",IF(M31&gt;$L$15,"Amplitude fora do limite",IF(OR(COUNTIF(L25:L31,"&gt;"&amp;$L$11)=7,COUNTIF(L25:L31,"&lt;"&amp;$L$11)=7),"7 do mesmo lado",IF(AND(COUNT(L26:L31)=6,OR(AND(L31&gt;L30,L30&gt;L29,L29&gt;L28,L28&gt;L27,L27&gt;L26),AND(L31&lt;L30,L30&lt;L29,L29&lt;L28,L28&lt;L27,L27&lt;L26))),"6 subindo ou descendo","")))))</f>
        <v/>
      </c>
      <c r="Q31" s="22" t="str">
        <f aca="false">IF(COUNT(E31:I31)+LEN(C31)+LEN(D31)+LEN(J31)=0,"",IF(AND(COUNT(E31:I31)&gt;0,COUNT(E31:I31)&lt;5),"Faltam medições",IF(AND(COUNT(E31:I31)&gt;0,C31=""),"Falta a data",IF(AND(J31="Sim",K31=""),"Falta o motivo",IF(COUNT(E31:I31)=0,"Faltam medições","OK")))))</f>
        <v>OK</v>
      </c>
      <c r="S31" s="27" t="n">
        <f aca="false">$L$12</f>
        <v>411.08236</v>
      </c>
      <c r="T31" s="27" t="n">
        <f aca="false">$L$11</f>
        <v>400.304</v>
      </c>
      <c r="U31" s="27" t="n">
        <f aca="false">$L$13</f>
        <v>389.52564</v>
      </c>
      <c r="V31" s="27" t="n">
        <f aca="false">$L$15</f>
        <v>39.48952</v>
      </c>
      <c r="W31" s="27" t="n">
        <f aca="false">$L$14</f>
        <v>18.68</v>
      </c>
    </row>
    <row r="32" customFormat="false" ht="19.5" hidden="false" customHeight="true" outlineLevel="0" collapsed="false">
      <c r="B32" s="16" t="n">
        <v>14</v>
      </c>
      <c r="C32" s="38" t="n">
        <v>46481</v>
      </c>
      <c r="D32" s="7" t="s">
        <v>211</v>
      </c>
      <c r="E32" s="39" t="n">
        <v>397</v>
      </c>
      <c r="F32" s="39" t="n">
        <v>402</v>
      </c>
      <c r="G32" s="39" t="n">
        <v>379</v>
      </c>
      <c r="H32" s="39" t="n">
        <v>388</v>
      </c>
      <c r="I32" s="39" t="n">
        <v>390</v>
      </c>
      <c r="J32" s="40"/>
      <c r="K32" s="41"/>
      <c r="L32" s="18" t="n">
        <f aca="false">IF(COUNT(E32:I32)=5,AVERAGE(E32:I32),"")</f>
        <v>391.2</v>
      </c>
      <c r="M32" s="19" t="n">
        <f aca="false">IF(COUNT(E32:I32)=5,MAX(E32:I32)-MIN(E32:I32),"")</f>
        <v>23</v>
      </c>
      <c r="N32" s="20" t="str">
        <f aca="false">IF(L32="","",IF(J32="Sim","Excluído",IF(OR($E$14="",B32&lt;=$E$14),"Base","Acompanhamento")))</f>
        <v>Base</v>
      </c>
      <c r="O32" s="21" t="n">
        <f aca="false">IF(OR(COUNT(E32:I32)=0,$E$12="",$E$13=""),"",COUNTIF(E32:I32,"&lt;"&amp;$E$12)+COUNTIF(E32:I32,"&gt;"&amp;$E$13))</f>
        <v>1</v>
      </c>
      <c r="P32" s="22" t="str">
        <f aca="false">IF(OR(L32="",$L$11=""),"",IF(OR(L32&gt;$L$12,L32&lt;$L$13),"Média fora dos limites",IF(M32&gt;$L$15,"Amplitude fora do limite",IF(OR(COUNTIF(L26:L32,"&gt;"&amp;$L$11)=7,COUNTIF(L26:L32,"&lt;"&amp;$L$11)=7),"7 do mesmo lado",IF(AND(COUNT(L27:L32)=6,OR(AND(L32&gt;L31,L31&gt;L30,L30&gt;L29,L29&gt;L28,L28&gt;L27),AND(L32&lt;L31,L31&lt;L30,L30&lt;L29,L29&lt;L28,L28&lt;L27))),"6 subindo ou descendo","")))))</f>
        <v/>
      </c>
      <c r="Q32" s="22" t="str">
        <f aca="false">IF(COUNT(E32:I32)+LEN(C32)+LEN(D32)+LEN(J32)=0,"",IF(AND(COUNT(E32:I32)&gt;0,COUNT(E32:I32)&lt;5),"Faltam medições",IF(AND(COUNT(E32:I32)&gt;0,C32=""),"Falta a data",IF(AND(J32="Sim",K32=""),"Falta o motivo",IF(COUNT(E32:I32)=0,"Faltam medições","OK")))))</f>
        <v>OK</v>
      </c>
      <c r="S32" s="27" t="n">
        <f aca="false">$L$12</f>
        <v>411.08236</v>
      </c>
      <c r="T32" s="27" t="n">
        <f aca="false">$L$11</f>
        <v>400.304</v>
      </c>
      <c r="U32" s="27" t="n">
        <f aca="false">$L$13</f>
        <v>389.52564</v>
      </c>
      <c r="V32" s="27" t="n">
        <f aca="false">$L$15</f>
        <v>39.48952</v>
      </c>
      <c r="W32" s="27" t="n">
        <f aca="false">$L$14</f>
        <v>18.68</v>
      </c>
    </row>
    <row r="33" customFormat="false" ht="19.5" hidden="false" customHeight="true" outlineLevel="0" collapsed="false">
      <c r="B33" s="16" t="n">
        <v>15</v>
      </c>
      <c r="C33" s="38" t="n">
        <v>46482</v>
      </c>
      <c r="D33" s="7" t="s">
        <v>212</v>
      </c>
      <c r="E33" s="39" t="n">
        <v>413</v>
      </c>
      <c r="F33" s="39" t="n">
        <v>406</v>
      </c>
      <c r="G33" s="39" t="n">
        <v>397</v>
      </c>
      <c r="H33" s="39" t="n">
        <v>407</v>
      </c>
      <c r="I33" s="39" t="n">
        <v>402</v>
      </c>
      <c r="J33" s="40"/>
      <c r="K33" s="41"/>
      <c r="L33" s="18" t="n">
        <f aca="false">IF(COUNT(E33:I33)=5,AVERAGE(E33:I33),"")</f>
        <v>405</v>
      </c>
      <c r="M33" s="19" t="n">
        <f aca="false">IF(COUNT(E33:I33)=5,MAX(E33:I33)-MIN(E33:I33),"")</f>
        <v>16</v>
      </c>
      <c r="N33" s="20" t="str">
        <f aca="false">IF(L33="","",IF(J33="Sim","Excluído",IF(OR($E$14="",B33&lt;=$E$14),"Base","Acompanhamento")))</f>
        <v>Base</v>
      </c>
      <c r="O33" s="21" t="n">
        <f aca="false">IF(OR(COUNT(E33:I33)=0,$E$12="",$E$13=""),"",COUNTIF(E33:I33,"&lt;"&amp;$E$12)+COUNTIF(E33:I33,"&gt;"&amp;$E$13))</f>
        <v>0</v>
      </c>
      <c r="P33" s="22" t="str">
        <f aca="false">IF(OR(L33="",$L$11=""),"",IF(OR(L33&gt;$L$12,L33&lt;$L$13),"Média fora dos limites",IF(M33&gt;$L$15,"Amplitude fora do limite",IF(OR(COUNTIF(L27:L33,"&gt;"&amp;$L$11)=7,COUNTIF(L27:L33,"&lt;"&amp;$L$11)=7),"7 do mesmo lado",IF(AND(COUNT(L28:L33)=6,OR(AND(L33&gt;L32,L32&gt;L31,L31&gt;L30,L30&gt;L29,L29&gt;L28),AND(L33&lt;L32,L32&lt;L31,L31&lt;L30,L30&lt;L29,L29&lt;L28))),"6 subindo ou descendo","")))))</f>
        <v/>
      </c>
      <c r="Q33" s="22" t="str">
        <f aca="false">IF(COUNT(E33:I33)+LEN(C33)+LEN(D33)+LEN(J33)=0,"",IF(AND(COUNT(E33:I33)&gt;0,COUNT(E33:I33)&lt;5),"Faltam medições",IF(AND(COUNT(E33:I33)&gt;0,C33=""),"Falta a data",IF(AND(J33="Sim",K33=""),"Falta o motivo",IF(COUNT(E33:I33)=0,"Faltam medições","OK")))))</f>
        <v>OK</v>
      </c>
      <c r="S33" s="27" t="n">
        <f aca="false">$L$12</f>
        <v>411.08236</v>
      </c>
      <c r="T33" s="27" t="n">
        <f aca="false">$L$11</f>
        <v>400.304</v>
      </c>
      <c r="U33" s="27" t="n">
        <f aca="false">$L$13</f>
        <v>389.52564</v>
      </c>
      <c r="V33" s="27" t="n">
        <f aca="false">$L$15</f>
        <v>39.48952</v>
      </c>
      <c r="W33" s="27" t="n">
        <f aca="false">$L$14</f>
        <v>18.68</v>
      </c>
    </row>
    <row r="34" customFormat="false" ht="19.5" hidden="false" customHeight="true" outlineLevel="0" collapsed="false">
      <c r="B34" s="16" t="n">
        <v>16</v>
      </c>
      <c r="C34" s="38" t="n">
        <v>46483</v>
      </c>
      <c r="D34" s="7" t="s">
        <v>213</v>
      </c>
      <c r="E34" s="39" t="n">
        <v>387</v>
      </c>
      <c r="F34" s="39" t="n">
        <v>396</v>
      </c>
      <c r="G34" s="39" t="n">
        <v>407</v>
      </c>
      <c r="H34" s="39" t="n">
        <v>397</v>
      </c>
      <c r="I34" s="39" t="n">
        <v>419</v>
      </c>
      <c r="J34" s="40"/>
      <c r="K34" s="41"/>
      <c r="L34" s="18" t="n">
        <f aca="false">IF(COUNT(E34:I34)=5,AVERAGE(E34:I34),"")</f>
        <v>401.2</v>
      </c>
      <c r="M34" s="19" t="n">
        <f aca="false">IF(COUNT(E34:I34)=5,MAX(E34:I34)-MIN(E34:I34),"")</f>
        <v>32</v>
      </c>
      <c r="N34" s="20" t="str">
        <f aca="false">IF(L34="","",IF(J34="Sim","Excluído",IF(OR($E$14="",B34&lt;=$E$14),"Base","Acompanhamento")))</f>
        <v>Base</v>
      </c>
      <c r="O34" s="21" t="n">
        <f aca="false">IF(OR(COUNT(E34:I34)=0,$E$12="",$E$13=""),"",COUNTIF(E34:I34,"&lt;"&amp;$E$12)+COUNTIF(E34:I34,"&gt;"&amp;$E$13))</f>
        <v>0</v>
      </c>
      <c r="P34" s="22" t="str">
        <f aca="false">IF(OR(L34="",$L$11=""),"",IF(OR(L34&gt;$L$12,L34&lt;$L$13),"Média fora dos limites",IF(M34&gt;$L$15,"Amplitude fora do limite",IF(OR(COUNTIF(L28:L34,"&gt;"&amp;$L$11)=7,COUNTIF(L28:L34,"&lt;"&amp;$L$11)=7),"7 do mesmo lado",IF(AND(COUNT(L29:L34)=6,OR(AND(L34&gt;L33,L33&gt;L32,L32&gt;L31,L31&gt;L30,L30&gt;L29),AND(L34&lt;L33,L33&lt;L32,L32&lt;L31,L31&lt;L30,L30&lt;L29))),"6 subindo ou descendo","")))))</f>
        <v/>
      </c>
      <c r="Q34" s="22" t="str">
        <f aca="false">IF(COUNT(E34:I34)+LEN(C34)+LEN(D34)+LEN(J34)=0,"",IF(AND(COUNT(E34:I34)&gt;0,COUNT(E34:I34)&lt;5),"Faltam medições",IF(AND(COUNT(E34:I34)&gt;0,C34=""),"Falta a data",IF(AND(J34="Sim",K34=""),"Falta o motivo",IF(COUNT(E34:I34)=0,"Faltam medições","OK")))))</f>
        <v>OK</v>
      </c>
      <c r="S34" s="27" t="n">
        <f aca="false">$L$12</f>
        <v>411.08236</v>
      </c>
      <c r="T34" s="27" t="n">
        <f aca="false">$L$11</f>
        <v>400.304</v>
      </c>
      <c r="U34" s="27" t="n">
        <f aca="false">$L$13</f>
        <v>389.52564</v>
      </c>
      <c r="V34" s="27" t="n">
        <f aca="false">$L$15</f>
        <v>39.48952</v>
      </c>
      <c r="W34" s="27" t="n">
        <f aca="false">$L$14</f>
        <v>18.68</v>
      </c>
    </row>
    <row r="35" customFormat="false" ht="19.5" hidden="false" customHeight="true" outlineLevel="0" collapsed="false">
      <c r="B35" s="16" t="n">
        <v>17</v>
      </c>
      <c r="C35" s="38" t="n">
        <v>46484</v>
      </c>
      <c r="D35" s="7" t="s">
        <v>214</v>
      </c>
      <c r="E35" s="39" t="n">
        <v>396</v>
      </c>
      <c r="F35" s="39" t="n">
        <v>397</v>
      </c>
      <c r="G35" s="39" t="n">
        <v>398</v>
      </c>
      <c r="H35" s="39" t="n">
        <v>400</v>
      </c>
      <c r="I35" s="39" t="n">
        <v>400</v>
      </c>
      <c r="J35" s="40"/>
      <c r="K35" s="41"/>
      <c r="L35" s="18" t="n">
        <f aca="false">IF(COUNT(E35:I35)=5,AVERAGE(E35:I35),"")</f>
        <v>398.2</v>
      </c>
      <c r="M35" s="19" t="n">
        <f aca="false">IF(COUNT(E35:I35)=5,MAX(E35:I35)-MIN(E35:I35),"")</f>
        <v>4</v>
      </c>
      <c r="N35" s="20" t="str">
        <f aca="false">IF(L35="","",IF(J35="Sim","Excluído",IF(OR($E$14="",B35&lt;=$E$14),"Base","Acompanhamento")))</f>
        <v>Base</v>
      </c>
      <c r="O35" s="21" t="n">
        <f aca="false">IF(OR(COUNT(E35:I35)=0,$E$12="",$E$13=""),"",COUNTIF(E35:I35,"&lt;"&amp;$E$12)+COUNTIF(E35:I35,"&gt;"&amp;$E$13))</f>
        <v>0</v>
      </c>
      <c r="P35" s="22" t="str">
        <f aca="false">IF(OR(L35="",$L$11=""),"",IF(OR(L35&gt;$L$12,L35&lt;$L$13),"Média fora dos limites",IF(M35&gt;$L$15,"Amplitude fora do limite",IF(OR(COUNTIF(L29:L35,"&gt;"&amp;$L$11)=7,COUNTIF(L29:L35,"&lt;"&amp;$L$11)=7),"7 do mesmo lado",IF(AND(COUNT(L30:L35)=6,OR(AND(L35&gt;L34,L34&gt;L33,L33&gt;L32,L32&gt;L31,L31&gt;L30),AND(L35&lt;L34,L34&lt;L33,L33&lt;L32,L32&lt;L31,L31&lt;L30))),"6 subindo ou descendo","")))))</f>
        <v/>
      </c>
      <c r="Q35" s="22" t="str">
        <f aca="false">IF(COUNT(E35:I35)+LEN(C35)+LEN(D35)+LEN(J35)=0,"",IF(AND(COUNT(E35:I35)&gt;0,COUNT(E35:I35)&lt;5),"Faltam medições",IF(AND(COUNT(E35:I35)&gt;0,C35=""),"Falta a data",IF(AND(J35="Sim",K35=""),"Falta o motivo",IF(COUNT(E35:I35)=0,"Faltam medições","OK")))))</f>
        <v>OK</v>
      </c>
      <c r="S35" s="27" t="n">
        <f aca="false">$L$12</f>
        <v>411.08236</v>
      </c>
      <c r="T35" s="27" t="n">
        <f aca="false">$L$11</f>
        <v>400.304</v>
      </c>
      <c r="U35" s="27" t="n">
        <f aca="false">$L$13</f>
        <v>389.52564</v>
      </c>
      <c r="V35" s="27" t="n">
        <f aca="false">$L$15</f>
        <v>39.48952</v>
      </c>
      <c r="W35" s="27" t="n">
        <f aca="false">$L$14</f>
        <v>18.68</v>
      </c>
    </row>
    <row r="36" customFormat="false" ht="19.5" hidden="false" customHeight="true" outlineLevel="0" collapsed="false">
      <c r="B36" s="16" t="n">
        <v>18</v>
      </c>
      <c r="C36" s="38" t="n">
        <v>46485</v>
      </c>
      <c r="D36" s="7" t="s">
        <v>215</v>
      </c>
      <c r="E36" s="39" t="n">
        <v>411</v>
      </c>
      <c r="F36" s="39" t="n">
        <v>417</v>
      </c>
      <c r="G36" s="39" t="n">
        <v>398</v>
      </c>
      <c r="H36" s="39" t="n">
        <v>387</v>
      </c>
      <c r="I36" s="39" t="n">
        <v>397</v>
      </c>
      <c r="J36" s="40"/>
      <c r="K36" s="41"/>
      <c r="L36" s="18" t="n">
        <f aca="false">IF(COUNT(E36:I36)=5,AVERAGE(E36:I36),"")</f>
        <v>402</v>
      </c>
      <c r="M36" s="19" t="n">
        <f aca="false">IF(COUNT(E36:I36)=5,MAX(E36:I36)-MIN(E36:I36),"")</f>
        <v>30</v>
      </c>
      <c r="N36" s="20" t="str">
        <f aca="false">IF(L36="","",IF(J36="Sim","Excluído",IF(OR($E$14="",B36&lt;=$E$14),"Base","Acompanhamento")))</f>
        <v>Base</v>
      </c>
      <c r="O36" s="21" t="n">
        <f aca="false">IF(OR(COUNT(E36:I36)=0,$E$12="",$E$13=""),"",COUNTIF(E36:I36,"&lt;"&amp;$E$12)+COUNTIF(E36:I36,"&gt;"&amp;$E$13))</f>
        <v>0</v>
      </c>
      <c r="P36" s="22" t="str">
        <f aca="false">IF(OR(L36="",$L$11=""),"",IF(OR(L36&gt;$L$12,L36&lt;$L$13),"Média fora dos limites",IF(M36&gt;$L$15,"Amplitude fora do limite",IF(OR(COUNTIF(L30:L36,"&gt;"&amp;$L$11)=7,COUNTIF(L30:L36,"&lt;"&amp;$L$11)=7),"7 do mesmo lado",IF(AND(COUNT(L31:L36)=6,OR(AND(L36&gt;L35,L35&gt;L34,L34&gt;L33,L33&gt;L32,L32&gt;L31),AND(L36&lt;L35,L35&lt;L34,L34&lt;L33,L33&lt;L32,L32&lt;L31))),"6 subindo ou descendo","")))))</f>
        <v/>
      </c>
      <c r="Q36" s="22" t="str">
        <f aca="false">IF(COUNT(E36:I36)+LEN(C36)+LEN(D36)+LEN(J36)=0,"",IF(AND(COUNT(E36:I36)&gt;0,COUNT(E36:I36)&lt;5),"Faltam medições",IF(AND(COUNT(E36:I36)&gt;0,C36=""),"Falta a data",IF(AND(J36="Sim",K36=""),"Falta o motivo",IF(COUNT(E36:I36)=0,"Faltam medições","OK")))))</f>
        <v>OK</v>
      </c>
      <c r="S36" s="27" t="n">
        <f aca="false">$L$12</f>
        <v>411.08236</v>
      </c>
      <c r="T36" s="27" t="n">
        <f aca="false">$L$11</f>
        <v>400.304</v>
      </c>
      <c r="U36" s="27" t="n">
        <f aca="false">$L$13</f>
        <v>389.52564</v>
      </c>
      <c r="V36" s="27" t="n">
        <f aca="false">$L$15</f>
        <v>39.48952</v>
      </c>
      <c r="W36" s="27" t="n">
        <f aca="false">$L$14</f>
        <v>18.68</v>
      </c>
    </row>
    <row r="37" customFormat="false" ht="19.5" hidden="false" customHeight="true" outlineLevel="0" collapsed="false">
      <c r="B37" s="16" t="n">
        <v>19</v>
      </c>
      <c r="C37" s="38" t="n">
        <v>46486</v>
      </c>
      <c r="D37" s="7" t="s">
        <v>216</v>
      </c>
      <c r="E37" s="39" t="n">
        <v>401</v>
      </c>
      <c r="F37" s="39" t="n">
        <v>414</v>
      </c>
      <c r="G37" s="39" t="n">
        <v>406</v>
      </c>
      <c r="H37" s="39" t="n">
        <v>401</v>
      </c>
      <c r="I37" s="39" t="n">
        <v>423</v>
      </c>
      <c r="J37" s="40"/>
      <c r="K37" s="41"/>
      <c r="L37" s="18" t="n">
        <f aca="false">IF(COUNT(E37:I37)=5,AVERAGE(E37:I37),"")</f>
        <v>409</v>
      </c>
      <c r="M37" s="19" t="n">
        <f aca="false">IF(COUNT(E37:I37)=5,MAX(E37:I37)-MIN(E37:I37),"")</f>
        <v>22</v>
      </c>
      <c r="N37" s="20" t="str">
        <f aca="false">IF(L37="","",IF(J37="Sim","Excluído",IF(OR($E$14="",B37&lt;=$E$14),"Base","Acompanhamento")))</f>
        <v>Base</v>
      </c>
      <c r="O37" s="21" t="n">
        <f aca="false">IF(OR(COUNT(E37:I37)=0,$E$12="",$E$13=""),"",COUNTIF(E37:I37,"&lt;"&amp;$E$12)+COUNTIF(E37:I37,"&gt;"&amp;$E$13))</f>
        <v>1</v>
      </c>
      <c r="P37" s="22" t="str">
        <f aca="false">IF(OR(L37="",$L$11=""),"",IF(OR(L37&gt;$L$12,L37&lt;$L$13),"Média fora dos limites",IF(M37&gt;$L$15,"Amplitude fora do limite",IF(OR(COUNTIF(L31:L37,"&gt;"&amp;$L$11)=7,COUNTIF(L31:L37,"&lt;"&amp;$L$11)=7),"7 do mesmo lado",IF(AND(COUNT(L32:L37)=6,OR(AND(L37&gt;L36,L36&gt;L35,L35&gt;L34,L34&gt;L33,L33&gt;L32),AND(L37&lt;L36,L36&lt;L35,L35&lt;L34,L34&lt;L33,L33&lt;L32))),"6 subindo ou descendo","")))))</f>
        <v/>
      </c>
      <c r="Q37" s="22" t="str">
        <f aca="false">IF(COUNT(E37:I37)+LEN(C37)+LEN(D37)+LEN(J37)=0,"",IF(AND(COUNT(E37:I37)&gt;0,COUNT(E37:I37)&lt;5),"Faltam medições",IF(AND(COUNT(E37:I37)&gt;0,C37=""),"Falta a data",IF(AND(J37="Sim",K37=""),"Falta o motivo",IF(COUNT(E37:I37)=0,"Faltam medições","OK")))))</f>
        <v>OK</v>
      </c>
      <c r="S37" s="27" t="n">
        <f aca="false">$L$12</f>
        <v>411.08236</v>
      </c>
      <c r="T37" s="27" t="n">
        <f aca="false">$L$11</f>
        <v>400.304</v>
      </c>
      <c r="U37" s="27" t="n">
        <f aca="false">$L$13</f>
        <v>389.52564</v>
      </c>
      <c r="V37" s="27" t="n">
        <f aca="false">$L$15</f>
        <v>39.48952</v>
      </c>
      <c r="W37" s="27" t="n">
        <f aca="false">$L$14</f>
        <v>18.68</v>
      </c>
    </row>
    <row r="38" customFormat="false" ht="19.5" hidden="false" customHeight="true" outlineLevel="0" collapsed="false">
      <c r="B38" s="16" t="n">
        <v>20</v>
      </c>
      <c r="C38" s="38" t="n">
        <v>46487</v>
      </c>
      <c r="D38" s="7" t="s">
        <v>217</v>
      </c>
      <c r="E38" s="39" t="n">
        <v>391</v>
      </c>
      <c r="F38" s="39" t="n">
        <v>391</v>
      </c>
      <c r="G38" s="39" t="n">
        <v>412</v>
      </c>
      <c r="H38" s="39" t="n">
        <v>405</v>
      </c>
      <c r="I38" s="39" t="n">
        <v>400</v>
      </c>
      <c r="J38" s="40"/>
      <c r="K38" s="41"/>
      <c r="L38" s="18" t="n">
        <f aca="false">IF(COUNT(E38:I38)=5,AVERAGE(E38:I38),"")</f>
        <v>399.8</v>
      </c>
      <c r="M38" s="19" t="n">
        <f aca="false">IF(COUNT(E38:I38)=5,MAX(E38:I38)-MIN(E38:I38),"")</f>
        <v>21</v>
      </c>
      <c r="N38" s="20" t="str">
        <f aca="false">IF(L38="","",IF(J38="Sim","Excluído",IF(OR($E$14="",B38&lt;=$E$14),"Base","Acompanhamento")))</f>
        <v>Base</v>
      </c>
      <c r="O38" s="21" t="n">
        <f aca="false">IF(OR(COUNT(E38:I38)=0,$E$12="",$E$13=""),"",COUNTIF(E38:I38,"&lt;"&amp;$E$12)+COUNTIF(E38:I38,"&gt;"&amp;$E$13))</f>
        <v>0</v>
      </c>
      <c r="P38" s="22" t="str">
        <f aca="false">IF(OR(L38="",$L$11=""),"",IF(OR(L38&gt;$L$12,L38&lt;$L$13),"Média fora dos limites",IF(M38&gt;$L$15,"Amplitude fora do limite",IF(OR(COUNTIF(L32:L38,"&gt;"&amp;$L$11)=7,COUNTIF(L32:L38,"&lt;"&amp;$L$11)=7),"7 do mesmo lado",IF(AND(COUNT(L33:L38)=6,OR(AND(L38&gt;L37,L37&gt;L36,L36&gt;L35,L35&gt;L34,L34&gt;L33),AND(L38&lt;L37,L37&lt;L36,L36&lt;L35,L35&lt;L34,L34&lt;L33))),"6 subindo ou descendo","")))))</f>
        <v/>
      </c>
      <c r="Q38" s="22" t="str">
        <f aca="false">IF(COUNT(E38:I38)+LEN(C38)+LEN(D38)+LEN(J38)=0,"",IF(AND(COUNT(E38:I38)&gt;0,COUNT(E38:I38)&lt;5),"Faltam medições",IF(AND(COUNT(E38:I38)&gt;0,C38=""),"Falta a data",IF(AND(J38="Sim",K38=""),"Falta o motivo",IF(COUNT(E38:I38)=0,"Faltam medições","OK")))))</f>
        <v>OK</v>
      </c>
      <c r="S38" s="27" t="n">
        <f aca="false">$L$12</f>
        <v>411.08236</v>
      </c>
      <c r="T38" s="27" t="n">
        <f aca="false">$L$11</f>
        <v>400.304</v>
      </c>
      <c r="U38" s="27" t="n">
        <f aca="false">$L$13</f>
        <v>389.52564</v>
      </c>
      <c r="V38" s="27" t="n">
        <f aca="false">$L$15</f>
        <v>39.48952</v>
      </c>
      <c r="W38" s="27" t="n">
        <f aca="false">$L$14</f>
        <v>18.68</v>
      </c>
    </row>
    <row r="39" customFormat="false" ht="19.5" hidden="false" customHeight="true" outlineLevel="0" collapsed="false">
      <c r="B39" s="16" t="n">
        <v>21</v>
      </c>
      <c r="C39" s="38" t="n">
        <v>46488</v>
      </c>
      <c r="D39" s="7" t="s">
        <v>218</v>
      </c>
      <c r="E39" s="39" t="n">
        <v>390</v>
      </c>
      <c r="F39" s="39" t="n">
        <v>403</v>
      </c>
      <c r="G39" s="39" t="n">
        <v>403</v>
      </c>
      <c r="H39" s="39" t="n">
        <v>395</v>
      </c>
      <c r="I39" s="39" t="n">
        <v>401</v>
      </c>
      <c r="J39" s="40"/>
      <c r="K39" s="41"/>
      <c r="L39" s="18" t="n">
        <f aca="false">IF(COUNT(E39:I39)=5,AVERAGE(E39:I39),"")</f>
        <v>398.4</v>
      </c>
      <c r="M39" s="19" t="n">
        <f aca="false">IF(COUNT(E39:I39)=5,MAX(E39:I39)-MIN(E39:I39),"")</f>
        <v>13</v>
      </c>
      <c r="N39" s="20" t="str">
        <f aca="false">IF(L39="","",IF(J39="Sim","Excluído",IF(OR($E$14="",B39&lt;=$E$14),"Base","Acompanhamento")))</f>
        <v>Base</v>
      </c>
      <c r="O39" s="21" t="n">
        <f aca="false">IF(OR(COUNT(E39:I39)=0,$E$12="",$E$13=""),"",COUNTIF(E39:I39,"&lt;"&amp;$E$12)+COUNTIF(E39:I39,"&gt;"&amp;$E$13))</f>
        <v>0</v>
      </c>
      <c r="P39" s="22" t="str">
        <f aca="false">IF(OR(L39="",$L$11=""),"",IF(OR(L39&gt;$L$12,L39&lt;$L$13),"Média fora dos limites",IF(M39&gt;$L$15,"Amplitude fora do limite",IF(OR(COUNTIF(L33:L39,"&gt;"&amp;$L$11)=7,COUNTIF(L33:L39,"&lt;"&amp;$L$11)=7),"7 do mesmo lado",IF(AND(COUNT(L34:L39)=6,OR(AND(L39&gt;L38,L38&gt;L37,L37&gt;L36,L36&gt;L35,L35&gt;L34),AND(L39&lt;L38,L38&lt;L37,L37&lt;L36,L36&lt;L35,L35&lt;L34))),"6 subindo ou descendo","")))))</f>
        <v/>
      </c>
      <c r="Q39" s="22" t="str">
        <f aca="false">IF(COUNT(E39:I39)+LEN(C39)+LEN(D39)+LEN(J39)=0,"",IF(AND(COUNT(E39:I39)&gt;0,COUNT(E39:I39)&lt;5),"Faltam medições",IF(AND(COUNT(E39:I39)&gt;0,C39=""),"Falta a data",IF(AND(J39="Sim",K39=""),"Falta o motivo",IF(COUNT(E39:I39)=0,"Faltam medições","OK")))))</f>
        <v>OK</v>
      </c>
      <c r="S39" s="27" t="n">
        <f aca="false">$L$12</f>
        <v>411.08236</v>
      </c>
      <c r="T39" s="27" t="n">
        <f aca="false">$L$11</f>
        <v>400.304</v>
      </c>
      <c r="U39" s="27" t="n">
        <f aca="false">$L$13</f>
        <v>389.52564</v>
      </c>
      <c r="V39" s="27" t="n">
        <f aca="false">$L$15</f>
        <v>39.48952</v>
      </c>
      <c r="W39" s="27" t="n">
        <f aca="false">$L$14</f>
        <v>18.68</v>
      </c>
    </row>
    <row r="40" customFormat="false" ht="19.5" hidden="false" customHeight="true" outlineLevel="0" collapsed="false">
      <c r="B40" s="16" t="n">
        <v>22</v>
      </c>
      <c r="C40" s="38" t="n">
        <v>46489</v>
      </c>
      <c r="D40" s="7" t="s">
        <v>219</v>
      </c>
      <c r="E40" s="39" t="n">
        <v>388</v>
      </c>
      <c r="F40" s="39" t="n">
        <v>409</v>
      </c>
      <c r="G40" s="39" t="n">
        <v>390</v>
      </c>
      <c r="H40" s="39" t="n">
        <v>408</v>
      </c>
      <c r="I40" s="39" t="n">
        <v>392</v>
      </c>
      <c r="J40" s="40"/>
      <c r="K40" s="41"/>
      <c r="L40" s="18" t="n">
        <f aca="false">IF(COUNT(E40:I40)=5,AVERAGE(E40:I40),"")</f>
        <v>397.4</v>
      </c>
      <c r="M40" s="19" t="n">
        <f aca="false">IF(COUNT(E40:I40)=5,MAX(E40:I40)-MIN(E40:I40),"")</f>
        <v>21</v>
      </c>
      <c r="N40" s="20" t="str">
        <f aca="false">IF(L40="","",IF(J40="Sim","Excluído",IF(OR($E$14="",B40&lt;=$E$14),"Base","Acompanhamento")))</f>
        <v>Base</v>
      </c>
      <c r="O40" s="21" t="n">
        <f aca="false">IF(OR(COUNT(E40:I40)=0,$E$12="",$E$13=""),"",COUNTIF(E40:I40,"&lt;"&amp;$E$12)+COUNTIF(E40:I40,"&gt;"&amp;$E$13))</f>
        <v>0</v>
      </c>
      <c r="P40" s="22" t="str">
        <f aca="false">IF(OR(L40="",$L$11=""),"",IF(OR(L40&gt;$L$12,L40&lt;$L$13),"Média fora dos limites",IF(M40&gt;$L$15,"Amplitude fora do limite",IF(OR(COUNTIF(L34:L40,"&gt;"&amp;$L$11)=7,COUNTIF(L34:L40,"&lt;"&amp;$L$11)=7),"7 do mesmo lado",IF(AND(COUNT(L35:L40)=6,OR(AND(L40&gt;L39,L39&gt;L38,L38&gt;L37,L37&gt;L36,L36&gt;L35),AND(L40&lt;L39,L39&lt;L38,L38&lt;L37,L37&lt;L36,L36&lt;L35))),"6 subindo ou descendo","")))))</f>
        <v/>
      </c>
      <c r="Q40" s="22" t="str">
        <f aca="false">IF(COUNT(E40:I40)+LEN(C40)+LEN(D40)+LEN(J40)=0,"",IF(AND(COUNT(E40:I40)&gt;0,COUNT(E40:I40)&lt;5),"Faltam medições",IF(AND(COUNT(E40:I40)&gt;0,C40=""),"Falta a data",IF(AND(J40="Sim",K40=""),"Falta o motivo",IF(COUNT(E40:I40)=0,"Faltam medições","OK")))))</f>
        <v>OK</v>
      </c>
      <c r="S40" s="27" t="n">
        <f aca="false">$L$12</f>
        <v>411.08236</v>
      </c>
      <c r="T40" s="27" t="n">
        <f aca="false">$L$11</f>
        <v>400.304</v>
      </c>
      <c r="U40" s="27" t="n">
        <f aca="false">$L$13</f>
        <v>389.52564</v>
      </c>
      <c r="V40" s="27" t="n">
        <f aca="false">$L$15</f>
        <v>39.48952</v>
      </c>
      <c r="W40" s="27" t="n">
        <f aca="false">$L$14</f>
        <v>18.68</v>
      </c>
    </row>
    <row r="41" customFormat="false" ht="19.5" hidden="false" customHeight="true" outlineLevel="0" collapsed="false">
      <c r="B41" s="16" t="n">
        <v>23</v>
      </c>
      <c r="C41" s="38" t="n">
        <v>46490</v>
      </c>
      <c r="D41" s="7" t="s">
        <v>220</v>
      </c>
      <c r="E41" s="39" t="n">
        <v>392</v>
      </c>
      <c r="F41" s="39" t="n">
        <v>398</v>
      </c>
      <c r="G41" s="39" t="n">
        <v>393</v>
      </c>
      <c r="H41" s="39" t="n">
        <v>406</v>
      </c>
      <c r="I41" s="39" t="n">
        <v>393</v>
      </c>
      <c r="J41" s="40"/>
      <c r="K41" s="41"/>
      <c r="L41" s="18" t="n">
        <f aca="false">IF(COUNT(E41:I41)=5,AVERAGE(E41:I41),"")</f>
        <v>396.4</v>
      </c>
      <c r="M41" s="19" t="n">
        <f aca="false">IF(COUNT(E41:I41)=5,MAX(E41:I41)-MIN(E41:I41),"")</f>
        <v>14</v>
      </c>
      <c r="N41" s="20" t="str">
        <f aca="false">IF(L41="","",IF(J41="Sim","Excluído",IF(OR($E$14="",B41&lt;=$E$14),"Base","Acompanhamento")))</f>
        <v>Base</v>
      </c>
      <c r="O41" s="21" t="n">
        <f aca="false">IF(OR(COUNT(E41:I41)=0,$E$12="",$E$13=""),"",COUNTIF(E41:I41,"&lt;"&amp;$E$12)+COUNTIF(E41:I41,"&gt;"&amp;$E$13))</f>
        <v>0</v>
      </c>
      <c r="P41" s="22" t="str">
        <f aca="false">IF(OR(L41="",$L$11=""),"",IF(OR(L41&gt;$L$12,L41&lt;$L$13),"Média fora dos limites",IF(M41&gt;$L$15,"Amplitude fora do limite",IF(OR(COUNTIF(L35:L41,"&gt;"&amp;$L$11)=7,COUNTIF(L35:L41,"&lt;"&amp;$L$11)=7),"7 do mesmo lado",IF(AND(COUNT(L36:L41)=6,OR(AND(L41&gt;L40,L40&gt;L39,L39&gt;L38,L38&gt;L37,L37&gt;L36),AND(L41&lt;L40,L40&lt;L39,L39&lt;L38,L38&lt;L37,L37&lt;L36))),"6 subindo ou descendo","")))))</f>
        <v/>
      </c>
      <c r="Q41" s="22" t="str">
        <f aca="false">IF(COUNT(E41:I41)+LEN(C41)+LEN(D41)+LEN(J41)=0,"",IF(AND(COUNT(E41:I41)&gt;0,COUNT(E41:I41)&lt;5),"Faltam medições",IF(AND(COUNT(E41:I41)&gt;0,C41=""),"Falta a data",IF(AND(J41="Sim",K41=""),"Falta o motivo",IF(COUNT(E41:I41)=0,"Faltam medições","OK")))))</f>
        <v>OK</v>
      </c>
      <c r="S41" s="27" t="n">
        <f aca="false">$L$12</f>
        <v>411.08236</v>
      </c>
      <c r="T41" s="27" t="n">
        <f aca="false">$L$11</f>
        <v>400.304</v>
      </c>
      <c r="U41" s="27" t="n">
        <f aca="false">$L$13</f>
        <v>389.52564</v>
      </c>
      <c r="V41" s="27" t="n">
        <f aca="false">$L$15</f>
        <v>39.48952</v>
      </c>
      <c r="W41" s="27" t="n">
        <f aca="false">$L$14</f>
        <v>18.68</v>
      </c>
    </row>
    <row r="42" customFormat="false" ht="19.5" hidden="false" customHeight="true" outlineLevel="0" collapsed="false">
      <c r="B42" s="16" t="n">
        <v>24</v>
      </c>
      <c r="C42" s="38" t="n">
        <v>46491</v>
      </c>
      <c r="D42" s="7" t="s">
        <v>221</v>
      </c>
      <c r="E42" s="39" t="n">
        <v>401</v>
      </c>
      <c r="F42" s="39" t="n">
        <v>406</v>
      </c>
      <c r="G42" s="39" t="n">
        <v>407</v>
      </c>
      <c r="H42" s="39" t="n">
        <v>407</v>
      </c>
      <c r="I42" s="39" t="n">
        <v>398</v>
      </c>
      <c r="J42" s="40"/>
      <c r="K42" s="41"/>
      <c r="L42" s="18" t="n">
        <f aca="false">IF(COUNT(E42:I42)=5,AVERAGE(E42:I42),"")</f>
        <v>403.8</v>
      </c>
      <c r="M42" s="19" t="n">
        <f aca="false">IF(COUNT(E42:I42)=5,MAX(E42:I42)-MIN(E42:I42),"")</f>
        <v>9</v>
      </c>
      <c r="N42" s="20" t="str">
        <f aca="false">IF(L42="","",IF(J42="Sim","Excluído",IF(OR($E$14="",B42&lt;=$E$14),"Base","Acompanhamento")))</f>
        <v>Base</v>
      </c>
      <c r="O42" s="21" t="n">
        <f aca="false">IF(OR(COUNT(E42:I42)=0,$E$12="",$E$13=""),"",COUNTIF(E42:I42,"&lt;"&amp;$E$12)+COUNTIF(E42:I42,"&gt;"&amp;$E$13))</f>
        <v>0</v>
      </c>
      <c r="P42" s="22" t="str">
        <f aca="false">IF(OR(L42="",$L$11=""),"",IF(OR(L42&gt;$L$12,L42&lt;$L$13),"Média fora dos limites",IF(M42&gt;$L$15,"Amplitude fora do limite",IF(OR(COUNTIF(L36:L42,"&gt;"&amp;$L$11)=7,COUNTIF(L36:L42,"&lt;"&amp;$L$11)=7),"7 do mesmo lado",IF(AND(COUNT(L37:L42)=6,OR(AND(L42&gt;L41,L41&gt;L40,L40&gt;L39,L39&gt;L38,L38&gt;L37),AND(L42&lt;L41,L41&lt;L40,L40&lt;L39,L39&lt;L38,L38&lt;L37))),"6 subindo ou descendo","")))))</f>
        <v/>
      </c>
      <c r="Q42" s="22" t="str">
        <f aca="false">IF(COUNT(E42:I42)+LEN(C42)+LEN(D42)+LEN(J42)=0,"",IF(AND(COUNT(E42:I42)&gt;0,COUNT(E42:I42)&lt;5),"Faltam medições",IF(AND(COUNT(E42:I42)&gt;0,C42=""),"Falta a data",IF(AND(J42="Sim",K42=""),"Falta o motivo",IF(COUNT(E42:I42)=0,"Faltam medições","OK")))))</f>
        <v>OK</v>
      </c>
      <c r="S42" s="27" t="n">
        <f aca="false">$L$12</f>
        <v>411.08236</v>
      </c>
      <c r="T42" s="27" t="n">
        <f aca="false">$L$11</f>
        <v>400.304</v>
      </c>
      <c r="U42" s="27" t="n">
        <f aca="false">$L$13</f>
        <v>389.52564</v>
      </c>
      <c r="V42" s="27" t="n">
        <f aca="false">$L$15</f>
        <v>39.48952</v>
      </c>
      <c r="W42" s="27" t="n">
        <f aca="false">$L$14</f>
        <v>18.68</v>
      </c>
    </row>
    <row r="43" customFormat="false" ht="19.5" hidden="false" customHeight="true" outlineLevel="0" collapsed="false">
      <c r="B43" s="16" t="n">
        <v>25</v>
      </c>
      <c r="C43" s="38" t="n">
        <v>46492</v>
      </c>
      <c r="D43" s="7" t="s">
        <v>222</v>
      </c>
      <c r="E43" s="39" t="n">
        <v>416</v>
      </c>
      <c r="F43" s="39" t="n">
        <v>399</v>
      </c>
      <c r="G43" s="39" t="n">
        <v>395</v>
      </c>
      <c r="H43" s="39" t="n">
        <v>402</v>
      </c>
      <c r="I43" s="39" t="n">
        <v>416</v>
      </c>
      <c r="J43" s="40"/>
      <c r="K43" s="41"/>
      <c r="L43" s="18" t="n">
        <f aca="false">IF(COUNT(E43:I43)=5,AVERAGE(E43:I43),"")</f>
        <v>405.6</v>
      </c>
      <c r="M43" s="19" t="n">
        <f aca="false">IF(COUNT(E43:I43)=5,MAX(E43:I43)-MIN(E43:I43),"")</f>
        <v>21</v>
      </c>
      <c r="N43" s="20" t="str">
        <f aca="false">IF(L43="","",IF(J43="Sim","Excluído",IF(OR($E$14="",B43&lt;=$E$14),"Base","Acompanhamento")))</f>
        <v>Base</v>
      </c>
      <c r="O43" s="21" t="n">
        <f aca="false">IF(OR(COUNT(E43:I43)=0,$E$12="",$E$13=""),"",COUNTIF(E43:I43,"&lt;"&amp;$E$12)+COUNTIF(E43:I43,"&gt;"&amp;$E$13))</f>
        <v>0</v>
      </c>
      <c r="P43" s="22" t="str">
        <f aca="false">IF(OR(L43="",$L$11=""),"",IF(OR(L43&gt;$L$12,L43&lt;$L$13),"Média fora dos limites",IF(M43&gt;$L$15,"Amplitude fora do limite",IF(OR(COUNTIF(L37:L43,"&gt;"&amp;$L$11)=7,COUNTIF(L37:L43,"&lt;"&amp;$L$11)=7),"7 do mesmo lado",IF(AND(COUNT(L38:L43)=6,OR(AND(L43&gt;L42,L42&gt;L41,L41&gt;L40,L40&gt;L39,L39&gt;L38),AND(L43&lt;L42,L42&lt;L41,L41&lt;L40,L40&lt;L39,L39&lt;L38))),"6 subindo ou descendo","")))))</f>
        <v/>
      </c>
      <c r="Q43" s="22" t="str">
        <f aca="false">IF(COUNT(E43:I43)+LEN(C43)+LEN(D43)+LEN(J43)=0,"",IF(AND(COUNT(E43:I43)&gt;0,COUNT(E43:I43)&lt;5),"Faltam medições",IF(AND(COUNT(E43:I43)&gt;0,C43=""),"Falta a data",IF(AND(J43="Sim",K43=""),"Falta o motivo",IF(COUNT(E43:I43)=0,"Faltam medições","OK")))))</f>
        <v>OK</v>
      </c>
      <c r="S43" s="27" t="n">
        <f aca="false">$L$12</f>
        <v>411.08236</v>
      </c>
      <c r="T43" s="27" t="n">
        <f aca="false">$L$11</f>
        <v>400.304</v>
      </c>
      <c r="U43" s="27" t="n">
        <f aca="false">$L$13</f>
        <v>389.52564</v>
      </c>
      <c r="V43" s="27" t="n">
        <f aca="false">$L$15</f>
        <v>39.48952</v>
      </c>
      <c r="W43" s="27" t="n">
        <f aca="false">$L$14</f>
        <v>18.68</v>
      </c>
    </row>
    <row r="45" customFormat="false" ht="21.75" hidden="false" customHeight="true" outlineLevel="0" collapsed="false">
      <c r="B45" s="42" t="s">
        <v>95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</row>
    <row r="61" customFormat="false" ht="21.75" hidden="false" customHeight="true" outlineLevel="0" collapsed="false">
      <c r="B61" s="23" t="s">
        <v>93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</row>
    <row r="62" customFormat="false" ht="15" hidden="false" customHeight="true" outlineLevel="0" collapsed="false">
      <c r="B62" s="15" t="s">
        <v>121</v>
      </c>
      <c r="C62" s="15"/>
      <c r="D62" s="15"/>
      <c r="E62" s="15" t="s">
        <v>122</v>
      </c>
      <c r="F62" s="15"/>
      <c r="G62" s="15" t="s">
        <v>123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customFormat="false" ht="15" hidden="false" customHeight="true" outlineLevel="0" collapsed="false">
      <c r="B63" s="29" t="s">
        <v>124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</row>
    <row r="64" customFormat="false" ht="19.5" hidden="false" customHeight="true" outlineLevel="0" collapsed="false">
      <c r="B64" s="4" t="s">
        <v>125</v>
      </c>
      <c r="C64" s="4"/>
      <c r="D64" s="4"/>
      <c r="E64" s="8" t="n">
        <f aca="false">COUNT($L$19:$L$43)</f>
        <v>25</v>
      </c>
      <c r="F64" s="8"/>
      <c r="G64" s="30" t="s">
        <v>126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</row>
    <row r="65" customFormat="false" ht="19.5" hidden="false" customHeight="true" outlineLevel="0" collapsed="false">
      <c r="B65" s="4" t="s">
        <v>127</v>
      </c>
      <c r="C65" s="4"/>
      <c r="D65" s="4"/>
      <c r="E65" s="8" t="n">
        <f aca="false">COUNTIF($N$19:$N$43,"Base")</f>
        <v>25</v>
      </c>
      <c r="F65" s="8"/>
      <c r="G65" s="30" t="s">
        <v>128</v>
      </c>
      <c r="H65" s="30"/>
      <c r="I65" s="30"/>
      <c r="J65" s="30"/>
      <c r="K65" s="30"/>
      <c r="L65" s="30"/>
      <c r="M65" s="30"/>
      <c r="N65" s="30"/>
      <c r="O65" s="30"/>
      <c r="P65" s="30"/>
      <c r="Q65" s="30"/>
    </row>
    <row r="66" customFormat="false" ht="19.5" hidden="false" customHeight="true" outlineLevel="0" collapsed="false">
      <c r="B66" s="4" t="s">
        <v>129</v>
      </c>
      <c r="C66" s="4"/>
      <c r="D66" s="4"/>
      <c r="E66" s="8" t="n">
        <f aca="false">COUNTIF($N$19:$N$43,"Excluído")</f>
        <v>0</v>
      </c>
      <c r="F66" s="8"/>
      <c r="G66" s="30" t="s">
        <v>130</v>
      </c>
      <c r="H66" s="30"/>
      <c r="I66" s="30"/>
      <c r="J66" s="30"/>
      <c r="K66" s="30"/>
      <c r="L66" s="30"/>
      <c r="M66" s="30"/>
      <c r="N66" s="30"/>
      <c r="O66" s="30"/>
      <c r="P66" s="30"/>
      <c r="Q66" s="30"/>
    </row>
    <row r="67" customFormat="false" ht="19.5" hidden="false" customHeight="true" outlineLevel="0" collapsed="false">
      <c r="B67" s="4" t="s">
        <v>131</v>
      </c>
      <c r="C67" s="4"/>
      <c r="D67" s="4"/>
      <c r="E67" s="8" t="n">
        <f aca="false">COUNTIF($N$19:$N$43,"Acompanhamento")</f>
        <v>0</v>
      </c>
      <c r="F67" s="8"/>
      <c r="G67" s="30" t="s">
        <v>132</v>
      </c>
      <c r="H67" s="30"/>
      <c r="I67" s="30"/>
      <c r="J67" s="30"/>
      <c r="K67" s="30"/>
      <c r="L67" s="30"/>
      <c r="M67" s="30"/>
      <c r="N67" s="30"/>
      <c r="O67" s="30"/>
      <c r="P67" s="30"/>
      <c r="Q67" s="30"/>
    </row>
    <row r="68" customFormat="false" ht="19.5" hidden="false" customHeight="true" outlineLevel="0" collapsed="false">
      <c r="B68" s="4" t="s">
        <v>133</v>
      </c>
      <c r="C68" s="4"/>
      <c r="D68" s="4"/>
      <c r="E68" s="8" t="n">
        <f aca="false">SUMPRODUCT(($Q$19:$Q$43&lt;&gt;"")*($Q$19:$Q$43&lt;&gt;"OK"))</f>
        <v>0</v>
      </c>
      <c r="F68" s="8"/>
      <c r="G68" s="30" t="s">
        <v>134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</row>
    <row r="69" customFormat="false" ht="15" hidden="false" customHeight="true" outlineLevel="0" collapsed="false">
      <c r="B69" s="29" t="s">
        <v>135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</row>
    <row r="70" customFormat="false" ht="19.5" hidden="false" customHeight="true" outlineLevel="0" collapsed="false">
      <c r="B70" s="4" t="s">
        <v>136</v>
      </c>
      <c r="C70" s="4"/>
      <c r="D70" s="4"/>
      <c r="E70" s="8" t="n">
        <f aca="false">COUNTIF($P$19:$P$43,"Média fora dos limites")</f>
        <v>0</v>
      </c>
      <c r="F70" s="8"/>
      <c r="G70" s="30" t="s">
        <v>137</v>
      </c>
      <c r="H70" s="30"/>
      <c r="I70" s="30"/>
      <c r="J70" s="30"/>
      <c r="K70" s="30"/>
      <c r="L70" s="30"/>
      <c r="M70" s="30"/>
      <c r="N70" s="30"/>
      <c r="O70" s="30"/>
      <c r="P70" s="30"/>
      <c r="Q70" s="30"/>
    </row>
    <row r="71" customFormat="false" ht="19.5" hidden="false" customHeight="true" outlineLevel="0" collapsed="false">
      <c r="B71" s="4" t="s">
        <v>138</v>
      </c>
      <c r="C71" s="4"/>
      <c r="D71" s="4"/>
      <c r="E71" s="8" t="n">
        <f aca="false">COUNTIF($P$19:$P$43,"Amplitude fora do limite")</f>
        <v>0</v>
      </c>
      <c r="F71" s="8"/>
      <c r="G71" s="30" t="s">
        <v>139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</row>
    <row r="72" customFormat="false" ht="19.5" hidden="false" customHeight="true" outlineLevel="0" collapsed="false">
      <c r="B72" s="4" t="s">
        <v>140</v>
      </c>
      <c r="C72" s="4"/>
      <c r="D72" s="4"/>
      <c r="E72" s="8" t="n">
        <f aca="false">COUNTIF($P$19:$P$43,"7 do mesmo lado")</f>
        <v>0</v>
      </c>
      <c r="F72" s="8"/>
      <c r="G72" s="30" t="s">
        <v>141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</row>
    <row r="73" customFormat="false" ht="19.5" hidden="false" customHeight="true" outlineLevel="0" collapsed="false">
      <c r="B73" s="4" t="s">
        <v>142</v>
      </c>
      <c r="C73" s="4"/>
      <c r="D73" s="4"/>
      <c r="E73" s="8" t="n">
        <f aca="false">COUNTIF($P$19:$P$43,"6 subindo ou descendo")</f>
        <v>0</v>
      </c>
      <c r="F73" s="8"/>
      <c r="G73" s="30" t="s">
        <v>143</v>
      </c>
      <c r="H73" s="30"/>
      <c r="I73" s="30"/>
      <c r="J73" s="30"/>
      <c r="K73" s="30"/>
      <c r="L73" s="30"/>
      <c r="M73" s="30"/>
      <c r="N73" s="30"/>
      <c r="O73" s="30"/>
      <c r="P73" s="30"/>
      <c r="Q73" s="30"/>
    </row>
    <row r="74" customFormat="false" ht="19.5" hidden="false" customHeight="true" outlineLevel="0" collapsed="false">
      <c r="B74" s="4" t="s">
        <v>144</v>
      </c>
      <c r="C74" s="4"/>
      <c r="D74" s="4"/>
      <c r="E74" s="8" t="n">
        <f aca="false">SUMPRODUCT(($N$19:$N$43="Base")*(LEN($P$19:$P$43)&gt;0))</f>
        <v>0</v>
      </c>
      <c r="F74" s="8"/>
      <c r="G74" s="30" t="s">
        <v>145</v>
      </c>
      <c r="H74" s="30"/>
      <c r="I74" s="30"/>
      <c r="J74" s="30"/>
      <c r="K74" s="30"/>
      <c r="L74" s="30"/>
      <c r="M74" s="30"/>
      <c r="N74" s="30"/>
      <c r="O74" s="30"/>
      <c r="P74" s="30"/>
      <c r="Q74" s="30"/>
    </row>
    <row r="75" customFormat="false" ht="19.5" hidden="false" customHeight="true" outlineLevel="0" collapsed="false">
      <c r="B75" s="4" t="s">
        <v>146</v>
      </c>
      <c r="C75" s="4"/>
      <c r="D75" s="4"/>
      <c r="E75" s="8" t="n">
        <f aca="false">SUMPRODUCT(($N$19:$N$43="Acompanhamento")*(LEN($P$19:$P$43)&gt;0))</f>
        <v>0</v>
      </c>
      <c r="F75" s="8"/>
      <c r="G75" s="30" t="s">
        <v>147</v>
      </c>
      <c r="H75" s="30"/>
      <c r="I75" s="30"/>
      <c r="J75" s="30"/>
      <c r="K75" s="30"/>
      <c r="L75" s="30"/>
      <c r="M75" s="30"/>
      <c r="N75" s="30"/>
      <c r="O75" s="30"/>
      <c r="P75" s="30"/>
      <c r="Q75" s="30"/>
    </row>
    <row r="76" customFormat="false" ht="19.5" hidden="false" customHeight="true" outlineLevel="0" collapsed="false">
      <c r="B76" s="4" t="s">
        <v>148</v>
      </c>
      <c r="C76" s="4"/>
      <c r="D76" s="4"/>
      <c r="E76" s="31" t="str">
        <f aca="false">IFERROR(INDEX($C$19:$C$43,MATCH(1,INDEX(($N$19:$N$43="Acompanhamento")*(LEN($P$19:$P$43)&gt;0),0),0)),"")</f>
        <v/>
      </c>
      <c r="F76" s="31"/>
      <c r="G76" s="30" t="s">
        <v>149</v>
      </c>
      <c r="H76" s="30"/>
      <c r="I76" s="30"/>
      <c r="J76" s="30"/>
      <c r="K76" s="30"/>
      <c r="L76" s="30"/>
      <c r="M76" s="30"/>
      <c r="N76" s="30"/>
      <c r="O76" s="30"/>
      <c r="P76" s="30"/>
      <c r="Q76" s="30"/>
    </row>
    <row r="77" customFormat="false" ht="15" hidden="false" customHeight="true" outlineLevel="0" collapsed="false">
      <c r="B77" s="29" t="s">
        <v>150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</row>
    <row r="78" customFormat="false" ht="19.5" hidden="false" customHeight="true" outlineLevel="0" collapsed="false">
      <c r="B78" s="4" t="s">
        <v>109</v>
      </c>
      <c r="C78" s="4"/>
      <c r="D78" s="4"/>
      <c r="E78" s="8" t="n">
        <f aca="false">COUNT($E$19:$I$43)</f>
        <v>125</v>
      </c>
      <c r="F78" s="8"/>
      <c r="G78" s="30" t="s">
        <v>151</v>
      </c>
      <c r="H78" s="30"/>
      <c r="I78" s="30"/>
      <c r="J78" s="30"/>
      <c r="K78" s="30"/>
      <c r="L78" s="30"/>
      <c r="M78" s="30"/>
      <c r="N78" s="30"/>
      <c r="O78" s="30"/>
      <c r="P78" s="30"/>
      <c r="Q78" s="30"/>
    </row>
    <row r="79" customFormat="false" ht="19.5" hidden="false" customHeight="true" outlineLevel="0" collapsed="false">
      <c r="B79" s="4" t="s">
        <v>152</v>
      </c>
      <c r="C79" s="4"/>
      <c r="D79" s="4"/>
      <c r="E79" s="8" t="n">
        <f aca="false">SUM($O$19:$O$43)</f>
        <v>3</v>
      </c>
      <c r="F79" s="8"/>
      <c r="G79" s="30" t="s">
        <v>153</v>
      </c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customFormat="false" ht="19.5" hidden="false" customHeight="true" outlineLevel="0" collapsed="false">
      <c r="B80" s="4" t="s">
        <v>154</v>
      </c>
      <c r="C80" s="4"/>
      <c r="D80" s="4"/>
      <c r="E80" s="32" t="n">
        <f aca="false">IF(OR($L$16="",$E$12="",$E$13=""),"",IF($L$16=0,"",($E$13-$E$12)/(6*$L$16)))</f>
        <v>0.830121341898644</v>
      </c>
      <c r="F80" s="32"/>
      <c r="G80" s="30" t="s">
        <v>155</v>
      </c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customFormat="false" ht="19.5" hidden="false" customHeight="true" outlineLevel="0" collapsed="false">
      <c r="B81" s="4" t="s">
        <v>156</v>
      </c>
      <c r="C81" s="4"/>
      <c r="D81" s="4"/>
      <c r="E81" s="32" t="n">
        <f aca="false">IF(OR($L$16="",$E$12="",$E$13=""),"",IF($L$16=0,"",MIN($E$13-$L$11,$L$11-$E$12)/(3*$L$16)))</f>
        <v>0.817503497501783</v>
      </c>
      <c r="F81" s="32"/>
      <c r="G81" s="30" t="s">
        <v>157</v>
      </c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customFormat="false" ht="19.5" hidden="false" customHeight="true" outlineLevel="0" collapsed="false">
      <c r="B82" s="4" t="s">
        <v>158</v>
      </c>
      <c r="C82" s="4"/>
      <c r="D82" s="4"/>
      <c r="E82" s="33" t="str">
        <f aca="false">IF(E81="","",IF(E74&gt;0,"Base com sinal: trate antes",IF(E81&gt;=1.33,"Capaz",IF(E81&gt;=1,"No limite","Não capaz"))))</f>
        <v>Não capaz</v>
      </c>
      <c r="F82" s="33"/>
      <c r="G82" s="30" t="s">
        <v>159</v>
      </c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 customFormat="false" ht="21.75" hidden="false" customHeight="true" outlineLevel="0" collapsed="false">
      <c r="B83" s="4" t="s">
        <v>160</v>
      </c>
      <c r="C83" s="4"/>
      <c r="D83" s="4"/>
      <c r="E83" s="34" t="str">
        <f aca="false">IF(E64=0,"Lance os subgrupos na aba Dados",IF(E65&lt;20,"Base com menos de 20 subgrupos: limites provisórios",IF(E68&gt;0,"Há linha a completar: veja a coluna Conferência",IF(E74&gt;0,"Há sinal na base: procure a causa e exclua o subgrupo",IF(E75&gt;0,"Há sinal no acompanhamento: procure a causa e anote a ação",IF(E82="Não capaz","Processo em controle, mas não capaz: mude o processo",IF(E82="No limite","Capacidade no limite: acompanhe de perto","OK")))))))</f>
        <v>Processo em controle, mas não capaz: mude o processo</v>
      </c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</row>
  </sheetData>
  <mergeCells count="99">
    <mergeCell ref="B1:Q1"/>
    <mergeCell ref="B2:Q2"/>
    <mergeCell ref="B4:D4"/>
    <mergeCell ref="E4:Q4"/>
    <mergeCell ref="B5:D5"/>
    <mergeCell ref="E5:Q5"/>
    <mergeCell ref="B6:D6"/>
    <mergeCell ref="E6:Q6"/>
    <mergeCell ref="B7:D7"/>
    <mergeCell ref="E7:Q7"/>
    <mergeCell ref="B8:D8"/>
    <mergeCell ref="E8:Q8"/>
    <mergeCell ref="B10:D10"/>
    <mergeCell ref="E10:I10"/>
    <mergeCell ref="L10:M10"/>
    <mergeCell ref="N10:Q10"/>
    <mergeCell ref="B11:D11"/>
    <mergeCell ref="E11:I11"/>
    <mergeCell ref="L11:M11"/>
    <mergeCell ref="N11:Q11"/>
    <mergeCell ref="B12:D12"/>
    <mergeCell ref="E12:I12"/>
    <mergeCell ref="L12:M12"/>
    <mergeCell ref="N12:Q12"/>
    <mergeCell ref="B13:D13"/>
    <mergeCell ref="E13:I13"/>
    <mergeCell ref="L13:M13"/>
    <mergeCell ref="N13:Q13"/>
    <mergeCell ref="B14:D14"/>
    <mergeCell ref="E14:I14"/>
    <mergeCell ref="L14:M14"/>
    <mergeCell ref="N14:Q14"/>
    <mergeCell ref="B15:D15"/>
    <mergeCell ref="E15:I15"/>
    <mergeCell ref="L15:M15"/>
    <mergeCell ref="N15:Q15"/>
    <mergeCell ref="L16:M16"/>
    <mergeCell ref="N16:Q16"/>
    <mergeCell ref="B45:Q45"/>
    <mergeCell ref="B61:Q61"/>
    <mergeCell ref="B62:D62"/>
    <mergeCell ref="E62:F62"/>
    <mergeCell ref="G62:Q62"/>
    <mergeCell ref="B63:Q63"/>
    <mergeCell ref="B64:D64"/>
    <mergeCell ref="E64:F64"/>
    <mergeCell ref="G64:Q64"/>
    <mergeCell ref="B65:D65"/>
    <mergeCell ref="E65:F65"/>
    <mergeCell ref="G65:Q65"/>
    <mergeCell ref="B66:D66"/>
    <mergeCell ref="E66:F66"/>
    <mergeCell ref="G66:Q66"/>
    <mergeCell ref="B67:D67"/>
    <mergeCell ref="E67:F67"/>
    <mergeCell ref="G67:Q67"/>
    <mergeCell ref="B68:D68"/>
    <mergeCell ref="E68:F68"/>
    <mergeCell ref="G68:Q68"/>
    <mergeCell ref="B69:Q69"/>
    <mergeCell ref="B70:D70"/>
    <mergeCell ref="E70:F70"/>
    <mergeCell ref="G70:Q70"/>
    <mergeCell ref="B71:D71"/>
    <mergeCell ref="E71:F71"/>
    <mergeCell ref="G71:Q71"/>
    <mergeCell ref="B72:D72"/>
    <mergeCell ref="E72:F72"/>
    <mergeCell ref="G72:Q72"/>
    <mergeCell ref="B73:D73"/>
    <mergeCell ref="E73:F73"/>
    <mergeCell ref="G73:Q73"/>
    <mergeCell ref="B74:D74"/>
    <mergeCell ref="E74:F74"/>
    <mergeCell ref="G74:Q74"/>
    <mergeCell ref="B75:D75"/>
    <mergeCell ref="E75:F75"/>
    <mergeCell ref="G75:Q75"/>
    <mergeCell ref="B76:D76"/>
    <mergeCell ref="E76:F76"/>
    <mergeCell ref="G76:Q76"/>
    <mergeCell ref="B77:Q77"/>
    <mergeCell ref="B78:D78"/>
    <mergeCell ref="E78:F78"/>
    <mergeCell ref="G78:Q78"/>
    <mergeCell ref="B79:D79"/>
    <mergeCell ref="E79:F79"/>
    <mergeCell ref="G79:Q79"/>
    <mergeCell ref="B80:D80"/>
    <mergeCell ref="E80:F80"/>
    <mergeCell ref="G80:Q80"/>
    <mergeCell ref="B81:D81"/>
    <mergeCell ref="E81:F81"/>
    <mergeCell ref="G81:Q81"/>
    <mergeCell ref="B82:D82"/>
    <mergeCell ref="E82:F82"/>
    <mergeCell ref="G82:Q82"/>
    <mergeCell ref="B83:D83"/>
    <mergeCell ref="E83:Q83"/>
  </mergeCells>
  <conditionalFormatting sqref="N19:N43">
    <cfRule type="expression" priority="2" aboveAverage="0" equalAverage="0" bottom="0" percent="0" rank="0" text="" dxfId="0">
      <formula>N19="Base"</formula>
    </cfRule>
    <cfRule type="expression" priority="3" aboveAverage="0" equalAverage="0" bottom="0" percent="0" rank="0" text="" dxfId="1">
      <formula>N19="Acompanhamento"</formula>
    </cfRule>
    <cfRule type="expression" priority="4" aboveAverage="0" equalAverage="0" bottom="0" percent="0" rank="0" text="" dxfId="2">
      <formula>N19="Excluído"</formula>
    </cfRule>
  </conditionalFormatting>
  <conditionalFormatting sqref="P19:P43">
    <cfRule type="expression" priority="5" aboveAverage="0" equalAverage="0" bottom="0" percent="0" rank="0" text="" dxfId="3">
      <formula>P19="Média fora dos limites"</formula>
    </cfRule>
    <cfRule type="expression" priority="6" aboveAverage="0" equalAverage="0" bottom="0" percent="0" rank="0" text="" dxfId="3">
      <formula>P19="Amplitude fora do limite"</formula>
    </cfRule>
    <cfRule type="expression" priority="7" aboveAverage="0" equalAverage="0" bottom="0" percent="0" rank="0" text="" dxfId="4">
      <formula>P19="7 do mesmo lado"</formula>
    </cfRule>
    <cfRule type="expression" priority="8" aboveAverage="0" equalAverage="0" bottom="0" percent="0" rank="0" text="" dxfId="4">
      <formula>P19="6 subindo ou descendo"</formula>
    </cfRule>
  </conditionalFormatting>
  <conditionalFormatting sqref="Q19:Q43">
    <cfRule type="expression" priority="9" aboveAverage="0" equalAverage="0" bottom="0" percent="0" rank="0" text="" dxfId="0">
      <formula>OR(Q19="OK")</formula>
    </cfRule>
    <cfRule type="expression" priority="10" aboveAverage="0" equalAverage="0" bottom="0" percent="0" rank="0" text="" dxfId="2">
      <formula>AND(LEN(Q19)&gt;0,NOT(OR(Q19="OK")))</formula>
    </cfRule>
  </conditionalFormatting>
  <conditionalFormatting sqref="E19:I43">
    <cfRule type="expression" priority="11" aboveAverage="0" equalAverage="0" bottom="0" percent="0" rank="0" text="" dxfId="3">
      <formula>AND(ISNUMBER(E19),$E$12&lt;&gt;"",$E$13&lt;&gt;"",OR(E19&lt;$E$12,E19&gt;$E$13))</formula>
    </cfRule>
  </conditionalFormatting>
  <conditionalFormatting sqref="E82">
    <cfRule type="expression" priority="12" aboveAverage="0" equalAverage="0" bottom="0" percent="0" rank="0" text="" dxfId="0">
      <formula>E82="Capaz"</formula>
    </cfRule>
    <cfRule type="expression" priority="13" aboveAverage="0" equalAverage="0" bottom="0" percent="0" rank="0" text="" dxfId="4">
      <formula>E82="No limite"</formula>
    </cfRule>
    <cfRule type="expression" priority="14" aboveAverage="0" equalAverage="0" bottom="0" percent="0" rank="0" text="" dxfId="3">
      <formula>E82="Não capaz"</formula>
    </cfRule>
    <cfRule type="expression" priority="15" aboveAverage="0" equalAverage="0" bottom="0" percent="0" rank="0" text="" dxfId="2">
      <formula>E82="Base com sinal: trate antes"</formula>
    </cfRule>
  </conditionalFormatting>
  <conditionalFormatting sqref="E83:Q83">
    <cfRule type="expression" priority="16" aboveAverage="0" equalAverage="0" bottom="0" percent="0" rank="0" text="" dxfId="0">
      <formula>OR(E83="OK")</formula>
    </cfRule>
    <cfRule type="expression" priority="17" aboveAverage="0" equalAverage="0" bottom="0" percent="0" rank="0" text="" dxfId="2">
      <formula>AND(LEN(E83)&gt;0,NOT(OR(E83="OK")))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0" man="true" max="16383" min="0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W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9" min="5" style="0" width="9"/>
    <col collapsed="false" customWidth="true" hidden="false" outlineLevel="0" max="10" min="10" style="0" width="10"/>
    <col collapsed="false" customWidth="true" hidden="false" outlineLevel="0" max="11" min="11" style="0" width="34"/>
    <col collapsed="false" customWidth="true" hidden="false" outlineLevel="0" max="13" min="12" style="0" width="11"/>
    <col collapsed="false" customWidth="true" hidden="false" outlineLevel="0" max="14" min="14" style="0" width="16"/>
    <col collapsed="false" customWidth="true" hidden="false" outlineLevel="0" max="15" min="15" style="0" width="10"/>
    <col collapsed="false" customWidth="true" hidden="false" outlineLevel="0" max="16" min="16" style="0" width="24"/>
    <col collapsed="false" customWidth="true" hidden="false" outlineLevel="0" max="17" min="17" style="0" width="18"/>
    <col collapsed="false" customWidth="true" hidden="false" outlineLevel="0" max="18" min="18" style="0" width="2"/>
    <col collapsed="false" customWidth="true" hidden="false" outlineLevel="0" max="23" min="19" style="0" width="10"/>
  </cols>
  <sheetData>
    <row r="1" customFormat="false" ht="31.5" hidden="false" customHeight="true" outlineLevel="0" collapsed="false">
      <c r="B1" s="1" t="s">
        <v>184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185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B4" s="4" t="s">
        <v>186</v>
      </c>
      <c r="C4" s="4"/>
      <c r="D4" s="4"/>
      <c r="E4" s="36" t="s">
        <v>223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customFormat="false" ht="19.5" hidden="false" customHeight="true" outlineLevel="0" collapsed="false">
      <c r="B5" s="4" t="s">
        <v>188</v>
      </c>
      <c r="C5" s="4"/>
      <c r="D5" s="4"/>
      <c r="E5" s="36" t="s">
        <v>224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6" customFormat="false" ht="19.5" hidden="false" customHeight="true" outlineLevel="0" collapsed="false">
      <c r="B6" s="4" t="s">
        <v>190</v>
      </c>
      <c r="C6" s="4"/>
      <c r="D6" s="4"/>
      <c r="E6" s="36" t="s">
        <v>225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</row>
    <row r="7" customFormat="false" ht="19.5" hidden="false" customHeight="true" outlineLevel="0" collapsed="false">
      <c r="B7" s="4" t="s">
        <v>192</v>
      </c>
      <c r="C7" s="4"/>
      <c r="D7" s="4"/>
      <c r="E7" s="36" t="s">
        <v>226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8" customFormat="false" ht="19.5" hidden="false" customHeight="true" outlineLevel="0" collapsed="false">
      <c r="B8" s="4" t="s">
        <v>194</v>
      </c>
      <c r="C8" s="4"/>
      <c r="D8" s="4"/>
      <c r="E8" s="36" t="s">
        <v>227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10" customFormat="false" ht="19.5" hidden="false" customHeight="true" outlineLevel="0" collapsed="false">
      <c r="B10" s="4" t="s">
        <v>58</v>
      </c>
      <c r="C10" s="4"/>
      <c r="D10" s="4"/>
      <c r="E10" s="36" t="s">
        <v>228</v>
      </c>
      <c r="F10" s="36"/>
      <c r="G10" s="36"/>
      <c r="H10" s="36"/>
      <c r="I10" s="36"/>
      <c r="K10" s="4" t="s">
        <v>59</v>
      </c>
      <c r="L10" s="8" t="n">
        <f aca="false">COUNTIF($N$19:$N$43,"Base")</f>
        <v>13</v>
      </c>
      <c r="M10" s="8"/>
      <c r="N10" s="9" t="s">
        <v>60</v>
      </c>
      <c r="O10" s="9"/>
      <c r="P10" s="9"/>
      <c r="Q10" s="9"/>
    </row>
    <row r="11" customFormat="false" ht="19.5" hidden="false" customHeight="true" outlineLevel="0" collapsed="false">
      <c r="B11" s="4" t="s">
        <v>61</v>
      </c>
      <c r="C11" s="4"/>
      <c r="D11" s="4"/>
      <c r="E11" s="36" t="s">
        <v>229</v>
      </c>
      <c r="F11" s="36"/>
      <c r="G11" s="36"/>
      <c r="H11" s="36"/>
      <c r="I11" s="36"/>
      <c r="K11" s="4" t="s">
        <v>62</v>
      </c>
      <c r="L11" s="10" t="n">
        <f aca="false">IF($L$10=0,"",AVERAGEIF($N$19:$N$43,"Base",$L$19:$L$43))</f>
        <v>39.9707692307692</v>
      </c>
      <c r="M11" s="10"/>
      <c r="N11" s="9" t="s">
        <v>63</v>
      </c>
      <c r="O11" s="9"/>
      <c r="P11" s="9"/>
      <c r="Q11" s="9"/>
    </row>
    <row r="12" customFormat="false" ht="19.5" hidden="false" customHeight="true" outlineLevel="0" collapsed="false">
      <c r="B12" s="4" t="s">
        <v>64</v>
      </c>
      <c r="C12" s="4"/>
      <c r="D12" s="4"/>
      <c r="E12" s="43" t="n">
        <v>38</v>
      </c>
      <c r="F12" s="43"/>
      <c r="G12" s="43"/>
      <c r="H12" s="43"/>
      <c r="I12" s="43"/>
      <c r="K12" s="4" t="s">
        <v>65</v>
      </c>
      <c r="L12" s="10" t="n">
        <f aca="false">IF($L$11="","",$L$11+0.577*$L$14)</f>
        <v>40.3391615384615</v>
      </c>
      <c r="M12" s="10"/>
      <c r="N12" s="9" t="s">
        <v>66</v>
      </c>
      <c r="O12" s="9"/>
      <c r="P12" s="9"/>
      <c r="Q12" s="9"/>
    </row>
    <row r="13" customFormat="false" ht="19.5" hidden="false" customHeight="true" outlineLevel="0" collapsed="false">
      <c r="B13" s="4" t="s">
        <v>67</v>
      </c>
      <c r="C13" s="4"/>
      <c r="D13" s="4"/>
      <c r="E13" s="43" t="n">
        <v>42</v>
      </c>
      <c r="F13" s="43"/>
      <c r="G13" s="43"/>
      <c r="H13" s="43"/>
      <c r="I13" s="43"/>
      <c r="K13" s="4" t="s">
        <v>68</v>
      </c>
      <c r="L13" s="10" t="n">
        <f aca="false">IF($L$11="","",$L$11-0.577*$L$14)</f>
        <v>39.6023769230769</v>
      </c>
      <c r="M13" s="10"/>
      <c r="N13" s="9" t="s">
        <v>69</v>
      </c>
      <c r="O13" s="9"/>
      <c r="P13" s="9"/>
      <c r="Q13" s="9"/>
    </row>
    <row r="14" customFormat="false" ht="19.5" hidden="false" customHeight="true" outlineLevel="0" collapsed="false">
      <c r="B14" s="4" t="s">
        <v>70</v>
      </c>
      <c r="C14" s="4"/>
      <c r="D14" s="4"/>
      <c r="E14" s="37" t="n">
        <v>14</v>
      </c>
      <c r="F14" s="37"/>
      <c r="G14" s="37"/>
      <c r="H14" s="37"/>
      <c r="I14" s="37"/>
      <c r="K14" s="4" t="s">
        <v>71</v>
      </c>
      <c r="L14" s="10" t="n">
        <f aca="false">IF($L$10=0,"",AVERAGEIF($N$19:$N$43,"Base",$M$19:$M$43))</f>
        <v>0.638461538461538</v>
      </c>
      <c r="M14" s="10"/>
      <c r="N14" s="9" t="s">
        <v>72</v>
      </c>
      <c r="O14" s="9"/>
      <c r="P14" s="9"/>
      <c r="Q14" s="9"/>
    </row>
    <row r="15" customFormat="false" ht="15" hidden="false" customHeight="true" outlineLevel="0" collapsed="false">
      <c r="B15" s="4" t="s">
        <v>73</v>
      </c>
      <c r="C15" s="4"/>
      <c r="D15" s="4"/>
      <c r="E15" s="13" t="n">
        <v>5</v>
      </c>
      <c r="F15" s="13"/>
      <c r="G15" s="13"/>
      <c r="H15" s="13"/>
      <c r="I15" s="13"/>
      <c r="K15" s="4" t="s">
        <v>74</v>
      </c>
      <c r="L15" s="10" t="n">
        <f aca="false">IF($L$14="","",2.114*$L$14)</f>
        <v>1.34970769230769</v>
      </c>
      <c r="M15" s="10"/>
      <c r="N15" s="9" t="s">
        <v>75</v>
      </c>
      <c r="O15" s="9"/>
      <c r="P15" s="9"/>
      <c r="Q15" s="9"/>
    </row>
    <row r="16" customFormat="false" ht="15" hidden="false" customHeight="true" outlineLevel="0" collapsed="false">
      <c r="K16" s="4" t="s">
        <v>76</v>
      </c>
      <c r="L16" s="14" t="n">
        <f aca="false">IF($L$14="","",$L$14/2.326)</f>
        <v>0.27448905350883</v>
      </c>
      <c r="M16" s="14"/>
      <c r="N16" s="9" t="s">
        <v>77</v>
      </c>
      <c r="O16" s="9"/>
      <c r="P16" s="9"/>
      <c r="Q16" s="9"/>
    </row>
    <row r="18" customFormat="false" ht="33" hidden="false" customHeight="true" outlineLevel="0" collapsed="false">
      <c r="B18" s="15" t="s">
        <v>78</v>
      </c>
      <c r="C18" s="15" t="s">
        <v>79</v>
      </c>
      <c r="D18" s="15" t="s">
        <v>80</v>
      </c>
      <c r="E18" s="15" t="s">
        <v>81</v>
      </c>
      <c r="F18" s="15" t="s">
        <v>82</v>
      </c>
      <c r="G18" s="15" t="s">
        <v>83</v>
      </c>
      <c r="H18" s="15" t="s">
        <v>84</v>
      </c>
      <c r="I18" s="15" t="s">
        <v>85</v>
      </c>
      <c r="J18" s="15" t="s">
        <v>86</v>
      </c>
      <c r="K18" s="15" t="s">
        <v>87</v>
      </c>
      <c r="L18" s="15" t="s">
        <v>88</v>
      </c>
      <c r="M18" s="15" t="s">
        <v>89</v>
      </c>
      <c r="N18" s="15" t="s">
        <v>14</v>
      </c>
      <c r="O18" s="15" t="s">
        <v>90</v>
      </c>
      <c r="P18" s="15" t="s">
        <v>91</v>
      </c>
      <c r="Q18" s="15" t="s">
        <v>92</v>
      </c>
      <c r="S18" s="15" t="s">
        <v>98</v>
      </c>
      <c r="T18" s="15" t="s">
        <v>99</v>
      </c>
      <c r="U18" s="15" t="s">
        <v>100</v>
      </c>
      <c r="V18" s="15" t="s">
        <v>101</v>
      </c>
      <c r="W18" s="15" t="s">
        <v>102</v>
      </c>
    </row>
    <row r="19" customFormat="false" ht="19.5" hidden="false" customHeight="true" outlineLevel="0" collapsed="false">
      <c r="B19" s="16" t="n">
        <v>1</v>
      </c>
      <c r="C19" s="38" t="n">
        <v>46572</v>
      </c>
      <c r="D19" s="7" t="s">
        <v>230</v>
      </c>
      <c r="E19" s="44" t="n">
        <v>39.7</v>
      </c>
      <c r="F19" s="44" t="n">
        <v>39.9</v>
      </c>
      <c r="G19" s="44" t="n">
        <v>39.8</v>
      </c>
      <c r="H19" s="44" t="n">
        <v>39.9</v>
      </c>
      <c r="I19" s="44" t="n">
        <v>40.2</v>
      </c>
      <c r="J19" s="40"/>
      <c r="K19" s="41"/>
      <c r="L19" s="18" t="n">
        <f aca="false">IF(COUNT(E19:I19)=5,AVERAGE(E19:I19),"")</f>
        <v>39.9</v>
      </c>
      <c r="M19" s="19" t="n">
        <f aca="false">IF(COUNT(E19:I19)=5,MAX(E19:I19)-MIN(E19:I19),"")</f>
        <v>0.5</v>
      </c>
      <c r="N19" s="20" t="str">
        <f aca="false">IF(L19="","",IF(J19="Sim","Excluído",IF(OR($E$14="",B19&lt;=$E$14),"Base","Acompanhamento")))</f>
        <v>Base</v>
      </c>
      <c r="O19" s="21" t="n">
        <f aca="false">IF(OR(COUNT(E19:I19)=0,$E$12="",$E$13=""),"",COUNTIF(E19:I19,"&lt;"&amp;$E$12)+COUNTIF(E19:I19,"&gt;"&amp;$E$13))</f>
        <v>0</v>
      </c>
      <c r="P19" s="22" t="str">
        <f aca="false">IF(OR(L19="",$L$11=""),"",IF(OR(L19&gt;$L$12,L19&lt;$L$13),"Média fora dos limites",IF(M19&gt;$L$15,"Amplitude fora do limite",IF(FALSE(),"7 do mesmo lado",IF(FALSE(),"6 subindo ou descendo","")))))</f>
        <v/>
      </c>
      <c r="Q19" s="22" t="str">
        <f aca="false">IF(COUNT(E19:I19)+LEN(C19)+LEN(D19)+LEN(J19)=0,"",IF(AND(COUNT(E19:I19)&gt;0,COUNT(E19:I19)&lt;5),"Faltam medições",IF(AND(COUNT(E19:I19)&gt;0,C19=""),"Falta a data",IF(AND(J19="Sim",K19=""),"Falta o motivo",IF(COUNT(E19:I19)=0,"Faltam medições","OK")))))</f>
        <v>OK</v>
      </c>
      <c r="S19" s="27" t="n">
        <f aca="false">$L$12</f>
        <v>40.3391615384615</v>
      </c>
      <c r="T19" s="27" t="n">
        <f aca="false">$L$11</f>
        <v>39.9707692307692</v>
      </c>
      <c r="U19" s="27" t="n">
        <f aca="false">$L$13</f>
        <v>39.6023769230769</v>
      </c>
      <c r="V19" s="27" t="n">
        <f aca="false">$L$15</f>
        <v>1.34970769230769</v>
      </c>
      <c r="W19" s="27" t="n">
        <f aca="false">$L$14</f>
        <v>0.638461538461538</v>
      </c>
    </row>
    <row r="20" customFormat="false" ht="19.5" hidden="false" customHeight="true" outlineLevel="0" collapsed="false">
      <c r="B20" s="16" t="n">
        <v>2</v>
      </c>
      <c r="C20" s="38" t="n">
        <v>46572</v>
      </c>
      <c r="D20" s="7" t="s">
        <v>231</v>
      </c>
      <c r="E20" s="44" t="n">
        <v>39.5</v>
      </c>
      <c r="F20" s="44" t="n">
        <v>39.9</v>
      </c>
      <c r="G20" s="44" t="n">
        <v>39.9</v>
      </c>
      <c r="H20" s="44" t="n">
        <v>39.7</v>
      </c>
      <c r="I20" s="44" t="n">
        <v>40</v>
      </c>
      <c r="J20" s="40"/>
      <c r="K20" s="41"/>
      <c r="L20" s="18" t="n">
        <f aca="false">IF(COUNT(E20:I20)=5,AVERAGE(E20:I20),"")</f>
        <v>39.8</v>
      </c>
      <c r="M20" s="19" t="n">
        <f aca="false">IF(COUNT(E20:I20)=5,MAX(E20:I20)-MIN(E20:I20),"")</f>
        <v>0.5</v>
      </c>
      <c r="N20" s="20" t="str">
        <f aca="false">IF(L20="","",IF(J20="Sim","Excluído",IF(OR($E$14="",B20&lt;=$E$14),"Base","Acompanhamento")))</f>
        <v>Base</v>
      </c>
      <c r="O20" s="21" t="n">
        <f aca="false">IF(OR(COUNT(E20:I20)=0,$E$12="",$E$13=""),"",COUNTIF(E20:I20,"&lt;"&amp;$E$12)+COUNTIF(E20:I20,"&gt;"&amp;$E$13))</f>
        <v>0</v>
      </c>
      <c r="P20" s="22" t="str">
        <f aca="false">IF(OR(L20="",$L$11=""),"",IF(OR(L20&gt;$L$12,L20&lt;$L$13),"Média fora dos limites",IF(M20&gt;$L$15,"Amplitude fora do limite",IF(FALSE(),"7 do mesmo lado",IF(FALSE(),"6 subindo ou descendo","")))))</f>
        <v/>
      </c>
      <c r="Q20" s="22" t="str">
        <f aca="false">IF(COUNT(E20:I20)+LEN(C20)+LEN(D20)+LEN(J20)=0,"",IF(AND(COUNT(E20:I20)&gt;0,COUNT(E20:I20)&lt;5),"Faltam medições",IF(AND(COUNT(E20:I20)&gt;0,C20=""),"Falta a data",IF(AND(J20="Sim",K20=""),"Falta o motivo",IF(COUNT(E20:I20)=0,"Faltam medições","OK")))))</f>
        <v>OK</v>
      </c>
      <c r="S20" s="27" t="n">
        <f aca="false">$L$12</f>
        <v>40.3391615384615</v>
      </c>
      <c r="T20" s="27" t="n">
        <f aca="false">$L$11</f>
        <v>39.9707692307692</v>
      </c>
      <c r="U20" s="27" t="n">
        <f aca="false">$L$13</f>
        <v>39.6023769230769</v>
      </c>
      <c r="V20" s="27" t="n">
        <f aca="false">$L$15</f>
        <v>1.34970769230769</v>
      </c>
      <c r="W20" s="27" t="n">
        <f aca="false">$L$14</f>
        <v>0.638461538461538</v>
      </c>
    </row>
    <row r="21" customFormat="false" ht="19.5" hidden="false" customHeight="true" outlineLevel="0" collapsed="false">
      <c r="B21" s="16" t="n">
        <v>3</v>
      </c>
      <c r="C21" s="38" t="n">
        <v>46573</v>
      </c>
      <c r="D21" s="7" t="s">
        <v>230</v>
      </c>
      <c r="E21" s="44" t="n">
        <v>40</v>
      </c>
      <c r="F21" s="44" t="n">
        <v>40.7</v>
      </c>
      <c r="G21" s="44" t="n">
        <v>40.1</v>
      </c>
      <c r="H21" s="44" t="n">
        <v>40</v>
      </c>
      <c r="I21" s="44" t="n">
        <v>40.3</v>
      </c>
      <c r="J21" s="40"/>
      <c r="K21" s="41"/>
      <c r="L21" s="18" t="n">
        <f aca="false">IF(COUNT(E21:I21)=5,AVERAGE(E21:I21),"")</f>
        <v>40.22</v>
      </c>
      <c r="M21" s="19" t="n">
        <f aca="false">IF(COUNT(E21:I21)=5,MAX(E21:I21)-MIN(E21:I21),"")</f>
        <v>0.700000000000003</v>
      </c>
      <c r="N21" s="20" t="str">
        <f aca="false">IF(L21="","",IF(J21="Sim","Excluído",IF(OR($E$14="",B21&lt;=$E$14),"Base","Acompanhamento")))</f>
        <v>Base</v>
      </c>
      <c r="O21" s="21" t="n">
        <f aca="false">IF(OR(COUNT(E21:I21)=0,$E$12="",$E$13=""),"",COUNTIF(E21:I21,"&lt;"&amp;$E$12)+COUNTIF(E21:I21,"&gt;"&amp;$E$13))</f>
        <v>0</v>
      </c>
      <c r="P21" s="22" t="str">
        <f aca="false">IF(OR(L21="",$L$11=""),"",IF(OR(L21&gt;$L$12,L21&lt;$L$13),"Média fora dos limites",IF(M21&gt;$L$15,"Amplitude fora do limite",IF(FALSE(),"7 do mesmo lado",IF(FALSE(),"6 subindo ou descendo","")))))</f>
        <v/>
      </c>
      <c r="Q21" s="22" t="str">
        <f aca="false">IF(COUNT(E21:I21)+LEN(C21)+LEN(D21)+LEN(J21)=0,"",IF(AND(COUNT(E21:I21)&gt;0,COUNT(E21:I21)&lt;5),"Faltam medições",IF(AND(COUNT(E21:I21)&gt;0,C21=""),"Falta a data",IF(AND(J21="Sim",K21=""),"Falta o motivo",IF(COUNT(E21:I21)=0,"Faltam medições","OK")))))</f>
        <v>OK</v>
      </c>
      <c r="S21" s="27" t="n">
        <f aca="false">$L$12</f>
        <v>40.3391615384615</v>
      </c>
      <c r="T21" s="27" t="n">
        <f aca="false">$L$11</f>
        <v>39.9707692307692</v>
      </c>
      <c r="U21" s="27" t="n">
        <f aca="false">$L$13</f>
        <v>39.6023769230769</v>
      </c>
      <c r="V21" s="27" t="n">
        <f aca="false">$L$15</f>
        <v>1.34970769230769</v>
      </c>
      <c r="W21" s="27" t="n">
        <f aca="false">$L$14</f>
        <v>0.638461538461538</v>
      </c>
    </row>
    <row r="22" customFormat="false" ht="19.5" hidden="false" customHeight="true" outlineLevel="0" collapsed="false">
      <c r="B22" s="16" t="n">
        <v>4</v>
      </c>
      <c r="C22" s="38" t="n">
        <v>46573</v>
      </c>
      <c r="D22" s="7" t="s">
        <v>231</v>
      </c>
      <c r="E22" s="44" t="n">
        <v>39.7</v>
      </c>
      <c r="F22" s="44" t="n">
        <v>39.8</v>
      </c>
      <c r="G22" s="44" t="n">
        <v>40.2</v>
      </c>
      <c r="H22" s="44" t="n">
        <v>39.8</v>
      </c>
      <c r="I22" s="44" t="n">
        <v>39.7</v>
      </c>
      <c r="J22" s="40"/>
      <c r="K22" s="41"/>
      <c r="L22" s="18" t="n">
        <f aca="false">IF(COUNT(E22:I22)=5,AVERAGE(E22:I22),"")</f>
        <v>39.84</v>
      </c>
      <c r="M22" s="19" t="n">
        <f aca="false">IF(COUNT(E22:I22)=5,MAX(E22:I22)-MIN(E22:I22),"")</f>
        <v>0.5</v>
      </c>
      <c r="N22" s="20" t="str">
        <f aca="false">IF(L22="","",IF(J22="Sim","Excluído",IF(OR($E$14="",B22&lt;=$E$14),"Base","Acompanhamento")))</f>
        <v>Base</v>
      </c>
      <c r="O22" s="21" t="n">
        <f aca="false">IF(OR(COUNT(E22:I22)=0,$E$12="",$E$13=""),"",COUNTIF(E22:I22,"&lt;"&amp;$E$12)+COUNTIF(E22:I22,"&gt;"&amp;$E$13))</f>
        <v>0</v>
      </c>
      <c r="P22" s="22" t="str">
        <f aca="false">IF(OR(L22="",$L$11=""),"",IF(OR(L22&gt;$L$12,L22&lt;$L$13),"Média fora dos limites",IF(M22&gt;$L$15,"Amplitude fora do limite",IF(FALSE(),"7 do mesmo lado",IF(FALSE(),"6 subindo ou descendo","")))))</f>
        <v/>
      </c>
      <c r="Q22" s="22" t="str">
        <f aca="false">IF(COUNT(E22:I22)+LEN(C22)+LEN(D22)+LEN(J22)=0,"",IF(AND(COUNT(E22:I22)&gt;0,COUNT(E22:I22)&lt;5),"Faltam medições",IF(AND(COUNT(E22:I22)&gt;0,C22=""),"Falta a data",IF(AND(J22="Sim",K22=""),"Falta o motivo",IF(COUNT(E22:I22)=0,"Faltam medições","OK")))))</f>
        <v>OK</v>
      </c>
      <c r="S22" s="27" t="n">
        <f aca="false">$L$12</f>
        <v>40.3391615384615</v>
      </c>
      <c r="T22" s="27" t="n">
        <f aca="false">$L$11</f>
        <v>39.9707692307692</v>
      </c>
      <c r="U22" s="27" t="n">
        <f aca="false">$L$13</f>
        <v>39.6023769230769</v>
      </c>
      <c r="V22" s="27" t="n">
        <f aca="false">$L$15</f>
        <v>1.34970769230769</v>
      </c>
      <c r="W22" s="27" t="n">
        <f aca="false">$L$14</f>
        <v>0.638461538461538</v>
      </c>
    </row>
    <row r="23" customFormat="false" ht="19.5" hidden="false" customHeight="true" outlineLevel="0" collapsed="false">
      <c r="B23" s="16" t="n">
        <v>5</v>
      </c>
      <c r="C23" s="38" t="n">
        <v>46574</v>
      </c>
      <c r="D23" s="7" t="s">
        <v>230</v>
      </c>
      <c r="E23" s="44" t="n">
        <v>39.8</v>
      </c>
      <c r="F23" s="44" t="n">
        <v>39.6</v>
      </c>
      <c r="G23" s="44" t="n">
        <v>40.3</v>
      </c>
      <c r="H23" s="44" t="n">
        <v>40.4</v>
      </c>
      <c r="I23" s="44" t="n">
        <v>40.8</v>
      </c>
      <c r="J23" s="40"/>
      <c r="K23" s="41"/>
      <c r="L23" s="18" t="n">
        <f aca="false">IF(COUNT(E23:I23)=5,AVERAGE(E23:I23),"")</f>
        <v>40.18</v>
      </c>
      <c r="M23" s="19" t="n">
        <f aca="false">IF(COUNT(E23:I23)=5,MAX(E23:I23)-MIN(E23:I23),"")</f>
        <v>1.2</v>
      </c>
      <c r="N23" s="20" t="str">
        <f aca="false">IF(L23="","",IF(J23="Sim","Excluído",IF(OR($E$14="",B23&lt;=$E$14),"Base","Acompanhamento")))</f>
        <v>Base</v>
      </c>
      <c r="O23" s="21" t="n">
        <f aca="false">IF(OR(COUNT(E23:I23)=0,$E$12="",$E$13=""),"",COUNTIF(E23:I23,"&lt;"&amp;$E$12)+COUNTIF(E23:I23,"&gt;"&amp;$E$13))</f>
        <v>0</v>
      </c>
      <c r="P23" s="22" t="str">
        <f aca="false">IF(OR(L23="",$L$11=""),"",IF(OR(L23&gt;$L$12,L23&lt;$L$13),"Média fora dos limites",IF(M23&gt;$L$15,"Amplitude fora do limite",IF(FALSE(),"7 do mesmo lado",IF(FALSE(),"6 subindo ou descendo","")))))</f>
        <v/>
      </c>
      <c r="Q23" s="22" t="str">
        <f aca="false">IF(COUNT(E23:I23)+LEN(C23)+LEN(D23)+LEN(J23)=0,"",IF(AND(COUNT(E23:I23)&gt;0,COUNT(E23:I23)&lt;5),"Faltam medições",IF(AND(COUNT(E23:I23)&gt;0,C23=""),"Falta a data",IF(AND(J23="Sim",K23=""),"Falta o motivo",IF(COUNT(E23:I23)=0,"Faltam medições","OK")))))</f>
        <v>OK</v>
      </c>
      <c r="S23" s="27" t="n">
        <f aca="false">$L$12</f>
        <v>40.3391615384615</v>
      </c>
      <c r="T23" s="27" t="n">
        <f aca="false">$L$11</f>
        <v>39.9707692307692</v>
      </c>
      <c r="U23" s="27" t="n">
        <f aca="false">$L$13</f>
        <v>39.6023769230769</v>
      </c>
      <c r="V23" s="27" t="n">
        <f aca="false">$L$15</f>
        <v>1.34970769230769</v>
      </c>
      <c r="W23" s="27" t="n">
        <f aca="false">$L$14</f>
        <v>0.638461538461538</v>
      </c>
    </row>
    <row r="24" customFormat="false" ht="31.5" hidden="false" customHeight="true" outlineLevel="0" collapsed="false">
      <c r="B24" s="16" t="n">
        <v>6</v>
      </c>
      <c r="C24" s="38" t="n">
        <v>46574</v>
      </c>
      <c r="D24" s="7" t="s">
        <v>231</v>
      </c>
      <c r="E24" s="44" t="n">
        <v>40.7</v>
      </c>
      <c r="F24" s="44" t="n">
        <v>41.3</v>
      </c>
      <c r="G24" s="44" t="n">
        <v>40.7</v>
      </c>
      <c r="H24" s="44" t="n">
        <v>41.5</v>
      </c>
      <c r="I24" s="44" t="n">
        <v>40.1</v>
      </c>
      <c r="J24" s="40" t="s">
        <v>232</v>
      </c>
      <c r="K24" s="41" t="s">
        <v>233</v>
      </c>
      <c r="L24" s="18" t="n">
        <f aca="false">IF(COUNT(E24:I24)=5,AVERAGE(E24:I24),"")</f>
        <v>40.86</v>
      </c>
      <c r="M24" s="19" t="n">
        <f aca="false">IF(COUNT(E24:I24)=5,MAX(E24:I24)-MIN(E24:I24),"")</f>
        <v>1.4</v>
      </c>
      <c r="N24" s="20" t="str">
        <f aca="false">IF(L24="","",IF(J24="Sim","Excluído",IF(OR($E$14="",B24&lt;=$E$14),"Base","Acompanhamento")))</f>
        <v>Excluído</v>
      </c>
      <c r="O24" s="21" t="n">
        <f aca="false">IF(OR(COUNT(E24:I24)=0,$E$12="",$E$13=""),"",COUNTIF(E24:I24,"&lt;"&amp;$E$12)+COUNTIF(E24:I24,"&gt;"&amp;$E$13))</f>
        <v>0</v>
      </c>
      <c r="P24" s="22" t="str">
        <f aca="false">IF(OR(L24="",$L$11=""),"",IF(OR(L24&gt;$L$12,L24&lt;$L$13),"Média fora dos limites",IF(M24&gt;$L$15,"Amplitude fora do limite",IF(FALSE(),"7 do mesmo lado",IF(AND(COUNT(L19:L24)=6,OR(AND(L24&gt;L23,L23&gt;L22,L22&gt;L21,L21&gt;L20,L20&gt;L19),AND(L24&lt;L23,L23&lt;L22,L22&lt;L21,L21&lt;L20,L20&lt;L19))),"6 subindo ou descendo","")))))</f>
        <v>Média fora dos limites</v>
      </c>
      <c r="Q24" s="22" t="str">
        <f aca="false">IF(COUNT(E24:I24)+LEN(C24)+LEN(D24)+LEN(J24)=0,"",IF(AND(COUNT(E24:I24)&gt;0,COUNT(E24:I24)&lt;5),"Faltam medições",IF(AND(COUNT(E24:I24)&gt;0,C24=""),"Falta a data",IF(AND(J24="Sim",K24=""),"Falta o motivo",IF(COUNT(E24:I24)=0,"Faltam medições","OK")))))</f>
        <v>OK</v>
      </c>
      <c r="S24" s="27" t="n">
        <f aca="false">$L$12</f>
        <v>40.3391615384615</v>
      </c>
      <c r="T24" s="27" t="n">
        <f aca="false">$L$11</f>
        <v>39.9707692307692</v>
      </c>
      <c r="U24" s="27" t="n">
        <f aca="false">$L$13</f>
        <v>39.6023769230769</v>
      </c>
      <c r="V24" s="27" t="n">
        <f aca="false">$L$15</f>
        <v>1.34970769230769</v>
      </c>
      <c r="W24" s="27" t="n">
        <f aca="false">$L$14</f>
        <v>0.638461538461538</v>
      </c>
    </row>
    <row r="25" customFormat="false" ht="19.5" hidden="false" customHeight="true" outlineLevel="0" collapsed="false">
      <c r="B25" s="16" t="n">
        <v>7</v>
      </c>
      <c r="C25" s="38" t="n">
        <v>46575</v>
      </c>
      <c r="D25" s="7" t="s">
        <v>230</v>
      </c>
      <c r="E25" s="44" t="n">
        <v>40.2</v>
      </c>
      <c r="F25" s="44" t="n">
        <v>39.9</v>
      </c>
      <c r="G25" s="44" t="n">
        <v>39.6</v>
      </c>
      <c r="H25" s="44" t="n">
        <v>40.5</v>
      </c>
      <c r="I25" s="44" t="n">
        <v>39.9</v>
      </c>
      <c r="J25" s="40"/>
      <c r="K25" s="41"/>
      <c r="L25" s="18" t="n">
        <f aca="false">IF(COUNT(E25:I25)=5,AVERAGE(E25:I25),"")</f>
        <v>40.02</v>
      </c>
      <c r="M25" s="19" t="n">
        <f aca="false">IF(COUNT(E25:I25)=5,MAX(E25:I25)-MIN(E25:I25),"")</f>
        <v>0.899999999999999</v>
      </c>
      <c r="N25" s="20" t="str">
        <f aca="false">IF(L25="","",IF(J25="Sim","Excluído",IF(OR($E$14="",B25&lt;=$E$14),"Base","Acompanhamento")))</f>
        <v>Base</v>
      </c>
      <c r="O25" s="21" t="n">
        <f aca="false">IF(OR(COUNT(E25:I25)=0,$E$12="",$E$13=""),"",COUNTIF(E25:I25,"&lt;"&amp;$E$12)+COUNTIF(E25:I25,"&gt;"&amp;$E$13))</f>
        <v>0</v>
      </c>
      <c r="P25" s="22" t="str">
        <f aca="false">IF(OR(L25="",$L$11=""),"",IF(OR(L25&gt;$L$12,L25&lt;$L$13),"Média fora dos limites",IF(M25&gt;$L$15,"Amplitude fora do limite",IF(OR(COUNTIF(L19:L25,"&gt;"&amp;$L$11)=7,COUNTIF(L19:L25,"&lt;"&amp;$L$11)=7),"7 do mesmo lado",IF(AND(COUNT(L20:L25)=6,OR(AND(L25&gt;L24,L24&gt;L23,L23&gt;L22,L22&gt;L21,L21&gt;L20),AND(L25&lt;L24,L24&lt;L23,L23&lt;L22,L22&lt;L21,L21&lt;L20))),"6 subindo ou descendo","")))))</f>
        <v/>
      </c>
      <c r="Q25" s="22" t="str">
        <f aca="false">IF(COUNT(E25:I25)+LEN(C25)+LEN(D25)+LEN(J25)=0,"",IF(AND(COUNT(E25:I25)&gt;0,COUNT(E25:I25)&lt;5),"Faltam medições",IF(AND(COUNT(E25:I25)&gt;0,C25=""),"Falta a data",IF(AND(J25="Sim",K25=""),"Falta o motivo",IF(COUNT(E25:I25)=0,"Faltam medições","OK")))))</f>
        <v>OK</v>
      </c>
      <c r="S25" s="27" t="n">
        <f aca="false">$L$12</f>
        <v>40.3391615384615</v>
      </c>
      <c r="T25" s="27" t="n">
        <f aca="false">$L$11</f>
        <v>39.9707692307692</v>
      </c>
      <c r="U25" s="27" t="n">
        <f aca="false">$L$13</f>
        <v>39.6023769230769</v>
      </c>
      <c r="V25" s="27" t="n">
        <f aca="false">$L$15</f>
        <v>1.34970769230769</v>
      </c>
      <c r="W25" s="27" t="n">
        <f aca="false">$L$14</f>
        <v>0.638461538461538</v>
      </c>
    </row>
    <row r="26" customFormat="false" ht="19.5" hidden="false" customHeight="true" outlineLevel="0" collapsed="false">
      <c r="B26" s="16" t="n">
        <v>8</v>
      </c>
      <c r="C26" s="38" t="n">
        <v>46575</v>
      </c>
      <c r="D26" s="7" t="s">
        <v>231</v>
      </c>
      <c r="E26" s="44" t="n">
        <v>40.3</v>
      </c>
      <c r="F26" s="44" t="n">
        <v>39.9</v>
      </c>
      <c r="G26" s="44" t="n">
        <v>40</v>
      </c>
      <c r="H26" s="44" t="n">
        <v>39.5</v>
      </c>
      <c r="I26" s="44" t="n">
        <v>39.7</v>
      </c>
      <c r="J26" s="40"/>
      <c r="K26" s="41"/>
      <c r="L26" s="18" t="n">
        <f aca="false">IF(COUNT(E26:I26)=5,AVERAGE(E26:I26),"")</f>
        <v>39.88</v>
      </c>
      <c r="M26" s="19" t="n">
        <f aca="false">IF(COUNT(E26:I26)=5,MAX(E26:I26)-MIN(E26:I26),"")</f>
        <v>0.799999999999997</v>
      </c>
      <c r="N26" s="20" t="str">
        <f aca="false">IF(L26="","",IF(J26="Sim","Excluído",IF(OR($E$14="",B26&lt;=$E$14),"Base","Acompanhamento")))</f>
        <v>Base</v>
      </c>
      <c r="O26" s="21" t="n">
        <f aca="false">IF(OR(COUNT(E26:I26)=0,$E$12="",$E$13=""),"",COUNTIF(E26:I26,"&lt;"&amp;$E$12)+COUNTIF(E26:I26,"&gt;"&amp;$E$13))</f>
        <v>0</v>
      </c>
      <c r="P26" s="22" t="str">
        <f aca="false">IF(OR(L26="",$L$11=""),"",IF(OR(L26&gt;$L$12,L26&lt;$L$13),"Média fora dos limites",IF(M26&gt;$L$15,"Amplitude fora do limite",IF(OR(COUNTIF(L20:L26,"&gt;"&amp;$L$11)=7,COUNTIF(L20:L26,"&lt;"&amp;$L$11)=7),"7 do mesmo lado",IF(AND(COUNT(L21:L26)=6,OR(AND(L26&gt;L25,L25&gt;L24,L24&gt;L23,L23&gt;L22,L22&gt;L21),AND(L26&lt;L25,L25&lt;L24,L24&lt;L23,L23&lt;L22,L22&lt;L21))),"6 subindo ou descendo","")))))</f>
        <v/>
      </c>
      <c r="Q26" s="22" t="str">
        <f aca="false">IF(COUNT(E26:I26)+LEN(C26)+LEN(D26)+LEN(J26)=0,"",IF(AND(COUNT(E26:I26)&gt;0,COUNT(E26:I26)&lt;5),"Faltam medições",IF(AND(COUNT(E26:I26)&gt;0,C26=""),"Falta a data",IF(AND(J26="Sim",K26=""),"Falta o motivo",IF(COUNT(E26:I26)=0,"Faltam medições","OK")))))</f>
        <v>OK</v>
      </c>
      <c r="S26" s="27" t="n">
        <f aca="false">$L$12</f>
        <v>40.3391615384615</v>
      </c>
      <c r="T26" s="27" t="n">
        <f aca="false">$L$11</f>
        <v>39.9707692307692</v>
      </c>
      <c r="U26" s="27" t="n">
        <f aca="false">$L$13</f>
        <v>39.6023769230769</v>
      </c>
      <c r="V26" s="27" t="n">
        <f aca="false">$L$15</f>
        <v>1.34970769230769</v>
      </c>
      <c r="W26" s="27" t="n">
        <f aca="false">$L$14</f>
        <v>0.638461538461538</v>
      </c>
    </row>
    <row r="27" customFormat="false" ht="19.5" hidden="false" customHeight="true" outlineLevel="0" collapsed="false">
      <c r="B27" s="16" t="n">
        <v>9</v>
      </c>
      <c r="C27" s="38" t="n">
        <v>46576</v>
      </c>
      <c r="D27" s="7" t="s">
        <v>230</v>
      </c>
      <c r="E27" s="44" t="n">
        <v>40.1</v>
      </c>
      <c r="F27" s="44" t="n">
        <v>40.2</v>
      </c>
      <c r="G27" s="44" t="n">
        <v>39.9</v>
      </c>
      <c r="H27" s="44" t="n">
        <v>40</v>
      </c>
      <c r="I27" s="44" t="n">
        <v>39.4</v>
      </c>
      <c r="J27" s="40"/>
      <c r="K27" s="41"/>
      <c r="L27" s="18" t="n">
        <f aca="false">IF(COUNT(E27:I27)=5,AVERAGE(E27:I27),"")</f>
        <v>39.92</v>
      </c>
      <c r="M27" s="19" t="n">
        <f aca="false">IF(COUNT(E27:I27)=5,MAX(E27:I27)-MIN(E27:I27),"")</f>
        <v>0.800000000000004</v>
      </c>
      <c r="N27" s="20" t="str">
        <f aca="false">IF(L27="","",IF(J27="Sim","Excluído",IF(OR($E$14="",B27&lt;=$E$14),"Base","Acompanhamento")))</f>
        <v>Base</v>
      </c>
      <c r="O27" s="21" t="n">
        <f aca="false">IF(OR(COUNT(E27:I27)=0,$E$12="",$E$13=""),"",COUNTIF(E27:I27,"&lt;"&amp;$E$12)+COUNTIF(E27:I27,"&gt;"&amp;$E$13))</f>
        <v>0</v>
      </c>
      <c r="P27" s="22" t="str">
        <f aca="false">IF(OR(L27="",$L$11=""),"",IF(OR(L27&gt;$L$12,L27&lt;$L$13),"Média fora dos limites",IF(M27&gt;$L$15,"Amplitude fora do limite",IF(OR(COUNTIF(L21:L27,"&gt;"&amp;$L$11)=7,COUNTIF(L21:L27,"&lt;"&amp;$L$11)=7),"7 do mesmo lado",IF(AND(COUNT(L22:L27)=6,OR(AND(L27&gt;L26,L26&gt;L25,L25&gt;L24,L24&gt;L23,L23&gt;L22),AND(L27&lt;L26,L26&lt;L25,L25&lt;L24,L24&lt;L23,L23&lt;L22))),"6 subindo ou descendo","")))))</f>
        <v/>
      </c>
      <c r="Q27" s="22" t="str">
        <f aca="false">IF(COUNT(E27:I27)+LEN(C27)+LEN(D27)+LEN(J27)=0,"",IF(AND(COUNT(E27:I27)&gt;0,COUNT(E27:I27)&lt;5),"Faltam medições",IF(AND(COUNT(E27:I27)&gt;0,C27=""),"Falta a data",IF(AND(J27="Sim",K27=""),"Falta o motivo",IF(COUNT(E27:I27)=0,"Faltam medições","OK")))))</f>
        <v>OK</v>
      </c>
      <c r="S27" s="27" t="n">
        <f aca="false">$L$12</f>
        <v>40.3391615384615</v>
      </c>
      <c r="T27" s="27" t="n">
        <f aca="false">$L$11</f>
        <v>39.9707692307692</v>
      </c>
      <c r="U27" s="27" t="n">
        <f aca="false">$L$13</f>
        <v>39.6023769230769</v>
      </c>
      <c r="V27" s="27" t="n">
        <f aca="false">$L$15</f>
        <v>1.34970769230769</v>
      </c>
      <c r="W27" s="27" t="n">
        <f aca="false">$L$14</f>
        <v>0.638461538461538</v>
      </c>
    </row>
    <row r="28" customFormat="false" ht="19.5" hidden="false" customHeight="true" outlineLevel="0" collapsed="false">
      <c r="B28" s="16" t="n">
        <v>10</v>
      </c>
      <c r="C28" s="38" t="n">
        <v>46576</v>
      </c>
      <c r="D28" s="7" t="s">
        <v>231</v>
      </c>
      <c r="E28" s="44" t="n">
        <v>40</v>
      </c>
      <c r="F28" s="44" t="n">
        <v>39.8</v>
      </c>
      <c r="G28" s="44" t="n">
        <v>39.7</v>
      </c>
      <c r="H28" s="44" t="n">
        <v>40.1</v>
      </c>
      <c r="I28" s="44" t="n">
        <v>39.9</v>
      </c>
      <c r="J28" s="40"/>
      <c r="K28" s="41"/>
      <c r="L28" s="18" t="n">
        <f aca="false">IF(COUNT(E28:I28)=5,AVERAGE(E28:I28),"")</f>
        <v>39.9</v>
      </c>
      <c r="M28" s="19" t="n">
        <f aca="false">IF(COUNT(E28:I28)=5,MAX(E28:I28)-MIN(E28:I28),"")</f>
        <v>0.399999999999999</v>
      </c>
      <c r="N28" s="20" t="str">
        <f aca="false">IF(L28="","",IF(J28="Sim","Excluído",IF(OR($E$14="",B28&lt;=$E$14),"Base","Acompanhamento")))</f>
        <v>Base</v>
      </c>
      <c r="O28" s="21" t="n">
        <f aca="false">IF(OR(COUNT(E28:I28)=0,$E$12="",$E$13=""),"",COUNTIF(E28:I28,"&lt;"&amp;$E$12)+COUNTIF(E28:I28,"&gt;"&amp;$E$13))</f>
        <v>0</v>
      </c>
      <c r="P28" s="22" t="str">
        <f aca="false">IF(OR(L28="",$L$11=""),"",IF(OR(L28&gt;$L$12,L28&lt;$L$13),"Média fora dos limites",IF(M28&gt;$L$15,"Amplitude fora do limite",IF(OR(COUNTIF(L22:L28,"&gt;"&amp;$L$11)=7,COUNTIF(L22:L28,"&lt;"&amp;$L$11)=7),"7 do mesmo lado",IF(AND(COUNT(L23:L28)=6,OR(AND(L28&gt;L27,L27&gt;L26,L26&gt;L25,L25&gt;L24,L24&gt;L23),AND(L28&lt;L27,L27&lt;L26,L26&lt;L25,L25&lt;L24,L24&lt;L23))),"6 subindo ou descendo","")))))</f>
        <v/>
      </c>
      <c r="Q28" s="22" t="str">
        <f aca="false">IF(COUNT(E28:I28)+LEN(C28)+LEN(D28)+LEN(J28)=0,"",IF(AND(COUNT(E28:I28)&gt;0,COUNT(E28:I28)&lt;5),"Faltam medições",IF(AND(COUNT(E28:I28)&gt;0,C28=""),"Falta a data",IF(AND(J28="Sim",K28=""),"Falta o motivo",IF(COUNT(E28:I28)=0,"Faltam medições","OK")))))</f>
        <v>OK</v>
      </c>
      <c r="S28" s="27" t="n">
        <f aca="false">$L$12</f>
        <v>40.3391615384615</v>
      </c>
      <c r="T28" s="27" t="n">
        <f aca="false">$L$11</f>
        <v>39.9707692307692</v>
      </c>
      <c r="U28" s="27" t="n">
        <f aca="false">$L$13</f>
        <v>39.6023769230769</v>
      </c>
      <c r="V28" s="27" t="n">
        <f aca="false">$L$15</f>
        <v>1.34970769230769</v>
      </c>
      <c r="W28" s="27" t="n">
        <f aca="false">$L$14</f>
        <v>0.638461538461538</v>
      </c>
    </row>
    <row r="29" customFormat="false" ht="19.5" hidden="false" customHeight="true" outlineLevel="0" collapsed="false">
      <c r="B29" s="16" t="n">
        <v>11</v>
      </c>
      <c r="C29" s="38" t="n">
        <v>46577</v>
      </c>
      <c r="D29" s="7" t="s">
        <v>230</v>
      </c>
      <c r="E29" s="44" t="n">
        <v>39.7</v>
      </c>
      <c r="F29" s="44" t="n">
        <v>39.9</v>
      </c>
      <c r="G29" s="44" t="n">
        <v>39.9</v>
      </c>
      <c r="H29" s="44" t="n">
        <v>39.9</v>
      </c>
      <c r="I29" s="44" t="n">
        <v>40</v>
      </c>
      <c r="J29" s="40"/>
      <c r="K29" s="41"/>
      <c r="L29" s="18" t="n">
        <f aca="false">IF(COUNT(E29:I29)=5,AVERAGE(E29:I29),"")</f>
        <v>39.88</v>
      </c>
      <c r="M29" s="19" t="n">
        <f aca="false">IF(COUNT(E29:I29)=5,MAX(E29:I29)-MIN(E29:I29),"")</f>
        <v>0.299999999999997</v>
      </c>
      <c r="N29" s="20" t="str">
        <f aca="false">IF(L29="","",IF(J29="Sim","Excluído",IF(OR($E$14="",B29&lt;=$E$14),"Base","Acompanhamento")))</f>
        <v>Base</v>
      </c>
      <c r="O29" s="21" t="n">
        <f aca="false">IF(OR(COUNT(E29:I29)=0,$E$12="",$E$13=""),"",COUNTIF(E29:I29,"&lt;"&amp;$E$12)+COUNTIF(E29:I29,"&gt;"&amp;$E$13))</f>
        <v>0</v>
      </c>
      <c r="P29" s="22" t="str">
        <f aca="false">IF(OR(L29="",$L$11=""),"",IF(OR(L29&gt;$L$12,L29&lt;$L$13),"Média fora dos limites",IF(M29&gt;$L$15,"Amplitude fora do limite",IF(OR(COUNTIF(L23:L29,"&gt;"&amp;$L$11)=7,COUNTIF(L23:L29,"&lt;"&amp;$L$11)=7),"7 do mesmo lado",IF(AND(COUNT(L24:L29)=6,OR(AND(L29&gt;L28,L28&gt;L27,L27&gt;L26,L26&gt;L25,L25&gt;L24),AND(L29&lt;L28,L28&lt;L27,L27&lt;L26,L26&lt;L25,L25&lt;L24))),"6 subindo ou descendo","")))))</f>
        <v/>
      </c>
      <c r="Q29" s="22" t="str">
        <f aca="false">IF(COUNT(E29:I29)+LEN(C29)+LEN(D29)+LEN(J29)=0,"",IF(AND(COUNT(E29:I29)&gt;0,COUNT(E29:I29)&lt;5),"Faltam medições",IF(AND(COUNT(E29:I29)&gt;0,C29=""),"Falta a data",IF(AND(J29="Sim",K29=""),"Falta o motivo",IF(COUNT(E29:I29)=0,"Faltam medições","OK")))))</f>
        <v>OK</v>
      </c>
      <c r="S29" s="27" t="n">
        <f aca="false">$L$12</f>
        <v>40.3391615384615</v>
      </c>
      <c r="T29" s="27" t="n">
        <f aca="false">$L$11</f>
        <v>39.9707692307692</v>
      </c>
      <c r="U29" s="27" t="n">
        <f aca="false">$L$13</f>
        <v>39.6023769230769</v>
      </c>
      <c r="V29" s="27" t="n">
        <f aca="false">$L$15</f>
        <v>1.34970769230769</v>
      </c>
      <c r="W29" s="27" t="n">
        <f aca="false">$L$14</f>
        <v>0.638461538461538</v>
      </c>
    </row>
    <row r="30" customFormat="false" ht="19.5" hidden="false" customHeight="true" outlineLevel="0" collapsed="false">
      <c r="B30" s="16" t="n">
        <v>12</v>
      </c>
      <c r="C30" s="38" t="n">
        <v>46577</v>
      </c>
      <c r="D30" s="7" t="s">
        <v>231</v>
      </c>
      <c r="E30" s="44" t="n">
        <v>39.9</v>
      </c>
      <c r="F30" s="44" t="n">
        <v>40.3</v>
      </c>
      <c r="G30" s="44" t="n">
        <v>40.5</v>
      </c>
      <c r="H30" s="44" t="n">
        <v>40.3</v>
      </c>
      <c r="I30" s="44" t="n">
        <v>39.9</v>
      </c>
      <c r="J30" s="40"/>
      <c r="K30" s="41"/>
      <c r="L30" s="18" t="n">
        <f aca="false">IF(COUNT(E30:I30)=5,AVERAGE(E30:I30),"")</f>
        <v>40.18</v>
      </c>
      <c r="M30" s="19" t="n">
        <f aca="false">IF(COUNT(E30:I30)=5,MAX(E30:I30)-MIN(E30:I30),"")</f>
        <v>0.600000000000001</v>
      </c>
      <c r="N30" s="20" t="str">
        <f aca="false">IF(L30="","",IF(J30="Sim","Excluído",IF(OR($E$14="",B30&lt;=$E$14),"Base","Acompanhamento")))</f>
        <v>Base</v>
      </c>
      <c r="O30" s="21" t="n">
        <f aca="false">IF(OR(COUNT(E30:I30)=0,$E$12="",$E$13=""),"",COUNTIF(E30:I30,"&lt;"&amp;$E$12)+COUNTIF(E30:I30,"&gt;"&amp;$E$13))</f>
        <v>0</v>
      </c>
      <c r="P30" s="22" t="str">
        <f aca="false">IF(OR(L30="",$L$11=""),"",IF(OR(L30&gt;$L$12,L30&lt;$L$13),"Média fora dos limites",IF(M30&gt;$L$15,"Amplitude fora do limite",IF(OR(COUNTIF(L24:L30,"&gt;"&amp;$L$11)=7,COUNTIF(L24:L30,"&lt;"&amp;$L$11)=7),"7 do mesmo lado",IF(AND(COUNT(L25:L30)=6,OR(AND(L30&gt;L29,L29&gt;L28,L28&gt;L27,L27&gt;L26,L26&gt;L25),AND(L30&lt;L29,L29&lt;L28,L28&lt;L27,L27&lt;L26,L26&lt;L25))),"6 subindo ou descendo","")))))</f>
        <v/>
      </c>
      <c r="Q30" s="22" t="str">
        <f aca="false">IF(COUNT(E30:I30)+LEN(C30)+LEN(D30)+LEN(J30)=0,"",IF(AND(COUNT(E30:I30)&gt;0,COUNT(E30:I30)&lt;5),"Faltam medições",IF(AND(COUNT(E30:I30)&gt;0,C30=""),"Falta a data",IF(AND(J30="Sim",K30=""),"Falta o motivo",IF(COUNT(E30:I30)=0,"Faltam medições","OK")))))</f>
        <v>OK</v>
      </c>
      <c r="S30" s="27" t="n">
        <f aca="false">$L$12</f>
        <v>40.3391615384615</v>
      </c>
      <c r="T30" s="27" t="n">
        <f aca="false">$L$11</f>
        <v>39.9707692307692</v>
      </c>
      <c r="U30" s="27" t="n">
        <f aca="false">$L$13</f>
        <v>39.6023769230769</v>
      </c>
      <c r="V30" s="27" t="n">
        <f aca="false">$L$15</f>
        <v>1.34970769230769</v>
      </c>
      <c r="W30" s="27" t="n">
        <f aca="false">$L$14</f>
        <v>0.638461538461538</v>
      </c>
    </row>
    <row r="31" customFormat="false" ht="19.5" hidden="false" customHeight="true" outlineLevel="0" collapsed="false">
      <c r="B31" s="16" t="n">
        <v>13</v>
      </c>
      <c r="C31" s="38" t="n">
        <v>46578</v>
      </c>
      <c r="D31" s="7" t="s">
        <v>230</v>
      </c>
      <c r="E31" s="44" t="n">
        <v>39.8</v>
      </c>
      <c r="F31" s="44" t="n">
        <v>40.1</v>
      </c>
      <c r="G31" s="44" t="n">
        <v>39.9</v>
      </c>
      <c r="H31" s="44" t="n">
        <v>40.4</v>
      </c>
      <c r="I31" s="44" t="n">
        <v>40.1</v>
      </c>
      <c r="J31" s="40"/>
      <c r="K31" s="41"/>
      <c r="L31" s="18" t="n">
        <f aca="false">IF(COUNT(E31:I31)=5,AVERAGE(E31:I31),"")</f>
        <v>40.06</v>
      </c>
      <c r="M31" s="19" t="n">
        <f aca="false">IF(COUNT(E31:I31)=5,MAX(E31:I31)-MIN(E31:I31),"")</f>
        <v>0.600000000000001</v>
      </c>
      <c r="N31" s="20" t="str">
        <f aca="false">IF(L31="","",IF(J31="Sim","Excluído",IF(OR($E$14="",B31&lt;=$E$14),"Base","Acompanhamento")))</f>
        <v>Base</v>
      </c>
      <c r="O31" s="21" t="n">
        <f aca="false">IF(OR(COUNT(E31:I31)=0,$E$12="",$E$13=""),"",COUNTIF(E31:I31,"&lt;"&amp;$E$12)+COUNTIF(E31:I31,"&gt;"&amp;$E$13))</f>
        <v>0</v>
      </c>
      <c r="P31" s="22" t="str">
        <f aca="false">IF(OR(L31="",$L$11=""),"",IF(OR(L31&gt;$L$12,L31&lt;$L$13),"Média fora dos limites",IF(M31&gt;$L$15,"Amplitude fora do limite",IF(OR(COUNTIF(L25:L31,"&gt;"&amp;$L$11)=7,COUNTIF(L25:L31,"&lt;"&amp;$L$11)=7),"7 do mesmo lado",IF(AND(COUNT(L26:L31)=6,OR(AND(L31&gt;L30,L30&gt;L29,L29&gt;L28,L28&gt;L27,L27&gt;L26),AND(L31&lt;L30,L30&lt;L29,L29&lt;L28,L28&lt;L27,L27&lt;L26))),"6 subindo ou descendo","")))))</f>
        <v/>
      </c>
      <c r="Q31" s="22" t="str">
        <f aca="false">IF(COUNT(E31:I31)+LEN(C31)+LEN(D31)+LEN(J31)=0,"",IF(AND(COUNT(E31:I31)&gt;0,COUNT(E31:I31)&lt;5),"Faltam medições",IF(AND(COUNT(E31:I31)&gt;0,C31=""),"Falta a data",IF(AND(J31="Sim",K31=""),"Falta o motivo",IF(COUNT(E31:I31)=0,"Faltam medições","OK")))))</f>
        <v>OK</v>
      </c>
      <c r="S31" s="27" t="n">
        <f aca="false">$L$12</f>
        <v>40.3391615384615</v>
      </c>
      <c r="T31" s="27" t="n">
        <f aca="false">$L$11</f>
        <v>39.9707692307692</v>
      </c>
      <c r="U31" s="27" t="n">
        <f aca="false">$L$13</f>
        <v>39.6023769230769</v>
      </c>
      <c r="V31" s="27" t="n">
        <f aca="false">$L$15</f>
        <v>1.34970769230769</v>
      </c>
      <c r="W31" s="27" t="n">
        <f aca="false">$L$14</f>
        <v>0.638461538461538</v>
      </c>
    </row>
    <row r="32" customFormat="false" ht="19.5" hidden="false" customHeight="true" outlineLevel="0" collapsed="false">
      <c r="B32" s="16" t="n">
        <v>14</v>
      </c>
      <c r="C32" s="38" t="n">
        <v>46578</v>
      </c>
      <c r="D32" s="7" t="s">
        <v>231</v>
      </c>
      <c r="E32" s="44" t="n">
        <v>40.1</v>
      </c>
      <c r="F32" s="44" t="n">
        <v>39.8</v>
      </c>
      <c r="G32" s="44" t="n">
        <v>40</v>
      </c>
      <c r="H32" s="44" t="n">
        <v>39.7</v>
      </c>
      <c r="I32" s="44" t="n">
        <v>39.6</v>
      </c>
      <c r="J32" s="40"/>
      <c r="K32" s="41"/>
      <c r="L32" s="18" t="n">
        <f aca="false">IF(COUNT(E32:I32)=5,AVERAGE(E32:I32),"")</f>
        <v>39.84</v>
      </c>
      <c r="M32" s="19" t="n">
        <f aca="false">IF(COUNT(E32:I32)=5,MAX(E32:I32)-MIN(E32:I32),"")</f>
        <v>0.5</v>
      </c>
      <c r="N32" s="20" t="str">
        <f aca="false">IF(L32="","",IF(J32="Sim","Excluído",IF(OR($E$14="",B32&lt;=$E$14),"Base","Acompanhamento")))</f>
        <v>Base</v>
      </c>
      <c r="O32" s="21" t="n">
        <f aca="false">IF(OR(COUNT(E32:I32)=0,$E$12="",$E$13=""),"",COUNTIF(E32:I32,"&lt;"&amp;$E$12)+COUNTIF(E32:I32,"&gt;"&amp;$E$13))</f>
        <v>0</v>
      </c>
      <c r="P32" s="22" t="str">
        <f aca="false">IF(OR(L32="",$L$11=""),"",IF(OR(L32&gt;$L$12,L32&lt;$L$13),"Média fora dos limites",IF(M32&gt;$L$15,"Amplitude fora do limite",IF(OR(COUNTIF(L26:L32,"&gt;"&amp;$L$11)=7,COUNTIF(L26:L32,"&lt;"&amp;$L$11)=7),"7 do mesmo lado",IF(AND(COUNT(L27:L32)=6,OR(AND(L32&gt;L31,L31&gt;L30,L30&gt;L29,L29&gt;L28,L28&gt;L27),AND(L32&lt;L31,L31&lt;L30,L30&lt;L29,L29&lt;L28,L28&lt;L27))),"6 subindo ou descendo","")))))</f>
        <v/>
      </c>
      <c r="Q32" s="22" t="str">
        <f aca="false">IF(COUNT(E32:I32)+LEN(C32)+LEN(D32)+LEN(J32)=0,"",IF(AND(COUNT(E32:I32)&gt;0,COUNT(E32:I32)&lt;5),"Faltam medições",IF(AND(COUNT(E32:I32)&gt;0,C32=""),"Falta a data",IF(AND(J32="Sim",K32=""),"Falta o motivo",IF(COUNT(E32:I32)=0,"Faltam medições","OK")))))</f>
        <v>OK</v>
      </c>
      <c r="S32" s="27" t="n">
        <f aca="false">$L$12</f>
        <v>40.3391615384615</v>
      </c>
      <c r="T32" s="27" t="n">
        <f aca="false">$L$11</f>
        <v>39.9707692307692</v>
      </c>
      <c r="U32" s="27" t="n">
        <f aca="false">$L$13</f>
        <v>39.6023769230769</v>
      </c>
      <c r="V32" s="27" t="n">
        <f aca="false">$L$15</f>
        <v>1.34970769230769</v>
      </c>
      <c r="W32" s="27" t="n">
        <f aca="false">$L$14</f>
        <v>0.638461538461538</v>
      </c>
    </row>
    <row r="33" customFormat="false" ht="19.5" hidden="false" customHeight="true" outlineLevel="0" collapsed="false">
      <c r="B33" s="16" t="n">
        <v>15</v>
      </c>
      <c r="C33" s="38" t="n">
        <v>46579</v>
      </c>
      <c r="D33" s="7" t="s">
        <v>230</v>
      </c>
      <c r="E33" s="44" t="n">
        <v>40</v>
      </c>
      <c r="F33" s="44" t="n">
        <v>39.5</v>
      </c>
      <c r="G33" s="44" t="n">
        <v>39.7</v>
      </c>
      <c r="H33" s="44" t="n">
        <v>40.2</v>
      </c>
      <c r="I33" s="44" t="n">
        <v>40.5</v>
      </c>
      <c r="J33" s="40"/>
      <c r="K33" s="41"/>
      <c r="L33" s="18" t="n">
        <f aca="false">IF(COUNT(E33:I33)=5,AVERAGE(E33:I33),"")</f>
        <v>39.98</v>
      </c>
      <c r="M33" s="19" t="n">
        <f aca="false">IF(COUNT(E33:I33)=5,MAX(E33:I33)-MIN(E33:I33),"")</f>
        <v>1</v>
      </c>
      <c r="N33" s="20" t="str">
        <f aca="false">IF(L33="","",IF(J33="Sim","Excluído",IF(OR($E$14="",B33&lt;=$E$14),"Base","Acompanhamento")))</f>
        <v>Acompanhamento</v>
      </c>
      <c r="O33" s="21" t="n">
        <f aca="false">IF(OR(COUNT(E33:I33)=0,$E$12="",$E$13=""),"",COUNTIF(E33:I33,"&lt;"&amp;$E$12)+COUNTIF(E33:I33,"&gt;"&amp;$E$13))</f>
        <v>0</v>
      </c>
      <c r="P33" s="22" t="str">
        <f aca="false">IF(OR(L33="",$L$11=""),"",IF(OR(L33&gt;$L$12,L33&lt;$L$13),"Média fora dos limites",IF(M33&gt;$L$15,"Amplitude fora do limite",IF(OR(COUNTIF(L27:L33,"&gt;"&amp;$L$11)=7,COUNTIF(L27:L33,"&lt;"&amp;$L$11)=7),"7 do mesmo lado",IF(AND(COUNT(L28:L33)=6,OR(AND(L33&gt;L32,L32&gt;L31,L31&gt;L30,L30&gt;L29,L29&gt;L28),AND(L33&lt;L32,L32&lt;L31,L31&lt;L30,L30&lt;L29,L29&lt;L28))),"6 subindo ou descendo","")))))</f>
        <v/>
      </c>
      <c r="Q33" s="22" t="str">
        <f aca="false">IF(COUNT(E33:I33)+LEN(C33)+LEN(D33)+LEN(J33)=0,"",IF(AND(COUNT(E33:I33)&gt;0,COUNT(E33:I33)&lt;5),"Faltam medições",IF(AND(COUNT(E33:I33)&gt;0,C33=""),"Falta a data",IF(AND(J33="Sim",K33=""),"Falta o motivo",IF(COUNT(E33:I33)=0,"Faltam medições","OK")))))</f>
        <v>OK</v>
      </c>
      <c r="S33" s="27" t="n">
        <f aca="false">$L$12</f>
        <v>40.3391615384615</v>
      </c>
      <c r="T33" s="27" t="n">
        <f aca="false">$L$11</f>
        <v>39.9707692307692</v>
      </c>
      <c r="U33" s="27" t="n">
        <f aca="false">$L$13</f>
        <v>39.6023769230769</v>
      </c>
      <c r="V33" s="27" t="n">
        <f aca="false">$L$15</f>
        <v>1.34970769230769</v>
      </c>
      <c r="W33" s="27" t="n">
        <f aca="false">$L$14</f>
        <v>0.638461538461538</v>
      </c>
    </row>
    <row r="34" customFormat="false" ht="19.5" hidden="false" customHeight="true" outlineLevel="0" collapsed="false">
      <c r="B34" s="16" t="n">
        <v>16</v>
      </c>
      <c r="C34" s="38" t="n">
        <v>46579</v>
      </c>
      <c r="D34" s="7" t="s">
        <v>231</v>
      </c>
      <c r="E34" s="44" t="n">
        <v>39.9</v>
      </c>
      <c r="F34" s="44" t="n">
        <v>39.7</v>
      </c>
      <c r="G34" s="44" t="n">
        <v>40.2</v>
      </c>
      <c r="H34" s="44" t="n">
        <v>40.2</v>
      </c>
      <c r="I34" s="44" t="n">
        <v>40.1</v>
      </c>
      <c r="J34" s="40"/>
      <c r="K34" s="41"/>
      <c r="L34" s="18" t="n">
        <f aca="false">IF(COUNT(E34:I34)=5,AVERAGE(E34:I34),"")</f>
        <v>40.02</v>
      </c>
      <c r="M34" s="19" t="n">
        <f aca="false">IF(COUNT(E34:I34)=5,MAX(E34:I34)-MIN(E34:I34),"")</f>
        <v>0.5</v>
      </c>
      <c r="N34" s="20" t="str">
        <f aca="false">IF(L34="","",IF(J34="Sim","Excluído",IF(OR($E$14="",B34&lt;=$E$14),"Base","Acompanhamento")))</f>
        <v>Acompanhamento</v>
      </c>
      <c r="O34" s="21" t="n">
        <f aca="false">IF(OR(COUNT(E34:I34)=0,$E$12="",$E$13=""),"",COUNTIF(E34:I34,"&lt;"&amp;$E$12)+COUNTIF(E34:I34,"&gt;"&amp;$E$13))</f>
        <v>0</v>
      </c>
      <c r="P34" s="22" t="str">
        <f aca="false">IF(OR(L34="",$L$11=""),"",IF(OR(L34&gt;$L$12,L34&lt;$L$13),"Média fora dos limites",IF(M34&gt;$L$15,"Amplitude fora do limite",IF(OR(COUNTIF(L28:L34,"&gt;"&amp;$L$11)=7,COUNTIF(L28:L34,"&lt;"&amp;$L$11)=7),"7 do mesmo lado",IF(AND(COUNT(L29:L34)=6,OR(AND(L34&gt;L33,L33&gt;L32,L32&gt;L31,L31&gt;L30,L30&gt;L29),AND(L34&lt;L33,L33&lt;L32,L32&lt;L31,L31&lt;L30,L30&lt;L29))),"6 subindo ou descendo","")))))</f>
        <v/>
      </c>
      <c r="Q34" s="22" t="str">
        <f aca="false">IF(COUNT(E34:I34)+LEN(C34)+LEN(D34)+LEN(J34)=0,"",IF(AND(COUNT(E34:I34)&gt;0,COUNT(E34:I34)&lt;5),"Faltam medições",IF(AND(COUNT(E34:I34)&gt;0,C34=""),"Falta a data",IF(AND(J34="Sim",K34=""),"Falta o motivo",IF(COUNT(E34:I34)=0,"Faltam medições","OK")))))</f>
        <v>OK</v>
      </c>
      <c r="S34" s="27" t="n">
        <f aca="false">$L$12</f>
        <v>40.3391615384615</v>
      </c>
      <c r="T34" s="27" t="n">
        <f aca="false">$L$11</f>
        <v>39.9707692307692</v>
      </c>
      <c r="U34" s="27" t="n">
        <f aca="false">$L$13</f>
        <v>39.6023769230769</v>
      </c>
      <c r="V34" s="27" t="n">
        <f aca="false">$L$15</f>
        <v>1.34970769230769</v>
      </c>
      <c r="W34" s="27" t="n">
        <f aca="false">$L$14</f>
        <v>0.638461538461538</v>
      </c>
    </row>
    <row r="35" customFormat="false" ht="19.5" hidden="false" customHeight="true" outlineLevel="0" collapsed="false">
      <c r="B35" s="16" t="n">
        <v>17</v>
      </c>
      <c r="C35" s="38" t="n">
        <v>46580</v>
      </c>
      <c r="D35" s="7" t="s">
        <v>230</v>
      </c>
      <c r="E35" s="44" t="n">
        <v>39.4</v>
      </c>
      <c r="F35" s="44" t="n">
        <v>39.5</v>
      </c>
      <c r="G35" s="44" t="n">
        <v>40.2</v>
      </c>
      <c r="H35" s="44" t="n">
        <v>39.3</v>
      </c>
      <c r="I35" s="44" t="n">
        <v>39.8</v>
      </c>
      <c r="J35" s="40"/>
      <c r="K35" s="41"/>
      <c r="L35" s="18" t="n">
        <f aca="false">IF(COUNT(E35:I35)=5,AVERAGE(E35:I35),"")</f>
        <v>39.64</v>
      </c>
      <c r="M35" s="19" t="n">
        <f aca="false">IF(COUNT(E35:I35)=5,MAX(E35:I35)-MIN(E35:I35),"")</f>
        <v>0.900000000000006</v>
      </c>
      <c r="N35" s="20" t="str">
        <f aca="false">IF(L35="","",IF(J35="Sim","Excluído",IF(OR($E$14="",B35&lt;=$E$14),"Base","Acompanhamento")))</f>
        <v>Acompanhamento</v>
      </c>
      <c r="O35" s="21" t="n">
        <f aca="false">IF(OR(COUNT(E35:I35)=0,$E$12="",$E$13=""),"",COUNTIF(E35:I35,"&lt;"&amp;$E$12)+COUNTIF(E35:I35,"&gt;"&amp;$E$13))</f>
        <v>0</v>
      </c>
      <c r="P35" s="22" t="str">
        <f aca="false">IF(OR(L35="",$L$11=""),"",IF(OR(L35&gt;$L$12,L35&lt;$L$13),"Média fora dos limites",IF(M35&gt;$L$15,"Amplitude fora do limite",IF(OR(COUNTIF(L29:L35,"&gt;"&amp;$L$11)=7,COUNTIF(L29:L35,"&lt;"&amp;$L$11)=7),"7 do mesmo lado",IF(AND(COUNT(L30:L35)=6,OR(AND(L35&gt;L34,L34&gt;L33,L33&gt;L32,L32&gt;L31,L31&gt;L30),AND(L35&lt;L34,L34&lt;L33,L33&lt;L32,L32&lt;L31,L31&lt;L30))),"6 subindo ou descendo","")))))</f>
        <v/>
      </c>
      <c r="Q35" s="22" t="str">
        <f aca="false">IF(COUNT(E35:I35)+LEN(C35)+LEN(D35)+LEN(J35)=0,"",IF(AND(COUNT(E35:I35)&gt;0,COUNT(E35:I35)&lt;5),"Faltam medições",IF(AND(COUNT(E35:I35)&gt;0,C35=""),"Falta a data",IF(AND(J35="Sim",K35=""),"Falta o motivo",IF(COUNT(E35:I35)=0,"Faltam medições","OK")))))</f>
        <v>OK</v>
      </c>
      <c r="S35" s="27" t="n">
        <f aca="false">$L$12</f>
        <v>40.3391615384615</v>
      </c>
      <c r="T35" s="27" t="n">
        <f aca="false">$L$11</f>
        <v>39.9707692307692</v>
      </c>
      <c r="U35" s="27" t="n">
        <f aca="false">$L$13</f>
        <v>39.6023769230769</v>
      </c>
      <c r="V35" s="27" t="n">
        <f aca="false">$L$15</f>
        <v>1.34970769230769</v>
      </c>
      <c r="W35" s="27" t="n">
        <f aca="false">$L$14</f>
        <v>0.638461538461538</v>
      </c>
    </row>
    <row r="36" customFormat="false" ht="19.5" hidden="false" customHeight="true" outlineLevel="0" collapsed="false">
      <c r="B36" s="16" t="n">
        <v>18</v>
      </c>
      <c r="C36" s="38" t="n">
        <v>46580</v>
      </c>
      <c r="D36" s="7" t="s">
        <v>231</v>
      </c>
      <c r="E36" s="44" t="n">
        <v>40.3</v>
      </c>
      <c r="F36" s="44" t="n">
        <v>40.2</v>
      </c>
      <c r="G36" s="44" t="n">
        <v>39.3</v>
      </c>
      <c r="H36" s="44" t="n">
        <v>39.5</v>
      </c>
      <c r="I36" s="44" t="n">
        <v>39.5</v>
      </c>
      <c r="J36" s="40"/>
      <c r="K36" s="41"/>
      <c r="L36" s="18" t="n">
        <f aca="false">IF(COUNT(E36:I36)=5,AVERAGE(E36:I36),"")</f>
        <v>39.76</v>
      </c>
      <c r="M36" s="19" t="n">
        <f aca="false">IF(COUNT(E36:I36)=5,MAX(E36:I36)-MIN(E36:I36),"")</f>
        <v>1</v>
      </c>
      <c r="N36" s="20" t="str">
        <f aca="false">IF(L36="","",IF(J36="Sim","Excluído",IF(OR($E$14="",B36&lt;=$E$14),"Base","Acompanhamento")))</f>
        <v>Acompanhamento</v>
      </c>
      <c r="O36" s="21" t="n">
        <f aca="false">IF(OR(COUNT(E36:I36)=0,$E$12="",$E$13=""),"",COUNTIF(E36:I36,"&lt;"&amp;$E$12)+COUNTIF(E36:I36,"&gt;"&amp;$E$13))</f>
        <v>0</v>
      </c>
      <c r="P36" s="22" t="str">
        <f aca="false">IF(OR(L36="",$L$11=""),"",IF(OR(L36&gt;$L$12,L36&lt;$L$13),"Média fora dos limites",IF(M36&gt;$L$15,"Amplitude fora do limite",IF(OR(COUNTIF(L30:L36,"&gt;"&amp;$L$11)=7,COUNTIF(L30:L36,"&lt;"&amp;$L$11)=7),"7 do mesmo lado",IF(AND(COUNT(L31:L36)=6,OR(AND(L36&gt;L35,L35&gt;L34,L34&gt;L33,L33&gt;L32,L32&gt;L31),AND(L36&lt;L35,L35&lt;L34,L34&lt;L33,L33&lt;L32,L32&lt;L31))),"6 subindo ou descendo","")))))</f>
        <v/>
      </c>
      <c r="Q36" s="22" t="str">
        <f aca="false">IF(COUNT(E36:I36)+LEN(C36)+LEN(D36)+LEN(J36)=0,"",IF(AND(COUNT(E36:I36)&gt;0,COUNT(E36:I36)&lt;5),"Faltam medições",IF(AND(COUNT(E36:I36)&gt;0,C36=""),"Falta a data",IF(AND(J36="Sim",K36=""),"Falta o motivo",IF(COUNT(E36:I36)=0,"Faltam medições","OK")))))</f>
        <v>OK</v>
      </c>
      <c r="S36" s="27" t="n">
        <f aca="false">$L$12</f>
        <v>40.3391615384615</v>
      </c>
      <c r="T36" s="27" t="n">
        <f aca="false">$L$11</f>
        <v>39.9707692307692</v>
      </c>
      <c r="U36" s="27" t="n">
        <f aca="false">$L$13</f>
        <v>39.6023769230769</v>
      </c>
      <c r="V36" s="27" t="n">
        <f aca="false">$L$15</f>
        <v>1.34970769230769</v>
      </c>
      <c r="W36" s="27" t="n">
        <f aca="false">$L$14</f>
        <v>0.638461538461538</v>
      </c>
    </row>
    <row r="37" customFormat="false" ht="19.5" hidden="false" customHeight="true" outlineLevel="0" collapsed="false">
      <c r="B37" s="16" t="n">
        <v>19</v>
      </c>
      <c r="C37" s="38" t="n">
        <v>46581</v>
      </c>
      <c r="D37" s="7" t="s">
        <v>230</v>
      </c>
      <c r="E37" s="44" t="n">
        <v>38.9</v>
      </c>
      <c r="F37" s="44" t="n">
        <v>39.6</v>
      </c>
      <c r="G37" s="44" t="n">
        <v>39.1</v>
      </c>
      <c r="H37" s="44" t="n">
        <v>39.9</v>
      </c>
      <c r="I37" s="44" t="n">
        <v>39</v>
      </c>
      <c r="J37" s="40"/>
      <c r="K37" s="41"/>
      <c r="L37" s="18" t="n">
        <f aca="false">IF(COUNT(E37:I37)=5,AVERAGE(E37:I37),"")</f>
        <v>39.3</v>
      </c>
      <c r="M37" s="19" t="n">
        <f aca="false">IF(COUNT(E37:I37)=5,MAX(E37:I37)-MIN(E37:I37),"")</f>
        <v>1</v>
      </c>
      <c r="N37" s="20" t="str">
        <f aca="false">IF(L37="","",IF(J37="Sim","Excluído",IF(OR($E$14="",B37&lt;=$E$14),"Base","Acompanhamento")))</f>
        <v>Acompanhamento</v>
      </c>
      <c r="O37" s="21" t="n">
        <f aca="false">IF(OR(COUNT(E37:I37)=0,$E$12="",$E$13=""),"",COUNTIF(E37:I37,"&lt;"&amp;$E$12)+COUNTIF(E37:I37,"&gt;"&amp;$E$13))</f>
        <v>0</v>
      </c>
      <c r="P37" s="22" t="str">
        <f aca="false">IF(OR(L37="",$L$11=""),"",IF(OR(L37&gt;$L$12,L37&lt;$L$13),"Média fora dos limites",IF(M37&gt;$L$15,"Amplitude fora do limite",IF(OR(COUNTIF(L31:L37,"&gt;"&amp;$L$11)=7,COUNTIF(L31:L37,"&lt;"&amp;$L$11)=7),"7 do mesmo lado",IF(AND(COUNT(L32:L37)=6,OR(AND(L37&gt;L36,L36&gt;L35,L35&gt;L34,L34&gt;L33,L33&gt;L32),AND(L37&lt;L36,L36&lt;L35,L35&lt;L34,L34&lt;L33,L33&lt;L32))),"6 subindo ou descendo","")))))</f>
        <v>Média fora dos limites</v>
      </c>
      <c r="Q37" s="22" t="str">
        <f aca="false">IF(COUNT(E37:I37)+LEN(C37)+LEN(D37)+LEN(J37)=0,"",IF(AND(COUNT(E37:I37)&gt;0,COUNT(E37:I37)&lt;5),"Faltam medições",IF(AND(COUNT(E37:I37)&gt;0,C37=""),"Falta a data",IF(AND(J37="Sim",K37=""),"Falta o motivo",IF(COUNT(E37:I37)=0,"Faltam medições","OK")))))</f>
        <v>OK</v>
      </c>
      <c r="S37" s="27" t="n">
        <f aca="false">$L$12</f>
        <v>40.3391615384615</v>
      </c>
      <c r="T37" s="27" t="n">
        <f aca="false">$L$11</f>
        <v>39.9707692307692</v>
      </c>
      <c r="U37" s="27" t="n">
        <f aca="false">$L$13</f>
        <v>39.6023769230769</v>
      </c>
      <c r="V37" s="27" t="n">
        <f aca="false">$L$15</f>
        <v>1.34970769230769</v>
      </c>
      <c r="W37" s="27" t="n">
        <f aca="false">$L$14</f>
        <v>0.638461538461538</v>
      </c>
    </row>
    <row r="38" customFormat="false" ht="19.5" hidden="false" customHeight="true" outlineLevel="0" collapsed="false">
      <c r="B38" s="16" t="n">
        <v>20</v>
      </c>
      <c r="C38" s="38" t="n">
        <v>46581</v>
      </c>
      <c r="D38" s="7" t="s">
        <v>231</v>
      </c>
      <c r="E38" s="44" t="n">
        <v>39.1</v>
      </c>
      <c r="F38" s="44" t="n">
        <v>39.1</v>
      </c>
      <c r="G38" s="44" t="n">
        <v>39.5</v>
      </c>
      <c r="H38" s="44" t="n">
        <v>38</v>
      </c>
      <c r="I38" s="44" t="n">
        <v>40</v>
      </c>
      <c r="J38" s="40"/>
      <c r="K38" s="41"/>
      <c r="L38" s="18" t="n">
        <f aca="false">IF(COUNT(E38:I38)=5,AVERAGE(E38:I38),"")</f>
        <v>39.14</v>
      </c>
      <c r="M38" s="19" t="n">
        <f aca="false">IF(COUNT(E38:I38)=5,MAX(E38:I38)-MIN(E38:I38),"")</f>
        <v>2</v>
      </c>
      <c r="N38" s="20" t="str">
        <f aca="false">IF(L38="","",IF(J38="Sim","Excluído",IF(OR($E$14="",B38&lt;=$E$14),"Base","Acompanhamento")))</f>
        <v>Acompanhamento</v>
      </c>
      <c r="O38" s="21" t="n">
        <f aca="false">IF(OR(COUNT(E38:I38)=0,$E$12="",$E$13=""),"",COUNTIF(E38:I38,"&lt;"&amp;$E$12)+COUNTIF(E38:I38,"&gt;"&amp;$E$13))</f>
        <v>0</v>
      </c>
      <c r="P38" s="22" t="str">
        <f aca="false">IF(OR(L38="",$L$11=""),"",IF(OR(L38&gt;$L$12,L38&lt;$L$13),"Média fora dos limites",IF(M38&gt;$L$15,"Amplitude fora do limite",IF(OR(COUNTIF(L32:L38,"&gt;"&amp;$L$11)=7,COUNTIF(L32:L38,"&lt;"&amp;$L$11)=7),"7 do mesmo lado",IF(AND(COUNT(L33:L38)=6,OR(AND(L38&gt;L37,L37&gt;L36,L36&gt;L35,L35&gt;L34,L34&gt;L33),AND(L38&lt;L37,L37&lt;L36,L36&lt;L35,L35&lt;L34,L34&lt;L33))),"6 subindo ou descendo","")))))</f>
        <v>Média fora dos limites</v>
      </c>
      <c r="Q38" s="22" t="str">
        <f aca="false">IF(COUNT(E38:I38)+LEN(C38)+LEN(D38)+LEN(J38)=0,"",IF(AND(COUNT(E38:I38)&gt;0,COUNT(E38:I38)&lt;5),"Faltam medições",IF(AND(COUNT(E38:I38)&gt;0,C38=""),"Falta a data",IF(AND(J38="Sim",K38=""),"Falta o motivo",IF(COUNT(E38:I38)=0,"Faltam medições","OK")))))</f>
        <v>OK</v>
      </c>
      <c r="S38" s="27" t="n">
        <f aca="false">$L$12</f>
        <v>40.3391615384615</v>
      </c>
      <c r="T38" s="27" t="n">
        <f aca="false">$L$11</f>
        <v>39.9707692307692</v>
      </c>
      <c r="U38" s="27" t="n">
        <f aca="false">$L$13</f>
        <v>39.6023769230769</v>
      </c>
      <c r="V38" s="27" t="n">
        <f aca="false">$L$15</f>
        <v>1.34970769230769</v>
      </c>
      <c r="W38" s="27" t="n">
        <f aca="false">$L$14</f>
        <v>0.638461538461538</v>
      </c>
    </row>
    <row r="39" customFormat="false" ht="19.5" hidden="false" customHeight="true" outlineLevel="0" collapsed="false">
      <c r="B39" s="16" t="n">
        <v>21</v>
      </c>
      <c r="C39" s="38" t="n">
        <v>46582</v>
      </c>
      <c r="D39" s="7" t="s">
        <v>230</v>
      </c>
      <c r="E39" s="44" t="n">
        <v>39.2</v>
      </c>
      <c r="F39" s="44" t="n">
        <v>39.4</v>
      </c>
      <c r="G39" s="44" t="n">
        <v>40.1</v>
      </c>
      <c r="H39" s="44" t="n">
        <v>39.4</v>
      </c>
      <c r="I39" s="44" t="n">
        <v>39.6</v>
      </c>
      <c r="J39" s="40"/>
      <c r="K39" s="41"/>
      <c r="L39" s="18" t="n">
        <f aca="false">IF(COUNT(E39:I39)=5,AVERAGE(E39:I39),"")</f>
        <v>39.54</v>
      </c>
      <c r="M39" s="19" t="n">
        <f aca="false">IF(COUNT(E39:I39)=5,MAX(E39:I39)-MIN(E39:I39),"")</f>
        <v>0.899999999999999</v>
      </c>
      <c r="N39" s="20" t="str">
        <f aca="false">IF(L39="","",IF(J39="Sim","Excluído",IF(OR($E$14="",B39&lt;=$E$14),"Base","Acompanhamento")))</f>
        <v>Acompanhamento</v>
      </c>
      <c r="O39" s="21" t="n">
        <f aca="false">IF(OR(COUNT(E39:I39)=0,$E$12="",$E$13=""),"",COUNTIF(E39:I39,"&lt;"&amp;$E$12)+COUNTIF(E39:I39,"&gt;"&amp;$E$13))</f>
        <v>0</v>
      </c>
      <c r="P39" s="22" t="str">
        <f aca="false">IF(OR(L39="",$L$11=""),"",IF(OR(L39&gt;$L$12,L39&lt;$L$13),"Média fora dos limites",IF(M39&gt;$L$15,"Amplitude fora do limite",IF(OR(COUNTIF(L33:L39,"&gt;"&amp;$L$11)=7,COUNTIF(L33:L39,"&lt;"&amp;$L$11)=7),"7 do mesmo lado",IF(AND(COUNT(L34:L39)=6,OR(AND(L39&gt;L38,L38&gt;L37,L37&gt;L36,L36&gt;L35,L35&gt;L34),AND(L39&lt;L38,L38&lt;L37,L37&lt;L36,L36&lt;L35,L35&lt;L34))),"6 subindo ou descendo","")))))</f>
        <v>Média fora dos limites</v>
      </c>
      <c r="Q39" s="22" t="str">
        <f aca="false">IF(COUNT(E39:I39)+LEN(C39)+LEN(D39)+LEN(J39)=0,"",IF(AND(COUNT(E39:I39)&gt;0,COUNT(E39:I39)&lt;5),"Faltam medições",IF(AND(COUNT(E39:I39)&gt;0,C39=""),"Falta a data",IF(AND(J39="Sim",K39=""),"Falta o motivo",IF(COUNT(E39:I39)=0,"Faltam medições","OK")))))</f>
        <v>OK</v>
      </c>
      <c r="S39" s="27" t="n">
        <f aca="false">$L$12</f>
        <v>40.3391615384615</v>
      </c>
      <c r="T39" s="27" t="n">
        <f aca="false">$L$11</f>
        <v>39.9707692307692</v>
      </c>
      <c r="U39" s="27" t="n">
        <f aca="false">$L$13</f>
        <v>39.6023769230769</v>
      </c>
      <c r="V39" s="27" t="n">
        <f aca="false">$L$15</f>
        <v>1.34970769230769</v>
      </c>
      <c r="W39" s="27" t="n">
        <f aca="false">$L$14</f>
        <v>0.638461538461538</v>
      </c>
    </row>
    <row r="40" customFormat="false" ht="19.5" hidden="false" customHeight="true" outlineLevel="0" collapsed="false">
      <c r="B40" s="16" t="n">
        <v>22</v>
      </c>
      <c r="C40" s="38" t="n">
        <v>46582</v>
      </c>
      <c r="D40" s="7" t="s">
        <v>231</v>
      </c>
      <c r="E40" s="44" t="n">
        <v>39.3</v>
      </c>
      <c r="F40" s="44" t="n">
        <v>39.8</v>
      </c>
      <c r="G40" s="44" t="n">
        <v>39.7</v>
      </c>
      <c r="H40" s="44" t="n">
        <v>40</v>
      </c>
      <c r="I40" s="44" t="n">
        <v>39.2</v>
      </c>
      <c r="J40" s="40"/>
      <c r="K40" s="41"/>
      <c r="L40" s="18" t="n">
        <f aca="false">IF(COUNT(E40:I40)=5,AVERAGE(E40:I40),"")</f>
        <v>39.6</v>
      </c>
      <c r="M40" s="19" t="n">
        <f aca="false">IF(COUNT(E40:I40)=5,MAX(E40:I40)-MIN(E40:I40),"")</f>
        <v>0.799999999999997</v>
      </c>
      <c r="N40" s="20" t="str">
        <f aca="false">IF(L40="","",IF(J40="Sim","Excluído",IF(OR($E$14="",B40&lt;=$E$14),"Base","Acompanhamento")))</f>
        <v>Acompanhamento</v>
      </c>
      <c r="O40" s="21" t="n">
        <f aca="false">IF(OR(COUNT(E40:I40)=0,$E$12="",$E$13=""),"",COUNTIF(E40:I40,"&lt;"&amp;$E$12)+COUNTIF(E40:I40,"&gt;"&amp;$E$13))</f>
        <v>0</v>
      </c>
      <c r="P40" s="22" t="str">
        <f aca="false">IF(OR(L40="",$L$11=""),"",IF(OR(L40&gt;$L$12,L40&lt;$L$13),"Média fora dos limites",IF(M40&gt;$L$15,"Amplitude fora do limite",IF(OR(COUNTIF(L34:L40,"&gt;"&amp;$L$11)=7,COUNTIF(L34:L40,"&lt;"&amp;$L$11)=7),"7 do mesmo lado",IF(AND(COUNT(L35:L40)=6,OR(AND(L40&gt;L39,L39&gt;L38,L38&gt;L37,L37&gt;L36,L36&gt;L35),AND(L40&lt;L39,L39&lt;L38,L38&lt;L37,L37&lt;L36,L36&lt;L35))),"6 subindo ou descendo","")))))</f>
        <v>Média fora dos limites</v>
      </c>
      <c r="Q40" s="22" t="str">
        <f aca="false">IF(COUNT(E40:I40)+LEN(C40)+LEN(D40)+LEN(J40)=0,"",IF(AND(COUNT(E40:I40)&gt;0,COUNT(E40:I40)&lt;5),"Faltam medições",IF(AND(COUNT(E40:I40)&gt;0,C40=""),"Falta a data",IF(AND(J40="Sim",K40=""),"Falta o motivo",IF(COUNT(E40:I40)=0,"Faltam medições","OK")))))</f>
        <v>OK</v>
      </c>
      <c r="S40" s="27" t="n">
        <f aca="false">$L$12</f>
        <v>40.3391615384615</v>
      </c>
      <c r="T40" s="27" t="n">
        <f aca="false">$L$11</f>
        <v>39.9707692307692</v>
      </c>
      <c r="U40" s="27" t="n">
        <f aca="false">$L$13</f>
        <v>39.6023769230769</v>
      </c>
      <c r="V40" s="27" t="n">
        <f aca="false">$L$15</f>
        <v>1.34970769230769</v>
      </c>
      <c r="W40" s="27" t="n">
        <f aca="false">$L$14</f>
        <v>0.638461538461538</v>
      </c>
    </row>
    <row r="41" customFormat="false" ht="19.5" hidden="false" customHeight="true" outlineLevel="0" collapsed="false">
      <c r="B41" s="16" t="n">
        <v>23</v>
      </c>
      <c r="C41" s="38" t="n">
        <v>46583</v>
      </c>
      <c r="D41" s="7" t="s">
        <v>230</v>
      </c>
      <c r="E41" s="44" t="n">
        <v>38.5</v>
      </c>
      <c r="F41" s="44" t="n">
        <v>39.3</v>
      </c>
      <c r="G41" s="44" t="n">
        <v>38.4</v>
      </c>
      <c r="H41" s="44" t="n">
        <v>39.1</v>
      </c>
      <c r="I41" s="44" t="n">
        <v>38.9</v>
      </c>
      <c r="J41" s="40"/>
      <c r="K41" s="41"/>
      <c r="L41" s="18" t="n">
        <f aca="false">IF(COUNT(E41:I41)=5,AVERAGE(E41:I41),"")</f>
        <v>38.84</v>
      </c>
      <c r="M41" s="19" t="n">
        <f aca="false">IF(COUNT(E41:I41)=5,MAX(E41:I41)-MIN(E41:I41),"")</f>
        <v>0.899999999999999</v>
      </c>
      <c r="N41" s="20" t="str">
        <f aca="false">IF(L41="","",IF(J41="Sim","Excluído",IF(OR($E$14="",B41&lt;=$E$14),"Base","Acompanhamento")))</f>
        <v>Acompanhamento</v>
      </c>
      <c r="O41" s="21" t="n">
        <f aca="false">IF(OR(COUNT(E41:I41)=0,$E$12="",$E$13=""),"",COUNTIF(E41:I41,"&lt;"&amp;$E$12)+COUNTIF(E41:I41,"&gt;"&amp;$E$13))</f>
        <v>0</v>
      </c>
      <c r="P41" s="22" t="str">
        <f aca="false">IF(OR(L41="",$L$11=""),"",IF(OR(L41&gt;$L$12,L41&lt;$L$13),"Média fora dos limites",IF(M41&gt;$L$15,"Amplitude fora do limite",IF(OR(COUNTIF(L35:L41,"&gt;"&amp;$L$11)=7,COUNTIF(L35:L41,"&lt;"&amp;$L$11)=7),"7 do mesmo lado",IF(AND(COUNT(L36:L41)=6,OR(AND(L41&gt;L40,L40&gt;L39,L39&gt;L38,L38&gt;L37,L37&gt;L36),AND(L41&lt;L40,L40&lt;L39,L39&lt;L38,L38&lt;L37,L37&lt;L36))),"6 subindo ou descendo","")))))</f>
        <v>Média fora dos limites</v>
      </c>
      <c r="Q41" s="22" t="str">
        <f aca="false">IF(COUNT(E41:I41)+LEN(C41)+LEN(D41)+LEN(J41)=0,"",IF(AND(COUNT(E41:I41)&gt;0,COUNT(E41:I41)&lt;5),"Faltam medições",IF(AND(COUNT(E41:I41)&gt;0,C41=""),"Falta a data",IF(AND(J41="Sim",K41=""),"Falta o motivo",IF(COUNT(E41:I41)=0,"Faltam medições","OK")))))</f>
        <v>OK</v>
      </c>
      <c r="S41" s="27" t="n">
        <f aca="false">$L$12</f>
        <v>40.3391615384615</v>
      </c>
      <c r="T41" s="27" t="n">
        <f aca="false">$L$11</f>
        <v>39.9707692307692</v>
      </c>
      <c r="U41" s="27" t="n">
        <f aca="false">$L$13</f>
        <v>39.6023769230769</v>
      </c>
      <c r="V41" s="27" t="n">
        <f aca="false">$L$15</f>
        <v>1.34970769230769</v>
      </c>
      <c r="W41" s="27" t="n">
        <f aca="false">$L$14</f>
        <v>0.638461538461538</v>
      </c>
    </row>
    <row r="42" customFormat="false" ht="19.5" hidden="false" customHeight="true" outlineLevel="0" collapsed="false">
      <c r="B42" s="16" t="n">
        <v>24</v>
      </c>
      <c r="C42" s="38" t="n">
        <v>46583</v>
      </c>
      <c r="D42" s="7" t="s">
        <v>231</v>
      </c>
      <c r="E42" s="44" t="n">
        <v>37.6</v>
      </c>
      <c r="F42" s="44" t="n">
        <v>38.8</v>
      </c>
      <c r="G42" s="44" t="n">
        <v>38.4</v>
      </c>
      <c r="H42" s="44" t="n">
        <v>38.1</v>
      </c>
      <c r="I42" s="44" t="n">
        <v>37.8</v>
      </c>
      <c r="J42" s="40"/>
      <c r="K42" s="41"/>
      <c r="L42" s="18" t="n">
        <f aca="false">IF(COUNT(E42:I42)=5,AVERAGE(E42:I42),"")</f>
        <v>38.14</v>
      </c>
      <c r="M42" s="19" t="n">
        <f aca="false">IF(COUNT(E42:I42)=5,MAX(E42:I42)-MIN(E42:I42),"")</f>
        <v>1.2</v>
      </c>
      <c r="N42" s="20" t="str">
        <f aca="false">IF(L42="","",IF(J42="Sim","Excluído",IF(OR($E$14="",B42&lt;=$E$14),"Base","Acompanhamento")))</f>
        <v>Acompanhamento</v>
      </c>
      <c r="O42" s="21" t="n">
        <f aca="false">IF(OR(COUNT(E42:I42)=0,$E$12="",$E$13=""),"",COUNTIF(E42:I42,"&lt;"&amp;$E$12)+COUNTIF(E42:I42,"&gt;"&amp;$E$13))</f>
        <v>2</v>
      </c>
      <c r="P42" s="22" t="str">
        <f aca="false">IF(OR(L42="",$L$11=""),"",IF(OR(L42&gt;$L$12,L42&lt;$L$13),"Média fora dos limites",IF(M42&gt;$L$15,"Amplitude fora do limite",IF(OR(COUNTIF(L36:L42,"&gt;"&amp;$L$11)=7,COUNTIF(L36:L42,"&lt;"&amp;$L$11)=7),"7 do mesmo lado",IF(AND(COUNT(L37:L42)=6,OR(AND(L42&gt;L41,L41&gt;L40,L40&gt;L39,L39&gt;L38,L38&gt;L37),AND(L42&lt;L41,L41&lt;L40,L40&lt;L39,L39&lt;L38,L38&lt;L37))),"6 subindo ou descendo","")))))</f>
        <v>Média fora dos limites</v>
      </c>
      <c r="Q42" s="22" t="str">
        <f aca="false">IF(COUNT(E42:I42)+LEN(C42)+LEN(D42)+LEN(J42)=0,"",IF(AND(COUNT(E42:I42)&gt;0,COUNT(E42:I42)&lt;5),"Faltam medições",IF(AND(COUNT(E42:I42)&gt;0,C42=""),"Falta a data",IF(AND(J42="Sim",K42=""),"Falta o motivo",IF(COUNT(E42:I42)=0,"Faltam medições","OK")))))</f>
        <v>OK</v>
      </c>
      <c r="S42" s="27" t="n">
        <f aca="false">$L$12</f>
        <v>40.3391615384615</v>
      </c>
      <c r="T42" s="27" t="n">
        <f aca="false">$L$11</f>
        <v>39.9707692307692</v>
      </c>
      <c r="U42" s="27" t="n">
        <f aca="false">$L$13</f>
        <v>39.6023769230769</v>
      </c>
      <c r="V42" s="27" t="n">
        <f aca="false">$L$15</f>
        <v>1.34970769230769</v>
      </c>
      <c r="W42" s="27" t="n">
        <f aca="false">$L$14</f>
        <v>0.638461538461538</v>
      </c>
    </row>
    <row r="43" customFormat="false" ht="19.5" hidden="false" customHeight="true" outlineLevel="0" collapsed="false">
      <c r="B43" s="16" t="n">
        <v>25</v>
      </c>
      <c r="C43" s="38" t="n">
        <v>46584</v>
      </c>
      <c r="D43" s="7" t="s">
        <v>230</v>
      </c>
      <c r="E43" s="44" t="n">
        <v>39.2</v>
      </c>
      <c r="F43" s="44" t="n">
        <v>39.4</v>
      </c>
      <c r="G43" s="44" t="n">
        <v>38.2</v>
      </c>
      <c r="H43" s="44" t="n">
        <v>38.2</v>
      </c>
      <c r="I43" s="44" t="n">
        <v>38.4</v>
      </c>
      <c r="J43" s="40"/>
      <c r="K43" s="41"/>
      <c r="L43" s="18" t="n">
        <f aca="false">IF(COUNT(E43:I43)=5,AVERAGE(E43:I43),"")</f>
        <v>38.68</v>
      </c>
      <c r="M43" s="19" t="n">
        <f aca="false">IF(COUNT(E43:I43)=5,MAX(E43:I43)-MIN(E43:I43),"")</f>
        <v>1.2</v>
      </c>
      <c r="N43" s="20" t="str">
        <f aca="false">IF(L43="","",IF(J43="Sim","Excluído",IF(OR($E$14="",B43&lt;=$E$14),"Base","Acompanhamento")))</f>
        <v>Acompanhamento</v>
      </c>
      <c r="O43" s="21" t="n">
        <f aca="false">IF(OR(COUNT(E43:I43)=0,$E$12="",$E$13=""),"",COUNTIF(E43:I43,"&lt;"&amp;$E$12)+COUNTIF(E43:I43,"&gt;"&amp;$E$13))</f>
        <v>0</v>
      </c>
      <c r="P43" s="22" t="str">
        <f aca="false">IF(OR(L43="",$L$11=""),"",IF(OR(L43&gt;$L$12,L43&lt;$L$13),"Média fora dos limites",IF(M43&gt;$L$15,"Amplitude fora do limite",IF(OR(COUNTIF(L37:L43,"&gt;"&amp;$L$11)=7,COUNTIF(L37:L43,"&lt;"&amp;$L$11)=7),"7 do mesmo lado",IF(AND(COUNT(L38:L43)=6,OR(AND(L43&gt;L42,L42&gt;L41,L41&gt;L40,L40&gt;L39,L39&gt;L38),AND(L43&lt;L42,L42&lt;L41,L41&lt;L40,L40&lt;L39,L39&lt;L38))),"6 subindo ou descendo","")))))</f>
        <v>Média fora dos limites</v>
      </c>
      <c r="Q43" s="22" t="str">
        <f aca="false">IF(COUNT(E43:I43)+LEN(C43)+LEN(D43)+LEN(J43)=0,"",IF(AND(COUNT(E43:I43)&gt;0,COUNT(E43:I43)&lt;5),"Faltam medições",IF(AND(COUNT(E43:I43)&gt;0,C43=""),"Falta a data",IF(AND(J43="Sim",K43=""),"Falta o motivo",IF(COUNT(E43:I43)=0,"Faltam medições","OK")))))</f>
        <v>OK</v>
      </c>
      <c r="S43" s="27" t="n">
        <f aca="false">$L$12</f>
        <v>40.3391615384615</v>
      </c>
      <c r="T43" s="27" t="n">
        <f aca="false">$L$11</f>
        <v>39.9707692307692</v>
      </c>
      <c r="U43" s="27" t="n">
        <f aca="false">$L$13</f>
        <v>39.6023769230769</v>
      </c>
      <c r="V43" s="27" t="n">
        <f aca="false">$L$15</f>
        <v>1.34970769230769</v>
      </c>
      <c r="W43" s="27" t="n">
        <f aca="false">$L$14</f>
        <v>0.638461538461538</v>
      </c>
    </row>
    <row r="45" customFormat="false" ht="21.75" hidden="false" customHeight="true" outlineLevel="0" collapsed="false">
      <c r="B45" s="42" t="s">
        <v>95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</row>
    <row r="61" customFormat="false" ht="21.75" hidden="false" customHeight="true" outlineLevel="0" collapsed="false">
      <c r="B61" s="23" t="s">
        <v>93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</row>
    <row r="62" customFormat="false" ht="15" hidden="false" customHeight="true" outlineLevel="0" collapsed="false">
      <c r="B62" s="15" t="s">
        <v>121</v>
      </c>
      <c r="C62" s="15"/>
      <c r="D62" s="15"/>
      <c r="E62" s="15" t="s">
        <v>122</v>
      </c>
      <c r="F62" s="15"/>
      <c r="G62" s="15" t="s">
        <v>123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customFormat="false" ht="15" hidden="false" customHeight="true" outlineLevel="0" collapsed="false">
      <c r="B63" s="29" t="s">
        <v>124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</row>
    <row r="64" customFormat="false" ht="19.5" hidden="false" customHeight="true" outlineLevel="0" collapsed="false">
      <c r="B64" s="4" t="s">
        <v>125</v>
      </c>
      <c r="C64" s="4"/>
      <c r="D64" s="4"/>
      <c r="E64" s="8" t="n">
        <f aca="false">COUNT($L$19:$L$43)</f>
        <v>25</v>
      </c>
      <c r="F64" s="8"/>
      <c r="G64" s="30" t="s">
        <v>126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</row>
    <row r="65" customFormat="false" ht="19.5" hidden="false" customHeight="true" outlineLevel="0" collapsed="false">
      <c r="B65" s="4" t="s">
        <v>127</v>
      </c>
      <c r="C65" s="4"/>
      <c r="D65" s="4"/>
      <c r="E65" s="8" t="n">
        <f aca="false">COUNTIF($N$19:$N$43,"Base")</f>
        <v>13</v>
      </c>
      <c r="F65" s="8"/>
      <c r="G65" s="30" t="s">
        <v>128</v>
      </c>
      <c r="H65" s="30"/>
      <c r="I65" s="30"/>
      <c r="J65" s="30"/>
      <c r="K65" s="30"/>
      <c r="L65" s="30"/>
      <c r="M65" s="30"/>
      <c r="N65" s="30"/>
      <c r="O65" s="30"/>
      <c r="P65" s="30"/>
      <c r="Q65" s="30"/>
    </row>
    <row r="66" customFormat="false" ht="19.5" hidden="false" customHeight="true" outlineLevel="0" collapsed="false">
      <c r="B66" s="4" t="s">
        <v>129</v>
      </c>
      <c r="C66" s="4"/>
      <c r="D66" s="4"/>
      <c r="E66" s="8" t="n">
        <f aca="false">COUNTIF($N$19:$N$43,"Excluído")</f>
        <v>1</v>
      </c>
      <c r="F66" s="8"/>
      <c r="G66" s="30" t="s">
        <v>130</v>
      </c>
      <c r="H66" s="30"/>
      <c r="I66" s="30"/>
      <c r="J66" s="30"/>
      <c r="K66" s="30"/>
      <c r="L66" s="30"/>
      <c r="M66" s="30"/>
      <c r="N66" s="30"/>
      <c r="O66" s="30"/>
      <c r="P66" s="30"/>
      <c r="Q66" s="30"/>
    </row>
    <row r="67" customFormat="false" ht="19.5" hidden="false" customHeight="true" outlineLevel="0" collapsed="false">
      <c r="B67" s="4" t="s">
        <v>131</v>
      </c>
      <c r="C67" s="4"/>
      <c r="D67" s="4"/>
      <c r="E67" s="8" t="n">
        <f aca="false">COUNTIF($N$19:$N$43,"Acompanhamento")</f>
        <v>11</v>
      </c>
      <c r="F67" s="8"/>
      <c r="G67" s="30" t="s">
        <v>132</v>
      </c>
      <c r="H67" s="30"/>
      <c r="I67" s="30"/>
      <c r="J67" s="30"/>
      <c r="K67" s="30"/>
      <c r="L67" s="30"/>
      <c r="M67" s="30"/>
      <c r="N67" s="30"/>
      <c r="O67" s="30"/>
      <c r="P67" s="30"/>
      <c r="Q67" s="30"/>
    </row>
    <row r="68" customFormat="false" ht="19.5" hidden="false" customHeight="true" outlineLevel="0" collapsed="false">
      <c r="B68" s="4" t="s">
        <v>133</v>
      </c>
      <c r="C68" s="4"/>
      <c r="D68" s="4"/>
      <c r="E68" s="8" t="n">
        <f aca="false">SUMPRODUCT(($Q$19:$Q$43&lt;&gt;"")*($Q$19:$Q$43&lt;&gt;"OK"))</f>
        <v>0</v>
      </c>
      <c r="F68" s="8"/>
      <c r="G68" s="30" t="s">
        <v>134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</row>
    <row r="69" customFormat="false" ht="15" hidden="false" customHeight="true" outlineLevel="0" collapsed="false">
      <c r="B69" s="29" t="s">
        <v>135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</row>
    <row r="70" customFormat="false" ht="19.5" hidden="false" customHeight="true" outlineLevel="0" collapsed="false">
      <c r="B70" s="4" t="s">
        <v>136</v>
      </c>
      <c r="C70" s="4"/>
      <c r="D70" s="4"/>
      <c r="E70" s="8" t="n">
        <f aca="false">COUNTIF($P$19:$P$43,"Média fora dos limites")</f>
        <v>8</v>
      </c>
      <c r="F70" s="8"/>
      <c r="G70" s="30" t="s">
        <v>137</v>
      </c>
      <c r="H70" s="30"/>
      <c r="I70" s="30"/>
      <c r="J70" s="30"/>
      <c r="K70" s="30"/>
      <c r="L70" s="30"/>
      <c r="M70" s="30"/>
      <c r="N70" s="30"/>
      <c r="O70" s="30"/>
      <c r="P70" s="30"/>
      <c r="Q70" s="30"/>
    </row>
    <row r="71" customFormat="false" ht="19.5" hidden="false" customHeight="true" outlineLevel="0" collapsed="false">
      <c r="B71" s="4" t="s">
        <v>138</v>
      </c>
      <c r="C71" s="4"/>
      <c r="D71" s="4"/>
      <c r="E71" s="8" t="n">
        <f aca="false">COUNTIF($P$19:$P$43,"Amplitude fora do limite")</f>
        <v>0</v>
      </c>
      <c r="F71" s="8"/>
      <c r="G71" s="30" t="s">
        <v>139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</row>
    <row r="72" customFormat="false" ht="19.5" hidden="false" customHeight="true" outlineLevel="0" collapsed="false">
      <c r="B72" s="4" t="s">
        <v>140</v>
      </c>
      <c r="C72" s="4"/>
      <c r="D72" s="4"/>
      <c r="E72" s="8" t="n">
        <f aca="false">COUNTIF($P$19:$P$43,"7 do mesmo lado")</f>
        <v>0</v>
      </c>
      <c r="F72" s="8"/>
      <c r="G72" s="30" t="s">
        <v>141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</row>
    <row r="73" customFormat="false" ht="19.5" hidden="false" customHeight="true" outlineLevel="0" collapsed="false">
      <c r="B73" s="4" t="s">
        <v>142</v>
      </c>
      <c r="C73" s="4"/>
      <c r="D73" s="4"/>
      <c r="E73" s="8" t="n">
        <f aca="false">COUNTIF($P$19:$P$43,"6 subindo ou descendo")</f>
        <v>0</v>
      </c>
      <c r="F73" s="8"/>
      <c r="G73" s="30" t="s">
        <v>143</v>
      </c>
      <c r="H73" s="30"/>
      <c r="I73" s="30"/>
      <c r="J73" s="30"/>
      <c r="K73" s="30"/>
      <c r="L73" s="30"/>
      <c r="M73" s="30"/>
      <c r="N73" s="30"/>
      <c r="O73" s="30"/>
      <c r="P73" s="30"/>
      <c r="Q73" s="30"/>
    </row>
    <row r="74" customFormat="false" ht="19.5" hidden="false" customHeight="true" outlineLevel="0" collapsed="false">
      <c r="B74" s="4" t="s">
        <v>144</v>
      </c>
      <c r="C74" s="4"/>
      <c r="D74" s="4"/>
      <c r="E74" s="8" t="n">
        <f aca="false">SUMPRODUCT(($N$19:$N$43="Base")*(LEN($P$19:$P$43)&gt;0))</f>
        <v>0</v>
      </c>
      <c r="F74" s="8"/>
      <c r="G74" s="30" t="s">
        <v>145</v>
      </c>
      <c r="H74" s="30"/>
      <c r="I74" s="30"/>
      <c r="J74" s="30"/>
      <c r="K74" s="30"/>
      <c r="L74" s="30"/>
      <c r="M74" s="30"/>
      <c r="N74" s="30"/>
      <c r="O74" s="30"/>
      <c r="P74" s="30"/>
      <c r="Q74" s="30"/>
    </row>
    <row r="75" customFormat="false" ht="19.5" hidden="false" customHeight="true" outlineLevel="0" collapsed="false">
      <c r="B75" s="4" t="s">
        <v>146</v>
      </c>
      <c r="C75" s="4"/>
      <c r="D75" s="4"/>
      <c r="E75" s="8" t="n">
        <f aca="false">SUMPRODUCT(($N$19:$N$43="Acompanhamento")*(LEN($P$19:$P$43)&gt;0))</f>
        <v>7</v>
      </c>
      <c r="F75" s="8"/>
      <c r="G75" s="30" t="s">
        <v>147</v>
      </c>
      <c r="H75" s="30"/>
      <c r="I75" s="30"/>
      <c r="J75" s="30"/>
      <c r="K75" s="30"/>
      <c r="L75" s="30"/>
      <c r="M75" s="30"/>
      <c r="N75" s="30"/>
      <c r="O75" s="30"/>
      <c r="P75" s="30"/>
      <c r="Q75" s="30"/>
    </row>
    <row r="76" customFormat="false" ht="19.5" hidden="false" customHeight="true" outlineLevel="0" collapsed="false">
      <c r="B76" s="4" t="s">
        <v>148</v>
      </c>
      <c r="C76" s="4"/>
      <c r="D76" s="4"/>
      <c r="E76" s="31" t="n">
        <f aca="false">IFERROR(INDEX($C$19:$C$43,MATCH(1,INDEX(($N$19:$N$43="Acompanhamento")*(LEN($P$19:$P$43)&gt;0),0),0)),"")</f>
        <v>46581</v>
      </c>
      <c r="F76" s="31"/>
      <c r="G76" s="30" t="s">
        <v>149</v>
      </c>
      <c r="H76" s="30"/>
      <c r="I76" s="30"/>
      <c r="J76" s="30"/>
      <c r="K76" s="30"/>
      <c r="L76" s="30"/>
      <c r="M76" s="30"/>
      <c r="N76" s="30"/>
      <c r="O76" s="30"/>
      <c r="P76" s="30"/>
      <c r="Q76" s="30"/>
    </row>
    <row r="77" customFormat="false" ht="15" hidden="false" customHeight="true" outlineLevel="0" collapsed="false">
      <c r="B77" s="29" t="s">
        <v>150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</row>
    <row r="78" customFormat="false" ht="19.5" hidden="false" customHeight="true" outlineLevel="0" collapsed="false">
      <c r="B78" s="4" t="s">
        <v>109</v>
      </c>
      <c r="C78" s="4"/>
      <c r="D78" s="4"/>
      <c r="E78" s="8" t="n">
        <f aca="false">COUNT($E$19:$I$43)</f>
        <v>125</v>
      </c>
      <c r="F78" s="8"/>
      <c r="G78" s="30" t="s">
        <v>151</v>
      </c>
      <c r="H78" s="30"/>
      <c r="I78" s="30"/>
      <c r="J78" s="30"/>
      <c r="K78" s="30"/>
      <c r="L78" s="30"/>
      <c r="M78" s="30"/>
      <c r="N78" s="30"/>
      <c r="O78" s="30"/>
      <c r="P78" s="30"/>
      <c r="Q78" s="30"/>
    </row>
    <row r="79" customFormat="false" ht="19.5" hidden="false" customHeight="true" outlineLevel="0" collapsed="false">
      <c r="B79" s="4" t="s">
        <v>152</v>
      </c>
      <c r="C79" s="4"/>
      <c r="D79" s="4"/>
      <c r="E79" s="8" t="n">
        <f aca="false">SUM($O$19:$O$43)</f>
        <v>2</v>
      </c>
      <c r="F79" s="8"/>
      <c r="G79" s="30" t="s">
        <v>153</v>
      </c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customFormat="false" ht="19.5" hidden="false" customHeight="true" outlineLevel="0" collapsed="false">
      <c r="B80" s="4" t="s">
        <v>154</v>
      </c>
      <c r="C80" s="4"/>
      <c r="D80" s="4"/>
      <c r="E80" s="32" t="n">
        <f aca="false">IF(OR($L$16="",$E$12="",$E$13=""),"",IF($L$16=0,"",($E$13-$E$12)/(6*$L$16)))</f>
        <v>2.42875502008032</v>
      </c>
      <c r="F80" s="32"/>
      <c r="G80" s="30" t="s">
        <v>155</v>
      </c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customFormat="false" ht="19.5" hidden="false" customHeight="true" outlineLevel="0" collapsed="false">
      <c r="B81" s="4" t="s">
        <v>156</v>
      </c>
      <c r="C81" s="4"/>
      <c r="D81" s="4"/>
      <c r="E81" s="32" t="n">
        <f aca="false">IF(OR($L$16="",$E$12="",$E$13=""),"",IF($L$16=0,"",MIN($E$13-$L$11,$L$11-$E$12)/(3*$L$16)))</f>
        <v>2.3932578313253</v>
      </c>
      <c r="F81" s="32"/>
      <c r="G81" s="30" t="s">
        <v>157</v>
      </c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customFormat="false" ht="19.5" hidden="false" customHeight="true" outlineLevel="0" collapsed="false">
      <c r="B82" s="4" t="s">
        <v>158</v>
      </c>
      <c r="C82" s="4"/>
      <c r="D82" s="4"/>
      <c r="E82" s="33" t="str">
        <f aca="false">IF(E81="","",IF(E74&gt;0,"Base com sinal: trate antes",IF(E81&gt;=1.33,"Capaz",IF(E81&gt;=1,"No limite","Não capaz"))))</f>
        <v>Capaz</v>
      </c>
      <c r="F82" s="33"/>
      <c r="G82" s="30" t="s">
        <v>159</v>
      </c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 customFormat="false" ht="21.75" hidden="false" customHeight="true" outlineLevel="0" collapsed="false">
      <c r="B83" s="4" t="s">
        <v>160</v>
      </c>
      <c r="C83" s="4"/>
      <c r="D83" s="4"/>
      <c r="E83" s="34" t="str">
        <f aca="false">IF(E64=0,"Lance os subgrupos na aba Dados",IF(E65&lt;20,"Base com menos de 20 subgrupos: limites provisórios",IF(E68&gt;0,"Há linha a completar: veja a coluna Conferência",IF(E74&gt;0,"Há sinal na base: procure a causa e exclua o subgrupo",IF(E75&gt;0,"Há sinal no acompanhamento: procure a causa e anote a ação",IF(E82="Não capaz","Processo em controle, mas não capaz: mude o processo",IF(E82="No limite","Capacidade no limite: acompanhe de perto","OK")))))))</f>
        <v>Base com menos de 20 subgrupos: limites provisórios</v>
      </c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</row>
  </sheetData>
  <mergeCells count="99">
    <mergeCell ref="B1:Q1"/>
    <mergeCell ref="B2:Q2"/>
    <mergeCell ref="B4:D4"/>
    <mergeCell ref="E4:Q4"/>
    <mergeCell ref="B5:D5"/>
    <mergeCell ref="E5:Q5"/>
    <mergeCell ref="B6:D6"/>
    <mergeCell ref="E6:Q6"/>
    <mergeCell ref="B7:D7"/>
    <mergeCell ref="E7:Q7"/>
    <mergeCell ref="B8:D8"/>
    <mergeCell ref="E8:Q8"/>
    <mergeCell ref="B10:D10"/>
    <mergeCell ref="E10:I10"/>
    <mergeCell ref="L10:M10"/>
    <mergeCell ref="N10:Q10"/>
    <mergeCell ref="B11:D11"/>
    <mergeCell ref="E11:I11"/>
    <mergeCell ref="L11:M11"/>
    <mergeCell ref="N11:Q11"/>
    <mergeCell ref="B12:D12"/>
    <mergeCell ref="E12:I12"/>
    <mergeCell ref="L12:M12"/>
    <mergeCell ref="N12:Q12"/>
    <mergeCell ref="B13:D13"/>
    <mergeCell ref="E13:I13"/>
    <mergeCell ref="L13:M13"/>
    <mergeCell ref="N13:Q13"/>
    <mergeCell ref="B14:D14"/>
    <mergeCell ref="E14:I14"/>
    <mergeCell ref="L14:M14"/>
    <mergeCell ref="N14:Q14"/>
    <mergeCell ref="B15:D15"/>
    <mergeCell ref="E15:I15"/>
    <mergeCell ref="L15:M15"/>
    <mergeCell ref="N15:Q15"/>
    <mergeCell ref="L16:M16"/>
    <mergeCell ref="N16:Q16"/>
    <mergeCell ref="B45:Q45"/>
    <mergeCell ref="B61:Q61"/>
    <mergeCell ref="B62:D62"/>
    <mergeCell ref="E62:F62"/>
    <mergeCell ref="G62:Q62"/>
    <mergeCell ref="B63:Q63"/>
    <mergeCell ref="B64:D64"/>
    <mergeCell ref="E64:F64"/>
    <mergeCell ref="G64:Q64"/>
    <mergeCell ref="B65:D65"/>
    <mergeCell ref="E65:F65"/>
    <mergeCell ref="G65:Q65"/>
    <mergeCell ref="B66:D66"/>
    <mergeCell ref="E66:F66"/>
    <mergeCell ref="G66:Q66"/>
    <mergeCell ref="B67:D67"/>
    <mergeCell ref="E67:F67"/>
    <mergeCell ref="G67:Q67"/>
    <mergeCell ref="B68:D68"/>
    <mergeCell ref="E68:F68"/>
    <mergeCell ref="G68:Q68"/>
    <mergeCell ref="B69:Q69"/>
    <mergeCell ref="B70:D70"/>
    <mergeCell ref="E70:F70"/>
    <mergeCell ref="G70:Q70"/>
    <mergeCell ref="B71:D71"/>
    <mergeCell ref="E71:F71"/>
    <mergeCell ref="G71:Q71"/>
    <mergeCell ref="B72:D72"/>
    <mergeCell ref="E72:F72"/>
    <mergeCell ref="G72:Q72"/>
    <mergeCell ref="B73:D73"/>
    <mergeCell ref="E73:F73"/>
    <mergeCell ref="G73:Q73"/>
    <mergeCell ref="B74:D74"/>
    <mergeCell ref="E74:F74"/>
    <mergeCell ref="G74:Q74"/>
    <mergeCell ref="B75:D75"/>
    <mergeCell ref="E75:F75"/>
    <mergeCell ref="G75:Q75"/>
    <mergeCell ref="B76:D76"/>
    <mergeCell ref="E76:F76"/>
    <mergeCell ref="G76:Q76"/>
    <mergeCell ref="B77:Q77"/>
    <mergeCell ref="B78:D78"/>
    <mergeCell ref="E78:F78"/>
    <mergeCell ref="G78:Q78"/>
    <mergeCell ref="B79:D79"/>
    <mergeCell ref="E79:F79"/>
    <mergeCell ref="G79:Q79"/>
    <mergeCell ref="B80:D80"/>
    <mergeCell ref="E80:F80"/>
    <mergeCell ref="G80:Q80"/>
    <mergeCell ref="B81:D81"/>
    <mergeCell ref="E81:F81"/>
    <mergeCell ref="G81:Q81"/>
    <mergeCell ref="B82:D82"/>
    <mergeCell ref="E82:F82"/>
    <mergeCell ref="G82:Q82"/>
    <mergeCell ref="B83:D83"/>
    <mergeCell ref="E83:Q83"/>
  </mergeCells>
  <conditionalFormatting sqref="N19:N43">
    <cfRule type="expression" priority="2" aboveAverage="0" equalAverage="0" bottom="0" percent="0" rank="0" text="" dxfId="0">
      <formula>N19="Base"</formula>
    </cfRule>
    <cfRule type="expression" priority="3" aboveAverage="0" equalAverage="0" bottom="0" percent="0" rank="0" text="" dxfId="1">
      <formula>N19="Acompanhamento"</formula>
    </cfRule>
    <cfRule type="expression" priority="4" aboveAverage="0" equalAverage="0" bottom="0" percent="0" rank="0" text="" dxfId="2">
      <formula>N19="Excluído"</formula>
    </cfRule>
  </conditionalFormatting>
  <conditionalFormatting sqref="P19:P43">
    <cfRule type="expression" priority="5" aboveAverage="0" equalAverage="0" bottom="0" percent="0" rank="0" text="" dxfId="3">
      <formula>P19="Média fora dos limites"</formula>
    </cfRule>
    <cfRule type="expression" priority="6" aboveAverage="0" equalAverage="0" bottom="0" percent="0" rank="0" text="" dxfId="3">
      <formula>P19="Amplitude fora do limite"</formula>
    </cfRule>
    <cfRule type="expression" priority="7" aboveAverage="0" equalAverage="0" bottom="0" percent="0" rank="0" text="" dxfId="4">
      <formula>P19="7 do mesmo lado"</formula>
    </cfRule>
    <cfRule type="expression" priority="8" aboveAverage="0" equalAverage="0" bottom="0" percent="0" rank="0" text="" dxfId="4">
      <formula>P19="6 subindo ou descendo"</formula>
    </cfRule>
  </conditionalFormatting>
  <conditionalFormatting sqref="Q19:Q43">
    <cfRule type="expression" priority="9" aboveAverage="0" equalAverage="0" bottom="0" percent="0" rank="0" text="" dxfId="0">
      <formula>OR(Q19="OK")</formula>
    </cfRule>
    <cfRule type="expression" priority="10" aboveAverage="0" equalAverage="0" bottom="0" percent="0" rank="0" text="" dxfId="2">
      <formula>AND(LEN(Q19)&gt;0,NOT(OR(Q19="OK")))</formula>
    </cfRule>
  </conditionalFormatting>
  <conditionalFormatting sqref="E19:I43">
    <cfRule type="expression" priority="11" aboveAverage="0" equalAverage="0" bottom="0" percent="0" rank="0" text="" dxfId="3">
      <formula>AND(ISNUMBER(E19),$E$12&lt;&gt;"",$E$13&lt;&gt;"",OR(E19&lt;$E$12,E19&gt;$E$13))</formula>
    </cfRule>
  </conditionalFormatting>
  <conditionalFormatting sqref="E82">
    <cfRule type="expression" priority="12" aboveAverage="0" equalAverage="0" bottom="0" percent="0" rank="0" text="" dxfId="0">
      <formula>E82="Capaz"</formula>
    </cfRule>
    <cfRule type="expression" priority="13" aboveAverage="0" equalAverage="0" bottom="0" percent="0" rank="0" text="" dxfId="4">
      <formula>E82="No limite"</formula>
    </cfRule>
    <cfRule type="expression" priority="14" aboveAverage="0" equalAverage="0" bottom="0" percent="0" rank="0" text="" dxfId="3">
      <formula>E82="Não capaz"</formula>
    </cfRule>
    <cfRule type="expression" priority="15" aboveAverage="0" equalAverage="0" bottom="0" percent="0" rank="0" text="" dxfId="2">
      <formula>E82="Base com sinal: trate antes"</formula>
    </cfRule>
  </conditionalFormatting>
  <conditionalFormatting sqref="E83:Q83">
    <cfRule type="expression" priority="16" aboveAverage="0" equalAverage="0" bottom="0" percent="0" rank="0" text="" dxfId="0">
      <formula>OR(E83="OK")</formula>
    </cfRule>
    <cfRule type="expression" priority="17" aboveAverage="0" equalAverage="0" bottom="0" percent="0" rank="0" text="" dxfId="2">
      <formula>AND(LEN(E83)&gt;0,NOT(OR(E83="OK")))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2026-10-03T17:36:52Z</dcterms:created>
  <dc:creator>Modelo Histograma e CEP</dc:creator>
  <dc:description/>
  <dc:language>pt-BR</dc:language>
  <cp:lastModifiedBy/>
  <dcterms:modified xsi:type="dcterms:W3CDTF">2026-10-03T17:36:53Z</dcterms:modified>
  <cp:revision>0</cp:revision>
  <dc:subject/>
  <dc:title>Histograma e CEP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