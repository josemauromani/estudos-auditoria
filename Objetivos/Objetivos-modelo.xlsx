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Objetivos" sheetId="2" state="visible" r:id="rId4"/>
    <sheet name="Planos" sheetId="3" state="visible" r:id="rId5"/>
    <sheet name="Acompanhamento" sheetId="4" state="visible" r:id="rId6"/>
    <sheet name="Painel" sheetId="5" state="visible" r:id="rId7"/>
    <sheet name="Checklist" sheetId="6" state="visible" r:id="rId8"/>
    <sheet name="Exemplo 1 - Pizzaria" sheetId="7" state="visible" r:id="rId9"/>
    <sheet name="Exemplo 2 - Indústria" sheetId="8" state="visible" r:id="rId10"/>
  </sheets>
  <definedNames>
    <definedName function="false" hidden="false" localSheetId="3" name="_xlnm.Print_Area" vbProcedure="false">Acompanhamento!$B$1:$V$23</definedName>
    <definedName function="false" hidden="false" localSheetId="5" name="_xlnm.Print_Area" vbProcedure="false">Checklist!$B$1:$E$24</definedName>
    <definedName function="false" hidden="false" localSheetId="6" name="_xlnm.Print_Area" vbProcedure="false">'Exemplo 1 - Pizzaria'!$B$1:$L$51</definedName>
    <definedName function="false" hidden="false" localSheetId="7" name="_xlnm.Print_Area" vbProcedure="false">'Exemplo 2 - Indústria'!$B$1:$L$53</definedName>
    <definedName function="false" hidden="false" localSheetId="0" name="_xlnm.Print_Area" vbProcedure="false">Instruções!$B$1:$C$44</definedName>
    <definedName function="false" hidden="false" localSheetId="1" name="_xlnm.Print_Area" vbProcedure="false">Objetivos!$B$1:$P$31</definedName>
    <definedName function="false" hidden="false" localSheetId="4" name="_xlnm.Print_Area" vbProcedure="false">Painel!$B$1:$L$56</definedName>
    <definedName function="false" hidden="false" localSheetId="2" name="_xlnm.Print_Area" vbProcedure="false">Planos!$B$1:$L$48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5" authorId="0">
      <text>
        <r>
          <rPr>
            <sz val="10"/>
            <rFont val="Arial"/>
            <family val="2"/>
          </rPr>
          <t xml:space="preserve">Os compromissos são as frases da política que podem virar objetivos. Escreva de um a quatro.</t>
        </r>
      </text>
    </comment>
    <comment ref="C12" authorId="0">
      <text>
        <r>
          <rPr>
            <sz val="10"/>
            <rFont val="Arial"/>
            <family val="2"/>
          </rPr>
          <t xml:space="preserve">Com verbo, resultado e número: “Reduzir as reclamações para no máximo 1,5 por 100 pedidos.”</t>
        </r>
      </text>
    </comment>
    <comment ref="I12" authorId="0">
      <text>
        <r>
          <rPr>
            <sz val="10"/>
            <rFont val="Arial"/>
            <family val="2"/>
          </rPr>
          <t xml:space="preserve">O valor de partida do indicador. Para um objetivo de realização, zero.</t>
        </r>
      </text>
    </comment>
    <comment ref="J12" authorId="0">
      <text>
        <r>
          <rPr>
            <sz val="10"/>
            <rFont val="Arial"/>
            <family val="2"/>
          </rPr>
          <t xml:space="preserve">O valor a alcançar. Para um objetivo de realização, o número de etapas.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H4" authorId="0">
      <text>
        <r>
          <rPr>
            <sz val="10"/>
            <rFont val="Arial"/>
            <family val="2"/>
          </rPr>
          <t xml:space="preserve">O prazo da ação vem antes do prazo do objetivo. A conferência avisa quando não vem.</t>
        </r>
      </text>
    </comment>
    <comment ref="K4" authorId="0">
      <text>
        <r>
          <rPr>
            <sz val="10"/>
            <rFont val="Arial"/>
            <family val="2"/>
          </rPr>
          <t xml:space="preserve">A medida que dirá se a ação funcionou: um indicador, um registro ou uma verificação, com frequência.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H6" authorId="0">
      <text>
        <r>
          <rPr>
            <sz val="10"/>
            <rFont val="Arial"/>
            <family val="2"/>
          </rPr>
          <t xml:space="preserve">Os nomes dos períodos: meses, trimestres ou semestres. Edite conforme a frequência.</t>
        </r>
      </text>
    </comment>
  </commentList>
</comments>
</file>

<file path=xl/sharedStrings.xml><?xml version="1.0" encoding="utf-8"?>
<sst xmlns="http://schemas.openxmlformats.org/spreadsheetml/2006/main" count="661" uniqueCount="362">
  <si>
    <t xml:space="preserve">Objetivos da qualidade — Como usar esta planilha</t>
  </si>
  <si>
    <t xml:space="preserve">Modelo para escrever a política, definir os objetivos com medida, meta e prazo, planejar as ações e acompanhar o resultado.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</si>
  <si>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</si>
  <si>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</si>
  <si>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</si>
  <si>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</si>
  <si>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tipos, situações, caminho percorrido,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</si>
  <si>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</si>
  <si>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</si>
  <si>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</si>
  <si>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Compromisso, origem, sentido, frequência, objetivo da ação, status e checklist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</si>
  <si>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</si>
  <si>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</si>
  <si>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</si>
  <si>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Tipo do objetivo</t>
  </si>
  <si>
    <t xml:space="preserve">Melhorar: a meta é melhor do que a base. Manter: a meta é igual à base, ou pior. Realizar: o indicador conta etapas concluídas, e a base é zero.</t>
  </si>
  <si>
    <t xml:space="preserve">Último resultado</t>
  </si>
  <si>
    <t xml:space="preserve">O último período preenchido na aba Acompanhamento. Períodos vazios no meio são ignorados.</t>
  </si>
  <si>
    <t xml:space="preserve">Alcançado</t>
  </si>
  <si>
    <t xml:space="preserve">O último resultado atende à meta, no sentido definido: maior ou menor é melhor.</t>
  </si>
  <si>
    <t xml:space="preserve">No caminho</t>
  </si>
  <si>
    <t xml:space="preserve">Não atende à meta, e está melhor do que a base.</t>
  </si>
  <si>
    <t xml:space="preserve">Em risco</t>
  </si>
  <si>
    <t xml:space="preserve">Não atende à meta, e não está melhor do que a base.</t>
  </si>
  <si>
    <t xml:space="preserve">Em andamento</t>
  </si>
  <si>
    <t xml:space="preserve">Não atende à meta, e não há base para comparar.</t>
  </si>
  <si>
    <t xml:space="preserve">Não alcançado</t>
  </si>
  <si>
    <t xml:space="preserve">O prazo do objetivo é anterior à data da análise, e a meta não foi atendida.</t>
  </si>
  <si>
    <t xml:space="preserve">Caminho percorrido</t>
  </si>
  <si>
    <t xml:space="preserve">(Último − base) ÷ (meta − base), de 0% a 100%. Para o objetivo de manutenção: 100% se atende, 0% se não.</t>
  </si>
  <si>
    <t xml:space="preserve">Ação atrasada</t>
  </si>
  <si>
    <t xml:space="preserve">Ação não iniciada ou em andamento com prazo anterior à data da análise, informada na aba Painel.</t>
  </si>
  <si>
    <t xml:space="preserve">Ordem recomendada de preenchimento</t>
  </si>
  <si>
    <t xml:space="preserve">Passo 1</t>
  </si>
  <si>
    <t xml:space="preserve">Aba Objetivos: escreva a política da qualidade e os seus compromissos, em até quatro frases.</t>
  </si>
  <si>
    <t xml:space="preserve">Passo 2</t>
  </si>
  <si>
    <t xml:space="preserve">Aba Objetivos: escreva cada objetivo, com compromisso, origem, indicador, unidade, sentido, base, meta, prazo, processo, responsável e frequência.</t>
  </si>
  <si>
    <t xml:space="preserve">Passo 3</t>
  </si>
  <si>
    <t xml:space="preserve">Aba Planos: para cada objetivo, as ações, com recursos, responsável, prazo, status e como se avalia.</t>
  </si>
  <si>
    <t xml:space="preserve">Passo 4</t>
  </si>
  <si>
    <t xml:space="preserve">Aba Acompanhamento: escreva os nomes dos períodos e lance os resultados conforme chegam.</t>
  </si>
  <si>
    <t xml:space="preserve">Passo 5</t>
  </si>
  <si>
    <t xml:space="preserve">Aba Painel: informe a data da análise e leia a situação de cada objetivo, o caminho percorrido e as ações atrasadas.</t>
  </si>
  <si>
    <t xml:space="preserve">Passo 6</t>
  </si>
  <si>
    <t xml:space="preserve">Aba Checklist: valide o quadro.</t>
  </si>
  <si>
    <t xml:space="preserve">Abas da planilha</t>
  </si>
  <si>
    <t xml:space="preserve">Objetivos</t>
  </si>
  <si>
    <t xml:space="preserve">A política, com até 4 compromissos, e até 12 objetivos. Calcula o tipo e a conferência de cada um.</t>
  </si>
  <si>
    <t xml:space="preserve">Planos</t>
  </si>
  <si>
    <t xml:space="preserve">Até 36 ações, ligadas aos objetivos pelo código. Calcula a conferência e as contagens.</t>
  </si>
  <si>
    <t xml:space="preserve">Acompanhamento</t>
  </si>
  <si>
    <t xml:space="preserve">Os resultados de cada objetivo em até 12 períodos. Calcula o último resultado, o caminho e a situação.</t>
  </si>
  <si>
    <t xml:space="preserve">Painel</t>
  </si>
  <si>
    <t xml:space="preserve">Os indicadores gerais, a leitura de cada objetivo, as ações atrasadas e o gráfico do caminho percorrido.</t>
  </si>
  <si>
    <t xml:space="preserve">Checklist</t>
  </si>
  <si>
    <t xml:space="preserve">Doze verificações de qualidade do quadro, com percentual de conclusão.</t>
  </si>
  <si>
    <t xml:space="preserve">Exemplo 1 - Pizzaria</t>
  </si>
  <si>
    <t xml:space="preserve">Os sete objetivos de 2027 da loja, com os planos e quatro meses de resultados.</t>
  </si>
  <si>
    <t xml:space="preserve">Exemplo 2 - Indústria</t>
  </si>
  <si>
    <t xml:space="preserve">Os sete objetivos de 2027 da fábrica, com os planos e seis meses de resultados.</t>
  </si>
  <si>
    <t xml:space="preserve">Regras e premissas do modelo</t>
  </si>
  <si>
    <t xml:space="preserve">Poucos objetivos</t>
  </si>
  <si>
    <t xml:space="preserve">O modelo aceita 12. O usual é de quatro a oito: o que não cabe vira indicador de rotina, ou fica para o ano seguinte.</t>
  </si>
  <si>
    <t xml:space="preserve">Código do objetivo</t>
  </si>
  <si>
    <t xml:space="preserve">Os códigos O1 a O12 são fixos. Na aba Planos, cada ação é ligada ao objetivo pelo código.</t>
  </si>
  <si>
    <t xml:space="preserve">Objetivo de realização</t>
  </si>
  <si>
    <t xml:space="preserve">Escreva as etapas no indicador (“etapas concluídas, de seis”), base 0 e meta igual ao número de etapas. Lance a cada mês quantas foram concluídas.</t>
  </si>
  <si>
    <t xml:space="preserve">Exemplos</t>
  </si>
  <si>
    <t xml:space="preserve">Os dados das abas de exemplo são ilustrativos, criados para este material.</t>
  </si>
  <si>
    <t xml:space="preserve">Política e objetivos da qualidade</t>
  </si>
  <si>
    <t xml:space="preserve">A política no alto, com os compromissos. Abaixo, os objetivos: cada um responde a um compromisso e a uma fonte.</t>
  </si>
  <si>
    <t xml:space="preserve">Organização e período</t>
  </si>
  <si>
    <t xml:space="preserve">Política da qualidade</t>
  </si>
  <si>
    <t xml:space="preserve">C1</t>
  </si>
  <si>
    <t xml:space="preserve">Compromisso 1</t>
  </si>
  <si>
    <t xml:space="preserve">C2</t>
  </si>
  <si>
    <t xml:space="preserve">Compromisso 2</t>
  </si>
  <si>
    <t xml:space="preserve">C3</t>
  </si>
  <si>
    <t xml:space="preserve">Compromisso 3</t>
  </si>
  <si>
    <t xml:space="preserve">C4</t>
  </si>
  <si>
    <t xml:space="preserve">Compromisso 4</t>
  </si>
  <si>
    <t xml:space="preserve">#</t>
  </si>
  <si>
    <t xml:space="preserve">Objetivo</t>
  </si>
  <si>
    <t xml:space="preserve">Compromisso</t>
  </si>
  <si>
    <t xml:space="preserve">Origem</t>
  </si>
  <si>
    <t xml:space="preserve">Indicador</t>
  </si>
  <si>
    <t xml:space="preserve">Unidade</t>
  </si>
  <si>
    <t xml:space="preserve">Sentido</t>
  </si>
  <si>
    <t xml:space="preserve">Base</t>
  </si>
  <si>
    <t xml:space="preserve">Meta</t>
  </si>
  <si>
    <t xml:space="preserve">Prazo</t>
  </si>
  <si>
    <t xml:space="preserve">Processo ou área</t>
  </si>
  <si>
    <t xml:space="preserve">Responsável</t>
  </si>
  <si>
    <t xml:space="preserve">Frequência</t>
  </si>
  <si>
    <t xml:space="preserve">Tipo</t>
  </si>
  <si>
    <t xml:space="preserve">Conferência</t>
  </si>
  <si>
    <t xml:space="preserve">Verbo, resultado, meta e prazo</t>
  </si>
  <si>
    <t xml:space="preserve">Lista</t>
  </si>
  <si>
    <t xml:space="preserve">O que se mede</t>
  </si>
  <si>
    <t xml:space="preserve">%, dias, etapas</t>
  </si>
  <si>
    <t xml:space="preserve">Partida</t>
  </si>
  <si>
    <t xml:space="preserve">Alvo</t>
  </si>
  <si>
    <t xml:space="preserve">Data</t>
  </si>
  <si>
    <t xml:space="preserve">Quem entrega</t>
  </si>
  <si>
    <t xml:space="preserve">Uma pessoa</t>
  </si>
  <si>
    <t xml:space="preserve">Calculado</t>
  </si>
  <si>
    <t xml:space="preserve">Calculada</t>
  </si>
  <si>
    <t xml:space="preserve">O1</t>
  </si>
  <si>
    <t xml:space="preserve">O2</t>
  </si>
  <si>
    <t xml:space="preserve">O3</t>
  </si>
  <si>
    <t xml:space="preserve">O4</t>
  </si>
  <si>
    <t xml:space="preserve">O5</t>
  </si>
  <si>
    <t xml:space="preserve">O6</t>
  </si>
  <si>
    <t xml:space="preserve">O7</t>
  </si>
  <si>
    <t xml:space="preserve">O8</t>
  </si>
  <si>
    <t xml:space="preserve">O9</t>
  </si>
  <si>
    <t xml:space="preserve">O10</t>
  </si>
  <si>
    <t xml:space="preserve">O11</t>
  </si>
  <si>
    <t xml:space="preserve">O12</t>
  </si>
  <si>
    <t xml:space="preserve">Resumo automático</t>
  </si>
  <si>
    <t xml:space="preserve">Compromissos escritos</t>
  </si>
  <si>
    <t xml:space="preserve">Objetivos escritos</t>
  </si>
  <si>
    <t xml:space="preserve">Por tipo</t>
  </si>
  <si>
    <t xml:space="preserve">Aviso</t>
  </si>
  <si>
    <t xml:space="preserve">Planos para alcançar os objetivos</t>
  </si>
  <si>
    <t xml:space="preserve">Uma linha por ação. As cinco respostas do requisito 6.2.2: o quê, recursos, quem, até quando e como se avalia.</t>
  </si>
  <si>
    <t xml:space="preserve">Objetivo (texto)</t>
  </si>
  <si>
    <t xml:space="preserve">O que será feito</t>
  </si>
  <si>
    <t xml:space="preserve">Recursos</t>
  </si>
  <si>
    <t xml:space="preserve">Até quando</t>
  </si>
  <si>
    <t xml:space="preserve">Status</t>
  </si>
  <si>
    <t xml:space="preserve">Concluída em</t>
  </si>
  <si>
    <t xml:space="preserve">Como se avalia o resultado</t>
  </si>
  <si>
    <t xml:space="preserve">Código</t>
  </si>
  <si>
    <t xml:space="preserve">Vem da aba Objetivos</t>
  </si>
  <si>
    <t xml:space="preserve">Com verbo</t>
  </si>
  <si>
    <t xml:space="preserve">Pessoas, dinheiro, tempo</t>
  </si>
  <si>
    <t xml:space="preserve">A medida que dirá se funcionou</t>
  </si>
  <si>
    <t xml:space="preserve">Ex.</t>
  </si>
  <si>
    <t xml:space="preserve">Entregar 96% dos pedidos em até 40 minutos.</t>
  </si>
  <si>
    <t xml:space="preserve">Rever a escala do pico em março.</t>
  </si>
  <si>
    <t xml:space="preserve">Dois entregadores extras nas sextas e nos sábados</t>
  </si>
  <si>
    <t xml:space="preserve">Líder da expedição</t>
  </si>
  <si>
    <t xml:space="preserve">Concluída</t>
  </si>
  <si>
    <t xml:space="preserve">Entregas no prazo nas noites de pico, por semana.</t>
  </si>
  <si>
    <t xml:space="preserve">OK</t>
  </si>
  <si>
    <t xml:space="preserve">Ações escritas</t>
  </si>
  <si>
    <t xml:space="preserve">Concluídas</t>
  </si>
  <si>
    <t xml:space="preserve">Em andamento e não iniciadas</t>
  </si>
  <si>
    <t xml:space="preserve">Acompanhamento dos objetivos</t>
  </si>
  <si>
    <t xml:space="preserve">Lance o resultado de cada objetivo a cada período. O último resultado, o caminho e a situação são calculados.</t>
  </si>
  <si>
    <t xml:space="preserve">Data da análise</t>
  </si>
  <si>
    <t xml:space="preserve">Usada para ler o prazo dos objetivos e das ações. Também aparece no Painel.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</si>
  <si>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</si>
  <si>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</si>
  <si>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</si>
  <si>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</si>
  <si>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</si>
  <si>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</si>
  <si>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</si>
  <si>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</si>
  <si>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</si>
  <si>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</si>
  <si>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</si>
  <si>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</si>
  <si>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Último</t>
  </si>
  <si>
    <t xml:space="preserve">Caminho</t>
  </si>
  <si>
    <t xml:space="preserve">Situação</t>
  </si>
  <si>
    <t xml:space="preserve">Objetivos com resultado</t>
  </si>
  <si>
    <t xml:space="preserve">Por situação</t>
  </si>
  <si>
    <t xml:space="preserve">Painel dos objetivos</t>
  </si>
  <si>
    <t xml:space="preserve">A situação de cada objetivo, o caminho percorrido e as ações. A data da análise vem da aba Acompanhamento.</t>
  </si>
  <si>
    <t xml:space="preserve">Informe na aba Acompanhamento.</t>
  </si>
  <si>
    <t xml:space="preserve">Resultado</t>
  </si>
  <si>
    <t xml:space="preserve">Como se lê</t>
  </si>
  <si>
    <t xml:space="preserve">Da aba Objetivos. O usual é de quatro a oito.</t>
  </si>
  <si>
    <t xml:space="preserve">O último resultado atende à meta.</t>
  </si>
  <si>
    <t xml:space="preserve">Não atende, mas está melhor do que a base.</t>
  </si>
  <si>
    <t xml:space="preserve">Não atende, e não está melhor do que a base: olhar as ações.</t>
  </si>
  <si>
    <t xml:space="preserve">Não alcançados ou sem resultado</t>
  </si>
  <si>
    <t xml:space="preserve">Prazo vencido sem a meta, ou nenhum resultado lançado.</t>
  </si>
  <si>
    <t xml:space="preserve">Caminho percorrido, em média</t>
  </si>
  <si>
    <t xml:space="preserve">Média dos objetivos com base e resultado.</t>
  </si>
  <si>
    <t xml:space="preserve">Ações: escritas, concluídas</t>
  </si>
  <si>
    <t xml:space="preserve">Da aba Planos.</t>
  </si>
  <si>
    <t xml:space="preserve">Ações atrasadas</t>
  </si>
  <si>
    <t xml:space="preserve">Não iniciadas ou em andamento, com prazo anterior à data da análise.</t>
  </si>
  <si>
    <t xml:space="preserve">Leitura de cada objetivo</t>
  </si>
  <si>
    <t xml:space="preserve">Ações</t>
  </si>
  <si>
    <t xml:space="preserve">Atrasadas</t>
  </si>
  <si>
    <t xml:space="preserve">Leitura</t>
  </si>
  <si>
    <t xml:space="preserve">Objetivos por compromisso</t>
  </si>
  <si>
    <t xml:space="preserve">Checklist dos objetivos da qualidade</t>
  </si>
  <si>
    <t xml:space="preserve">Escolha o status de cada item na lista suspensa (coluna em amarelo-claro).</t>
  </si>
  <si>
    <t xml:space="preserve">Item de verificação</t>
  </si>
  <si>
    <t xml:space="preserve">Observações</t>
  </si>
  <si>
    <t xml:space="preserve">A política da qualidade está escrita, com compromissos que podem virar objetivos.</t>
  </si>
  <si>
    <t xml:space="preserve">Cada objetivo responde a um compromisso da política e a uma fonte: estratégia, análise crítica, parte interessada ou requisito.</t>
  </si>
  <si>
    <t xml:space="preserve">São poucos objetivos, de quatro a oito, e cabem em uma página.</t>
  </si>
  <si>
    <t xml:space="preserve">Cada objetivo tem verbo, indicador, valor de partida, meta e prazo.</t>
  </si>
  <si>
    <t xml:space="preserve">Cada objetivo tem um responsável, e um só.</t>
  </si>
  <si>
    <t xml:space="preserve">Cada objetivo tem plano: o que será feito, com que recursos, por quem, até quando e como se avalia.</t>
  </si>
  <si>
    <t xml:space="preserve">O prazo de cada ação é anterior ao prazo do objetivo.</t>
  </si>
  <si>
    <t xml:space="preserve">Os objetivos foram desdobrados nos processos que mais pesam para cada um.</t>
  </si>
  <si>
    <t xml:space="preserve">Os resultados são registrados na frequência definida, e a situação é lida a cada mês.</t>
  </si>
  <si>
    <t xml:space="preserve">Objetivo em risco ou ação atrasada tem decisão registrada, com responsável e prazo.</t>
  </si>
  <si>
    <t xml:space="preserve">A equipe conhece os objetivos do seu processo e sabe como contribui para eles.</t>
  </si>
  <si>
    <t xml:space="preserve">Os objetivos são revistos na análise crítica, e os do ano seguinte saem dela.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</si>
  <si>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</si>
  <si>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</si>
  <si>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</si>
  <si>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</si>
  <si>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</si>
  <si>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Objetivos da qualidade</t>
  </si>
  <si>
    <t xml:space="preserve">Exemplo preenchido, para consulta. Use as abas Objetivos, Planos e Acompanhamento para a sua organização.</t>
  </si>
  <si>
    <t xml:space="preserve">Organização</t>
  </si>
  <si>
    <t xml:space="preserve">Pizzaria (loja com salão e delivery)</t>
  </si>
  <si>
    <t xml:space="preserve">Definição</t>
  </si>
  <si>
    <t xml:space="preserve">19/02/2027. Gerente da loja, com o dono e os três líderes. Ano de 2027.</t>
  </si>
  <si>
    <t xml:space="preserve">Entregar a pizza certa, quente e no prazo, cuidar da segurança do alimento e de quem trabalha, e ouvir o cliente para melhorar todo mês.</t>
  </si>
  <si>
    <t xml:space="preserve">Análise crítica de 14/12/2026: objetivos e metas para o ano, com indicador e meta para os processos que não tinham.</t>
  </si>
  <si>
    <t xml:space="preserve">Entregar a pizza certa, quente e no prazo.</t>
  </si>
  <si>
    <t xml:space="preserve">Cuidar da segurança do alimento e de quem trabalha.</t>
  </si>
  <si>
    <t xml:space="preserve">Ouvir o cliente e melhorar todo mês.</t>
  </si>
  <si>
    <t xml:space="preserve">Quadro de objetivos</t>
  </si>
  <si>
    <t xml:space="preserve">Estratégia (SWOT)</t>
  </si>
  <si>
    <t xml:space="preserve">Entregas em até 40 minutos (%)</t>
  </si>
  <si>
    <t xml:space="preserve">Maior</t>
  </si>
  <si>
    <t xml:space="preserve">Reduzir as reclamações para no máximo 1,5 por 100 pedidos.</t>
  </si>
  <si>
    <t xml:space="preserve">Análise crítica</t>
  </si>
  <si>
    <t xml:space="preserve">Reclamações por 100 pedidos (por 100 pedidos)</t>
  </si>
  <si>
    <t xml:space="preserve">Atendente líder</t>
  </si>
  <si>
    <t xml:space="preserve">Menor</t>
  </si>
  <si>
    <t xml:space="preserve">Alcançar a nota média 4,3 na pesquisa depois da entrega.</t>
  </si>
  <si>
    <t xml:space="preserve">—</t>
  </si>
  <si>
    <t xml:space="preserve">Nota média das três perguntas (de 1 a 5)</t>
  </si>
  <si>
    <t xml:space="preserve">Reduzir os pedidos refeitos por erro para 1,5%.</t>
  </si>
  <si>
    <t xml:space="preserve">Indicador fora da meta</t>
  </si>
  <si>
    <t xml:space="preserve">Pedidos refeitos por erro (%)</t>
  </si>
  <si>
    <t xml:space="preserve">Pizzaiolo líder</t>
  </si>
  <si>
    <t xml:space="preserve">Dar indicador e meta aos quatro processos que não têm.</t>
  </si>
  <si>
    <t xml:space="preserve">Processos com indicador e meta (de 9)</t>
  </si>
  <si>
    <t xml:space="preserve">Gerente da loja</t>
  </si>
  <si>
    <t xml:space="preserve">Reduzir o desperdício de insumos para 3,5%.</t>
  </si>
  <si>
    <t xml:space="preserve">Desperdício de insumos (%)</t>
  </si>
  <si>
    <t xml:space="preserve">Treinar toda a equipe nas funções da matriz de competências.</t>
  </si>
  <si>
    <t xml:space="preserve">Parte interessada</t>
  </si>
  <si>
    <t xml:space="preserve">Cobertura da matriz de competências (%)</t>
  </si>
  <si>
    <t xml:space="preserve">Obj.</t>
  </si>
  <si>
    <t xml:space="preserve">Como se avalia</t>
  </si>
  <si>
    <t xml:space="preserve">Rever a escala do pico com a entrega dos novos condomínios, em março.</t>
  </si>
  <si>
    <t xml:space="preserve">Estudar a compra do segundo forno, segundo item do Pareto dos atrasos.</t>
  </si>
  <si>
    <t xml:space="preserve">Orçamento de R$ 38.000</t>
  </si>
  <si>
    <t xml:space="preserve">Decisão dos sócios em junho.</t>
  </si>
  <si>
    <t xml:space="preserve">Tratar o motivo mais frequente de cada mês, com o Pareto das reclamações.</t>
  </si>
  <si>
    <t xml:space="preserve">Uma hora da reunião mensal</t>
  </si>
  <si>
    <t xml:space="preserve">Reclamações do motivo tratado, no mês seguinte.</t>
  </si>
  <si>
    <t xml:space="preserve">Combinar a entrega na porta com as administrações dos condomínios.</t>
  </si>
  <si>
    <t xml:space="preserve">Duas horas do gerente por condomínio</t>
  </si>
  <si>
    <t xml:space="preserve">Reclamações de pizza fria por condomínio, todo mês.</t>
  </si>
  <si>
    <t xml:space="preserve">Imprimir o código da pesquisa nas caixas e divulgar aos clientes.</t>
  </si>
  <si>
    <t xml:space="preserve">Etiquetas: R$ 300</t>
  </si>
  <si>
    <t xml:space="preserve">Taxa de resposta, todo mês.</t>
  </si>
  <si>
    <t xml:space="preserve">Ler os comentários na reunião mensal e responder aos clientes.</t>
  </si>
  <si>
    <t xml:space="preserve">Nota por pergunta, todo mês.</t>
  </si>
  <si>
    <t xml:space="preserve">Conferir o pedido na tela antes de montar, com a etiqueta rubricada.</t>
  </si>
  <si>
    <t xml:space="preserve">Pedidos refeitos, todo mês.</t>
  </si>
  <si>
    <t xml:space="preserve">Definir o indicador do salão, das compras, da manutenção e do treinamento, com os líderes.</t>
  </si>
  <si>
    <t xml:space="preserve">Quatro reuniões de uma hora</t>
  </si>
  <si>
    <t xml:space="preserve">Processos com indicador no painel.</t>
  </si>
  <si>
    <t xml:space="preserve">Implantar a ficha técnica e o custo por pizza.</t>
  </si>
  <si>
    <t xml:space="preserve">Oito horas do gerente e do pizzaiolo</t>
  </si>
  <si>
    <t xml:space="preserve">Não iniciada</t>
  </si>
  <si>
    <t xml:space="preserve">Desperdício por insumo, todo mês.</t>
  </si>
  <si>
    <t xml:space="preserve">Treinar o segundo pizzaiolo na regulagem do forno.</t>
  </si>
  <si>
    <t xml:space="preserve">Oito horas</t>
  </si>
  <si>
    <t xml:space="preserve">Avaliação no posto, pelo pizzaiolo líder.</t>
  </si>
  <si>
    <t xml:space="preserve">Cumprir o plano de treinamento do primeiro semestre.</t>
  </si>
  <si>
    <t xml:space="preserve">Quatro horas por semana</t>
  </si>
  <si>
    <t xml:space="preserve">Cobertura da matriz, todo mês.</t>
  </si>
  <si>
    <t xml:space="preserve">Entregas em até 40 minutos</t>
  </si>
  <si>
    <t xml:space="preserve">Reclamações por 100 pedidos</t>
  </si>
  <si>
    <t xml:space="preserve">Nota média das três perguntas</t>
  </si>
  <si>
    <t xml:space="preserve">Pedidos refeitos por erro</t>
  </si>
  <si>
    <t xml:space="preserve">Processos com indicador e meta</t>
  </si>
  <si>
    <t xml:space="preserve">Desperdício de insumos</t>
  </si>
  <si>
    <t xml:space="preserve">Cobertura da matriz de competências</t>
  </si>
  <si>
    <t xml:space="preserve">Ações: escritas, concluídas, atrasadas</t>
  </si>
  <si>
    <t xml:space="preserve">Indústria de embalagens plásticas</t>
  </si>
  <si>
    <t xml:space="preserve">18/02/2027. Diretor geral, com os gerentes e o Coordenador da Qualidade. Ano de 2027.</t>
  </si>
  <si>
    <t xml:space="preserve">Entregar embalagens conformes e no prazo, cumprir os requisitos legais e os dos clientes, e melhorar os processos reduzindo as perdas.</t>
  </si>
  <si>
    <t xml:space="preserve">Análise crítica de 18/02/2027: a certificação e a linha com material reciclado entram nos objetivos do ano.</t>
  </si>
  <si>
    <t xml:space="preserve">Entregar embalagens conformes e no prazo.</t>
  </si>
  <si>
    <t xml:space="preserve">Cumprir os requisitos legais e os dos clientes.</t>
  </si>
  <si>
    <t xml:space="preserve">Melhorar os processos e reduzir as perdas.</t>
  </si>
  <si>
    <t xml:space="preserve">Reduzir o refugo para 2,0% do peso produzido.</t>
  </si>
  <si>
    <t xml:space="preserve">Refugo (% do peso)</t>
  </si>
  <si>
    <t xml:space="preserve">Gerente industrial</t>
  </si>
  <si>
    <t xml:space="preserve">Reduzir as reclamações para no máximo 50 por milhão de peças.</t>
  </si>
  <si>
    <t xml:space="preserve">Reclamações por milhão de peças (por milhão)</t>
  </si>
  <si>
    <t xml:space="preserve">Gerente comercial</t>
  </si>
  <si>
    <t xml:space="preserve">Manter 96% das entregas na data confirmada.</t>
  </si>
  <si>
    <t xml:space="preserve">Requisito legal ou contratual</t>
  </si>
  <si>
    <t xml:space="preserve">Entregas no prazo (%)</t>
  </si>
  <si>
    <t xml:space="preserve">Obter a certificação ISO 9001 até dezembro.</t>
  </si>
  <si>
    <t xml:space="preserve">Etapas concluídas, de seis (etapas)</t>
  </si>
  <si>
    <t xml:space="preserve">Coordenador da Qualidade</t>
  </si>
  <si>
    <t xml:space="preserve">Produzir e aprovar o lote piloto com 30% de resina reciclada.</t>
  </si>
  <si>
    <t xml:space="preserve">Etapas concluídas, de quatro (etapas)</t>
  </si>
  <si>
    <t xml:space="preserve">Gerente de engenharia</t>
  </si>
  <si>
    <t xml:space="preserve">Encerrar as não conformidades em até 60 dias.</t>
  </si>
  <si>
    <t xml:space="preserve">Prazo médio de encerramento (dias)</t>
  </si>
  <si>
    <t xml:space="preserve">Manter 100% dos fornecedores críticos avaliados a cada semestre.</t>
  </si>
  <si>
    <t xml:space="preserve">Auditoria ou não conformidade</t>
  </si>
  <si>
    <t xml:space="preserve">Fornecedores críticos avaliados (%)</t>
  </si>
  <si>
    <t xml:space="preserve">Gerente de Suprimentos</t>
  </si>
  <si>
    <t xml:space="preserve">Instalar o medidor de espessura em linha nas extrusoras 3 e 4.</t>
  </si>
  <si>
    <t xml:space="preserve">Dois medidores, com instalação: R$ 96.000</t>
  </si>
  <si>
    <t xml:space="preserve">Refugo por espessura, por extrusora, todo mês.</t>
  </si>
  <si>
    <t xml:space="preserve">Conduzir o ciclo PDCA do refugo, com o Pareto por defeito a cada mês.</t>
  </si>
  <si>
    <t xml:space="preserve">Equipe de melhoria, quatro horas por semana</t>
  </si>
  <si>
    <t xml:space="preserve">Refugo total, todo mês.</t>
  </si>
  <si>
    <t xml:space="preserve">Visitar o cliente A e combinar um plano conjunto.</t>
  </si>
  <si>
    <t xml:space="preserve">Uma visita</t>
  </si>
  <si>
    <t xml:space="preserve">Reclamações do cliente A, todo mês.</t>
  </si>
  <si>
    <t xml:space="preserve">Inspecionar 100% das bobinas do cliente A até a instalação do medidor.</t>
  </si>
  <si>
    <t xml:space="preserve">Um inspetor por turno</t>
  </si>
  <si>
    <t xml:space="preserve">Bobinas reprovadas na inspeção, por semana.</t>
  </si>
  <si>
    <t xml:space="preserve">Rever a programação do segmento de alimentos, que deu nota 7,8 ao prazo.</t>
  </si>
  <si>
    <t xml:space="preserve">Entregas no prazo por segmento, todo mês.</t>
  </si>
  <si>
    <t xml:space="preserve">Contratar o organismo de certificação.</t>
  </si>
  <si>
    <t xml:space="preserve">R$ 38.000</t>
  </si>
  <si>
    <t xml:space="preserve">Diretor geral</t>
  </si>
  <si>
    <t xml:space="preserve">Contrato assinado.</t>
  </si>
  <si>
    <t xml:space="preserve">Formar mais quatro auditores internos.</t>
  </si>
  <si>
    <t xml:space="preserve">Curso de 16 horas: R$ 6.000</t>
  </si>
  <si>
    <t xml:space="preserve">Gerente de RH</t>
  </si>
  <si>
    <t xml:space="preserve">Auditores aprovados no curso.</t>
  </si>
  <si>
    <t xml:space="preserve">Concluir o ciclo de auditorias internas nos nove processos.</t>
  </si>
  <si>
    <t xml:space="preserve">Dez auditores, dois dias por processo</t>
  </si>
  <si>
    <t xml:space="preserve">Processos auditados, todo mês.</t>
  </si>
  <si>
    <t xml:space="preserve">Homologar o fornecedor de resina reciclada.</t>
  </si>
  <si>
    <t xml:space="preserve">Ensaios externos: R$ 12.000</t>
  </si>
  <si>
    <t xml:space="preserve">Laudo dos ensaios.</t>
  </si>
  <si>
    <t xml:space="preserve">Produzir o lote piloto de uma tonelada.</t>
  </si>
  <si>
    <t xml:space="preserve">Uma tonelada de resina: R$ 9.000</t>
  </si>
  <si>
    <t xml:space="preserve">Lote produzido e identificado.</t>
  </si>
  <si>
    <t xml:space="preserve">Ensaiar o lote e apresentar ao cliente.</t>
  </si>
  <si>
    <t xml:space="preserve">Laboratório interno</t>
  </si>
  <si>
    <t xml:space="preserve">Aprovação do cliente por escrito.</t>
  </si>
  <si>
    <t xml:space="preserve">Acompanhar as não conformidades abertas na reunião mensal de indicadores.</t>
  </si>
  <si>
    <t xml:space="preserve">Prazo médio, todo mês.</t>
  </si>
  <si>
    <t xml:space="preserve">Avaliar o segundo fornecedor de resina no primeiro recebimento.</t>
  </si>
  <si>
    <t xml:space="preserve">Comprador sênior</t>
  </si>
  <si>
    <t xml:space="preserve">Avaliação registrada.</t>
  </si>
  <si>
    <t xml:space="preserve">Refugo</t>
  </si>
  <si>
    <t xml:space="preserve">Reclamações por milhão de peças</t>
  </si>
  <si>
    <t xml:space="preserve">Entregas no prazo</t>
  </si>
  <si>
    <t xml:space="preserve">Etapas concluídas, de seis</t>
  </si>
  <si>
    <t xml:space="preserve">Etapas concluídas, de quatro</t>
  </si>
  <si>
    <t xml:space="preserve">Prazo médio de encerramento</t>
  </si>
  <si>
    <t xml:space="preserve">Fornecedores críticos avaliados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</si>
</sst>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##"/>
    <numFmt numFmtId="166" formatCode="dd/mm/yyyy"/>
    <numFmt numFmtId="167" formatCode="General"/>
    <numFmt numFmtId="168" formatCode="0%"/>
    <numFmt numFmtId="169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CE8F3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A96A12"/>
        <bgColor rgb="FFB0413E"/>
      </patternFill>
    </fill>
    <fill>
      <patternFill patternType="solid">
        <fgColor rgb="FF1E7B7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DCE8F3"/>
        </patternFill>
      </fill>
    </dxf>
    <dxf>
      <fill>
        <patternFill>
          <bgColor rgb="FFEEF1F3"/>
        </patternFill>
      </fill>
    </dxf>
    <dxf>
      <fill>
        <patternFill>
          <bgColor rgb="FFF8EBCB"/>
        </patternFill>
      </fill>
    </dxf>
    <dxf>
      <fill>
        <patternFill>
          <bgColor rgb="FFF5DEDC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EBCB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CE8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5DED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"Caminho percorrido"</c:f>
              <c:strCache>
                <c:ptCount val="1"/>
                <c:pt idx="0">
                  <c:v>Caminho percorrido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Painel!$B$18:$B$29</c:f>
              <c:strCache>
                <c:ptCount val="12"/>
                <c:pt idx="0">
                  <c:v>O1</c:v>
                </c:pt>
                <c:pt idx="1">
                  <c:v>O2</c:v>
                </c:pt>
                <c:pt idx="2">
                  <c:v>O3</c:v>
                </c:pt>
                <c:pt idx="3">
                  <c:v>O4</c:v>
                </c:pt>
                <c:pt idx="4">
                  <c:v>O5</c:v>
                </c:pt>
                <c:pt idx="5">
                  <c:v>O6</c:v>
                </c:pt>
                <c:pt idx="6">
                  <c:v>O7</c:v>
                </c:pt>
                <c:pt idx="7">
                  <c:v>O8</c:v>
                </c:pt>
                <c:pt idx="8">
                  <c:v>O9</c:v>
                </c:pt>
                <c:pt idx="9">
                  <c:v>O10</c:v>
                </c:pt>
                <c:pt idx="10">
                  <c:v>O11</c:v>
                </c:pt>
                <c:pt idx="11">
                  <c:v>O12</c:v>
                </c:pt>
              </c:strCache>
            </c:strRef>
          </c:cat>
          <c:val>
            <c:numRef>
              <c:f>Painel!$I$18:$I$29</c:f>
              <c:numCache>
                <c:formatCode>General</c:formatCode>
                <c:ptCount val="12"/>
              </c:numCache>
            </c:numRef>
          </c:val>
        </c:ser>
        <c:gapWidth val="60"/>
        <c:overlap val="0"/>
        <c:axId val="80437280"/>
        <c:axId val="97915134"/>
      </c:barChart>
      <c:catAx>
        <c:axId val="804372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15134"/>
        <c:crosses val="autoZero"/>
        <c:auto val="1"/>
        <c:lblAlgn val="ctr"/>
        <c:lblOffset val="100"/>
        <c:noMultiLvlLbl val="0"/>
      </c:catAx>
      <c:valAx>
        <c:axId val="9791513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37280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34</xdr:row>
      <xdr:rowOff>0</xdr:rowOff>
    </xdr:from>
    <xdr:to>
      <xdr:col>9</xdr:col>
      <xdr:colOff>533880</xdr:colOff>
      <xdr:row>52</xdr:row>
      <xdr:rowOff>170640</xdr:rowOff>
    </xdr:to>
    <xdr:graphicFrame>
      <xdr:nvGraphicFramePr>
        <xdr:cNvPr id="0" name="Chart 1"/>
        <xdr:cNvGraphicFramePr/>
      </xdr:nvGraphicFramePr>
      <xdr:xfrm>
        <a:off x="141120" y="1000116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31.5" hidden="false" customHeight="true" outlineLevel="0" collapsed="false">
      <c r="B12" s="4" t="s">
        <v>14</v>
      </c>
      <c r="C12" s="7" t="s">
        <v>15</v>
      </c>
    </row>
    <row r="13" customFormat="false" ht="19.5" hidden="false" customHeight="true" outlineLevel="0" collapsed="false">
      <c r="B13" s="4" t="s">
        <v>16</v>
      </c>
      <c r="C13" s="7" t="s">
        <v>17</v>
      </c>
    </row>
    <row r="14" customFormat="false" ht="19.5" hidden="false" customHeight="true" outlineLevel="0" collapsed="false">
      <c r="B14" s="4" t="s">
        <v>18</v>
      </c>
      <c r="C14" s="7" t="s">
        <v>19</v>
      </c>
    </row>
    <row r="15" customFormat="false" ht="19.5" hidden="false" customHeight="true" outlineLevel="0" collapsed="false">
      <c r="B15" s="4" t="s">
        <v>20</v>
      </c>
      <c r="C15" s="7" t="s">
        <v>21</v>
      </c>
    </row>
    <row r="16" customFormat="false" ht="19.5" hidden="false" customHeight="true" outlineLevel="0" collapsed="false">
      <c r="B16" s="4" t="s">
        <v>22</v>
      </c>
      <c r="C16" s="7" t="s">
        <v>23</v>
      </c>
    </row>
    <row r="17" customFormat="false" ht="19.5" hidden="false" customHeight="true" outlineLevel="0" collapsed="false">
      <c r="B17" s="4" t="s">
        <v>24</v>
      </c>
      <c r="C17" s="7" t="s">
        <v>25</v>
      </c>
    </row>
    <row r="18" customFormat="false" ht="19.5" hidden="false" customHeight="true" outlineLevel="0" collapsed="false">
      <c r="B18" s="4" t="s">
        <v>26</v>
      </c>
      <c r="C18" s="7" t="s">
        <v>27</v>
      </c>
    </row>
    <row r="19" customFormat="false" ht="31.5" hidden="false" customHeight="true" outlineLevel="0" collapsed="false">
      <c r="B19" s="4" t="s">
        <v>28</v>
      </c>
      <c r="C19" s="7" t="s">
        <v>29</v>
      </c>
    </row>
    <row r="20" customFormat="false" ht="19.5" hidden="false" customHeight="true" outlineLevel="0" collapsed="false">
      <c r="B20" s="4" t="s">
        <v>30</v>
      </c>
      <c r="C20" s="7" t="s">
        <v>31</v>
      </c>
    </row>
    <row r="22" customFormat="false" ht="21.75" hidden="false" customHeight="true" outlineLevel="0" collapsed="false">
      <c r="B22" s="3" t="s">
        <v>32</v>
      </c>
      <c r="C22" s="3"/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5" customFormat="false" ht="31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31.5" hidden="false" customHeight="true" outlineLevel="0" collapsed="false">
      <c r="B27" s="4" t="s">
        <v>41</v>
      </c>
      <c r="C27" s="7" t="s">
        <v>42</v>
      </c>
    </row>
    <row r="28" customFormat="false" ht="19.5" hidden="false" customHeight="true" outlineLevel="0" collapsed="false">
      <c r="B28" s="4" t="s">
        <v>43</v>
      </c>
      <c r="C28" s="7" t="s">
        <v>44</v>
      </c>
    </row>
    <row r="30" customFormat="false" ht="21.75" hidden="false" customHeight="true" outlineLevel="0" collapsed="false">
      <c r="B30" s="3" t="s">
        <v>45</v>
      </c>
      <c r="C30" s="3"/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6" customFormat="false" ht="19.5" hidden="false" customHeight="true" outlineLevel="0" collapsed="false">
      <c r="B36" s="4" t="s">
        <v>56</v>
      </c>
      <c r="C36" s="7" t="s">
        <v>57</v>
      </c>
    </row>
    <row r="37" customFormat="false" ht="19.5" hidden="false" customHeight="true" outlineLevel="0" collapsed="false">
      <c r="B37" s="4" t="s">
        <v>58</v>
      </c>
      <c r="C37" s="7" t="s">
        <v>59</v>
      </c>
    </row>
    <row r="39" customFormat="false" ht="21.75" hidden="false" customHeight="true" outlineLevel="0" collapsed="false">
      <c r="B39" s="3" t="s">
        <v>60</v>
      </c>
      <c r="C39" s="3"/>
    </row>
    <row r="40" customFormat="false" ht="31.5" hidden="false" customHeight="true" outlineLevel="0" collapsed="false">
      <c r="B40" s="4" t="s">
        <v>61</v>
      </c>
      <c r="C40" s="7" t="s">
        <v>62</v>
      </c>
    </row>
    <row r="41" customFormat="false" ht="19.5" hidden="false" customHeight="true" outlineLevel="0" collapsed="false">
      <c r="B41" s="4" t="s">
        <v>63</v>
      </c>
      <c r="C41" s="7" t="s">
        <v>64</v>
      </c>
    </row>
    <row r="42" customFormat="false" ht="31.5" hidden="false" customHeight="true" outlineLevel="0" collapsed="false">
      <c r="B42" s="4" t="s">
        <v>65</v>
      </c>
      <c r="C42" s="7" t="s">
        <v>66</v>
      </c>
    </row>
    <row r="43" customFormat="false" ht="19.5" hidden="false" customHeight="true" outlineLevel="0" collapsed="false">
      <c r="B43" s="4" t="s">
        <v>67</v>
      </c>
      <c r="C43" s="7" t="s">
        <v>68</v>
      </c>
    </row>
  </sheetData>
  <mergeCells count="7">
    <mergeCell ref="B1:C1"/>
    <mergeCell ref="B2:C2"/>
    <mergeCell ref="B4:C4"/>
    <mergeCell ref="B11:C11"/>
    <mergeCell ref="B22:C22"/>
    <mergeCell ref="B30:C30"/>
    <mergeCell ref="B39:C3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P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5" min="14" style="0" width="12"/>
    <col collapsed="false" customWidth="true" hidden="false" outlineLevel="0" max="16" min="16" style="0" width="26"/>
    <col collapsed="false" customWidth="true" hidden="false" outlineLevel="0" max="17" min="17" style="0" width="2"/>
  </cols>
  <sheetData>
    <row r="1" customFormat="false" ht="31.5" hidden="false" customHeight="true" outlineLevel="0" collapsed="false">
      <c r="B1" s="1" t="s">
        <v>69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">
        <v>70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1.75" hidden="false" customHeight="true" outlineLevel="0" collapsed="false">
      <c r="B4" s="4" t="s">
        <v>71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customFormat="false" ht="36" hidden="false" customHeight="true" outlineLevel="0" collapsed="false">
      <c r="B5" s="4" t="s">
        <v>72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7" customFormat="false" ht="21.75" hidden="false" customHeight="true" outlineLevel="0" collapsed="false">
      <c r="B7" s="8" t="s">
        <v>73</v>
      </c>
      <c r="C7" s="4" t="s">
        <v>74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21.75" hidden="false" customHeight="true" outlineLevel="0" collapsed="false">
      <c r="B8" s="8" t="s">
        <v>75</v>
      </c>
      <c r="C8" s="4" t="s">
        <v>76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customFormat="false" ht="21.75" hidden="false" customHeight="true" outlineLevel="0" collapsed="false">
      <c r="B9" s="8" t="s">
        <v>77</v>
      </c>
      <c r="C9" s="4" t="s">
        <v>78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21.75" hidden="false" customHeight="true" outlineLevel="0" collapsed="false">
      <c r="B10" s="8" t="s">
        <v>79</v>
      </c>
      <c r="C10" s="4" t="s">
        <v>80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2" customFormat="false" ht="33" hidden="false" customHeight="true" outlineLevel="0" collapsed="false">
      <c r="B12" s="9" t="s">
        <v>81</v>
      </c>
      <c r="C12" s="9" t="s">
        <v>82</v>
      </c>
      <c r="D12" s="9" t="s">
        <v>83</v>
      </c>
      <c r="E12" s="9" t="s">
        <v>84</v>
      </c>
      <c r="F12" s="9" t="s">
        <v>85</v>
      </c>
      <c r="G12" s="9" t="s">
        <v>86</v>
      </c>
      <c r="H12" s="9" t="s">
        <v>87</v>
      </c>
      <c r="I12" s="9" t="s">
        <v>88</v>
      </c>
      <c r="J12" s="9" t="s">
        <v>89</v>
      </c>
      <c r="K12" s="9" t="s">
        <v>90</v>
      </c>
      <c r="L12" s="9" t="s">
        <v>91</v>
      </c>
      <c r="M12" s="9" t="s">
        <v>92</v>
      </c>
      <c r="N12" s="9" t="s">
        <v>93</v>
      </c>
      <c r="O12" s="9" t="s">
        <v>94</v>
      </c>
      <c r="P12" s="9" t="s">
        <v>95</v>
      </c>
    </row>
    <row r="13" customFormat="false" ht="30" hidden="false" customHeight="true" outlineLevel="0" collapsed="false">
      <c r="B13" s="10"/>
      <c r="C13" s="10" t="s">
        <v>96</v>
      </c>
      <c r="D13" s="10" t="s">
        <v>97</v>
      </c>
      <c r="E13" s="10" t="s">
        <v>97</v>
      </c>
      <c r="F13" s="10" t="s">
        <v>98</v>
      </c>
      <c r="G13" s="10" t="s">
        <v>99</v>
      </c>
      <c r="H13" s="10" t="s">
        <v>97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97</v>
      </c>
      <c r="O13" s="10" t="s">
        <v>105</v>
      </c>
      <c r="P13" s="10" t="s">
        <v>106</v>
      </c>
    </row>
    <row r="14" customFormat="false" ht="30" hidden="false" customHeight="true" outlineLevel="0" collapsed="false">
      <c r="B14" s="8" t="s">
        <v>107</v>
      </c>
      <c r="C14" s="5"/>
      <c r="D14" s="11"/>
      <c r="E14" s="5"/>
      <c r="F14" s="5"/>
      <c r="G14" s="11"/>
      <c r="H14" s="11"/>
      <c r="I14" s="12"/>
      <c r="J14" s="12"/>
      <c r="K14" s="13"/>
      <c r="L14" s="5"/>
      <c r="M14" s="5"/>
      <c r="N14" s="11"/>
      <c r="O14" s="14" t="str">
        <f aca="false">IF(OR(C14="",J14="",H14=""),"",IF(I14="","Sem base",IF(IF(H14="Maior é melhor",J14&gt;I14,J14&lt;I14),"Melhorar","Manter")))</f>
        <v/>
      </c>
      <c r="P14" s="14" t="str">
        <f aca="false">IF(C14="","",IF(D14="","Falta o compromisso",IF(F14="","Falta o indicador",IF(J14="","Falta a meta",IF(H14="","Falta o sentido",IF(K14="","Falta o prazo",IF(M14="","Falta o responsável",IF(COUNTIF(Planos!$C$7:$C$42,B14)=0,"Sem ação no plano","OK"))))))))</f>
        <v/>
      </c>
    </row>
    <row r="15" customFormat="false" ht="30" hidden="false" customHeight="true" outlineLevel="0" collapsed="false">
      <c r="B15" s="8" t="s">
        <v>108</v>
      </c>
      <c r="C15" s="5"/>
      <c r="D15" s="11"/>
      <c r="E15" s="5"/>
      <c r="F15" s="5"/>
      <c r="G15" s="11"/>
      <c r="H15" s="11"/>
      <c r="I15" s="12"/>
      <c r="J15" s="12"/>
      <c r="K15" s="13"/>
      <c r="L15" s="5"/>
      <c r="M15" s="5"/>
      <c r="N15" s="11"/>
      <c r="O15" s="14" t="str">
        <f aca="false">IF(OR(C15="",J15="",H15=""),"",IF(I15="","Sem base",IF(IF(H15="Maior é melhor",J15&gt;I15,J15&lt;I15),"Melhorar","Manter")))</f>
        <v/>
      </c>
      <c r="P15" s="14" t="str">
        <f aca="false">IF(C15="","",IF(D15="","Falta o compromisso",IF(F15="","Falta o indicador",IF(J15="","Falta a meta",IF(H15="","Falta o sentido",IF(K15="","Falta o prazo",IF(M15="","Falta o responsável",IF(COUNTIF(Planos!$C$7:$C$42,B15)=0,"Sem ação no plano","OK"))))))))</f>
        <v/>
      </c>
    </row>
    <row r="16" customFormat="false" ht="30" hidden="false" customHeight="true" outlineLevel="0" collapsed="false">
      <c r="B16" s="8" t="s">
        <v>109</v>
      </c>
      <c r="C16" s="5"/>
      <c r="D16" s="11"/>
      <c r="E16" s="5"/>
      <c r="F16" s="5"/>
      <c r="G16" s="11"/>
      <c r="H16" s="11"/>
      <c r="I16" s="12"/>
      <c r="J16" s="12"/>
      <c r="K16" s="13"/>
      <c r="L16" s="5"/>
      <c r="M16" s="5"/>
      <c r="N16" s="11"/>
      <c r="O16" s="14" t="str">
        <f aca="false">IF(OR(C16="",J16="",H16=""),"",IF(I16="","Sem base",IF(IF(H16="Maior é melhor",J16&gt;I16,J16&lt;I16),"Melhorar","Manter")))</f>
        <v/>
      </c>
      <c r="P16" s="14" t="str">
        <f aca="false">IF(C16="","",IF(D16="","Falta o compromisso",IF(F16="","Falta o indicador",IF(J16="","Falta a meta",IF(H16="","Falta o sentido",IF(K16="","Falta o prazo",IF(M16="","Falta o responsável",IF(COUNTIF(Planos!$C$7:$C$42,B16)=0,"Sem ação no plano","OK"))))))))</f>
        <v/>
      </c>
    </row>
    <row r="17" customFormat="false" ht="30" hidden="false" customHeight="true" outlineLevel="0" collapsed="false">
      <c r="B17" s="8" t="s">
        <v>110</v>
      </c>
      <c r="C17" s="5"/>
      <c r="D17" s="11"/>
      <c r="E17" s="5"/>
      <c r="F17" s="5"/>
      <c r="G17" s="11"/>
      <c r="H17" s="11"/>
      <c r="I17" s="12"/>
      <c r="J17" s="12"/>
      <c r="K17" s="13"/>
      <c r="L17" s="5"/>
      <c r="M17" s="5"/>
      <c r="N17" s="11"/>
      <c r="O17" s="14" t="str">
        <f aca="false">IF(OR(C17="",J17="",H17=""),"",IF(I17="","Sem base",IF(IF(H17="Maior é melhor",J17&gt;I17,J17&lt;I17),"Melhorar","Manter")))</f>
        <v/>
      </c>
      <c r="P17" s="14" t="str">
        <f aca="false">IF(C17="","",IF(D17="","Falta o compromisso",IF(F17="","Falta o indicador",IF(J17="","Falta a meta",IF(H17="","Falta o sentido",IF(K17="","Falta o prazo",IF(M17="","Falta o responsável",IF(COUNTIF(Planos!$C$7:$C$42,B17)=0,"Sem ação no plano","OK"))))))))</f>
        <v/>
      </c>
    </row>
    <row r="18" customFormat="false" ht="30" hidden="false" customHeight="true" outlineLevel="0" collapsed="false">
      <c r="B18" s="8" t="s">
        <v>111</v>
      </c>
      <c r="C18" s="5"/>
      <c r="D18" s="11"/>
      <c r="E18" s="5"/>
      <c r="F18" s="5"/>
      <c r="G18" s="11"/>
      <c r="H18" s="11"/>
      <c r="I18" s="12"/>
      <c r="J18" s="12"/>
      <c r="K18" s="13"/>
      <c r="L18" s="5"/>
      <c r="M18" s="5"/>
      <c r="N18" s="11"/>
      <c r="O18" s="14" t="str">
        <f aca="false">IF(OR(C18="",J18="",H18=""),"",IF(I18="","Sem base",IF(IF(H18="Maior é melhor",J18&gt;I18,J18&lt;I18),"Melhorar","Manter")))</f>
        <v/>
      </c>
      <c r="P18" s="14" t="str">
        <f aca="false">IF(C18="","",IF(D18="","Falta o compromisso",IF(F18="","Falta o indicador",IF(J18="","Falta a meta",IF(H18="","Falta o sentido",IF(K18="","Falta o prazo",IF(M18="","Falta o responsável",IF(COUNTIF(Planos!$C$7:$C$42,B18)=0,"Sem ação no plano","OK"))))))))</f>
        <v/>
      </c>
    </row>
    <row r="19" customFormat="false" ht="30" hidden="false" customHeight="true" outlineLevel="0" collapsed="false">
      <c r="B19" s="8" t="s">
        <v>112</v>
      </c>
      <c r="C19" s="5"/>
      <c r="D19" s="11"/>
      <c r="E19" s="5"/>
      <c r="F19" s="5"/>
      <c r="G19" s="11"/>
      <c r="H19" s="11"/>
      <c r="I19" s="12"/>
      <c r="J19" s="12"/>
      <c r="K19" s="13"/>
      <c r="L19" s="5"/>
      <c r="M19" s="5"/>
      <c r="N19" s="11"/>
      <c r="O19" s="14" t="str">
        <f aca="false">IF(OR(C19="",J19="",H19=""),"",IF(I19="","Sem base",IF(IF(H19="Maior é melhor",J19&gt;I19,J19&lt;I19),"Melhorar","Manter")))</f>
        <v/>
      </c>
      <c r="P19" s="14" t="str">
        <f aca="false">IF(C19="","",IF(D19="","Falta o compromisso",IF(F19="","Falta o indicador",IF(J19="","Falta a meta",IF(H19="","Falta o sentido",IF(K19="","Falta o prazo",IF(M19="","Falta o responsável",IF(COUNTIF(Planos!$C$7:$C$42,B19)=0,"Sem ação no plano","OK"))))))))</f>
        <v/>
      </c>
    </row>
    <row r="20" customFormat="false" ht="30" hidden="false" customHeight="true" outlineLevel="0" collapsed="false">
      <c r="B20" s="8" t="s">
        <v>113</v>
      </c>
      <c r="C20" s="5"/>
      <c r="D20" s="11"/>
      <c r="E20" s="5"/>
      <c r="F20" s="5"/>
      <c r="G20" s="11"/>
      <c r="H20" s="11"/>
      <c r="I20" s="12"/>
      <c r="J20" s="12"/>
      <c r="K20" s="13"/>
      <c r="L20" s="5"/>
      <c r="M20" s="5"/>
      <c r="N20" s="11"/>
      <c r="O20" s="14" t="str">
        <f aca="false">IF(OR(C20="",J20="",H20=""),"",IF(I20="","Sem base",IF(IF(H20="Maior é melhor",J20&gt;I20,J20&lt;I20),"Melhorar","Manter")))</f>
        <v/>
      </c>
      <c r="P20" s="14" t="str">
        <f aca="false">IF(C20="","",IF(D20="","Falta o compromisso",IF(F20="","Falta o indicador",IF(J20="","Falta a meta",IF(H20="","Falta o sentido",IF(K20="","Falta o prazo",IF(M20="","Falta o responsável",IF(COUNTIF(Planos!$C$7:$C$42,B20)=0,"Sem ação no plano","OK"))))))))</f>
        <v/>
      </c>
    </row>
    <row r="21" customFormat="false" ht="30" hidden="false" customHeight="true" outlineLevel="0" collapsed="false">
      <c r="B21" s="8" t="s">
        <v>114</v>
      </c>
      <c r="C21" s="5"/>
      <c r="D21" s="11"/>
      <c r="E21" s="5"/>
      <c r="F21" s="5"/>
      <c r="G21" s="11"/>
      <c r="H21" s="11"/>
      <c r="I21" s="12"/>
      <c r="J21" s="12"/>
      <c r="K21" s="13"/>
      <c r="L21" s="5"/>
      <c r="M21" s="5"/>
      <c r="N21" s="11"/>
      <c r="O21" s="14" t="str">
        <f aca="false">IF(OR(C21="",J21="",H21=""),"",IF(I21="","Sem base",IF(IF(H21="Maior é melhor",J21&gt;I21,J21&lt;I21),"Melhorar","Manter")))</f>
        <v/>
      </c>
      <c r="P21" s="14" t="str">
        <f aca="false">IF(C21="","",IF(D21="","Falta o compromisso",IF(F21="","Falta o indicador",IF(J21="","Falta a meta",IF(H21="","Falta o sentido",IF(K21="","Falta o prazo",IF(M21="","Falta o responsável",IF(COUNTIF(Planos!$C$7:$C$42,B21)=0,"Sem ação no plano","OK"))))))))</f>
        <v/>
      </c>
    </row>
    <row r="22" customFormat="false" ht="30" hidden="false" customHeight="true" outlineLevel="0" collapsed="false">
      <c r="B22" s="8" t="s">
        <v>115</v>
      </c>
      <c r="C22" s="5"/>
      <c r="D22" s="11"/>
      <c r="E22" s="5"/>
      <c r="F22" s="5"/>
      <c r="G22" s="11"/>
      <c r="H22" s="11"/>
      <c r="I22" s="12"/>
      <c r="J22" s="12"/>
      <c r="K22" s="13"/>
      <c r="L22" s="5"/>
      <c r="M22" s="5"/>
      <c r="N22" s="11"/>
      <c r="O22" s="14" t="str">
        <f aca="false">IF(OR(C22="",J22="",H22=""),"",IF(I22="","Sem base",IF(IF(H22="Maior é melhor",J22&gt;I22,J22&lt;I22),"Melhorar","Manter")))</f>
        <v/>
      </c>
      <c r="P22" s="14" t="str">
        <f aca="false">IF(C22="","",IF(D22="","Falta o compromisso",IF(F22="","Falta o indicador",IF(J22="","Falta a meta",IF(H22="","Falta o sentido",IF(K22="","Falta o prazo",IF(M22="","Falta o responsável",IF(COUNTIF(Planos!$C$7:$C$42,B22)=0,"Sem ação no plano","OK"))))))))</f>
        <v/>
      </c>
    </row>
    <row r="23" customFormat="false" ht="30" hidden="false" customHeight="true" outlineLevel="0" collapsed="false">
      <c r="B23" s="8" t="s">
        <v>116</v>
      </c>
      <c r="C23" s="5"/>
      <c r="D23" s="11"/>
      <c r="E23" s="5"/>
      <c r="F23" s="5"/>
      <c r="G23" s="11"/>
      <c r="H23" s="11"/>
      <c r="I23" s="12"/>
      <c r="J23" s="12"/>
      <c r="K23" s="13"/>
      <c r="L23" s="5"/>
      <c r="M23" s="5"/>
      <c r="N23" s="11"/>
      <c r="O23" s="14" t="str">
        <f aca="false">IF(OR(C23="",J23="",H23=""),"",IF(I23="","Sem base",IF(IF(H23="Maior é melhor",J23&gt;I23,J23&lt;I23),"Melhorar","Manter")))</f>
        <v/>
      </c>
      <c r="P23" s="14" t="str">
        <f aca="false">IF(C23="","",IF(D23="","Falta o compromisso",IF(F23="","Falta o indicador",IF(J23="","Falta a meta",IF(H23="","Falta o sentido",IF(K23="","Falta o prazo",IF(M23="","Falta o responsável",IF(COUNTIF(Planos!$C$7:$C$42,B23)=0,"Sem ação no plano","OK"))))))))</f>
        <v/>
      </c>
    </row>
    <row r="24" customFormat="false" ht="30" hidden="false" customHeight="true" outlineLevel="0" collapsed="false">
      <c r="B24" s="8" t="s">
        <v>117</v>
      </c>
      <c r="C24" s="5"/>
      <c r="D24" s="11"/>
      <c r="E24" s="5"/>
      <c r="F24" s="5"/>
      <c r="G24" s="11"/>
      <c r="H24" s="11"/>
      <c r="I24" s="12"/>
      <c r="J24" s="12"/>
      <c r="K24" s="13"/>
      <c r="L24" s="5"/>
      <c r="M24" s="5"/>
      <c r="N24" s="11"/>
      <c r="O24" s="14" t="str">
        <f aca="false">IF(OR(C24="",J24="",H24=""),"",IF(I24="","Sem base",IF(IF(H24="Maior é melhor",J24&gt;I24,J24&lt;I24),"Melhorar","Manter")))</f>
        <v/>
      </c>
      <c r="P24" s="14" t="str">
        <f aca="false">IF(C24="","",IF(D24="","Falta o compromisso",IF(F24="","Falta o indicador",IF(J24="","Falta a meta",IF(H24="","Falta o sentido",IF(K24="","Falta o prazo",IF(M24="","Falta o responsável",IF(COUNTIF(Planos!$C$7:$C$42,B24)=0,"Sem ação no plano","OK"))))))))</f>
        <v/>
      </c>
    </row>
    <row r="25" customFormat="false" ht="30" hidden="false" customHeight="true" outlineLevel="0" collapsed="false">
      <c r="B25" s="8" t="s">
        <v>118</v>
      </c>
      <c r="C25" s="5"/>
      <c r="D25" s="11"/>
      <c r="E25" s="5"/>
      <c r="F25" s="5"/>
      <c r="G25" s="11"/>
      <c r="H25" s="11"/>
      <c r="I25" s="12"/>
      <c r="J25" s="12"/>
      <c r="K25" s="13"/>
      <c r="L25" s="5"/>
      <c r="M25" s="5"/>
      <c r="N25" s="11"/>
      <c r="O25" s="14" t="str">
        <f aca="false">IF(OR(C25="",J25="",H25=""),"",IF(I25="","Sem base",IF(IF(H25="Maior é melhor",J25&gt;I25,J25&lt;I25),"Melhorar","Manter")))</f>
        <v/>
      </c>
      <c r="P25" s="14" t="str">
        <f aca="false">IF(C25="","",IF(D25="","Falta o compromisso",IF(F25="","Falta o indicador",IF(J25="","Falta a meta",IF(H25="","Falta o sentido",IF(K25="","Falta o prazo",IF(M25="","Falta o responsável",IF(COUNTIF(Planos!$C$7:$C$42,B25)=0,"Sem ação no plano","OK"))))))))</f>
        <v/>
      </c>
    </row>
    <row r="27" customFormat="false" ht="21.75" hidden="false" customHeight="true" outlineLevel="0" collapsed="false">
      <c r="B27" s="15" t="s">
        <v>119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customFormat="false" ht="21.75" hidden="false" customHeight="true" outlineLevel="0" collapsed="false">
      <c r="B28" s="16" t="s">
        <v>120</v>
      </c>
      <c r="C28" s="16"/>
      <c r="D28" s="17" t="n">
        <f aca="false">COUNTA(D7:D10)</f>
        <v>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customFormat="false" ht="21.75" hidden="false" customHeight="true" outlineLevel="0" collapsed="false">
      <c r="B29" s="16" t="s">
        <v>121</v>
      </c>
      <c r="C29" s="16"/>
      <c r="D29" s="17" t="n">
        <f aca="false">COUNTA(C14:C25)</f>
        <v>0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customFormat="false" ht="21.75" hidden="false" customHeight="true" outlineLevel="0" collapsed="false">
      <c r="B30" s="16" t="s">
        <v>122</v>
      </c>
      <c r="C30" s="16"/>
      <c r="D30" s="17" t="str">
        <f aca="false">IF(D29=0,"",COUNTIF(O14:O25,"Melhorar")&amp;" de melhorar, "&amp;COUNTIF(O14:O25,"Manter")&amp;" de manter, "&amp;COUNTIF(O14:O25,"Sem base")&amp;" sem base")</f>
        <v/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customFormat="false" ht="21.75" hidden="false" customHeight="true" outlineLevel="0" collapsed="false">
      <c r="B31" s="16" t="s">
        <v>123</v>
      </c>
      <c r="C31" s="16"/>
      <c r="D31" s="18" t="str">
        <f aca="false">IF(D5="","Escreva a política da qualidade",IF(D28=0,"Escreva os compromissos",IF(D29=0,"Escreva os objetivos",IF(COUNTIF(P14:P25,"OK")&lt;D29,"Há objetivo a rever: veja a coluna Conferência",IF(D29&gt;8,"Muitos objetivos: o usual é de quatro a oito","OK")))))</f>
        <v>Escreva a política da qualidade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</sheetData>
  <mergeCells count="19">
    <mergeCell ref="B1:P1"/>
    <mergeCell ref="B2:P2"/>
    <mergeCell ref="B4:C4"/>
    <mergeCell ref="D4:P4"/>
    <mergeCell ref="B5:C5"/>
    <mergeCell ref="D5:P5"/>
    <mergeCell ref="D7:P7"/>
    <mergeCell ref="D8:P8"/>
    <mergeCell ref="D9:P9"/>
    <mergeCell ref="D10:P10"/>
    <mergeCell ref="B27:P27"/>
    <mergeCell ref="B28:C28"/>
    <mergeCell ref="D28:P28"/>
    <mergeCell ref="B29:C29"/>
    <mergeCell ref="D29:P29"/>
    <mergeCell ref="B30:C30"/>
    <mergeCell ref="D30:P30"/>
    <mergeCell ref="B31:C31"/>
    <mergeCell ref="D31:P31"/>
  </mergeCells>
  <conditionalFormatting sqref="P14:P25">
    <cfRule type="expression" priority="2" aboveAverage="0" equalAverage="0" bottom="0" percent="0" rank="0" text="" dxfId="0">
      <formula>OR(P14="OK")</formula>
    </cfRule>
    <cfRule type="expression" priority="3" aboveAverage="0" equalAverage="0" bottom="0" percent="0" rank="0" text="" dxfId="1">
      <formula>AND(LEN(P14)&gt;0,NOT(OR(P14="OK")))</formula>
    </cfRule>
  </conditionalFormatting>
  <conditionalFormatting sqref="O14:O25">
    <cfRule type="expression" priority="4" aboveAverage="0" equalAverage="0" bottom="0" percent="0" rank="0" text="" dxfId="1">
      <formula>O14="Sem base"</formula>
    </cfRule>
  </conditionalFormatting>
  <conditionalFormatting sqref="D31:P31">
    <cfRule type="expression" priority="5" aboveAverage="0" equalAverage="0" bottom="0" percent="0" rank="0" text="" dxfId="0">
      <formula>OR(D31="OK")</formula>
    </cfRule>
    <cfRule type="expression" priority="6" aboveAverage="0" equalAverage="0" bottom="0" percent="0" rank="0" text="" dxfId="1">
      <formula>AND(LEN(D31)&gt;0,NOT(OR(D31="OK")))</formula>
    </cfRule>
  </conditionalFormatting>
  <dataValidations count="6">
    <dataValidation allowBlank="true" error="Escolha uma das opções da lista." errorStyle="stop" errorTitle="Valor inválido" operator="between" prompt="O compromisso da política a que o objetivo responde" promptTitle="Opções" showDropDown="false" showErrorMessage="true" showInputMessage="true" sqref="D14:D25" type="list">
      <formula1>"C1,C2,C3,C4"</formula1>
      <formula2>0</formula2>
    </dataValidation>
    <dataValidation allowBlank="true" error="Escolha uma das opções da lista." errorStyle="stop" errorTitle="Valor inválido" operator="between" prompt="De onde o objetivo veio" promptTitle="Opções" showDropDown="false" showErrorMessage="true" showInputMessage="true" sqref="E14:E25" type="list">
      <formula1>"Política da qualidade,Estratégia (SWOT),Análise crítica,Parte interessada,Requisito legal ou contratual,Indicador fora da meta,Auditoria ou não conformidade"</formula1>
      <formula2>0</formula2>
    </dataValidation>
    <dataValidation allowBlank="true" error="Escolha uma das opções da lista." errorStyle="stop" errorTitle="Valor inválido" operator="between" prompt="Maior é melhor, ou menor é melhor" promptTitle="Opções" showDropDown="false" showErrorMessage="true" showInputMessage="true" sqref="H14:H25" type="list">
      <formula1>"Maior é melhor,Menor é melhor"</formula1>
      <formula2>0</formula2>
    </dataValidation>
    <dataValidation allowBlank="true" error="Escolha uma das opções da lista." errorStyle="stop" errorTitle="Valor inválido" operator="between" prompt="Com que frequência o resultado é lido" promptTitle="Opções" showDropDown="false" showErrorMessage="true" showInputMessage="true" sqref="N14:N25" type="list">
      <formula1>"Mensal,Trimestral,Semestral"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14:J25" type="decimal">
      <formula1>-1000000000</formula1>
      <formula2>1000000000</formula2>
    </dataValidation>
    <dataValidation allowBlank="true" error="Digite uma data no formato dia/mês/ano." errorStyle="stop" errorTitle="Data inválida" operator="greaterThanOrEqual" showDropDown="false" showErrorMessage="true" showInputMessage="false" sqref="K14:K25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L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2" min="12" style="0" width="26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124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125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3" hidden="false" customHeight="true" outlineLevel="0" collapsed="false">
      <c r="B4" s="9" t="s">
        <v>81</v>
      </c>
      <c r="C4" s="9" t="s">
        <v>82</v>
      </c>
      <c r="D4" s="9" t="s">
        <v>126</v>
      </c>
      <c r="E4" s="9" t="s">
        <v>127</v>
      </c>
      <c r="F4" s="9" t="s">
        <v>128</v>
      </c>
      <c r="G4" s="9" t="s">
        <v>92</v>
      </c>
      <c r="H4" s="9" t="s">
        <v>129</v>
      </c>
      <c r="I4" s="9" t="s">
        <v>130</v>
      </c>
      <c r="J4" s="9" t="s">
        <v>131</v>
      </c>
      <c r="K4" s="9" t="s">
        <v>132</v>
      </c>
      <c r="L4" s="9" t="s">
        <v>95</v>
      </c>
    </row>
    <row r="5" customFormat="false" ht="30" hidden="false" customHeight="true" outlineLevel="0" collapsed="false">
      <c r="B5" s="10"/>
      <c r="C5" s="10" t="s">
        <v>133</v>
      </c>
      <c r="D5" s="10" t="s">
        <v>134</v>
      </c>
      <c r="E5" s="10" t="s">
        <v>135</v>
      </c>
      <c r="F5" s="10" t="s">
        <v>136</v>
      </c>
      <c r="G5" s="10" t="s">
        <v>104</v>
      </c>
      <c r="H5" s="10" t="s">
        <v>102</v>
      </c>
      <c r="I5" s="10" t="s">
        <v>97</v>
      </c>
      <c r="J5" s="10" t="s">
        <v>102</v>
      </c>
      <c r="K5" s="10" t="s">
        <v>137</v>
      </c>
      <c r="L5" s="10" t="s">
        <v>106</v>
      </c>
    </row>
    <row r="6" customFormat="false" ht="30" hidden="false" customHeight="true" outlineLevel="0" collapsed="false">
      <c r="B6" s="10" t="s">
        <v>138</v>
      </c>
      <c r="C6" s="10" t="s">
        <v>107</v>
      </c>
      <c r="D6" s="19" t="s">
        <v>139</v>
      </c>
      <c r="E6" s="19" t="s">
        <v>140</v>
      </c>
      <c r="F6" s="19" t="s">
        <v>141</v>
      </c>
      <c r="G6" s="19" t="s">
        <v>142</v>
      </c>
      <c r="H6" s="20" t="n">
        <v>46477</v>
      </c>
      <c r="I6" s="10" t="s">
        <v>143</v>
      </c>
      <c r="J6" s="20" t="n">
        <v>46472</v>
      </c>
      <c r="K6" s="19" t="s">
        <v>144</v>
      </c>
      <c r="L6" s="10" t="s">
        <v>145</v>
      </c>
    </row>
    <row r="7" customFormat="false" ht="30" hidden="false" customHeight="true" outlineLevel="0" collapsed="false">
      <c r="B7" s="8" t="n">
        <v>1</v>
      </c>
      <c r="C7" s="11"/>
      <c r="D7" s="18" t="str">
        <f aca="false">IF(C7="","",IFERROR(INDEX(Objetivos!$C$14:$C$25,MATCH(C7,Objetivos!$B$14:$B$25,0)),"Código inválido"))</f>
        <v/>
      </c>
      <c r="E7" s="5"/>
      <c r="F7" s="5"/>
      <c r="G7" s="5"/>
      <c r="H7" s="13"/>
      <c r="I7" s="11"/>
      <c r="J7" s="13"/>
      <c r="K7" s="5"/>
      <c r="L7" s="14" t="str">
        <f aca="false">IF(E7="","",IF(C7="","Falta o objetivo",IF(D7="","Objetivo sem texto na aba Objetivos",IF(G7="","Falta o responsável",IF(H7="","Falta o prazo",IF(I7="","Falta o status",IF(AND(I7="Concluída",J7=""),"Falta a data de conclusão",IF(K7="","Falta como se avalia",IF(AND(ISNUMBER(H7),IFERROR(H7&gt;INDEX(Objetivos!$K$14:$K$25,MATCH(C7,Objetivos!$B$14:$B$25,0)),FALSE())),"Prazo depois do prazo do objetivo","OK")))))))))</f>
        <v/>
      </c>
    </row>
    <row r="8" customFormat="false" ht="30" hidden="false" customHeight="true" outlineLevel="0" collapsed="false">
      <c r="B8" s="8" t="n">
        <v>2</v>
      </c>
      <c r="C8" s="11"/>
      <c r="D8" s="18" t="str">
        <f aca="false">IF(C8="","",IFERROR(INDEX(Objetivos!$C$14:$C$25,MATCH(C8,Objetivos!$B$14:$B$25,0)),"Código inválido"))</f>
        <v/>
      </c>
      <c r="E8" s="5"/>
      <c r="F8" s="5"/>
      <c r="G8" s="5"/>
      <c r="H8" s="13"/>
      <c r="I8" s="11"/>
      <c r="J8" s="13"/>
      <c r="K8" s="5"/>
      <c r="L8" s="14" t="str">
        <f aca="false">IF(E8="","",IF(C8="","Falta o objetivo",IF(D8="","Objetivo sem texto na aba Objetivos",IF(G8="","Falta o responsável",IF(H8="","Falta o prazo",IF(I8="","Falta o status",IF(AND(I8="Concluída",J8=""),"Falta a data de conclusão",IF(K8="","Falta como se avalia",IF(AND(ISNUMBER(H8),IFERROR(H8&gt;INDEX(Objetivos!$K$14:$K$25,MATCH(C8,Objetivos!$B$14:$B$25,0)),FALSE())),"Prazo depois do prazo do objetivo","OK")))))))))</f>
        <v/>
      </c>
    </row>
    <row r="9" customFormat="false" ht="30" hidden="false" customHeight="true" outlineLevel="0" collapsed="false">
      <c r="B9" s="8" t="n">
        <v>3</v>
      </c>
      <c r="C9" s="11"/>
      <c r="D9" s="18" t="str">
        <f aca="false">IF(C9="","",IFERROR(INDEX(Objetivos!$C$14:$C$25,MATCH(C9,Objetivos!$B$14:$B$25,0)),"Código inválido"))</f>
        <v/>
      </c>
      <c r="E9" s="5"/>
      <c r="F9" s="5"/>
      <c r="G9" s="5"/>
      <c r="H9" s="13"/>
      <c r="I9" s="11"/>
      <c r="J9" s="13"/>
      <c r="K9" s="5"/>
      <c r="L9" s="14" t="str">
        <f aca="false">IF(E9="","",IF(C9="","Falta o objetivo",IF(D9="","Objetivo sem texto na aba Objetivos",IF(G9="","Falta o responsável",IF(H9="","Falta o prazo",IF(I9="","Falta o status",IF(AND(I9="Concluída",J9=""),"Falta a data de conclusão",IF(K9="","Falta como se avalia",IF(AND(ISNUMBER(H9),IFERROR(H9&gt;INDEX(Objetivos!$K$14:$K$25,MATCH(C9,Objetivos!$B$14:$B$25,0)),FALSE())),"Prazo depois do prazo do objetivo","OK")))))))))</f>
        <v/>
      </c>
    </row>
    <row r="10" customFormat="false" ht="30" hidden="false" customHeight="true" outlineLevel="0" collapsed="false">
      <c r="B10" s="8" t="n">
        <v>4</v>
      </c>
      <c r="C10" s="11"/>
      <c r="D10" s="18" t="str">
        <f aca="false">IF(C10="","",IFERROR(INDEX(Objetivos!$C$14:$C$25,MATCH(C10,Objetivos!$B$14:$B$25,0)),"Código inválido"))</f>
        <v/>
      </c>
      <c r="E10" s="5"/>
      <c r="F10" s="5"/>
      <c r="G10" s="5"/>
      <c r="H10" s="13"/>
      <c r="I10" s="11"/>
      <c r="J10" s="13"/>
      <c r="K10" s="5"/>
      <c r="L10" s="14" t="str">
        <f aca="false">IF(E10="","",IF(C10="","Falta o objetivo",IF(D10="","Objetivo sem texto na aba Objetivos",IF(G10="","Falta o responsável",IF(H10="","Falta o prazo",IF(I10="","Falta o status",IF(AND(I10="Concluída",J10=""),"Falta a data de conclusão",IF(K10="","Falta como se avalia",IF(AND(ISNUMBER(H10),IFERROR(H10&gt;INDEX(Objetivos!$K$14:$K$25,MATCH(C10,Objetivos!$B$14:$B$25,0)),FALSE())),"Prazo depois do prazo do objetivo","OK")))))))))</f>
        <v/>
      </c>
    </row>
    <row r="11" customFormat="false" ht="30" hidden="false" customHeight="true" outlineLevel="0" collapsed="false">
      <c r="B11" s="8" t="n">
        <v>5</v>
      </c>
      <c r="C11" s="11"/>
      <c r="D11" s="18" t="str">
        <f aca="false">IF(C11="","",IFERROR(INDEX(Objetivos!$C$14:$C$25,MATCH(C11,Objetivos!$B$14:$B$25,0)),"Código inválido"))</f>
        <v/>
      </c>
      <c r="E11" s="5"/>
      <c r="F11" s="5"/>
      <c r="G11" s="5"/>
      <c r="H11" s="13"/>
      <c r="I11" s="11"/>
      <c r="J11" s="13"/>
      <c r="K11" s="5"/>
      <c r="L11" s="14" t="str">
        <f aca="false">IF(E11="","",IF(C11="","Falta o objetivo",IF(D11="","Objetivo sem texto na aba Objetivos",IF(G11="","Falta o responsável",IF(H11="","Falta o prazo",IF(I11="","Falta o status",IF(AND(I11="Concluída",J11=""),"Falta a data de conclusão",IF(K11="","Falta como se avalia",IF(AND(ISNUMBER(H11),IFERROR(H11&gt;INDEX(Objetivos!$K$14:$K$25,MATCH(C11,Objetivos!$B$14:$B$25,0)),FALSE())),"Prazo depois do prazo do objetivo","OK")))))))))</f>
        <v/>
      </c>
    </row>
    <row r="12" customFormat="false" ht="30" hidden="false" customHeight="true" outlineLevel="0" collapsed="false">
      <c r="B12" s="8" t="n">
        <v>6</v>
      </c>
      <c r="C12" s="11"/>
      <c r="D12" s="18" t="str">
        <f aca="false">IF(C12="","",IFERROR(INDEX(Objetivos!$C$14:$C$25,MATCH(C12,Objetivos!$B$14:$B$25,0)),"Código inválido"))</f>
        <v/>
      </c>
      <c r="E12" s="5"/>
      <c r="F12" s="5"/>
      <c r="G12" s="5"/>
      <c r="H12" s="13"/>
      <c r="I12" s="11"/>
      <c r="J12" s="13"/>
      <c r="K12" s="5"/>
      <c r="L12" s="14" t="str">
        <f aca="false">IF(E12="","",IF(C12="","Falta o objetivo",IF(D12="","Objetivo sem texto na aba Objetivos",IF(G12="","Falta o responsável",IF(H12="","Falta o prazo",IF(I12="","Falta o status",IF(AND(I12="Concluída",J12=""),"Falta a data de conclusão",IF(K12="","Falta como se avalia",IF(AND(ISNUMBER(H12),IFERROR(H12&gt;INDEX(Objetivos!$K$14:$K$25,MATCH(C12,Objetivos!$B$14:$B$25,0)),FALSE())),"Prazo depois do prazo do objetivo","OK")))))))))</f>
        <v/>
      </c>
    </row>
    <row r="13" customFormat="false" ht="30" hidden="false" customHeight="true" outlineLevel="0" collapsed="false">
      <c r="B13" s="8" t="n">
        <v>7</v>
      </c>
      <c r="C13" s="11"/>
      <c r="D13" s="18" t="str">
        <f aca="false">IF(C13="","",IFERROR(INDEX(Objetivos!$C$14:$C$25,MATCH(C13,Objetivos!$B$14:$B$25,0)),"Código inválido"))</f>
        <v/>
      </c>
      <c r="E13" s="5"/>
      <c r="F13" s="5"/>
      <c r="G13" s="5"/>
      <c r="H13" s="13"/>
      <c r="I13" s="11"/>
      <c r="J13" s="13"/>
      <c r="K13" s="5"/>
      <c r="L13" s="14" t="str">
        <f aca="false">IF(E13="","",IF(C13="","Falta o objetivo",IF(D13="","Objetivo sem texto na aba Objetivos",IF(G13="","Falta o responsável",IF(H13="","Falta o prazo",IF(I13="","Falta o status",IF(AND(I13="Concluída",J13=""),"Falta a data de conclusão",IF(K13="","Falta como se avalia",IF(AND(ISNUMBER(H13),IFERROR(H13&gt;INDEX(Objetivos!$K$14:$K$25,MATCH(C13,Objetivos!$B$14:$B$25,0)),FALSE())),"Prazo depois do prazo do objetivo","OK")))))))))</f>
        <v/>
      </c>
    </row>
    <row r="14" customFormat="false" ht="30" hidden="false" customHeight="true" outlineLevel="0" collapsed="false">
      <c r="B14" s="8" t="n">
        <v>8</v>
      </c>
      <c r="C14" s="11"/>
      <c r="D14" s="18" t="str">
        <f aca="false">IF(C14="","",IFERROR(INDEX(Objetivos!$C$14:$C$25,MATCH(C14,Objetivos!$B$14:$B$25,0)),"Código inválido"))</f>
        <v/>
      </c>
      <c r="E14" s="5"/>
      <c r="F14" s="5"/>
      <c r="G14" s="5"/>
      <c r="H14" s="13"/>
      <c r="I14" s="11"/>
      <c r="J14" s="13"/>
      <c r="K14" s="5"/>
      <c r="L14" s="14" t="str">
        <f aca="false">IF(E14="","",IF(C14="","Falta o objetivo",IF(D14="","Objetivo sem texto na aba Objetivos",IF(G14="","Falta o responsável",IF(H14="","Falta o prazo",IF(I14="","Falta o status",IF(AND(I14="Concluída",J14=""),"Falta a data de conclusão",IF(K14="","Falta como se avalia",IF(AND(ISNUMBER(H14),IFERROR(H14&gt;INDEX(Objetivos!$K$14:$K$25,MATCH(C14,Objetivos!$B$14:$B$25,0)),FALSE())),"Prazo depois do prazo do objetivo","OK")))))))))</f>
        <v/>
      </c>
    </row>
    <row r="15" customFormat="false" ht="30" hidden="false" customHeight="true" outlineLevel="0" collapsed="false">
      <c r="B15" s="8" t="n">
        <v>9</v>
      </c>
      <c r="C15" s="11"/>
      <c r="D15" s="18" t="str">
        <f aca="false">IF(C15="","",IFERROR(INDEX(Objetivos!$C$14:$C$25,MATCH(C15,Objetivos!$B$14:$B$25,0)),"Código inválido"))</f>
        <v/>
      </c>
      <c r="E15" s="5"/>
      <c r="F15" s="5"/>
      <c r="G15" s="5"/>
      <c r="H15" s="13"/>
      <c r="I15" s="11"/>
      <c r="J15" s="13"/>
      <c r="K15" s="5"/>
      <c r="L15" s="14" t="str">
        <f aca="false">IF(E15="","",IF(C15="","Falta o objetivo",IF(D15="","Objetivo sem texto na aba Objetivos",IF(G15="","Falta o responsável",IF(H15="","Falta o prazo",IF(I15="","Falta o status",IF(AND(I15="Concluída",J15=""),"Falta a data de conclusão",IF(K15="","Falta como se avalia",IF(AND(ISNUMBER(H15),IFERROR(H15&gt;INDEX(Objetivos!$K$14:$K$25,MATCH(C15,Objetivos!$B$14:$B$25,0)),FALSE())),"Prazo depois do prazo do objetivo","OK")))))))))</f>
        <v/>
      </c>
    </row>
    <row r="16" customFormat="false" ht="30" hidden="false" customHeight="true" outlineLevel="0" collapsed="false">
      <c r="B16" s="8" t="n">
        <v>10</v>
      </c>
      <c r="C16" s="11"/>
      <c r="D16" s="18" t="str">
        <f aca="false">IF(C16="","",IFERROR(INDEX(Objetivos!$C$14:$C$25,MATCH(C16,Objetivos!$B$14:$B$25,0)),"Código inválido"))</f>
        <v/>
      </c>
      <c r="E16" s="5"/>
      <c r="F16" s="5"/>
      <c r="G16" s="5"/>
      <c r="H16" s="13"/>
      <c r="I16" s="11"/>
      <c r="J16" s="13"/>
      <c r="K16" s="5"/>
      <c r="L16" s="14" t="str">
        <f aca="false">IF(E16="","",IF(C16="","Falta o objetivo",IF(D16="","Objetivo sem texto na aba Objetivos",IF(G16="","Falta o responsável",IF(H16="","Falta o prazo",IF(I16="","Falta o status",IF(AND(I16="Concluída",J16=""),"Falta a data de conclusão",IF(K16="","Falta como se avalia",IF(AND(ISNUMBER(H16),IFERROR(H16&gt;INDEX(Objetivos!$K$14:$K$25,MATCH(C16,Objetivos!$B$14:$B$25,0)),FALSE())),"Prazo depois do prazo do objetivo","OK")))))))))</f>
        <v/>
      </c>
    </row>
    <row r="17" customFormat="false" ht="30" hidden="false" customHeight="true" outlineLevel="0" collapsed="false">
      <c r="B17" s="8" t="n">
        <v>11</v>
      </c>
      <c r="C17" s="11"/>
      <c r="D17" s="18" t="str">
        <f aca="false">IF(C17="","",IFERROR(INDEX(Objetivos!$C$14:$C$25,MATCH(C17,Objetivos!$B$14:$B$25,0)),"Código inválido"))</f>
        <v/>
      </c>
      <c r="E17" s="5"/>
      <c r="F17" s="5"/>
      <c r="G17" s="5"/>
      <c r="H17" s="13"/>
      <c r="I17" s="11"/>
      <c r="J17" s="13"/>
      <c r="K17" s="5"/>
      <c r="L17" s="14" t="str">
        <f aca="false">IF(E17="","",IF(C17="","Falta o objetivo",IF(D17="","Objetivo sem texto na aba Objetivos",IF(G17="","Falta o responsável",IF(H17="","Falta o prazo",IF(I17="","Falta o status",IF(AND(I17="Concluída",J17=""),"Falta a data de conclusão",IF(K17="","Falta como se avalia",IF(AND(ISNUMBER(H17),IFERROR(H17&gt;INDEX(Objetivos!$K$14:$K$25,MATCH(C17,Objetivos!$B$14:$B$25,0)),FALSE())),"Prazo depois do prazo do objetivo","OK")))))))))</f>
        <v/>
      </c>
    </row>
    <row r="18" customFormat="false" ht="30" hidden="false" customHeight="true" outlineLevel="0" collapsed="false">
      <c r="B18" s="8" t="n">
        <v>12</v>
      </c>
      <c r="C18" s="11"/>
      <c r="D18" s="18" t="str">
        <f aca="false">IF(C18="","",IFERROR(INDEX(Objetivos!$C$14:$C$25,MATCH(C18,Objetivos!$B$14:$B$25,0)),"Código inválido"))</f>
        <v/>
      </c>
      <c r="E18" s="5"/>
      <c r="F18" s="5"/>
      <c r="G18" s="5"/>
      <c r="H18" s="13"/>
      <c r="I18" s="11"/>
      <c r="J18" s="13"/>
      <c r="K18" s="5"/>
      <c r="L18" s="14" t="str">
        <f aca="false">IF(E18="","",IF(C18="","Falta o objetivo",IF(D18="","Objetivo sem texto na aba Objetivos",IF(G18="","Falta o responsável",IF(H18="","Falta o prazo",IF(I18="","Falta o status",IF(AND(I18="Concluída",J18=""),"Falta a data de conclusão",IF(K18="","Falta como se avalia",IF(AND(ISNUMBER(H18),IFERROR(H18&gt;INDEX(Objetivos!$K$14:$K$25,MATCH(C18,Objetivos!$B$14:$B$25,0)),FALSE())),"Prazo depois do prazo do objetivo","OK")))))))))</f>
        <v/>
      </c>
    </row>
    <row r="19" customFormat="false" ht="30" hidden="false" customHeight="true" outlineLevel="0" collapsed="false">
      <c r="B19" s="8" t="n">
        <v>13</v>
      </c>
      <c r="C19" s="11"/>
      <c r="D19" s="18" t="str">
        <f aca="false">IF(C19="","",IFERROR(INDEX(Objetivos!$C$14:$C$25,MATCH(C19,Objetivos!$B$14:$B$25,0)),"Código inválido"))</f>
        <v/>
      </c>
      <c r="E19" s="5"/>
      <c r="F19" s="5"/>
      <c r="G19" s="5"/>
      <c r="H19" s="13"/>
      <c r="I19" s="11"/>
      <c r="J19" s="13"/>
      <c r="K19" s="5"/>
      <c r="L19" s="14" t="str">
        <f aca="false">IF(E19="","",IF(C19="","Falta o objetivo",IF(D19="","Objetivo sem texto na aba Objetivos",IF(G19="","Falta o responsável",IF(H19="","Falta o prazo",IF(I19="","Falta o status",IF(AND(I19="Concluída",J19=""),"Falta a data de conclusão",IF(K19="","Falta como se avalia",IF(AND(ISNUMBER(H19),IFERROR(H19&gt;INDEX(Objetivos!$K$14:$K$25,MATCH(C19,Objetivos!$B$14:$B$25,0)),FALSE())),"Prazo depois do prazo do objetivo","OK")))))))))</f>
        <v/>
      </c>
    </row>
    <row r="20" customFormat="false" ht="30" hidden="false" customHeight="true" outlineLevel="0" collapsed="false">
      <c r="B20" s="8" t="n">
        <v>14</v>
      </c>
      <c r="C20" s="11"/>
      <c r="D20" s="18" t="str">
        <f aca="false">IF(C20="","",IFERROR(INDEX(Objetivos!$C$14:$C$25,MATCH(C20,Objetivos!$B$14:$B$25,0)),"Código inválido"))</f>
        <v/>
      </c>
      <c r="E20" s="5"/>
      <c r="F20" s="5"/>
      <c r="G20" s="5"/>
      <c r="H20" s="13"/>
      <c r="I20" s="11"/>
      <c r="J20" s="13"/>
      <c r="K20" s="5"/>
      <c r="L20" s="14" t="str">
        <f aca="false">IF(E20="","",IF(C20="","Falta o objetivo",IF(D20="","Objetivo sem texto na aba Objetivos",IF(G20="","Falta o responsável",IF(H20="","Falta o prazo",IF(I20="","Falta o status",IF(AND(I20="Concluída",J20=""),"Falta a data de conclusão",IF(K20="","Falta como se avalia",IF(AND(ISNUMBER(H20),IFERROR(H20&gt;INDEX(Objetivos!$K$14:$K$25,MATCH(C20,Objetivos!$B$14:$B$25,0)),FALSE())),"Prazo depois do prazo do objetivo","OK")))))))))</f>
        <v/>
      </c>
    </row>
    <row r="21" customFormat="false" ht="30" hidden="false" customHeight="true" outlineLevel="0" collapsed="false">
      <c r="B21" s="8" t="n">
        <v>15</v>
      </c>
      <c r="C21" s="11"/>
      <c r="D21" s="18" t="str">
        <f aca="false">IF(C21="","",IFERROR(INDEX(Objetivos!$C$14:$C$25,MATCH(C21,Objetivos!$B$14:$B$25,0)),"Código inválido"))</f>
        <v/>
      </c>
      <c r="E21" s="5"/>
      <c r="F21" s="5"/>
      <c r="G21" s="5"/>
      <c r="H21" s="13"/>
      <c r="I21" s="11"/>
      <c r="J21" s="13"/>
      <c r="K21" s="5"/>
      <c r="L21" s="14" t="str">
        <f aca="false">IF(E21="","",IF(C21="","Falta o objetivo",IF(D21="","Objetivo sem texto na aba Objetivos",IF(G21="","Falta o responsável",IF(H21="","Falta o prazo",IF(I21="","Falta o status",IF(AND(I21="Concluída",J21=""),"Falta a data de conclusão",IF(K21="","Falta como se avalia",IF(AND(ISNUMBER(H21),IFERROR(H21&gt;INDEX(Objetivos!$K$14:$K$25,MATCH(C21,Objetivos!$B$14:$B$25,0)),FALSE())),"Prazo depois do prazo do objetivo","OK")))))))))</f>
        <v/>
      </c>
    </row>
    <row r="22" customFormat="false" ht="30" hidden="false" customHeight="true" outlineLevel="0" collapsed="false">
      <c r="B22" s="8" t="n">
        <v>16</v>
      </c>
      <c r="C22" s="11"/>
      <c r="D22" s="18" t="str">
        <f aca="false">IF(C22="","",IFERROR(INDEX(Objetivos!$C$14:$C$25,MATCH(C22,Objetivos!$B$14:$B$25,0)),"Código inválido"))</f>
        <v/>
      </c>
      <c r="E22" s="5"/>
      <c r="F22" s="5"/>
      <c r="G22" s="5"/>
      <c r="H22" s="13"/>
      <c r="I22" s="11"/>
      <c r="J22" s="13"/>
      <c r="K22" s="5"/>
      <c r="L22" s="14" t="str">
        <f aca="false">IF(E22="","",IF(C22="","Falta o objetivo",IF(D22="","Objetivo sem texto na aba Objetivos",IF(G22="","Falta o responsável",IF(H22="","Falta o prazo",IF(I22="","Falta o status",IF(AND(I22="Concluída",J22=""),"Falta a data de conclusão",IF(K22="","Falta como se avalia",IF(AND(ISNUMBER(H22),IFERROR(H22&gt;INDEX(Objetivos!$K$14:$K$25,MATCH(C22,Objetivos!$B$14:$B$25,0)),FALSE())),"Prazo depois do prazo do objetivo","OK")))))))))</f>
        <v/>
      </c>
    </row>
    <row r="23" customFormat="false" ht="30" hidden="false" customHeight="true" outlineLevel="0" collapsed="false">
      <c r="B23" s="8" t="n">
        <v>17</v>
      </c>
      <c r="C23" s="11"/>
      <c r="D23" s="18" t="str">
        <f aca="false">IF(C23="","",IFERROR(INDEX(Objetivos!$C$14:$C$25,MATCH(C23,Objetivos!$B$14:$B$25,0)),"Código inválido"))</f>
        <v/>
      </c>
      <c r="E23" s="5"/>
      <c r="F23" s="5"/>
      <c r="G23" s="5"/>
      <c r="H23" s="13"/>
      <c r="I23" s="11"/>
      <c r="J23" s="13"/>
      <c r="K23" s="5"/>
      <c r="L23" s="14" t="str">
        <f aca="false">IF(E23="","",IF(C23="","Falta o objetivo",IF(D23="","Objetivo sem texto na aba Objetivos",IF(G23="","Falta o responsável",IF(H23="","Falta o prazo",IF(I23="","Falta o status",IF(AND(I23="Concluída",J23=""),"Falta a data de conclusão",IF(K23="","Falta como se avalia",IF(AND(ISNUMBER(H23),IFERROR(H23&gt;INDEX(Objetivos!$K$14:$K$25,MATCH(C23,Objetivos!$B$14:$B$25,0)),FALSE())),"Prazo depois do prazo do objetivo","OK")))))))))</f>
        <v/>
      </c>
    </row>
    <row r="24" customFormat="false" ht="30" hidden="false" customHeight="true" outlineLevel="0" collapsed="false">
      <c r="B24" s="8" t="n">
        <v>18</v>
      </c>
      <c r="C24" s="11"/>
      <c r="D24" s="18" t="str">
        <f aca="false">IF(C24="","",IFERROR(INDEX(Objetivos!$C$14:$C$25,MATCH(C24,Objetivos!$B$14:$B$25,0)),"Código inválido"))</f>
        <v/>
      </c>
      <c r="E24" s="5"/>
      <c r="F24" s="5"/>
      <c r="G24" s="5"/>
      <c r="H24" s="13"/>
      <c r="I24" s="11"/>
      <c r="J24" s="13"/>
      <c r="K24" s="5"/>
      <c r="L24" s="14" t="str">
        <f aca="false">IF(E24="","",IF(C24="","Falta o objetivo",IF(D24="","Objetivo sem texto na aba Objetivos",IF(G24="","Falta o responsável",IF(H24="","Falta o prazo",IF(I24="","Falta o status",IF(AND(I24="Concluída",J24=""),"Falta a data de conclusão",IF(K24="","Falta como se avalia",IF(AND(ISNUMBER(H24),IFERROR(H24&gt;INDEX(Objetivos!$K$14:$K$25,MATCH(C24,Objetivos!$B$14:$B$25,0)),FALSE())),"Prazo depois do prazo do objetivo","OK")))))))))</f>
        <v/>
      </c>
    </row>
    <row r="25" customFormat="false" ht="30" hidden="false" customHeight="true" outlineLevel="0" collapsed="false">
      <c r="B25" s="8" t="n">
        <v>19</v>
      </c>
      <c r="C25" s="11"/>
      <c r="D25" s="18" t="str">
        <f aca="false">IF(C25="","",IFERROR(INDEX(Objetivos!$C$14:$C$25,MATCH(C25,Objetivos!$B$14:$B$25,0)),"Código inválido"))</f>
        <v/>
      </c>
      <c r="E25" s="5"/>
      <c r="F25" s="5"/>
      <c r="G25" s="5"/>
      <c r="H25" s="13"/>
      <c r="I25" s="11"/>
      <c r="J25" s="13"/>
      <c r="K25" s="5"/>
      <c r="L25" s="14" t="str">
        <f aca="false">IF(E25="","",IF(C25="","Falta o objetivo",IF(D25="","Objetivo sem texto na aba Objetivos",IF(G25="","Falta o responsável",IF(H25="","Falta o prazo",IF(I25="","Falta o status",IF(AND(I25="Concluída",J25=""),"Falta a data de conclusão",IF(K25="","Falta como se avalia",IF(AND(ISNUMBER(H25),IFERROR(H25&gt;INDEX(Objetivos!$K$14:$K$25,MATCH(C25,Objetivos!$B$14:$B$25,0)),FALSE())),"Prazo depois do prazo do objetivo","OK")))))))))</f>
        <v/>
      </c>
    </row>
    <row r="26" customFormat="false" ht="30" hidden="false" customHeight="true" outlineLevel="0" collapsed="false">
      <c r="B26" s="8" t="n">
        <v>20</v>
      </c>
      <c r="C26" s="11"/>
      <c r="D26" s="18" t="str">
        <f aca="false">IF(C26="","",IFERROR(INDEX(Objetivos!$C$14:$C$25,MATCH(C26,Objetivos!$B$14:$B$25,0)),"Código inválido"))</f>
        <v/>
      </c>
      <c r="E26" s="5"/>
      <c r="F26" s="5"/>
      <c r="G26" s="5"/>
      <c r="H26" s="13"/>
      <c r="I26" s="11"/>
      <c r="J26" s="13"/>
      <c r="K26" s="5"/>
      <c r="L26" s="14" t="str">
        <f aca="false">IF(E26="","",IF(C26="","Falta o objetivo",IF(D26="","Objetivo sem texto na aba Objetivos",IF(G26="","Falta o responsável",IF(H26="","Falta o prazo",IF(I26="","Falta o status",IF(AND(I26="Concluída",J26=""),"Falta a data de conclusão",IF(K26="","Falta como se avalia",IF(AND(ISNUMBER(H26),IFERROR(H26&gt;INDEX(Objetivos!$K$14:$K$25,MATCH(C26,Objetivos!$B$14:$B$25,0)),FALSE())),"Prazo depois do prazo do objetivo","OK")))))))))</f>
        <v/>
      </c>
    </row>
    <row r="27" customFormat="false" ht="30" hidden="false" customHeight="true" outlineLevel="0" collapsed="false">
      <c r="B27" s="8" t="n">
        <v>21</v>
      </c>
      <c r="C27" s="11"/>
      <c r="D27" s="18" t="str">
        <f aca="false">IF(C27="","",IFERROR(INDEX(Objetivos!$C$14:$C$25,MATCH(C27,Objetivos!$B$14:$B$25,0)),"Código inválido"))</f>
        <v/>
      </c>
      <c r="E27" s="5"/>
      <c r="F27" s="5"/>
      <c r="G27" s="5"/>
      <c r="H27" s="13"/>
      <c r="I27" s="11"/>
      <c r="J27" s="13"/>
      <c r="K27" s="5"/>
      <c r="L27" s="14" t="str">
        <f aca="false">IF(E27="","",IF(C27="","Falta o objetivo",IF(D27="","Objetivo sem texto na aba Objetivos",IF(G27="","Falta o responsável",IF(H27="","Falta o prazo",IF(I27="","Falta o status",IF(AND(I27="Concluída",J27=""),"Falta a data de conclusão",IF(K27="","Falta como se avalia",IF(AND(ISNUMBER(H27),IFERROR(H27&gt;INDEX(Objetivos!$K$14:$K$25,MATCH(C27,Objetivos!$B$14:$B$25,0)),FALSE())),"Prazo depois do prazo do objetivo","OK")))))))))</f>
        <v/>
      </c>
    </row>
    <row r="28" customFormat="false" ht="30" hidden="false" customHeight="true" outlineLevel="0" collapsed="false">
      <c r="B28" s="8" t="n">
        <v>22</v>
      </c>
      <c r="C28" s="11"/>
      <c r="D28" s="18" t="str">
        <f aca="false">IF(C28="","",IFERROR(INDEX(Objetivos!$C$14:$C$25,MATCH(C28,Objetivos!$B$14:$B$25,0)),"Código inválido"))</f>
        <v/>
      </c>
      <c r="E28" s="5"/>
      <c r="F28" s="5"/>
      <c r="G28" s="5"/>
      <c r="H28" s="13"/>
      <c r="I28" s="11"/>
      <c r="J28" s="13"/>
      <c r="K28" s="5"/>
      <c r="L28" s="14" t="str">
        <f aca="false">IF(E28="","",IF(C28="","Falta o objetivo",IF(D28="","Objetivo sem texto na aba Objetivos",IF(G28="","Falta o responsável",IF(H28="","Falta o prazo",IF(I28="","Falta o status",IF(AND(I28="Concluída",J28=""),"Falta a data de conclusão",IF(K28="","Falta como se avalia",IF(AND(ISNUMBER(H28),IFERROR(H28&gt;INDEX(Objetivos!$K$14:$K$25,MATCH(C28,Objetivos!$B$14:$B$25,0)),FALSE())),"Prazo depois do prazo do objetivo","OK")))))))))</f>
        <v/>
      </c>
    </row>
    <row r="29" customFormat="false" ht="30" hidden="false" customHeight="true" outlineLevel="0" collapsed="false">
      <c r="B29" s="8" t="n">
        <v>23</v>
      </c>
      <c r="C29" s="11"/>
      <c r="D29" s="18" t="str">
        <f aca="false">IF(C29="","",IFERROR(INDEX(Objetivos!$C$14:$C$25,MATCH(C29,Objetivos!$B$14:$B$25,0)),"Código inválido"))</f>
        <v/>
      </c>
      <c r="E29" s="5"/>
      <c r="F29" s="5"/>
      <c r="G29" s="5"/>
      <c r="H29" s="13"/>
      <c r="I29" s="11"/>
      <c r="J29" s="13"/>
      <c r="K29" s="5"/>
      <c r="L29" s="14" t="str">
        <f aca="false">IF(E29="","",IF(C29="","Falta o objetivo",IF(D29="","Objetivo sem texto na aba Objetivos",IF(G29="","Falta o responsável",IF(H29="","Falta o prazo",IF(I29="","Falta o status",IF(AND(I29="Concluída",J29=""),"Falta a data de conclusão",IF(K29="","Falta como se avalia",IF(AND(ISNUMBER(H29),IFERROR(H29&gt;INDEX(Objetivos!$K$14:$K$25,MATCH(C29,Objetivos!$B$14:$B$25,0)),FALSE())),"Prazo depois do prazo do objetivo","OK")))))))))</f>
        <v/>
      </c>
    </row>
    <row r="30" customFormat="false" ht="30" hidden="false" customHeight="true" outlineLevel="0" collapsed="false">
      <c r="B30" s="8" t="n">
        <v>24</v>
      </c>
      <c r="C30" s="11"/>
      <c r="D30" s="18" t="str">
        <f aca="false">IF(C30="","",IFERROR(INDEX(Objetivos!$C$14:$C$25,MATCH(C30,Objetivos!$B$14:$B$25,0)),"Código inválido"))</f>
        <v/>
      </c>
      <c r="E30" s="5"/>
      <c r="F30" s="5"/>
      <c r="G30" s="5"/>
      <c r="H30" s="13"/>
      <c r="I30" s="11"/>
      <c r="J30" s="13"/>
      <c r="K30" s="5"/>
      <c r="L30" s="14" t="str">
        <f aca="false">IF(E30="","",IF(C30="","Falta o objetivo",IF(D30="","Objetivo sem texto na aba Objetivos",IF(G30="","Falta o responsável",IF(H30="","Falta o prazo",IF(I30="","Falta o status",IF(AND(I30="Concluída",J30=""),"Falta a data de conclusão",IF(K30="","Falta como se avalia",IF(AND(ISNUMBER(H30),IFERROR(H30&gt;INDEX(Objetivos!$K$14:$K$25,MATCH(C30,Objetivos!$B$14:$B$25,0)),FALSE())),"Prazo depois do prazo do objetivo","OK")))))))))</f>
        <v/>
      </c>
    </row>
    <row r="31" customFormat="false" ht="30" hidden="false" customHeight="true" outlineLevel="0" collapsed="false">
      <c r="B31" s="8" t="n">
        <v>25</v>
      </c>
      <c r="C31" s="11"/>
      <c r="D31" s="18" t="str">
        <f aca="false">IF(C31="","",IFERROR(INDEX(Objetivos!$C$14:$C$25,MATCH(C31,Objetivos!$B$14:$B$25,0)),"Código inválido"))</f>
        <v/>
      </c>
      <c r="E31" s="5"/>
      <c r="F31" s="5"/>
      <c r="G31" s="5"/>
      <c r="H31" s="13"/>
      <c r="I31" s="11"/>
      <c r="J31" s="13"/>
      <c r="K31" s="5"/>
      <c r="L31" s="14" t="str">
        <f aca="false">IF(E31="","",IF(C31="","Falta o objetivo",IF(D31="","Objetivo sem texto na aba Objetivos",IF(G31="","Falta o responsável",IF(H31="","Falta o prazo",IF(I31="","Falta o status",IF(AND(I31="Concluída",J31=""),"Falta a data de conclusão",IF(K31="","Falta como se avalia",IF(AND(ISNUMBER(H31),IFERROR(H31&gt;INDEX(Objetivos!$K$14:$K$25,MATCH(C31,Objetivos!$B$14:$B$25,0)),FALSE())),"Prazo depois do prazo do objetivo","OK")))))))))</f>
        <v/>
      </c>
    </row>
    <row r="32" customFormat="false" ht="30" hidden="false" customHeight="true" outlineLevel="0" collapsed="false">
      <c r="B32" s="8" t="n">
        <v>26</v>
      </c>
      <c r="C32" s="11"/>
      <c r="D32" s="18" t="str">
        <f aca="false">IF(C32="","",IFERROR(INDEX(Objetivos!$C$14:$C$25,MATCH(C32,Objetivos!$B$14:$B$25,0)),"Código inválido"))</f>
        <v/>
      </c>
      <c r="E32" s="5"/>
      <c r="F32" s="5"/>
      <c r="G32" s="5"/>
      <c r="H32" s="13"/>
      <c r="I32" s="11"/>
      <c r="J32" s="13"/>
      <c r="K32" s="5"/>
      <c r="L32" s="14" t="str">
        <f aca="false">IF(E32="","",IF(C32="","Falta o objetivo",IF(D32="","Objetivo sem texto na aba Objetivos",IF(G32="","Falta o responsável",IF(H32="","Falta o prazo",IF(I32="","Falta o status",IF(AND(I32="Concluída",J32=""),"Falta a data de conclusão",IF(K32="","Falta como se avalia",IF(AND(ISNUMBER(H32),IFERROR(H32&gt;INDEX(Objetivos!$K$14:$K$25,MATCH(C32,Objetivos!$B$14:$B$25,0)),FALSE())),"Prazo depois do prazo do objetivo","OK")))))))))</f>
        <v/>
      </c>
    </row>
    <row r="33" customFormat="false" ht="30" hidden="false" customHeight="true" outlineLevel="0" collapsed="false">
      <c r="B33" s="8" t="n">
        <v>27</v>
      </c>
      <c r="C33" s="11"/>
      <c r="D33" s="18" t="str">
        <f aca="false">IF(C33="","",IFERROR(INDEX(Objetivos!$C$14:$C$25,MATCH(C33,Objetivos!$B$14:$B$25,0)),"Código inválido"))</f>
        <v/>
      </c>
      <c r="E33" s="5"/>
      <c r="F33" s="5"/>
      <c r="G33" s="5"/>
      <c r="H33" s="13"/>
      <c r="I33" s="11"/>
      <c r="J33" s="13"/>
      <c r="K33" s="5"/>
      <c r="L33" s="14" t="str">
        <f aca="false">IF(E33="","",IF(C33="","Falta o objetivo",IF(D33="","Objetivo sem texto na aba Objetivos",IF(G33="","Falta o responsável",IF(H33="","Falta o prazo",IF(I33="","Falta o status",IF(AND(I33="Concluída",J33=""),"Falta a data de conclusão",IF(K33="","Falta como se avalia",IF(AND(ISNUMBER(H33),IFERROR(H33&gt;INDEX(Objetivos!$K$14:$K$25,MATCH(C33,Objetivos!$B$14:$B$25,0)),FALSE())),"Prazo depois do prazo do objetivo","OK")))))))))</f>
        <v/>
      </c>
    </row>
    <row r="34" customFormat="false" ht="30" hidden="false" customHeight="true" outlineLevel="0" collapsed="false">
      <c r="B34" s="8" t="n">
        <v>28</v>
      </c>
      <c r="C34" s="11"/>
      <c r="D34" s="18" t="str">
        <f aca="false">IF(C34="","",IFERROR(INDEX(Objetivos!$C$14:$C$25,MATCH(C34,Objetivos!$B$14:$B$25,0)),"Código inválido"))</f>
        <v/>
      </c>
      <c r="E34" s="5"/>
      <c r="F34" s="5"/>
      <c r="G34" s="5"/>
      <c r="H34" s="13"/>
      <c r="I34" s="11"/>
      <c r="J34" s="13"/>
      <c r="K34" s="5"/>
      <c r="L34" s="14" t="str">
        <f aca="false">IF(E34="","",IF(C34="","Falta o objetivo",IF(D34="","Objetivo sem texto na aba Objetivos",IF(G34="","Falta o responsável",IF(H34="","Falta o prazo",IF(I34="","Falta o status",IF(AND(I34="Concluída",J34=""),"Falta a data de conclusão",IF(K34="","Falta como se avalia",IF(AND(ISNUMBER(H34),IFERROR(H34&gt;INDEX(Objetivos!$K$14:$K$25,MATCH(C34,Objetivos!$B$14:$B$25,0)),FALSE())),"Prazo depois do prazo do objetivo","OK")))))))))</f>
        <v/>
      </c>
    </row>
    <row r="35" customFormat="false" ht="30" hidden="false" customHeight="true" outlineLevel="0" collapsed="false">
      <c r="B35" s="8" t="n">
        <v>29</v>
      </c>
      <c r="C35" s="11"/>
      <c r="D35" s="18" t="str">
        <f aca="false">IF(C35="","",IFERROR(INDEX(Objetivos!$C$14:$C$25,MATCH(C35,Objetivos!$B$14:$B$25,0)),"Código inválido"))</f>
        <v/>
      </c>
      <c r="E35" s="5"/>
      <c r="F35" s="5"/>
      <c r="G35" s="5"/>
      <c r="H35" s="13"/>
      <c r="I35" s="11"/>
      <c r="J35" s="13"/>
      <c r="K35" s="5"/>
      <c r="L35" s="14" t="str">
        <f aca="false">IF(E35="","",IF(C35="","Falta o objetivo",IF(D35="","Objetivo sem texto na aba Objetivos",IF(G35="","Falta o responsável",IF(H35="","Falta o prazo",IF(I35="","Falta o status",IF(AND(I35="Concluída",J35=""),"Falta a data de conclusão",IF(K35="","Falta como se avalia",IF(AND(ISNUMBER(H35),IFERROR(H35&gt;INDEX(Objetivos!$K$14:$K$25,MATCH(C35,Objetivos!$B$14:$B$25,0)),FALSE())),"Prazo depois do prazo do objetivo","OK")))))))))</f>
        <v/>
      </c>
    </row>
    <row r="36" customFormat="false" ht="30" hidden="false" customHeight="true" outlineLevel="0" collapsed="false">
      <c r="B36" s="8" t="n">
        <v>30</v>
      </c>
      <c r="C36" s="11"/>
      <c r="D36" s="18" t="str">
        <f aca="false">IF(C36="","",IFERROR(INDEX(Objetivos!$C$14:$C$25,MATCH(C36,Objetivos!$B$14:$B$25,0)),"Código inválido"))</f>
        <v/>
      </c>
      <c r="E36" s="5"/>
      <c r="F36" s="5"/>
      <c r="G36" s="5"/>
      <c r="H36" s="13"/>
      <c r="I36" s="11"/>
      <c r="J36" s="13"/>
      <c r="K36" s="5"/>
      <c r="L36" s="14" t="str">
        <f aca="false">IF(E36="","",IF(C36="","Falta o objetivo",IF(D36="","Objetivo sem texto na aba Objetivos",IF(G36="","Falta o responsável",IF(H36="","Falta o prazo",IF(I36="","Falta o status",IF(AND(I36="Concluída",J36=""),"Falta a data de conclusão",IF(K36="","Falta como se avalia",IF(AND(ISNUMBER(H36),IFERROR(H36&gt;INDEX(Objetivos!$K$14:$K$25,MATCH(C36,Objetivos!$B$14:$B$25,0)),FALSE())),"Prazo depois do prazo do objetivo","OK")))))))))</f>
        <v/>
      </c>
    </row>
    <row r="37" customFormat="false" ht="30" hidden="false" customHeight="true" outlineLevel="0" collapsed="false">
      <c r="B37" s="8" t="n">
        <v>31</v>
      </c>
      <c r="C37" s="11"/>
      <c r="D37" s="18" t="str">
        <f aca="false">IF(C37="","",IFERROR(INDEX(Objetivos!$C$14:$C$25,MATCH(C37,Objetivos!$B$14:$B$25,0)),"Código inválido"))</f>
        <v/>
      </c>
      <c r="E37" s="5"/>
      <c r="F37" s="5"/>
      <c r="G37" s="5"/>
      <c r="H37" s="13"/>
      <c r="I37" s="11"/>
      <c r="J37" s="13"/>
      <c r="K37" s="5"/>
      <c r="L37" s="14" t="str">
        <f aca="false">IF(E37="","",IF(C37="","Falta o objetivo",IF(D37="","Objetivo sem texto na aba Objetivos",IF(G37="","Falta o responsável",IF(H37="","Falta o prazo",IF(I37="","Falta o status",IF(AND(I37="Concluída",J37=""),"Falta a data de conclusão",IF(K37="","Falta como se avalia",IF(AND(ISNUMBER(H37),IFERROR(H37&gt;INDEX(Objetivos!$K$14:$K$25,MATCH(C37,Objetivos!$B$14:$B$25,0)),FALSE())),"Prazo depois do prazo do objetivo","OK")))))))))</f>
        <v/>
      </c>
    </row>
    <row r="38" customFormat="false" ht="30" hidden="false" customHeight="true" outlineLevel="0" collapsed="false">
      <c r="B38" s="8" t="n">
        <v>32</v>
      </c>
      <c r="C38" s="11"/>
      <c r="D38" s="18" t="str">
        <f aca="false">IF(C38="","",IFERROR(INDEX(Objetivos!$C$14:$C$25,MATCH(C38,Objetivos!$B$14:$B$25,0)),"Código inválido"))</f>
        <v/>
      </c>
      <c r="E38" s="5"/>
      <c r="F38" s="5"/>
      <c r="G38" s="5"/>
      <c r="H38" s="13"/>
      <c r="I38" s="11"/>
      <c r="J38" s="13"/>
      <c r="K38" s="5"/>
      <c r="L38" s="14" t="str">
        <f aca="false">IF(E38="","",IF(C38="","Falta o objetivo",IF(D38="","Objetivo sem texto na aba Objetivos",IF(G38="","Falta o responsável",IF(H38="","Falta o prazo",IF(I38="","Falta o status",IF(AND(I38="Concluída",J38=""),"Falta a data de conclusão",IF(K38="","Falta como se avalia",IF(AND(ISNUMBER(H38),IFERROR(H38&gt;INDEX(Objetivos!$K$14:$K$25,MATCH(C38,Objetivos!$B$14:$B$25,0)),FALSE())),"Prazo depois do prazo do objetivo","OK")))))))))</f>
        <v/>
      </c>
    </row>
    <row r="39" customFormat="false" ht="30" hidden="false" customHeight="true" outlineLevel="0" collapsed="false">
      <c r="B39" s="8" t="n">
        <v>33</v>
      </c>
      <c r="C39" s="11"/>
      <c r="D39" s="18" t="str">
        <f aca="false">IF(C39="","",IFERROR(INDEX(Objetivos!$C$14:$C$25,MATCH(C39,Objetivos!$B$14:$B$25,0)),"Código inválido"))</f>
        <v/>
      </c>
      <c r="E39" s="5"/>
      <c r="F39" s="5"/>
      <c r="G39" s="5"/>
      <c r="H39" s="13"/>
      <c r="I39" s="11"/>
      <c r="J39" s="13"/>
      <c r="K39" s="5"/>
      <c r="L39" s="14" t="str">
        <f aca="false">IF(E39="","",IF(C39="","Falta o objetivo",IF(D39="","Objetivo sem texto na aba Objetivos",IF(G39="","Falta o responsável",IF(H39="","Falta o prazo",IF(I39="","Falta o status",IF(AND(I39="Concluída",J39=""),"Falta a data de conclusão",IF(K39="","Falta como se avalia",IF(AND(ISNUMBER(H39),IFERROR(H39&gt;INDEX(Objetivos!$K$14:$K$25,MATCH(C39,Objetivos!$B$14:$B$25,0)),FALSE())),"Prazo depois do prazo do objetivo","OK")))))))))</f>
        <v/>
      </c>
    </row>
    <row r="40" customFormat="false" ht="30" hidden="false" customHeight="true" outlineLevel="0" collapsed="false">
      <c r="B40" s="8" t="n">
        <v>34</v>
      </c>
      <c r="C40" s="11"/>
      <c r="D40" s="18" t="str">
        <f aca="false">IF(C40="","",IFERROR(INDEX(Objetivos!$C$14:$C$25,MATCH(C40,Objetivos!$B$14:$B$25,0)),"Código inválido"))</f>
        <v/>
      </c>
      <c r="E40" s="5"/>
      <c r="F40" s="5"/>
      <c r="G40" s="5"/>
      <c r="H40" s="13"/>
      <c r="I40" s="11"/>
      <c r="J40" s="13"/>
      <c r="K40" s="5"/>
      <c r="L40" s="14" t="str">
        <f aca="false">IF(E40="","",IF(C40="","Falta o objetivo",IF(D40="","Objetivo sem texto na aba Objetivos",IF(G40="","Falta o responsável",IF(H40="","Falta o prazo",IF(I40="","Falta o status",IF(AND(I40="Concluída",J40=""),"Falta a data de conclusão",IF(K40="","Falta como se avalia",IF(AND(ISNUMBER(H40),IFERROR(H40&gt;INDEX(Objetivos!$K$14:$K$25,MATCH(C40,Objetivos!$B$14:$B$25,0)),FALSE())),"Prazo depois do prazo do objetivo","OK")))))))))</f>
        <v/>
      </c>
    </row>
    <row r="41" customFormat="false" ht="30" hidden="false" customHeight="true" outlineLevel="0" collapsed="false">
      <c r="B41" s="8" t="n">
        <v>35</v>
      </c>
      <c r="C41" s="11"/>
      <c r="D41" s="18" t="str">
        <f aca="false">IF(C41="","",IFERROR(INDEX(Objetivos!$C$14:$C$25,MATCH(C41,Objetivos!$B$14:$B$25,0)),"Código inválido"))</f>
        <v/>
      </c>
      <c r="E41" s="5"/>
      <c r="F41" s="5"/>
      <c r="G41" s="5"/>
      <c r="H41" s="13"/>
      <c r="I41" s="11"/>
      <c r="J41" s="13"/>
      <c r="K41" s="5"/>
      <c r="L41" s="14" t="str">
        <f aca="false">IF(E41="","",IF(C41="","Falta o objetivo",IF(D41="","Objetivo sem texto na aba Objetivos",IF(G41="","Falta o responsável",IF(H41="","Falta o prazo",IF(I41="","Falta o status",IF(AND(I41="Concluída",J41=""),"Falta a data de conclusão",IF(K41="","Falta como se avalia",IF(AND(ISNUMBER(H41),IFERROR(H41&gt;INDEX(Objetivos!$K$14:$K$25,MATCH(C41,Objetivos!$B$14:$B$25,0)),FALSE())),"Prazo depois do prazo do objetivo","OK")))))))))</f>
        <v/>
      </c>
    </row>
    <row r="42" customFormat="false" ht="30" hidden="false" customHeight="true" outlineLevel="0" collapsed="false">
      <c r="B42" s="8" t="n">
        <v>36</v>
      </c>
      <c r="C42" s="11"/>
      <c r="D42" s="18" t="str">
        <f aca="false">IF(C42="","",IFERROR(INDEX(Objetivos!$C$14:$C$25,MATCH(C42,Objetivos!$B$14:$B$25,0)),"Código inválido"))</f>
        <v/>
      </c>
      <c r="E42" s="5"/>
      <c r="F42" s="5"/>
      <c r="G42" s="5"/>
      <c r="H42" s="13"/>
      <c r="I42" s="11"/>
      <c r="J42" s="13"/>
      <c r="K42" s="5"/>
      <c r="L42" s="14" t="str">
        <f aca="false">IF(E42="","",IF(C42="","Falta o objetivo",IF(D42="","Objetivo sem texto na aba Objetivos",IF(G42="","Falta o responsável",IF(H42="","Falta o prazo",IF(I42="","Falta o status",IF(AND(I42="Concluída",J42=""),"Falta a data de conclusão",IF(K42="","Falta como se avalia",IF(AND(ISNUMBER(H42),IFERROR(H42&gt;INDEX(Objetivos!$K$14:$K$25,MATCH(C42,Objetivos!$B$14:$B$25,0)),FALSE())),"Prazo depois do prazo do objetivo","OK")))))))))</f>
        <v/>
      </c>
    </row>
    <row r="44" customFormat="false" ht="21.75" hidden="false" customHeight="true" outlineLevel="0" collapsed="false">
      <c r="B44" s="15" t="s">
        <v>119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customFormat="false" ht="21.75" hidden="false" customHeight="true" outlineLevel="0" collapsed="false">
      <c r="B45" s="16" t="s">
        <v>146</v>
      </c>
      <c r="C45" s="16"/>
      <c r="D45" s="16"/>
      <c r="E45" s="17" t="n">
        <f aca="false">COUNTA(E7:E42)</f>
        <v>0</v>
      </c>
      <c r="F45" s="17"/>
      <c r="G45" s="17"/>
    </row>
    <row r="46" customFormat="false" ht="21.75" hidden="false" customHeight="true" outlineLevel="0" collapsed="false">
      <c r="B46" s="16" t="s">
        <v>147</v>
      </c>
      <c r="C46" s="16"/>
      <c r="D46" s="16"/>
      <c r="E46" s="17" t="n">
        <f aca="false">COUNTIF(I7:I42,"Concluída")</f>
        <v>0</v>
      </c>
      <c r="F46" s="17"/>
      <c r="G46" s="17"/>
    </row>
    <row r="47" customFormat="false" ht="21.75" hidden="false" customHeight="true" outlineLevel="0" collapsed="false">
      <c r="B47" s="16" t="s">
        <v>148</v>
      </c>
      <c r="C47" s="16"/>
      <c r="D47" s="16"/>
      <c r="E47" s="17" t="n">
        <f aca="false">COUNTIF(I7:I42,"Em andamento")+COUNTIF(I7:I42,"Não iniciada")</f>
        <v>0</v>
      </c>
      <c r="F47" s="17"/>
      <c r="G47" s="17"/>
    </row>
    <row r="48" customFormat="false" ht="21.75" hidden="false" customHeight="true" outlineLevel="0" collapsed="false">
      <c r="B48" s="16" t="s">
        <v>123</v>
      </c>
      <c r="C48" s="16"/>
      <c r="D48" s="16"/>
      <c r="E48" s="18" t="str">
        <f aca="false">IF(E45=0,"Escreva as ações",IF(COUNTIF(L7:L42,"OK")&lt;E45,"Há ação a rever: veja a coluna Conferência","OK"))</f>
        <v>Escreva as ações</v>
      </c>
      <c r="F48" s="18"/>
      <c r="G48" s="18"/>
    </row>
  </sheetData>
  <mergeCells count="11">
    <mergeCell ref="B1:L1"/>
    <mergeCell ref="B2:L2"/>
    <mergeCell ref="B44:L44"/>
    <mergeCell ref="B45:D45"/>
    <mergeCell ref="E45:G45"/>
    <mergeCell ref="B46:D46"/>
    <mergeCell ref="E46:G46"/>
    <mergeCell ref="B47:D47"/>
    <mergeCell ref="E47:G47"/>
    <mergeCell ref="B48:D48"/>
    <mergeCell ref="E48:G48"/>
  </mergeCells>
  <conditionalFormatting sqref="I7:I42">
    <cfRule type="expression" priority="2" aboveAverage="0" equalAverage="0" bottom="0" percent="0" rank="0" text="" dxfId="0">
      <formula>I7="Concluída"</formula>
    </cfRule>
    <cfRule type="expression" priority="3" aboveAverage="0" equalAverage="0" bottom="0" percent="0" rank="0" text="" dxfId="2">
      <formula>I7="Em andamento"</formula>
    </cfRule>
    <cfRule type="expression" priority="4" aboveAverage="0" equalAverage="0" bottom="0" percent="0" rank="0" text="" dxfId="1">
      <formula>I7="Não iniciada"</formula>
    </cfRule>
    <cfRule type="expression" priority="5" aboveAverage="0" equalAverage="0" bottom="0" percent="0" rank="0" text="" dxfId="3">
      <formula>I7="Cancelada"</formula>
    </cfRule>
  </conditionalFormatting>
  <conditionalFormatting sqref="L7:L42">
    <cfRule type="expression" priority="6" aboveAverage="0" equalAverage="0" bottom="0" percent="0" rank="0" text="" dxfId="0">
      <formula>OR(L7="OK")</formula>
    </cfRule>
    <cfRule type="expression" priority="7" aboveAverage="0" equalAverage="0" bottom="0" percent="0" rank="0" text="" dxfId="1">
      <formula>AND(LEN(L7)&gt;0,NOT(OR(L7="OK")))</formula>
    </cfRule>
  </conditionalFormatting>
  <conditionalFormatting sqref="E48:G48">
    <cfRule type="expression" priority="8" aboveAverage="0" equalAverage="0" bottom="0" percent="0" rank="0" text="" dxfId="0">
      <formula>OR(E48="OK")</formula>
    </cfRule>
    <cfRule type="expression" priority="9" aboveAverage="0" equalAverage="0" bottom="0" percent="0" rank="0" text="" dxfId="1">
      <formula>AND(LEN(E48)&gt;0,NOT(OR(E48="OK")))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H7:H42 J7:J42" type="date">
      <formula1>36526</formula1>
      <formula2>0</formula2>
    </dataValidation>
    <dataValidation allowBlank="true" error="Escolha uma das opções da lista." errorStyle="stop" errorTitle="Valor inválido" operator="between" prompt="Código do objetivo, da aba Objetivos" promptTitle="Opções" showDropDown="false" showErrorMessage="true" showInputMessage="true" sqref="C7:C42" type="list">
      <formula1>"O1,O2,O3,O4,O5,O6,O7,O8,O9,O10,O11,O12"</formula1>
      <formula2>0</formula2>
    </dataValidation>
    <dataValidation allowBlank="true" error="Escolha uma das opções da lista." errorStyle="stop" errorTitle="Valor inválido" operator="between" prompt="Status da ação" promptTitle="Opções" showDropDown="false" showErrorMessage="true" showInputMessage="true" sqref="I7:I42" type="list">
      <formula1>"Não iniciada,Em andamento,Concluída,Cancelada"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V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7" min="5" style="0" width="9"/>
    <col collapsed="false" customWidth="true" hidden="false" outlineLevel="0" max="19" min="8" style="0" width="8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2" min="22" style="0" width="15"/>
    <col collapsed="false" customWidth="true" hidden="false" outlineLevel="0" max="23" min="23" style="0" width="2"/>
  </cols>
  <sheetData>
    <row r="1" customFormat="false" ht="31.5" hidden="false" customHeight="true" outlineLevel="0" collapsed="false">
      <c r="B1" s="1" t="s">
        <v>149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9.5" hidden="false" customHeight="true" outlineLevel="0" collapsed="false">
      <c r="B2" s="2" t="s">
        <v>150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21.75" hidden="false" customHeight="true" outlineLevel="0" collapsed="false">
      <c r="B4" s="4" t="s">
        <v>151</v>
      </c>
      <c r="C4" s="4"/>
      <c r="D4" s="13"/>
      <c r="E4" s="19" t="s">
        <v>152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6" customFormat="false" ht="33" hidden="false" customHeight="true" outlineLevel="0" collapsed="false">
      <c r="B6" s="9" t="s">
        <v>81</v>
      </c>
      <c r="C6" s="9" t="s">
        <v>85</v>
      </c>
      <c r="D6" s="9" t="s">
        <v>86</v>
      </c>
      <c r="E6" s="9" t="s">
        <v>87</v>
      </c>
      <c r="F6" s="9" t="s">
        <v>88</v>
      </c>
      <c r="G6" s="9" t="s">
        <v>89</v>
      </c>
      <c r="H6" s="21" t="s">
        <v>153</v>
      </c>
      <c r="I6" s="21" t="s">
        <v>154</v>
      </c>
      <c r="J6" s="21" t="s">
        <v>155</v>
      </c>
      <c r="K6" s="21" t="s">
        <v>156</v>
      </c>
      <c r="L6" s="21" t="s">
        <v>157</v>
      </c>
      <c r="M6" s="21" t="s">
        <v>158</v>
      </c>
      <c r="N6" s="21" t="s">
        <v>159</v>
      </c>
      <c r="O6" s="21" t="s">
        <v>160</v>
      </c>
      <c r="P6" s="21" t="s">
        <v>161</v>
      </c>
      <c r="Q6" s="21" t="s">
        <v>162</v>
      </c>
      <c r="R6" s="21" t="s">
        <v>163</v>
      </c>
      <c r="S6" s="21" t="s">
        <v>164</v>
      </c>
      <c r="T6" s="9" t="s">
        <v>165</v>
      </c>
      <c r="U6" s="9" t="s">
        <v>166</v>
      </c>
      <c r="V6" s="9" t="s">
        <v>167</v>
      </c>
    </row>
    <row r="7" customFormat="false" ht="21.75" hidden="false" customHeight="true" outlineLevel="0" collapsed="false">
      <c r="B7" s="8" t="s">
        <v>107</v>
      </c>
      <c r="C7" s="18" t="str">
        <f aca="false">IF(Objetivos!F14="","",Objetivos!F14)</f>
        <v/>
      </c>
      <c r="D7" s="14" t="str">
        <f aca="false">IF(Objetivos!G14="","",Objetivos!G14)</f>
        <v/>
      </c>
      <c r="E7" s="14" t="str">
        <f aca="false">IF(Objetivos!H14="","",IF(Objetivos!H14="Maior é melhor","Maior","Menor"))</f>
        <v/>
      </c>
      <c r="F7" s="22" t="str">
        <f aca="false">IF(Objetivos!I14="","",Objetivos!I14)</f>
        <v/>
      </c>
      <c r="G7" s="22" t="str">
        <f aca="false">IF(Objetivos!J14="","",Objetivos!J14)</f>
        <v/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23" t="str">
        <f aca="false">IF(COUNT(H7:S7)=0,"",LOOKUP(2,1/ISNUMBER(H7:S7),H7:S7))</f>
        <v/>
      </c>
      <c r="U7" s="24" t="str">
        <f aca="false">IF(OR(T7="",F7="",G7=""),"",IF(IF(Objetivos!H14="Maior é melhor",G7&lt;=F7,G7&gt;=F7),IF(IF(Objetivos!H14="Maior é melhor",T7&gt;=G7,T7&lt;=G7),1,0),MAX(0,MIN(1,(T7-F7)/(G7-F7)))))</f>
        <v/>
      </c>
      <c r="V7" s="14" t="str">
        <f aca="false">IF(OR(C7="",G7=""),"",IF(T7="","Sem resultado",IF(IF(Objetivos!H14="Maior é melhor",T7&gt;=G7,T7&lt;=G7),"Alcançado",IF(AND(ISNUMBER(Objetivos!K14),ISNUMBER($D$4),Objetivos!K14&lt;$D$4),"Não alcançado",IF(F7="","Em andamento",IF(IF(Objetivos!H14="Maior é melhor",T7&gt;F7,T7&lt;F7),"No caminho","Em risco"))))))</f>
        <v/>
      </c>
    </row>
    <row r="8" customFormat="false" ht="21.75" hidden="false" customHeight="true" outlineLevel="0" collapsed="false">
      <c r="B8" s="8" t="s">
        <v>108</v>
      </c>
      <c r="C8" s="18" t="str">
        <f aca="false">IF(Objetivos!F15="","",Objetivos!F15)</f>
        <v/>
      </c>
      <c r="D8" s="14" t="str">
        <f aca="false">IF(Objetivos!G15="","",Objetivos!G15)</f>
        <v/>
      </c>
      <c r="E8" s="14" t="str">
        <f aca="false">IF(Objetivos!H15="","",IF(Objetivos!H15="Maior é melhor","Maior","Menor"))</f>
        <v/>
      </c>
      <c r="F8" s="22" t="str">
        <f aca="false">IF(Objetivos!I15="","",Objetivos!I15)</f>
        <v/>
      </c>
      <c r="G8" s="22" t="str">
        <f aca="false">IF(Objetivos!J15="","",Objetivos!J15)</f>
        <v/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23" t="str">
        <f aca="false">IF(COUNT(H8:S8)=0,"",LOOKUP(2,1/ISNUMBER(H8:S8),H8:S8))</f>
        <v/>
      </c>
      <c r="U8" s="24" t="str">
        <f aca="false">IF(OR(T8="",F8="",G8=""),"",IF(IF(Objetivos!H15="Maior é melhor",G8&lt;=F8,G8&gt;=F8),IF(IF(Objetivos!H15="Maior é melhor",T8&gt;=G8,T8&lt;=G8),1,0),MAX(0,MIN(1,(T8-F8)/(G8-F8)))))</f>
        <v/>
      </c>
      <c r="V8" s="14" t="str">
        <f aca="false">IF(OR(C8="",G8=""),"",IF(T8="","Sem resultado",IF(IF(Objetivos!H15="Maior é melhor",T8&gt;=G8,T8&lt;=G8),"Alcançado",IF(AND(ISNUMBER(Objetivos!K15),ISNUMBER($D$4),Objetivos!K15&lt;$D$4),"Não alcançado",IF(F8="","Em andamento",IF(IF(Objetivos!H15="Maior é melhor",T8&gt;F8,T8&lt;F8),"No caminho","Em risco"))))))</f>
        <v/>
      </c>
    </row>
    <row r="9" customFormat="false" ht="21.75" hidden="false" customHeight="true" outlineLevel="0" collapsed="false">
      <c r="B9" s="8" t="s">
        <v>109</v>
      </c>
      <c r="C9" s="18" t="str">
        <f aca="false">IF(Objetivos!F16="","",Objetivos!F16)</f>
        <v/>
      </c>
      <c r="D9" s="14" t="str">
        <f aca="false">IF(Objetivos!G16="","",Objetivos!G16)</f>
        <v/>
      </c>
      <c r="E9" s="14" t="str">
        <f aca="false">IF(Objetivos!H16="","",IF(Objetivos!H16="Maior é melhor","Maior","Menor"))</f>
        <v/>
      </c>
      <c r="F9" s="22" t="str">
        <f aca="false">IF(Objetivos!I16="","",Objetivos!I16)</f>
        <v/>
      </c>
      <c r="G9" s="22" t="str">
        <f aca="false">IF(Objetivos!J16="","",Objetivos!J16)</f>
        <v/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23" t="str">
        <f aca="false">IF(COUNT(H9:S9)=0,"",LOOKUP(2,1/ISNUMBER(H9:S9),H9:S9))</f>
        <v/>
      </c>
      <c r="U9" s="24" t="str">
        <f aca="false">IF(OR(T9="",F9="",G9=""),"",IF(IF(Objetivos!H16="Maior é melhor",G9&lt;=F9,G9&gt;=F9),IF(IF(Objetivos!H16="Maior é melhor",T9&gt;=G9,T9&lt;=G9),1,0),MAX(0,MIN(1,(T9-F9)/(G9-F9)))))</f>
        <v/>
      </c>
      <c r="V9" s="14" t="str">
        <f aca="false">IF(OR(C9="",G9=""),"",IF(T9="","Sem resultado",IF(IF(Objetivos!H16="Maior é melhor",T9&gt;=G9,T9&lt;=G9),"Alcançado",IF(AND(ISNUMBER(Objetivos!K16),ISNUMBER($D$4),Objetivos!K16&lt;$D$4),"Não alcançado",IF(F9="","Em andamento",IF(IF(Objetivos!H16="Maior é melhor",T9&gt;F9,T9&lt;F9),"No caminho","Em risco"))))))</f>
        <v/>
      </c>
    </row>
    <row r="10" customFormat="false" ht="21.75" hidden="false" customHeight="true" outlineLevel="0" collapsed="false">
      <c r="B10" s="8" t="s">
        <v>110</v>
      </c>
      <c r="C10" s="18" t="str">
        <f aca="false">IF(Objetivos!F17="","",Objetivos!F17)</f>
        <v/>
      </c>
      <c r="D10" s="14" t="str">
        <f aca="false">IF(Objetivos!G17="","",Objetivos!G17)</f>
        <v/>
      </c>
      <c r="E10" s="14" t="str">
        <f aca="false">IF(Objetivos!H17="","",IF(Objetivos!H17="Maior é melhor","Maior","Menor"))</f>
        <v/>
      </c>
      <c r="F10" s="22" t="str">
        <f aca="false">IF(Objetivos!I17="","",Objetivos!I17)</f>
        <v/>
      </c>
      <c r="G10" s="22" t="str">
        <f aca="false">IF(Objetivos!J17="","",Objetivos!J17)</f>
        <v/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23" t="str">
        <f aca="false">IF(COUNT(H10:S10)=0,"",LOOKUP(2,1/ISNUMBER(H10:S10),H10:S10))</f>
        <v/>
      </c>
      <c r="U10" s="24" t="str">
        <f aca="false">IF(OR(T10="",F10="",G10=""),"",IF(IF(Objetivos!H17="Maior é melhor",G10&lt;=F10,G10&gt;=F10),IF(IF(Objetivos!H17="Maior é melhor",T10&gt;=G10,T10&lt;=G10),1,0),MAX(0,MIN(1,(T10-F10)/(G10-F10)))))</f>
        <v/>
      </c>
      <c r="V10" s="14" t="str">
        <f aca="false">IF(OR(C10="",G10=""),"",IF(T10="","Sem resultado",IF(IF(Objetivos!H17="Maior é melhor",T10&gt;=G10,T10&lt;=G10),"Alcançado",IF(AND(ISNUMBER(Objetivos!K17),ISNUMBER($D$4),Objetivos!K17&lt;$D$4),"Não alcançado",IF(F10="","Em andamento",IF(IF(Objetivos!H17="Maior é melhor",T10&gt;F10,T10&lt;F10),"No caminho","Em risco"))))))</f>
        <v/>
      </c>
    </row>
    <row r="11" customFormat="false" ht="21.75" hidden="false" customHeight="true" outlineLevel="0" collapsed="false">
      <c r="B11" s="8" t="s">
        <v>111</v>
      </c>
      <c r="C11" s="18" t="str">
        <f aca="false">IF(Objetivos!F18="","",Objetivos!F18)</f>
        <v/>
      </c>
      <c r="D11" s="14" t="str">
        <f aca="false">IF(Objetivos!G18="","",Objetivos!G18)</f>
        <v/>
      </c>
      <c r="E11" s="14" t="str">
        <f aca="false">IF(Objetivos!H18="","",IF(Objetivos!H18="Maior é melhor","Maior","Menor"))</f>
        <v/>
      </c>
      <c r="F11" s="22" t="str">
        <f aca="false">IF(Objetivos!I18="","",Objetivos!I18)</f>
        <v/>
      </c>
      <c r="G11" s="22" t="str">
        <f aca="false">IF(Objetivos!J18="","",Objetivos!J18)</f>
        <v/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23" t="str">
        <f aca="false">IF(COUNT(H11:S11)=0,"",LOOKUP(2,1/ISNUMBER(H11:S11),H11:S11))</f>
        <v/>
      </c>
      <c r="U11" s="24" t="str">
        <f aca="false">IF(OR(T11="",F11="",G11=""),"",IF(IF(Objetivos!H18="Maior é melhor",G11&lt;=F11,G11&gt;=F11),IF(IF(Objetivos!H18="Maior é melhor",T11&gt;=G11,T11&lt;=G11),1,0),MAX(0,MIN(1,(T11-F11)/(G11-F11)))))</f>
        <v/>
      </c>
      <c r="V11" s="14" t="str">
        <f aca="false">IF(OR(C11="",G11=""),"",IF(T11="","Sem resultado",IF(IF(Objetivos!H18="Maior é melhor",T11&gt;=G11,T11&lt;=G11),"Alcançado",IF(AND(ISNUMBER(Objetivos!K18),ISNUMBER($D$4),Objetivos!K18&lt;$D$4),"Não alcançado",IF(F11="","Em andamento",IF(IF(Objetivos!H18="Maior é melhor",T11&gt;F11,T11&lt;F11),"No caminho","Em risco"))))))</f>
        <v/>
      </c>
    </row>
    <row r="12" customFormat="false" ht="21.75" hidden="false" customHeight="true" outlineLevel="0" collapsed="false">
      <c r="B12" s="8" t="s">
        <v>112</v>
      </c>
      <c r="C12" s="18" t="str">
        <f aca="false">IF(Objetivos!F19="","",Objetivos!F19)</f>
        <v/>
      </c>
      <c r="D12" s="14" t="str">
        <f aca="false">IF(Objetivos!G19="","",Objetivos!G19)</f>
        <v/>
      </c>
      <c r="E12" s="14" t="str">
        <f aca="false">IF(Objetivos!H19="","",IF(Objetivos!H19="Maior é melhor","Maior","Menor"))</f>
        <v/>
      </c>
      <c r="F12" s="22" t="str">
        <f aca="false">IF(Objetivos!I19="","",Objetivos!I19)</f>
        <v/>
      </c>
      <c r="G12" s="22" t="str">
        <f aca="false">IF(Objetivos!J19="","",Objetivos!J19)</f>
        <v/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23" t="str">
        <f aca="false">IF(COUNT(H12:S12)=0,"",LOOKUP(2,1/ISNUMBER(H12:S12),H12:S12))</f>
        <v/>
      </c>
      <c r="U12" s="24" t="str">
        <f aca="false">IF(OR(T12="",F12="",G12=""),"",IF(IF(Objetivos!H19="Maior é melhor",G12&lt;=F12,G12&gt;=F12),IF(IF(Objetivos!H19="Maior é melhor",T12&gt;=G12,T12&lt;=G12),1,0),MAX(0,MIN(1,(T12-F12)/(G12-F12)))))</f>
        <v/>
      </c>
      <c r="V12" s="14" t="str">
        <f aca="false">IF(OR(C12="",G12=""),"",IF(T12="","Sem resultado",IF(IF(Objetivos!H19="Maior é melhor",T12&gt;=G12,T12&lt;=G12),"Alcançado",IF(AND(ISNUMBER(Objetivos!K19),ISNUMBER($D$4),Objetivos!K19&lt;$D$4),"Não alcançado",IF(F12="","Em andamento",IF(IF(Objetivos!H19="Maior é melhor",T12&gt;F12,T12&lt;F12),"No caminho","Em risco"))))))</f>
        <v/>
      </c>
    </row>
    <row r="13" customFormat="false" ht="21.75" hidden="false" customHeight="true" outlineLevel="0" collapsed="false">
      <c r="B13" s="8" t="s">
        <v>113</v>
      </c>
      <c r="C13" s="18" t="str">
        <f aca="false">IF(Objetivos!F20="","",Objetivos!F20)</f>
        <v/>
      </c>
      <c r="D13" s="14" t="str">
        <f aca="false">IF(Objetivos!G20="","",Objetivos!G20)</f>
        <v/>
      </c>
      <c r="E13" s="14" t="str">
        <f aca="false">IF(Objetivos!H20="","",IF(Objetivos!H20="Maior é melhor","Maior","Menor"))</f>
        <v/>
      </c>
      <c r="F13" s="22" t="str">
        <f aca="false">IF(Objetivos!I20="","",Objetivos!I20)</f>
        <v/>
      </c>
      <c r="G13" s="22" t="str">
        <f aca="false">IF(Objetivos!J20="","",Objetivos!J20)</f>
        <v/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23" t="str">
        <f aca="false">IF(COUNT(H13:S13)=0,"",LOOKUP(2,1/ISNUMBER(H13:S13),H13:S13))</f>
        <v/>
      </c>
      <c r="U13" s="24" t="str">
        <f aca="false">IF(OR(T13="",F13="",G13=""),"",IF(IF(Objetivos!H20="Maior é melhor",G13&lt;=F13,G13&gt;=F13),IF(IF(Objetivos!H20="Maior é melhor",T13&gt;=G13,T13&lt;=G13),1,0),MAX(0,MIN(1,(T13-F13)/(G13-F13)))))</f>
        <v/>
      </c>
      <c r="V13" s="14" t="str">
        <f aca="false">IF(OR(C13="",G13=""),"",IF(T13="","Sem resultado",IF(IF(Objetivos!H20="Maior é melhor",T13&gt;=G13,T13&lt;=G13),"Alcançado",IF(AND(ISNUMBER(Objetivos!K20),ISNUMBER($D$4),Objetivos!K20&lt;$D$4),"Não alcançado",IF(F13="","Em andamento",IF(IF(Objetivos!H20="Maior é melhor",T13&gt;F13,T13&lt;F13),"No caminho","Em risco"))))))</f>
        <v/>
      </c>
    </row>
    <row r="14" customFormat="false" ht="21.75" hidden="false" customHeight="true" outlineLevel="0" collapsed="false">
      <c r="B14" s="8" t="s">
        <v>114</v>
      </c>
      <c r="C14" s="18" t="str">
        <f aca="false">IF(Objetivos!F21="","",Objetivos!F21)</f>
        <v/>
      </c>
      <c r="D14" s="14" t="str">
        <f aca="false">IF(Objetivos!G21="","",Objetivos!G21)</f>
        <v/>
      </c>
      <c r="E14" s="14" t="str">
        <f aca="false">IF(Objetivos!H21="","",IF(Objetivos!H21="Maior é melhor","Maior","Menor"))</f>
        <v/>
      </c>
      <c r="F14" s="22" t="str">
        <f aca="false">IF(Objetivos!I21="","",Objetivos!I21)</f>
        <v/>
      </c>
      <c r="G14" s="22" t="str">
        <f aca="false">IF(Objetivos!J21="","",Objetivos!J21)</f>
        <v/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23" t="str">
        <f aca="false">IF(COUNT(H14:S14)=0,"",LOOKUP(2,1/ISNUMBER(H14:S14),H14:S14))</f>
        <v/>
      </c>
      <c r="U14" s="24" t="str">
        <f aca="false">IF(OR(T14="",F14="",G14=""),"",IF(IF(Objetivos!H21="Maior é melhor",G14&lt;=F14,G14&gt;=F14),IF(IF(Objetivos!H21="Maior é melhor",T14&gt;=G14,T14&lt;=G14),1,0),MAX(0,MIN(1,(T14-F14)/(G14-F14)))))</f>
        <v/>
      </c>
      <c r="V14" s="14" t="str">
        <f aca="false">IF(OR(C14="",G14=""),"",IF(T14="","Sem resultado",IF(IF(Objetivos!H21="Maior é melhor",T14&gt;=G14,T14&lt;=G14),"Alcançado",IF(AND(ISNUMBER(Objetivos!K21),ISNUMBER($D$4),Objetivos!K21&lt;$D$4),"Não alcançado",IF(F14="","Em andamento",IF(IF(Objetivos!H21="Maior é melhor",T14&gt;F14,T14&lt;F14),"No caminho","Em risco"))))))</f>
        <v/>
      </c>
    </row>
    <row r="15" customFormat="false" ht="21.75" hidden="false" customHeight="true" outlineLevel="0" collapsed="false">
      <c r="B15" s="8" t="s">
        <v>115</v>
      </c>
      <c r="C15" s="18" t="str">
        <f aca="false">IF(Objetivos!F22="","",Objetivos!F22)</f>
        <v/>
      </c>
      <c r="D15" s="14" t="str">
        <f aca="false">IF(Objetivos!G22="","",Objetivos!G22)</f>
        <v/>
      </c>
      <c r="E15" s="14" t="str">
        <f aca="false">IF(Objetivos!H22="","",IF(Objetivos!H22="Maior é melhor","Maior","Menor"))</f>
        <v/>
      </c>
      <c r="F15" s="22" t="str">
        <f aca="false">IF(Objetivos!I22="","",Objetivos!I22)</f>
        <v/>
      </c>
      <c r="G15" s="22" t="str">
        <f aca="false">IF(Objetivos!J22="","",Objetivos!J22)</f>
        <v/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23" t="str">
        <f aca="false">IF(COUNT(H15:S15)=0,"",LOOKUP(2,1/ISNUMBER(H15:S15),H15:S15))</f>
        <v/>
      </c>
      <c r="U15" s="24" t="str">
        <f aca="false">IF(OR(T15="",F15="",G15=""),"",IF(IF(Objetivos!H22="Maior é melhor",G15&lt;=F15,G15&gt;=F15),IF(IF(Objetivos!H22="Maior é melhor",T15&gt;=G15,T15&lt;=G15),1,0),MAX(0,MIN(1,(T15-F15)/(G15-F15)))))</f>
        <v/>
      </c>
      <c r="V15" s="14" t="str">
        <f aca="false">IF(OR(C15="",G15=""),"",IF(T15="","Sem resultado",IF(IF(Objetivos!H22="Maior é melhor",T15&gt;=G15,T15&lt;=G15),"Alcançado",IF(AND(ISNUMBER(Objetivos!K22),ISNUMBER($D$4),Objetivos!K22&lt;$D$4),"Não alcançado",IF(F15="","Em andamento",IF(IF(Objetivos!H22="Maior é melhor",T15&gt;F15,T15&lt;F15),"No caminho","Em risco"))))))</f>
        <v/>
      </c>
    </row>
    <row r="16" customFormat="false" ht="21.75" hidden="false" customHeight="true" outlineLevel="0" collapsed="false">
      <c r="B16" s="8" t="s">
        <v>116</v>
      </c>
      <c r="C16" s="18" t="str">
        <f aca="false">IF(Objetivos!F23="","",Objetivos!F23)</f>
        <v/>
      </c>
      <c r="D16" s="14" t="str">
        <f aca="false">IF(Objetivos!G23="","",Objetivos!G23)</f>
        <v/>
      </c>
      <c r="E16" s="14" t="str">
        <f aca="false">IF(Objetivos!H23="","",IF(Objetivos!H23="Maior é melhor","Maior","Menor"))</f>
        <v/>
      </c>
      <c r="F16" s="22" t="str">
        <f aca="false">IF(Objetivos!I23="","",Objetivos!I23)</f>
        <v/>
      </c>
      <c r="G16" s="22" t="str">
        <f aca="false">IF(Objetivos!J23="","",Objetivos!J23)</f>
        <v/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23" t="str">
        <f aca="false">IF(COUNT(H16:S16)=0,"",LOOKUP(2,1/ISNUMBER(H16:S16),H16:S16))</f>
        <v/>
      </c>
      <c r="U16" s="24" t="str">
        <f aca="false">IF(OR(T16="",F16="",G16=""),"",IF(IF(Objetivos!H23="Maior é melhor",G16&lt;=F16,G16&gt;=F16),IF(IF(Objetivos!H23="Maior é melhor",T16&gt;=G16,T16&lt;=G16),1,0),MAX(0,MIN(1,(T16-F16)/(G16-F16)))))</f>
        <v/>
      </c>
      <c r="V16" s="14" t="str">
        <f aca="false">IF(OR(C16="",G16=""),"",IF(T16="","Sem resultado",IF(IF(Objetivos!H23="Maior é melhor",T16&gt;=G16,T16&lt;=G16),"Alcançado",IF(AND(ISNUMBER(Objetivos!K23),ISNUMBER($D$4),Objetivos!K23&lt;$D$4),"Não alcançado",IF(F16="","Em andamento",IF(IF(Objetivos!H23="Maior é melhor",T16&gt;F16,T16&lt;F16),"No caminho","Em risco"))))))</f>
        <v/>
      </c>
    </row>
    <row r="17" customFormat="false" ht="21.75" hidden="false" customHeight="true" outlineLevel="0" collapsed="false">
      <c r="B17" s="8" t="s">
        <v>117</v>
      </c>
      <c r="C17" s="18" t="str">
        <f aca="false">IF(Objetivos!F24="","",Objetivos!F24)</f>
        <v/>
      </c>
      <c r="D17" s="14" t="str">
        <f aca="false">IF(Objetivos!G24="","",Objetivos!G24)</f>
        <v/>
      </c>
      <c r="E17" s="14" t="str">
        <f aca="false">IF(Objetivos!H24="","",IF(Objetivos!H24="Maior é melhor","Maior","Menor"))</f>
        <v/>
      </c>
      <c r="F17" s="22" t="str">
        <f aca="false">IF(Objetivos!I24="","",Objetivos!I24)</f>
        <v/>
      </c>
      <c r="G17" s="22" t="str">
        <f aca="false">IF(Objetivos!J24="","",Objetivos!J24)</f>
        <v/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23" t="str">
        <f aca="false">IF(COUNT(H17:S17)=0,"",LOOKUP(2,1/ISNUMBER(H17:S17),H17:S17))</f>
        <v/>
      </c>
      <c r="U17" s="24" t="str">
        <f aca="false">IF(OR(T17="",F17="",G17=""),"",IF(IF(Objetivos!H24="Maior é melhor",G17&lt;=F17,G17&gt;=F17),IF(IF(Objetivos!H24="Maior é melhor",T17&gt;=G17,T17&lt;=G17),1,0),MAX(0,MIN(1,(T17-F17)/(G17-F17)))))</f>
        <v/>
      </c>
      <c r="V17" s="14" t="str">
        <f aca="false">IF(OR(C17="",G17=""),"",IF(T17="","Sem resultado",IF(IF(Objetivos!H24="Maior é melhor",T17&gt;=G17,T17&lt;=G17),"Alcançado",IF(AND(ISNUMBER(Objetivos!K24),ISNUMBER($D$4),Objetivos!K24&lt;$D$4),"Não alcançado",IF(F17="","Em andamento",IF(IF(Objetivos!H24="Maior é melhor",T17&gt;F17,T17&lt;F17),"No caminho","Em risco"))))))</f>
        <v/>
      </c>
    </row>
    <row r="18" customFormat="false" ht="21.75" hidden="false" customHeight="true" outlineLevel="0" collapsed="false">
      <c r="B18" s="8" t="s">
        <v>118</v>
      </c>
      <c r="C18" s="18" t="str">
        <f aca="false">IF(Objetivos!F25="","",Objetivos!F25)</f>
        <v/>
      </c>
      <c r="D18" s="14" t="str">
        <f aca="false">IF(Objetivos!G25="","",Objetivos!G25)</f>
        <v/>
      </c>
      <c r="E18" s="14" t="str">
        <f aca="false">IF(Objetivos!H25="","",IF(Objetivos!H25="Maior é melhor","Maior","Menor"))</f>
        <v/>
      </c>
      <c r="F18" s="22" t="str">
        <f aca="false">IF(Objetivos!I25="","",Objetivos!I25)</f>
        <v/>
      </c>
      <c r="G18" s="22" t="str">
        <f aca="false">IF(Objetivos!J25="","",Objetivos!J25)</f>
        <v/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23" t="str">
        <f aca="false">IF(COUNT(H18:S18)=0,"",LOOKUP(2,1/ISNUMBER(H18:S18),H18:S18))</f>
        <v/>
      </c>
      <c r="U18" s="24" t="str">
        <f aca="false">IF(OR(T18="",F18="",G18=""),"",IF(IF(Objetivos!H25="Maior é melhor",G18&lt;=F18,G18&gt;=F18),IF(IF(Objetivos!H25="Maior é melhor",T18&gt;=G18,T18&lt;=G18),1,0),MAX(0,MIN(1,(T18-F18)/(G18-F18)))))</f>
        <v/>
      </c>
      <c r="V18" s="14" t="str">
        <f aca="false">IF(OR(C18="",G18=""),"",IF(T18="","Sem resultado",IF(IF(Objetivos!H25="Maior é melhor",T18&gt;=G18,T18&lt;=G18),"Alcançado",IF(AND(ISNUMBER(Objetivos!K25),ISNUMBER($D$4),Objetivos!K25&lt;$D$4),"Não alcançado",IF(F18="","Em andamento",IF(IF(Objetivos!H25="Maior é melhor",T18&gt;F18,T18&lt;F18),"No caminho","Em risco"))))))</f>
        <v/>
      </c>
    </row>
    <row r="20" customFormat="false" ht="21.75" hidden="false" customHeight="true" outlineLevel="0" collapsed="false">
      <c r="B20" s="15" t="s">
        <v>119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customFormat="false" ht="21.75" hidden="false" customHeight="true" outlineLevel="0" collapsed="false">
      <c r="B21" s="16" t="s">
        <v>168</v>
      </c>
      <c r="C21" s="16"/>
      <c r="D21" s="17" t="n">
        <f aca="false">COUNTIF(V7:V18,"&lt;&gt;Sem resultado")-COUNTBLANK(V7:V18)</f>
        <v>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customFormat="false" ht="21.75" hidden="false" customHeight="true" outlineLevel="0" collapsed="false">
      <c r="B22" s="16" t="s">
        <v>169</v>
      </c>
      <c r="C22" s="16"/>
      <c r="D22" s="17" t="str">
        <f aca="false">IF(COUNTA(C7:C18)=0,"",COUNTIF(V7:V18,"Alcançado")&amp;" alcançados, "&amp;COUNTIF(V7:V18,"No caminho")&amp;" no caminho, "&amp;COUNTIF(V7:V18,"Em risco")&amp;" em risco, "&amp;COUNTIF(V7:V18,"Em andamento")&amp;" em andamento, "&amp;COUNTIF(V7:V18,"Não alcançado")&amp;" não alcançados, "&amp;COUNTIF(V7:V18,"Sem resultado")&amp;" sem resultado")</f>
        <v>0 alcançados, 0 no caminho, 0 em risco, 0 em andamento, 0 não alcançados, 0 sem resultado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customFormat="false" ht="21.75" hidden="false" customHeight="true" outlineLevel="0" collapsed="false">
      <c r="B23" s="16" t="s">
        <v>123</v>
      </c>
      <c r="C23" s="16"/>
      <c r="D23" s="18" t="str">
        <f aca="false">IF(COUNTA(C7:C18)=0,"Escreva os objetivos na aba Objetivos",IF(D4="","Informe a data da análise",IF(COUNTIF(V7:V18,"Sem resultado")&gt;0,"Há objetivo sem resultado",IF(COUNTIF(V7:V18,"Não alcançado")&gt;0,"Há objetivo com prazo vencido sem alcançar a meta: decida na análise crítica",IF(COUNTIF(V7:V18,"Em risco")&gt;0,"Há objetivo em risco: veja as ações","OK")))))</f>
        <v>Informe a data da análise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</sheetData>
  <mergeCells count="11">
    <mergeCell ref="B1:V1"/>
    <mergeCell ref="B2:V2"/>
    <mergeCell ref="B4:C4"/>
    <mergeCell ref="E4:V4"/>
    <mergeCell ref="B20:V20"/>
    <mergeCell ref="B21:C21"/>
    <mergeCell ref="D21:V21"/>
    <mergeCell ref="B22:C22"/>
    <mergeCell ref="D22:V22"/>
    <mergeCell ref="B23:C23"/>
    <mergeCell ref="D23:V23"/>
  </mergeCells>
  <conditionalFormatting sqref="V7:V18">
    <cfRule type="expression" priority="2" aboveAverage="0" equalAverage="0" bottom="0" percent="0" rank="0" text="" dxfId="2">
      <formula>V7="Alcançado"</formula>
    </cfRule>
    <cfRule type="expression" priority="3" aboveAverage="0" equalAverage="0" bottom="0" percent="0" rank="0" text="" dxfId="4">
      <formula>V7="No caminho"</formula>
    </cfRule>
    <cfRule type="expression" priority="4" aboveAverage="0" equalAverage="0" bottom="0" percent="0" rank="0" text="" dxfId="5">
      <formula>V7="Em risco"</formula>
    </cfRule>
    <cfRule type="expression" priority="5" aboveAverage="0" equalAverage="0" bottom="0" percent="0" rank="0" text="" dxfId="5">
      <formula>V7="Não alcançado"</formula>
    </cfRule>
    <cfRule type="expression" priority="6" aboveAverage="0" equalAverage="0" bottom="0" percent="0" rank="0" text="" dxfId="3">
      <formula>V7="Em andamento"</formula>
    </cfRule>
    <cfRule type="expression" priority="7" aboveAverage="0" equalAverage="0" bottom="0" percent="0" rank="0" text="" dxfId="3">
      <formula>V7="Sem resultado"</formula>
    </cfRule>
  </conditionalFormatting>
  <conditionalFormatting sqref="H7:S18">
    <cfRule type="expression" priority="8" aboveAverage="0" equalAverage="0" bottom="0" percent="0" rank="0" text="" dxfId="2">
      <formula>AND(ISNUMBER(H7),$G7&lt;&gt;"",IF($E7="Maior",H7&gt;=$G7,H7&lt;=$G7))</formula>
    </cfRule>
  </conditionalFormatting>
  <conditionalFormatting sqref="D23:V23">
    <cfRule type="expression" priority="9" aboveAverage="0" equalAverage="0" bottom="0" percent="0" rank="0" text="" dxfId="0">
      <formula>OR(D23="OK")</formula>
    </cfRule>
    <cfRule type="expression" priority="10" aboveAverage="0" equalAverage="0" bottom="0" percent="0" rank="0" text="" dxfId="1">
      <formula>AND(LEN(D23)&gt;0,NOT(OR(D23="OK")))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D4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H7:S18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7" min="5" style="0" width="11"/>
    <col collapsed="false" customWidth="true" hidden="false" outlineLevel="0" max="8" min="8" style="0" width="13"/>
    <col collapsed="false" customWidth="true" hidden="false" outlineLevel="0" max="11" min="9" style="0" width="11"/>
    <col collapsed="false" customWidth="true" hidden="false" outlineLevel="0" max="12" min="12" style="0" width="28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170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171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151</v>
      </c>
      <c r="C4" s="4"/>
      <c r="D4" s="25" t="str">
        <f aca="false">IF(Acompanhamento!D4="","",Acompanhamento!D4)</f>
        <v/>
      </c>
      <c r="E4" s="19" t="s">
        <v>172</v>
      </c>
      <c r="F4" s="19"/>
      <c r="G4" s="19"/>
      <c r="H4" s="19"/>
      <c r="I4" s="19"/>
      <c r="J4" s="19"/>
      <c r="K4" s="19"/>
      <c r="L4" s="19"/>
    </row>
    <row r="6" customFormat="false" ht="21.75" hidden="false" customHeight="true" outlineLevel="0" collapsed="false">
      <c r="B6" s="9" t="s">
        <v>85</v>
      </c>
      <c r="C6" s="9"/>
      <c r="D6" s="9" t="s">
        <v>173</v>
      </c>
      <c r="E6" s="9" t="s">
        <v>174</v>
      </c>
      <c r="F6" s="9"/>
      <c r="G6" s="9"/>
      <c r="H6" s="9"/>
      <c r="I6" s="9"/>
      <c r="J6" s="9"/>
      <c r="K6" s="9"/>
      <c r="L6" s="9"/>
    </row>
    <row r="7" customFormat="false" ht="21.75" hidden="false" customHeight="true" outlineLevel="0" collapsed="false">
      <c r="B7" s="4" t="s">
        <v>121</v>
      </c>
      <c r="C7" s="4"/>
      <c r="D7" s="26" t="n">
        <f aca="false">COUNTA(Objetivos!C14:C25)</f>
        <v>0</v>
      </c>
      <c r="E7" s="27" t="s">
        <v>175</v>
      </c>
      <c r="F7" s="27"/>
      <c r="G7" s="27"/>
      <c r="H7" s="27"/>
      <c r="I7" s="27"/>
      <c r="J7" s="27"/>
      <c r="K7" s="27"/>
      <c r="L7" s="27"/>
    </row>
    <row r="8" customFormat="false" ht="21.75" hidden="false" customHeight="true" outlineLevel="0" collapsed="false">
      <c r="B8" s="4" t="s">
        <v>18</v>
      </c>
      <c r="C8" s="4"/>
      <c r="D8" s="26" t="n">
        <f aca="false">COUNTIF(Acompanhamento!V7:V18,"Alcançado")</f>
        <v>0</v>
      </c>
      <c r="E8" s="27" t="s">
        <v>176</v>
      </c>
      <c r="F8" s="27"/>
      <c r="G8" s="27"/>
      <c r="H8" s="27"/>
      <c r="I8" s="27"/>
      <c r="J8" s="27"/>
      <c r="K8" s="27"/>
      <c r="L8" s="27"/>
    </row>
    <row r="9" customFormat="false" ht="21.75" hidden="false" customHeight="true" outlineLevel="0" collapsed="false">
      <c r="B9" s="4" t="s">
        <v>20</v>
      </c>
      <c r="C9" s="4"/>
      <c r="D9" s="26" t="n">
        <f aca="false">COUNTIF(Acompanhamento!V7:V18,"No caminho")</f>
        <v>0</v>
      </c>
      <c r="E9" s="27" t="s">
        <v>177</v>
      </c>
      <c r="F9" s="27"/>
      <c r="G9" s="27"/>
      <c r="H9" s="27"/>
      <c r="I9" s="27"/>
      <c r="J9" s="27"/>
      <c r="K9" s="27"/>
      <c r="L9" s="27"/>
    </row>
    <row r="10" customFormat="false" ht="21.75" hidden="false" customHeight="true" outlineLevel="0" collapsed="false">
      <c r="B10" s="4" t="s">
        <v>22</v>
      </c>
      <c r="C10" s="4"/>
      <c r="D10" s="26" t="n">
        <f aca="false">COUNTIF(Acompanhamento!V7:V18,"Em risco")</f>
        <v>0</v>
      </c>
      <c r="E10" s="27" t="s">
        <v>178</v>
      </c>
      <c r="F10" s="27"/>
      <c r="G10" s="27"/>
      <c r="H10" s="27"/>
      <c r="I10" s="27"/>
      <c r="J10" s="27"/>
      <c r="K10" s="27"/>
      <c r="L10" s="27"/>
    </row>
    <row r="11" customFormat="false" ht="21.75" hidden="false" customHeight="true" outlineLevel="0" collapsed="false">
      <c r="B11" s="4" t="s">
        <v>179</v>
      </c>
      <c r="C11" s="4"/>
      <c r="D11" s="26" t="n">
        <f aca="false">COUNTIF(Acompanhamento!V7:V18,"Não alcançado")+COUNTIF(Acompanhamento!V7:V18,"Sem resultado")</f>
        <v>0</v>
      </c>
      <c r="E11" s="27" t="s">
        <v>180</v>
      </c>
      <c r="F11" s="27"/>
      <c r="G11" s="27"/>
      <c r="H11" s="27"/>
      <c r="I11" s="27"/>
      <c r="J11" s="27"/>
      <c r="K11" s="27"/>
      <c r="L11" s="27"/>
    </row>
    <row r="12" customFormat="false" ht="21.75" hidden="false" customHeight="true" outlineLevel="0" collapsed="false">
      <c r="B12" s="4" t="s">
        <v>181</v>
      </c>
      <c r="C12" s="4"/>
      <c r="D12" s="28" t="str">
        <f aca="false">IF(COUNT(Acompanhamento!U7:U18)=0,"",AVERAGE(Acompanhamento!U7:U18))</f>
        <v/>
      </c>
      <c r="E12" s="27" t="s">
        <v>182</v>
      </c>
      <c r="F12" s="27"/>
      <c r="G12" s="27"/>
      <c r="H12" s="27"/>
      <c r="I12" s="27"/>
      <c r="J12" s="27"/>
      <c r="K12" s="27"/>
      <c r="L12" s="27"/>
    </row>
    <row r="13" customFormat="false" ht="21.75" hidden="false" customHeight="true" outlineLevel="0" collapsed="false">
      <c r="B13" s="4" t="s">
        <v>183</v>
      </c>
      <c r="C13" s="4"/>
      <c r="D13" s="26" t="str">
        <f aca="false">COUNTA(Planos!E7:E42)&amp;" escritas, "&amp;COUNTIF(Planos!I7:I42,"Concluída")&amp;" concluídas"</f>
        <v>0 escritas, 0 concluídas</v>
      </c>
      <c r="E13" s="27" t="s">
        <v>184</v>
      </c>
      <c r="F13" s="27"/>
      <c r="G13" s="27"/>
      <c r="H13" s="27"/>
      <c r="I13" s="27"/>
      <c r="J13" s="27"/>
      <c r="K13" s="27"/>
      <c r="L13" s="27"/>
    </row>
    <row r="14" customFormat="false" ht="21.75" hidden="false" customHeight="true" outlineLevel="0" collapsed="false">
      <c r="B14" s="4" t="s">
        <v>185</v>
      </c>
      <c r="C14" s="4"/>
      <c r="D14" s="26" t="str">
        <f aca="false">IF($D$4="","",SUMPRODUCT(((Planos!I7:I42="Não iniciada")+(Planos!I7:I42="Em andamento"))*ISNUMBER(Planos!H7:H42)*(Planos!H7:H42&lt;$D$4)))</f>
        <v/>
      </c>
      <c r="E14" s="27" t="s">
        <v>186</v>
      </c>
      <c r="F14" s="27"/>
      <c r="G14" s="27"/>
      <c r="H14" s="27"/>
      <c r="I14" s="27"/>
      <c r="J14" s="27"/>
      <c r="K14" s="27"/>
      <c r="L14" s="27"/>
    </row>
    <row r="16" customFormat="false" ht="21.75" hidden="false" customHeight="true" outlineLevel="0" collapsed="false">
      <c r="B16" s="15" t="s">
        <v>187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customFormat="false" ht="33" hidden="false" customHeight="true" outlineLevel="0" collapsed="false">
      <c r="B17" s="9" t="s">
        <v>81</v>
      </c>
      <c r="C17" s="9" t="s">
        <v>82</v>
      </c>
      <c r="D17" s="9" t="s">
        <v>83</v>
      </c>
      <c r="E17" s="9" t="s">
        <v>88</v>
      </c>
      <c r="F17" s="9" t="s">
        <v>165</v>
      </c>
      <c r="G17" s="9" t="s">
        <v>89</v>
      </c>
      <c r="H17" s="9" t="s">
        <v>167</v>
      </c>
      <c r="I17" s="9" t="s">
        <v>166</v>
      </c>
      <c r="J17" s="9" t="s">
        <v>188</v>
      </c>
      <c r="K17" s="9" t="s">
        <v>189</v>
      </c>
      <c r="L17" s="9" t="s">
        <v>190</v>
      </c>
    </row>
    <row r="18" customFormat="false" ht="27" hidden="false" customHeight="true" outlineLevel="0" collapsed="false">
      <c r="B18" s="8" t="s">
        <v>107</v>
      </c>
      <c r="C18" s="18" t="str">
        <f aca="false">IF(Objetivos!C14="","",Objetivos!C14)</f>
        <v/>
      </c>
      <c r="D18" s="29" t="str">
        <f aca="false">IF(C18="","",Objetivos!D14)</f>
        <v/>
      </c>
      <c r="E18" s="22" t="str">
        <f aca="false">IF(C18="","",Acompanhamento!F7)</f>
        <v/>
      </c>
      <c r="F18" s="23" t="str">
        <f aca="false">IF(C18="","",Acompanhamento!T7)</f>
        <v/>
      </c>
      <c r="G18" s="22" t="str">
        <f aca="false">IF(C18="","",Acompanhamento!G7)</f>
        <v/>
      </c>
      <c r="H18" s="14" t="str">
        <f aca="false">IF(C18="","",Acompanhamento!V7)</f>
        <v/>
      </c>
      <c r="I18" s="24" t="str">
        <f aca="false">IF(C18="","",Acompanhamento!U7)</f>
        <v/>
      </c>
      <c r="J18" s="29" t="str">
        <f aca="false">IF(C18="","",COUNTIF(Planos!C7:C42,B18))</f>
        <v/>
      </c>
      <c r="K18" s="29" t="str">
        <f aca="false">IF(OR(C18="",$D$4=""),"",SUMPRODUCT((Planos!C7:C42=B18)*((Planos!I7:I42="Não iniciada")+(Planos!I7:I42="Em andamento"))*ISNUMBER(Planos!H7:H42)*(Planos!H7:H42&lt;$D$4)))</f>
        <v/>
      </c>
      <c r="L18" s="18" t="str">
        <f aca="false">IF(C18="","",IF(J18=0,"Sem plano",IF(H18="Alcançado","Manter até o prazo",IF(H18="Não alcançado","Decidir na análise crítica",IF(N(K18)&gt;0,"Ação atrasada: cobrar",IF(H18="Em risco","Ação feita e não bastou? Rever o plano",IF(H18="Sem resultado","Lançar o resultado","Acompanhar o ritmo")))))))</f>
        <v/>
      </c>
    </row>
    <row r="19" customFormat="false" ht="27" hidden="false" customHeight="true" outlineLevel="0" collapsed="false">
      <c r="B19" s="8" t="s">
        <v>108</v>
      </c>
      <c r="C19" s="18" t="str">
        <f aca="false">IF(Objetivos!C15="","",Objetivos!C15)</f>
        <v/>
      </c>
      <c r="D19" s="29" t="str">
        <f aca="false">IF(C19="","",Objetivos!D15)</f>
        <v/>
      </c>
      <c r="E19" s="22" t="str">
        <f aca="false">IF(C19="","",Acompanhamento!F8)</f>
        <v/>
      </c>
      <c r="F19" s="23" t="str">
        <f aca="false">IF(C19="","",Acompanhamento!T8)</f>
        <v/>
      </c>
      <c r="G19" s="22" t="str">
        <f aca="false">IF(C19="","",Acompanhamento!G8)</f>
        <v/>
      </c>
      <c r="H19" s="14" t="str">
        <f aca="false">IF(C19="","",Acompanhamento!V8)</f>
        <v/>
      </c>
      <c r="I19" s="24" t="str">
        <f aca="false">IF(C19="","",Acompanhamento!U8)</f>
        <v/>
      </c>
      <c r="J19" s="29" t="str">
        <f aca="false">IF(C19="","",COUNTIF(Planos!C7:C42,B19))</f>
        <v/>
      </c>
      <c r="K19" s="29" t="str">
        <f aca="false">IF(OR(C19="",$D$4=""),"",SUMPRODUCT((Planos!C7:C42=B19)*((Planos!I7:I42="Não iniciada")+(Planos!I7:I42="Em andamento"))*ISNUMBER(Planos!H7:H42)*(Planos!H7:H42&lt;$D$4)))</f>
        <v/>
      </c>
      <c r="L19" s="18" t="str">
        <f aca="false">IF(C19="","",IF(J19=0,"Sem plano",IF(H19="Alcançado","Manter até o prazo",IF(H19="Não alcançado","Decidir na análise crítica",IF(N(K19)&gt;0,"Ação atrasada: cobrar",IF(H19="Em risco","Ação feita e não bastou? Rever o plano",IF(H19="Sem resultado","Lançar o resultado","Acompanhar o ritmo")))))))</f>
        <v/>
      </c>
    </row>
    <row r="20" customFormat="false" ht="27" hidden="false" customHeight="true" outlineLevel="0" collapsed="false">
      <c r="B20" s="8" t="s">
        <v>109</v>
      </c>
      <c r="C20" s="18" t="str">
        <f aca="false">IF(Objetivos!C16="","",Objetivos!C16)</f>
        <v/>
      </c>
      <c r="D20" s="29" t="str">
        <f aca="false">IF(C20="","",Objetivos!D16)</f>
        <v/>
      </c>
      <c r="E20" s="22" t="str">
        <f aca="false">IF(C20="","",Acompanhamento!F9)</f>
        <v/>
      </c>
      <c r="F20" s="23" t="str">
        <f aca="false">IF(C20="","",Acompanhamento!T9)</f>
        <v/>
      </c>
      <c r="G20" s="22" t="str">
        <f aca="false">IF(C20="","",Acompanhamento!G9)</f>
        <v/>
      </c>
      <c r="H20" s="14" t="str">
        <f aca="false">IF(C20="","",Acompanhamento!V9)</f>
        <v/>
      </c>
      <c r="I20" s="24" t="str">
        <f aca="false">IF(C20="","",Acompanhamento!U9)</f>
        <v/>
      </c>
      <c r="J20" s="29" t="str">
        <f aca="false">IF(C20="","",COUNTIF(Planos!C7:C42,B20))</f>
        <v/>
      </c>
      <c r="K20" s="29" t="str">
        <f aca="false">IF(OR(C20="",$D$4=""),"",SUMPRODUCT((Planos!C7:C42=B20)*((Planos!I7:I42="Não iniciada")+(Planos!I7:I42="Em andamento"))*ISNUMBER(Planos!H7:H42)*(Planos!H7:H42&lt;$D$4)))</f>
        <v/>
      </c>
      <c r="L20" s="18" t="str">
        <f aca="false">IF(C20="","",IF(J20=0,"Sem plano",IF(H20="Alcançado","Manter até o prazo",IF(H20="Não alcançado","Decidir na análise crítica",IF(N(K20)&gt;0,"Ação atrasada: cobrar",IF(H20="Em risco","Ação feita e não bastou? Rever o plano",IF(H20="Sem resultado","Lançar o resultado","Acompanhar o ritmo")))))))</f>
        <v/>
      </c>
    </row>
    <row r="21" customFormat="false" ht="27" hidden="false" customHeight="true" outlineLevel="0" collapsed="false">
      <c r="B21" s="8" t="s">
        <v>110</v>
      </c>
      <c r="C21" s="18" t="str">
        <f aca="false">IF(Objetivos!C17="","",Objetivos!C17)</f>
        <v/>
      </c>
      <c r="D21" s="29" t="str">
        <f aca="false">IF(C21="","",Objetivos!D17)</f>
        <v/>
      </c>
      <c r="E21" s="22" t="str">
        <f aca="false">IF(C21="","",Acompanhamento!F10)</f>
        <v/>
      </c>
      <c r="F21" s="23" t="str">
        <f aca="false">IF(C21="","",Acompanhamento!T10)</f>
        <v/>
      </c>
      <c r="G21" s="22" t="str">
        <f aca="false">IF(C21="","",Acompanhamento!G10)</f>
        <v/>
      </c>
      <c r="H21" s="14" t="str">
        <f aca="false">IF(C21="","",Acompanhamento!V10)</f>
        <v/>
      </c>
      <c r="I21" s="24" t="str">
        <f aca="false">IF(C21="","",Acompanhamento!U10)</f>
        <v/>
      </c>
      <c r="J21" s="29" t="str">
        <f aca="false">IF(C21="","",COUNTIF(Planos!C7:C42,B21))</f>
        <v/>
      </c>
      <c r="K21" s="29" t="str">
        <f aca="false">IF(OR(C21="",$D$4=""),"",SUMPRODUCT((Planos!C7:C42=B21)*((Planos!I7:I42="Não iniciada")+(Planos!I7:I42="Em andamento"))*ISNUMBER(Planos!H7:H42)*(Planos!H7:H42&lt;$D$4)))</f>
        <v/>
      </c>
      <c r="L21" s="18" t="str">
        <f aca="false">IF(C21="","",IF(J21=0,"Sem plano",IF(H21="Alcançado","Manter até o prazo",IF(H21="Não alcançado","Decidir na análise crítica",IF(N(K21)&gt;0,"Ação atrasada: cobrar",IF(H21="Em risco","Ação feita e não bastou? Rever o plano",IF(H21="Sem resultado","Lançar o resultado","Acompanhar o ritmo")))))))</f>
        <v/>
      </c>
    </row>
    <row r="22" customFormat="false" ht="27" hidden="false" customHeight="true" outlineLevel="0" collapsed="false">
      <c r="B22" s="8" t="s">
        <v>111</v>
      </c>
      <c r="C22" s="18" t="str">
        <f aca="false">IF(Objetivos!C18="","",Objetivos!C18)</f>
        <v/>
      </c>
      <c r="D22" s="29" t="str">
        <f aca="false">IF(C22="","",Objetivos!D18)</f>
        <v/>
      </c>
      <c r="E22" s="22" t="str">
        <f aca="false">IF(C22="","",Acompanhamento!F11)</f>
        <v/>
      </c>
      <c r="F22" s="23" t="str">
        <f aca="false">IF(C22="","",Acompanhamento!T11)</f>
        <v/>
      </c>
      <c r="G22" s="22" t="str">
        <f aca="false">IF(C22="","",Acompanhamento!G11)</f>
        <v/>
      </c>
      <c r="H22" s="14" t="str">
        <f aca="false">IF(C22="","",Acompanhamento!V11)</f>
        <v/>
      </c>
      <c r="I22" s="24" t="str">
        <f aca="false">IF(C22="","",Acompanhamento!U11)</f>
        <v/>
      </c>
      <c r="J22" s="29" t="str">
        <f aca="false">IF(C22="","",COUNTIF(Planos!C7:C42,B22))</f>
        <v/>
      </c>
      <c r="K22" s="29" t="str">
        <f aca="false">IF(OR(C22="",$D$4=""),"",SUMPRODUCT((Planos!C7:C42=B22)*((Planos!I7:I42="Não iniciada")+(Planos!I7:I42="Em andamento"))*ISNUMBER(Planos!H7:H42)*(Planos!H7:H42&lt;$D$4)))</f>
        <v/>
      </c>
      <c r="L22" s="18" t="str">
        <f aca="false">IF(C22="","",IF(J22=0,"Sem plano",IF(H22="Alcançado","Manter até o prazo",IF(H22="Não alcançado","Decidir na análise crítica",IF(N(K22)&gt;0,"Ação atrasada: cobrar",IF(H22="Em risco","Ação feita e não bastou? Rever o plano",IF(H22="Sem resultado","Lançar o resultado","Acompanhar o ritmo")))))))</f>
        <v/>
      </c>
    </row>
    <row r="23" customFormat="false" ht="27" hidden="false" customHeight="true" outlineLevel="0" collapsed="false">
      <c r="B23" s="8" t="s">
        <v>112</v>
      </c>
      <c r="C23" s="18" t="str">
        <f aca="false">IF(Objetivos!C19="","",Objetivos!C19)</f>
        <v/>
      </c>
      <c r="D23" s="29" t="str">
        <f aca="false">IF(C23="","",Objetivos!D19)</f>
        <v/>
      </c>
      <c r="E23" s="22" t="str">
        <f aca="false">IF(C23="","",Acompanhamento!F12)</f>
        <v/>
      </c>
      <c r="F23" s="23" t="str">
        <f aca="false">IF(C23="","",Acompanhamento!T12)</f>
        <v/>
      </c>
      <c r="G23" s="22" t="str">
        <f aca="false">IF(C23="","",Acompanhamento!G12)</f>
        <v/>
      </c>
      <c r="H23" s="14" t="str">
        <f aca="false">IF(C23="","",Acompanhamento!V12)</f>
        <v/>
      </c>
      <c r="I23" s="24" t="str">
        <f aca="false">IF(C23="","",Acompanhamento!U12)</f>
        <v/>
      </c>
      <c r="J23" s="29" t="str">
        <f aca="false">IF(C23="","",COUNTIF(Planos!C7:C42,B23))</f>
        <v/>
      </c>
      <c r="K23" s="29" t="str">
        <f aca="false">IF(OR(C23="",$D$4=""),"",SUMPRODUCT((Planos!C7:C42=B23)*((Planos!I7:I42="Não iniciada")+(Planos!I7:I42="Em andamento"))*ISNUMBER(Planos!H7:H42)*(Planos!H7:H42&lt;$D$4)))</f>
        <v/>
      </c>
      <c r="L23" s="18" t="str">
        <f aca="false">IF(C23="","",IF(J23=0,"Sem plano",IF(H23="Alcançado","Manter até o prazo",IF(H23="Não alcançado","Decidir na análise crítica",IF(N(K23)&gt;0,"Ação atrasada: cobrar",IF(H23="Em risco","Ação feita e não bastou? Rever o plano",IF(H23="Sem resultado","Lançar o resultado","Acompanhar o ritmo")))))))</f>
        <v/>
      </c>
    </row>
    <row r="24" customFormat="false" ht="27" hidden="false" customHeight="true" outlineLevel="0" collapsed="false">
      <c r="B24" s="8" t="s">
        <v>113</v>
      </c>
      <c r="C24" s="18" t="str">
        <f aca="false">IF(Objetivos!C20="","",Objetivos!C20)</f>
        <v/>
      </c>
      <c r="D24" s="29" t="str">
        <f aca="false">IF(C24="","",Objetivos!D20)</f>
        <v/>
      </c>
      <c r="E24" s="22" t="str">
        <f aca="false">IF(C24="","",Acompanhamento!F13)</f>
        <v/>
      </c>
      <c r="F24" s="23" t="str">
        <f aca="false">IF(C24="","",Acompanhamento!T13)</f>
        <v/>
      </c>
      <c r="G24" s="22" t="str">
        <f aca="false">IF(C24="","",Acompanhamento!G13)</f>
        <v/>
      </c>
      <c r="H24" s="14" t="str">
        <f aca="false">IF(C24="","",Acompanhamento!V13)</f>
        <v/>
      </c>
      <c r="I24" s="24" t="str">
        <f aca="false">IF(C24="","",Acompanhamento!U13)</f>
        <v/>
      </c>
      <c r="J24" s="29" t="str">
        <f aca="false">IF(C24="","",COUNTIF(Planos!C7:C42,B24))</f>
        <v/>
      </c>
      <c r="K24" s="29" t="str">
        <f aca="false">IF(OR(C24="",$D$4=""),"",SUMPRODUCT((Planos!C7:C42=B24)*((Planos!I7:I42="Não iniciada")+(Planos!I7:I42="Em andamento"))*ISNUMBER(Planos!H7:H42)*(Planos!H7:H42&lt;$D$4)))</f>
        <v/>
      </c>
      <c r="L24" s="18" t="str">
        <f aca="false">IF(C24="","",IF(J24=0,"Sem plano",IF(H24="Alcançado","Manter até o prazo",IF(H24="Não alcançado","Decidir na análise crítica",IF(N(K24)&gt;0,"Ação atrasada: cobrar",IF(H24="Em risco","Ação feita e não bastou? Rever o plano",IF(H24="Sem resultado","Lançar o resultado","Acompanhar o ritmo")))))))</f>
        <v/>
      </c>
    </row>
    <row r="25" customFormat="false" ht="27" hidden="false" customHeight="true" outlineLevel="0" collapsed="false">
      <c r="B25" s="8" t="s">
        <v>114</v>
      </c>
      <c r="C25" s="18" t="str">
        <f aca="false">IF(Objetivos!C21="","",Objetivos!C21)</f>
        <v/>
      </c>
      <c r="D25" s="29" t="str">
        <f aca="false">IF(C25="","",Objetivos!D21)</f>
        <v/>
      </c>
      <c r="E25" s="22" t="str">
        <f aca="false">IF(C25="","",Acompanhamento!F14)</f>
        <v/>
      </c>
      <c r="F25" s="23" t="str">
        <f aca="false">IF(C25="","",Acompanhamento!T14)</f>
        <v/>
      </c>
      <c r="G25" s="22" t="str">
        <f aca="false">IF(C25="","",Acompanhamento!G14)</f>
        <v/>
      </c>
      <c r="H25" s="14" t="str">
        <f aca="false">IF(C25="","",Acompanhamento!V14)</f>
        <v/>
      </c>
      <c r="I25" s="24" t="str">
        <f aca="false">IF(C25="","",Acompanhamento!U14)</f>
        <v/>
      </c>
      <c r="J25" s="29" t="str">
        <f aca="false">IF(C25="","",COUNTIF(Planos!C7:C42,B25))</f>
        <v/>
      </c>
      <c r="K25" s="29" t="str">
        <f aca="false">IF(OR(C25="",$D$4=""),"",SUMPRODUCT((Planos!C7:C42=B25)*((Planos!I7:I42="Não iniciada")+(Planos!I7:I42="Em andamento"))*ISNUMBER(Planos!H7:H42)*(Planos!H7:H42&lt;$D$4)))</f>
        <v/>
      </c>
      <c r="L25" s="18" t="str">
        <f aca="false">IF(C25="","",IF(J25=0,"Sem plano",IF(H25="Alcançado","Manter até o prazo",IF(H25="Não alcançado","Decidir na análise crítica",IF(N(K25)&gt;0,"Ação atrasada: cobrar",IF(H25="Em risco","Ação feita e não bastou? Rever o plano",IF(H25="Sem resultado","Lançar o resultado","Acompanhar o ritmo")))))))</f>
        <v/>
      </c>
    </row>
    <row r="26" customFormat="false" ht="27" hidden="false" customHeight="true" outlineLevel="0" collapsed="false">
      <c r="B26" s="8" t="s">
        <v>115</v>
      </c>
      <c r="C26" s="18" t="str">
        <f aca="false">IF(Objetivos!C22="","",Objetivos!C22)</f>
        <v/>
      </c>
      <c r="D26" s="29" t="str">
        <f aca="false">IF(C26="","",Objetivos!D22)</f>
        <v/>
      </c>
      <c r="E26" s="22" t="str">
        <f aca="false">IF(C26="","",Acompanhamento!F15)</f>
        <v/>
      </c>
      <c r="F26" s="23" t="str">
        <f aca="false">IF(C26="","",Acompanhamento!T15)</f>
        <v/>
      </c>
      <c r="G26" s="22" t="str">
        <f aca="false">IF(C26="","",Acompanhamento!G15)</f>
        <v/>
      </c>
      <c r="H26" s="14" t="str">
        <f aca="false">IF(C26="","",Acompanhamento!V15)</f>
        <v/>
      </c>
      <c r="I26" s="24" t="str">
        <f aca="false">IF(C26="","",Acompanhamento!U15)</f>
        <v/>
      </c>
      <c r="J26" s="29" t="str">
        <f aca="false">IF(C26="","",COUNTIF(Planos!C7:C42,B26))</f>
        <v/>
      </c>
      <c r="K26" s="29" t="str">
        <f aca="false">IF(OR(C26="",$D$4=""),"",SUMPRODUCT((Planos!C7:C42=B26)*((Planos!I7:I42="Não iniciada")+(Planos!I7:I42="Em andamento"))*ISNUMBER(Planos!H7:H42)*(Planos!H7:H42&lt;$D$4)))</f>
        <v/>
      </c>
      <c r="L26" s="18" t="str">
        <f aca="false">IF(C26="","",IF(J26=0,"Sem plano",IF(H26="Alcançado","Manter até o prazo",IF(H26="Não alcançado","Decidir na análise crítica",IF(N(K26)&gt;0,"Ação atrasada: cobrar",IF(H26="Em risco","Ação feita e não bastou? Rever o plano",IF(H26="Sem resultado","Lançar o resultado","Acompanhar o ritmo")))))))</f>
        <v/>
      </c>
    </row>
    <row r="27" customFormat="false" ht="27" hidden="false" customHeight="true" outlineLevel="0" collapsed="false">
      <c r="B27" s="8" t="s">
        <v>116</v>
      </c>
      <c r="C27" s="18" t="str">
        <f aca="false">IF(Objetivos!C23="","",Objetivos!C23)</f>
        <v/>
      </c>
      <c r="D27" s="29" t="str">
        <f aca="false">IF(C27="","",Objetivos!D23)</f>
        <v/>
      </c>
      <c r="E27" s="22" t="str">
        <f aca="false">IF(C27="","",Acompanhamento!F16)</f>
        <v/>
      </c>
      <c r="F27" s="23" t="str">
        <f aca="false">IF(C27="","",Acompanhamento!T16)</f>
        <v/>
      </c>
      <c r="G27" s="22" t="str">
        <f aca="false">IF(C27="","",Acompanhamento!G16)</f>
        <v/>
      </c>
      <c r="H27" s="14" t="str">
        <f aca="false">IF(C27="","",Acompanhamento!V16)</f>
        <v/>
      </c>
      <c r="I27" s="24" t="str">
        <f aca="false">IF(C27="","",Acompanhamento!U16)</f>
        <v/>
      </c>
      <c r="J27" s="29" t="str">
        <f aca="false">IF(C27="","",COUNTIF(Planos!C7:C42,B27))</f>
        <v/>
      </c>
      <c r="K27" s="29" t="str">
        <f aca="false">IF(OR(C27="",$D$4=""),"",SUMPRODUCT((Planos!C7:C42=B27)*((Planos!I7:I42="Não iniciada")+(Planos!I7:I42="Em andamento"))*ISNUMBER(Planos!H7:H42)*(Planos!H7:H42&lt;$D$4)))</f>
        <v/>
      </c>
      <c r="L27" s="18" t="str">
        <f aca="false">IF(C27="","",IF(J27=0,"Sem plano",IF(H27="Alcançado","Manter até o prazo",IF(H27="Não alcançado","Decidir na análise crítica",IF(N(K27)&gt;0,"Ação atrasada: cobrar",IF(H27="Em risco","Ação feita e não bastou? Rever o plano",IF(H27="Sem resultado","Lançar o resultado","Acompanhar o ritmo")))))))</f>
        <v/>
      </c>
    </row>
    <row r="28" customFormat="false" ht="27" hidden="false" customHeight="true" outlineLevel="0" collapsed="false">
      <c r="B28" s="8" t="s">
        <v>117</v>
      </c>
      <c r="C28" s="18" t="str">
        <f aca="false">IF(Objetivos!C24="","",Objetivos!C24)</f>
        <v/>
      </c>
      <c r="D28" s="29" t="str">
        <f aca="false">IF(C28="","",Objetivos!D24)</f>
        <v/>
      </c>
      <c r="E28" s="22" t="str">
        <f aca="false">IF(C28="","",Acompanhamento!F17)</f>
        <v/>
      </c>
      <c r="F28" s="23" t="str">
        <f aca="false">IF(C28="","",Acompanhamento!T17)</f>
        <v/>
      </c>
      <c r="G28" s="22" t="str">
        <f aca="false">IF(C28="","",Acompanhamento!G17)</f>
        <v/>
      </c>
      <c r="H28" s="14" t="str">
        <f aca="false">IF(C28="","",Acompanhamento!V17)</f>
        <v/>
      </c>
      <c r="I28" s="24" t="str">
        <f aca="false">IF(C28="","",Acompanhamento!U17)</f>
        <v/>
      </c>
      <c r="J28" s="29" t="str">
        <f aca="false">IF(C28="","",COUNTIF(Planos!C7:C42,B28))</f>
        <v/>
      </c>
      <c r="K28" s="29" t="str">
        <f aca="false">IF(OR(C28="",$D$4=""),"",SUMPRODUCT((Planos!C7:C42=B28)*((Planos!I7:I42="Não iniciada")+(Planos!I7:I42="Em andamento"))*ISNUMBER(Planos!H7:H42)*(Planos!H7:H42&lt;$D$4)))</f>
        <v/>
      </c>
      <c r="L28" s="18" t="str">
        <f aca="false">IF(C28="","",IF(J28=0,"Sem plano",IF(H28="Alcançado","Manter até o prazo",IF(H28="Não alcançado","Decidir na análise crítica",IF(N(K28)&gt;0,"Ação atrasada: cobrar",IF(H28="Em risco","Ação feita e não bastou? Rever o plano",IF(H28="Sem resultado","Lançar o resultado","Acompanhar o ritmo")))))))</f>
        <v/>
      </c>
    </row>
    <row r="29" customFormat="false" ht="27" hidden="false" customHeight="true" outlineLevel="0" collapsed="false">
      <c r="B29" s="8" t="s">
        <v>118</v>
      </c>
      <c r="C29" s="18" t="str">
        <f aca="false">IF(Objetivos!C25="","",Objetivos!C25)</f>
        <v/>
      </c>
      <c r="D29" s="29" t="str">
        <f aca="false">IF(C29="","",Objetivos!D25)</f>
        <v/>
      </c>
      <c r="E29" s="22" t="str">
        <f aca="false">IF(C29="","",Acompanhamento!F18)</f>
        <v/>
      </c>
      <c r="F29" s="23" t="str">
        <f aca="false">IF(C29="","",Acompanhamento!T18)</f>
        <v/>
      </c>
      <c r="G29" s="22" t="str">
        <f aca="false">IF(C29="","",Acompanhamento!G18)</f>
        <v/>
      </c>
      <c r="H29" s="14" t="str">
        <f aca="false">IF(C29="","",Acompanhamento!V18)</f>
        <v/>
      </c>
      <c r="I29" s="24" t="str">
        <f aca="false">IF(C29="","",Acompanhamento!U18)</f>
        <v/>
      </c>
      <c r="J29" s="29" t="str">
        <f aca="false">IF(C29="","",COUNTIF(Planos!C7:C42,B29))</f>
        <v/>
      </c>
      <c r="K29" s="29" t="str">
        <f aca="false">IF(OR(C29="",$D$4=""),"",SUMPRODUCT((Planos!C7:C42=B29)*((Planos!I7:I42="Não iniciada")+(Planos!I7:I42="Em andamento"))*ISNUMBER(Planos!H7:H42)*(Planos!H7:H42&lt;$D$4)))</f>
        <v/>
      </c>
      <c r="L29" s="18" t="str">
        <f aca="false">IF(C29="","",IF(J29=0,"Sem plano",IF(H29="Alcançado","Manter até o prazo",IF(H29="Não alcançado","Decidir na análise crítica",IF(N(K29)&gt;0,"Ação atrasada: cobrar",IF(H29="Em risco","Ação feita e não bastou? Rever o plano",IF(H29="Sem resultado","Lançar o resultado","Acompanhar o ritmo")))))))</f>
        <v/>
      </c>
    </row>
    <row r="31" customFormat="false" ht="21.75" hidden="false" customHeight="true" outlineLevel="0" collapsed="false">
      <c r="B31" s="15" t="s">
        <v>119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customFormat="false" ht="21.75" hidden="false" customHeight="true" outlineLevel="0" collapsed="false">
      <c r="B32" s="16" t="s">
        <v>191</v>
      </c>
      <c r="C32" s="16"/>
      <c r="D32" s="17" t="str">
        <f aca="false">IF(D7=0,"",COUNTIF(D18:D29,"C1")&amp;" em C1, "&amp;COUNTIF(D18:D29,"C2")&amp;" em C2, "&amp;COUNTIF(D18:D29,"C3")&amp;" em C3, "&amp;COUNTIF(D18:D29,"C4")&amp;" em C4")</f>
        <v/>
      </c>
      <c r="E32" s="17"/>
      <c r="F32" s="17"/>
      <c r="G32" s="17"/>
      <c r="H32" s="17"/>
      <c r="I32" s="17"/>
      <c r="J32" s="17"/>
      <c r="K32" s="17"/>
      <c r="L32" s="17"/>
    </row>
    <row r="33" customFormat="false" ht="21.75" hidden="false" customHeight="true" outlineLevel="0" collapsed="false">
      <c r="B33" s="16" t="s">
        <v>123</v>
      </c>
      <c r="C33" s="16"/>
      <c r="D33" s="18" t="str">
        <f aca="false">IF(D7=0,"Escreva os objetivos na aba Objetivos",IF(D4="","Informe a data da análise na aba Acompanhamento",IF(COUNTIF(L18:L29,"Sem plano")&gt;0,"Há objetivo sem plano",IF(N(D14)&gt;0,"Há ação atrasada: veja a aba Planos",IF(D11&gt;0,"Há objetivo não alcançado ou sem resultado",IF(D10&gt;0,"Há objetivo em risco: leve à reunião","OK"))))))</f>
        <v>Escreva os objetivos na aba Objetivos</v>
      </c>
      <c r="E33" s="18"/>
      <c r="F33" s="18"/>
      <c r="G33" s="18"/>
      <c r="H33" s="18"/>
      <c r="I33" s="18"/>
      <c r="J33" s="18"/>
      <c r="K33" s="18"/>
      <c r="L33" s="18"/>
    </row>
  </sheetData>
  <mergeCells count="28">
    <mergeCell ref="B1:L1"/>
    <mergeCell ref="B2:L2"/>
    <mergeCell ref="B4:C4"/>
    <mergeCell ref="E4:L4"/>
    <mergeCell ref="B6:C6"/>
    <mergeCell ref="E6:L6"/>
    <mergeCell ref="B7:C7"/>
    <mergeCell ref="E7:L7"/>
    <mergeCell ref="B8:C8"/>
    <mergeCell ref="E8:L8"/>
    <mergeCell ref="B9:C9"/>
    <mergeCell ref="E9:L9"/>
    <mergeCell ref="B10:C10"/>
    <mergeCell ref="E10:L10"/>
    <mergeCell ref="B11:C11"/>
    <mergeCell ref="E11:L11"/>
    <mergeCell ref="B12:C12"/>
    <mergeCell ref="E12:L12"/>
    <mergeCell ref="B13:C13"/>
    <mergeCell ref="E13:L13"/>
    <mergeCell ref="B14:C14"/>
    <mergeCell ref="E14:L14"/>
    <mergeCell ref="B16:L16"/>
    <mergeCell ref="B31:L31"/>
    <mergeCell ref="B32:C32"/>
    <mergeCell ref="D32:L32"/>
    <mergeCell ref="B33:C33"/>
    <mergeCell ref="D33:L33"/>
  </mergeCells>
  <conditionalFormatting sqref="H18:H29">
    <cfRule type="expression" priority="2" aboveAverage="0" equalAverage="0" bottom="0" percent="0" rank="0" text="" dxfId="2">
      <formula>H18="Alcançado"</formula>
    </cfRule>
    <cfRule type="expression" priority="3" aboveAverage="0" equalAverage="0" bottom="0" percent="0" rank="0" text="" dxfId="4">
      <formula>H18="No caminho"</formula>
    </cfRule>
    <cfRule type="expression" priority="4" aboveAverage="0" equalAverage="0" bottom="0" percent="0" rank="0" text="" dxfId="5">
      <formula>H18="Em risco"</formula>
    </cfRule>
    <cfRule type="expression" priority="5" aboveAverage="0" equalAverage="0" bottom="0" percent="0" rank="0" text="" dxfId="5">
      <formula>H18="Não alcançado"</formula>
    </cfRule>
    <cfRule type="expression" priority="6" aboveAverage="0" equalAverage="0" bottom="0" percent="0" rank="0" text="" dxfId="3">
      <formula>H18="Em andamento"</formula>
    </cfRule>
    <cfRule type="expression" priority="7" aboveAverage="0" equalAverage="0" bottom="0" percent="0" rank="0" text="" dxfId="3">
      <formula>H18="Sem resultado"</formula>
    </cfRule>
  </conditionalFormatting>
  <conditionalFormatting sqref="L18:L29">
    <cfRule type="expression" priority="8" aboveAverage="0" equalAverage="0" bottom="0" percent="0" rank="0" text="" dxfId="0">
      <formula>L18="Manter até o prazo"</formula>
    </cfRule>
    <cfRule type="expression" priority="9" aboveAverage="0" equalAverage="0" bottom="0" percent="0" rank="0" text="" dxfId="2">
      <formula>L18="Acompanhar o ritmo"</formula>
    </cfRule>
    <cfRule type="expression" priority="10" aboveAverage="0" equalAverage="0" bottom="0" percent="0" rank="0" text="" dxfId="6">
      <formula>L18="Sem plano"</formula>
    </cfRule>
    <cfRule type="expression" priority="11" aboveAverage="0" equalAverage="0" bottom="0" percent="0" rank="0" text="" dxfId="6">
      <formula>L18="Ação atrasada: cobrar"</formula>
    </cfRule>
    <cfRule type="expression" priority="12" aboveAverage="0" equalAverage="0" bottom="0" percent="0" rank="0" text="" dxfId="6">
      <formula>L18="Decidir na análise crítica"</formula>
    </cfRule>
    <cfRule type="expression" priority="13" aboveAverage="0" equalAverage="0" bottom="0" percent="0" rank="0" text="" dxfId="1">
      <formula>LEN(L18)&gt;0</formula>
    </cfRule>
  </conditionalFormatting>
  <conditionalFormatting sqref="D33:L33">
    <cfRule type="expression" priority="14" aboveAverage="0" equalAverage="0" bottom="0" percent="0" rank="0" text="" dxfId="0">
      <formula>OR(D33="OK")</formula>
    </cfRule>
    <cfRule type="expression" priority="15" aboveAverage="0" equalAverage="0" bottom="0" percent="0" rank="0" text="" dxfId="1">
      <formula>AND(LEN(D33)&gt;0,NOT(OR(D33="OK")))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192</v>
      </c>
      <c r="C1" s="1"/>
      <c r="D1" s="1"/>
      <c r="E1" s="1"/>
    </row>
    <row r="2" customFormat="false" ht="19.5" hidden="false" customHeight="true" outlineLevel="0" collapsed="false">
      <c r="B2" s="2" t="s">
        <v>193</v>
      </c>
      <c r="C2" s="2"/>
      <c r="D2" s="2"/>
      <c r="E2" s="2"/>
    </row>
    <row r="4" customFormat="false" ht="21.75" hidden="false" customHeight="true" outlineLevel="0" collapsed="false">
      <c r="B4" s="9" t="s">
        <v>81</v>
      </c>
      <c r="C4" s="9" t="s">
        <v>194</v>
      </c>
      <c r="D4" s="9" t="s">
        <v>130</v>
      </c>
      <c r="E4" s="9" t="s">
        <v>195</v>
      </c>
    </row>
    <row r="5" customFormat="false" ht="30" hidden="false" customHeight="true" outlineLevel="0" collapsed="false">
      <c r="B5" s="8" t="n">
        <v>1</v>
      </c>
      <c r="C5" s="6" t="s">
        <v>196</v>
      </c>
      <c r="D5" s="11"/>
      <c r="E5" s="5"/>
    </row>
    <row r="6" customFormat="false" ht="30" hidden="false" customHeight="true" outlineLevel="0" collapsed="false">
      <c r="B6" s="8" t="n">
        <v>2</v>
      </c>
      <c r="C6" s="6" t="s">
        <v>197</v>
      </c>
      <c r="D6" s="11"/>
      <c r="E6" s="5"/>
    </row>
    <row r="7" customFormat="false" ht="30" hidden="false" customHeight="true" outlineLevel="0" collapsed="false">
      <c r="B7" s="8" t="n">
        <v>3</v>
      </c>
      <c r="C7" s="6" t="s">
        <v>198</v>
      </c>
      <c r="D7" s="11"/>
      <c r="E7" s="5"/>
    </row>
    <row r="8" customFormat="false" ht="30" hidden="false" customHeight="true" outlineLevel="0" collapsed="false">
      <c r="B8" s="8" t="n">
        <v>4</v>
      </c>
      <c r="C8" s="6" t="s">
        <v>199</v>
      </c>
      <c r="D8" s="11"/>
      <c r="E8" s="5"/>
    </row>
    <row r="9" customFormat="false" ht="30" hidden="false" customHeight="true" outlineLevel="0" collapsed="false">
      <c r="B9" s="8" t="n">
        <v>5</v>
      </c>
      <c r="C9" s="6" t="s">
        <v>200</v>
      </c>
      <c r="D9" s="11"/>
      <c r="E9" s="5"/>
    </row>
    <row r="10" customFormat="false" ht="30" hidden="false" customHeight="true" outlineLevel="0" collapsed="false">
      <c r="B10" s="8" t="n">
        <v>6</v>
      </c>
      <c r="C10" s="6" t="s">
        <v>201</v>
      </c>
      <c r="D10" s="11"/>
      <c r="E10" s="5"/>
    </row>
    <row r="11" customFormat="false" ht="30" hidden="false" customHeight="true" outlineLevel="0" collapsed="false">
      <c r="B11" s="8" t="n">
        <v>7</v>
      </c>
      <c r="C11" s="6" t="s">
        <v>202</v>
      </c>
      <c r="D11" s="11"/>
      <c r="E11" s="5"/>
    </row>
    <row r="12" customFormat="false" ht="30" hidden="false" customHeight="true" outlineLevel="0" collapsed="false">
      <c r="B12" s="8" t="n">
        <v>8</v>
      </c>
      <c r="C12" s="6" t="s">
        <v>203</v>
      </c>
      <c r="D12" s="11"/>
      <c r="E12" s="5"/>
    </row>
    <row r="13" customFormat="false" ht="30" hidden="false" customHeight="true" outlineLevel="0" collapsed="false">
      <c r="B13" s="8" t="n">
        <v>9</v>
      </c>
      <c r="C13" s="6" t="s">
        <v>204</v>
      </c>
      <c r="D13" s="11"/>
      <c r="E13" s="5"/>
    </row>
    <row r="14" customFormat="false" ht="30" hidden="false" customHeight="true" outlineLevel="0" collapsed="false">
      <c r="B14" s="8" t="n">
        <v>10</v>
      </c>
      <c r="C14" s="6" t="s">
        <v>205</v>
      </c>
      <c r="D14" s="11"/>
      <c r="E14" s="5"/>
    </row>
    <row r="15" customFormat="false" ht="30" hidden="false" customHeight="true" outlineLevel="0" collapsed="false">
      <c r="B15" s="8" t="n">
        <v>11</v>
      </c>
      <c r="C15" s="6" t="s">
        <v>206</v>
      </c>
      <c r="D15" s="11"/>
      <c r="E15" s="5"/>
    </row>
    <row r="16" customFormat="false" ht="30" hidden="false" customHeight="true" outlineLevel="0" collapsed="false">
      <c r="B16" s="8" t="n">
        <v>12</v>
      </c>
      <c r="C16" s="6" t="s">
        <v>207</v>
      </c>
      <c r="D16" s="11"/>
      <c r="E16" s="5"/>
    </row>
    <row r="18" customFormat="false" ht="21.75" hidden="false" customHeight="true" outlineLevel="0" collapsed="false">
      <c r="B18" s="15" t="s">
        <v>119</v>
      </c>
      <c r="C18" s="15"/>
      <c r="D18" s="15"/>
      <c r="E18" s="15"/>
    </row>
    <row r="19" customFormat="false" ht="19.5" hidden="false" customHeight="true" outlineLevel="0" collapsed="false">
      <c r="B19" s="16" t="s">
        <v>208</v>
      </c>
      <c r="C19" s="16"/>
      <c r="D19" s="26" t="n">
        <f aca="false">COUNTIF(D5:D16,"Sim")</f>
        <v>0</v>
      </c>
    </row>
    <row r="20" customFormat="false" ht="19.5" hidden="false" customHeight="true" outlineLevel="0" collapsed="false">
      <c r="B20" s="16" t="s">
        <v>209</v>
      </c>
      <c r="C20" s="16"/>
      <c r="D20" s="26" t="n">
        <f aca="false">COUNTIF(D5:D16,"Parcial")</f>
        <v>0</v>
      </c>
    </row>
    <row r="21" customFormat="false" ht="19.5" hidden="false" customHeight="true" outlineLevel="0" collapsed="false">
      <c r="B21" s="16" t="s">
        <v>210</v>
      </c>
      <c r="C21" s="16"/>
      <c r="D21" s="26" t="n">
        <f aca="false">COUNTIF(D5:D16,"Não")</f>
        <v>0</v>
      </c>
    </row>
    <row r="22" customFormat="false" ht="19.5" hidden="false" customHeight="true" outlineLevel="0" collapsed="false">
      <c r="B22" s="16" t="s">
        <v>211</v>
      </c>
      <c r="C22" s="16"/>
      <c r="D22" s="26" t="n">
        <f aca="false">COUNTBLANK(D5:D16)</f>
        <v>12</v>
      </c>
    </row>
    <row r="23" customFormat="false" ht="19.5" hidden="false" customHeight="true" outlineLevel="0" collapsed="false">
      <c r="B23" s="16" t="s">
        <v>212</v>
      </c>
      <c r="C23" s="16"/>
      <c r="D23" s="28" t="n">
        <f aca="false">D19/ROWS(D5:D16)</f>
        <v>0</v>
      </c>
    </row>
    <row r="24" customFormat="false" ht="19.5" hidden="false" customHeight="true" outlineLevel="0" collapsed="false">
      <c r="B24" s="16" t="s">
        <v>167</v>
      </c>
      <c r="C24" s="16"/>
      <c r="D24" s="26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6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213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214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B4" s="4" t="s">
        <v>215</v>
      </c>
      <c r="C4" s="4"/>
      <c r="D4" s="30" t="s">
        <v>216</v>
      </c>
      <c r="E4" s="30"/>
      <c r="F4" s="30"/>
      <c r="G4" s="30"/>
      <c r="H4" s="30"/>
      <c r="I4" s="30"/>
      <c r="J4" s="30"/>
      <c r="K4" s="30"/>
      <c r="L4" s="30"/>
    </row>
    <row r="5" customFormat="false" ht="19.5" hidden="false" customHeight="true" outlineLevel="0" collapsed="false">
      <c r="B5" s="4" t="s">
        <v>217</v>
      </c>
      <c r="C5" s="4"/>
      <c r="D5" s="30" t="s">
        <v>218</v>
      </c>
      <c r="E5" s="30"/>
      <c r="F5" s="30"/>
      <c r="G5" s="30"/>
      <c r="H5" s="30"/>
      <c r="I5" s="30"/>
      <c r="J5" s="30"/>
      <c r="K5" s="30"/>
      <c r="L5" s="30"/>
    </row>
    <row r="6" customFormat="false" ht="30.75" hidden="false" customHeight="true" outlineLevel="0" collapsed="false">
      <c r="B6" s="4" t="s">
        <v>72</v>
      </c>
      <c r="C6" s="4"/>
      <c r="D6" s="30" t="s">
        <v>219</v>
      </c>
      <c r="E6" s="30"/>
      <c r="F6" s="30"/>
      <c r="G6" s="30"/>
      <c r="H6" s="30"/>
      <c r="I6" s="30"/>
      <c r="J6" s="30"/>
      <c r="K6" s="30"/>
      <c r="L6" s="30"/>
    </row>
    <row r="7" customFormat="false" ht="19.5" hidden="false" customHeight="true" outlineLevel="0" collapsed="false">
      <c r="B7" s="4" t="s">
        <v>84</v>
      </c>
      <c r="C7" s="4"/>
      <c r="D7" s="30" t="s">
        <v>220</v>
      </c>
      <c r="E7" s="30"/>
      <c r="F7" s="30"/>
      <c r="G7" s="30"/>
      <c r="H7" s="30"/>
      <c r="I7" s="30"/>
      <c r="J7" s="30"/>
      <c r="K7" s="30"/>
      <c r="L7" s="30"/>
    </row>
    <row r="8" customFormat="false" ht="19.5" hidden="false" customHeight="true" outlineLevel="0" collapsed="false">
      <c r="B8" s="4" t="s">
        <v>151</v>
      </c>
      <c r="C8" s="4"/>
      <c r="D8" s="31" t="n">
        <v>46514</v>
      </c>
      <c r="E8" s="31"/>
      <c r="F8" s="31"/>
      <c r="G8" s="31"/>
      <c r="H8" s="31"/>
      <c r="I8" s="31"/>
      <c r="J8" s="31"/>
      <c r="K8" s="31"/>
      <c r="L8" s="31"/>
    </row>
    <row r="9" customFormat="false" ht="19.5" hidden="false" customHeight="true" outlineLevel="0" collapsed="false">
      <c r="B9" s="16" t="s">
        <v>73</v>
      </c>
      <c r="C9" s="16"/>
      <c r="D9" s="7" t="s">
        <v>221</v>
      </c>
      <c r="E9" s="7"/>
      <c r="F9" s="7"/>
      <c r="G9" s="7"/>
      <c r="H9" s="7"/>
      <c r="I9" s="7"/>
      <c r="J9" s="7"/>
      <c r="K9" s="7"/>
      <c r="L9" s="7"/>
    </row>
    <row r="10" customFormat="false" ht="19.5" hidden="false" customHeight="true" outlineLevel="0" collapsed="false">
      <c r="B10" s="16" t="s">
        <v>75</v>
      </c>
      <c r="C10" s="16"/>
      <c r="D10" s="7" t="s">
        <v>222</v>
      </c>
      <c r="E10" s="7"/>
      <c r="F10" s="7"/>
      <c r="G10" s="7"/>
      <c r="H10" s="7"/>
      <c r="I10" s="7"/>
      <c r="J10" s="7"/>
      <c r="K10" s="7"/>
      <c r="L10" s="7"/>
    </row>
    <row r="11" customFormat="false" ht="19.5" hidden="false" customHeight="true" outlineLevel="0" collapsed="false">
      <c r="B11" s="16" t="s">
        <v>77</v>
      </c>
      <c r="C11" s="16"/>
      <c r="D11" s="7" t="s">
        <v>223</v>
      </c>
      <c r="E11" s="7"/>
      <c r="F11" s="7"/>
      <c r="G11" s="7"/>
      <c r="H11" s="7"/>
      <c r="I11" s="7"/>
      <c r="J11" s="7"/>
      <c r="K11" s="7"/>
      <c r="L11" s="7"/>
    </row>
    <row r="13" customFormat="false" ht="21.75" hidden="false" customHeight="true" outlineLevel="0" collapsed="false">
      <c r="B13" s="32" t="s">
        <v>224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</row>
    <row r="14" customFormat="false" ht="30" hidden="false" customHeight="true" outlineLevel="0" collapsed="false">
      <c r="B14" s="26" t="s">
        <v>81</v>
      </c>
      <c r="C14" s="26" t="s">
        <v>82</v>
      </c>
      <c r="D14" s="26" t="s">
        <v>83</v>
      </c>
      <c r="E14" s="26" t="s">
        <v>84</v>
      </c>
      <c r="F14" s="26" t="s">
        <v>88</v>
      </c>
      <c r="G14" s="26" t="s">
        <v>89</v>
      </c>
      <c r="H14" s="26" t="s">
        <v>90</v>
      </c>
      <c r="I14" s="26" t="s">
        <v>85</v>
      </c>
      <c r="J14" s="26" t="s">
        <v>92</v>
      </c>
      <c r="K14" s="26" t="s">
        <v>87</v>
      </c>
      <c r="L14" s="26" t="s">
        <v>94</v>
      </c>
    </row>
    <row r="15" customFormat="false" ht="30.75" hidden="false" customHeight="true" outlineLevel="0" collapsed="false">
      <c r="B15" s="8" t="s">
        <v>107</v>
      </c>
      <c r="C15" s="33" t="s">
        <v>139</v>
      </c>
      <c r="D15" s="34" t="s">
        <v>73</v>
      </c>
      <c r="E15" s="7" t="s">
        <v>225</v>
      </c>
      <c r="F15" s="35" t="n">
        <v>95</v>
      </c>
      <c r="G15" s="35" t="n">
        <v>96</v>
      </c>
      <c r="H15" s="36" t="n">
        <v>46752</v>
      </c>
      <c r="I15" s="7" t="s">
        <v>226</v>
      </c>
      <c r="J15" s="7" t="s">
        <v>142</v>
      </c>
      <c r="K15" s="34" t="s">
        <v>227</v>
      </c>
      <c r="L15" s="14" t="str">
        <f aca="false">IF(ISNUMBER(F15)=FALSE(),"Sem base",IF(IF(K15="Maior",G15&gt;F15,G15&lt;F15),"Melhorar","Manter"))</f>
        <v>Melhorar</v>
      </c>
    </row>
    <row r="16" customFormat="false" ht="42.75" hidden="false" customHeight="true" outlineLevel="0" collapsed="false">
      <c r="B16" s="8" t="s">
        <v>108</v>
      </c>
      <c r="C16" s="33" t="s">
        <v>228</v>
      </c>
      <c r="D16" s="34" t="s">
        <v>77</v>
      </c>
      <c r="E16" s="7" t="s">
        <v>229</v>
      </c>
      <c r="F16" s="35" t="n">
        <v>1.9</v>
      </c>
      <c r="G16" s="35" t="n">
        <v>1.5</v>
      </c>
      <c r="H16" s="36" t="n">
        <v>46752</v>
      </c>
      <c r="I16" s="7" t="s">
        <v>230</v>
      </c>
      <c r="J16" s="7" t="s">
        <v>231</v>
      </c>
      <c r="K16" s="34" t="s">
        <v>232</v>
      </c>
      <c r="L16" s="14" t="str">
        <f aca="false">IF(ISNUMBER(F16)=FALSE(),"Sem base",IF(IF(K16="Maior",G16&gt;F16,G16&lt;F16),"Melhorar","Manter"))</f>
        <v>Melhorar</v>
      </c>
    </row>
    <row r="17" customFormat="false" ht="42.75" hidden="false" customHeight="true" outlineLevel="0" collapsed="false">
      <c r="B17" s="8" t="s">
        <v>109</v>
      </c>
      <c r="C17" s="33" t="s">
        <v>233</v>
      </c>
      <c r="D17" s="34" t="s">
        <v>77</v>
      </c>
      <c r="E17" s="7" t="s">
        <v>229</v>
      </c>
      <c r="F17" s="35" t="s">
        <v>234</v>
      </c>
      <c r="G17" s="35" t="n">
        <v>4.3</v>
      </c>
      <c r="H17" s="36" t="n">
        <v>46568</v>
      </c>
      <c r="I17" s="7" t="s">
        <v>235</v>
      </c>
      <c r="J17" s="7" t="s">
        <v>231</v>
      </c>
      <c r="K17" s="34" t="s">
        <v>227</v>
      </c>
      <c r="L17" s="14" t="str">
        <f aca="false">IF(ISNUMBER(F17)=FALSE(),"Sem base",IF(IF(K17="Maior",G17&gt;F17,G17&lt;F17),"Melhorar","Manter"))</f>
        <v>Sem base</v>
      </c>
    </row>
    <row r="18" customFormat="false" ht="30.75" hidden="false" customHeight="true" outlineLevel="0" collapsed="false">
      <c r="B18" s="8" t="s">
        <v>110</v>
      </c>
      <c r="C18" s="33" t="s">
        <v>236</v>
      </c>
      <c r="D18" s="34" t="s">
        <v>73</v>
      </c>
      <c r="E18" s="7" t="s">
        <v>237</v>
      </c>
      <c r="F18" s="35" t="n">
        <v>2</v>
      </c>
      <c r="G18" s="35" t="n">
        <v>1.5</v>
      </c>
      <c r="H18" s="36" t="n">
        <v>46568</v>
      </c>
      <c r="I18" s="7" t="s">
        <v>238</v>
      </c>
      <c r="J18" s="7" t="s">
        <v>239</v>
      </c>
      <c r="K18" s="34" t="s">
        <v>232</v>
      </c>
      <c r="L18" s="14" t="str">
        <f aca="false">IF(ISNUMBER(F18)=FALSE(),"Sem base",IF(IF(K18="Maior",G18&gt;F18,G18&lt;F18),"Melhorar","Manter"))</f>
        <v>Melhorar</v>
      </c>
    </row>
    <row r="19" customFormat="false" ht="30.75" hidden="false" customHeight="true" outlineLevel="0" collapsed="false">
      <c r="B19" s="8" t="s">
        <v>111</v>
      </c>
      <c r="C19" s="33" t="s">
        <v>240</v>
      </c>
      <c r="D19" s="34" t="s">
        <v>77</v>
      </c>
      <c r="E19" s="7" t="s">
        <v>229</v>
      </c>
      <c r="F19" s="35" t="n">
        <v>5</v>
      </c>
      <c r="G19" s="35" t="n">
        <v>9</v>
      </c>
      <c r="H19" s="36" t="n">
        <v>46444</v>
      </c>
      <c r="I19" s="7" t="s">
        <v>241</v>
      </c>
      <c r="J19" s="7" t="s">
        <v>242</v>
      </c>
      <c r="K19" s="34" t="s">
        <v>227</v>
      </c>
      <c r="L19" s="14" t="str">
        <f aca="false">IF(ISNUMBER(F19)=FALSE(),"Sem base",IF(IF(K19="Maior",G19&gt;F19,G19&lt;F19),"Melhorar","Manter"))</f>
        <v>Melhorar</v>
      </c>
    </row>
    <row r="20" customFormat="false" ht="30.75" hidden="false" customHeight="true" outlineLevel="0" collapsed="false">
      <c r="B20" s="8" t="s">
        <v>112</v>
      </c>
      <c r="C20" s="33" t="s">
        <v>243</v>
      </c>
      <c r="D20" s="34" t="s">
        <v>73</v>
      </c>
      <c r="E20" s="7" t="s">
        <v>225</v>
      </c>
      <c r="F20" s="35" t="n">
        <v>3.9</v>
      </c>
      <c r="G20" s="35" t="n">
        <v>3.5</v>
      </c>
      <c r="H20" s="36" t="n">
        <v>46752</v>
      </c>
      <c r="I20" s="7" t="s">
        <v>244</v>
      </c>
      <c r="J20" s="7" t="s">
        <v>242</v>
      </c>
      <c r="K20" s="34" t="s">
        <v>232</v>
      </c>
      <c r="L20" s="14" t="str">
        <f aca="false">IF(ISNUMBER(F20)=FALSE(),"Sem base",IF(IF(K20="Maior",G20&gt;F20,G20&lt;F20),"Melhorar","Manter"))</f>
        <v>Melhorar</v>
      </c>
    </row>
    <row r="21" customFormat="false" ht="30.75" hidden="false" customHeight="true" outlineLevel="0" collapsed="false">
      <c r="B21" s="8" t="s">
        <v>113</v>
      </c>
      <c r="C21" s="33" t="s">
        <v>245</v>
      </c>
      <c r="D21" s="34" t="s">
        <v>75</v>
      </c>
      <c r="E21" s="7" t="s">
        <v>246</v>
      </c>
      <c r="F21" s="35" t="n">
        <v>60</v>
      </c>
      <c r="G21" s="35" t="n">
        <v>100</v>
      </c>
      <c r="H21" s="36" t="n">
        <v>46689</v>
      </c>
      <c r="I21" s="7" t="s">
        <v>247</v>
      </c>
      <c r="J21" s="7" t="s">
        <v>242</v>
      </c>
      <c r="K21" s="34" t="s">
        <v>227</v>
      </c>
      <c r="L21" s="14" t="str">
        <f aca="false">IF(ISNUMBER(F21)=FALSE(),"Sem base",IF(IF(K21="Maior",G21&gt;F21,G21&lt;F21),"Melhorar","Manter"))</f>
        <v>Melhorar</v>
      </c>
    </row>
    <row r="23" customFormat="false" ht="21.75" hidden="false" customHeight="true" outlineLevel="0" collapsed="false">
      <c r="B23" s="37" t="s">
        <v>48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customFormat="false" ht="30" hidden="false" customHeight="true" outlineLevel="0" collapsed="false">
      <c r="B24" s="26" t="s">
        <v>248</v>
      </c>
      <c r="C24" s="26" t="s">
        <v>127</v>
      </c>
      <c r="D24" s="38" t="s">
        <v>128</v>
      </c>
      <c r="E24" s="38"/>
      <c r="F24" s="38" t="s">
        <v>129</v>
      </c>
      <c r="G24" s="38"/>
      <c r="H24" s="26" t="s">
        <v>190</v>
      </c>
      <c r="I24" s="26" t="s">
        <v>130</v>
      </c>
      <c r="J24" s="26" t="s">
        <v>92</v>
      </c>
      <c r="K24" s="38" t="s">
        <v>249</v>
      </c>
      <c r="L24" s="38"/>
    </row>
    <row r="25" customFormat="false" ht="30.75" hidden="false" customHeight="true" outlineLevel="0" collapsed="false">
      <c r="B25" s="8" t="s">
        <v>107</v>
      </c>
      <c r="C25" s="7" t="s">
        <v>250</v>
      </c>
      <c r="D25" s="7" t="s">
        <v>141</v>
      </c>
      <c r="E25" s="7"/>
      <c r="F25" s="36" t="n">
        <v>46477</v>
      </c>
      <c r="G25" s="36"/>
      <c r="H25" s="14" t="str">
        <f aca="false">IF(AND(OR(I25="Não iniciada",I25="Em andamento"),F25&lt;$D$8),"Atrasada",I25)</f>
        <v>Concluída</v>
      </c>
      <c r="I25" s="39" t="s">
        <v>143</v>
      </c>
      <c r="J25" s="7" t="s">
        <v>142</v>
      </c>
      <c r="K25" s="7" t="s">
        <v>144</v>
      </c>
      <c r="L25" s="7"/>
    </row>
    <row r="26" customFormat="false" ht="30.75" hidden="false" customHeight="true" outlineLevel="0" collapsed="false">
      <c r="B26" s="8" t="s">
        <v>107</v>
      </c>
      <c r="C26" s="7" t="s">
        <v>251</v>
      </c>
      <c r="D26" s="7" t="s">
        <v>252</v>
      </c>
      <c r="E26" s="7"/>
      <c r="F26" s="36" t="n">
        <v>46568</v>
      </c>
      <c r="G26" s="36"/>
      <c r="H26" s="14" t="str">
        <f aca="false">IF(AND(OR(I26="Não iniciada",I26="Em andamento"),F26&lt;$D$8),"Atrasada",I26)</f>
        <v>Em andamento</v>
      </c>
      <c r="I26" s="39" t="s">
        <v>24</v>
      </c>
      <c r="J26" s="7" t="s">
        <v>239</v>
      </c>
      <c r="K26" s="7" t="s">
        <v>253</v>
      </c>
      <c r="L26" s="7"/>
    </row>
    <row r="27" customFormat="false" ht="42.75" hidden="false" customHeight="true" outlineLevel="0" collapsed="false">
      <c r="B27" s="8" t="s">
        <v>108</v>
      </c>
      <c r="C27" s="7" t="s">
        <v>254</v>
      </c>
      <c r="D27" s="7" t="s">
        <v>255</v>
      </c>
      <c r="E27" s="7"/>
      <c r="F27" s="36" t="n">
        <v>46752</v>
      </c>
      <c r="G27" s="36"/>
      <c r="H27" s="14" t="str">
        <f aca="false">IF(AND(OR(I27="Não iniciada",I27="Em andamento"),F27&lt;$D$8),"Atrasada",I27)</f>
        <v>Em andamento</v>
      </c>
      <c r="I27" s="39" t="s">
        <v>24</v>
      </c>
      <c r="J27" s="7" t="s">
        <v>231</v>
      </c>
      <c r="K27" s="7" t="s">
        <v>256</v>
      </c>
      <c r="L27" s="7"/>
    </row>
    <row r="28" customFormat="false" ht="30.75" hidden="false" customHeight="true" outlineLevel="0" collapsed="false">
      <c r="B28" s="8" t="s">
        <v>108</v>
      </c>
      <c r="C28" s="7" t="s">
        <v>257</v>
      </c>
      <c r="D28" s="7" t="s">
        <v>258</v>
      </c>
      <c r="E28" s="7"/>
      <c r="F28" s="36" t="n">
        <v>46507</v>
      </c>
      <c r="G28" s="36"/>
      <c r="H28" s="14" t="str">
        <f aca="false">IF(AND(OR(I28="Não iniciada",I28="Em andamento"),F28&lt;$D$8),"Atrasada",I28)</f>
        <v>Concluída</v>
      </c>
      <c r="I28" s="39" t="s">
        <v>143</v>
      </c>
      <c r="J28" s="7" t="s">
        <v>242</v>
      </c>
      <c r="K28" s="7" t="s">
        <v>259</v>
      </c>
      <c r="L28" s="7"/>
    </row>
    <row r="29" customFormat="false" ht="30.75" hidden="false" customHeight="true" outlineLevel="0" collapsed="false">
      <c r="B29" s="8" t="s">
        <v>109</v>
      </c>
      <c r="C29" s="7" t="s">
        <v>260</v>
      </c>
      <c r="D29" s="7" t="s">
        <v>261</v>
      </c>
      <c r="E29" s="7"/>
      <c r="F29" s="36" t="n">
        <v>46416</v>
      </c>
      <c r="G29" s="36"/>
      <c r="H29" s="14" t="str">
        <f aca="false">IF(AND(OR(I29="Não iniciada",I29="Em andamento"),F29&lt;$D$8),"Atrasada",I29)</f>
        <v>Concluída</v>
      </c>
      <c r="I29" s="39" t="s">
        <v>143</v>
      </c>
      <c r="J29" s="7" t="s">
        <v>231</v>
      </c>
      <c r="K29" s="7" t="s">
        <v>262</v>
      </c>
      <c r="L29" s="7"/>
    </row>
    <row r="30" customFormat="false" ht="30.75" hidden="false" customHeight="true" outlineLevel="0" collapsed="false">
      <c r="B30" s="8" t="s">
        <v>109</v>
      </c>
      <c r="C30" s="7" t="s">
        <v>263</v>
      </c>
      <c r="D30" s="7" t="s">
        <v>234</v>
      </c>
      <c r="E30" s="7"/>
      <c r="F30" s="36" t="n">
        <v>46568</v>
      </c>
      <c r="G30" s="36"/>
      <c r="H30" s="14" t="str">
        <f aca="false">IF(AND(OR(I30="Não iniciada",I30="Em andamento"),F30&lt;$D$8),"Atrasada",I30)</f>
        <v>Em andamento</v>
      </c>
      <c r="I30" s="39" t="s">
        <v>24</v>
      </c>
      <c r="J30" s="7" t="s">
        <v>242</v>
      </c>
      <c r="K30" s="7" t="s">
        <v>264</v>
      </c>
      <c r="L30" s="7"/>
    </row>
    <row r="31" customFormat="false" ht="30.75" hidden="false" customHeight="true" outlineLevel="0" collapsed="false">
      <c r="B31" s="8" t="s">
        <v>110</v>
      </c>
      <c r="C31" s="7" t="s">
        <v>265</v>
      </c>
      <c r="D31" s="7" t="s">
        <v>234</v>
      </c>
      <c r="E31" s="7"/>
      <c r="F31" s="36" t="n">
        <v>46446</v>
      </c>
      <c r="G31" s="36"/>
      <c r="H31" s="14" t="str">
        <f aca="false">IF(AND(OR(I31="Não iniciada",I31="Em andamento"),F31&lt;$D$8),"Atrasada",I31)</f>
        <v>Concluída</v>
      </c>
      <c r="I31" s="39" t="s">
        <v>143</v>
      </c>
      <c r="J31" s="7" t="s">
        <v>239</v>
      </c>
      <c r="K31" s="7" t="s">
        <v>266</v>
      </c>
      <c r="L31" s="7"/>
    </row>
    <row r="32" customFormat="false" ht="42.75" hidden="false" customHeight="true" outlineLevel="0" collapsed="false">
      <c r="B32" s="8" t="s">
        <v>111</v>
      </c>
      <c r="C32" s="7" t="s">
        <v>267</v>
      </c>
      <c r="D32" s="7" t="s">
        <v>268</v>
      </c>
      <c r="E32" s="7"/>
      <c r="F32" s="36" t="n">
        <v>46444</v>
      </c>
      <c r="G32" s="36"/>
      <c r="H32" s="14" t="str">
        <f aca="false">IF(AND(OR(I32="Não iniciada",I32="Em andamento"),F32&lt;$D$8),"Atrasada",I32)</f>
        <v>Concluída</v>
      </c>
      <c r="I32" s="39" t="s">
        <v>143</v>
      </c>
      <c r="J32" s="7" t="s">
        <v>242</v>
      </c>
      <c r="K32" s="7" t="s">
        <v>269</v>
      </c>
      <c r="L32" s="7"/>
    </row>
    <row r="33" customFormat="false" ht="30.75" hidden="false" customHeight="true" outlineLevel="0" collapsed="false">
      <c r="B33" s="8" t="s">
        <v>112</v>
      </c>
      <c r="C33" s="7" t="s">
        <v>270</v>
      </c>
      <c r="D33" s="7" t="s">
        <v>271</v>
      </c>
      <c r="E33" s="7"/>
      <c r="F33" s="36" t="n">
        <v>46507</v>
      </c>
      <c r="G33" s="36"/>
      <c r="H33" s="14" t="str">
        <f aca="false">IF(AND(OR(I33="Não iniciada",I33="Em andamento"),F33&lt;$D$8),"Atrasada",I33)</f>
        <v>Atrasada</v>
      </c>
      <c r="I33" s="39" t="s">
        <v>272</v>
      </c>
      <c r="J33" s="7" t="s">
        <v>242</v>
      </c>
      <c r="K33" s="7" t="s">
        <v>273</v>
      </c>
      <c r="L33" s="7"/>
    </row>
    <row r="34" customFormat="false" ht="30.75" hidden="false" customHeight="true" outlineLevel="0" collapsed="false">
      <c r="B34" s="8" t="s">
        <v>113</v>
      </c>
      <c r="C34" s="7" t="s">
        <v>274</v>
      </c>
      <c r="D34" s="7" t="s">
        <v>275</v>
      </c>
      <c r="E34" s="7"/>
      <c r="F34" s="36" t="n">
        <v>46409</v>
      </c>
      <c r="G34" s="36"/>
      <c r="H34" s="14" t="str">
        <f aca="false">IF(AND(OR(I34="Não iniciada",I34="Em andamento"),F34&lt;$D$8),"Atrasada",I34)</f>
        <v>Concluída</v>
      </c>
      <c r="I34" s="39" t="s">
        <v>143</v>
      </c>
      <c r="J34" s="7" t="s">
        <v>239</v>
      </c>
      <c r="K34" s="7" t="s">
        <v>276</v>
      </c>
      <c r="L34" s="7"/>
    </row>
    <row r="35" customFormat="false" ht="30.75" hidden="false" customHeight="true" outlineLevel="0" collapsed="false">
      <c r="B35" s="8" t="s">
        <v>113</v>
      </c>
      <c r="C35" s="7" t="s">
        <v>277</v>
      </c>
      <c r="D35" s="7" t="s">
        <v>278</v>
      </c>
      <c r="E35" s="7"/>
      <c r="F35" s="36" t="n">
        <v>46568</v>
      </c>
      <c r="G35" s="36"/>
      <c r="H35" s="14" t="str">
        <f aca="false">IF(AND(OR(I35="Não iniciada",I35="Em andamento"),F35&lt;$D$8),"Atrasada",I35)</f>
        <v>Em andamento</v>
      </c>
      <c r="I35" s="39" t="s">
        <v>24</v>
      </c>
      <c r="J35" s="7" t="s">
        <v>242</v>
      </c>
      <c r="K35" s="7" t="s">
        <v>279</v>
      </c>
      <c r="L35" s="7"/>
    </row>
    <row r="37" customFormat="false" ht="21.75" hidden="false" customHeight="true" outlineLevel="0" collapsed="false">
      <c r="B37" s="40" t="s">
        <v>50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customFormat="false" ht="30" hidden="false" customHeight="true" outlineLevel="0" collapsed="false">
      <c r="B38" s="26" t="s">
        <v>81</v>
      </c>
      <c r="C38" s="26" t="s">
        <v>85</v>
      </c>
      <c r="D38" s="26" t="s">
        <v>153</v>
      </c>
      <c r="E38" s="26" t="s">
        <v>154</v>
      </c>
      <c r="F38" s="26" t="s">
        <v>155</v>
      </c>
      <c r="G38" s="26" t="s">
        <v>156</v>
      </c>
      <c r="H38" s="26" t="s">
        <v>165</v>
      </c>
      <c r="I38" s="26" t="s">
        <v>166</v>
      </c>
      <c r="J38" s="38" t="s">
        <v>167</v>
      </c>
      <c r="K38" s="38"/>
      <c r="L38" s="38"/>
    </row>
    <row r="39" customFormat="false" ht="21.75" hidden="false" customHeight="true" outlineLevel="0" collapsed="false">
      <c r="B39" s="8" t="s">
        <v>107</v>
      </c>
      <c r="C39" s="33" t="s">
        <v>280</v>
      </c>
      <c r="D39" s="35" t="n">
        <v>95</v>
      </c>
      <c r="E39" s="35" t="n">
        <v>94</v>
      </c>
      <c r="F39" s="35" t="n">
        <v>96</v>
      </c>
      <c r="G39" s="35" t="n">
        <v>95</v>
      </c>
      <c r="H39" s="23" t="n">
        <f aca="false">IF(COUNT(D39:G39)=0,"",LOOKUP(2,1/ISNUMBER(D39:G39),D39:G39))</f>
        <v>95</v>
      </c>
      <c r="I39" s="24" t="n">
        <f aca="false">IF(OR(H39="",IF(ISNUMBER(F15),F15,"")="",G15=""),"",IF(IF(IF(K15="Maior","Maior é melhor","Menor é melhor")="Maior é melhor",G15&lt;=IF(ISNUMBER(F15),F15,""),G15&gt;=IF(ISNUMBER(F15),F15,"")),IF(IF(IF(K15="Maior","Maior é melhor","Menor é melhor")="Maior é melhor",H39&gt;=G15,H39&lt;=G15),1,0),MAX(0,MIN(1,(H39-IF(ISNUMBER(F15),F15,""))/(G15-IF(ISNUMBER(F15),F15,""))))))</f>
        <v>0</v>
      </c>
      <c r="J39" s="14" t="str">
        <f aca="false">IF(H39="","Sem resultado",IF(IF(IF(K15="Maior","Maior é melhor","Menor é melhor")="Maior é melhor",H39&gt;=G15,H39&lt;=G15),"Alcançado",IF(AND(ISNUMBER(H15),ISNUMBER($D$8),H15&lt;$D$8),"Não alcançado",IF(IF(ISNUMBER(F15),F15,"")="","Em andamento",IF(IF(IF(K15="Maior","Maior é melhor","Menor é melhor")="Maior é melhor",H39&gt;IF(ISNUMBER(F15),F15,""),H39&lt;IF(ISNUMBER(F15),F15,"")),"No caminho","Em risco")))))</f>
        <v>Em risco</v>
      </c>
      <c r="K39" s="14"/>
      <c r="L39" s="14"/>
    </row>
    <row r="40" customFormat="false" ht="21.75" hidden="false" customHeight="true" outlineLevel="0" collapsed="false">
      <c r="B40" s="8" t="s">
        <v>108</v>
      </c>
      <c r="C40" s="33" t="s">
        <v>281</v>
      </c>
      <c r="D40" s="35" t="n">
        <v>1.9</v>
      </c>
      <c r="E40" s="35" t="n">
        <v>1.9</v>
      </c>
      <c r="F40" s="35" t="n">
        <v>1.6</v>
      </c>
      <c r="G40" s="35" t="n">
        <v>1.4</v>
      </c>
      <c r="H40" s="23" t="n">
        <f aca="false">IF(COUNT(D40:G40)=0,"",LOOKUP(2,1/ISNUMBER(D40:G40),D40:G40))</f>
        <v>1.4</v>
      </c>
      <c r="I40" s="24" t="n">
        <f aca="false">IF(OR(H40="",IF(ISNUMBER(F16),F16,"")="",G16=""),"",IF(IF(IF(K16="Maior","Maior é melhor","Menor é melhor")="Maior é melhor",G16&lt;=IF(ISNUMBER(F16),F16,""),G16&gt;=IF(ISNUMBER(F16),F16,"")),IF(IF(IF(K16="Maior","Maior é melhor","Menor é melhor")="Maior é melhor",H40&gt;=G16,H40&lt;=G16),1,0),MAX(0,MIN(1,(H40-IF(ISNUMBER(F16),F16,""))/(G16-IF(ISNUMBER(F16),F16,""))))))</f>
        <v>1</v>
      </c>
      <c r="J40" s="14" t="str">
        <f aca="false">IF(H40="","Sem resultado",IF(IF(IF(K16="Maior","Maior é melhor","Menor é melhor")="Maior é melhor",H40&gt;=G16,H40&lt;=G16),"Alcançado",IF(AND(ISNUMBER(H16),ISNUMBER($D$8),H16&lt;$D$8),"Não alcançado",IF(IF(ISNUMBER(F16),F16,"")="","Em andamento",IF(IF(IF(K16="Maior","Maior é melhor","Menor é melhor")="Maior é melhor",H40&gt;IF(ISNUMBER(F16),F16,""),H40&lt;IF(ISNUMBER(F16),F16,"")),"No caminho","Em risco")))))</f>
        <v>Alcançado</v>
      </c>
      <c r="K40" s="14"/>
      <c r="L40" s="14"/>
    </row>
    <row r="41" customFormat="false" ht="21.75" hidden="false" customHeight="true" outlineLevel="0" collapsed="false">
      <c r="B41" s="8" t="s">
        <v>109</v>
      </c>
      <c r="C41" s="33" t="s">
        <v>282</v>
      </c>
      <c r="D41" s="35" t="s">
        <v>234</v>
      </c>
      <c r="E41" s="35" t="n">
        <v>4.33</v>
      </c>
      <c r="F41" s="35" t="n">
        <v>4.43</v>
      </c>
      <c r="G41" s="35" t="n">
        <v>4.53</v>
      </c>
      <c r="H41" s="23" t="n">
        <f aca="false">IF(COUNT(D41:G41)=0,"",LOOKUP(2,1/ISNUMBER(D41:G41),D41:G41))</f>
        <v>4.53</v>
      </c>
      <c r="I41" s="24" t="str">
        <f aca="false">IF(OR(H41="",IF(ISNUMBER(F17),F17,"")="",G17=""),"",IF(IF(IF(K17="Maior","Maior é melhor","Menor é melhor")="Maior é melhor",G17&lt;=IF(ISNUMBER(F17),F17,""),G17&gt;=IF(ISNUMBER(F17),F17,"")),IF(IF(IF(K17="Maior","Maior é melhor","Menor é melhor")="Maior é melhor",H41&gt;=G17,H41&lt;=G17),1,0),MAX(0,MIN(1,(H41-IF(ISNUMBER(F17),F17,""))/(G17-IF(ISNUMBER(F17),F17,""))))))</f>
        <v/>
      </c>
      <c r="J41" s="14" t="str">
        <f aca="false">IF(H41="","Sem resultado",IF(IF(IF(K17="Maior","Maior é melhor","Menor é melhor")="Maior é melhor",H41&gt;=G17,H41&lt;=G17),"Alcançado",IF(AND(ISNUMBER(H17),ISNUMBER($D$8),H17&lt;$D$8),"Não alcançado",IF(IF(ISNUMBER(F17),F17,"")="","Em andamento",IF(IF(IF(K17="Maior","Maior é melhor","Menor é melhor")="Maior é melhor",H41&gt;IF(ISNUMBER(F17),F17,""),H41&lt;IF(ISNUMBER(F17),F17,"")),"No caminho","Em risco")))))</f>
        <v>Alcançado</v>
      </c>
      <c r="K41" s="14"/>
      <c r="L41" s="14"/>
    </row>
    <row r="42" customFormat="false" ht="21.75" hidden="false" customHeight="true" outlineLevel="0" collapsed="false">
      <c r="B42" s="8" t="s">
        <v>110</v>
      </c>
      <c r="C42" s="33" t="s">
        <v>283</v>
      </c>
      <c r="D42" s="35" t="n">
        <v>1.6</v>
      </c>
      <c r="E42" s="35" t="n">
        <v>1.5</v>
      </c>
      <c r="F42" s="35" t="n">
        <v>1.4</v>
      </c>
      <c r="G42" s="35" t="n">
        <v>1.3</v>
      </c>
      <c r="H42" s="23" t="n">
        <f aca="false">IF(COUNT(D42:G42)=0,"",LOOKUP(2,1/ISNUMBER(D42:G42),D42:G42))</f>
        <v>1.3</v>
      </c>
      <c r="I42" s="24" t="n">
        <f aca="false">IF(OR(H42="",IF(ISNUMBER(F18),F18,"")="",G18=""),"",IF(IF(IF(K18="Maior","Maior é melhor","Menor é melhor")="Maior é melhor",G18&lt;=IF(ISNUMBER(F18),F18,""),G18&gt;=IF(ISNUMBER(F18),F18,"")),IF(IF(IF(K18="Maior","Maior é melhor","Menor é melhor")="Maior é melhor",H42&gt;=G18,H42&lt;=G18),1,0),MAX(0,MIN(1,(H42-IF(ISNUMBER(F18),F18,""))/(G18-IF(ISNUMBER(F18),F18,""))))))</f>
        <v>1</v>
      </c>
      <c r="J42" s="14" t="str">
        <f aca="false">IF(H42="","Sem resultado",IF(IF(IF(K18="Maior","Maior é melhor","Menor é melhor")="Maior é melhor",H42&gt;=G18,H42&lt;=G18),"Alcançado",IF(AND(ISNUMBER(H18),ISNUMBER($D$8),H18&lt;$D$8),"Não alcançado",IF(IF(ISNUMBER(F18),F18,"")="","Em andamento",IF(IF(IF(K18="Maior","Maior é melhor","Menor é melhor")="Maior é melhor",H42&gt;IF(ISNUMBER(F18),F18,""),H42&lt;IF(ISNUMBER(F18),F18,"")),"No caminho","Em risco")))))</f>
        <v>Alcançado</v>
      </c>
      <c r="K42" s="14"/>
      <c r="L42" s="14"/>
    </row>
    <row r="43" customFormat="false" ht="21.75" hidden="false" customHeight="true" outlineLevel="0" collapsed="false">
      <c r="B43" s="8" t="s">
        <v>111</v>
      </c>
      <c r="C43" s="33" t="s">
        <v>284</v>
      </c>
      <c r="D43" s="35" t="n">
        <v>5</v>
      </c>
      <c r="E43" s="35" t="n">
        <v>7</v>
      </c>
      <c r="F43" s="35" t="n">
        <v>9</v>
      </c>
      <c r="G43" s="35" t="n">
        <v>9</v>
      </c>
      <c r="H43" s="23" t="n">
        <f aca="false">IF(COUNT(D43:G43)=0,"",LOOKUP(2,1/ISNUMBER(D43:G43),D43:G43))</f>
        <v>9</v>
      </c>
      <c r="I43" s="24" t="n">
        <f aca="false">IF(OR(H43="",IF(ISNUMBER(F19),F19,"")="",G19=""),"",IF(IF(IF(K19="Maior","Maior é melhor","Menor é melhor")="Maior é melhor",G19&lt;=IF(ISNUMBER(F19),F19,""),G19&gt;=IF(ISNUMBER(F19),F19,"")),IF(IF(IF(K19="Maior","Maior é melhor","Menor é melhor")="Maior é melhor",H43&gt;=G19,H43&lt;=G19),1,0),MAX(0,MIN(1,(H43-IF(ISNUMBER(F19),F19,""))/(G19-IF(ISNUMBER(F19),F19,""))))))</f>
        <v>1</v>
      </c>
      <c r="J43" s="14" t="str">
        <f aca="false">IF(H43="","Sem resultado",IF(IF(IF(K19="Maior","Maior é melhor","Menor é melhor")="Maior é melhor",H43&gt;=G19,H43&lt;=G19),"Alcançado",IF(AND(ISNUMBER(H19),ISNUMBER($D$8),H19&lt;$D$8),"Não alcançado",IF(IF(ISNUMBER(F19),F19,"")="","Em andamento",IF(IF(IF(K19="Maior","Maior é melhor","Menor é melhor")="Maior é melhor",H43&gt;IF(ISNUMBER(F19),F19,""),H43&lt;IF(ISNUMBER(F19),F19,"")),"No caminho","Em risco")))))</f>
        <v>Alcançado</v>
      </c>
      <c r="K43" s="14"/>
      <c r="L43" s="14"/>
    </row>
    <row r="44" customFormat="false" ht="21.75" hidden="false" customHeight="true" outlineLevel="0" collapsed="false">
      <c r="B44" s="8" t="s">
        <v>112</v>
      </c>
      <c r="C44" s="33" t="s">
        <v>285</v>
      </c>
      <c r="D44" s="35" t="n">
        <v>3.9</v>
      </c>
      <c r="E44" s="35" t="n">
        <v>4</v>
      </c>
      <c r="F44" s="35" t="n">
        <v>3.8</v>
      </c>
      <c r="G44" s="35" t="n">
        <v>3.9</v>
      </c>
      <c r="H44" s="23" t="n">
        <f aca="false">IF(COUNT(D44:G44)=0,"",LOOKUP(2,1/ISNUMBER(D44:G44),D44:G44))</f>
        <v>3.9</v>
      </c>
      <c r="I44" s="24" t="n">
        <f aca="false">IF(OR(H44="",IF(ISNUMBER(F20),F20,"")="",G20=""),"",IF(IF(IF(K20="Maior","Maior é melhor","Menor é melhor")="Maior é melhor",G20&lt;=IF(ISNUMBER(F20),F20,""),G20&gt;=IF(ISNUMBER(F20),F20,"")),IF(IF(IF(K20="Maior","Maior é melhor","Menor é melhor")="Maior é melhor",H44&gt;=G20,H44&lt;=G20),1,0),MAX(0,MIN(1,(H44-IF(ISNUMBER(F20),F20,""))/(G20-IF(ISNUMBER(F20),F20,""))))))</f>
        <v>-0</v>
      </c>
      <c r="J44" s="14" t="str">
        <f aca="false">IF(H44="","Sem resultado",IF(IF(IF(K20="Maior","Maior é melhor","Menor é melhor")="Maior é melhor",H44&gt;=G20,H44&lt;=G20),"Alcançado",IF(AND(ISNUMBER(H20),ISNUMBER($D$8),H20&lt;$D$8),"Não alcançado",IF(IF(ISNUMBER(F20),F20,"")="","Em andamento",IF(IF(IF(K20="Maior","Maior é melhor","Menor é melhor")="Maior é melhor",H44&gt;IF(ISNUMBER(F20),F20,""),H44&lt;IF(ISNUMBER(F20),F20,"")),"No caminho","Em risco")))))</f>
        <v>Em risco</v>
      </c>
      <c r="K44" s="14"/>
      <c r="L44" s="14"/>
    </row>
    <row r="45" customFormat="false" ht="21.75" hidden="false" customHeight="true" outlineLevel="0" collapsed="false">
      <c r="B45" s="8" t="s">
        <v>113</v>
      </c>
      <c r="C45" s="33" t="s">
        <v>286</v>
      </c>
      <c r="D45" s="35" t="s">
        <v>234</v>
      </c>
      <c r="E45" s="35" t="n">
        <v>60</v>
      </c>
      <c r="F45" s="35" t="n">
        <v>68</v>
      </c>
      <c r="G45" s="35" t="n">
        <v>75</v>
      </c>
      <c r="H45" s="23" t="n">
        <f aca="false">IF(COUNT(D45:G45)=0,"",LOOKUP(2,1/ISNUMBER(D45:G45),D45:G45))</f>
        <v>75</v>
      </c>
      <c r="I45" s="24" t="n">
        <f aca="false">IF(OR(H45="",IF(ISNUMBER(F21),F21,"")="",G21=""),"",IF(IF(IF(K21="Maior","Maior é melhor","Menor é melhor")="Maior é melhor",G21&lt;=IF(ISNUMBER(F21),F21,""),G21&gt;=IF(ISNUMBER(F21),F21,"")),IF(IF(IF(K21="Maior","Maior é melhor","Menor é melhor")="Maior é melhor",H45&gt;=G21,H45&lt;=G21),1,0),MAX(0,MIN(1,(H45-IF(ISNUMBER(F21),F21,""))/(G21-IF(ISNUMBER(F21),F21,""))))))</f>
        <v>0.375</v>
      </c>
      <c r="J45" s="14" t="str">
        <f aca="false">IF(H45="","Sem resultado",IF(IF(IF(K21="Maior","Maior é melhor","Menor é melhor")="Maior é melhor",H45&gt;=G21,H45&lt;=G21),"Alcançado",IF(AND(ISNUMBER(H21),ISNUMBER($D$8),H21&lt;$D$8),"Não alcançado",IF(IF(ISNUMBER(F21),F21,"")="","Em andamento",IF(IF(IF(K21="Maior","Maior é melhor","Menor é melhor")="Maior é melhor",H45&gt;IF(ISNUMBER(F21),F21,""),H45&lt;IF(ISNUMBER(F21),F21,"")),"No caminho","Em risco")))))</f>
        <v>No caminho</v>
      </c>
      <c r="K45" s="14"/>
      <c r="L45" s="14"/>
    </row>
    <row r="47" customFormat="false" ht="21.75" hidden="false" customHeight="true" outlineLevel="0" collapsed="false">
      <c r="B47" s="15" t="s">
        <v>119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customFormat="false" ht="21.75" hidden="false" customHeight="true" outlineLevel="0" collapsed="false">
      <c r="B48" s="16" t="s">
        <v>46</v>
      </c>
      <c r="C48" s="16"/>
      <c r="D48" s="16"/>
      <c r="E48" s="16"/>
      <c r="F48" s="17" t="n">
        <f aca="false">COUNTA(C15:C21)</f>
        <v>7</v>
      </c>
      <c r="G48" s="17"/>
      <c r="H48" s="17"/>
      <c r="I48" s="17"/>
      <c r="J48" s="17"/>
      <c r="K48" s="17"/>
      <c r="L48" s="17"/>
    </row>
    <row r="49" customFormat="false" ht="21.75" hidden="false" customHeight="true" outlineLevel="0" collapsed="false">
      <c r="B49" s="16" t="s">
        <v>169</v>
      </c>
      <c r="C49" s="16"/>
      <c r="D49" s="16"/>
      <c r="E49" s="16"/>
      <c r="F49" s="17" t="str">
        <f aca="false">COUNTIF(J39:J45,"Alcançado")&amp;" alcançados, "&amp;COUNTIF(J39:J45,"No caminho")&amp;" no caminho, "&amp;COUNTIF(J39:J45,"Em risco")&amp;" em risco"</f>
        <v>4 alcançados, 1 no caminho, 2 em risco</v>
      </c>
      <c r="G49" s="17"/>
      <c r="H49" s="17"/>
      <c r="I49" s="17"/>
      <c r="J49" s="17"/>
      <c r="K49" s="17"/>
      <c r="L49" s="17"/>
    </row>
    <row r="50" customFormat="false" ht="21.75" hidden="false" customHeight="true" outlineLevel="0" collapsed="false">
      <c r="B50" s="16" t="s">
        <v>287</v>
      </c>
      <c r="C50" s="16"/>
      <c r="D50" s="16"/>
      <c r="E50" s="16"/>
      <c r="F50" s="17" t="str">
        <f aca="false">COUNTA(C25:C35)&amp;" escritas, "&amp;COUNTIF(H25:H35,"Concluída")&amp;" concluídas, "&amp;COUNTIF(H25:H35,"Atrasada")&amp;" atrasadas"</f>
        <v>11 escritas, 6 concluídas, 1 atrasadas</v>
      </c>
      <c r="G50" s="17"/>
      <c r="H50" s="17"/>
      <c r="I50" s="17"/>
      <c r="J50" s="17"/>
      <c r="K50" s="17"/>
      <c r="L50" s="17"/>
    </row>
    <row r="51" customFormat="false" ht="21.75" hidden="false" customHeight="true" outlineLevel="0" collapsed="false">
      <c r="B51" s="16" t="s">
        <v>181</v>
      </c>
      <c r="C51" s="16"/>
      <c r="D51" s="16"/>
      <c r="E51" s="16"/>
      <c r="F51" s="41" t="n">
        <f aca="false">AVERAGE(I39:I45)</f>
        <v>0.5625</v>
      </c>
      <c r="G51" s="41"/>
      <c r="H51" s="41"/>
      <c r="I51" s="41"/>
      <c r="J51" s="41"/>
      <c r="K51" s="41"/>
      <c r="L51" s="41"/>
    </row>
  </sheetData>
  <mergeCells count="74">
    <mergeCell ref="B1:L1"/>
    <mergeCell ref="B2:L2"/>
    <mergeCell ref="B4:C4"/>
    <mergeCell ref="D4:L4"/>
    <mergeCell ref="B5:C5"/>
    <mergeCell ref="D5:L5"/>
    <mergeCell ref="B6:C6"/>
    <mergeCell ref="D6:L6"/>
    <mergeCell ref="B7:C7"/>
    <mergeCell ref="D7:L7"/>
    <mergeCell ref="B8:C8"/>
    <mergeCell ref="D8:L8"/>
    <mergeCell ref="B9:C9"/>
    <mergeCell ref="D9:L9"/>
    <mergeCell ref="B10:C10"/>
    <mergeCell ref="D10:L10"/>
    <mergeCell ref="B11:C11"/>
    <mergeCell ref="D11:L11"/>
    <mergeCell ref="B13:L13"/>
    <mergeCell ref="B23:L23"/>
    <mergeCell ref="D24:E24"/>
    <mergeCell ref="F24:G24"/>
    <mergeCell ref="K24:L24"/>
    <mergeCell ref="D25:E25"/>
    <mergeCell ref="F25:G25"/>
    <mergeCell ref="K25:L25"/>
    <mergeCell ref="D26:E26"/>
    <mergeCell ref="F26:G26"/>
    <mergeCell ref="K26:L26"/>
    <mergeCell ref="D27:E27"/>
    <mergeCell ref="F27:G27"/>
    <mergeCell ref="K27:L27"/>
    <mergeCell ref="D28:E28"/>
    <mergeCell ref="F28:G28"/>
    <mergeCell ref="K28:L28"/>
    <mergeCell ref="D29:E29"/>
    <mergeCell ref="F29:G29"/>
    <mergeCell ref="K29:L29"/>
    <mergeCell ref="D30:E30"/>
    <mergeCell ref="F30:G30"/>
    <mergeCell ref="K30:L30"/>
    <mergeCell ref="D31:E31"/>
    <mergeCell ref="F31:G31"/>
    <mergeCell ref="K31:L31"/>
    <mergeCell ref="D32:E32"/>
    <mergeCell ref="F32:G32"/>
    <mergeCell ref="K32:L32"/>
    <mergeCell ref="D33:E33"/>
    <mergeCell ref="F33:G33"/>
    <mergeCell ref="K33:L33"/>
    <mergeCell ref="D34:E34"/>
    <mergeCell ref="F34:G34"/>
    <mergeCell ref="K34:L34"/>
    <mergeCell ref="D35:E35"/>
    <mergeCell ref="F35:G35"/>
    <mergeCell ref="K35:L35"/>
    <mergeCell ref="B37:L37"/>
    <mergeCell ref="J38:L38"/>
    <mergeCell ref="J39:L39"/>
    <mergeCell ref="J40:L40"/>
    <mergeCell ref="J41:L41"/>
    <mergeCell ref="J42:L42"/>
    <mergeCell ref="J43:L43"/>
    <mergeCell ref="J44:L44"/>
    <mergeCell ref="J45:L45"/>
    <mergeCell ref="B47:L47"/>
    <mergeCell ref="B48:E48"/>
    <mergeCell ref="F48:L48"/>
    <mergeCell ref="B49:E49"/>
    <mergeCell ref="F49:L49"/>
    <mergeCell ref="B50:E50"/>
    <mergeCell ref="F50:L50"/>
    <mergeCell ref="B51:E51"/>
    <mergeCell ref="F51:L51"/>
  </mergeCells>
  <conditionalFormatting sqref="H25:H35">
    <cfRule type="expression" priority="2" aboveAverage="0" equalAverage="0" bottom="0" percent="0" rank="0" text="" dxfId="0">
      <formula>H25="Concluída"</formula>
    </cfRule>
    <cfRule type="expression" priority="3" aboveAverage="0" equalAverage="0" bottom="0" percent="0" rank="0" text="" dxfId="6">
      <formula>H25="Atrasada"</formula>
    </cfRule>
    <cfRule type="expression" priority="4" aboveAverage="0" equalAverage="0" bottom="0" percent="0" rank="0" text="" dxfId="2">
      <formula>H25="Em andamento"</formula>
    </cfRule>
    <cfRule type="expression" priority="5" aboveAverage="0" equalAverage="0" bottom="0" percent="0" rank="0" text="" dxfId="1">
      <formula>H25="Não iniciada"</formula>
    </cfRule>
  </conditionalFormatting>
  <conditionalFormatting sqref="J39:L45">
    <cfRule type="expression" priority="6" aboveAverage="0" equalAverage="0" bottom="0" percent="0" rank="0" text="" dxfId="2">
      <formula>J39="Alcançado"</formula>
    </cfRule>
    <cfRule type="expression" priority="7" aboveAverage="0" equalAverage="0" bottom="0" percent="0" rank="0" text="" dxfId="4">
      <formula>J39="No caminho"</formula>
    </cfRule>
    <cfRule type="expression" priority="8" aboveAverage="0" equalAverage="0" bottom="0" percent="0" rank="0" text="" dxfId="5">
      <formula>J39="Em risco"</formula>
    </cfRule>
    <cfRule type="expression" priority="9" aboveAverage="0" equalAverage="0" bottom="0" percent="0" rank="0" text="" dxfId="5">
      <formula>J39="Não alcançado"</formula>
    </cfRule>
    <cfRule type="expression" priority="10" aboveAverage="0" equalAverage="0" bottom="0" percent="0" rank="0" text="" dxfId="3">
      <formula>J39="Em andamento"</formula>
    </cfRule>
    <cfRule type="expression" priority="11" aboveAverage="0" equalAverage="0" bottom="0" percent="0" rank="0" text="" dxfId="3">
      <formula>J39="Sem resultado"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2" man="true" max="16383" min="0"/>
    <brk id="36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213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214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B4" s="4" t="s">
        <v>215</v>
      </c>
      <c r="C4" s="4"/>
      <c r="D4" s="30" t="s">
        <v>288</v>
      </c>
      <c r="E4" s="30"/>
      <c r="F4" s="30"/>
      <c r="G4" s="30"/>
      <c r="H4" s="30"/>
      <c r="I4" s="30"/>
      <c r="J4" s="30"/>
      <c r="K4" s="30"/>
      <c r="L4" s="30"/>
    </row>
    <row r="5" customFormat="false" ht="19.5" hidden="false" customHeight="true" outlineLevel="0" collapsed="false">
      <c r="B5" s="4" t="s">
        <v>217</v>
      </c>
      <c r="C5" s="4"/>
      <c r="D5" s="30" t="s">
        <v>289</v>
      </c>
      <c r="E5" s="30"/>
      <c r="F5" s="30"/>
      <c r="G5" s="30"/>
      <c r="H5" s="30"/>
      <c r="I5" s="30"/>
      <c r="J5" s="30"/>
      <c r="K5" s="30"/>
      <c r="L5" s="30"/>
    </row>
    <row r="6" customFormat="false" ht="30.75" hidden="false" customHeight="true" outlineLevel="0" collapsed="false">
      <c r="B6" s="4" t="s">
        <v>72</v>
      </c>
      <c r="C6" s="4"/>
      <c r="D6" s="30" t="s">
        <v>290</v>
      </c>
      <c r="E6" s="30"/>
      <c r="F6" s="30"/>
      <c r="G6" s="30"/>
      <c r="H6" s="30"/>
      <c r="I6" s="30"/>
      <c r="J6" s="30"/>
      <c r="K6" s="30"/>
      <c r="L6" s="30"/>
    </row>
    <row r="7" customFormat="false" ht="19.5" hidden="false" customHeight="true" outlineLevel="0" collapsed="false">
      <c r="B7" s="4" t="s">
        <v>84</v>
      </c>
      <c r="C7" s="4"/>
      <c r="D7" s="30" t="s">
        <v>291</v>
      </c>
      <c r="E7" s="30"/>
      <c r="F7" s="30"/>
      <c r="G7" s="30"/>
      <c r="H7" s="30"/>
      <c r="I7" s="30"/>
      <c r="J7" s="30"/>
      <c r="K7" s="30"/>
      <c r="L7" s="30"/>
    </row>
    <row r="8" customFormat="false" ht="19.5" hidden="false" customHeight="true" outlineLevel="0" collapsed="false">
      <c r="B8" s="4" t="s">
        <v>151</v>
      </c>
      <c r="C8" s="4"/>
      <c r="D8" s="31" t="n">
        <v>46577</v>
      </c>
      <c r="E8" s="31"/>
      <c r="F8" s="31"/>
      <c r="G8" s="31"/>
      <c r="H8" s="31"/>
      <c r="I8" s="31"/>
      <c r="J8" s="31"/>
      <c r="K8" s="31"/>
      <c r="L8" s="31"/>
    </row>
    <row r="9" customFormat="false" ht="19.5" hidden="false" customHeight="true" outlineLevel="0" collapsed="false">
      <c r="B9" s="16" t="s">
        <v>73</v>
      </c>
      <c r="C9" s="16"/>
      <c r="D9" s="7" t="s">
        <v>292</v>
      </c>
      <c r="E9" s="7"/>
      <c r="F9" s="7"/>
      <c r="G9" s="7"/>
      <c r="H9" s="7"/>
      <c r="I9" s="7"/>
      <c r="J9" s="7"/>
      <c r="K9" s="7"/>
      <c r="L9" s="7"/>
    </row>
    <row r="10" customFormat="false" ht="19.5" hidden="false" customHeight="true" outlineLevel="0" collapsed="false">
      <c r="B10" s="16" t="s">
        <v>75</v>
      </c>
      <c r="C10" s="16"/>
      <c r="D10" s="7" t="s">
        <v>293</v>
      </c>
      <c r="E10" s="7"/>
      <c r="F10" s="7"/>
      <c r="G10" s="7"/>
      <c r="H10" s="7"/>
      <c r="I10" s="7"/>
      <c r="J10" s="7"/>
      <c r="K10" s="7"/>
      <c r="L10" s="7"/>
    </row>
    <row r="11" customFormat="false" ht="19.5" hidden="false" customHeight="true" outlineLevel="0" collapsed="false">
      <c r="B11" s="16" t="s">
        <v>77</v>
      </c>
      <c r="C11" s="16"/>
      <c r="D11" s="7" t="s">
        <v>294</v>
      </c>
      <c r="E11" s="7"/>
      <c r="F11" s="7"/>
      <c r="G11" s="7"/>
      <c r="H11" s="7"/>
      <c r="I11" s="7"/>
      <c r="J11" s="7"/>
      <c r="K11" s="7"/>
      <c r="L11" s="7"/>
    </row>
    <row r="13" customFormat="false" ht="21.75" hidden="false" customHeight="true" outlineLevel="0" collapsed="false">
      <c r="B13" s="32" t="s">
        <v>224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</row>
    <row r="14" customFormat="false" ht="30" hidden="false" customHeight="true" outlineLevel="0" collapsed="false">
      <c r="B14" s="26" t="s">
        <v>81</v>
      </c>
      <c r="C14" s="26" t="s">
        <v>82</v>
      </c>
      <c r="D14" s="26" t="s">
        <v>83</v>
      </c>
      <c r="E14" s="26" t="s">
        <v>84</v>
      </c>
      <c r="F14" s="26" t="s">
        <v>88</v>
      </c>
      <c r="G14" s="26" t="s">
        <v>89</v>
      </c>
      <c r="H14" s="26" t="s">
        <v>90</v>
      </c>
      <c r="I14" s="26" t="s">
        <v>85</v>
      </c>
      <c r="J14" s="26" t="s">
        <v>92</v>
      </c>
      <c r="K14" s="26" t="s">
        <v>87</v>
      </c>
      <c r="L14" s="26" t="s">
        <v>94</v>
      </c>
    </row>
    <row r="15" customFormat="false" ht="30.75" hidden="false" customHeight="true" outlineLevel="0" collapsed="false">
      <c r="B15" s="8" t="s">
        <v>107</v>
      </c>
      <c r="C15" s="33" t="s">
        <v>295</v>
      </c>
      <c r="D15" s="34" t="s">
        <v>77</v>
      </c>
      <c r="E15" s="7" t="s">
        <v>229</v>
      </c>
      <c r="F15" s="35" t="n">
        <v>2.6</v>
      </c>
      <c r="G15" s="35" t="n">
        <v>2</v>
      </c>
      <c r="H15" s="36" t="n">
        <v>46752</v>
      </c>
      <c r="I15" s="7" t="s">
        <v>296</v>
      </c>
      <c r="J15" s="7" t="s">
        <v>297</v>
      </c>
      <c r="K15" s="34" t="s">
        <v>232</v>
      </c>
      <c r="L15" s="14" t="str">
        <f aca="false">IF(ISNUMBER(F15)=FALSE(),"Sem base",IF(IF(K15="Maior",G15&gt;F15,G15&lt;F15),"Melhorar","Manter"))</f>
        <v>Melhorar</v>
      </c>
    </row>
    <row r="16" customFormat="false" ht="42.75" hidden="false" customHeight="true" outlineLevel="0" collapsed="false">
      <c r="B16" s="8" t="s">
        <v>108</v>
      </c>
      <c r="C16" s="33" t="s">
        <v>298</v>
      </c>
      <c r="D16" s="34" t="s">
        <v>75</v>
      </c>
      <c r="E16" s="7" t="s">
        <v>246</v>
      </c>
      <c r="F16" s="35" t="n">
        <v>62</v>
      </c>
      <c r="G16" s="35" t="n">
        <v>50</v>
      </c>
      <c r="H16" s="36" t="n">
        <v>46568</v>
      </c>
      <c r="I16" s="7" t="s">
        <v>299</v>
      </c>
      <c r="J16" s="7" t="s">
        <v>300</v>
      </c>
      <c r="K16" s="34" t="s">
        <v>232</v>
      </c>
      <c r="L16" s="14" t="str">
        <f aca="false">IF(ISNUMBER(F16)=FALSE(),"Sem base",IF(IF(K16="Maior",G16&gt;F16,G16&lt;F16),"Melhorar","Manter"))</f>
        <v>Melhorar</v>
      </c>
    </row>
    <row r="17" customFormat="false" ht="42.75" hidden="false" customHeight="true" outlineLevel="0" collapsed="false">
      <c r="B17" s="8" t="s">
        <v>109</v>
      </c>
      <c r="C17" s="33" t="s">
        <v>301</v>
      </c>
      <c r="D17" s="34" t="s">
        <v>73</v>
      </c>
      <c r="E17" s="7" t="s">
        <v>302</v>
      </c>
      <c r="F17" s="35" t="n">
        <v>97</v>
      </c>
      <c r="G17" s="35" t="n">
        <v>96</v>
      </c>
      <c r="H17" s="36" t="n">
        <v>46752</v>
      </c>
      <c r="I17" s="7" t="s">
        <v>303</v>
      </c>
      <c r="J17" s="7" t="s">
        <v>142</v>
      </c>
      <c r="K17" s="34" t="s">
        <v>227</v>
      </c>
      <c r="L17" s="14" t="str">
        <f aca="false">IF(ISNUMBER(F17)=FALSE(),"Sem base",IF(IF(K17="Maior",G17&gt;F17,G17&lt;F17),"Melhorar","Manter"))</f>
        <v>Manter</v>
      </c>
    </row>
    <row r="18" customFormat="false" ht="30.75" hidden="false" customHeight="true" outlineLevel="0" collapsed="false">
      <c r="B18" s="8" t="s">
        <v>110</v>
      </c>
      <c r="C18" s="33" t="s">
        <v>304</v>
      </c>
      <c r="D18" s="34" t="s">
        <v>75</v>
      </c>
      <c r="E18" s="7" t="s">
        <v>225</v>
      </c>
      <c r="F18" s="35" t="n">
        <v>0</v>
      </c>
      <c r="G18" s="35" t="n">
        <v>6</v>
      </c>
      <c r="H18" s="36" t="n">
        <v>46738</v>
      </c>
      <c r="I18" s="7" t="s">
        <v>305</v>
      </c>
      <c r="J18" s="7" t="s">
        <v>306</v>
      </c>
      <c r="K18" s="34" t="s">
        <v>227</v>
      </c>
      <c r="L18" s="14" t="str">
        <f aca="false">IF(ISNUMBER(F18)=FALSE(),"Sem base",IF(IF(K18="Maior",G18&gt;F18,G18&lt;F18),"Melhorar","Manter"))</f>
        <v>Melhorar</v>
      </c>
    </row>
    <row r="19" customFormat="false" ht="30.75" hidden="false" customHeight="true" outlineLevel="0" collapsed="false">
      <c r="B19" s="8" t="s">
        <v>111</v>
      </c>
      <c r="C19" s="33" t="s">
        <v>307</v>
      </c>
      <c r="D19" s="34" t="s">
        <v>77</v>
      </c>
      <c r="E19" s="7" t="s">
        <v>246</v>
      </c>
      <c r="F19" s="35" t="n">
        <v>0</v>
      </c>
      <c r="G19" s="35" t="n">
        <v>4</v>
      </c>
      <c r="H19" s="36" t="n">
        <v>46660</v>
      </c>
      <c r="I19" s="7" t="s">
        <v>308</v>
      </c>
      <c r="J19" s="7" t="s">
        <v>309</v>
      </c>
      <c r="K19" s="34" t="s">
        <v>227</v>
      </c>
      <c r="L19" s="14" t="str">
        <f aca="false">IF(ISNUMBER(F19)=FALSE(),"Sem base",IF(IF(K19="Maior",G19&gt;F19,G19&lt;F19),"Melhorar","Manter"))</f>
        <v>Melhorar</v>
      </c>
    </row>
    <row r="20" customFormat="false" ht="30.75" hidden="false" customHeight="true" outlineLevel="0" collapsed="false">
      <c r="B20" s="8" t="s">
        <v>112</v>
      </c>
      <c r="C20" s="33" t="s">
        <v>310</v>
      </c>
      <c r="D20" s="34" t="s">
        <v>77</v>
      </c>
      <c r="E20" s="7" t="s">
        <v>229</v>
      </c>
      <c r="F20" s="35" t="n">
        <v>74</v>
      </c>
      <c r="G20" s="35" t="n">
        <v>60</v>
      </c>
      <c r="H20" s="36" t="n">
        <v>46568</v>
      </c>
      <c r="I20" s="7" t="s">
        <v>311</v>
      </c>
      <c r="J20" s="7" t="s">
        <v>306</v>
      </c>
      <c r="K20" s="34" t="s">
        <v>232</v>
      </c>
      <c r="L20" s="14" t="str">
        <f aca="false">IF(ISNUMBER(F20)=FALSE(),"Sem base",IF(IF(K20="Maior",G20&gt;F20,G20&lt;F20),"Melhorar","Manter"))</f>
        <v>Melhorar</v>
      </c>
    </row>
    <row r="21" customFormat="false" ht="42.75" hidden="false" customHeight="true" outlineLevel="0" collapsed="false">
      <c r="B21" s="8" t="s">
        <v>113</v>
      </c>
      <c r="C21" s="33" t="s">
        <v>312</v>
      </c>
      <c r="D21" s="34" t="s">
        <v>75</v>
      </c>
      <c r="E21" s="7" t="s">
        <v>313</v>
      </c>
      <c r="F21" s="35" t="n">
        <v>100</v>
      </c>
      <c r="G21" s="35" t="n">
        <v>100</v>
      </c>
      <c r="H21" s="36" t="n">
        <v>46752</v>
      </c>
      <c r="I21" s="7" t="s">
        <v>314</v>
      </c>
      <c r="J21" s="7" t="s">
        <v>315</v>
      </c>
      <c r="K21" s="34" t="s">
        <v>227</v>
      </c>
      <c r="L21" s="14" t="str">
        <f aca="false">IF(ISNUMBER(F21)=FALSE(),"Sem base",IF(IF(K21="Maior",G21&gt;F21,G21&lt;F21),"Melhorar","Manter"))</f>
        <v>Manter</v>
      </c>
    </row>
    <row r="23" customFormat="false" ht="21.75" hidden="false" customHeight="true" outlineLevel="0" collapsed="false">
      <c r="B23" s="37" t="s">
        <v>48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customFormat="false" ht="30" hidden="false" customHeight="true" outlineLevel="0" collapsed="false">
      <c r="B24" s="26" t="s">
        <v>248</v>
      </c>
      <c r="C24" s="26" t="s">
        <v>127</v>
      </c>
      <c r="D24" s="38" t="s">
        <v>128</v>
      </c>
      <c r="E24" s="38"/>
      <c r="F24" s="38" t="s">
        <v>129</v>
      </c>
      <c r="G24" s="38"/>
      <c r="H24" s="26" t="s">
        <v>190</v>
      </c>
      <c r="I24" s="26" t="s">
        <v>130</v>
      </c>
      <c r="J24" s="26" t="s">
        <v>92</v>
      </c>
      <c r="K24" s="38" t="s">
        <v>249</v>
      </c>
      <c r="L24" s="38"/>
    </row>
    <row r="25" customFormat="false" ht="30.75" hidden="false" customHeight="true" outlineLevel="0" collapsed="false">
      <c r="B25" s="8" t="s">
        <v>107</v>
      </c>
      <c r="C25" s="7" t="s">
        <v>316</v>
      </c>
      <c r="D25" s="7" t="s">
        <v>317</v>
      </c>
      <c r="E25" s="7"/>
      <c r="F25" s="36" t="n">
        <v>46568</v>
      </c>
      <c r="G25" s="36"/>
      <c r="H25" s="14" t="str">
        <f aca="false">IF(AND(OR(I25="Não iniciada",I25="Em andamento"),F25&lt;$D$8),"Atrasada",I25)</f>
        <v>Atrasada</v>
      </c>
      <c r="I25" s="39" t="s">
        <v>24</v>
      </c>
      <c r="J25" s="7" t="s">
        <v>309</v>
      </c>
      <c r="K25" s="7" t="s">
        <v>318</v>
      </c>
      <c r="L25" s="7"/>
    </row>
    <row r="26" customFormat="false" ht="30.75" hidden="false" customHeight="true" outlineLevel="0" collapsed="false">
      <c r="B26" s="8" t="s">
        <v>107</v>
      </c>
      <c r="C26" s="7" t="s">
        <v>319</v>
      </c>
      <c r="D26" s="7" t="s">
        <v>320</v>
      </c>
      <c r="E26" s="7"/>
      <c r="F26" s="36" t="n">
        <v>46752</v>
      </c>
      <c r="G26" s="36"/>
      <c r="H26" s="14" t="str">
        <f aca="false">IF(AND(OR(I26="Não iniciada",I26="Em andamento"),F26&lt;$D$8),"Atrasada",I26)</f>
        <v>Em andamento</v>
      </c>
      <c r="I26" s="39" t="s">
        <v>24</v>
      </c>
      <c r="J26" s="7" t="s">
        <v>297</v>
      </c>
      <c r="K26" s="7" t="s">
        <v>321</v>
      </c>
      <c r="L26" s="7"/>
    </row>
    <row r="27" customFormat="false" ht="30.75" hidden="false" customHeight="true" outlineLevel="0" collapsed="false">
      <c r="B27" s="8" t="s">
        <v>108</v>
      </c>
      <c r="C27" s="7" t="s">
        <v>322</v>
      </c>
      <c r="D27" s="7" t="s">
        <v>323</v>
      </c>
      <c r="E27" s="7"/>
      <c r="F27" s="36" t="n">
        <v>46465</v>
      </c>
      <c r="G27" s="36"/>
      <c r="H27" s="14" t="str">
        <f aca="false">IF(AND(OR(I27="Não iniciada",I27="Em andamento"),F27&lt;$D$8),"Atrasada",I27)</f>
        <v>Concluída</v>
      </c>
      <c r="I27" s="39" t="s">
        <v>143</v>
      </c>
      <c r="J27" s="7" t="s">
        <v>300</v>
      </c>
      <c r="K27" s="7" t="s">
        <v>324</v>
      </c>
      <c r="L27" s="7"/>
    </row>
    <row r="28" customFormat="false" ht="30.75" hidden="false" customHeight="true" outlineLevel="0" collapsed="false">
      <c r="B28" s="8" t="s">
        <v>108</v>
      </c>
      <c r="C28" s="7" t="s">
        <v>325</v>
      </c>
      <c r="D28" s="7" t="s">
        <v>326</v>
      </c>
      <c r="E28" s="7"/>
      <c r="F28" s="36" t="n">
        <v>46568</v>
      </c>
      <c r="G28" s="36"/>
      <c r="H28" s="14" t="str">
        <f aca="false">IF(AND(OR(I28="Não iniciada",I28="Em andamento"),F28&lt;$D$8),"Atrasada",I28)</f>
        <v>Atrasada</v>
      </c>
      <c r="I28" s="39" t="s">
        <v>24</v>
      </c>
      <c r="J28" s="7" t="s">
        <v>297</v>
      </c>
      <c r="K28" s="7" t="s">
        <v>327</v>
      </c>
      <c r="L28" s="7"/>
    </row>
    <row r="29" customFormat="false" ht="30.75" hidden="false" customHeight="true" outlineLevel="0" collapsed="false">
      <c r="B29" s="8" t="s">
        <v>109</v>
      </c>
      <c r="C29" s="7" t="s">
        <v>328</v>
      </c>
      <c r="D29" s="7" t="s">
        <v>234</v>
      </c>
      <c r="E29" s="7"/>
      <c r="F29" s="36" t="n">
        <v>46477</v>
      </c>
      <c r="G29" s="36"/>
      <c r="H29" s="14" t="str">
        <f aca="false">IF(AND(OR(I29="Não iniciada",I29="Em andamento"),F29&lt;$D$8),"Atrasada",I29)</f>
        <v>Concluída</v>
      </c>
      <c r="I29" s="39" t="s">
        <v>143</v>
      </c>
      <c r="J29" s="7" t="s">
        <v>300</v>
      </c>
      <c r="K29" s="7" t="s">
        <v>329</v>
      </c>
      <c r="L29" s="7"/>
    </row>
    <row r="30" customFormat="false" ht="30.75" hidden="false" customHeight="true" outlineLevel="0" collapsed="false">
      <c r="B30" s="8" t="s">
        <v>110</v>
      </c>
      <c r="C30" s="7" t="s">
        <v>330</v>
      </c>
      <c r="D30" s="7" t="s">
        <v>331</v>
      </c>
      <c r="E30" s="7"/>
      <c r="F30" s="36" t="n">
        <v>46507</v>
      </c>
      <c r="G30" s="36"/>
      <c r="H30" s="14" t="str">
        <f aca="false">IF(AND(OR(I30="Não iniciada",I30="Em andamento"),F30&lt;$D$8),"Atrasada",I30)</f>
        <v>Concluída</v>
      </c>
      <c r="I30" s="39" t="s">
        <v>143</v>
      </c>
      <c r="J30" s="7" t="s">
        <v>332</v>
      </c>
      <c r="K30" s="7" t="s">
        <v>333</v>
      </c>
      <c r="L30" s="7"/>
    </row>
    <row r="31" customFormat="false" ht="30.75" hidden="false" customHeight="true" outlineLevel="0" collapsed="false">
      <c r="B31" s="8" t="s">
        <v>110</v>
      </c>
      <c r="C31" s="7" t="s">
        <v>334</v>
      </c>
      <c r="D31" s="7" t="s">
        <v>335</v>
      </c>
      <c r="E31" s="7"/>
      <c r="F31" s="36" t="n">
        <v>46535</v>
      </c>
      <c r="G31" s="36"/>
      <c r="H31" s="14" t="str">
        <f aca="false">IF(AND(OR(I31="Não iniciada",I31="Em andamento"),F31&lt;$D$8),"Atrasada",I31)</f>
        <v>Concluída</v>
      </c>
      <c r="I31" s="39" t="s">
        <v>143</v>
      </c>
      <c r="J31" s="7" t="s">
        <v>336</v>
      </c>
      <c r="K31" s="7" t="s">
        <v>337</v>
      </c>
      <c r="L31" s="7"/>
    </row>
    <row r="32" customFormat="false" ht="30.75" hidden="false" customHeight="true" outlineLevel="0" collapsed="false">
      <c r="B32" s="8" t="s">
        <v>110</v>
      </c>
      <c r="C32" s="7" t="s">
        <v>338</v>
      </c>
      <c r="D32" s="7" t="s">
        <v>339</v>
      </c>
      <c r="E32" s="7"/>
      <c r="F32" s="36" t="n">
        <v>46630</v>
      </c>
      <c r="G32" s="36"/>
      <c r="H32" s="14" t="str">
        <f aca="false">IF(AND(OR(I32="Não iniciada",I32="Em andamento"),F32&lt;$D$8),"Atrasada",I32)</f>
        <v>Em andamento</v>
      </c>
      <c r="I32" s="39" t="s">
        <v>24</v>
      </c>
      <c r="J32" s="7" t="s">
        <v>306</v>
      </c>
      <c r="K32" s="7" t="s">
        <v>340</v>
      </c>
      <c r="L32" s="7"/>
    </row>
    <row r="33" customFormat="false" ht="30.75" hidden="false" customHeight="true" outlineLevel="0" collapsed="false">
      <c r="B33" s="8" t="s">
        <v>111</v>
      </c>
      <c r="C33" s="7" t="s">
        <v>341</v>
      </c>
      <c r="D33" s="7" t="s">
        <v>342</v>
      </c>
      <c r="E33" s="7"/>
      <c r="F33" s="36" t="n">
        <v>46477</v>
      </c>
      <c r="G33" s="36"/>
      <c r="H33" s="14" t="str">
        <f aca="false">IF(AND(OR(I33="Não iniciada",I33="Em andamento"),F33&lt;$D$8),"Atrasada",I33)</f>
        <v>Concluída</v>
      </c>
      <c r="I33" s="39" t="s">
        <v>143</v>
      </c>
      <c r="J33" s="7" t="s">
        <v>315</v>
      </c>
      <c r="K33" s="7" t="s">
        <v>343</v>
      </c>
      <c r="L33" s="7"/>
    </row>
    <row r="34" customFormat="false" ht="30.75" hidden="false" customHeight="true" outlineLevel="0" collapsed="false">
      <c r="B34" s="8" t="s">
        <v>111</v>
      </c>
      <c r="C34" s="7" t="s">
        <v>344</v>
      </c>
      <c r="D34" s="7" t="s">
        <v>345</v>
      </c>
      <c r="E34" s="7"/>
      <c r="F34" s="36" t="n">
        <v>46568</v>
      </c>
      <c r="G34" s="36"/>
      <c r="H34" s="14" t="str">
        <f aca="false">IF(AND(OR(I34="Não iniciada",I34="Em andamento"),F34&lt;$D$8),"Atrasada",I34)</f>
        <v>Concluída</v>
      </c>
      <c r="I34" s="39" t="s">
        <v>143</v>
      </c>
      <c r="J34" s="7" t="s">
        <v>309</v>
      </c>
      <c r="K34" s="7" t="s">
        <v>346</v>
      </c>
      <c r="L34" s="7"/>
    </row>
    <row r="35" customFormat="false" ht="30.75" hidden="false" customHeight="true" outlineLevel="0" collapsed="false">
      <c r="B35" s="8" t="s">
        <v>111</v>
      </c>
      <c r="C35" s="7" t="s">
        <v>347</v>
      </c>
      <c r="D35" s="7" t="s">
        <v>348</v>
      </c>
      <c r="E35" s="7"/>
      <c r="F35" s="36" t="n">
        <v>46660</v>
      </c>
      <c r="G35" s="36"/>
      <c r="H35" s="14" t="str">
        <f aca="false">IF(AND(OR(I35="Não iniciada",I35="Em andamento"),F35&lt;$D$8),"Atrasada",I35)</f>
        <v>Não iniciada</v>
      </c>
      <c r="I35" s="39" t="s">
        <v>272</v>
      </c>
      <c r="J35" s="7" t="s">
        <v>309</v>
      </c>
      <c r="K35" s="7" t="s">
        <v>349</v>
      </c>
      <c r="L35" s="7"/>
    </row>
    <row r="36" customFormat="false" ht="42.75" hidden="false" customHeight="true" outlineLevel="0" collapsed="false">
      <c r="B36" s="8" t="s">
        <v>112</v>
      </c>
      <c r="C36" s="7" t="s">
        <v>350</v>
      </c>
      <c r="D36" s="7" t="s">
        <v>234</v>
      </c>
      <c r="E36" s="7"/>
      <c r="F36" s="36" t="n">
        <v>46451</v>
      </c>
      <c r="G36" s="36"/>
      <c r="H36" s="14" t="str">
        <f aca="false">IF(AND(OR(I36="Não iniciada",I36="Em andamento"),F36&lt;$D$8),"Atrasada",I36)</f>
        <v>Concluída</v>
      </c>
      <c r="I36" s="39" t="s">
        <v>143</v>
      </c>
      <c r="J36" s="7" t="s">
        <v>306</v>
      </c>
      <c r="K36" s="7" t="s">
        <v>351</v>
      </c>
      <c r="L36" s="7"/>
    </row>
    <row r="37" customFormat="false" ht="30.75" hidden="false" customHeight="true" outlineLevel="0" collapsed="false">
      <c r="B37" s="8" t="s">
        <v>113</v>
      </c>
      <c r="C37" s="7" t="s">
        <v>352</v>
      </c>
      <c r="D37" s="7" t="s">
        <v>234</v>
      </c>
      <c r="E37" s="7"/>
      <c r="F37" s="36" t="n">
        <v>46598</v>
      </c>
      <c r="G37" s="36"/>
      <c r="H37" s="14" t="str">
        <f aca="false">IF(AND(OR(I37="Não iniciada",I37="Em andamento"),F37&lt;$D$8),"Atrasada",I37)</f>
        <v>Não iniciada</v>
      </c>
      <c r="I37" s="39" t="s">
        <v>272</v>
      </c>
      <c r="J37" s="7" t="s">
        <v>353</v>
      </c>
      <c r="K37" s="7" t="s">
        <v>354</v>
      </c>
      <c r="L37" s="7"/>
    </row>
    <row r="39" customFormat="false" ht="21.75" hidden="false" customHeight="true" outlineLevel="0" collapsed="false">
      <c r="B39" s="40" t="s">
        <v>50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30" hidden="false" customHeight="true" outlineLevel="0" collapsed="false">
      <c r="B40" s="26" t="s">
        <v>81</v>
      </c>
      <c r="C40" s="26" t="s">
        <v>85</v>
      </c>
      <c r="D40" s="26" t="s">
        <v>153</v>
      </c>
      <c r="E40" s="26" t="s">
        <v>154</v>
      </c>
      <c r="F40" s="26" t="s">
        <v>155</v>
      </c>
      <c r="G40" s="26" t="s">
        <v>156</v>
      </c>
      <c r="H40" s="26" t="s">
        <v>157</v>
      </c>
      <c r="I40" s="26" t="s">
        <v>158</v>
      </c>
      <c r="J40" s="26" t="s">
        <v>165</v>
      </c>
      <c r="K40" s="26" t="s">
        <v>166</v>
      </c>
      <c r="L40" s="26" t="s">
        <v>167</v>
      </c>
    </row>
    <row r="41" customFormat="false" ht="21.75" hidden="false" customHeight="true" outlineLevel="0" collapsed="false">
      <c r="B41" s="8" t="s">
        <v>107</v>
      </c>
      <c r="C41" s="33" t="s">
        <v>355</v>
      </c>
      <c r="D41" s="35" t="n">
        <v>2.5</v>
      </c>
      <c r="E41" s="35" t="n">
        <v>2.5</v>
      </c>
      <c r="F41" s="35" t="n">
        <v>2.4</v>
      </c>
      <c r="G41" s="35" t="n">
        <v>2.3</v>
      </c>
      <c r="H41" s="35" t="n">
        <v>2.2</v>
      </c>
      <c r="I41" s="35" t="n">
        <v>2.2</v>
      </c>
      <c r="J41" s="23" t="n">
        <f aca="false">IF(COUNT(D41:I41)=0,"",LOOKUP(2,1/ISNUMBER(D41:I41),D41:I41))</f>
        <v>2.2</v>
      </c>
      <c r="K41" s="24" t="n">
        <f aca="false">IF(OR(J41="",IF(ISNUMBER(F15),F15,"")="",G15=""),"",IF(IF(IF(K15="Maior","Maior é melhor","Menor é melhor")="Maior é melhor",G15&lt;=IF(ISNUMBER(F15),F15,""),G15&gt;=IF(ISNUMBER(F15),F15,"")),IF(IF(IF(K15="Maior","Maior é melhor","Menor é melhor")="Maior é melhor",J41&gt;=G15,J41&lt;=G15),1,0),MAX(0,MIN(1,(J41-IF(ISNUMBER(F15),F15,""))/(G15-IF(ISNUMBER(F15),F15,""))))))</f>
        <v>0.666666666666666</v>
      </c>
      <c r="L41" s="14" t="str">
        <f aca="false">IF(J41="","Sem resultado",IF(IF(IF(K15="Maior","Maior é melhor","Menor é melhor")="Maior é melhor",J41&gt;=G15,J41&lt;=G15),"Alcançado",IF(AND(ISNUMBER(H15),ISNUMBER($D$8),H15&lt;$D$8),"Não alcançado",IF(IF(ISNUMBER(F15),F15,"")="","Em andamento",IF(IF(IF(K15="Maior","Maior é melhor","Menor é melhor")="Maior é melhor",J41&gt;IF(ISNUMBER(F15),F15,""),J41&lt;IF(ISNUMBER(F15),F15,"")),"No caminho","Em risco")))))</f>
        <v>No caminho</v>
      </c>
    </row>
    <row r="42" customFormat="false" ht="21.75" hidden="false" customHeight="true" outlineLevel="0" collapsed="false">
      <c r="B42" s="8" t="s">
        <v>108</v>
      </c>
      <c r="C42" s="33" t="s">
        <v>356</v>
      </c>
      <c r="D42" s="35" t="n">
        <v>58</v>
      </c>
      <c r="E42" s="35" t="n">
        <v>55</v>
      </c>
      <c r="F42" s="35" t="n">
        <v>47</v>
      </c>
      <c r="G42" s="35" t="n">
        <v>44</v>
      </c>
      <c r="H42" s="35" t="n">
        <v>40</v>
      </c>
      <c r="I42" s="35" t="n">
        <v>38</v>
      </c>
      <c r="J42" s="23" t="n">
        <f aca="false">IF(COUNT(D42:I42)=0,"",LOOKUP(2,1/ISNUMBER(D42:I42),D42:I42))</f>
        <v>38</v>
      </c>
      <c r="K42" s="24" t="n">
        <f aca="false">IF(OR(J42="",IF(ISNUMBER(F16),F16,"")="",G16=""),"",IF(IF(IF(K16="Maior","Maior é melhor","Menor é melhor")="Maior é melhor",G16&lt;=IF(ISNUMBER(F16),F16,""),G16&gt;=IF(ISNUMBER(F16),F16,"")),IF(IF(IF(K16="Maior","Maior é melhor","Menor é melhor")="Maior é melhor",J42&gt;=G16,J42&lt;=G16),1,0),MAX(0,MIN(1,(J42-IF(ISNUMBER(F16),F16,""))/(G16-IF(ISNUMBER(F16),F16,""))))))</f>
        <v>1</v>
      </c>
      <c r="L42" s="14" t="str">
        <f aca="false">IF(J42="","Sem resultado",IF(IF(IF(K16="Maior","Maior é melhor","Menor é melhor")="Maior é melhor",J42&gt;=G16,J42&lt;=G16),"Alcançado",IF(AND(ISNUMBER(H16),ISNUMBER($D$8),H16&lt;$D$8),"Não alcançado",IF(IF(ISNUMBER(F16),F16,"")="","Em andamento",IF(IF(IF(K16="Maior","Maior é melhor","Menor é melhor")="Maior é melhor",J42&gt;IF(ISNUMBER(F16),F16,""),J42&lt;IF(ISNUMBER(F16),F16,"")),"No caminho","Em risco")))))</f>
        <v>Alcançado</v>
      </c>
    </row>
    <row r="43" customFormat="false" ht="21.75" hidden="false" customHeight="true" outlineLevel="0" collapsed="false">
      <c r="B43" s="8" t="s">
        <v>109</v>
      </c>
      <c r="C43" s="33" t="s">
        <v>357</v>
      </c>
      <c r="D43" s="35" t="n">
        <v>97</v>
      </c>
      <c r="E43" s="35" t="n">
        <v>96</v>
      </c>
      <c r="F43" s="35" t="n">
        <v>97</v>
      </c>
      <c r="G43" s="35" t="n">
        <v>97</v>
      </c>
      <c r="H43" s="35" t="n">
        <v>98</v>
      </c>
      <c r="I43" s="35" t="n">
        <v>97</v>
      </c>
      <c r="J43" s="23" t="n">
        <f aca="false">IF(COUNT(D43:I43)=0,"",LOOKUP(2,1/ISNUMBER(D43:I43),D43:I43))</f>
        <v>97</v>
      </c>
      <c r="K43" s="24" t="n">
        <f aca="false">IF(OR(J43="",IF(ISNUMBER(F17),F17,"")="",G17=""),"",IF(IF(IF(K17="Maior","Maior é melhor","Menor é melhor")="Maior é melhor",G17&lt;=IF(ISNUMBER(F17),F17,""),G17&gt;=IF(ISNUMBER(F17),F17,"")),IF(IF(IF(K17="Maior","Maior é melhor","Menor é melhor")="Maior é melhor",J43&gt;=G17,J43&lt;=G17),1,0),MAX(0,MIN(1,(J43-IF(ISNUMBER(F17),F17,""))/(G17-IF(ISNUMBER(F17),F17,""))))))</f>
        <v>1</v>
      </c>
      <c r="L43" s="14" t="str">
        <f aca="false">IF(J43="","Sem resultado",IF(IF(IF(K17="Maior","Maior é melhor","Menor é melhor")="Maior é melhor",J43&gt;=G17,J43&lt;=G17),"Alcançado",IF(AND(ISNUMBER(H17),ISNUMBER($D$8),H17&lt;$D$8),"Não alcançado",IF(IF(ISNUMBER(F17),F17,"")="","Em andamento",IF(IF(IF(K17="Maior","Maior é melhor","Menor é melhor")="Maior é melhor",J43&gt;IF(ISNUMBER(F17),F17,""),J43&lt;IF(ISNUMBER(F17),F17,"")),"No caminho","Em risco")))))</f>
        <v>Alcançado</v>
      </c>
    </row>
    <row r="44" customFormat="false" ht="21.75" hidden="false" customHeight="true" outlineLevel="0" collapsed="false">
      <c r="B44" s="8" t="s">
        <v>110</v>
      </c>
      <c r="C44" s="33" t="s">
        <v>358</v>
      </c>
      <c r="D44" s="35" t="n">
        <v>0</v>
      </c>
      <c r="E44" s="35" t="n">
        <v>0</v>
      </c>
      <c r="F44" s="35" t="n">
        <v>0</v>
      </c>
      <c r="G44" s="35" t="n">
        <v>1</v>
      </c>
      <c r="H44" s="35" t="n">
        <v>2</v>
      </c>
      <c r="I44" s="35" t="n">
        <v>2</v>
      </c>
      <c r="J44" s="23" t="n">
        <f aca="false">IF(COUNT(D44:I44)=0,"",LOOKUP(2,1/ISNUMBER(D44:I44),D44:I44))</f>
        <v>2</v>
      </c>
      <c r="K44" s="24" t="n">
        <f aca="false">IF(OR(J44="",IF(ISNUMBER(F18),F18,"")="",G18=""),"",IF(IF(IF(K18="Maior","Maior é melhor","Menor é melhor")="Maior é melhor",G18&lt;=IF(ISNUMBER(F18),F18,""),G18&gt;=IF(ISNUMBER(F18),F18,"")),IF(IF(IF(K18="Maior","Maior é melhor","Menor é melhor")="Maior é melhor",J44&gt;=G18,J44&lt;=G18),1,0),MAX(0,MIN(1,(J44-IF(ISNUMBER(F18),F18,""))/(G18-IF(ISNUMBER(F18),F18,""))))))</f>
        <v>0.333333333333333</v>
      </c>
      <c r="L44" s="14" t="str">
        <f aca="false">IF(J44="","Sem resultado",IF(IF(IF(K18="Maior","Maior é melhor","Menor é melhor")="Maior é melhor",J44&gt;=G18,J44&lt;=G18),"Alcançado",IF(AND(ISNUMBER(H18),ISNUMBER($D$8),H18&lt;$D$8),"Não alcançado",IF(IF(ISNUMBER(F18),F18,"")="","Em andamento",IF(IF(IF(K18="Maior","Maior é melhor","Menor é melhor")="Maior é melhor",J44&gt;IF(ISNUMBER(F18),F18,""),J44&lt;IF(ISNUMBER(F18),F18,"")),"No caminho","Em risco")))))</f>
        <v>No caminho</v>
      </c>
    </row>
    <row r="45" customFormat="false" ht="21.75" hidden="false" customHeight="true" outlineLevel="0" collapsed="false">
      <c r="B45" s="8" t="s">
        <v>111</v>
      </c>
      <c r="C45" s="33" t="s">
        <v>359</v>
      </c>
      <c r="D45" s="35" t="n">
        <v>0</v>
      </c>
      <c r="E45" s="35" t="n">
        <v>0</v>
      </c>
      <c r="F45" s="35" t="n">
        <v>1</v>
      </c>
      <c r="G45" s="35" t="n">
        <v>1</v>
      </c>
      <c r="H45" s="35" t="n">
        <v>1</v>
      </c>
      <c r="I45" s="35" t="n">
        <v>2</v>
      </c>
      <c r="J45" s="23" t="n">
        <f aca="false">IF(COUNT(D45:I45)=0,"",LOOKUP(2,1/ISNUMBER(D45:I45),D45:I45))</f>
        <v>2</v>
      </c>
      <c r="K45" s="24" t="n">
        <f aca="false">IF(OR(J45="",IF(ISNUMBER(F19),F19,"")="",G19=""),"",IF(IF(IF(K19="Maior","Maior é melhor","Menor é melhor")="Maior é melhor",G19&lt;=IF(ISNUMBER(F19),F19,""),G19&gt;=IF(ISNUMBER(F19),F19,"")),IF(IF(IF(K19="Maior","Maior é melhor","Menor é melhor")="Maior é melhor",J45&gt;=G19,J45&lt;=G19),1,0),MAX(0,MIN(1,(J45-IF(ISNUMBER(F19),F19,""))/(G19-IF(ISNUMBER(F19),F19,""))))))</f>
        <v>0.5</v>
      </c>
      <c r="L45" s="14" t="str">
        <f aca="false">IF(J45="","Sem resultado",IF(IF(IF(K19="Maior","Maior é melhor","Menor é melhor")="Maior é melhor",J45&gt;=G19,J45&lt;=G19),"Alcançado",IF(AND(ISNUMBER(H19),ISNUMBER($D$8),H19&lt;$D$8),"Não alcançado",IF(IF(ISNUMBER(F19),F19,"")="","Em andamento",IF(IF(IF(K19="Maior","Maior é melhor","Menor é melhor")="Maior é melhor",J45&gt;IF(ISNUMBER(F19),F19,""),J45&lt;IF(ISNUMBER(F19),F19,"")),"No caminho","Em risco")))))</f>
        <v>No caminho</v>
      </c>
    </row>
    <row r="46" customFormat="false" ht="21.75" hidden="false" customHeight="true" outlineLevel="0" collapsed="false">
      <c r="B46" s="8" t="s">
        <v>112</v>
      </c>
      <c r="C46" s="33" t="s">
        <v>360</v>
      </c>
      <c r="D46" s="35" t="n">
        <v>70</v>
      </c>
      <c r="E46" s="35" t="n">
        <v>66</v>
      </c>
      <c r="F46" s="35" t="n">
        <v>61</v>
      </c>
      <c r="G46" s="35" t="n">
        <v>58</v>
      </c>
      <c r="H46" s="35" t="n">
        <v>55</v>
      </c>
      <c r="I46" s="35" t="n">
        <v>52</v>
      </c>
      <c r="J46" s="23" t="n">
        <f aca="false">IF(COUNT(D46:I46)=0,"",LOOKUP(2,1/ISNUMBER(D46:I46),D46:I46))</f>
        <v>52</v>
      </c>
      <c r="K46" s="24" t="n">
        <f aca="false">IF(OR(J46="",IF(ISNUMBER(F20),F20,"")="",G20=""),"",IF(IF(IF(K20="Maior","Maior é melhor","Menor é melhor")="Maior é melhor",G20&lt;=IF(ISNUMBER(F20),F20,""),G20&gt;=IF(ISNUMBER(F20),F20,"")),IF(IF(IF(K20="Maior","Maior é melhor","Menor é melhor")="Maior é melhor",J46&gt;=G20,J46&lt;=G20),1,0),MAX(0,MIN(1,(J46-IF(ISNUMBER(F20),F20,""))/(G20-IF(ISNUMBER(F20),F20,""))))))</f>
        <v>1</v>
      </c>
      <c r="L46" s="14" t="str">
        <f aca="false">IF(J46="","Sem resultado",IF(IF(IF(K20="Maior","Maior é melhor","Menor é melhor")="Maior é melhor",J46&gt;=G20,J46&lt;=G20),"Alcançado",IF(AND(ISNUMBER(H20),ISNUMBER($D$8),H20&lt;$D$8),"Não alcançado",IF(IF(ISNUMBER(F20),F20,"")="","Em andamento",IF(IF(IF(K20="Maior","Maior é melhor","Menor é melhor")="Maior é melhor",J46&gt;IF(ISNUMBER(F20),F20,""),J46&lt;IF(ISNUMBER(F20),F20,"")),"No caminho","Em risco")))))</f>
        <v>Alcançado</v>
      </c>
    </row>
    <row r="47" customFormat="false" ht="21.75" hidden="false" customHeight="true" outlineLevel="0" collapsed="false">
      <c r="B47" s="8" t="s">
        <v>113</v>
      </c>
      <c r="C47" s="33" t="s">
        <v>361</v>
      </c>
      <c r="D47" s="35" t="n">
        <v>100</v>
      </c>
      <c r="E47" s="35" t="n">
        <v>100</v>
      </c>
      <c r="F47" s="35" t="n">
        <v>100</v>
      </c>
      <c r="G47" s="35" t="n">
        <v>100</v>
      </c>
      <c r="H47" s="35" t="n">
        <v>100</v>
      </c>
      <c r="I47" s="35" t="n">
        <v>92</v>
      </c>
      <c r="J47" s="23" t="n">
        <f aca="false">IF(COUNT(D47:I47)=0,"",LOOKUP(2,1/ISNUMBER(D47:I47),D47:I47))</f>
        <v>92</v>
      </c>
      <c r="K47" s="24" t="n">
        <f aca="false">IF(OR(J47="",IF(ISNUMBER(F21),F21,"")="",G21=""),"",IF(IF(IF(K21="Maior","Maior é melhor","Menor é melhor")="Maior é melhor",G21&lt;=IF(ISNUMBER(F21),F21,""),G21&gt;=IF(ISNUMBER(F21),F21,"")),IF(IF(IF(K21="Maior","Maior é melhor","Menor é melhor")="Maior é melhor",J47&gt;=G21,J47&lt;=G21),1,0),MAX(0,MIN(1,(J47-IF(ISNUMBER(F21),F21,""))/(G21-IF(ISNUMBER(F21),F21,""))))))</f>
        <v>0</v>
      </c>
      <c r="L47" s="14" t="str">
        <f aca="false">IF(J47="","Sem resultado",IF(IF(IF(K21="Maior","Maior é melhor","Menor é melhor")="Maior é melhor",J47&gt;=G21,J47&lt;=G21),"Alcançado",IF(AND(ISNUMBER(H21),ISNUMBER($D$8),H21&lt;$D$8),"Não alcançado",IF(IF(ISNUMBER(F21),F21,"")="","Em andamento",IF(IF(IF(K21="Maior","Maior é melhor","Menor é melhor")="Maior é melhor",J47&gt;IF(ISNUMBER(F21),F21,""),J47&lt;IF(ISNUMBER(F21),F21,"")),"No caminho","Em risco")))))</f>
        <v>Em risco</v>
      </c>
    </row>
    <row r="49" customFormat="false" ht="21.75" hidden="false" customHeight="true" outlineLevel="0" collapsed="false">
      <c r="B49" s="15" t="s">
        <v>119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customFormat="false" ht="21.75" hidden="false" customHeight="true" outlineLevel="0" collapsed="false">
      <c r="B50" s="16" t="s">
        <v>46</v>
      </c>
      <c r="C50" s="16"/>
      <c r="D50" s="16"/>
      <c r="E50" s="16"/>
      <c r="F50" s="17" t="n">
        <f aca="false">COUNTA(C15:C21)</f>
        <v>7</v>
      </c>
      <c r="G50" s="17"/>
      <c r="H50" s="17"/>
      <c r="I50" s="17"/>
      <c r="J50" s="17"/>
      <c r="K50" s="17"/>
      <c r="L50" s="17"/>
    </row>
    <row r="51" customFormat="false" ht="21.75" hidden="false" customHeight="true" outlineLevel="0" collapsed="false">
      <c r="B51" s="16" t="s">
        <v>169</v>
      </c>
      <c r="C51" s="16"/>
      <c r="D51" s="16"/>
      <c r="E51" s="16"/>
      <c r="F51" s="17" t="str">
        <f aca="false">COUNTIF(L41:L47,"Alcançado")&amp;" alcançados, "&amp;COUNTIF(L41:L47,"No caminho")&amp;" no caminho, "&amp;COUNTIF(L41:L47,"Em risco")&amp;" em risco"</f>
        <v>3 alcançados, 3 no caminho, 1 em risco</v>
      </c>
      <c r="G51" s="17"/>
      <c r="H51" s="17"/>
      <c r="I51" s="17"/>
      <c r="J51" s="17"/>
      <c r="K51" s="17"/>
      <c r="L51" s="17"/>
    </row>
    <row r="52" customFormat="false" ht="21.75" hidden="false" customHeight="true" outlineLevel="0" collapsed="false">
      <c r="B52" s="16" t="s">
        <v>287</v>
      </c>
      <c r="C52" s="16"/>
      <c r="D52" s="16"/>
      <c r="E52" s="16"/>
      <c r="F52" s="17" t="str">
        <f aca="false">COUNTA(C25:C37)&amp;" escritas, "&amp;COUNTIF(H25:H37,"Concluída")&amp;" concluídas, "&amp;COUNTIF(H25:H37,"Atrasada")&amp;" atrasadas"</f>
        <v>13 escritas, 7 concluídas, 2 atrasadas</v>
      </c>
      <c r="G52" s="17"/>
      <c r="H52" s="17"/>
      <c r="I52" s="17"/>
      <c r="J52" s="17"/>
      <c r="K52" s="17"/>
      <c r="L52" s="17"/>
    </row>
    <row r="53" customFormat="false" ht="21.75" hidden="false" customHeight="true" outlineLevel="0" collapsed="false">
      <c r="B53" s="16" t="s">
        <v>181</v>
      </c>
      <c r="C53" s="16"/>
      <c r="D53" s="16"/>
      <c r="E53" s="16"/>
      <c r="F53" s="41" t="n">
        <f aca="false">AVERAGE(K41:K47)</f>
        <v>0.642857142857143</v>
      </c>
      <c r="G53" s="41"/>
      <c r="H53" s="41"/>
      <c r="I53" s="41"/>
      <c r="J53" s="41"/>
      <c r="K53" s="41"/>
      <c r="L53" s="41"/>
    </row>
  </sheetData>
  <mergeCells count="72">
    <mergeCell ref="B1:L1"/>
    <mergeCell ref="B2:L2"/>
    <mergeCell ref="B4:C4"/>
    <mergeCell ref="D4:L4"/>
    <mergeCell ref="B5:C5"/>
    <mergeCell ref="D5:L5"/>
    <mergeCell ref="B6:C6"/>
    <mergeCell ref="D6:L6"/>
    <mergeCell ref="B7:C7"/>
    <mergeCell ref="D7:L7"/>
    <mergeCell ref="B8:C8"/>
    <mergeCell ref="D8:L8"/>
    <mergeCell ref="B9:C9"/>
    <mergeCell ref="D9:L9"/>
    <mergeCell ref="B10:C10"/>
    <mergeCell ref="D10:L10"/>
    <mergeCell ref="B11:C11"/>
    <mergeCell ref="D11:L11"/>
    <mergeCell ref="B13:L13"/>
    <mergeCell ref="B23:L23"/>
    <mergeCell ref="D24:E24"/>
    <mergeCell ref="F24:G24"/>
    <mergeCell ref="K24:L24"/>
    <mergeCell ref="D25:E25"/>
    <mergeCell ref="F25:G25"/>
    <mergeCell ref="K25:L25"/>
    <mergeCell ref="D26:E26"/>
    <mergeCell ref="F26:G26"/>
    <mergeCell ref="K26:L26"/>
    <mergeCell ref="D27:E27"/>
    <mergeCell ref="F27:G27"/>
    <mergeCell ref="K27:L27"/>
    <mergeCell ref="D28:E28"/>
    <mergeCell ref="F28:G28"/>
    <mergeCell ref="K28:L28"/>
    <mergeCell ref="D29:E29"/>
    <mergeCell ref="F29:G29"/>
    <mergeCell ref="K29:L29"/>
    <mergeCell ref="D30:E30"/>
    <mergeCell ref="F30:G30"/>
    <mergeCell ref="K30:L30"/>
    <mergeCell ref="D31:E31"/>
    <mergeCell ref="F31:G31"/>
    <mergeCell ref="K31:L31"/>
    <mergeCell ref="D32:E32"/>
    <mergeCell ref="F32:G32"/>
    <mergeCell ref="K32:L32"/>
    <mergeCell ref="D33:E33"/>
    <mergeCell ref="F33:G33"/>
    <mergeCell ref="K33:L33"/>
    <mergeCell ref="D34:E34"/>
    <mergeCell ref="F34:G34"/>
    <mergeCell ref="K34:L34"/>
    <mergeCell ref="D35:E35"/>
    <mergeCell ref="F35:G35"/>
    <mergeCell ref="K35:L35"/>
    <mergeCell ref="D36:E36"/>
    <mergeCell ref="F36:G36"/>
    <mergeCell ref="K36:L36"/>
    <mergeCell ref="D37:E37"/>
    <mergeCell ref="F37:G37"/>
    <mergeCell ref="K37:L37"/>
    <mergeCell ref="B39:L39"/>
    <mergeCell ref="B49:L49"/>
    <mergeCell ref="B50:E50"/>
    <mergeCell ref="F50:L50"/>
    <mergeCell ref="B51:E51"/>
    <mergeCell ref="F51:L51"/>
    <mergeCell ref="B52:E52"/>
    <mergeCell ref="F52:L52"/>
    <mergeCell ref="B53:E53"/>
    <mergeCell ref="F53:L53"/>
  </mergeCells>
  <conditionalFormatting sqref="H25:H37">
    <cfRule type="expression" priority="2" aboveAverage="0" equalAverage="0" bottom="0" percent="0" rank="0" text="" dxfId="0">
      <formula>H25="Concluída"</formula>
    </cfRule>
    <cfRule type="expression" priority="3" aboveAverage="0" equalAverage="0" bottom="0" percent="0" rank="0" text="" dxfId="6">
      <formula>H25="Atrasada"</formula>
    </cfRule>
    <cfRule type="expression" priority="4" aboveAverage="0" equalAverage="0" bottom="0" percent="0" rank="0" text="" dxfId="2">
      <formula>H25="Em andamento"</formula>
    </cfRule>
    <cfRule type="expression" priority="5" aboveAverage="0" equalAverage="0" bottom="0" percent="0" rank="0" text="" dxfId="1">
      <formula>H25="Não iniciada"</formula>
    </cfRule>
  </conditionalFormatting>
  <conditionalFormatting sqref="L41:L47">
    <cfRule type="expression" priority="6" aboveAverage="0" equalAverage="0" bottom="0" percent="0" rank="0" text="" dxfId="2">
      <formula>L41="Alcançado"</formula>
    </cfRule>
    <cfRule type="expression" priority="7" aboveAverage="0" equalAverage="0" bottom="0" percent="0" rank="0" text="" dxfId="4">
      <formula>L41="No caminho"</formula>
    </cfRule>
    <cfRule type="expression" priority="8" aboveAverage="0" equalAverage="0" bottom="0" percent="0" rank="0" text="" dxfId="5">
      <formula>L41="Em risco"</formula>
    </cfRule>
    <cfRule type="expression" priority="9" aboveAverage="0" equalAverage="0" bottom="0" percent="0" rank="0" text="" dxfId="5">
      <formula>L41="Não alcançado"</formula>
    </cfRule>
    <cfRule type="expression" priority="10" aboveAverage="0" equalAverage="0" bottom="0" percent="0" rank="0" text="" dxfId="3">
      <formula>L41="Em andamento"</formula>
    </cfRule>
    <cfRule type="expression" priority="11" aboveAverage="0" equalAverage="0" bottom="0" percent="0" rank="0" text="" dxfId="3">
      <formula>L41="Sem resultado"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2" man="true" max="16383" min="0"/>
    <brk id="38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2026-10-01T00:45:13Z</dcterms:created>
  <dc:creator>Modelo Objetivos</dc:creator>
  <dc:description/>
  <dc:language>pt-BR</dc:language>
  <cp:lastModifiedBy/>
  <dcterms:modified xsi:type="dcterms:W3CDTF">2026-10-01T00:45:14Z</dcterms:modified>
  <cp:revision>0</cp:revision>
  <dc:subject/>
  <dc:title>Objetivos da qualidade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