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Autoridades" sheetId="2" state="visible" r:id="rId4"/>
    <sheet name="Liberação" sheetId="3" state="visible" r:id="rId5"/>
    <sheet name="Produto não conforme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1" name="_xlnm.Print_Area" vbProcedure="false">Autoridades!$B$1:$I$18</definedName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Pizzaria'!$B$1:$Q$45</definedName>
    <definedName function="false" hidden="false" localSheetId="7" name="_xlnm.Print_Area" vbProcedure="false">'Exemplo 2 - Indústria'!$B$1:$Q$47</definedName>
    <definedName function="false" hidden="false" localSheetId="0" name="_xlnm.Print_Area" vbProcedure="false">Instruções!$B$1:$C$42</definedName>
    <definedName function="false" hidden="false" localSheetId="2" name="_xlnm.Print_Area" vbProcedure="false">Liberação!$B$1:$O$72</definedName>
    <definedName function="false" hidden="false" localSheetId="4" name="_xlnm.Print_Area" vbProcedure="false">Painel!$B$1:$G$54</definedName>
    <definedName function="false" hidden="false" localSheetId="3" name="_xlnm.Print_Area" vbProcedure="false">'Produto não conforme'!$B$1:$T$72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6" authorId="0">
      <text>
        <r>
          <rPr>
            <sz val="10"/>
            <rFont val="Arial"/>
            <family val="2"/>
          </rPr>
          <t xml:space="preserve">Exemplo: “até 500 kg”, “só no turno”, “acima disso, o gerente industrial”.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As verificações planejadas para o lote, no plano de controle e na inspeção final.</t>
        </r>
      </text>
    </comment>
    <comment ref="L4" authorId="0">
      <text>
        <r>
          <rPr>
            <sz val="10"/>
            <rFont val="Arial"/>
            <family val="2"/>
          </rPr>
          <t xml:space="preserve">Obrigatório quando a decisão é “Liberado com autorização”: quem aprovou a liberação antes de concluir as verificações, e o aceite do cliente, se for o caso.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Use sempre o mesmo nome para o mesmo defeito: é por ele que a planilha conta as repetições.</t>
        </r>
      </text>
    </comment>
    <comment ref="M4" authorId="0">
      <text>
        <r>
          <rPr>
            <sz val="10"/>
            <rFont val="Arial"/>
            <family val="2"/>
          </rPr>
          <t xml:space="preserve">Obrigatório na concessão (o aceite do cliente, antes da entrega) e no defeito visto depois da entrega (quando e como o cliente foi informado).</t>
        </r>
      </text>
    </comment>
    <comment ref="Q4" authorId="0">
      <text>
        <r>
          <rPr>
            <sz val="10"/>
            <rFont val="Arial"/>
            <family val="2"/>
          </rPr>
          <t xml:space="preserve">O número da ação corretiva, quando o defeito levou a uma análise de causa. A partir de 3 registros do mesmo defeito, a planilha pede uma.</t>
        </r>
      </text>
    </comment>
  </commentList>
</comments>
</file>

<file path=xl/sharedStrings.xml><?xml version="1.0" encoding="utf-8"?>
<sst xmlns="http://schemas.openxmlformats.org/spreadsheetml/2006/main" count="622" uniqueCount="365">
  <si>
    <t xml:space="preserve">Liberação e produto não conforme — Como usar esta planilha</t>
  </si>
  <si>
    <t xml:space="preserve">Modelo para registrar a liberação, controlar o produto não conforme, decidir a disposição e ler o custo.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</si>
  <si>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</si>
  <si>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</si>
  <si>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</si>
  <si>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</si>
  <si>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leituras, situações,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</si>
  <si>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</si>
  <si>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</si>
  <si>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</si>
  <si>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Decisão, onde foi visto, disposição, reverificação, aceite do cliente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</si>
  <si>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</si>
  <si>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</si>
  <si>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</si>
  <si>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Conforme</t>
  </si>
  <si>
    <t xml:space="preserve">Todas as verificações previstas foram feitas, e nenhum resultado ficou fora do critério.</t>
  </si>
  <si>
    <t xml:space="preserve">Com desvio</t>
  </si>
  <si>
    <t xml:space="preserve">Todas foram feitas, e algum resultado ficou fora do critério. Pede o número do registro de não conforme.</t>
  </si>
  <si>
    <t xml:space="preserve">Verificação pendente</t>
  </si>
  <si>
    <t xml:space="preserve">Foram feitas menos verificações do que as previstas. Só pode ser liberado com autorização: escolha a decisão “Liberado com autorização” e informe quem autorizou.</t>
  </si>
  <si>
    <t xml:space="preserve">Situação do registro</t>
  </si>
  <si>
    <t xml:space="preserve">Aberto: sem disposição. Em tratamento: com disposição, sem data de encerramento. Encerrado: com a data de encerramento.</t>
  </si>
  <si>
    <t xml:space="preserve">Repetições</t>
  </si>
  <si>
    <t xml:space="preserve">Quantos registros têm o mesmo texto na coluna Defeito. Use sempre o mesmo nome para o mesmo defeito.</t>
  </si>
  <si>
    <t xml:space="preserve">Defeito repetido</t>
  </si>
  <si>
    <t xml:space="preserve">O mesmo defeito aparece em 3 registros ou mais, e nenhum deles traz uma ação corretiva.</t>
  </si>
  <si>
    <t xml:space="preserve">Custo por ponto de detecção</t>
  </si>
  <si>
    <t xml:space="preserve">A soma do custo dos registros achados no recebimento, no processo, na inspeção final e depois da entrega, dividida pelo número de registros.</t>
  </si>
  <si>
    <t xml:space="preserve">Ordem recomendada de preenchimento</t>
  </si>
  <si>
    <t xml:space="preserve">Passo 1</t>
  </si>
  <si>
    <t xml:space="preserve">Aba Autoridades: escreva quem libera, quem autoriza a liberação pendente e quem decide cada disposição, com os limites.</t>
  </si>
  <si>
    <t xml:space="preserve">Passo 2</t>
  </si>
  <si>
    <t xml:space="preserve">Aba Liberação: registre cada lote ou pedido, com as verificações previstas e feitas, os resultados fora do critério, a decisão e quem liberou.</t>
  </si>
  <si>
    <t xml:space="preserve">Passo 3</t>
  </si>
  <si>
    <t xml:space="preserve">Aba Produto não conforme: registre cada caso, com o defeito, onde foi visto, a segregação, a disposição e quem decidiu.</t>
  </si>
  <si>
    <t xml:space="preserve">Passo 4</t>
  </si>
  <si>
    <t xml:space="preserve">Aba Produto não conforme: complete o aceite ou a comunicação ao cliente, a reverificação, o encerramento, o custo e a ação corretiva, quando houver.</t>
  </si>
  <si>
    <t xml:space="preserve">Passo 5</t>
  </si>
  <si>
    <t xml:space="preserve">Aba Painel: leia os registros abertos, as liberações a rever, os defeitos repetidos e o custo por ponto de detecção.</t>
  </si>
  <si>
    <t xml:space="preserve">Passo 6</t>
  </si>
  <si>
    <t xml:space="preserve">Aba Checklist: valide a rotina.</t>
  </si>
  <si>
    <t xml:space="preserve">Abas da planilha</t>
  </si>
  <si>
    <t xml:space="preserve">Autoridades</t>
  </si>
  <si>
    <t xml:space="preserve">Quem decide cada coisa: liberar, autorizar a liberação pendente e as seis disposições. Calcula a conferência de cada linha.</t>
  </si>
  <si>
    <t xml:space="preserve">Liberação</t>
  </si>
  <si>
    <t xml:space="preserve">Até 60 lotes ou pedidos. Calcula a leitura do lote e a conferência da decisão.</t>
  </si>
  <si>
    <t xml:space="preserve">Produto não conforme</t>
  </si>
  <si>
    <t xml:space="preserve">Até 60 registros. Calcula a situação, as repetições do defeito e a conferência.</t>
  </si>
  <si>
    <t xml:space="preserve">Painel</t>
  </si>
  <si>
    <t xml:space="preserve">Os indicadores, o custo por ponto de detecção e por disposição, o gráfico e o aviso.</t>
  </si>
  <si>
    <t xml:space="preserve">Checklist</t>
  </si>
  <si>
    <t xml:space="preserve">Doze verificações da rotina, com percentual de conclusão.</t>
  </si>
  <si>
    <t xml:space="preserve">Exemplo 1 - Pizzaria</t>
  </si>
  <si>
    <t xml:space="preserve">As noites de 15 a 21/03/2027, com sete liberações e oito registros.</t>
  </si>
  <si>
    <t xml:space="preserve">Exemplo 2 - Indústria</t>
  </si>
  <si>
    <t xml:space="preserve">Os lotes 136 a 143 da extrusora 3, com oito liberações e nove registros.</t>
  </si>
  <si>
    <t xml:space="preserve">Regras e premissas do modelo</t>
  </si>
  <si>
    <t xml:space="preserve">Verificações</t>
  </si>
  <si>
    <t xml:space="preserve">Conte as verificações planejadas para o lote, no plano de controle e na inspeção final, e quantas foram feitas antes da decisão.</t>
  </si>
  <si>
    <t xml:space="preserve">Lote com parte retida</t>
  </si>
  <si>
    <t xml:space="preserve">Quando só uma parte sai do critério, libere a parte boa e informe o número do registro de não conforme da parte separada.</t>
  </si>
  <si>
    <t xml:space="preserve">Custo</t>
  </si>
  <si>
    <t xml:space="preserve">Some o que o caso custou: material perdido, retrabalho, frete, desconto, reposição. Use zero quando o custo ficou com o fornecedor.</t>
  </si>
  <si>
    <t xml:space="preserve">Exemplos</t>
  </si>
  <si>
    <t xml:space="preserve">Os dados das abas de exemplo são ilustrativos, criados para este material.</t>
  </si>
  <si>
    <t xml:space="preserve">Quem decide</t>
  </si>
  <si>
    <t xml:space="preserve">Escreva a função, e não o nome da pessoa. Os limites dizem até onde cada função pode decidir sozinha.</t>
  </si>
  <si>
    <t xml:space="preserve">Organização e produto</t>
  </si>
  <si>
    <t xml:space="preserve">#</t>
  </si>
  <si>
    <t xml:space="preserve">Decisão</t>
  </si>
  <si>
    <t xml:space="preserve">O que é</t>
  </si>
  <si>
    <t xml:space="preserve">Limite ou condição</t>
  </si>
  <si>
    <t xml:space="preserve">O cliente concorda?</t>
  </si>
  <si>
    <t xml:space="preserve">Onde se registra</t>
  </si>
  <si>
    <t xml:space="preserve">Conferência</t>
  </si>
  <si>
    <t xml:space="preserve">Liberar o produto</t>
  </si>
  <si>
    <t xml:space="preserve">A função que confere as verificações e libera.</t>
  </si>
  <si>
    <t xml:space="preserve">Autorizar a liberação com verificação pendente</t>
  </si>
  <si>
    <t xml:space="preserve">Quem pode correr o risco, e quando o cliente precisa saber.</t>
  </si>
  <si>
    <t xml:space="preserve">Retrabalhar</t>
  </si>
  <si>
    <t xml:space="preserve">Corrigir o produto para que volte a atender ao requisito.</t>
  </si>
  <si>
    <t xml:space="preserve">Reclassificar</t>
  </si>
  <si>
    <t xml:space="preserve">Destinar o produto a outro uso, em que ele atende ao requisito.</t>
  </si>
  <si>
    <t xml:space="preserve">Aceitar sob concessão</t>
  </si>
  <si>
    <t xml:space="preserve">Entregar o produto como está, com a autorização de quem pode aceitar.</t>
  </si>
  <si>
    <t xml:space="preserve">Refugar</t>
  </si>
  <si>
    <t xml:space="preserve">Descartar o produto, ou destruí-lo para reaproveitar o material.</t>
  </si>
  <si>
    <t xml:space="preserve">Devolver ao fornecedor</t>
  </si>
  <si>
    <t xml:space="preserve">Devolver o item recebido a quem o forneceu.</t>
  </si>
  <si>
    <t xml:space="preserve">Recolher ou substituir</t>
  </si>
  <si>
    <t xml:space="preserve">Buscar o produto que já está com o cliente, trocar ou reparar.</t>
  </si>
  <si>
    <t xml:space="preserve">Resumo automático</t>
  </si>
  <si>
    <t xml:space="preserve">Decisões com responsável</t>
  </si>
  <si>
    <t xml:space="preserve">Aviso</t>
  </si>
  <si>
    <t xml:space="preserve">Registro de liberação</t>
  </si>
  <si>
    <t xml:space="preserve">Uma linha por lote, pedido ou fechamento. A decisão se apoia nas verificações previstas e feitas.</t>
  </si>
  <si>
    <t xml:space="preserve">Data</t>
  </si>
  <si>
    <t xml:space="preserve">Lote ou pedido</t>
  </si>
  <si>
    <t xml:space="preserve">Produto e quantidade</t>
  </si>
  <si>
    <t xml:space="preserve">Verificações previstas</t>
  </si>
  <si>
    <t xml:space="preserve">Verificações feitas</t>
  </si>
  <si>
    <t xml:space="preserve">Resultados fora</t>
  </si>
  <si>
    <t xml:space="preserve">Leitura</t>
  </si>
  <si>
    <t xml:space="preserve">Quem liberou</t>
  </si>
  <si>
    <t xml:space="preserve">Quem autorizou</t>
  </si>
  <si>
    <t xml:space="preserve">Nº do registro de não conforme</t>
  </si>
  <si>
    <t xml:space="preserve">Observação</t>
  </si>
  <si>
    <t xml:space="preserve">A identificação</t>
  </si>
  <si>
    <t xml:space="preserve">O que e quanto</t>
  </si>
  <si>
    <t xml:space="preserve">Número</t>
  </si>
  <si>
    <t xml:space="preserve">Calculada</t>
  </si>
  <si>
    <t xml:space="preserve">Lista</t>
  </si>
  <si>
    <t xml:space="preserve">Uma função</t>
  </si>
  <si>
    <t xml:space="preserve">Só na liberação pendente</t>
  </si>
  <si>
    <t xml:space="preserve">Quando houver desvio</t>
  </si>
  <si>
    <t xml:space="preserve">Ex.</t>
  </si>
  <si>
    <t xml:space="preserve">Lote 139</t>
  </si>
  <si>
    <t xml:space="preserve">4 bobinas, 1.190 kg</t>
  </si>
  <si>
    <t xml:space="preserve">Liberado com autorização</t>
  </si>
  <si>
    <t xml:space="preserve">Analista da Qualidade</t>
  </si>
  <si>
    <t xml:space="preserve">Gerente industrial, com o aceite do cliente</t>
  </si>
  <si>
    <t xml:space="preserve">Ensaio de solda pendente.</t>
  </si>
  <si>
    <t xml:space="preserve">OK</t>
  </si>
  <si>
    <t xml:space="preserve">Lotes registrados</t>
  </si>
  <si>
    <t xml:space="preserve">Por decisão</t>
  </si>
  <si>
    <t xml:space="preserve">Liberações a rever</t>
  </si>
  <si>
    <t xml:space="preserve">Registro de produto não conforme</t>
  </si>
  <si>
    <t xml:space="preserve">Uma linha por caso. O registro descreve o defeito, a segregação, a disposição, quem decidiu e o que foi feito com o cliente.</t>
  </si>
  <si>
    <t xml:space="preserve">Nº do registro</t>
  </si>
  <si>
    <t xml:space="preserve">Defeito</t>
  </si>
  <si>
    <t xml:space="preserve">Descrição</t>
  </si>
  <si>
    <t xml:space="preserve">Quantidade</t>
  </si>
  <si>
    <t xml:space="preserve">Onde foi visto</t>
  </si>
  <si>
    <t xml:space="preserve">Identificação e segregação</t>
  </si>
  <si>
    <t xml:space="preserve">Disposição</t>
  </si>
  <si>
    <t xml:space="preserve">Quem decidiu</t>
  </si>
  <si>
    <t xml:space="preserve">Cliente: concessão ou comunicação</t>
  </si>
  <si>
    <t xml:space="preserve">Reverificação</t>
  </si>
  <si>
    <t xml:space="preserve">Encerrado em</t>
  </si>
  <si>
    <t xml:space="preserve">Ação corretiva</t>
  </si>
  <si>
    <t xml:space="preserve">Situação</t>
  </si>
  <si>
    <t xml:space="preserve">Código</t>
  </si>
  <si>
    <t xml:space="preserve">Nome curto, sempre igual</t>
  </si>
  <si>
    <t xml:space="preserve">O que foi visto, com o critério</t>
  </si>
  <si>
    <t xml:space="preserve">Com unidade</t>
  </si>
  <si>
    <t xml:space="preserve">A marca e o lugar</t>
  </si>
  <si>
    <t xml:space="preserve">Aceite ou aviso, com data</t>
  </si>
  <si>
    <t xml:space="preserve">R$</t>
  </si>
  <si>
    <t xml:space="preserve">Quando houver</t>
  </si>
  <si>
    <t xml:space="preserve">Calculadas</t>
  </si>
  <si>
    <t xml:space="preserve">2027-21</t>
  </si>
  <si>
    <t xml:space="preserve">Lote 140</t>
  </si>
  <si>
    <t xml:space="preserve">Espessura fora</t>
  </si>
  <si>
    <t xml:space="preserve">Espessura de 43,1 e 43,4 µm, com o critério de 38 a 42 µm.</t>
  </si>
  <si>
    <t xml:space="preserve">600 kg</t>
  </si>
  <si>
    <t xml:space="preserve">Inspeção final</t>
  </si>
  <si>
    <t xml:space="preserve">Lote retido, etiqueta vermelha no palete.</t>
  </si>
  <si>
    <t xml:space="preserve">Coordenador da Qualidade</t>
  </si>
  <si>
    <t xml:space="preserve">Cliente B aceitou por e-mail de 21/05.</t>
  </si>
  <si>
    <t xml:space="preserve">Encerrado</t>
  </si>
  <si>
    <t xml:space="preserve">Registros</t>
  </si>
  <si>
    <t xml:space="preserve">Por situação</t>
  </si>
  <si>
    <t xml:space="preserve">Painel da liberação e do produto não conforme</t>
  </si>
  <si>
    <t xml:space="preserve">Nada a preencher: tudo vem das outras abas.</t>
  </si>
  <si>
    <t xml:space="preserve">Indicador</t>
  </si>
  <si>
    <t xml:space="preserve">Resultado</t>
  </si>
  <si>
    <t xml:space="preserve">Como se lê</t>
  </si>
  <si>
    <t xml:space="preserve">Da aba Liberação.</t>
  </si>
  <si>
    <t xml:space="preserve">Liberados conformes</t>
  </si>
  <si>
    <t xml:space="preserve">Todas as verificações feitas, nenhuma fora do critério.</t>
  </si>
  <si>
    <t xml:space="preserve">Liberados com autorização</t>
  </si>
  <si>
    <t xml:space="preserve">Verificação pendente, com a aprovação de quem pode.</t>
  </si>
  <si>
    <t xml:space="preserve">Retidos</t>
  </si>
  <si>
    <t xml:space="preserve">Esperam a disposição.</t>
  </si>
  <si>
    <t xml:space="preserve">Liberado com pendência, sem quem liberou, desvio sem registro.</t>
  </si>
  <si>
    <t xml:space="preserve">Registros de produto não conforme</t>
  </si>
  <si>
    <t xml:space="preserve">Da aba Produto não conforme.</t>
  </si>
  <si>
    <t xml:space="preserve">Abertos, sem disposição</t>
  </si>
  <si>
    <t xml:space="preserve">Decidir na semana.</t>
  </si>
  <si>
    <t xml:space="preserve">Em tratamento</t>
  </si>
  <si>
    <t xml:space="preserve">Com disposição, sem encerramento.</t>
  </si>
  <si>
    <t xml:space="preserve">Achados depois da entrega</t>
  </si>
  <si>
    <t xml:space="preserve">Os mais caros: o cliente viu o defeito.</t>
  </si>
  <si>
    <t xml:space="preserve">Custo do período</t>
  </si>
  <si>
    <t xml:space="preserve">A soma do custo dos registros.</t>
  </si>
  <si>
    <t xml:space="preserve">Registros a completar</t>
  </si>
  <si>
    <t xml:space="preserve">Veja a coluna Conferência da aba Produto não conforme.</t>
  </si>
  <si>
    <t xml:space="preserve">Defeitos repetidos sem ação</t>
  </si>
  <si>
    <t xml:space="preserve">Registros de um defeito com 3 casos ou mais, sem ação corretiva.</t>
  </si>
  <si>
    <t xml:space="preserve">Onde o defeito foi visto, e quanto custou</t>
  </si>
  <si>
    <t xml:space="preserve">Ponto de detecção</t>
  </si>
  <si>
    <t xml:space="preserve">Custo por registro</t>
  </si>
  <si>
    <t xml:space="preserve">Parte do custo</t>
  </si>
  <si>
    <t xml:space="preserve">Recebimento</t>
  </si>
  <si>
    <t xml:space="preserve">O defeito não entrou na operação.</t>
  </si>
  <si>
    <t xml:space="preserve">Processo</t>
  </si>
  <si>
    <t xml:space="preserve">Visto onde nasce: a correção é barata.</t>
  </si>
  <si>
    <t xml:space="preserve">O produto já está pronto: o custo cresce.</t>
  </si>
  <si>
    <t xml:space="preserve">Após a entrega</t>
  </si>
  <si>
    <t xml:space="preserve">O cliente viu: o mais caro.</t>
  </si>
  <si>
    <t xml:space="preserve">Por disposição</t>
  </si>
  <si>
    <t xml:space="preserve">Cuidado</t>
  </si>
  <si>
    <t xml:space="preserve">Verificar de novo depois da correção.</t>
  </si>
  <si>
    <t xml:space="preserve">Identificar de novo, com a nova classe.</t>
  </si>
  <si>
    <t xml:space="preserve">A autorização do cliente, por escrito, antes da entrega.</t>
  </si>
  <si>
    <t xml:space="preserve">Garantir que o produto não volte ao fluxo.</t>
  </si>
  <si>
    <t xml:space="preserve">Registrar a ocorrência na avaliação do fornecedor.</t>
  </si>
  <si>
    <t xml:space="preserve">Informar o cliente, sem esperar a reclamação.</t>
  </si>
  <si>
    <t xml:space="preserve">Checklist da liberação e do produto não conforme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</si>
  <si>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</si>
  <si>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</si>
  <si>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</si>
  <si>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</si>
  <si>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Cada produto tem critérios de aceitação escritos e as verificações que precisam estar feitas antes da liberação.</t>
  </si>
  <si>
    <t xml:space="preserve">Está definido quem tem autoridade para liberar, e o registro de liberação traz esse nome.</t>
  </si>
  <si>
    <t xml:space="preserve">Nenhum produto sai com verificação pendente sem a autorização de quem pode autorizar e, quando aplicável, do cliente.</t>
  </si>
  <si>
    <t xml:space="preserve">O produto não conforme é identificado assim que é encontrado.</t>
  </si>
  <si>
    <t xml:space="preserve">O produto não conforme é separado do fluxo, para não ser usado nem entregue por engano.</t>
  </si>
  <si>
    <t xml:space="preserve">Está definido quem pode decidir cada disposição: retrabalhar, reclassificar, conceder, refugar, devolver ou recolher.</t>
  </si>
  <si>
    <t xml:space="preserve">O produto retrabalhado é verificado de novo antes de seguir.</t>
  </si>
  <si>
    <t xml:space="preserve">A concessão tem a autorização do cliente registrada, antes da entrega.</t>
  </si>
  <si>
    <t xml:space="preserve">O defeito encontrado depois da entrega é comunicado ao cliente, sem esperar a reclamação.</t>
  </si>
  <si>
    <t xml:space="preserve">Cada registro descreve o defeito, a ação tomada, a concessão obtida e quem decidiu.</t>
  </si>
  <si>
    <t xml:space="preserve">Os registros abertos são lidos toda semana, e nenhum fica sem disposição.</t>
  </si>
  <si>
    <t xml:space="preserve">O defeito que se repete leva à análise de causa, no tratamento de não conformidades.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</si>
  <si>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</si>
  <si>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</si>
  <si>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</si>
  <si>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</si>
  <si>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</si>
  <si>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Liberação e produto não conforme</t>
  </si>
  <si>
    <t xml:space="preserve">Exemplo preenchido, para consulta. Use as abas Autoridades, Liberação e Produto não conforme para a sua organização.</t>
  </si>
  <si>
    <t xml:space="preserve">Organização</t>
  </si>
  <si>
    <t xml:space="preserve">Pizzaria (loja com salão e delivery)</t>
  </si>
  <si>
    <t xml:space="preserve">Produzir e embalar (P2) e Entregar o pedido (P3)</t>
  </si>
  <si>
    <t xml:space="preserve">Produto</t>
  </si>
  <si>
    <t xml:space="preserve">Pizza entregue em casa e servida no salão</t>
  </si>
  <si>
    <t xml:space="preserve">Quem libera</t>
  </si>
  <si>
    <t xml:space="preserve">Cada pedido: quem embala, com a rubrica na etiqueta. O fechamento da noite: líder da expedição.</t>
  </si>
  <si>
    <t xml:space="preserve">Quem decide a disposição</t>
  </si>
  <si>
    <t xml:space="preserve">Pizzaiolo líder e líder da expedição, no turno. Gerente da loja, para descarte de insumos, concessão e troca no cliente.</t>
  </si>
  <si>
    <t xml:space="preserve">Noites de 15 a 21/03/2027, lidos em 22/03/2027.</t>
  </si>
  <si>
    <t xml:space="preserve">Origem</t>
  </si>
  <si>
    <t xml:space="preserve">Requisito 8.7 atendido em parte no diagnóstico de 2026: a pizza errada era refeita, sem registro.</t>
  </si>
  <si>
    <t xml:space="preserve">Liberações</t>
  </si>
  <si>
    <t xml:space="preserve">Lote</t>
  </si>
  <si>
    <t xml:space="preserve">Feitas</t>
  </si>
  <si>
    <t xml:space="preserve">Fora</t>
  </si>
  <si>
    <t xml:space="preserve">Registro</t>
  </si>
  <si>
    <t xml:space="preserve">Noite 15/03</t>
  </si>
  <si>
    <t xml:space="preserve">142 pedidos</t>
  </si>
  <si>
    <t xml:space="preserve">Liberado</t>
  </si>
  <si>
    <t xml:space="preserve">Líder da expedição</t>
  </si>
  <si>
    <t xml:space="preserve">Noite 16/03</t>
  </si>
  <si>
    <t xml:space="preserve">118 pedidos</t>
  </si>
  <si>
    <t xml:space="preserve">2027-15</t>
  </si>
  <si>
    <t xml:space="preserve">Noite 17/03</t>
  </si>
  <si>
    <t xml:space="preserve">125 pedidos</t>
  </si>
  <si>
    <t xml:space="preserve">Noite 18/03</t>
  </si>
  <si>
    <t xml:space="preserve">131 pedidos</t>
  </si>
  <si>
    <t xml:space="preserve">2027-17</t>
  </si>
  <si>
    <t xml:space="preserve">Noite 19/03</t>
  </si>
  <si>
    <t xml:space="preserve">214 pedidos</t>
  </si>
  <si>
    <t xml:space="preserve">2027-18 e 2027-19</t>
  </si>
  <si>
    <t xml:space="preserve">Noite 20/03</t>
  </si>
  <si>
    <t xml:space="preserve">236 pedidos</t>
  </si>
  <si>
    <t xml:space="preserve">A temperatura na saída não foi medida na última hora do pico.</t>
  </si>
  <si>
    <t xml:space="preserve">Noite 21/03</t>
  </si>
  <si>
    <t xml:space="preserve">160 pedidos</t>
  </si>
  <si>
    <t xml:space="preserve">Nº</t>
  </si>
  <si>
    <t xml:space="preserve">Cliente</t>
  </si>
  <si>
    <t xml:space="preserve">2027-14</t>
  </si>
  <si>
    <t xml:space="preserve">Noite 13/03, pedido das 21h</t>
  </si>
  <si>
    <t xml:space="preserve">Pizza fria na saída</t>
  </si>
  <si>
    <t xml:space="preserve">1 pizza</t>
  </si>
  <si>
    <t xml:space="preserve">Pedido 5127</t>
  </si>
  <si>
    <t xml:space="preserve">Sabor trocado</t>
  </si>
  <si>
    <t xml:space="preserve">Retirada da bancada de saída.</t>
  </si>
  <si>
    <t xml:space="preserve">Pizzaiolo líder</t>
  </si>
  <si>
    <t xml:space="preserve">2027-16</t>
  </si>
  <si>
    <t xml:space="preserve">Muçarela, nota de 17/03</t>
  </si>
  <si>
    <t xml:space="preserve">Insumo fora de temperatura</t>
  </si>
  <si>
    <t xml:space="preserve">12 kg</t>
  </si>
  <si>
    <t xml:space="preserve">Não entrou na câmara. Ficou na área de recebimento, com etiqueta vermelha.</t>
  </si>
  <si>
    <t xml:space="preserve">Gerente da loja</t>
  </si>
  <si>
    <t xml:space="preserve">Massa 18/03</t>
  </si>
  <si>
    <t xml:space="preserve">Peso da massa fora</t>
  </si>
  <si>
    <t xml:space="preserve">40 bolas</t>
  </si>
  <si>
    <t xml:space="preserve">Caixa do lote com etiqueta vermelha.</t>
  </si>
  <si>
    <t xml:space="preserve">2027-18</t>
  </si>
  <si>
    <t xml:space="preserve">Pedido 5342, mesa 7</t>
  </si>
  <si>
    <t xml:space="preserve">Borda queimada</t>
  </si>
  <si>
    <t xml:space="preserve">Mostrada ao cliente antes de servir.</t>
  </si>
  <si>
    <t xml:space="preserve">Cliente da mesa 7 aceitou, com desconto de 20%, em 19/03.</t>
  </si>
  <si>
    <t xml:space="preserve">2027-19</t>
  </si>
  <si>
    <t xml:space="preserve">Pedido 5360</t>
  </si>
  <si>
    <t xml:space="preserve">Voltou da bancada de saída para o forno.</t>
  </si>
  <si>
    <t xml:space="preserve">2027-20</t>
  </si>
  <si>
    <t xml:space="preserve">Pedido 5431</t>
  </si>
  <si>
    <t xml:space="preserve">Cliente atendido em 20/03: pizza nova entregue em 35 minutos.</t>
  </si>
  <si>
    <t xml:space="preserve">Pedido 5440</t>
  </si>
  <si>
    <t xml:space="preserve">RNC 2027-03</t>
  </si>
  <si>
    <t xml:space="preserve">Liberações: registradas, a rever</t>
  </si>
  <si>
    <t xml:space="preserve">Registros: abertos, em tratamento, encerrados</t>
  </si>
  <si>
    <t xml:space="preserve">Custo achado depois da entrega</t>
  </si>
  <si>
    <t xml:space="preserve">Indústria de embalagens plásticas</t>
  </si>
  <si>
    <t xml:space="preserve">Extrusão, na extrusora 3, e inspeção final</t>
  </si>
  <si>
    <t xml:space="preserve">Filme de 40 µm para clientes do segmento de alimentos</t>
  </si>
  <si>
    <t xml:space="preserve">Analista da Qualidade, com o laudo do lote. Liberação com verificação pendente: só com a autorização do gerente industrial e o aceite do cliente.</t>
  </si>
  <si>
    <t xml:space="preserve">Coordenador da Qualidade. Retrabalho na linha: líder do turno. Devolução de insumo ao fornecedor: gerente de Suprimentos. Refugo acima de 500 kg e recolhimento no cliente: gerente industrial e gerente comercial.</t>
  </si>
  <si>
    <t xml:space="preserve">Lotes 136 a 143, de 17 a 26/05/2027, lidos em 28/05/2027.</t>
  </si>
  <si>
    <t xml:space="preserve">Reclamações do cliente A e o objetivo O1: reduzir o refugo para 2,0%.</t>
  </si>
  <si>
    <t xml:space="preserve">Lote 136</t>
  </si>
  <si>
    <t xml:space="preserve">4 bobinas, 1.210 kg</t>
  </si>
  <si>
    <t xml:space="preserve">Lote 137</t>
  </si>
  <si>
    <t xml:space="preserve">4 bobinas, 1.180 kg</t>
  </si>
  <si>
    <t xml:space="preserve">Bobina 3 segregada. As outras três foram liberadas.</t>
  </si>
  <si>
    <t xml:space="preserve">Lote 138</t>
  </si>
  <si>
    <t xml:space="preserve">4 bobinas, 1.225 kg</t>
  </si>
  <si>
    <t xml:space="preserve">Gerente industrial, com o aceite do cliente A por e-mail.</t>
  </si>
  <si>
    <t xml:space="preserve">Ensaio de solda pendente: dinamômetro em calibração. Feito em 21/05, conforme.</t>
  </si>
  <si>
    <t xml:space="preserve">2 bobinas, 600 kg</t>
  </si>
  <si>
    <t xml:space="preserve">Retido</t>
  </si>
  <si>
    <t xml:space="preserve">Espessura acima do critério nas duas bobinas. Retido em 20/05; liberado em 21/05, com a concessão do cliente B.</t>
  </si>
  <si>
    <t xml:space="preserve">Lote 141</t>
  </si>
  <si>
    <t xml:space="preserve">4 bobinas, 1.205 kg</t>
  </si>
  <si>
    <t xml:space="preserve">Lote 142</t>
  </si>
  <si>
    <t xml:space="preserve">4 bobinas, 1.215 kg</t>
  </si>
  <si>
    <t xml:space="preserve">Ensaio de solda na fila do laboratório. Lote embarcado no mesmo dia.</t>
  </si>
  <si>
    <t xml:space="preserve">Lote 143</t>
  </si>
  <si>
    <t xml:space="preserve">4 bobinas, 1.200 kg</t>
  </si>
  <si>
    <t xml:space="preserve">2027-24</t>
  </si>
  <si>
    <t xml:space="preserve">Bobina 1 segregada para refilar.</t>
  </si>
  <si>
    <t xml:space="preserve">Lote 132, bobina 2</t>
  </si>
  <si>
    <t xml:space="preserve">Géis</t>
  </si>
  <si>
    <t xml:space="preserve">290 kg</t>
  </si>
  <si>
    <t xml:space="preserve">Etiqueta vermelha. Área de segregação da extrusão.</t>
  </si>
  <si>
    <t xml:space="preserve">Lote 133, bobina 1</t>
  </si>
  <si>
    <t xml:space="preserve">310 kg</t>
  </si>
  <si>
    <t xml:space="preserve">Ciclo PDCA do refugo</t>
  </si>
  <si>
    <t xml:space="preserve">Lote 135, bobina 1</t>
  </si>
  <si>
    <t xml:space="preserve">305 kg</t>
  </si>
  <si>
    <t xml:space="preserve">Lote 137, bobina 3</t>
  </si>
  <si>
    <t xml:space="preserve">280 kg</t>
  </si>
  <si>
    <t xml:space="preserve">Lote 140, duas bobinas</t>
  </si>
  <si>
    <t xml:space="preserve">Lote retido no armazém, com etiqueta vermelha no palete.</t>
  </si>
  <si>
    <t xml:space="preserve">Cliente B aceitou até 44 µm, por e-mail de 21/05, com desconto de 15%.</t>
  </si>
  <si>
    <t xml:space="preserve">2027-22</t>
  </si>
  <si>
    <t xml:space="preserve">Lote 135, bobina 2</t>
  </si>
  <si>
    <t xml:space="preserve">300 kg</t>
  </si>
  <si>
    <t xml:space="preserve">Gerente industrial e gerente comercial</t>
  </si>
  <si>
    <t xml:space="preserve">Cliente A informado em 24/05. Bobina recolhida e reposta em 26/05.</t>
  </si>
  <si>
    <t xml:space="preserve">2027-23</t>
  </si>
  <si>
    <t xml:space="preserve">Resina, lote R-0440</t>
  </si>
  <si>
    <t xml:space="preserve">Resina úmida</t>
  </si>
  <si>
    <t xml:space="preserve">2.000 kg</t>
  </si>
  <si>
    <t xml:space="preserve">Etiqueta vermelha no almoxarifado. Não entrou no estoque.</t>
  </si>
  <si>
    <t xml:space="preserve">Gerente de Suprimentos</t>
  </si>
  <si>
    <t xml:space="preserve">Lote 143, bobina 1</t>
  </si>
  <si>
    <t xml:space="preserve">Largura fora</t>
  </si>
  <si>
    <t xml:space="preserve">Etiqueta vermelha. Ao lado da refiladeira.</t>
  </si>
  <si>
    <t xml:space="preserve">Líder do turno</t>
  </si>
  <si>
    <t xml:space="preserve">2027-25</t>
  </si>
  <si>
    <t xml:space="preserve">Solda fraca</t>
  </si>
  <si>
    <t xml:space="preserve">1.215 kg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</si>
</sst>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/mm/yyyy"/>
    <numFmt numFmtId="167" formatCode="0"/>
    <numFmt numFmtId="168" formatCode="&quot;R$ &quot;#,##0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i val="true"/>
      <sz val="9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5B6B76"/>
      </patternFill>
    </fill>
    <fill>
      <patternFill patternType="solid">
        <fgColor rgb="FFB0413E"/>
        <bgColor rgb="FF99330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008080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5DED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"Custo por registro"</c:f>
              <c:strCache>
                <c:ptCount val="1"/>
                <c:pt idx="0">
                  <c:v>Custo por registro</c:v>
                </c:pt>
              </c:strCache>
            </c:strRef>
          </c:tx>
          <c:spPr>
            <a:solidFill>
              <a:srgbClr val="b0413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Painel!$B$20:$B$23</c:f>
              <c:strCache>
                <c:ptCount val="4"/>
                <c:pt idx="0">
                  <c:v>Recebimento</c:v>
                </c:pt>
                <c:pt idx="1">
                  <c:v>Processo</c:v>
                </c:pt>
                <c:pt idx="2">
                  <c:v>Inspeção final</c:v>
                </c:pt>
                <c:pt idx="3">
                  <c:v>Após a entrega</c:v>
                </c:pt>
              </c:strCache>
            </c:strRef>
          </c:cat>
          <c:val>
            <c:numRef>
              <c:f>Painel!$E$20:$E$23</c:f>
              <c:numCache>
                <c:formatCode>"R$ 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80"/>
        <c:overlap val="0"/>
        <c:axId val="39362509"/>
        <c:axId val="59297971"/>
      </c:barChart>
      <c:catAx>
        <c:axId val="39362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97971"/>
        <c:crosses val="autoZero"/>
        <c:auto val="1"/>
        <c:lblAlgn val="ctr"/>
        <c:lblOffset val="100"/>
        <c:noMultiLvlLbl val="0"/>
      </c:catAx>
      <c:valAx>
        <c:axId val="592979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625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6</xdr:col>
      <xdr:colOff>997200</xdr:colOff>
      <xdr:row>51</xdr:row>
      <xdr:rowOff>22320</xdr:rowOff>
    </xdr:to>
    <xdr:graphicFrame>
      <xdr:nvGraphicFramePr>
        <xdr:cNvPr id="0" name="Chart 1"/>
        <xdr:cNvGraphicFramePr/>
      </xdr:nvGraphicFramePr>
      <xdr:xfrm>
        <a:off x="141120" y="99918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31.5" hidden="false" customHeight="true" outlineLevel="0" collapsed="false">
      <c r="B18" s="4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20:C20"/>
    <mergeCell ref="B28:C28"/>
    <mergeCell ref="B37:C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67</v>
      </c>
      <c r="C4" s="4"/>
      <c r="D4" s="5"/>
      <c r="E4" s="5"/>
      <c r="F4" s="5"/>
      <c r="G4" s="5"/>
      <c r="H4" s="5"/>
      <c r="I4" s="5"/>
    </row>
    <row r="6" customFormat="false" ht="33" hidden="false" customHeight="true" outlineLevel="0" collapsed="false">
      <c r="B6" s="8" t="s">
        <v>68</v>
      </c>
      <c r="C6" s="8" t="s">
        <v>69</v>
      </c>
      <c r="D6" s="8" t="s">
        <v>70</v>
      </c>
      <c r="E6" s="8" t="s">
        <v>65</v>
      </c>
      <c r="F6" s="8" t="s">
        <v>71</v>
      </c>
      <c r="G6" s="8" t="s">
        <v>72</v>
      </c>
      <c r="H6" s="8" t="s">
        <v>73</v>
      </c>
      <c r="I6" s="8" t="s">
        <v>74</v>
      </c>
    </row>
    <row r="7" customFormat="false" ht="33" hidden="false" customHeight="true" outlineLevel="0" collapsed="false">
      <c r="B7" s="9" t="n">
        <v>1</v>
      </c>
      <c r="C7" s="4" t="s">
        <v>75</v>
      </c>
      <c r="D7" s="10" t="s">
        <v>76</v>
      </c>
      <c r="E7" s="5"/>
      <c r="F7" s="5"/>
      <c r="G7" s="11"/>
      <c r="H7" s="5"/>
      <c r="I7" s="12" t="str">
        <f aca="false">IF(E7="","Falta quem decide",IF(FALSE(),"",IF(H7="","Falta onde se registra","OK")))</f>
        <v>Falta quem decide</v>
      </c>
    </row>
    <row r="8" customFormat="false" ht="33" hidden="false" customHeight="true" outlineLevel="0" collapsed="false">
      <c r="B8" s="9" t="n">
        <v>2</v>
      </c>
      <c r="C8" s="4" t="s">
        <v>77</v>
      </c>
      <c r="D8" s="10" t="s">
        <v>78</v>
      </c>
      <c r="E8" s="5"/>
      <c r="F8" s="5"/>
      <c r="G8" s="11"/>
      <c r="H8" s="5"/>
      <c r="I8" s="12" t="str">
        <f aca="false">IF(E8="","Falta quem decide",IF(FALSE(),"",IF(H8="","Falta onde se registra","OK")))</f>
        <v>Falta quem decide</v>
      </c>
    </row>
    <row r="9" customFormat="false" ht="33" hidden="false" customHeight="true" outlineLevel="0" collapsed="false">
      <c r="B9" s="9" t="n">
        <v>3</v>
      </c>
      <c r="C9" s="4" t="s">
        <v>79</v>
      </c>
      <c r="D9" s="10" t="s">
        <v>80</v>
      </c>
      <c r="E9" s="5"/>
      <c r="F9" s="5"/>
      <c r="G9" s="11"/>
      <c r="H9" s="5"/>
      <c r="I9" s="12" t="str">
        <f aca="false">IF(E9="","Falta quem decide",IF(FALSE(),"",IF(H9="","Falta onde se registra","OK")))</f>
        <v>Falta quem decide</v>
      </c>
    </row>
    <row r="10" customFormat="false" ht="33" hidden="false" customHeight="true" outlineLevel="0" collapsed="false">
      <c r="B10" s="9" t="n">
        <v>4</v>
      </c>
      <c r="C10" s="4" t="s">
        <v>81</v>
      </c>
      <c r="D10" s="10" t="s">
        <v>82</v>
      </c>
      <c r="E10" s="5"/>
      <c r="F10" s="5"/>
      <c r="G10" s="11"/>
      <c r="H10" s="5"/>
      <c r="I10" s="12" t="str">
        <f aca="false">IF(E10="","Falta quem decide",IF(FALSE(),"",IF(H10="","Falta onde se registra","OK")))</f>
        <v>Falta quem decide</v>
      </c>
    </row>
    <row r="11" customFormat="false" ht="33" hidden="false" customHeight="true" outlineLevel="0" collapsed="false">
      <c r="B11" s="9" t="n">
        <v>5</v>
      </c>
      <c r="C11" s="4" t="s">
        <v>83</v>
      </c>
      <c r="D11" s="10" t="s">
        <v>84</v>
      </c>
      <c r="E11" s="5"/>
      <c r="F11" s="5"/>
      <c r="G11" s="11"/>
      <c r="H11" s="5"/>
      <c r="I11" s="12" t="str">
        <f aca="false">IF(E11="","Falta quem decide",IF(AND(C11="Aceitar sob concessão",G11&lt;&gt;"Sim"),"A concessão pede o aceite do cliente",IF(H11="","Falta onde se registra","OK")))</f>
        <v>Falta quem decide</v>
      </c>
    </row>
    <row r="12" customFormat="false" ht="33" hidden="false" customHeight="true" outlineLevel="0" collapsed="false">
      <c r="B12" s="9" t="n">
        <v>6</v>
      </c>
      <c r="C12" s="4" t="s">
        <v>85</v>
      </c>
      <c r="D12" s="10" t="s">
        <v>86</v>
      </c>
      <c r="E12" s="5"/>
      <c r="F12" s="5"/>
      <c r="G12" s="11"/>
      <c r="H12" s="5"/>
      <c r="I12" s="12" t="str">
        <f aca="false">IF(E12="","Falta quem decide",IF(FALSE(),"",IF(H12="","Falta onde se registra","OK")))</f>
        <v>Falta quem decide</v>
      </c>
    </row>
    <row r="13" customFormat="false" ht="33" hidden="false" customHeight="true" outlineLevel="0" collapsed="false">
      <c r="B13" s="9" t="n">
        <v>7</v>
      </c>
      <c r="C13" s="4" t="s">
        <v>87</v>
      </c>
      <c r="D13" s="10" t="s">
        <v>88</v>
      </c>
      <c r="E13" s="5"/>
      <c r="F13" s="5"/>
      <c r="G13" s="11"/>
      <c r="H13" s="5"/>
      <c r="I13" s="12" t="str">
        <f aca="false">IF(E13="","Falta quem decide",IF(FALSE(),"",IF(H13="","Falta onde se registra","OK")))</f>
        <v>Falta quem decide</v>
      </c>
    </row>
    <row r="14" customFormat="false" ht="33" hidden="false" customHeight="true" outlineLevel="0" collapsed="false">
      <c r="B14" s="9" t="n">
        <v>8</v>
      </c>
      <c r="C14" s="4" t="s">
        <v>89</v>
      </c>
      <c r="D14" s="10" t="s">
        <v>90</v>
      </c>
      <c r="E14" s="5"/>
      <c r="F14" s="5"/>
      <c r="G14" s="11"/>
      <c r="H14" s="5"/>
      <c r="I14" s="12" t="str">
        <f aca="false">IF(E14="","Falta quem decide",IF(FALSE(),"",IF(H14="","Falta onde se registra","OK")))</f>
        <v>Falta quem decide</v>
      </c>
    </row>
    <row r="16" customFormat="false" ht="21.75" hidden="false" customHeight="true" outlineLevel="0" collapsed="false">
      <c r="B16" s="13" t="s">
        <v>91</v>
      </c>
      <c r="C16" s="13"/>
      <c r="D16" s="13"/>
      <c r="E16" s="13"/>
      <c r="F16" s="13"/>
      <c r="G16" s="13"/>
      <c r="H16" s="13"/>
      <c r="I16" s="13"/>
    </row>
    <row r="17" customFormat="false" ht="21.75" hidden="false" customHeight="true" outlineLevel="0" collapsed="false">
      <c r="B17" s="14" t="s">
        <v>92</v>
      </c>
      <c r="C17" s="14"/>
      <c r="D17" s="14"/>
      <c r="E17" s="15" t="str">
        <f aca="false">COUNTA(E7:E14)&amp;" de 8"</f>
        <v>0 de 8</v>
      </c>
      <c r="F17" s="15"/>
      <c r="G17" s="15"/>
      <c r="H17" s="15"/>
      <c r="I17" s="15"/>
    </row>
    <row r="18" customFormat="false" ht="21.75" hidden="false" customHeight="true" outlineLevel="0" collapsed="false">
      <c r="B18" s="14" t="s">
        <v>93</v>
      </c>
      <c r="C18" s="14"/>
      <c r="D18" s="14"/>
      <c r="E18" s="16" t="str">
        <f aca="false">IF(D4="","Escreva a organização e o produto",IF(COUNTIF(I7:I14,"OK")&lt;ROWS(I7:I14),"Há decisão a completar: veja a coluna Conferência","OK"))</f>
        <v>Escreva a organização e o produto</v>
      </c>
      <c r="F18" s="16"/>
      <c r="G18" s="16"/>
      <c r="H18" s="16"/>
      <c r="I18" s="16"/>
    </row>
  </sheetData>
  <mergeCells count="9">
    <mergeCell ref="B1:I1"/>
    <mergeCell ref="B2:I2"/>
    <mergeCell ref="B4:C4"/>
    <mergeCell ref="D4:I4"/>
    <mergeCell ref="B16:I16"/>
    <mergeCell ref="B17:D17"/>
    <mergeCell ref="E17:I17"/>
    <mergeCell ref="B18:D18"/>
    <mergeCell ref="E18:I18"/>
  </mergeCells>
  <conditionalFormatting sqref="I7:I14">
    <cfRule type="expression" priority="2" aboveAverage="0" equalAverage="0" bottom="0" percent="0" rank="0" text="" dxfId="0">
      <formula>OR(I7="OK")</formula>
    </cfRule>
    <cfRule type="expression" priority="3" aboveAverage="0" equalAverage="0" bottom="0" percent="0" rank="0" text="" dxfId="1">
      <formula>AND(LEN(I7)&gt;0,NOT(OR(I7="OK")))</formula>
    </cfRule>
  </conditionalFormatting>
  <conditionalFormatting sqref="E18:I18">
    <cfRule type="expression" priority="4" aboveAverage="0" equalAverage="0" bottom="0" percent="0" rank="0" text="" dxfId="0">
      <formula>OR(E18="OK")</formula>
    </cfRule>
    <cfRule type="expression" priority="5" aboveAverage="0" equalAverage="0" bottom="0" percent="0" rank="0" text="" dxfId="1">
      <formula>AND(LEN(E18)&gt;0,NOT(OR(E18="OK")))</formula>
    </cfRule>
  </conditionalFormatting>
  <dataValidations count="1">
    <dataValidation allowBlank="true" error="Escolha uma das opções da lista." errorStyle="stop" errorTitle="Valor inválido" operator="between" prompt="O cliente precisa concordar com esta decisão?" promptTitle="Opções" showDropDown="false" showErrorMessage="true" showInputMessage="true" sqref="G7:G14" type="list">
      <formula1>"Sim,Não,Quando aplicável"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8" min="6" style="0" width="11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5" min="14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3" hidden="false" customHeight="true" outlineLevel="0" collapsed="false">
      <c r="B4" s="8" t="s">
        <v>68</v>
      </c>
      <c r="C4" s="8" t="s">
        <v>96</v>
      </c>
      <c r="D4" s="8" t="s">
        <v>97</v>
      </c>
      <c r="E4" s="8" t="s">
        <v>98</v>
      </c>
      <c r="F4" s="8" t="s">
        <v>99</v>
      </c>
      <c r="G4" s="8" t="s">
        <v>100</v>
      </c>
      <c r="H4" s="8" t="s">
        <v>101</v>
      </c>
      <c r="I4" s="8" t="s">
        <v>102</v>
      </c>
      <c r="J4" s="8" t="s">
        <v>69</v>
      </c>
      <c r="K4" s="8" t="s">
        <v>103</v>
      </c>
      <c r="L4" s="8" t="s">
        <v>104</v>
      </c>
      <c r="M4" s="8" t="s">
        <v>105</v>
      </c>
      <c r="N4" s="8" t="s">
        <v>106</v>
      </c>
      <c r="O4" s="8" t="s">
        <v>74</v>
      </c>
    </row>
    <row r="5" customFormat="false" ht="30" hidden="false" customHeight="true" outlineLevel="0" collapsed="false">
      <c r="B5" s="17"/>
      <c r="C5" s="17" t="s">
        <v>96</v>
      </c>
      <c r="D5" s="17" t="s">
        <v>107</v>
      </c>
      <c r="E5" s="17" t="s">
        <v>108</v>
      </c>
      <c r="F5" s="17" t="s">
        <v>109</v>
      </c>
      <c r="G5" s="17" t="s">
        <v>109</v>
      </c>
      <c r="H5" s="17" t="s">
        <v>109</v>
      </c>
      <c r="I5" s="17" t="s">
        <v>110</v>
      </c>
      <c r="J5" s="17" t="s">
        <v>111</v>
      </c>
      <c r="K5" s="17" t="s">
        <v>112</v>
      </c>
      <c r="L5" s="17" t="s">
        <v>113</v>
      </c>
      <c r="M5" s="17" t="s">
        <v>114</v>
      </c>
      <c r="N5" s="17"/>
      <c r="O5" s="17" t="s">
        <v>110</v>
      </c>
    </row>
    <row r="6" customFormat="false" ht="30" hidden="false" customHeight="true" outlineLevel="0" collapsed="false">
      <c r="B6" s="17" t="s">
        <v>115</v>
      </c>
      <c r="C6" s="18" t="n">
        <v>46527</v>
      </c>
      <c r="D6" s="19" t="s">
        <v>116</v>
      </c>
      <c r="E6" s="19" t="s">
        <v>117</v>
      </c>
      <c r="F6" s="17" t="n">
        <v>12</v>
      </c>
      <c r="G6" s="17" t="n">
        <v>11</v>
      </c>
      <c r="H6" s="17" t="n">
        <v>0</v>
      </c>
      <c r="I6" s="17" t="s">
        <v>18</v>
      </c>
      <c r="J6" s="17" t="s">
        <v>118</v>
      </c>
      <c r="K6" s="19" t="s">
        <v>119</v>
      </c>
      <c r="L6" s="19" t="s">
        <v>120</v>
      </c>
      <c r="M6" s="17"/>
      <c r="N6" s="19" t="s">
        <v>121</v>
      </c>
      <c r="O6" s="17" t="s">
        <v>122</v>
      </c>
    </row>
    <row r="7" customFormat="false" ht="21.75" hidden="false" customHeight="true" outlineLevel="0" collapsed="false">
      <c r="B7" s="9" t="n">
        <v>1</v>
      </c>
      <c r="C7" s="20"/>
      <c r="D7" s="5"/>
      <c r="E7" s="5"/>
      <c r="F7" s="21"/>
      <c r="G7" s="21"/>
      <c r="H7" s="21"/>
      <c r="I7" s="22" t="str">
        <f aca="false">IF(D7="","",IF(OR(F7="",G7=""),"Falta o número de verificações",IF(G7&gt;F7,"Feitas acima das previstas",IF(G7&lt;F7,"Verificação pendente",IF(N(H7)&gt;0,"Com desvio","Conforme")))))</f>
        <v/>
      </c>
      <c r="J7" s="11"/>
      <c r="K7" s="5"/>
      <c r="L7" s="5"/>
      <c r="M7" s="5"/>
      <c r="N7" s="5"/>
      <c r="O7" s="12" t="str">
        <f aca="false">IF(D7="","",IF(J7="","Falta a decisão",IF(OR(LEFT(I7,5)="Falta",LEFT(I7,5)="Feita"),I7,IF(AND(G7&lt;F7,J7="Liberado"),"Liberado com verificação pendente",IF(AND(J7="Liberado com autorização",L7=""),"Falta quem autorizou",IF(AND(N(H7)&gt;0,M7=""),"Desvio sem registro de não conforme",IF(AND(J7="Retido",M7=""),"Retido sem registro de não conforme",IF(AND(J7&lt;&gt;"Retido",K7=""),"Falta quem liberou","OK"))))))))</f>
        <v/>
      </c>
    </row>
    <row r="8" customFormat="false" ht="21.75" hidden="false" customHeight="true" outlineLevel="0" collapsed="false">
      <c r="B8" s="9" t="n">
        <v>2</v>
      </c>
      <c r="C8" s="20"/>
      <c r="D8" s="5"/>
      <c r="E8" s="5"/>
      <c r="F8" s="21"/>
      <c r="G8" s="21"/>
      <c r="H8" s="21"/>
      <c r="I8" s="22" t="str">
        <f aca="false">IF(D8="","",IF(OR(F8="",G8=""),"Falta o número de verificações",IF(G8&gt;F8,"Feitas acima das previstas",IF(G8&lt;F8,"Verificação pendente",IF(N(H8)&gt;0,"Com desvio","Conforme")))))</f>
        <v/>
      </c>
      <c r="J8" s="11"/>
      <c r="K8" s="5"/>
      <c r="L8" s="5"/>
      <c r="M8" s="5"/>
      <c r="N8" s="5"/>
      <c r="O8" s="12" t="str">
        <f aca="false">IF(D8="","",IF(J8="","Falta a decisão",IF(OR(LEFT(I8,5)="Falta",LEFT(I8,5)="Feita"),I8,IF(AND(G8&lt;F8,J8="Liberado"),"Liberado com verificação pendente",IF(AND(J8="Liberado com autorização",L8=""),"Falta quem autorizou",IF(AND(N(H8)&gt;0,M8=""),"Desvio sem registro de não conforme",IF(AND(J8="Retido",M8=""),"Retido sem registro de não conforme",IF(AND(J8&lt;&gt;"Retido",K8=""),"Falta quem liberou","OK"))))))))</f>
        <v/>
      </c>
    </row>
    <row r="9" customFormat="false" ht="21.75" hidden="false" customHeight="true" outlineLevel="0" collapsed="false">
      <c r="B9" s="9" t="n">
        <v>3</v>
      </c>
      <c r="C9" s="20"/>
      <c r="D9" s="5"/>
      <c r="E9" s="5"/>
      <c r="F9" s="21"/>
      <c r="G9" s="21"/>
      <c r="H9" s="21"/>
      <c r="I9" s="22" t="str">
        <f aca="false">IF(D9="","",IF(OR(F9="",G9=""),"Falta o número de verificações",IF(G9&gt;F9,"Feitas acima das previstas",IF(G9&lt;F9,"Verificação pendente",IF(N(H9)&gt;0,"Com desvio","Conforme")))))</f>
        <v/>
      </c>
      <c r="J9" s="11"/>
      <c r="K9" s="5"/>
      <c r="L9" s="5"/>
      <c r="M9" s="5"/>
      <c r="N9" s="5"/>
      <c r="O9" s="12" t="str">
        <f aca="false">IF(D9="","",IF(J9="","Falta a decisão",IF(OR(LEFT(I9,5)="Falta",LEFT(I9,5)="Feita"),I9,IF(AND(G9&lt;F9,J9="Liberado"),"Liberado com verificação pendente",IF(AND(J9="Liberado com autorização",L9=""),"Falta quem autorizou",IF(AND(N(H9)&gt;0,M9=""),"Desvio sem registro de não conforme",IF(AND(J9="Retido",M9=""),"Retido sem registro de não conforme",IF(AND(J9&lt;&gt;"Retido",K9=""),"Falta quem liberou","OK"))))))))</f>
        <v/>
      </c>
    </row>
    <row r="10" customFormat="false" ht="21.75" hidden="false" customHeight="true" outlineLevel="0" collapsed="false">
      <c r="B10" s="9" t="n">
        <v>4</v>
      </c>
      <c r="C10" s="20"/>
      <c r="D10" s="5"/>
      <c r="E10" s="5"/>
      <c r="F10" s="21"/>
      <c r="G10" s="21"/>
      <c r="H10" s="21"/>
      <c r="I10" s="22" t="str">
        <f aca="false">IF(D10="","",IF(OR(F10="",G10=""),"Falta o número de verificações",IF(G10&gt;F10,"Feitas acima das previstas",IF(G10&lt;F10,"Verificação pendente",IF(N(H10)&gt;0,"Com desvio","Conforme")))))</f>
        <v/>
      </c>
      <c r="J10" s="11"/>
      <c r="K10" s="5"/>
      <c r="L10" s="5"/>
      <c r="M10" s="5"/>
      <c r="N10" s="5"/>
      <c r="O10" s="12" t="str">
        <f aca="false">IF(D10="","",IF(J10="","Falta a decisão",IF(OR(LEFT(I10,5)="Falta",LEFT(I10,5)="Feita"),I10,IF(AND(G10&lt;F10,J10="Liberado"),"Liberado com verificação pendente",IF(AND(J10="Liberado com autorização",L10=""),"Falta quem autorizou",IF(AND(N(H10)&gt;0,M10=""),"Desvio sem registro de não conforme",IF(AND(J10="Retido",M10=""),"Retido sem registro de não conforme",IF(AND(J10&lt;&gt;"Retido",K10=""),"Falta quem liberou","OK"))))))))</f>
        <v/>
      </c>
    </row>
    <row r="11" customFormat="false" ht="21.75" hidden="false" customHeight="true" outlineLevel="0" collapsed="false">
      <c r="B11" s="9" t="n">
        <v>5</v>
      </c>
      <c r="C11" s="20"/>
      <c r="D11" s="5"/>
      <c r="E11" s="5"/>
      <c r="F11" s="21"/>
      <c r="G11" s="21"/>
      <c r="H11" s="21"/>
      <c r="I11" s="22" t="str">
        <f aca="false">IF(D11="","",IF(OR(F11="",G11=""),"Falta o número de verificações",IF(G11&gt;F11,"Feitas acima das previstas",IF(G11&lt;F11,"Verificação pendente",IF(N(H11)&gt;0,"Com desvio","Conforme")))))</f>
        <v/>
      </c>
      <c r="J11" s="11"/>
      <c r="K11" s="5"/>
      <c r="L11" s="5"/>
      <c r="M11" s="5"/>
      <c r="N11" s="5"/>
      <c r="O11" s="12" t="str">
        <f aca="false">IF(D11="","",IF(J11="","Falta a decisão",IF(OR(LEFT(I11,5)="Falta",LEFT(I11,5)="Feita"),I11,IF(AND(G11&lt;F11,J11="Liberado"),"Liberado com verificação pendente",IF(AND(J11="Liberado com autorização",L11=""),"Falta quem autorizou",IF(AND(N(H11)&gt;0,M11=""),"Desvio sem registro de não conforme",IF(AND(J11="Retido",M11=""),"Retido sem registro de não conforme",IF(AND(J11&lt;&gt;"Retido",K11=""),"Falta quem liberou","OK"))))))))</f>
        <v/>
      </c>
    </row>
    <row r="12" customFormat="false" ht="21.75" hidden="false" customHeight="true" outlineLevel="0" collapsed="false">
      <c r="B12" s="9" t="n">
        <v>6</v>
      </c>
      <c r="C12" s="20"/>
      <c r="D12" s="5"/>
      <c r="E12" s="5"/>
      <c r="F12" s="21"/>
      <c r="G12" s="21"/>
      <c r="H12" s="21"/>
      <c r="I12" s="22" t="str">
        <f aca="false">IF(D12="","",IF(OR(F12="",G12=""),"Falta o número de verificações",IF(G12&gt;F12,"Feitas acima das previstas",IF(G12&lt;F12,"Verificação pendente",IF(N(H12)&gt;0,"Com desvio","Conforme")))))</f>
        <v/>
      </c>
      <c r="J12" s="11"/>
      <c r="K12" s="5"/>
      <c r="L12" s="5"/>
      <c r="M12" s="5"/>
      <c r="N12" s="5"/>
      <c r="O12" s="12" t="str">
        <f aca="false">IF(D12="","",IF(J12="","Falta a decisão",IF(OR(LEFT(I12,5)="Falta",LEFT(I12,5)="Feita"),I12,IF(AND(G12&lt;F12,J12="Liberado"),"Liberado com verificação pendente",IF(AND(J12="Liberado com autorização",L12=""),"Falta quem autorizou",IF(AND(N(H12)&gt;0,M12=""),"Desvio sem registro de não conforme",IF(AND(J12="Retido",M12=""),"Retido sem registro de não conforme",IF(AND(J12&lt;&gt;"Retido",K12=""),"Falta quem liberou","OK"))))))))</f>
        <v/>
      </c>
    </row>
    <row r="13" customFormat="false" ht="21.75" hidden="false" customHeight="true" outlineLevel="0" collapsed="false">
      <c r="B13" s="9" t="n">
        <v>7</v>
      </c>
      <c r="C13" s="20"/>
      <c r="D13" s="5"/>
      <c r="E13" s="5"/>
      <c r="F13" s="21"/>
      <c r="G13" s="21"/>
      <c r="H13" s="21"/>
      <c r="I13" s="22" t="str">
        <f aca="false">IF(D13="","",IF(OR(F13="",G13=""),"Falta o número de verificações",IF(G13&gt;F13,"Feitas acima das previstas",IF(G13&lt;F13,"Verificação pendente",IF(N(H13)&gt;0,"Com desvio","Conforme")))))</f>
        <v/>
      </c>
      <c r="J13" s="11"/>
      <c r="K13" s="5"/>
      <c r="L13" s="5"/>
      <c r="M13" s="5"/>
      <c r="N13" s="5"/>
      <c r="O13" s="12" t="str">
        <f aca="false">IF(D13="","",IF(J13="","Falta a decisão",IF(OR(LEFT(I13,5)="Falta",LEFT(I13,5)="Feita"),I13,IF(AND(G13&lt;F13,J13="Liberado"),"Liberado com verificação pendente",IF(AND(J13="Liberado com autorização",L13=""),"Falta quem autorizou",IF(AND(N(H13)&gt;0,M13=""),"Desvio sem registro de não conforme",IF(AND(J13="Retido",M13=""),"Retido sem registro de não conforme",IF(AND(J13&lt;&gt;"Retido",K13=""),"Falta quem liberou","OK"))))))))</f>
        <v/>
      </c>
    </row>
    <row r="14" customFormat="false" ht="21.75" hidden="false" customHeight="true" outlineLevel="0" collapsed="false">
      <c r="B14" s="9" t="n">
        <v>8</v>
      </c>
      <c r="C14" s="20"/>
      <c r="D14" s="5"/>
      <c r="E14" s="5"/>
      <c r="F14" s="21"/>
      <c r="G14" s="21"/>
      <c r="H14" s="21"/>
      <c r="I14" s="22" t="str">
        <f aca="false">IF(D14="","",IF(OR(F14="",G14=""),"Falta o número de verificações",IF(G14&gt;F14,"Feitas acima das previstas",IF(G14&lt;F14,"Verificação pendente",IF(N(H14)&gt;0,"Com desvio","Conforme")))))</f>
        <v/>
      </c>
      <c r="J14" s="11"/>
      <c r="K14" s="5"/>
      <c r="L14" s="5"/>
      <c r="M14" s="5"/>
      <c r="N14" s="5"/>
      <c r="O14" s="12" t="str">
        <f aca="false">IF(D14="","",IF(J14="","Falta a decisão",IF(OR(LEFT(I14,5)="Falta",LEFT(I14,5)="Feita"),I14,IF(AND(G14&lt;F14,J14="Liberado"),"Liberado com verificação pendente",IF(AND(J14="Liberado com autorização",L14=""),"Falta quem autorizou",IF(AND(N(H14)&gt;0,M14=""),"Desvio sem registro de não conforme",IF(AND(J14="Retido",M14=""),"Retido sem registro de não conforme",IF(AND(J14&lt;&gt;"Retido",K14=""),"Falta quem liberou","OK"))))))))</f>
        <v/>
      </c>
    </row>
    <row r="15" customFormat="false" ht="21.75" hidden="false" customHeight="true" outlineLevel="0" collapsed="false">
      <c r="B15" s="9" t="n">
        <v>9</v>
      </c>
      <c r="C15" s="20"/>
      <c r="D15" s="5"/>
      <c r="E15" s="5"/>
      <c r="F15" s="21"/>
      <c r="G15" s="21"/>
      <c r="H15" s="21"/>
      <c r="I15" s="22" t="str">
        <f aca="false">IF(D15="","",IF(OR(F15="",G15=""),"Falta o número de verificações",IF(G15&gt;F15,"Feitas acima das previstas",IF(G15&lt;F15,"Verificação pendente",IF(N(H15)&gt;0,"Com desvio","Conforme")))))</f>
        <v/>
      </c>
      <c r="J15" s="11"/>
      <c r="K15" s="5"/>
      <c r="L15" s="5"/>
      <c r="M15" s="5"/>
      <c r="N15" s="5"/>
      <c r="O15" s="12" t="str">
        <f aca="false">IF(D15="","",IF(J15="","Falta a decisão",IF(OR(LEFT(I15,5)="Falta",LEFT(I15,5)="Feita"),I15,IF(AND(G15&lt;F15,J15="Liberado"),"Liberado com verificação pendente",IF(AND(J15="Liberado com autorização",L15=""),"Falta quem autorizou",IF(AND(N(H15)&gt;0,M15=""),"Desvio sem registro de não conforme",IF(AND(J15="Retido",M15=""),"Retido sem registro de não conforme",IF(AND(J15&lt;&gt;"Retido",K15=""),"Falta quem liberou","OK"))))))))</f>
        <v/>
      </c>
    </row>
    <row r="16" customFormat="false" ht="21.75" hidden="false" customHeight="true" outlineLevel="0" collapsed="false">
      <c r="B16" s="9" t="n">
        <v>10</v>
      </c>
      <c r="C16" s="20"/>
      <c r="D16" s="5"/>
      <c r="E16" s="5"/>
      <c r="F16" s="21"/>
      <c r="G16" s="21"/>
      <c r="H16" s="21"/>
      <c r="I16" s="22" t="str">
        <f aca="false">IF(D16="","",IF(OR(F16="",G16=""),"Falta o número de verificações",IF(G16&gt;F16,"Feitas acima das previstas",IF(G16&lt;F16,"Verificação pendente",IF(N(H16)&gt;0,"Com desvio","Conforme")))))</f>
        <v/>
      </c>
      <c r="J16" s="11"/>
      <c r="K16" s="5"/>
      <c r="L16" s="5"/>
      <c r="M16" s="5"/>
      <c r="N16" s="5"/>
      <c r="O16" s="12" t="str">
        <f aca="false">IF(D16="","",IF(J16="","Falta a decisão",IF(OR(LEFT(I16,5)="Falta",LEFT(I16,5)="Feita"),I16,IF(AND(G16&lt;F16,J16="Liberado"),"Liberado com verificação pendente",IF(AND(J16="Liberado com autorização",L16=""),"Falta quem autorizou",IF(AND(N(H16)&gt;0,M16=""),"Desvio sem registro de não conforme",IF(AND(J16="Retido",M16=""),"Retido sem registro de não conforme",IF(AND(J16&lt;&gt;"Retido",K16=""),"Falta quem liberou","OK"))))))))</f>
        <v/>
      </c>
    </row>
    <row r="17" customFormat="false" ht="21.75" hidden="false" customHeight="true" outlineLevel="0" collapsed="false">
      <c r="B17" s="9" t="n">
        <v>11</v>
      </c>
      <c r="C17" s="20"/>
      <c r="D17" s="5"/>
      <c r="E17" s="5"/>
      <c r="F17" s="21"/>
      <c r="G17" s="21"/>
      <c r="H17" s="21"/>
      <c r="I17" s="22" t="str">
        <f aca="false">IF(D17="","",IF(OR(F17="",G17=""),"Falta o número de verificações",IF(G17&gt;F17,"Feitas acima das previstas",IF(G17&lt;F17,"Verificação pendente",IF(N(H17)&gt;0,"Com desvio","Conforme")))))</f>
        <v/>
      </c>
      <c r="J17" s="11"/>
      <c r="K17" s="5"/>
      <c r="L17" s="5"/>
      <c r="M17" s="5"/>
      <c r="N17" s="5"/>
      <c r="O17" s="12" t="str">
        <f aca="false">IF(D17="","",IF(J17="","Falta a decisão",IF(OR(LEFT(I17,5)="Falta",LEFT(I17,5)="Feita"),I17,IF(AND(G17&lt;F17,J17="Liberado"),"Liberado com verificação pendente",IF(AND(J17="Liberado com autorização",L17=""),"Falta quem autorizou",IF(AND(N(H17)&gt;0,M17=""),"Desvio sem registro de não conforme",IF(AND(J17="Retido",M17=""),"Retido sem registro de não conforme",IF(AND(J17&lt;&gt;"Retido",K17=""),"Falta quem liberou","OK"))))))))</f>
        <v/>
      </c>
    </row>
    <row r="18" customFormat="false" ht="21.75" hidden="false" customHeight="true" outlineLevel="0" collapsed="false">
      <c r="B18" s="9" t="n">
        <v>12</v>
      </c>
      <c r="C18" s="20"/>
      <c r="D18" s="5"/>
      <c r="E18" s="5"/>
      <c r="F18" s="21"/>
      <c r="G18" s="21"/>
      <c r="H18" s="21"/>
      <c r="I18" s="22" t="str">
        <f aca="false">IF(D18="","",IF(OR(F18="",G18=""),"Falta o número de verificações",IF(G18&gt;F18,"Feitas acima das previstas",IF(G18&lt;F18,"Verificação pendente",IF(N(H18)&gt;0,"Com desvio","Conforme")))))</f>
        <v/>
      </c>
      <c r="J18" s="11"/>
      <c r="K18" s="5"/>
      <c r="L18" s="5"/>
      <c r="M18" s="5"/>
      <c r="N18" s="5"/>
      <c r="O18" s="12" t="str">
        <f aca="false">IF(D18="","",IF(J18="","Falta a decisão",IF(OR(LEFT(I18,5)="Falta",LEFT(I18,5)="Feita"),I18,IF(AND(G18&lt;F18,J18="Liberado"),"Liberado com verificação pendente",IF(AND(J18="Liberado com autorização",L18=""),"Falta quem autorizou",IF(AND(N(H18)&gt;0,M18=""),"Desvio sem registro de não conforme",IF(AND(J18="Retido",M18=""),"Retido sem registro de não conforme",IF(AND(J18&lt;&gt;"Retido",K18=""),"Falta quem liberou","OK"))))))))</f>
        <v/>
      </c>
    </row>
    <row r="19" customFormat="false" ht="21.75" hidden="false" customHeight="true" outlineLevel="0" collapsed="false">
      <c r="B19" s="9" t="n">
        <v>13</v>
      </c>
      <c r="C19" s="20"/>
      <c r="D19" s="5"/>
      <c r="E19" s="5"/>
      <c r="F19" s="21"/>
      <c r="G19" s="21"/>
      <c r="H19" s="21"/>
      <c r="I19" s="22" t="str">
        <f aca="false">IF(D19="","",IF(OR(F19="",G19=""),"Falta o número de verificações",IF(G19&gt;F19,"Feitas acima das previstas",IF(G19&lt;F19,"Verificação pendente",IF(N(H19)&gt;0,"Com desvio","Conforme")))))</f>
        <v/>
      </c>
      <c r="J19" s="11"/>
      <c r="K19" s="5"/>
      <c r="L19" s="5"/>
      <c r="M19" s="5"/>
      <c r="N19" s="5"/>
      <c r="O19" s="12" t="str">
        <f aca="false">IF(D19="","",IF(J19="","Falta a decisão",IF(OR(LEFT(I19,5)="Falta",LEFT(I19,5)="Feita"),I19,IF(AND(G19&lt;F19,J19="Liberado"),"Liberado com verificação pendente",IF(AND(J19="Liberado com autorização",L19=""),"Falta quem autorizou",IF(AND(N(H19)&gt;0,M19=""),"Desvio sem registro de não conforme",IF(AND(J19="Retido",M19=""),"Retido sem registro de não conforme",IF(AND(J19&lt;&gt;"Retido",K19=""),"Falta quem liberou","OK"))))))))</f>
        <v/>
      </c>
    </row>
    <row r="20" customFormat="false" ht="21.75" hidden="false" customHeight="true" outlineLevel="0" collapsed="false">
      <c r="B20" s="9" t="n">
        <v>14</v>
      </c>
      <c r="C20" s="20"/>
      <c r="D20" s="5"/>
      <c r="E20" s="5"/>
      <c r="F20" s="21"/>
      <c r="G20" s="21"/>
      <c r="H20" s="21"/>
      <c r="I20" s="22" t="str">
        <f aca="false">IF(D20="","",IF(OR(F20="",G20=""),"Falta o número de verificações",IF(G20&gt;F20,"Feitas acima das previstas",IF(G20&lt;F20,"Verificação pendente",IF(N(H20)&gt;0,"Com desvio","Conforme")))))</f>
        <v/>
      </c>
      <c r="J20" s="11"/>
      <c r="K20" s="5"/>
      <c r="L20" s="5"/>
      <c r="M20" s="5"/>
      <c r="N20" s="5"/>
      <c r="O20" s="12" t="str">
        <f aca="false">IF(D20="","",IF(J20="","Falta a decisão",IF(OR(LEFT(I20,5)="Falta",LEFT(I20,5)="Feita"),I20,IF(AND(G20&lt;F20,J20="Liberado"),"Liberado com verificação pendente",IF(AND(J20="Liberado com autorização",L20=""),"Falta quem autorizou",IF(AND(N(H20)&gt;0,M20=""),"Desvio sem registro de não conforme",IF(AND(J20="Retido",M20=""),"Retido sem registro de não conforme",IF(AND(J20&lt;&gt;"Retido",K20=""),"Falta quem liberou","OK"))))))))</f>
        <v/>
      </c>
    </row>
    <row r="21" customFormat="false" ht="21.75" hidden="false" customHeight="true" outlineLevel="0" collapsed="false">
      <c r="B21" s="9" t="n">
        <v>15</v>
      </c>
      <c r="C21" s="20"/>
      <c r="D21" s="5"/>
      <c r="E21" s="5"/>
      <c r="F21" s="21"/>
      <c r="G21" s="21"/>
      <c r="H21" s="21"/>
      <c r="I21" s="22" t="str">
        <f aca="false">IF(D21="","",IF(OR(F21="",G21=""),"Falta o número de verificações",IF(G21&gt;F21,"Feitas acima das previstas",IF(G21&lt;F21,"Verificação pendente",IF(N(H21)&gt;0,"Com desvio","Conforme")))))</f>
        <v/>
      </c>
      <c r="J21" s="11"/>
      <c r="K21" s="5"/>
      <c r="L21" s="5"/>
      <c r="M21" s="5"/>
      <c r="N21" s="5"/>
      <c r="O21" s="12" t="str">
        <f aca="false">IF(D21="","",IF(J21="","Falta a decisão",IF(OR(LEFT(I21,5)="Falta",LEFT(I21,5)="Feita"),I21,IF(AND(G21&lt;F21,J21="Liberado"),"Liberado com verificação pendente",IF(AND(J21="Liberado com autorização",L21=""),"Falta quem autorizou",IF(AND(N(H21)&gt;0,M21=""),"Desvio sem registro de não conforme",IF(AND(J21="Retido",M21=""),"Retido sem registro de não conforme",IF(AND(J21&lt;&gt;"Retido",K21=""),"Falta quem liberou","OK"))))))))</f>
        <v/>
      </c>
    </row>
    <row r="22" customFormat="false" ht="21.75" hidden="false" customHeight="true" outlineLevel="0" collapsed="false">
      <c r="B22" s="9" t="n">
        <v>16</v>
      </c>
      <c r="C22" s="20"/>
      <c r="D22" s="5"/>
      <c r="E22" s="5"/>
      <c r="F22" s="21"/>
      <c r="G22" s="21"/>
      <c r="H22" s="21"/>
      <c r="I22" s="22" t="str">
        <f aca="false">IF(D22="","",IF(OR(F22="",G22=""),"Falta o número de verificações",IF(G22&gt;F22,"Feitas acima das previstas",IF(G22&lt;F22,"Verificação pendente",IF(N(H22)&gt;0,"Com desvio","Conforme")))))</f>
        <v/>
      </c>
      <c r="J22" s="11"/>
      <c r="K22" s="5"/>
      <c r="L22" s="5"/>
      <c r="M22" s="5"/>
      <c r="N22" s="5"/>
      <c r="O22" s="12" t="str">
        <f aca="false">IF(D22="","",IF(J22="","Falta a decisão",IF(OR(LEFT(I22,5)="Falta",LEFT(I22,5)="Feita"),I22,IF(AND(G22&lt;F22,J22="Liberado"),"Liberado com verificação pendente",IF(AND(J22="Liberado com autorização",L22=""),"Falta quem autorizou",IF(AND(N(H22)&gt;0,M22=""),"Desvio sem registro de não conforme",IF(AND(J22="Retido",M22=""),"Retido sem registro de não conforme",IF(AND(J22&lt;&gt;"Retido",K22=""),"Falta quem liberou","OK"))))))))</f>
        <v/>
      </c>
    </row>
    <row r="23" customFormat="false" ht="21.75" hidden="false" customHeight="true" outlineLevel="0" collapsed="false">
      <c r="B23" s="9" t="n">
        <v>17</v>
      </c>
      <c r="C23" s="20"/>
      <c r="D23" s="5"/>
      <c r="E23" s="5"/>
      <c r="F23" s="21"/>
      <c r="G23" s="21"/>
      <c r="H23" s="21"/>
      <c r="I23" s="22" t="str">
        <f aca="false">IF(D23="","",IF(OR(F23="",G23=""),"Falta o número de verificações",IF(G23&gt;F23,"Feitas acima das previstas",IF(G23&lt;F23,"Verificação pendente",IF(N(H23)&gt;0,"Com desvio","Conforme")))))</f>
        <v/>
      </c>
      <c r="J23" s="11"/>
      <c r="K23" s="5"/>
      <c r="L23" s="5"/>
      <c r="M23" s="5"/>
      <c r="N23" s="5"/>
      <c r="O23" s="12" t="str">
        <f aca="false">IF(D23="","",IF(J23="","Falta a decisão",IF(OR(LEFT(I23,5)="Falta",LEFT(I23,5)="Feita"),I23,IF(AND(G23&lt;F23,J23="Liberado"),"Liberado com verificação pendente",IF(AND(J23="Liberado com autorização",L23=""),"Falta quem autorizou",IF(AND(N(H23)&gt;0,M23=""),"Desvio sem registro de não conforme",IF(AND(J23="Retido",M23=""),"Retido sem registro de não conforme",IF(AND(J23&lt;&gt;"Retido",K23=""),"Falta quem liberou","OK"))))))))</f>
        <v/>
      </c>
    </row>
    <row r="24" customFormat="false" ht="21.75" hidden="false" customHeight="true" outlineLevel="0" collapsed="false">
      <c r="B24" s="9" t="n">
        <v>18</v>
      </c>
      <c r="C24" s="20"/>
      <c r="D24" s="5"/>
      <c r="E24" s="5"/>
      <c r="F24" s="21"/>
      <c r="G24" s="21"/>
      <c r="H24" s="21"/>
      <c r="I24" s="22" t="str">
        <f aca="false">IF(D24="","",IF(OR(F24="",G24=""),"Falta o número de verificações",IF(G24&gt;F24,"Feitas acima das previstas",IF(G24&lt;F24,"Verificação pendente",IF(N(H24)&gt;0,"Com desvio","Conforme")))))</f>
        <v/>
      </c>
      <c r="J24" s="11"/>
      <c r="K24" s="5"/>
      <c r="L24" s="5"/>
      <c r="M24" s="5"/>
      <c r="N24" s="5"/>
      <c r="O24" s="12" t="str">
        <f aca="false">IF(D24="","",IF(J24="","Falta a decisão",IF(OR(LEFT(I24,5)="Falta",LEFT(I24,5)="Feita"),I24,IF(AND(G24&lt;F24,J24="Liberado"),"Liberado com verificação pendente",IF(AND(J24="Liberado com autorização",L24=""),"Falta quem autorizou",IF(AND(N(H24)&gt;0,M24=""),"Desvio sem registro de não conforme",IF(AND(J24="Retido",M24=""),"Retido sem registro de não conforme",IF(AND(J24&lt;&gt;"Retido",K24=""),"Falta quem liberou","OK"))))))))</f>
        <v/>
      </c>
    </row>
    <row r="25" customFormat="false" ht="21.75" hidden="false" customHeight="true" outlineLevel="0" collapsed="false">
      <c r="B25" s="9" t="n">
        <v>19</v>
      </c>
      <c r="C25" s="20"/>
      <c r="D25" s="5"/>
      <c r="E25" s="5"/>
      <c r="F25" s="21"/>
      <c r="G25" s="21"/>
      <c r="H25" s="21"/>
      <c r="I25" s="22" t="str">
        <f aca="false">IF(D25="","",IF(OR(F25="",G25=""),"Falta o número de verificações",IF(G25&gt;F25,"Feitas acima das previstas",IF(G25&lt;F25,"Verificação pendente",IF(N(H25)&gt;0,"Com desvio","Conforme")))))</f>
        <v/>
      </c>
      <c r="J25" s="11"/>
      <c r="K25" s="5"/>
      <c r="L25" s="5"/>
      <c r="M25" s="5"/>
      <c r="N25" s="5"/>
      <c r="O25" s="12" t="str">
        <f aca="false">IF(D25="","",IF(J25="","Falta a decisão",IF(OR(LEFT(I25,5)="Falta",LEFT(I25,5)="Feita"),I25,IF(AND(G25&lt;F25,J25="Liberado"),"Liberado com verificação pendente",IF(AND(J25="Liberado com autorização",L25=""),"Falta quem autorizou",IF(AND(N(H25)&gt;0,M25=""),"Desvio sem registro de não conforme",IF(AND(J25="Retido",M25=""),"Retido sem registro de não conforme",IF(AND(J25&lt;&gt;"Retido",K25=""),"Falta quem liberou","OK"))))))))</f>
        <v/>
      </c>
    </row>
    <row r="26" customFormat="false" ht="21.75" hidden="false" customHeight="true" outlineLevel="0" collapsed="false">
      <c r="B26" s="9" t="n">
        <v>20</v>
      </c>
      <c r="C26" s="20"/>
      <c r="D26" s="5"/>
      <c r="E26" s="5"/>
      <c r="F26" s="21"/>
      <c r="G26" s="21"/>
      <c r="H26" s="21"/>
      <c r="I26" s="22" t="str">
        <f aca="false">IF(D26="","",IF(OR(F26="",G26=""),"Falta o número de verificações",IF(G26&gt;F26,"Feitas acima das previstas",IF(G26&lt;F26,"Verificação pendente",IF(N(H26)&gt;0,"Com desvio","Conforme")))))</f>
        <v/>
      </c>
      <c r="J26" s="11"/>
      <c r="K26" s="5"/>
      <c r="L26" s="5"/>
      <c r="M26" s="5"/>
      <c r="N26" s="5"/>
      <c r="O26" s="12" t="str">
        <f aca="false">IF(D26="","",IF(J26="","Falta a decisão",IF(OR(LEFT(I26,5)="Falta",LEFT(I26,5)="Feita"),I26,IF(AND(G26&lt;F26,J26="Liberado"),"Liberado com verificação pendente",IF(AND(J26="Liberado com autorização",L26=""),"Falta quem autorizou",IF(AND(N(H26)&gt;0,M26=""),"Desvio sem registro de não conforme",IF(AND(J26="Retido",M26=""),"Retido sem registro de não conforme",IF(AND(J26&lt;&gt;"Retido",K26=""),"Falta quem liberou","OK"))))))))</f>
        <v/>
      </c>
    </row>
    <row r="27" customFormat="false" ht="21.75" hidden="false" customHeight="true" outlineLevel="0" collapsed="false">
      <c r="B27" s="9" t="n">
        <v>21</v>
      </c>
      <c r="C27" s="20"/>
      <c r="D27" s="5"/>
      <c r="E27" s="5"/>
      <c r="F27" s="21"/>
      <c r="G27" s="21"/>
      <c r="H27" s="21"/>
      <c r="I27" s="22" t="str">
        <f aca="false">IF(D27="","",IF(OR(F27="",G27=""),"Falta o número de verificações",IF(G27&gt;F27,"Feitas acima das previstas",IF(G27&lt;F27,"Verificação pendente",IF(N(H27)&gt;0,"Com desvio","Conforme")))))</f>
        <v/>
      </c>
      <c r="J27" s="11"/>
      <c r="K27" s="5"/>
      <c r="L27" s="5"/>
      <c r="M27" s="5"/>
      <c r="N27" s="5"/>
      <c r="O27" s="12" t="str">
        <f aca="false">IF(D27="","",IF(J27="","Falta a decisão",IF(OR(LEFT(I27,5)="Falta",LEFT(I27,5)="Feita"),I27,IF(AND(G27&lt;F27,J27="Liberado"),"Liberado com verificação pendente",IF(AND(J27="Liberado com autorização",L27=""),"Falta quem autorizou",IF(AND(N(H27)&gt;0,M27=""),"Desvio sem registro de não conforme",IF(AND(J27="Retido",M27=""),"Retido sem registro de não conforme",IF(AND(J27&lt;&gt;"Retido",K27=""),"Falta quem liberou","OK"))))))))</f>
        <v/>
      </c>
    </row>
    <row r="28" customFormat="false" ht="21.75" hidden="false" customHeight="true" outlineLevel="0" collapsed="false">
      <c r="B28" s="9" t="n">
        <v>22</v>
      </c>
      <c r="C28" s="20"/>
      <c r="D28" s="5"/>
      <c r="E28" s="5"/>
      <c r="F28" s="21"/>
      <c r="G28" s="21"/>
      <c r="H28" s="21"/>
      <c r="I28" s="22" t="str">
        <f aca="false">IF(D28="","",IF(OR(F28="",G28=""),"Falta o número de verificações",IF(G28&gt;F28,"Feitas acima das previstas",IF(G28&lt;F28,"Verificação pendente",IF(N(H28)&gt;0,"Com desvio","Conforme")))))</f>
        <v/>
      </c>
      <c r="J28" s="11"/>
      <c r="K28" s="5"/>
      <c r="L28" s="5"/>
      <c r="M28" s="5"/>
      <c r="N28" s="5"/>
      <c r="O28" s="12" t="str">
        <f aca="false">IF(D28="","",IF(J28="","Falta a decisão",IF(OR(LEFT(I28,5)="Falta",LEFT(I28,5)="Feita"),I28,IF(AND(G28&lt;F28,J28="Liberado"),"Liberado com verificação pendente",IF(AND(J28="Liberado com autorização",L28=""),"Falta quem autorizou",IF(AND(N(H28)&gt;0,M28=""),"Desvio sem registro de não conforme",IF(AND(J28="Retido",M28=""),"Retido sem registro de não conforme",IF(AND(J28&lt;&gt;"Retido",K28=""),"Falta quem liberou","OK"))))))))</f>
        <v/>
      </c>
    </row>
    <row r="29" customFormat="false" ht="21.75" hidden="false" customHeight="true" outlineLevel="0" collapsed="false">
      <c r="B29" s="9" t="n">
        <v>23</v>
      </c>
      <c r="C29" s="20"/>
      <c r="D29" s="5"/>
      <c r="E29" s="5"/>
      <c r="F29" s="21"/>
      <c r="G29" s="21"/>
      <c r="H29" s="21"/>
      <c r="I29" s="22" t="str">
        <f aca="false">IF(D29="","",IF(OR(F29="",G29=""),"Falta o número de verificações",IF(G29&gt;F29,"Feitas acima das previstas",IF(G29&lt;F29,"Verificação pendente",IF(N(H29)&gt;0,"Com desvio","Conforme")))))</f>
        <v/>
      </c>
      <c r="J29" s="11"/>
      <c r="K29" s="5"/>
      <c r="L29" s="5"/>
      <c r="M29" s="5"/>
      <c r="N29" s="5"/>
      <c r="O29" s="12" t="str">
        <f aca="false">IF(D29="","",IF(J29="","Falta a decisão",IF(OR(LEFT(I29,5)="Falta",LEFT(I29,5)="Feita"),I29,IF(AND(G29&lt;F29,J29="Liberado"),"Liberado com verificação pendente",IF(AND(J29="Liberado com autorização",L29=""),"Falta quem autorizou",IF(AND(N(H29)&gt;0,M29=""),"Desvio sem registro de não conforme",IF(AND(J29="Retido",M29=""),"Retido sem registro de não conforme",IF(AND(J29&lt;&gt;"Retido",K29=""),"Falta quem liberou","OK"))))))))</f>
        <v/>
      </c>
    </row>
    <row r="30" customFormat="false" ht="21.75" hidden="false" customHeight="true" outlineLevel="0" collapsed="false">
      <c r="B30" s="9" t="n">
        <v>24</v>
      </c>
      <c r="C30" s="20"/>
      <c r="D30" s="5"/>
      <c r="E30" s="5"/>
      <c r="F30" s="21"/>
      <c r="G30" s="21"/>
      <c r="H30" s="21"/>
      <c r="I30" s="22" t="str">
        <f aca="false">IF(D30="","",IF(OR(F30="",G30=""),"Falta o número de verificações",IF(G30&gt;F30,"Feitas acima das previstas",IF(G30&lt;F30,"Verificação pendente",IF(N(H30)&gt;0,"Com desvio","Conforme")))))</f>
        <v/>
      </c>
      <c r="J30" s="11"/>
      <c r="K30" s="5"/>
      <c r="L30" s="5"/>
      <c r="M30" s="5"/>
      <c r="N30" s="5"/>
      <c r="O30" s="12" t="str">
        <f aca="false">IF(D30="","",IF(J30="","Falta a decisão",IF(OR(LEFT(I30,5)="Falta",LEFT(I30,5)="Feita"),I30,IF(AND(G30&lt;F30,J30="Liberado"),"Liberado com verificação pendente",IF(AND(J30="Liberado com autorização",L30=""),"Falta quem autorizou",IF(AND(N(H30)&gt;0,M30=""),"Desvio sem registro de não conforme",IF(AND(J30="Retido",M30=""),"Retido sem registro de não conforme",IF(AND(J30&lt;&gt;"Retido",K30=""),"Falta quem liberou","OK"))))))))</f>
        <v/>
      </c>
    </row>
    <row r="31" customFormat="false" ht="21.75" hidden="false" customHeight="true" outlineLevel="0" collapsed="false">
      <c r="B31" s="9" t="n">
        <v>25</v>
      </c>
      <c r="C31" s="20"/>
      <c r="D31" s="5"/>
      <c r="E31" s="5"/>
      <c r="F31" s="21"/>
      <c r="G31" s="21"/>
      <c r="H31" s="21"/>
      <c r="I31" s="22" t="str">
        <f aca="false">IF(D31="","",IF(OR(F31="",G31=""),"Falta o número de verificações",IF(G31&gt;F31,"Feitas acima das previstas",IF(G31&lt;F31,"Verificação pendente",IF(N(H31)&gt;0,"Com desvio","Conforme")))))</f>
        <v/>
      </c>
      <c r="J31" s="11"/>
      <c r="K31" s="5"/>
      <c r="L31" s="5"/>
      <c r="M31" s="5"/>
      <c r="N31" s="5"/>
      <c r="O31" s="12" t="str">
        <f aca="false">IF(D31="","",IF(J31="","Falta a decisão",IF(OR(LEFT(I31,5)="Falta",LEFT(I31,5)="Feita"),I31,IF(AND(G31&lt;F31,J31="Liberado"),"Liberado com verificação pendente",IF(AND(J31="Liberado com autorização",L31=""),"Falta quem autorizou",IF(AND(N(H31)&gt;0,M31=""),"Desvio sem registro de não conforme",IF(AND(J31="Retido",M31=""),"Retido sem registro de não conforme",IF(AND(J31&lt;&gt;"Retido",K31=""),"Falta quem liberou","OK"))))))))</f>
        <v/>
      </c>
    </row>
    <row r="32" customFormat="false" ht="21.75" hidden="false" customHeight="true" outlineLevel="0" collapsed="false">
      <c r="B32" s="9" t="n">
        <v>26</v>
      </c>
      <c r="C32" s="20"/>
      <c r="D32" s="5"/>
      <c r="E32" s="5"/>
      <c r="F32" s="21"/>
      <c r="G32" s="21"/>
      <c r="H32" s="21"/>
      <c r="I32" s="22" t="str">
        <f aca="false">IF(D32="","",IF(OR(F32="",G32=""),"Falta o número de verificações",IF(G32&gt;F32,"Feitas acima das previstas",IF(G32&lt;F32,"Verificação pendente",IF(N(H32)&gt;0,"Com desvio","Conforme")))))</f>
        <v/>
      </c>
      <c r="J32" s="11"/>
      <c r="K32" s="5"/>
      <c r="L32" s="5"/>
      <c r="M32" s="5"/>
      <c r="N32" s="5"/>
      <c r="O32" s="12" t="str">
        <f aca="false">IF(D32="","",IF(J32="","Falta a decisão",IF(OR(LEFT(I32,5)="Falta",LEFT(I32,5)="Feita"),I32,IF(AND(G32&lt;F32,J32="Liberado"),"Liberado com verificação pendente",IF(AND(J32="Liberado com autorização",L32=""),"Falta quem autorizou",IF(AND(N(H32)&gt;0,M32=""),"Desvio sem registro de não conforme",IF(AND(J32="Retido",M32=""),"Retido sem registro de não conforme",IF(AND(J32&lt;&gt;"Retido",K32=""),"Falta quem liberou","OK"))))))))</f>
        <v/>
      </c>
    </row>
    <row r="33" customFormat="false" ht="21.75" hidden="false" customHeight="true" outlineLevel="0" collapsed="false">
      <c r="B33" s="9" t="n">
        <v>27</v>
      </c>
      <c r="C33" s="20"/>
      <c r="D33" s="5"/>
      <c r="E33" s="5"/>
      <c r="F33" s="21"/>
      <c r="G33" s="21"/>
      <c r="H33" s="21"/>
      <c r="I33" s="22" t="str">
        <f aca="false">IF(D33="","",IF(OR(F33="",G33=""),"Falta o número de verificações",IF(G33&gt;F33,"Feitas acima das previstas",IF(G33&lt;F33,"Verificação pendente",IF(N(H33)&gt;0,"Com desvio","Conforme")))))</f>
        <v/>
      </c>
      <c r="J33" s="11"/>
      <c r="K33" s="5"/>
      <c r="L33" s="5"/>
      <c r="M33" s="5"/>
      <c r="N33" s="5"/>
      <c r="O33" s="12" t="str">
        <f aca="false">IF(D33="","",IF(J33="","Falta a decisão",IF(OR(LEFT(I33,5)="Falta",LEFT(I33,5)="Feita"),I33,IF(AND(G33&lt;F33,J33="Liberado"),"Liberado com verificação pendente",IF(AND(J33="Liberado com autorização",L33=""),"Falta quem autorizou",IF(AND(N(H33)&gt;0,M33=""),"Desvio sem registro de não conforme",IF(AND(J33="Retido",M33=""),"Retido sem registro de não conforme",IF(AND(J33&lt;&gt;"Retido",K33=""),"Falta quem liberou","OK"))))))))</f>
        <v/>
      </c>
    </row>
    <row r="34" customFormat="false" ht="21.75" hidden="false" customHeight="true" outlineLevel="0" collapsed="false">
      <c r="B34" s="9" t="n">
        <v>28</v>
      </c>
      <c r="C34" s="20"/>
      <c r="D34" s="5"/>
      <c r="E34" s="5"/>
      <c r="F34" s="21"/>
      <c r="G34" s="21"/>
      <c r="H34" s="21"/>
      <c r="I34" s="22" t="str">
        <f aca="false">IF(D34="","",IF(OR(F34="",G34=""),"Falta o número de verificações",IF(G34&gt;F34,"Feitas acima das previstas",IF(G34&lt;F34,"Verificação pendente",IF(N(H34)&gt;0,"Com desvio","Conforme")))))</f>
        <v/>
      </c>
      <c r="J34" s="11"/>
      <c r="K34" s="5"/>
      <c r="L34" s="5"/>
      <c r="M34" s="5"/>
      <c r="N34" s="5"/>
      <c r="O34" s="12" t="str">
        <f aca="false">IF(D34="","",IF(J34="","Falta a decisão",IF(OR(LEFT(I34,5)="Falta",LEFT(I34,5)="Feita"),I34,IF(AND(G34&lt;F34,J34="Liberado"),"Liberado com verificação pendente",IF(AND(J34="Liberado com autorização",L34=""),"Falta quem autorizou",IF(AND(N(H34)&gt;0,M34=""),"Desvio sem registro de não conforme",IF(AND(J34="Retido",M34=""),"Retido sem registro de não conforme",IF(AND(J34&lt;&gt;"Retido",K34=""),"Falta quem liberou","OK"))))))))</f>
        <v/>
      </c>
    </row>
    <row r="35" customFormat="false" ht="21.75" hidden="false" customHeight="true" outlineLevel="0" collapsed="false">
      <c r="B35" s="9" t="n">
        <v>29</v>
      </c>
      <c r="C35" s="20"/>
      <c r="D35" s="5"/>
      <c r="E35" s="5"/>
      <c r="F35" s="21"/>
      <c r="G35" s="21"/>
      <c r="H35" s="21"/>
      <c r="I35" s="22" t="str">
        <f aca="false">IF(D35="","",IF(OR(F35="",G35=""),"Falta o número de verificações",IF(G35&gt;F35,"Feitas acima das previstas",IF(G35&lt;F35,"Verificação pendente",IF(N(H35)&gt;0,"Com desvio","Conforme")))))</f>
        <v/>
      </c>
      <c r="J35" s="11"/>
      <c r="K35" s="5"/>
      <c r="L35" s="5"/>
      <c r="M35" s="5"/>
      <c r="N35" s="5"/>
      <c r="O35" s="12" t="str">
        <f aca="false">IF(D35="","",IF(J35="","Falta a decisão",IF(OR(LEFT(I35,5)="Falta",LEFT(I35,5)="Feita"),I35,IF(AND(G35&lt;F35,J35="Liberado"),"Liberado com verificação pendente",IF(AND(J35="Liberado com autorização",L35=""),"Falta quem autorizou",IF(AND(N(H35)&gt;0,M35=""),"Desvio sem registro de não conforme",IF(AND(J35="Retido",M35=""),"Retido sem registro de não conforme",IF(AND(J35&lt;&gt;"Retido",K35=""),"Falta quem liberou","OK"))))))))</f>
        <v/>
      </c>
    </row>
    <row r="36" customFormat="false" ht="21.75" hidden="false" customHeight="true" outlineLevel="0" collapsed="false">
      <c r="B36" s="9" t="n">
        <v>30</v>
      </c>
      <c r="C36" s="20"/>
      <c r="D36" s="5"/>
      <c r="E36" s="5"/>
      <c r="F36" s="21"/>
      <c r="G36" s="21"/>
      <c r="H36" s="21"/>
      <c r="I36" s="22" t="str">
        <f aca="false">IF(D36="","",IF(OR(F36="",G36=""),"Falta o número de verificações",IF(G36&gt;F36,"Feitas acima das previstas",IF(G36&lt;F36,"Verificação pendente",IF(N(H36)&gt;0,"Com desvio","Conforme")))))</f>
        <v/>
      </c>
      <c r="J36" s="11"/>
      <c r="K36" s="5"/>
      <c r="L36" s="5"/>
      <c r="M36" s="5"/>
      <c r="N36" s="5"/>
      <c r="O36" s="12" t="str">
        <f aca="false">IF(D36="","",IF(J36="","Falta a decisão",IF(OR(LEFT(I36,5)="Falta",LEFT(I36,5)="Feita"),I36,IF(AND(G36&lt;F36,J36="Liberado"),"Liberado com verificação pendente",IF(AND(J36="Liberado com autorização",L36=""),"Falta quem autorizou",IF(AND(N(H36)&gt;0,M36=""),"Desvio sem registro de não conforme",IF(AND(J36="Retido",M36=""),"Retido sem registro de não conforme",IF(AND(J36&lt;&gt;"Retido",K36=""),"Falta quem liberou","OK"))))))))</f>
        <v/>
      </c>
    </row>
    <row r="37" customFormat="false" ht="21.75" hidden="false" customHeight="true" outlineLevel="0" collapsed="false">
      <c r="B37" s="9" t="n">
        <v>31</v>
      </c>
      <c r="C37" s="20"/>
      <c r="D37" s="5"/>
      <c r="E37" s="5"/>
      <c r="F37" s="21"/>
      <c r="G37" s="21"/>
      <c r="H37" s="21"/>
      <c r="I37" s="22" t="str">
        <f aca="false">IF(D37="","",IF(OR(F37="",G37=""),"Falta o número de verificações",IF(G37&gt;F37,"Feitas acima das previstas",IF(G37&lt;F37,"Verificação pendente",IF(N(H37)&gt;0,"Com desvio","Conforme")))))</f>
        <v/>
      </c>
      <c r="J37" s="11"/>
      <c r="K37" s="5"/>
      <c r="L37" s="5"/>
      <c r="M37" s="5"/>
      <c r="N37" s="5"/>
      <c r="O37" s="12" t="str">
        <f aca="false">IF(D37="","",IF(J37="","Falta a decisão",IF(OR(LEFT(I37,5)="Falta",LEFT(I37,5)="Feita"),I37,IF(AND(G37&lt;F37,J37="Liberado"),"Liberado com verificação pendente",IF(AND(J37="Liberado com autorização",L37=""),"Falta quem autorizou",IF(AND(N(H37)&gt;0,M37=""),"Desvio sem registro de não conforme",IF(AND(J37="Retido",M37=""),"Retido sem registro de não conforme",IF(AND(J37&lt;&gt;"Retido",K37=""),"Falta quem liberou","OK"))))))))</f>
        <v/>
      </c>
    </row>
    <row r="38" customFormat="false" ht="21.75" hidden="false" customHeight="true" outlineLevel="0" collapsed="false">
      <c r="B38" s="9" t="n">
        <v>32</v>
      </c>
      <c r="C38" s="20"/>
      <c r="D38" s="5"/>
      <c r="E38" s="5"/>
      <c r="F38" s="21"/>
      <c r="G38" s="21"/>
      <c r="H38" s="21"/>
      <c r="I38" s="22" t="str">
        <f aca="false">IF(D38="","",IF(OR(F38="",G38=""),"Falta o número de verificações",IF(G38&gt;F38,"Feitas acima das previstas",IF(G38&lt;F38,"Verificação pendente",IF(N(H38)&gt;0,"Com desvio","Conforme")))))</f>
        <v/>
      </c>
      <c r="J38" s="11"/>
      <c r="K38" s="5"/>
      <c r="L38" s="5"/>
      <c r="M38" s="5"/>
      <c r="N38" s="5"/>
      <c r="O38" s="12" t="str">
        <f aca="false">IF(D38="","",IF(J38="","Falta a decisão",IF(OR(LEFT(I38,5)="Falta",LEFT(I38,5)="Feita"),I38,IF(AND(G38&lt;F38,J38="Liberado"),"Liberado com verificação pendente",IF(AND(J38="Liberado com autorização",L38=""),"Falta quem autorizou",IF(AND(N(H38)&gt;0,M38=""),"Desvio sem registro de não conforme",IF(AND(J38="Retido",M38=""),"Retido sem registro de não conforme",IF(AND(J38&lt;&gt;"Retido",K38=""),"Falta quem liberou","OK"))))))))</f>
        <v/>
      </c>
    </row>
    <row r="39" customFormat="false" ht="21.75" hidden="false" customHeight="true" outlineLevel="0" collapsed="false">
      <c r="B39" s="9" t="n">
        <v>33</v>
      </c>
      <c r="C39" s="20"/>
      <c r="D39" s="5"/>
      <c r="E39" s="5"/>
      <c r="F39" s="21"/>
      <c r="G39" s="21"/>
      <c r="H39" s="21"/>
      <c r="I39" s="22" t="str">
        <f aca="false">IF(D39="","",IF(OR(F39="",G39=""),"Falta o número de verificações",IF(G39&gt;F39,"Feitas acima das previstas",IF(G39&lt;F39,"Verificação pendente",IF(N(H39)&gt;0,"Com desvio","Conforme")))))</f>
        <v/>
      </c>
      <c r="J39" s="11"/>
      <c r="K39" s="5"/>
      <c r="L39" s="5"/>
      <c r="M39" s="5"/>
      <c r="N39" s="5"/>
      <c r="O39" s="12" t="str">
        <f aca="false">IF(D39="","",IF(J39="","Falta a decisão",IF(OR(LEFT(I39,5)="Falta",LEFT(I39,5)="Feita"),I39,IF(AND(G39&lt;F39,J39="Liberado"),"Liberado com verificação pendente",IF(AND(J39="Liberado com autorização",L39=""),"Falta quem autorizou",IF(AND(N(H39)&gt;0,M39=""),"Desvio sem registro de não conforme",IF(AND(J39="Retido",M39=""),"Retido sem registro de não conforme",IF(AND(J39&lt;&gt;"Retido",K39=""),"Falta quem liberou","OK"))))))))</f>
        <v/>
      </c>
    </row>
    <row r="40" customFormat="false" ht="21.75" hidden="false" customHeight="true" outlineLevel="0" collapsed="false">
      <c r="B40" s="9" t="n">
        <v>34</v>
      </c>
      <c r="C40" s="20"/>
      <c r="D40" s="5"/>
      <c r="E40" s="5"/>
      <c r="F40" s="21"/>
      <c r="G40" s="21"/>
      <c r="H40" s="21"/>
      <c r="I40" s="22" t="str">
        <f aca="false">IF(D40="","",IF(OR(F40="",G40=""),"Falta o número de verificações",IF(G40&gt;F40,"Feitas acima das previstas",IF(G40&lt;F40,"Verificação pendente",IF(N(H40)&gt;0,"Com desvio","Conforme")))))</f>
        <v/>
      </c>
      <c r="J40" s="11"/>
      <c r="K40" s="5"/>
      <c r="L40" s="5"/>
      <c r="M40" s="5"/>
      <c r="N40" s="5"/>
      <c r="O40" s="12" t="str">
        <f aca="false">IF(D40="","",IF(J40="","Falta a decisão",IF(OR(LEFT(I40,5)="Falta",LEFT(I40,5)="Feita"),I40,IF(AND(G40&lt;F40,J40="Liberado"),"Liberado com verificação pendente",IF(AND(J40="Liberado com autorização",L40=""),"Falta quem autorizou",IF(AND(N(H40)&gt;0,M40=""),"Desvio sem registro de não conforme",IF(AND(J40="Retido",M40=""),"Retido sem registro de não conforme",IF(AND(J40&lt;&gt;"Retido",K40=""),"Falta quem liberou","OK"))))))))</f>
        <v/>
      </c>
    </row>
    <row r="41" customFormat="false" ht="21.75" hidden="false" customHeight="true" outlineLevel="0" collapsed="false">
      <c r="B41" s="9" t="n">
        <v>35</v>
      </c>
      <c r="C41" s="20"/>
      <c r="D41" s="5"/>
      <c r="E41" s="5"/>
      <c r="F41" s="21"/>
      <c r="G41" s="21"/>
      <c r="H41" s="21"/>
      <c r="I41" s="22" t="str">
        <f aca="false">IF(D41="","",IF(OR(F41="",G41=""),"Falta o número de verificações",IF(G41&gt;F41,"Feitas acima das previstas",IF(G41&lt;F41,"Verificação pendente",IF(N(H41)&gt;0,"Com desvio","Conforme")))))</f>
        <v/>
      </c>
      <c r="J41" s="11"/>
      <c r="K41" s="5"/>
      <c r="L41" s="5"/>
      <c r="M41" s="5"/>
      <c r="N41" s="5"/>
      <c r="O41" s="12" t="str">
        <f aca="false">IF(D41="","",IF(J41="","Falta a decisão",IF(OR(LEFT(I41,5)="Falta",LEFT(I41,5)="Feita"),I41,IF(AND(G41&lt;F41,J41="Liberado"),"Liberado com verificação pendente",IF(AND(J41="Liberado com autorização",L41=""),"Falta quem autorizou",IF(AND(N(H41)&gt;0,M41=""),"Desvio sem registro de não conforme",IF(AND(J41="Retido",M41=""),"Retido sem registro de não conforme",IF(AND(J41&lt;&gt;"Retido",K41=""),"Falta quem liberou","OK"))))))))</f>
        <v/>
      </c>
    </row>
    <row r="42" customFormat="false" ht="21.75" hidden="false" customHeight="true" outlineLevel="0" collapsed="false">
      <c r="B42" s="9" t="n">
        <v>36</v>
      </c>
      <c r="C42" s="20"/>
      <c r="D42" s="5"/>
      <c r="E42" s="5"/>
      <c r="F42" s="21"/>
      <c r="G42" s="21"/>
      <c r="H42" s="21"/>
      <c r="I42" s="22" t="str">
        <f aca="false">IF(D42="","",IF(OR(F42="",G42=""),"Falta o número de verificações",IF(G42&gt;F42,"Feitas acima das previstas",IF(G42&lt;F42,"Verificação pendente",IF(N(H42)&gt;0,"Com desvio","Conforme")))))</f>
        <v/>
      </c>
      <c r="J42" s="11"/>
      <c r="K42" s="5"/>
      <c r="L42" s="5"/>
      <c r="M42" s="5"/>
      <c r="N42" s="5"/>
      <c r="O42" s="12" t="str">
        <f aca="false">IF(D42="","",IF(J42="","Falta a decisão",IF(OR(LEFT(I42,5)="Falta",LEFT(I42,5)="Feita"),I42,IF(AND(G42&lt;F42,J42="Liberado"),"Liberado com verificação pendente",IF(AND(J42="Liberado com autorização",L42=""),"Falta quem autorizou",IF(AND(N(H42)&gt;0,M42=""),"Desvio sem registro de não conforme",IF(AND(J42="Retido",M42=""),"Retido sem registro de não conforme",IF(AND(J42&lt;&gt;"Retido",K42=""),"Falta quem liberou","OK"))))))))</f>
        <v/>
      </c>
    </row>
    <row r="43" customFormat="false" ht="21.75" hidden="false" customHeight="true" outlineLevel="0" collapsed="false">
      <c r="B43" s="9" t="n">
        <v>37</v>
      </c>
      <c r="C43" s="20"/>
      <c r="D43" s="5"/>
      <c r="E43" s="5"/>
      <c r="F43" s="21"/>
      <c r="G43" s="21"/>
      <c r="H43" s="21"/>
      <c r="I43" s="22" t="str">
        <f aca="false">IF(D43="","",IF(OR(F43="",G43=""),"Falta o número de verificações",IF(G43&gt;F43,"Feitas acima das previstas",IF(G43&lt;F43,"Verificação pendente",IF(N(H43)&gt;0,"Com desvio","Conforme")))))</f>
        <v/>
      </c>
      <c r="J43" s="11"/>
      <c r="K43" s="5"/>
      <c r="L43" s="5"/>
      <c r="M43" s="5"/>
      <c r="N43" s="5"/>
      <c r="O43" s="12" t="str">
        <f aca="false">IF(D43="","",IF(J43="","Falta a decisão",IF(OR(LEFT(I43,5)="Falta",LEFT(I43,5)="Feita"),I43,IF(AND(G43&lt;F43,J43="Liberado"),"Liberado com verificação pendente",IF(AND(J43="Liberado com autorização",L43=""),"Falta quem autorizou",IF(AND(N(H43)&gt;0,M43=""),"Desvio sem registro de não conforme",IF(AND(J43="Retido",M43=""),"Retido sem registro de não conforme",IF(AND(J43&lt;&gt;"Retido",K43=""),"Falta quem liberou","OK"))))))))</f>
        <v/>
      </c>
    </row>
    <row r="44" customFormat="false" ht="21.75" hidden="false" customHeight="true" outlineLevel="0" collapsed="false">
      <c r="B44" s="9" t="n">
        <v>38</v>
      </c>
      <c r="C44" s="20"/>
      <c r="D44" s="5"/>
      <c r="E44" s="5"/>
      <c r="F44" s="21"/>
      <c r="G44" s="21"/>
      <c r="H44" s="21"/>
      <c r="I44" s="22" t="str">
        <f aca="false">IF(D44="","",IF(OR(F44="",G44=""),"Falta o número de verificações",IF(G44&gt;F44,"Feitas acima das previstas",IF(G44&lt;F44,"Verificação pendente",IF(N(H44)&gt;0,"Com desvio","Conforme")))))</f>
        <v/>
      </c>
      <c r="J44" s="11"/>
      <c r="K44" s="5"/>
      <c r="L44" s="5"/>
      <c r="M44" s="5"/>
      <c r="N44" s="5"/>
      <c r="O44" s="12" t="str">
        <f aca="false">IF(D44="","",IF(J44="","Falta a decisão",IF(OR(LEFT(I44,5)="Falta",LEFT(I44,5)="Feita"),I44,IF(AND(G44&lt;F44,J44="Liberado"),"Liberado com verificação pendente",IF(AND(J44="Liberado com autorização",L44=""),"Falta quem autorizou",IF(AND(N(H44)&gt;0,M44=""),"Desvio sem registro de não conforme",IF(AND(J44="Retido",M44=""),"Retido sem registro de não conforme",IF(AND(J44&lt;&gt;"Retido",K44=""),"Falta quem liberou","OK"))))))))</f>
        <v/>
      </c>
    </row>
    <row r="45" customFormat="false" ht="21.75" hidden="false" customHeight="true" outlineLevel="0" collapsed="false">
      <c r="B45" s="9" t="n">
        <v>39</v>
      </c>
      <c r="C45" s="20"/>
      <c r="D45" s="5"/>
      <c r="E45" s="5"/>
      <c r="F45" s="21"/>
      <c r="G45" s="21"/>
      <c r="H45" s="21"/>
      <c r="I45" s="22" t="str">
        <f aca="false">IF(D45="","",IF(OR(F45="",G45=""),"Falta o número de verificações",IF(G45&gt;F45,"Feitas acima das previstas",IF(G45&lt;F45,"Verificação pendente",IF(N(H45)&gt;0,"Com desvio","Conforme")))))</f>
        <v/>
      </c>
      <c r="J45" s="11"/>
      <c r="K45" s="5"/>
      <c r="L45" s="5"/>
      <c r="M45" s="5"/>
      <c r="N45" s="5"/>
      <c r="O45" s="12" t="str">
        <f aca="false">IF(D45="","",IF(J45="","Falta a decisão",IF(OR(LEFT(I45,5)="Falta",LEFT(I45,5)="Feita"),I45,IF(AND(G45&lt;F45,J45="Liberado"),"Liberado com verificação pendente",IF(AND(J45="Liberado com autorização",L45=""),"Falta quem autorizou",IF(AND(N(H45)&gt;0,M45=""),"Desvio sem registro de não conforme",IF(AND(J45="Retido",M45=""),"Retido sem registro de não conforme",IF(AND(J45&lt;&gt;"Retido",K45=""),"Falta quem liberou","OK"))))))))</f>
        <v/>
      </c>
    </row>
    <row r="46" customFormat="false" ht="21.75" hidden="false" customHeight="true" outlineLevel="0" collapsed="false">
      <c r="B46" s="9" t="n">
        <v>40</v>
      </c>
      <c r="C46" s="20"/>
      <c r="D46" s="5"/>
      <c r="E46" s="5"/>
      <c r="F46" s="21"/>
      <c r="G46" s="21"/>
      <c r="H46" s="21"/>
      <c r="I46" s="22" t="str">
        <f aca="false">IF(D46="","",IF(OR(F46="",G46=""),"Falta o número de verificações",IF(G46&gt;F46,"Feitas acima das previstas",IF(G46&lt;F46,"Verificação pendente",IF(N(H46)&gt;0,"Com desvio","Conforme")))))</f>
        <v/>
      </c>
      <c r="J46" s="11"/>
      <c r="K46" s="5"/>
      <c r="L46" s="5"/>
      <c r="M46" s="5"/>
      <c r="N46" s="5"/>
      <c r="O46" s="12" t="str">
        <f aca="false">IF(D46="","",IF(J46="","Falta a decisão",IF(OR(LEFT(I46,5)="Falta",LEFT(I46,5)="Feita"),I46,IF(AND(G46&lt;F46,J46="Liberado"),"Liberado com verificação pendente",IF(AND(J46="Liberado com autorização",L46=""),"Falta quem autorizou",IF(AND(N(H46)&gt;0,M46=""),"Desvio sem registro de não conforme",IF(AND(J46="Retido",M46=""),"Retido sem registro de não conforme",IF(AND(J46&lt;&gt;"Retido",K46=""),"Falta quem liberou","OK"))))))))</f>
        <v/>
      </c>
    </row>
    <row r="47" customFormat="false" ht="21.75" hidden="false" customHeight="true" outlineLevel="0" collapsed="false">
      <c r="B47" s="9" t="n">
        <v>41</v>
      </c>
      <c r="C47" s="20"/>
      <c r="D47" s="5"/>
      <c r="E47" s="5"/>
      <c r="F47" s="21"/>
      <c r="G47" s="21"/>
      <c r="H47" s="21"/>
      <c r="I47" s="22" t="str">
        <f aca="false">IF(D47="","",IF(OR(F47="",G47=""),"Falta o número de verificações",IF(G47&gt;F47,"Feitas acima das previstas",IF(G47&lt;F47,"Verificação pendente",IF(N(H47)&gt;0,"Com desvio","Conforme")))))</f>
        <v/>
      </c>
      <c r="J47" s="11"/>
      <c r="K47" s="5"/>
      <c r="L47" s="5"/>
      <c r="M47" s="5"/>
      <c r="N47" s="5"/>
      <c r="O47" s="12" t="str">
        <f aca="false">IF(D47="","",IF(J47="","Falta a decisão",IF(OR(LEFT(I47,5)="Falta",LEFT(I47,5)="Feita"),I47,IF(AND(G47&lt;F47,J47="Liberado"),"Liberado com verificação pendente",IF(AND(J47="Liberado com autorização",L47=""),"Falta quem autorizou",IF(AND(N(H47)&gt;0,M47=""),"Desvio sem registro de não conforme",IF(AND(J47="Retido",M47=""),"Retido sem registro de não conforme",IF(AND(J47&lt;&gt;"Retido",K47=""),"Falta quem liberou","OK"))))))))</f>
        <v/>
      </c>
    </row>
    <row r="48" customFormat="false" ht="21.75" hidden="false" customHeight="true" outlineLevel="0" collapsed="false">
      <c r="B48" s="9" t="n">
        <v>42</v>
      </c>
      <c r="C48" s="20"/>
      <c r="D48" s="5"/>
      <c r="E48" s="5"/>
      <c r="F48" s="21"/>
      <c r="G48" s="21"/>
      <c r="H48" s="21"/>
      <c r="I48" s="22" t="str">
        <f aca="false">IF(D48="","",IF(OR(F48="",G48=""),"Falta o número de verificações",IF(G48&gt;F48,"Feitas acima das previstas",IF(G48&lt;F48,"Verificação pendente",IF(N(H48)&gt;0,"Com desvio","Conforme")))))</f>
        <v/>
      </c>
      <c r="J48" s="11"/>
      <c r="K48" s="5"/>
      <c r="L48" s="5"/>
      <c r="M48" s="5"/>
      <c r="N48" s="5"/>
      <c r="O48" s="12" t="str">
        <f aca="false">IF(D48="","",IF(J48="","Falta a decisão",IF(OR(LEFT(I48,5)="Falta",LEFT(I48,5)="Feita"),I48,IF(AND(G48&lt;F48,J48="Liberado"),"Liberado com verificação pendente",IF(AND(J48="Liberado com autorização",L48=""),"Falta quem autorizou",IF(AND(N(H48)&gt;0,M48=""),"Desvio sem registro de não conforme",IF(AND(J48="Retido",M48=""),"Retido sem registro de não conforme",IF(AND(J48&lt;&gt;"Retido",K48=""),"Falta quem liberou","OK"))))))))</f>
        <v/>
      </c>
    </row>
    <row r="49" customFormat="false" ht="21.75" hidden="false" customHeight="true" outlineLevel="0" collapsed="false">
      <c r="B49" s="9" t="n">
        <v>43</v>
      </c>
      <c r="C49" s="20"/>
      <c r="D49" s="5"/>
      <c r="E49" s="5"/>
      <c r="F49" s="21"/>
      <c r="G49" s="21"/>
      <c r="H49" s="21"/>
      <c r="I49" s="22" t="str">
        <f aca="false">IF(D49="","",IF(OR(F49="",G49=""),"Falta o número de verificações",IF(G49&gt;F49,"Feitas acima das previstas",IF(G49&lt;F49,"Verificação pendente",IF(N(H49)&gt;0,"Com desvio","Conforme")))))</f>
        <v/>
      </c>
      <c r="J49" s="11"/>
      <c r="K49" s="5"/>
      <c r="L49" s="5"/>
      <c r="M49" s="5"/>
      <c r="N49" s="5"/>
      <c r="O49" s="12" t="str">
        <f aca="false">IF(D49="","",IF(J49="","Falta a decisão",IF(OR(LEFT(I49,5)="Falta",LEFT(I49,5)="Feita"),I49,IF(AND(G49&lt;F49,J49="Liberado"),"Liberado com verificação pendente",IF(AND(J49="Liberado com autorização",L49=""),"Falta quem autorizou",IF(AND(N(H49)&gt;0,M49=""),"Desvio sem registro de não conforme",IF(AND(J49="Retido",M49=""),"Retido sem registro de não conforme",IF(AND(J49&lt;&gt;"Retido",K49=""),"Falta quem liberou","OK"))))))))</f>
        <v/>
      </c>
    </row>
    <row r="50" customFormat="false" ht="21.75" hidden="false" customHeight="true" outlineLevel="0" collapsed="false">
      <c r="B50" s="9" t="n">
        <v>44</v>
      </c>
      <c r="C50" s="20"/>
      <c r="D50" s="5"/>
      <c r="E50" s="5"/>
      <c r="F50" s="21"/>
      <c r="G50" s="21"/>
      <c r="H50" s="21"/>
      <c r="I50" s="22" t="str">
        <f aca="false">IF(D50="","",IF(OR(F50="",G50=""),"Falta o número de verificações",IF(G50&gt;F50,"Feitas acima das previstas",IF(G50&lt;F50,"Verificação pendente",IF(N(H50)&gt;0,"Com desvio","Conforme")))))</f>
        <v/>
      </c>
      <c r="J50" s="11"/>
      <c r="K50" s="5"/>
      <c r="L50" s="5"/>
      <c r="M50" s="5"/>
      <c r="N50" s="5"/>
      <c r="O50" s="12" t="str">
        <f aca="false">IF(D50="","",IF(J50="","Falta a decisão",IF(OR(LEFT(I50,5)="Falta",LEFT(I50,5)="Feita"),I50,IF(AND(G50&lt;F50,J50="Liberado"),"Liberado com verificação pendente",IF(AND(J50="Liberado com autorização",L50=""),"Falta quem autorizou",IF(AND(N(H50)&gt;0,M50=""),"Desvio sem registro de não conforme",IF(AND(J50="Retido",M50=""),"Retido sem registro de não conforme",IF(AND(J50&lt;&gt;"Retido",K50=""),"Falta quem liberou","OK"))))))))</f>
        <v/>
      </c>
    </row>
    <row r="51" customFormat="false" ht="21.75" hidden="false" customHeight="true" outlineLevel="0" collapsed="false">
      <c r="B51" s="9" t="n">
        <v>45</v>
      </c>
      <c r="C51" s="20"/>
      <c r="D51" s="5"/>
      <c r="E51" s="5"/>
      <c r="F51" s="21"/>
      <c r="G51" s="21"/>
      <c r="H51" s="21"/>
      <c r="I51" s="22" t="str">
        <f aca="false">IF(D51="","",IF(OR(F51="",G51=""),"Falta o número de verificações",IF(G51&gt;F51,"Feitas acima das previstas",IF(G51&lt;F51,"Verificação pendente",IF(N(H51)&gt;0,"Com desvio","Conforme")))))</f>
        <v/>
      </c>
      <c r="J51" s="11"/>
      <c r="K51" s="5"/>
      <c r="L51" s="5"/>
      <c r="M51" s="5"/>
      <c r="N51" s="5"/>
      <c r="O51" s="12" t="str">
        <f aca="false">IF(D51="","",IF(J51="","Falta a decisão",IF(OR(LEFT(I51,5)="Falta",LEFT(I51,5)="Feita"),I51,IF(AND(G51&lt;F51,J51="Liberado"),"Liberado com verificação pendente",IF(AND(J51="Liberado com autorização",L51=""),"Falta quem autorizou",IF(AND(N(H51)&gt;0,M51=""),"Desvio sem registro de não conforme",IF(AND(J51="Retido",M51=""),"Retido sem registro de não conforme",IF(AND(J51&lt;&gt;"Retido",K51=""),"Falta quem liberou","OK"))))))))</f>
        <v/>
      </c>
    </row>
    <row r="52" customFormat="false" ht="21.75" hidden="false" customHeight="true" outlineLevel="0" collapsed="false">
      <c r="B52" s="9" t="n">
        <v>46</v>
      </c>
      <c r="C52" s="20"/>
      <c r="D52" s="5"/>
      <c r="E52" s="5"/>
      <c r="F52" s="21"/>
      <c r="G52" s="21"/>
      <c r="H52" s="21"/>
      <c r="I52" s="22" t="str">
        <f aca="false">IF(D52="","",IF(OR(F52="",G52=""),"Falta o número de verificações",IF(G52&gt;F52,"Feitas acima das previstas",IF(G52&lt;F52,"Verificação pendente",IF(N(H52)&gt;0,"Com desvio","Conforme")))))</f>
        <v/>
      </c>
      <c r="J52" s="11"/>
      <c r="K52" s="5"/>
      <c r="L52" s="5"/>
      <c r="M52" s="5"/>
      <c r="N52" s="5"/>
      <c r="O52" s="12" t="str">
        <f aca="false">IF(D52="","",IF(J52="","Falta a decisão",IF(OR(LEFT(I52,5)="Falta",LEFT(I52,5)="Feita"),I52,IF(AND(G52&lt;F52,J52="Liberado"),"Liberado com verificação pendente",IF(AND(J52="Liberado com autorização",L52=""),"Falta quem autorizou",IF(AND(N(H52)&gt;0,M52=""),"Desvio sem registro de não conforme",IF(AND(J52="Retido",M52=""),"Retido sem registro de não conforme",IF(AND(J52&lt;&gt;"Retido",K52=""),"Falta quem liberou","OK"))))))))</f>
        <v/>
      </c>
    </row>
    <row r="53" customFormat="false" ht="21.75" hidden="false" customHeight="true" outlineLevel="0" collapsed="false">
      <c r="B53" s="9" t="n">
        <v>47</v>
      </c>
      <c r="C53" s="20"/>
      <c r="D53" s="5"/>
      <c r="E53" s="5"/>
      <c r="F53" s="21"/>
      <c r="G53" s="21"/>
      <c r="H53" s="21"/>
      <c r="I53" s="22" t="str">
        <f aca="false">IF(D53="","",IF(OR(F53="",G53=""),"Falta o número de verificações",IF(G53&gt;F53,"Feitas acima das previstas",IF(G53&lt;F53,"Verificação pendente",IF(N(H53)&gt;0,"Com desvio","Conforme")))))</f>
        <v/>
      </c>
      <c r="J53" s="11"/>
      <c r="K53" s="5"/>
      <c r="L53" s="5"/>
      <c r="M53" s="5"/>
      <c r="N53" s="5"/>
      <c r="O53" s="12" t="str">
        <f aca="false">IF(D53="","",IF(J53="","Falta a decisão",IF(OR(LEFT(I53,5)="Falta",LEFT(I53,5)="Feita"),I53,IF(AND(G53&lt;F53,J53="Liberado"),"Liberado com verificação pendente",IF(AND(J53="Liberado com autorização",L53=""),"Falta quem autorizou",IF(AND(N(H53)&gt;0,M53=""),"Desvio sem registro de não conforme",IF(AND(J53="Retido",M53=""),"Retido sem registro de não conforme",IF(AND(J53&lt;&gt;"Retido",K53=""),"Falta quem liberou","OK"))))))))</f>
        <v/>
      </c>
    </row>
    <row r="54" customFormat="false" ht="21.75" hidden="false" customHeight="true" outlineLevel="0" collapsed="false">
      <c r="B54" s="9" t="n">
        <v>48</v>
      </c>
      <c r="C54" s="20"/>
      <c r="D54" s="5"/>
      <c r="E54" s="5"/>
      <c r="F54" s="21"/>
      <c r="G54" s="21"/>
      <c r="H54" s="21"/>
      <c r="I54" s="22" t="str">
        <f aca="false">IF(D54="","",IF(OR(F54="",G54=""),"Falta o número de verificações",IF(G54&gt;F54,"Feitas acima das previstas",IF(G54&lt;F54,"Verificação pendente",IF(N(H54)&gt;0,"Com desvio","Conforme")))))</f>
        <v/>
      </c>
      <c r="J54" s="11"/>
      <c r="K54" s="5"/>
      <c r="L54" s="5"/>
      <c r="M54" s="5"/>
      <c r="N54" s="5"/>
      <c r="O54" s="12" t="str">
        <f aca="false">IF(D54="","",IF(J54="","Falta a decisão",IF(OR(LEFT(I54,5)="Falta",LEFT(I54,5)="Feita"),I54,IF(AND(G54&lt;F54,J54="Liberado"),"Liberado com verificação pendente",IF(AND(J54="Liberado com autorização",L54=""),"Falta quem autorizou",IF(AND(N(H54)&gt;0,M54=""),"Desvio sem registro de não conforme",IF(AND(J54="Retido",M54=""),"Retido sem registro de não conforme",IF(AND(J54&lt;&gt;"Retido",K54=""),"Falta quem liberou","OK"))))))))</f>
        <v/>
      </c>
    </row>
    <row r="55" customFormat="false" ht="21.75" hidden="false" customHeight="true" outlineLevel="0" collapsed="false">
      <c r="B55" s="9" t="n">
        <v>49</v>
      </c>
      <c r="C55" s="20"/>
      <c r="D55" s="5"/>
      <c r="E55" s="5"/>
      <c r="F55" s="21"/>
      <c r="G55" s="21"/>
      <c r="H55" s="21"/>
      <c r="I55" s="22" t="str">
        <f aca="false">IF(D55="","",IF(OR(F55="",G55=""),"Falta o número de verificações",IF(G55&gt;F55,"Feitas acima das previstas",IF(G55&lt;F55,"Verificação pendente",IF(N(H55)&gt;0,"Com desvio","Conforme")))))</f>
        <v/>
      </c>
      <c r="J55" s="11"/>
      <c r="K55" s="5"/>
      <c r="L55" s="5"/>
      <c r="M55" s="5"/>
      <c r="N55" s="5"/>
      <c r="O55" s="12" t="str">
        <f aca="false">IF(D55="","",IF(J55="","Falta a decisão",IF(OR(LEFT(I55,5)="Falta",LEFT(I55,5)="Feita"),I55,IF(AND(G55&lt;F55,J55="Liberado"),"Liberado com verificação pendente",IF(AND(J55="Liberado com autorização",L55=""),"Falta quem autorizou",IF(AND(N(H55)&gt;0,M55=""),"Desvio sem registro de não conforme",IF(AND(J55="Retido",M55=""),"Retido sem registro de não conforme",IF(AND(J55&lt;&gt;"Retido",K55=""),"Falta quem liberou","OK"))))))))</f>
        <v/>
      </c>
    </row>
    <row r="56" customFormat="false" ht="21.75" hidden="false" customHeight="true" outlineLevel="0" collapsed="false">
      <c r="B56" s="9" t="n">
        <v>50</v>
      </c>
      <c r="C56" s="20"/>
      <c r="D56" s="5"/>
      <c r="E56" s="5"/>
      <c r="F56" s="21"/>
      <c r="G56" s="21"/>
      <c r="H56" s="21"/>
      <c r="I56" s="22" t="str">
        <f aca="false">IF(D56="","",IF(OR(F56="",G56=""),"Falta o número de verificações",IF(G56&gt;F56,"Feitas acima das previstas",IF(G56&lt;F56,"Verificação pendente",IF(N(H56)&gt;0,"Com desvio","Conforme")))))</f>
        <v/>
      </c>
      <c r="J56" s="11"/>
      <c r="K56" s="5"/>
      <c r="L56" s="5"/>
      <c r="M56" s="5"/>
      <c r="N56" s="5"/>
      <c r="O56" s="12" t="str">
        <f aca="false">IF(D56="","",IF(J56="","Falta a decisão",IF(OR(LEFT(I56,5)="Falta",LEFT(I56,5)="Feita"),I56,IF(AND(G56&lt;F56,J56="Liberado"),"Liberado com verificação pendente",IF(AND(J56="Liberado com autorização",L56=""),"Falta quem autorizou",IF(AND(N(H56)&gt;0,M56=""),"Desvio sem registro de não conforme",IF(AND(J56="Retido",M56=""),"Retido sem registro de não conforme",IF(AND(J56&lt;&gt;"Retido",K56=""),"Falta quem liberou","OK"))))))))</f>
        <v/>
      </c>
    </row>
    <row r="57" customFormat="false" ht="21.75" hidden="false" customHeight="true" outlineLevel="0" collapsed="false">
      <c r="B57" s="9" t="n">
        <v>51</v>
      </c>
      <c r="C57" s="20"/>
      <c r="D57" s="5"/>
      <c r="E57" s="5"/>
      <c r="F57" s="21"/>
      <c r="G57" s="21"/>
      <c r="H57" s="21"/>
      <c r="I57" s="22" t="str">
        <f aca="false">IF(D57="","",IF(OR(F57="",G57=""),"Falta o número de verificações",IF(G57&gt;F57,"Feitas acima das previstas",IF(G57&lt;F57,"Verificação pendente",IF(N(H57)&gt;0,"Com desvio","Conforme")))))</f>
        <v/>
      </c>
      <c r="J57" s="11"/>
      <c r="K57" s="5"/>
      <c r="L57" s="5"/>
      <c r="M57" s="5"/>
      <c r="N57" s="5"/>
      <c r="O57" s="12" t="str">
        <f aca="false">IF(D57="","",IF(J57="","Falta a decisão",IF(OR(LEFT(I57,5)="Falta",LEFT(I57,5)="Feita"),I57,IF(AND(G57&lt;F57,J57="Liberado"),"Liberado com verificação pendente",IF(AND(J57="Liberado com autorização",L57=""),"Falta quem autorizou",IF(AND(N(H57)&gt;0,M57=""),"Desvio sem registro de não conforme",IF(AND(J57="Retido",M57=""),"Retido sem registro de não conforme",IF(AND(J57&lt;&gt;"Retido",K57=""),"Falta quem liberou","OK"))))))))</f>
        <v/>
      </c>
    </row>
    <row r="58" customFormat="false" ht="21.75" hidden="false" customHeight="true" outlineLevel="0" collapsed="false">
      <c r="B58" s="9" t="n">
        <v>52</v>
      </c>
      <c r="C58" s="20"/>
      <c r="D58" s="5"/>
      <c r="E58" s="5"/>
      <c r="F58" s="21"/>
      <c r="G58" s="21"/>
      <c r="H58" s="21"/>
      <c r="I58" s="22" t="str">
        <f aca="false">IF(D58="","",IF(OR(F58="",G58=""),"Falta o número de verificações",IF(G58&gt;F58,"Feitas acima das previstas",IF(G58&lt;F58,"Verificação pendente",IF(N(H58)&gt;0,"Com desvio","Conforme")))))</f>
        <v/>
      </c>
      <c r="J58" s="11"/>
      <c r="K58" s="5"/>
      <c r="L58" s="5"/>
      <c r="M58" s="5"/>
      <c r="N58" s="5"/>
      <c r="O58" s="12" t="str">
        <f aca="false">IF(D58="","",IF(J58="","Falta a decisão",IF(OR(LEFT(I58,5)="Falta",LEFT(I58,5)="Feita"),I58,IF(AND(G58&lt;F58,J58="Liberado"),"Liberado com verificação pendente",IF(AND(J58="Liberado com autorização",L58=""),"Falta quem autorizou",IF(AND(N(H58)&gt;0,M58=""),"Desvio sem registro de não conforme",IF(AND(J58="Retido",M58=""),"Retido sem registro de não conforme",IF(AND(J58&lt;&gt;"Retido",K58=""),"Falta quem liberou","OK"))))))))</f>
        <v/>
      </c>
    </row>
    <row r="59" customFormat="false" ht="21.75" hidden="false" customHeight="true" outlineLevel="0" collapsed="false">
      <c r="B59" s="9" t="n">
        <v>53</v>
      </c>
      <c r="C59" s="20"/>
      <c r="D59" s="5"/>
      <c r="E59" s="5"/>
      <c r="F59" s="21"/>
      <c r="G59" s="21"/>
      <c r="H59" s="21"/>
      <c r="I59" s="22" t="str">
        <f aca="false">IF(D59="","",IF(OR(F59="",G59=""),"Falta o número de verificações",IF(G59&gt;F59,"Feitas acima das previstas",IF(G59&lt;F59,"Verificação pendente",IF(N(H59)&gt;0,"Com desvio","Conforme")))))</f>
        <v/>
      </c>
      <c r="J59" s="11"/>
      <c r="K59" s="5"/>
      <c r="L59" s="5"/>
      <c r="M59" s="5"/>
      <c r="N59" s="5"/>
      <c r="O59" s="12" t="str">
        <f aca="false">IF(D59="","",IF(J59="","Falta a decisão",IF(OR(LEFT(I59,5)="Falta",LEFT(I59,5)="Feita"),I59,IF(AND(G59&lt;F59,J59="Liberado"),"Liberado com verificação pendente",IF(AND(J59="Liberado com autorização",L59=""),"Falta quem autorizou",IF(AND(N(H59)&gt;0,M59=""),"Desvio sem registro de não conforme",IF(AND(J59="Retido",M59=""),"Retido sem registro de não conforme",IF(AND(J59&lt;&gt;"Retido",K59=""),"Falta quem liberou","OK"))))))))</f>
        <v/>
      </c>
    </row>
    <row r="60" customFormat="false" ht="21.75" hidden="false" customHeight="true" outlineLevel="0" collapsed="false">
      <c r="B60" s="9" t="n">
        <v>54</v>
      </c>
      <c r="C60" s="20"/>
      <c r="D60" s="5"/>
      <c r="E60" s="5"/>
      <c r="F60" s="21"/>
      <c r="G60" s="21"/>
      <c r="H60" s="21"/>
      <c r="I60" s="22" t="str">
        <f aca="false">IF(D60="","",IF(OR(F60="",G60=""),"Falta o número de verificações",IF(G60&gt;F60,"Feitas acima das previstas",IF(G60&lt;F60,"Verificação pendente",IF(N(H60)&gt;0,"Com desvio","Conforme")))))</f>
        <v/>
      </c>
      <c r="J60" s="11"/>
      <c r="K60" s="5"/>
      <c r="L60" s="5"/>
      <c r="M60" s="5"/>
      <c r="N60" s="5"/>
      <c r="O60" s="12" t="str">
        <f aca="false">IF(D60="","",IF(J60="","Falta a decisão",IF(OR(LEFT(I60,5)="Falta",LEFT(I60,5)="Feita"),I60,IF(AND(G60&lt;F60,J60="Liberado"),"Liberado com verificação pendente",IF(AND(J60="Liberado com autorização",L60=""),"Falta quem autorizou",IF(AND(N(H60)&gt;0,M60=""),"Desvio sem registro de não conforme",IF(AND(J60="Retido",M60=""),"Retido sem registro de não conforme",IF(AND(J60&lt;&gt;"Retido",K60=""),"Falta quem liberou","OK"))))))))</f>
        <v/>
      </c>
    </row>
    <row r="61" customFormat="false" ht="21.75" hidden="false" customHeight="true" outlineLevel="0" collapsed="false">
      <c r="B61" s="9" t="n">
        <v>55</v>
      </c>
      <c r="C61" s="20"/>
      <c r="D61" s="5"/>
      <c r="E61" s="5"/>
      <c r="F61" s="21"/>
      <c r="G61" s="21"/>
      <c r="H61" s="21"/>
      <c r="I61" s="22" t="str">
        <f aca="false">IF(D61="","",IF(OR(F61="",G61=""),"Falta o número de verificações",IF(G61&gt;F61,"Feitas acima das previstas",IF(G61&lt;F61,"Verificação pendente",IF(N(H61)&gt;0,"Com desvio","Conforme")))))</f>
        <v/>
      </c>
      <c r="J61" s="11"/>
      <c r="K61" s="5"/>
      <c r="L61" s="5"/>
      <c r="M61" s="5"/>
      <c r="N61" s="5"/>
      <c r="O61" s="12" t="str">
        <f aca="false">IF(D61="","",IF(J61="","Falta a decisão",IF(OR(LEFT(I61,5)="Falta",LEFT(I61,5)="Feita"),I61,IF(AND(G61&lt;F61,J61="Liberado"),"Liberado com verificação pendente",IF(AND(J61="Liberado com autorização",L61=""),"Falta quem autorizou",IF(AND(N(H61)&gt;0,M61=""),"Desvio sem registro de não conforme",IF(AND(J61="Retido",M61=""),"Retido sem registro de não conforme",IF(AND(J61&lt;&gt;"Retido",K61=""),"Falta quem liberou","OK"))))))))</f>
        <v/>
      </c>
    </row>
    <row r="62" customFormat="false" ht="21.75" hidden="false" customHeight="true" outlineLevel="0" collapsed="false">
      <c r="B62" s="9" t="n">
        <v>56</v>
      </c>
      <c r="C62" s="20"/>
      <c r="D62" s="5"/>
      <c r="E62" s="5"/>
      <c r="F62" s="21"/>
      <c r="G62" s="21"/>
      <c r="H62" s="21"/>
      <c r="I62" s="22" t="str">
        <f aca="false">IF(D62="","",IF(OR(F62="",G62=""),"Falta o número de verificações",IF(G62&gt;F62,"Feitas acima das previstas",IF(G62&lt;F62,"Verificação pendente",IF(N(H62)&gt;0,"Com desvio","Conforme")))))</f>
        <v/>
      </c>
      <c r="J62" s="11"/>
      <c r="K62" s="5"/>
      <c r="L62" s="5"/>
      <c r="M62" s="5"/>
      <c r="N62" s="5"/>
      <c r="O62" s="12" t="str">
        <f aca="false">IF(D62="","",IF(J62="","Falta a decisão",IF(OR(LEFT(I62,5)="Falta",LEFT(I62,5)="Feita"),I62,IF(AND(G62&lt;F62,J62="Liberado"),"Liberado com verificação pendente",IF(AND(J62="Liberado com autorização",L62=""),"Falta quem autorizou",IF(AND(N(H62)&gt;0,M62=""),"Desvio sem registro de não conforme",IF(AND(J62="Retido",M62=""),"Retido sem registro de não conforme",IF(AND(J62&lt;&gt;"Retido",K62=""),"Falta quem liberou","OK"))))))))</f>
        <v/>
      </c>
    </row>
    <row r="63" customFormat="false" ht="21.75" hidden="false" customHeight="true" outlineLevel="0" collapsed="false">
      <c r="B63" s="9" t="n">
        <v>57</v>
      </c>
      <c r="C63" s="20"/>
      <c r="D63" s="5"/>
      <c r="E63" s="5"/>
      <c r="F63" s="21"/>
      <c r="G63" s="21"/>
      <c r="H63" s="21"/>
      <c r="I63" s="22" t="str">
        <f aca="false">IF(D63="","",IF(OR(F63="",G63=""),"Falta o número de verificações",IF(G63&gt;F63,"Feitas acima das previstas",IF(G63&lt;F63,"Verificação pendente",IF(N(H63)&gt;0,"Com desvio","Conforme")))))</f>
        <v/>
      </c>
      <c r="J63" s="11"/>
      <c r="K63" s="5"/>
      <c r="L63" s="5"/>
      <c r="M63" s="5"/>
      <c r="N63" s="5"/>
      <c r="O63" s="12" t="str">
        <f aca="false">IF(D63="","",IF(J63="","Falta a decisão",IF(OR(LEFT(I63,5)="Falta",LEFT(I63,5)="Feita"),I63,IF(AND(G63&lt;F63,J63="Liberado"),"Liberado com verificação pendente",IF(AND(J63="Liberado com autorização",L63=""),"Falta quem autorizou",IF(AND(N(H63)&gt;0,M63=""),"Desvio sem registro de não conforme",IF(AND(J63="Retido",M63=""),"Retido sem registro de não conforme",IF(AND(J63&lt;&gt;"Retido",K63=""),"Falta quem liberou","OK"))))))))</f>
        <v/>
      </c>
    </row>
    <row r="64" customFormat="false" ht="21.75" hidden="false" customHeight="true" outlineLevel="0" collapsed="false">
      <c r="B64" s="9" t="n">
        <v>58</v>
      </c>
      <c r="C64" s="20"/>
      <c r="D64" s="5"/>
      <c r="E64" s="5"/>
      <c r="F64" s="21"/>
      <c r="G64" s="21"/>
      <c r="H64" s="21"/>
      <c r="I64" s="22" t="str">
        <f aca="false">IF(D64="","",IF(OR(F64="",G64=""),"Falta o número de verificações",IF(G64&gt;F64,"Feitas acima das previstas",IF(G64&lt;F64,"Verificação pendente",IF(N(H64)&gt;0,"Com desvio","Conforme")))))</f>
        <v/>
      </c>
      <c r="J64" s="11"/>
      <c r="K64" s="5"/>
      <c r="L64" s="5"/>
      <c r="M64" s="5"/>
      <c r="N64" s="5"/>
      <c r="O64" s="12" t="str">
        <f aca="false">IF(D64="","",IF(J64="","Falta a decisão",IF(OR(LEFT(I64,5)="Falta",LEFT(I64,5)="Feita"),I64,IF(AND(G64&lt;F64,J64="Liberado"),"Liberado com verificação pendente",IF(AND(J64="Liberado com autorização",L64=""),"Falta quem autorizou",IF(AND(N(H64)&gt;0,M64=""),"Desvio sem registro de não conforme",IF(AND(J64="Retido",M64=""),"Retido sem registro de não conforme",IF(AND(J64&lt;&gt;"Retido",K64=""),"Falta quem liberou","OK"))))))))</f>
        <v/>
      </c>
    </row>
    <row r="65" customFormat="false" ht="21.75" hidden="false" customHeight="true" outlineLevel="0" collapsed="false">
      <c r="B65" s="9" t="n">
        <v>59</v>
      </c>
      <c r="C65" s="20"/>
      <c r="D65" s="5"/>
      <c r="E65" s="5"/>
      <c r="F65" s="21"/>
      <c r="G65" s="21"/>
      <c r="H65" s="21"/>
      <c r="I65" s="22" t="str">
        <f aca="false">IF(D65="","",IF(OR(F65="",G65=""),"Falta o número de verificações",IF(G65&gt;F65,"Feitas acima das previstas",IF(G65&lt;F65,"Verificação pendente",IF(N(H65)&gt;0,"Com desvio","Conforme")))))</f>
        <v/>
      </c>
      <c r="J65" s="11"/>
      <c r="K65" s="5"/>
      <c r="L65" s="5"/>
      <c r="M65" s="5"/>
      <c r="N65" s="5"/>
      <c r="O65" s="12" t="str">
        <f aca="false">IF(D65="","",IF(J65="","Falta a decisão",IF(OR(LEFT(I65,5)="Falta",LEFT(I65,5)="Feita"),I65,IF(AND(G65&lt;F65,J65="Liberado"),"Liberado com verificação pendente",IF(AND(J65="Liberado com autorização",L65=""),"Falta quem autorizou",IF(AND(N(H65)&gt;0,M65=""),"Desvio sem registro de não conforme",IF(AND(J65="Retido",M65=""),"Retido sem registro de não conforme",IF(AND(J65&lt;&gt;"Retido",K65=""),"Falta quem liberou","OK"))))))))</f>
        <v/>
      </c>
    </row>
    <row r="66" customFormat="false" ht="21.75" hidden="false" customHeight="true" outlineLevel="0" collapsed="false">
      <c r="B66" s="9" t="n">
        <v>60</v>
      </c>
      <c r="C66" s="20"/>
      <c r="D66" s="5"/>
      <c r="E66" s="5"/>
      <c r="F66" s="21"/>
      <c r="G66" s="21"/>
      <c r="H66" s="21"/>
      <c r="I66" s="22" t="str">
        <f aca="false">IF(D66="","",IF(OR(F66="",G66=""),"Falta o número de verificações",IF(G66&gt;F66,"Feitas acima das previstas",IF(G66&lt;F66,"Verificação pendente",IF(N(H66)&gt;0,"Com desvio","Conforme")))))</f>
        <v/>
      </c>
      <c r="J66" s="11"/>
      <c r="K66" s="5"/>
      <c r="L66" s="5"/>
      <c r="M66" s="5"/>
      <c r="N66" s="5"/>
      <c r="O66" s="12" t="str">
        <f aca="false">IF(D66="","",IF(J66="","Falta a decisão",IF(OR(LEFT(I66,5)="Falta",LEFT(I66,5)="Feita"),I66,IF(AND(G66&lt;F66,J66="Liberado"),"Liberado com verificação pendente",IF(AND(J66="Liberado com autorização",L66=""),"Falta quem autorizou",IF(AND(N(H66)&gt;0,M66=""),"Desvio sem registro de não conforme",IF(AND(J66="Retido",M66=""),"Retido sem registro de não conforme",IF(AND(J66&lt;&gt;"Retido",K66=""),"Falta quem liberou","OK"))))))))</f>
        <v/>
      </c>
    </row>
    <row r="68" customFormat="false" ht="21.75" hidden="false" customHeight="true" outlineLevel="0" collapsed="false">
      <c r="B68" s="13" t="s">
        <v>91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customFormat="false" ht="21.75" hidden="false" customHeight="true" outlineLevel="0" collapsed="false">
      <c r="B69" s="14" t="s">
        <v>123</v>
      </c>
      <c r="C69" s="14"/>
      <c r="D69" s="14"/>
      <c r="E69" s="15" t="n">
        <f aca="false">COUNTA(D7:D66)</f>
        <v>0</v>
      </c>
      <c r="F69" s="15"/>
      <c r="G69" s="15"/>
      <c r="H69" s="15"/>
      <c r="I69" s="15"/>
    </row>
    <row r="70" customFormat="false" ht="21.75" hidden="false" customHeight="true" outlineLevel="0" collapsed="false">
      <c r="B70" s="14" t="s">
        <v>124</v>
      </c>
      <c r="C70" s="14"/>
      <c r="D70" s="14"/>
      <c r="E70" s="15" t="str">
        <f aca="false">IF(E69=0,"",COUNTIF(J7:J66,"Liberado")&amp;" liberados, "&amp;COUNTIF(J7:J66,"Liberado com autorização")&amp;" com autorização, "&amp;COUNTIF(J7:J66,"Retido")&amp;" retidos")</f>
        <v/>
      </c>
      <c r="F70" s="15"/>
      <c r="G70" s="15"/>
      <c r="H70" s="15"/>
      <c r="I70" s="15"/>
    </row>
    <row r="71" customFormat="false" ht="21.75" hidden="false" customHeight="true" outlineLevel="0" collapsed="false">
      <c r="B71" s="14" t="s">
        <v>125</v>
      </c>
      <c r="C71" s="14"/>
      <c r="D71" s="14"/>
      <c r="E71" s="15" t="n">
        <f aca="false">SUMPRODUCT((O7:O66&lt;&gt;"")*(O7:O66&lt;&gt;"OK"))</f>
        <v>0</v>
      </c>
      <c r="F71" s="15"/>
      <c r="G71" s="15"/>
      <c r="H71" s="15"/>
      <c r="I71" s="15"/>
    </row>
    <row r="72" customFormat="false" ht="21.75" hidden="false" customHeight="true" outlineLevel="0" collapsed="false">
      <c r="B72" s="14" t="s">
        <v>93</v>
      </c>
      <c r="C72" s="14"/>
      <c r="D72" s="14"/>
      <c r="E72" s="16" t="str">
        <f aca="false">IF(E69=0,"Registre as liberações",IF(COUNTIF(O7:O66,"Liberado com verificação pendente")&gt;0,"Há lote liberado com verificação pendente, sem autorização",IF(E71&gt;0,"Há liberação a rever: veja a coluna Conferência","OK")))</f>
        <v>Registre as liberações</v>
      </c>
      <c r="F72" s="16"/>
      <c r="G72" s="16"/>
      <c r="H72" s="16"/>
      <c r="I72" s="16"/>
    </row>
  </sheetData>
  <mergeCells count="11">
    <mergeCell ref="B1:O1"/>
    <mergeCell ref="B2:O2"/>
    <mergeCell ref="B68:O68"/>
    <mergeCell ref="B69:D69"/>
    <mergeCell ref="E69:I69"/>
    <mergeCell ref="B70:D70"/>
    <mergeCell ref="E70:I70"/>
    <mergeCell ref="B71:D71"/>
    <mergeCell ref="E71:I71"/>
    <mergeCell ref="B72:D72"/>
    <mergeCell ref="E72:I72"/>
  </mergeCells>
  <conditionalFormatting sqref="I7:I66">
    <cfRule type="expression" priority="2" aboveAverage="0" equalAverage="0" bottom="0" percent="0" rank="0" text="" dxfId="0">
      <formula>I7="Conforme"</formula>
    </cfRule>
    <cfRule type="expression" priority="3" aboveAverage="0" equalAverage="0" bottom="0" percent="0" rank="0" text="" dxfId="2">
      <formula>I7="Verificação pendente"</formula>
    </cfRule>
    <cfRule type="expression" priority="4" aboveAverage="0" equalAverage="0" bottom="0" percent="0" rank="0" text="" dxfId="3">
      <formula>I7="Com desvio"</formula>
    </cfRule>
    <cfRule type="expression" priority="5" aboveAverage="0" equalAverage="0" bottom="0" percent="0" rank="0" text="" dxfId="1">
      <formula>LEN(I7)&gt;0</formula>
    </cfRule>
  </conditionalFormatting>
  <conditionalFormatting sqref="J7:J66">
    <cfRule type="expression" priority="6" aboveAverage="0" equalAverage="0" bottom="0" percent="0" rank="0" text="" dxfId="0">
      <formula>J7="Liberado"</formula>
    </cfRule>
    <cfRule type="expression" priority="7" aboveAverage="0" equalAverage="0" bottom="0" percent="0" rank="0" text="" dxfId="2">
      <formula>J7="Liberado com autorização"</formula>
    </cfRule>
    <cfRule type="expression" priority="8" aboveAverage="0" equalAverage="0" bottom="0" percent="0" rank="0" text="" dxfId="3">
      <formula>J7="Retido"</formula>
    </cfRule>
  </conditionalFormatting>
  <conditionalFormatting sqref="O7:O66">
    <cfRule type="expression" priority="9" aboveAverage="0" equalAverage="0" bottom="0" percent="0" rank="0" text="" dxfId="0">
      <formula>OR(O7="OK")</formula>
    </cfRule>
    <cfRule type="expression" priority="10" aboveAverage="0" equalAverage="0" bottom="0" percent="0" rank="0" text="" dxfId="1">
      <formula>AND(LEN(O7)&gt;0,NOT(OR(O7="OK")))</formula>
    </cfRule>
  </conditionalFormatting>
  <conditionalFormatting sqref="E72:I72">
    <cfRule type="expression" priority="11" aboveAverage="0" equalAverage="0" bottom="0" percent="0" rank="0" text="" dxfId="0">
      <formula>OR(E72="OK")</formula>
    </cfRule>
    <cfRule type="expression" priority="12" aboveAverage="0" equalAverage="0" bottom="0" percent="0" rank="0" text="" dxfId="1">
      <formula>AND(LEN(E72)&gt;0,NOT(OR(E72="OK")))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7:C6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7:H66" type="decimal">
      <formula1>-1000000000</formula1>
      <formula2>1000000000</formula2>
    </dataValidation>
    <dataValidation allowBlank="true" error="Escolha uma das opções da lista." errorStyle="stop" errorTitle="Valor inválido" operator="between" prompt="Liberado; Liberado com autorização (verificação pendente); Retido" promptTitle="Opções" showDropDown="false" showErrorMessage="true" showInputMessage="true" sqref="J7:J66" type="list">
      <formula1>"Liberado,Liberado com autorização,Retido"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T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8"/>
    <col collapsed="false" customWidth="true" hidden="false" outlineLevel="0" max="12" min="11" style="0" width="20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30"/>
    <col collapsed="false" customWidth="true" hidden="false" outlineLevel="0" max="21" min="21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B2" s="2" t="s">
        <v>127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3" hidden="false" customHeight="true" outlineLevel="0" collapsed="false">
      <c r="B4" s="8" t="s">
        <v>68</v>
      </c>
      <c r="C4" s="8" t="s">
        <v>128</v>
      </c>
      <c r="D4" s="8" t="s">
        <v>96</v>
      </c>
      <c r="E4" s="8" t="s">
        <v>97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137</v>
      </c>
      <c r="O4" s="8" t="s">
        <v>138</v>
      </c>
      <c r="P4" s="8" t="s">
        <v>61</v>
      </c>
      <c r="Q4" s="8" t="s">
        <v>139</v>
      </c>
      <c r="R4" s="8" t="s">
        <v>140</v>
      </c>
      <c r="S4" s="8" t="s">
        <v>22</v>
      </c>
      <c r="T4" s="8" t="s">
        <v>74</v>
      </c>
    </row>
    <row r="5" customFormat="false" ht="30" hidden="false" customHeight="true" outlineLevel="0" collapsed="false">
      <c r="B5" s="17"/>
      <c r="C5" s="17" t="s">
        <v>141</v>
      </c>
      <c r="D5" s="17" t="s">
        <v>96</v>
      </c>
      <c r="E5" s="17" t="s">
        <v>107</v>
      </c>
      <c r="F5" s="17" t="s">
        <v>142</v>
      </c>
      <c r="G5" s="17" t="s">
        <v>143</v>
      </c>
      <c r="H5" s="17" t="s">
        <v>144</v>
      </c>
      <c r="I5" s="17" t="s">
        <v>111</v>
      </c>
      <c r="J5" s="17" t="s">
        <v>145</v>
      </c>
      <c r="K5" s="17" t="s">
        <v>111</v>
      </c>
      <c r="L5" s="17" t="s">
        <v>112</v>
      </c>
      <c r="M5" s="17" t="s">
        <v>146</v>
      </c>
      <c r="N5" s="17" t="s">
        <v>111</v>
      </c>
      <c r="O5" s="17" t="s">
        <v>96</v>
      </c>
      <c r="P5" s="17" t="s">
        <v>147</v>
      </c>
      <c r="Q5" s="17" t="s">
        <v>148</v>
      </c>
      <c r="R5" s="17" t="s">
        <v>110</v>
      </c>
      <c r="S5" s="17" t="s">
        <v>149</v>
      </c>
      <c r="T5" s="17" t="s">
        <v>110</v>
      </c>
    </row>
    <row r="6" customFormat="false" ht="30" hidden="false" customHeight="true" outlineLevel="0" collapsed="false">
      <c r="B6" s="17" t="s">
        <v>115</v>
      </c>
      <c r="C6" s="17" t="s">
        <v>150</v>
      </c>
      <c r="D6" s="18" t="n">
        <v>46527</v>
      </c>
      <c r="E6" s="19" t="s">
        <v>151</v>
      </c>
      <c r="F6" s="19" t="s">
        <v>152</v>
      </c>
      <c r="G6" s="19" t="s">
        <v>153</v>
      </c>
      <c r="H6" s="17" t="s">
        <v>154</v>
      </c>
      <c r="I6" s="17" t="s">
        <v>155</v>
      </c>
      <c r="J6" s="19" t="s">
        <v>156</v>
      </c>
      <c r="K6" s="17" t="s">
        <v>83</v>
      </c>
      <c r="L6" s="19" t="s">
        <v>157</v>
      </c>
      <c r="M6" s="19" t="s">
        <v>158</v>
      </c>
      <c r="N6" s="17"/>
      <c r="O6" s="18" t="n">
        <v>46528</v>
      </c>
      <c r="P6" s="23" t="n">
        <v>1350</v>
      </c>
      <c r="Q6" s="19"/>
      <c r="R6" s="17" t="s">
        <v>159</v>
      </c>
      <c r="S6" s="17" t="n">
        <v>1</v>
      </c>
      <c r="T6" s="17" t="s">
        <v>122</v>
      </c>
    </row>
    <row r="7" customFormat="false" ht="30" hidden="false" customHeight="true" outlineLevel="0" collapsed="false">
      <c r="B7" s="9" t="n">
        <v>1</v>
      </c>
      <c r="C7" s="11"/>
      <c r="D7" s="20"/>
      <c r="E7" s="5"/>
      <c r="F7" s="5"/>
      <c r="G7" s="5"/>
      <c r="H7" s="11"/>
      <c r="I7" s="11"/>
      <c r="J7" s="5"/>
      <c r="K7" s="11"/>
      <c r="L7" s="5"/>
      <c r="M7" s="5"/>
      <c r="N7" s="11"/>
      <c r="O7" s="20"/>
      <c r="P7" s="24"/>
      <c r="Q7" s="5"/>
      <c r="R7" s="22" t="str">
        <f aca="false">IF(F7="","",IF(K7="","Aberto",IF(O7="","Em tratamento","Encerrado")))</f>
        <v/>
      </c>
      <c r="S7" s="25" t="str">
        <f aca="false">IF(F7="","",COUNTIF($F$7:$F$66,F7))</f>
        <v/>
      </c>
      <c r="T7" s="12" t="str">
        <f aca="false">IF(F7="",IF(COUNTA(C7:E7,G7:Q7)&gt;0,"Falta o defeito",""),IF(D7="","Falta a data",IF(I7="","Falta onde foi visto",IF(K7="","Falta a disposição",IF(L7="","Falta quem decidiu",IF(AND(J7="",I7&lt;&gt;"Após a entrega"),"Falta a identificação e a segregação",IF(AND(K7="Aceitar sob concessão",M7=""),"Falta a concessão do cliente",IF(AND(I7="Após a entrega",M7=""),"Falta informar o cliente",IF(AND(K7="Retrabalhar",N7=""),"Falta a reverificação",IF(AND(N7="Não conforme",O7&lt;&gt;""),"Encerrado com reverificação não conforme",IF(AND(S7&gt;=3,COUNTIFS($F$7:$F$66,F7,$Q$7:$Q$66,"?*")=0),"Defeito repetido: avaliar ação corretiva","OK")))))))))))</f>
        <v/>
      </c>
    </row>
    <row r="8" customFormat="false" ht="30" hidden="false" customHeight="true" outlineLevel="0" collapsed="false">
      <c r="B8" s="9" t="n">
        <v>2</v>
      </c>
      <c r="C8" s="11"/>
      <c r="D8" s="20"/>
      <c r="E8" s="5"/>
      <c r="F8" s="5"/>
      <c r="G8" s="5"/>
      <c r="H8" s="11"/>
      <c r="I8" s="11"/>
      <c r="J8" s="5"/>
      <c r="K8" s="11"/>
      <c r="L8" s="5"/>
      <c r="M8" s="5"/>
      <c r="N8" s="11"/>
      <c r="O8" s="20"/>
      <c r="P8" s="24"/>
      <c r="Q8" s="5"/>
      <c r="R8" s="22" t="str">
        <f aca="false">IF(F8="","",IF(K8="","Aberto",IF(O8="","Em tratamento","Encerrado")))</f>
        <v/>
      </c>
      <c r="S8" s="25" t="str">
        <f aca="false">IF(F8="","",COUNTIF($F$7:$F$66,F8))</f>
        <v/>
      </c>
      <c r="T8" s="12" t="str">
        <f aca="false">IF(F8="",IF(COUNTA(C8:E8,G8:Q8)&gt;0,"Falta o defeito",""),IF(D8="","Falta a data",IF(I8="","Falta onde foi visto",IF(K8="","Falta a disposição",IF(L8="","Falta quem decidiu",IF(AND(J8="",I8&lt;&gt;"Após a entrega"),"Falta a identificação e a segregação",IF(AND(K8="Aceitar sob concessão",M8=""),"Falta a concessão do cliente",IF(AND(I8="Após a entrega",M8=""),"Falta informar o cliente",IF(AND(K8="Retrabalhar",N8=""),"Falta a reverificação",IF(AND(N8="Não conforme",O8&lt;&gt;""),"Encerrado com reverificação não conforme",IF(AND(S8&gt;=3,COUNTIFS($F$7:$F$66,F8,$Q$7:$Q$66,"?*")=0),"Defeito repetido: avaliar ação corretiva","OK")))))))))))</f>
        <v/>
      </c>
    </row>
    <row r="9" customFormat="false" ht="30" hidden="false" customHeight="true" outlineLevel="0" collapsed="false">
      <c r="B9" s="9" t="n">
        <v>3</v>
      </c>
      <c r="C9" s="11"/>
      <c r="D9" s="20"/>
      <c r="E9" s="5"/>
      <c r="F9" s="5"/>
      <c r="G9" s="5"/>
      <c r="H9" s="11"/>
      <c r="I9" s="11"/>
      <c r="J9" s="5"/>
      <c r="K9" s="11"/>
      <c r="L9" s="5"/>
      <c r="M9" s="5"/>
      <c r="N9" s="11"/>
      <c r="O9" s="20"/>
      <c r="P9" s="24"/>
      <c r="Q9" s="5"/>
      <c r="R9" s="22" t="str">
        <f aca="false">IF(F9="","",IF(K9="","Aberto",IF(O9="","Em tratamento","Encerrado")))</f>
        <v/>
      </c>
      <c r="S9" s="25" t="str">
        <f aca="false">IF(F9="","",COUNTIF($F$7:$F$66,F9))</f>
        <v/>
      </c>
      <c r="T9" s="12" t="str">
        <f aca="false">IF(F9="",IF(COUNTA(C9:E9,G9:Q9)&gt;0,"Falta o defeito",""),IF(D9="","Falta a data",IF(I9="","Falta onde foi visto",IF(K9="","Falta a disposição",IF(L9="","Falta quem decidiu",IF(AND(J9="",I9&lt;&gt;"Após a entrega"),"Falta a identificação e a segregação",IF(AND(K9="Aceitar sob concessão",M9=""),"Falta a concessão do cliente",IF(AND(I9="Após a entrega",M9=""),"Falta informar o cliente",IF(AND(K9="Retrabalhar",N9=""),"Falta a reverificação",IF(AND(N9="Não conforme",O9&lt;&gt;""),"Encerrado com reverificação não conforme",IF(AND(S9&gt;=3,COUNTIFS($F$7:$F$66,F9,$Q$7:$Q$66,"?*")=0),"Defeito repetido: avaliar ação corretiva","OK")))))))))))</f>
        <v/>
      </c>
    </row>
    <row r="10" customFormat="false" ht="30" hidden="false" customHeight="true" outlineLevel="0" collapsed="false">
      <c r="B10" s="9" t="n">
        <v>4</v>
      </c>
      <c r="C10" s="11"/>
      <c r="D10" s="20"/>
      <c r="E10" s="5"/>
      <c r="F10" s="5"/>
      <c r="G10" s="5"/>
      <c r="H10" s="11"/>
      <c r="I10" s="11"/>
      <c r="J10" s="5"/>
      <c r="K10" s="11"/>
      <c r="L10" s="5"/>
      <c r="M10" s="5"/>
      <c r="N10" s="11"/>
      <c r="O10" s="20"/>
      <c r="P10" s="24"/>
      <c r="Q10" s="5"/>
      <c r="R10" s="22" t="str">
        <f aca="false">IF(F10="","",IF(K10="","Aberto",IF(O10="","Em tratamento","Encerrado")))</f>
        <v/>
      </c>
      <c r="S10" s="25" t="str">
        <f aca="false">IF(F10="","",COUNTIF($F$7:$F$66,F10))</f>
        <v/>
      </c>
      <c r="T10" s="12" t="str">
        <f aca="false">IF(F10="",IF(COUNTA(C10:E10,G10:Q10)&gt;0,"Falta o defeito",""),IF(D10="","Falta a data",IF(I10="","Falta onde foi visto",IF(K10="","Falta a disposição",IF(L10="","Falta quem decidiu",IF(AND(J10="",I10&lt;&gt;"Após a entrega"),"Falta a identificação e a segregação",IF(AND(K10="Aceitar sob concessão",M10=""),"Falta a concessão do cliente",IF(AND(I10="Após a entrega",M10=""),"Falta informar o cliente",IF(AND(K10="Retrabalhar",N10=""),"Falta a reverificação",IF(AND(N10="Não conforme",O10&lt;&gt;""),"Encerrado com reverificação não conforme",IF(AND(S10&gt;=3,COUNTIFS($F$7:$F$66,F10,$Q$7:$Q$66,"?*")=0),"Defeito repetido: avaliar ação corretiva","OK")))))))))))</f>
        <v/>
      </c>
    </row>
    <row r="11" customFormat="false" ht="30" hidden="false" customHeight="true" outlineLevel="0" collapsed="false">
      <c r="B11" s="9" t="n">
        <v>5</v>
      </c>
      <c r="C11" s="11"/>
      <c r="D11" s="20"/>
      <c r="E11" s="5"/>
      <c r="F11" s="5"/>
      <c r="G11" s="5"/>
      <c r="H11" s="11"/>
      <c r="I11" s="11"/>
      <c r="J11" s="5"/>
      <c r="K11" s="11"/>
      <c r="L11" s="5"/>
      <c r="M11" s="5"/>
      <c r="N11" s="11"/>
      <c r="O11" s="20"/>
      <c r="P11" s="24"/>
      <c r="Q11" s="5"/>
      <c r="R11" s="22" t="str">
        <f aca="false">IF(F11="","",IF(K11="","Aberto",IF(O11="","Em tratamento","Encerrado")))</f>
        <v/>
      </c>
      <c r="S11" s="25" t="str">
        <f aca="false">IF(F11="","",COUNTIF($F$7:$F$66,F11))</f>
        <v/>
      </c>
      <c r="T11" s="12" t="str">
        <f aca="false">IF(F11="",IF(COUNTA(C11:E11,G11:Q11)&gt;0,"Falta o defeito",""),IF(D11="","Falta a data",IF(I11="","Falta onde foi visto",IF(K11="","Falta a disposição",IF(L11="","Falta quem decidiu",IF(AND(J11="",I11&lt;&gt;"Após a entrega"),"Falta a identificação e a segregação",IF(AND(K11="Aceitar sob concessão",M11=""),"Falta a concessão do cliente",IF(AND(I11="Após a entrega",M11=""),"Falta informar o cliente",IF(AND(K11="Retrabalhar",N11=""),"Falta a reverificação",IF(AND(N11="Não conforme",O11&lt;&gt;""),"Encerrado com reverificação não conforme",IF(AND(S11&gt;=3,COUNTIFS($F$7:$F$66,F11,$Q$7:$Q$66,"?*")=0),"Defeito repetido: avaliar ação corretiva","OK")))))))))))</f>
        <v/>
      </c>
    </row>
    <row r="12" customFormat="false" ht="30" hidden="false" customHeight="true" outlineLevel="0" collapsed="false">
      <c r="B12" s="9" t="n">
        <v>6</v>
      </c>
      <c r="C12" s="11"/>
      <c r="D12" s="20"/>
      <c r="E12" s="5"/>
      <c r="F12" s="5"/>
      <c r="G12" s="5"/>
      <c r="H12" s="11"/>
      <c r="I12" s="11"/>
      <c r="J12" s="5"/>
      <c r="K12" s="11"/>
      <c r="L12" s="5"/>
      <c r="M12" s="5"/>
      <c r="N12" s="11"/>
      <c r="O12" s="20"/>
      <c r="P12" s="24"/>
      <c r="Q12" s="5"/>
      <c r="R12" s="22" t="str">
        <f aca="false">IF(F12="","",IF(K12="","Aberto",IF(O12="","Em tratamento","Encerrado")))</f>
        <v/>
      </c>
      <c r="S12" s="25" t="str">
        <f aca="false">IF(F12="","",COUNTIF($F$7:$F$66,F12))</f>
        <v/>
      </c>
      <c r="T12" s="12" t="str">
        <f aca="false">IF(F12="",IF(COUNTA(C12:E12,G12:Q12)&gt;0,"Falta o defeito",""),IF(D12="","Falta a data",IF(I12="","Falta onde foi visto",IF(K12="","Falta a disposição",IF(L12="","Falta quem decidiu",IF(AND(J12="",I12&lt;&gt;"Após a entrega"),"Falta a identificação e a segregação",IF(AND(K12="Aceitar sob concessão",M12=""),"Falta a concessão do cliente",IF(AND(I12="Após a entrega",M12=""),"Falta informar o cliente",IF(AND(K12="Retrabalhar",N12=""),"Falta a reverificação",IF(AND(N12="Não conforme",O12&lt;&gt;""),"Encerrado com reverificação não conforme",IF(AND(S12&gt;=3,COUNTIFS($F$7:$F$66,F12,$Q$7:$Q$66,"?*")=0),"Defeito repetido: avaliar ação corretiva","OK")))))))))))</f>
        <v/>
      </c>
    </row>
    <row r="13" customFormat="false" ht="30" hidden="false" customHeight="true" outlineLevel="0" collapsed="false">
      <c r="B13" s="9" t="n">
        <v>7</v>
      </c>
      <c r="C13" s="11"/>
      <c r="D13" s="20"/>
      <c r="E13" s="5"/>
      <c r="F13" s="5"/>
      <c r="G13" s="5"/>
      <c r="H13" s="11"/>
      <c r="I13" s="11"/>
      <c r="J13" s="5"/>
      <c r="K13" s="11"/>
      <c r="L13" s="5"/>
      <c r="M13" s="5"/>
      <c r="N13" s="11"/>
      <c r="O13" s="20"/>
      <c r="P13" s="24"/>
      <c r="Q13" s="5"/>
      <c r="R13" s="22" t="str">
        <f aca="false">IF(F13="","",IF(K13="","Aberto",IF(O13="","Em tratamento","Encerrado")))</f>
        <v/>
      </c>
      <c r="S13" s="25" t="str">
        <f aca="false">IF(F13="","",COUNTIF($F$7:$F$66,F13))</f>
        <v/>
      </c>
      <c r="T13" s="12" t="str">
        <f aca="false">IF(F13="",IF(COUNTA(C13:E13,G13:Q13)&gt;0,"Falta o defeito",""),IF(D13="","Falta a data",IF(I13="","Falta onde foi visto",IF(K13="","Falta a disposição",IF(L13="","Falta quem decidiu",IF(AND(J13="",I13&lt;&gt;"Após a entrega"),"Falta a identificação e a segregação",IF(AND(K13="Aceitar sob concessão",M13=""),"Falta a concessão do cliente",IF(AND(I13="Após a entrega",M13=""),"Falta informar o cliente",IF(AND(K13="Retrabalhar",N13=""),"Falta a reverificação",IF(AND(N13="Não conforme",O13&lt;&gt;""),"Encerrado com reverificação não conforme",IF(AND(S13&gt;=3,COUNTIFS($F$7:$F$66,F13,$Q$7:$Q$66,"?*")=0),"Defeito repetido: avaliar ação corretiva","OK")))))))))))</f>
        <v/>
      </c>
    </row>
    <row r="14" customFormat="false" ht="30" hidden="false" customHeight="true" outlineLevel="0" collapsed="false">
      <c r="B14" s="9" t="n">
        <v>8</v>
      </c>
      <c r="C14" s="11"/>
      <c r="D14" s="20"/>
      <c r="E14" s="5"/>
      <c r="F14" s="5"/>
      <c r="G14" s="5"/>
      <c r="H14" s="11"/>
      <c r="I14" s="11"/>
      <c r="J14" s="5"/>
      <c r="K14" s="11"/>
      <c r="L14" s="5"/>
      <c r="M14" s="5"/>
      <c r="N14" s="11"/>
      <c r="O14" s="20"/>
      <c r="P14" s="24"/>
      <c r="Q14" s="5"/>
      <c r="R14" s="22" t="str">
        <f aca="false">IF(F14="","",IF(K14="","Aberto",IF(O14="","Em tratamento","Encerrado")))</f>
        <v/>
      </c>
      <c r="S14" s="25" t="str">
        <f aca="false">IF(F14="","",COUNTIF($F$7:$F$66,F14))</f>
        <v/>
      </c>
      <c r="T14" s="12" t="str">
        <f aca="false">IF(F14="",IF(COUNTA(C14:E14,G14:Q14)&gt;0,"Falta o defeito",""),IF(D14="","Falta a data",IF(I14="","Falta onde foi visto",IF(K14="","Falta a disposição",IF(L14="","Falta quem decidiu",IF(AND(J14="",I14&lt;&gt;"Após a entrega"),"Falta a identificação e a segregação",IF(AND(K14="Aceitar sob concessão",M14=""),"Falta a concessão do cliente",IF(AND(I14="Após a entrega",M14=""),"Falta informar o cliente",IF(AND(K14="Retrabalhar",N14=""),"Falta a reverificação",IF(AND(N14="Não conforme",O14&lt;&gt;""),"Encerrado com reverificação não conforme",IF(AND(S14&gt;=3,COUNTIFS($F$7:$F$66,F14,$Q$7:$Q$66,"?*")=0),"Defeito repetido: avaliar ação corretiva","OK")))))))))))</f>
        <v/>
      </c>
    </row>
    <row r="15" customFormat="false" ht="30" hidden="false" customHeight="true" outlineLevel="0" collapsed="false">
      <c r="B15" s="9" t="n">
        <v>9</v>
      </c>
      <c r="C15" s="11"/>
      <c r="D15" s="20"/>
      <c r="E15" s="5"/>
      <c r="F15" s="5"/>
      <c r="G15" s="5"/>
      <c r="H15" s="11"/>
      <c r="I15" s="11"/>
      <c r="J15" s="5"/>
      <c r="K15" s="11"/>
      <c r="L15" s="5"/>
      <c r="M15" s="5"/>
      <c r="N15" s="11"/>
      <c r="O15" s="20"/>
      <c r="P15" s="24"/>
      <c r="Q15" s="5"/>
      <c r="R15" s="22" t="str">
        <f aca="false">IF(F15="","",IF(K15="","Aberto",IF(O15="","Em tratamento","Encerrado")))</f>
        <v/>
      </c>
      <c r="S15" s="25" t="str">
        <f aca="false">IF(F15="","",COUNTIF($F$7:$F$66,F15))</f>
        <v/>
      </c>
      <c r="T15" s="12" t="str">
        <f aca="false">IF(F15="",IF(COUNTA(C15:E15,G15:Q15)&gt;0,"Falta o defeito",""),IF(D15="","Falta a data",IF(I15="","Falta onde foi visto",IF(K15="","Falta a disposição",IF(L15="","Falta quem decidiu",IF(AND(J15="",I15&lt;&gt;"Após a entrega"),"Falta a identificação e a segregação",IF(AND(K15="Aceitar sob concessão",M15=""),"Falta a concessão do cliente",IF(AND(I15="Após a entrega",M15=""),"Falta informar o cliente",IF(AND(K15="Retrabalhar",N15=""),"Falta a reverificação",IF(AND(N15="Não conforme",O15&lt;&gt;""),"Encerrado com reverificação não conforme",IF(AND(S15&gt;=3,COUNTIFS($F$7:$F$66,F15,$Q$7:$Q$66,"?*")=0),"Defeito repetido: avaliar ação corretiva","OK")))))))))))</f>
        <v/>
      </c>
    </row>
    <row r="16" customFormat="false" ht="30" hidden="false" customHeight="true" outlineLevel="0" collapsed="false">
      <c r="B16" s="9" t="n">
        <v>10</v>
      </c>
      <c r="C16" s="11"/>
      <c r="D16" s="20"/>
      <c r="E16" s="5"/>
      <c r="F16" s="5"/>
      <c r="G16" s="5"/>
      <c r="H16" s="11"/>
      <c r="I16" s="11"/>
      <c r="J16" s="5"/>
      <c r="K16" s="11"/>
      <c r="L16" s="5"/>
      <c r="M16" s="5"/>
      <c r="N16" s="11"/>
      <c r="O16" s="20"/>
      <c r="P16" s="24"/>
      <c r="Q16" s="5"/>
      <c r="R16" s="22" t="str">
        <f aca="false">IF(F16="","",IF(K16="","Aberto",IF(O16="","Em tratamento","Encerrado")))</f>
        <v/>
      </c>
      <c r="S16" s="25" t="str">
        <f aca="false">IF(F16="","",COUNTIF($F$7:$F$66,F16))</f>
        <v/>
      </c>
      <c r="T16" s="12" t="str">
        <f aca="false">IF(F16="",IF(COUNTA(C16:E16,G16:Q16)&gt;0,"Falta o defeito",""),IF(D16="","Falta a data",IF(I16="","Falta onde foi visto",IF(K16="","Falta a disposição",IF(L16="","Falta quem decidiu",IF(AND(J16="",I16&lt;&gt;"Após a entrega"),"Falta a identificação e a segregação",IF(AND(K16="Aceitar sob concessão",M16=""),"Falta a concessão do cliente",IF(AND(I16="Após a entrega",M16=""),"Falta informar o cliente",IF(AND(K16="Retrabalhar",N16=""),"Falta a reverificação",IF(AND(N16="Não conforme",O16&lt;&gt;""),"Encerrado com reverificação não conforme",IF(AND(S16&gt;=3,COUNTIFS($F$7:$F$66,F16,$Q$7:$Q$66,"?*")=0),"Defeito repetido: avaliar ação corretiva","OK")))))))))))</f>
        <v/>
      </c>
    </row>
    <row r="17" customFormat="false" ht="30" hidden="false" customHeight="true" outlineLevel="0" collapsed="false">
      <c r="B17" s="9" t="n">
        <v>11</v>
      </c>
      <c r="C17" s="11"/>
      <c r="D17" s="20"/>
      <c r="E17" s="5"/>
      <c r="F17" s="5"/>
      <c r="G17" s="5"/>
      <c r="H17" s="11"/>
      <c r="I17" s="11"/>
      <c r="J17" s="5"/>
      <c r="K17" s="11"/>
      <c r="L17" s="5"/>
      <c r="M17" s="5"/>
      <c r="N17" s="11"/>
      <c r="O17" s="20"/>
      <c r="P17" s="24"/>
      <c r="Q17" s="5"/>
      <c r="R17" s="22" t="str">
        <f aca="false">IF(F17="","",IF(K17="","Aberto",IF(O17="","Em tratamento","Encerrado")))</f>
        <v/>
      </c>
      <c r="S17" s="25" t="str">
        <f aca="false">IF(F17="","",COUNTIF($F$7:$F$66,F17))</f>
        <v/>
      </c>
      <c r="T17" s="12" t="str">
        <f aca="false">IF(F17="",IF(COUNTA(C17:E17,G17:Q17)&gt;0,"Falta o defeito",""),IF(D17="","Falta a data",IF(I17="","Falta onde foi visto",IF(K17="","Falta a disposição",IF(L17="","Falta quem decidiu",IF(AND(J17="",I17&lt;&gt;"Após a entrega"),"Falta a identificação e a segregação",IF(AND(K17="Aceitar sob concessão",M17=""),"Falta a concessão do cliente",IF(AND(I17="Após a entrega",M17=""),"Falta informar o cliente",IF(AND(K17="Retrabalhar",N17=""),"Falta a reverificação",IF(AND(N17="Não conforme",O17&lt;&gt;""),"Encerrado com reverificação não conforme",IF(AND(S17&gt;=3,COUNTIFS($F$7:$F$66,F17,$Q$7:$Q$66,"?*")=0),"Defeito repetido: avaliar ação corretiva","OK")))))))))))</f>
        <v/>
      </c>
    </row>
    <row r="18" customFormat="false" ht="30" hidden="false" customHeight="true" outlineLevel="0" collapsed="false">
      <c r="B18" s="9" t="n">
        <v>12</v>
      </c>
      <c r="C18" s="11"/>
      <c r="D18" s="20"/>
      <c r="E18" s="5"/>
      <c r="F18" s="5"/>
      <c r="G18" s="5"/>
      <c r="H18" s="11"/>
      <c r="I18" s="11"/>
      <c r="J18" s="5"/>
      <c r="K18" s="11"/>
      <c r="L18" s="5"/>
      <c r="M18" s="5"/>
      <c r="N18" s="11"/>
      <c r="O18" s="20"/>
      <c r="P18" s="24"/>
      <c r="Q18" s="5"/>
      <c r="R18" s="22" t="str">
        <f aca="false">IF(F18="","",IF(K18="","Aberto",IF(O18="","Em tratamento","Encerrado")))</f>
        <v/>
      </c>
      <c r="S18" s="25" t="str">
        <f aca="false">IF(F18="","",COUNTIF($F$7:$F$66,F18))</f>
        <v/>
      </c>
      <c r="T18" s="12" t="str">
        <f aca="false">IF(F18="",IF(COUNTA(C18:E18,G18:Q18)&gt;0,"Falta o defeito",""),IF(D18="","Falta a data",IF(I18="","Falta onde foi visto",IF(K18="","Falta a disposição",IF(L18="","Falta quem decidiu",IF(AND(J18="",I18&lt;&gt;"Após a entrega"),"Falta a identificação e a segregação",IF(AND(K18="Aceitar sob concessão",M18=""),"Falta a concessão do cliente",IF(AND(I18="Após a entrega",M18=""),"Falta informar o cliente",IF(AND(K18="Retrabalhar",N18=""),"Falta a reverificação",IF(AND(N18="Não conforme",O18&lt;&gt;""),"Encerrado com reverificação não conforme",IF(AND(S18&gt;=3,COUNTIFS($F$7:$F$66,F18,$Q$7:$Q$66,"?*")=0),"Defeito repetido: avaliar ação corretiva","OK")))))))))))</f>
        <v/>
      </c>
    </row>
    <row r="19" customFormat="false" ht="30" hidden="false" customHeight="true" outlineLevel="0" collapsed="false">
      <c r="B19" s="9" t="n">
        <v>13</v>
      </c>
      <c r="C19" s="11"/>
      <c r="D19" s="20"/>
      <c r="E19" s="5"/>
      <c r="F19" s="5"/>
      <c r="G19" s="5"/>
      <c r="H19" s="11"/>
      <c r="I19" s="11"/>
      <c r="J19" s="5"/>
      <c r="K19" s="11"/>
      <c r="L19" s="5"/>
      <c r="M19" s="5"/>
      <c r="N19" s="11"/>
      <c r="O19" s="20"/>
      <c r="P19" s="24"/>
      <c r="Q19" s="5"/>
      <c r="R19" s="22" t="str">
        <f aca="false">IF(F19="","",IF(K19="","Aberto",IF(O19="","Em tratamento","Encerrado")))</f>
        <v/>
      </c>
      <c r="S19" s="25" t="str">
        <f aca="false">IF(F19="","",COUNTIF($F$7:$F$66,F19))</f>
        <v/>
      </c>
      <c r="T19" s="12" t="str">
        <f aca="false">IF(F19="",IF(COUNTA(C19:E19,G19:Q19)&gt;0,"Falta o defeito",""),IF(D19="","Falta a data",IF(I19="","Falta onde foi visto",IF(K19="","Falta a disposição",IF(L19="","Falta quem decidiu",IF(AND(J19="",I19&lt;&gt;"Após a entrega"),"Falta a identificação e a segregação",IF(AND(K19="Aceitar sob concessão",M19=""),"Falta a concessão do cliente",IF(AND(I19="Após a entrega",M19=""),"Falta informar o cliente",IF(AND(K19="Retrabalhar",N19=""),"Falta a reverificação",IF(AND(N19="Não conforme",O19&lt;&gt;""),"Encerrado com reverificação não conforme",IF(AND(S19&gt;=3,COUNTIFS($F$7:$F$66,F19,$Q$7:$Q$66,"?*")=0),"Defeito repetido: avaliar ação corretiva","OK")))))))))))</f>
        <v/>
      </c>
    </row>
    <row r="20" customFormat="false" ht="30" hidden="false" customHeight="true" outlineLevel="0" collapsed="false">
      <c r="B20" s="9" t="n">
        <v>14</v>
      </c>
      <c r="C20" s="11"/>
      <c r="D20" s="20"/>
      <c r="E20" s="5"/>
      <c r="F20" s="5"/>
      <c r="G20" s="5"/>
      <c r="H20" s="11"/>
      <c r="I20" s="11"/>
      <c r="J20" s="5"/>
      <c r="K20" s="11"/>
      <c r="L20" s="5"/>
      <c r="M20" s="5"/>
      <c r="N20" s="11"/>
      <c r="O20" s="20"/>
      <c r="P20" s="24"/>
      <c r="Q20" s="5"/>
      <c r="R20" s="22" t="str">
        <f aca="false">IF(F20="","",IF(K20="","Aberto",IF(O20="","Em tratamento","Encerrado")))</f>
        <v/>
      </c>
      <c r="S20" s="25" t="str">
        <f aca="false">IF(F20="","",COUNTIF($F$7:$F$66,F20))</f>
        <v/>
      </c>
      <c r="T20" s="12" t="str">
        <f aca="false">IF(F20="",IF(COUNTA(C20:E20,G20:Q20)&gt;0,"Falta o defeito",""),IF(D20="","Falta a data",IF(I20="","Falta onde foi visto",IF(K20="","Falta a disposição",IF(L20="","Falta quem decidiu",IF(AND(J20="",I20&lt;&gt;"Após a entrega"),"Falta a identificação e a segregação",IF(AND(K20="Aceitar sob concessão",M20=""),"Falta a concessão do cliente",IF(AND(I20="Após a entrega",M20=""),"Falta informar o cliente",IF(AND(K20="Retrabalhar",N20=""),"Falta a reverificação",IF(AND(N20="Não conforme",O20&lt;&gt;""),"Encerrado com reverificação não conforme",IF(AND(S20&gt;=3,COUNTIFS($F$7:$F$66,F20,$Q$7:$Q$66,"?*")=0),"Defeito repetido: avaliar ação corretiva","OK")))))))))))</f>
        <v/>
      </c>
    </row>
    <row r="21" customFormat="false" ht="30" hidden="false" customHeight="true" outlineLevel="0" collapsed="false">
      <c r="B21" s="9" t="n">
        <v>15</v>
      </c>
      <c r="C21" s="11"/>
      <c r="D21" s="20"/>
      <c r="E21" s="5"/>
      <c r="F21" s="5"/>
      <c r="G21" s="5"/>
      <c r="H21" s="11"/>
      <c r="I21" s="11"/>
      <c r="J21" s="5"/>
      <c r="K21" s="11"/>
      <c r="L21" s="5"/>
      <c r="M21" s="5"/>
      <c r="N21" s="11"/>
      <c r="O21" s="20"/>
      <c r="P21" s="24"/>
      <c r="Q21" s="5"/>
      <c r="R21" s="22" t="str">
        <f aca="false">IF(F21="","",IF(K21="","Aberto",IF(O21="","Em tratamento","Encerrado")))</f>
        <v/>
      </c>
      <c r="S21" s="25" t="str">
        <f aca="false">IF(F21="","",COUNTIF($F$7:$F$66,F21))</f>
        <v/>
      </c>
      <c r="T21" s="12" t="str">
        <f aca="false">IF(F21="",IF(COUNTA(C21:E21,G21:Q21)&gt;0,"Falta o defeito",""),IF(D21="","Falta a data",IF(I21="","Falta onde foi visto",IF(K21="","Falta a disposição",IF(L21="","Falta quem decidiu",IF(AND(J21="",I21&lt;&gt;"Após a entrega"),"Falta a identificação e a segregação",IF(AND(K21="Aceitar sob concessão",M21=""),"Falta a concessão do cliente",IF(AND(I21="Após a entrega",M21=""),"Falta informar o cliente",IF(AND(K21="Retrabalhar",N21=""),"Falta a reverificação",IF(AND(N21="Não conforme",O21&lt;&gt;""),"Encerrado com reverificação não conforme",IF(AND(S21&gt;=3,COUNTIFS($F$7:$F$66,F21,$Q$7:$Q$66,"?*")=0),"Defeito repetido: avaliar ação corretiva","OK")))))))))))</f>
        <v/>
      </c>
    </row>
    <row r="22" customFormat="false" ht="30" hidden="false" customHeight="true" outlineLevel="0" collapsed="false">
      <c r="B22" s="9" t="n">
        <v>16</v>
      </c>
      <c r="C22" s="11"/>
      <c r="D22" s="20"/>
      <c r="E22" s="5"/>
      <c r="F22" s="5"/>
      <c r="G22" s="5"/>
      <c r="H22" s="11"/>
      <c r="I22" s="11"/>
      <c r="J22" s="5"/>
      <c r="K22" s="11"/>
      <c r="L22" s="5"/>
      <c r="M22" s="5"/>
      <c r="N22" s="11"/>
      <c r="O22" s="20"/>
      <c r="P22" s="24"/>
      <c r="Q22" s="5"/>
      <c r="R22" s="22" t="str">
        <f aca="false">IF(F22="","",IF(K22="","Aberto",IF(O22="","Em tratamento","Encerrado")))</f>
        <v/>
      </c>
      <c r="S22" s="25" t="str">
        <f aca="false">IF(F22="","",COUNTIF($F$7:$F$66,F22))</f>
        <v/>
      </c>
      <c r="T22" s="12" t="str">
        <f aca="false">IF(F22="",IF(COUNTA(C22:E22,G22:Q22)&gt;0,"Falta o defeito",""),IF(D22="","Falta a data",IF(I22="","Falta onde foi visto",IF(K22="","Falta a disposição",IF(L22="","Falta quem decidiu",IF(AND(J22="",I22&lt;&gt;"Após a entrega"),"Falta a identificação e a segregação",IF(AND(K22="Aceitar sob concessão",M22=""),"Falta a concessão do cliente",IF(AND(I22="Após a entrega",M22=""),"Falta informar o cliente",IF(AND(K22="Retrabalhar",N22=""),"Falta a reverificação",IF(AND(N22="Não conforme",O22&lt;&gt;""),"Encerrado com reverificação não conforme",IF(AND(S22&gt;=3,COUNTIFS($F$7:$F$66,F22,$Q$7:$Q$66,"?*")=0),"Defeito repetido: avaliar ação corretiva","OK")))))))))))</f>
        <v/>
      </c>
    </row>
    <row r="23" customFormat="false" ht="30" hidden="false" customHeight="true" outlineLevel="0" collapsed="false">
      <c r="B23" s="9" t="n">
        <v>17</v>
      </c>
      <c r="C23" s="11"/>
      <c r="D23" s="20"/>
      <c r="E23" s="5"/>
      <c r="F23" s="5"/>
      <c r="G23" s="5"/>
      <c r="H23" s="11"/>
      <c r="I23" s="11"/>
      <c r="J23" s="5"/>
      <c r="K23" s="11"/>
      <c r="L23" s="5"/>
      <c r="M23" s="5"/>
      <c r="N23" s="11"/>
      <c r="O23" s="20"/>
      <c r="P23" s="24"/>
      <c r="Q23" s="5"/>
      <c r="R23" s="22" t="str">
        <f aca="false">IF(F23="","",IF(K23="","Aberto",IF(O23="","Em tratamento","Encerrado")))</f>
        <v/>
      </c>
      <c r="S23" s="25" t="str">
        <f aca="false">IF(F23="","",COUNTIF($F$7:$F$66,F23))</f>
        <v/>
      </c>
      <c r="T23" s="12" t="str">
        <f aca="false">IF(F23="",IF(COUNTA(C23:E23,G23:Q23)&gt;0,"Falta o defeito",""),IF(D23="","Falta a data",IF(I23="","Falta onde foi visto",IF(K23="","Falta a disposição",IF(L23="","Falta quem decidiu",IF(AND(J23="",I23&lt;&gt;"Após a entrega"),"Falta a identificação e a segregação",IF(AND(K23="Aceitar sob concessão",M23=""),"Falta a concessão do cliente",IF(AND(I23="Após a entrega",M23=""),"Falta informar o cliente",IF(AND(K23="Retrabalhar",N23=""),"Falta a reverificação",IF(AND(N23="Não conforme",O23&lt;&gt;""),"Encerrado com reverificação não conforme",IF(AND(S23&gt;=3,COUNTIFS($F$7:$F$66,F23,$Q$7:$Q$66,"?*")=0),"Defeito repetido: avaliar ação corretiva","OK")))))))))))</f>
        <v/>
      </c>
    </row>
    <row r="24" customFormat="false" ht="30" hidden="false" customHeight="true" outlineLevel="0" collapsed="false">
      <c r="B24" s="9" t="n">
        <v>18</v>
      </c>
      <c r="C24" s="11"/>
      <c r="D24" s="20"/>
      <c r="E24" s="5"/>
      <c r="F24" s="5"/>
      <c r="G24" s="5"/>
      <c r="H24" s="11"/>
      <c r="I24" s="11"/>
      <c r="J24" s="5"/>
      <c r="K24" s="11"/>
      <c r="L24" s="5"/>
      <c r="M24" s="5"/>
      <c r="N24" s="11"/>
      <c r="O24" s="20"/>
      <c r="P24" s="24"/>
      <c r="Q24" s="5"/>
      <c r="R24" s="22" t="str">
        <f aca="false">IF(F24="","",IF(K24="","Aberto",IF(O24="","Em tratamento","Encerrado")))</f>
        <v/>
      </c>
      <c r="S24" s="25" t="str">
        <f aca="false">IF(F24="","",COUNTIF($F$7:$F$66,F24))</f>
        <v/>
      </c>
      <c r="T24" s="12" t="str">
        <f aca="false">IF(F24="",IF(COUNTA(C24:E24,G24:Q24)&gt;0,"Falta o defeito",""),IF(D24="","Falta a data",IF(I24="","Falta onde foi visto",IF(K24="","Falta a disposição",IF(L24="","Falta quem decidiu",IF(AND(J24="",I24&lt;&gt;"Após a entrega"),"Falta a identificação e a segregação",IF(AND(K24="Aceitar sob concessão",M24=""),"Falta a concessão do cliente",IF(AND(I24="Após a entrega",M24=""),"Falta informar o cliente",IF(AND(K24="Retrabalhar",N24=""),"Falta a reverificação",IF(AND(N24="Não conforme",O24&lt;&gt;""),"Encerrado com reverificação não conforme",IF(AND(S24&gt;=3,COUNTIFS($F$7:$F$66,F24,$Q$7:$Q$66,"?*")=0),"Defeito repetido: avaliar ação corretiva","OK")))))))))))</f>
        <v/>
      </c>
    </row>
    <row r="25" customFormat="false" ht="30" hidden="false" customHeight="true" outlineLevel="0" collapsed="false">
      <c r="B25" s="9" t="n">
        <v>19</v>
      </c>
      <c r="C25" s="11"/>
      <c r="D25" s="20"/>
      <c r="E25" s="5"/>
      <c r="F25" s="5"/>
      <c r="G25" s="5"/>
      <c r="H25" s="11"/>
      <c r="I25" s="11"/>
      <c r="J25" s="5"/>
      <c r="K25" s="11"/>
      <c r="L25" s="5"/>
      <c r="M25" s="5"/>
      <c r="N25" s="11"/>
      <c r="O25" s="20"/>
      <c r="P25" s="24"/>
      <c r="Q25" s="5"/>
      <c r="R25" s="22" t="str">
        <f aca="false">IF(F25="","",IF(K25="","Aberto",IF(O25="","Em tratamento","Encerrado")))</f>
        <v/>
      </c>
      <c r="S25" s="25" t="str">
        <f aca="false">IF(F25="","",COUNTIF($F$7:$F$66,F25))</f>
        <v/>
      </c>
      <c r="T25" s="12" t="str">
        <f aca="false">IF(F25="",IF(COUNTA(C25:E25,G25:Q25)&gt;0,"Falta o defeito",""),IF(D25="","Falta a data",IF(I25="","Falta onde foi visto",IF(K25="","Falta a disposição",IF(L25="","Falta quem decidiu",IF(AND(J25="",I25&lt;&gt;"Após a entrega"),"Falta a identificação e a segregação",IF(AND(K25="Aceitar sob concessão",M25=""),"Falta a concessão do cliente",IF(AND(I25="Após a entrega",M25=""),"Falta informar o cliente",IF(AND(K25="Retrabalhar",N25=""),"Falta a reverificação",IF(AND(N25="Não conforme",O25&lt;&gt;""),"Encerrado com reverificação não conforme",IF(AND(S25&gt;=3,COUNTIFS($F$7:$F$66,F25,$Q$7:$Q$66,"?*")=0),"Defeito repetido: avaliar ação corretiva","OK")))))))))))</f>
        <v/>
      </c>
    </row>
    <row r="26" customFormat="false" ht="30" hidden="false" customHeight="true" outlineLevel="0" collapsed="false">
      <c r="B26" s="9" t="n">
        <v>20</v>
      </c>
      <c r="C26" s="11"/>
      <c r="D26" s="20"/>
      <c r="E26" s="5"/>
      <c r="F26" s="5"/>
      <c r="G26" s="5"/>
      <c r="H26" s="11"/>
      <c r="I26" s="11"/>
      <c r="J26" s="5"/>
      <c r="K26" s="11"/>
      <c r="L26" s="5"/>
      <c r="M26" s="5"/>
      <c r="N26" s="11"/>
      <c r="O26" s="20"/>
      <c r="P26" s="24"/>
      <c r="Q26" s="5"/>
      <c r="R26" s="22" t="str">
        <f aca="false">IF(F26="","",IF(K26="","Aberto",IF(O26="","Em tratamento","Encerrado")))</f>
        <v/>
      </c>
      <c r="S26" s="25" t="str">
        <f aca="false">IF(F26="","",COUNTIF($F$7:$F$66,F26))</f>
        <v/>
      </c>
      <c r="T26" s="12" t="str">
        <f aca="false">IF(F26="",IF(COUNTA(C26:E26,G26:Q26)&gt;0,"Falta o defeito",""),IF(D26="","Falta a data",IF(I26="","Falta onde foi visto",IF(K26="","Falta a disposição",IF(L26="","Falta quem decidiu",IF(AND(J26="",I26&lt;&gt;"Após a entrega"),"Falta a identificação e a segregação",IF(AND(K26="Aceitar sob concessão",M26=""),"Falta a concessão do cliente",IF(AND(I26="Após a entrega",M26=""),"Falta informar o cliente",IF(AND(K26="Retrabalhar",N26=""),"Falta a reverificação",IF(AND(N26="Não conforme",O26&lt;&gt;""),"Encerrado com reverificação não conforme",IF(AND(S26&gt;=3,COUNTIFS($F$7:$F$66,F26,$Q$7:$Q$66,"?*")=0),"Defeito repetido: avaliar ação corretiva","OK")))))))))))</f>
        <v/>
      </c>
    </row>
    <row r="27" customFormat="false" ht="30" hidden="false" customHeight="true" outlineLevel="0" collapsed="false">
      <c r="B27" s="9" t="n">
        <v>21</v>
      </c>
      <c r="C27" s="11"/>
      <c r="D27" s="20"/>
      <c r="E27" s="5"/>
      <c r="F27" s="5"/>
      <c r="G27" s="5"/>
      <c r="H27" s="11"/>
      <c r="I27" s="11"/>
      <c r="J27" s="5"/>
      <c r="K27" s="11"/>
      <c r="L27" s="5"/>
      <c r="M27" s="5"/>
      <c r="N27" s="11"/>
      <c r="O27" s="20"/>
      <c r="P27" s="24"/>
      <c r="Q27" s="5"/>
      <c r="R27" s="22" t="str">
        <f aca="false">IF(F27="","",IF(K27="","Aberto",IF(O27="","Em tratamento","Encerrado")))</f>
        <v/>
      </c>
      <c r="S27" s="25" t="str">
        <f aca="false">IF(F27="","",COUNTIF($F$7:$F$66,F27))</f>
        <v/>
      </c>
      <c r="T27" s="12" t="str">
        <f aca="false">IF(F27="",IF(COUNTA(C27:E27,G27:Q27)&gt;0,"Falta o defeito",""),IF(D27="","Falta a data",IF(I27="","Falta onde foi visto",IF(K27="","Falta a disposição",IF(L27="","Falta quem decidiu",IF(AND(J27="",I27&lt;&gt;"Após a entrega"),"Falta a identificação e a segregação",IF(AND(K27="Aceitar sob concessão",M27=""),"Falta a concessão do cliente",IF(AND(I27="Após a entrega",M27=""),"Falta informar o cliente",IF(AND(K27="Retrabalhar",N27=""),"Falta a reverificação",IF(AND(N27="Não conforme",O27&lt;&gt;""),"Encerrado com reverificação não conforme",IF(AND(S27&gt;=3,COUNTIFS($F$7:$F$66,F27,$Q$7:$Q$66,"?*")=0),"Defeito repetido: avaliar ação corretiva","OK")))))))))))</f>
        <v/>
      </c>
    </row>
    <row r="28" customFormat="false" ht="30" hidden="false" customHeight="true" outlineLevel="0" collapsed="false">
      <c r="B28" s="9" t="n">
        <v>22</v>
      </c>
      <c r="C28" s="11"/>
      <c r="D28" s="20"/>
      <c r="E28" s="5"/>
      <c r="F28" s="5"/>
      <c r="G28" s="5"/>
      <c r="H28" s="11"/>
      <c r="I28" s="11"/>
      <c r="J28" s="5"/>
      <c r="K28" s="11"/>
      <c r="L28" s="5"/>
      <c r="M28" s="5"/>
      <c r="N28" s="11"/>
      <c r="O28" s="20"/>
      <c r="P28" s="24"/>
      <c r="Q28" s="5"/>
      <c r="R28" s="22" t="str">
        <f aca="false">IF(F28="","",IF(K28="","Aberto",IF(O28="","Em tratamento","Encerrado")))</f>
        <v/>
      </c>
      <c r="S28" s="25" t="str">
        <f aca="false">IF(F28="","",COUNTIF($F$7:$F$66,F28))</f>
        <v/>
      </c>
      <c r="T28" s="12" t="str">
        <f aca="false">IF(F28="",IF(COUNTA(C28:E28,G28:Q28)&gt;0,"Falta o defeito",""),IF(D28="","Falta a data",IF(I28="","Falta onde foi visto",IF(K28="","Falta a disposição",IF(L28="","Falta quem decidiu",IF(AND(J28="",I28&lt;&gt;"Após a entrega"),"Falta a identificação e a segregação",IF(AND(K28="Aceitar sob concessão",M28=""),"Falta a concessão do cliente",IF(AND(I28="Após a entrega",M28=""),"Falta informar o cliente",IF(AND(K28="Retrabalhar",N28=""),"Falta a reverificação",IF(AND(N28="Não conforme",O28&lt;&gt;""),"Encerrado com reverificação não conforme",IF(AND(S28&gt;=3,COUNTIFS($F$7:$F$66,F28,$Q$7:$Q$66,"?*")=0),"Defeito repetido: avaliar ação corretiva","OK")))))))))))</f>
        <v/>
      </c>
    </row>
    <row r="29" customFormat="false" ht="30" hidden="false" customHeight="true" outlineLevel="0" collapsed="false">
      <c r="B29" s="9" t="n">
        <v>23</v>
      </c>
      <c r="C29" s="11"/>
      <c r="D29" s="20"/>
      <c r="E29" s="5"/>
      <c r="F29" s="5"/>
      <c r="G29" s="5"/>
      <c r="H29" s="11"/>
      <c r="I29" s="11"/>
      <c r="J29" s="5"/>
      <c r="K29" s="11"/>
      <c r="L29" s="5"/>
      <c r="M29" s="5"/>
      <c r="N29" s="11"/>
      <c r="O29" s="20"/>
      <c r="P29" s="24"/>
      <c r="Q29" s="5"/>
      <c r="R29" s="22" t="str">
        <f aca="false">IF(F29="","",IF(K29="","Aberto",IF(O29="","Em tratamento","Encerrado")))</f>
        <v/>
      </c>
      <c r="S29" s="25" t="str">
        <f aca="false">IF(F29="","",COUNTIF($F$7:$F$66,F29))</f>
        <v/>
      </c>
      <c r="T29" s="12" t="str">
        <f aca="false">IF(F29="",IF(COUNTA(C29:E29,G29:Q29)&gt;0,"Falta o defeito",""),IF(D29="","Falta a data",IF(I29="","Falta onde foi visto",IF(K29="","Falta a disposição",IF(L29="","Falta quem decidiu",IF(AND(J29="",I29&lt;&gt;"Após a entrega"),"Falta a identificação e a segregação",IF(AND(K29="Aceitar sob concessão",M29=""),"Falta a concessão do cliente",IF(AND(I29="Após a entrega",M29=""),"Falta informar o cliente",IF(AND(K29="Retrabalhar",N29=""),"Falta a reverificação",IF(AND(N29="Não conforme",O29&lt;&gt;""),"Encerrado com reverificação não conforme",IF(AND(S29&gt;=3,COUNTIFS($F$7:$F$66,F29,$Q$7:$Q$66,"?*")=0),"Defeito repetido: avaliar ação corretiva","OK")))))))))))</f>
        <v/>
      </c>
    </row>
    <row r="30" customFormat="false" ht="30" hidden="false" customHeight="true" outlineLevel="0" collapsed="false">
      <c r="B30" s="9" t="n">
        <v>24</v>
      </c>
      <c r="C30" s="11"/>
      <c r="D30" s="20"/>
      <c r="E30" s="5"/>
      <c r="F30" s="5"/>
      <c r="G30" s="5"/>
      <c r="H30" s="11"/>
      <c r="I30" s="11"/>
      <c r="J30" s="5"/>
      <c r="K30" s="11"/>
      <c r="L30" s="5"/>
      <c r="M30" s="5"/>
      <c r="N30" s="11"/>
      <c r="O30" s="20"/>
      <c r="P30" s="24"/>
      <c r="Q30" s="5"/>
      <c r="R30" s="22" t="str">
        <f aca="false">IF(F30="","",IF(K30="","Aberto",IF(O30="","Em tratamento","Encerrado")))</f>
        <v/>
      </c>
      <c r="S30" s="25" t="str">
        <f aca="false">IF(F30="","",COUNTIF($F$7:$F$66,F30))</f>
        <v/>
      </c>
      <c r="T30" s="12" t="str">
        <f aca="false">IF(F30="",IF(COUNTA(C30:E30,G30:Q30)&gt;0,"Falta o defeito",""),IF(D30="","Falta a data",IF(I30="","Falta onde foi visto",IF(K30="","Falta a disposição",IF(L30="","Falta quem decidiu",IF(AND(J30="",I30&lt;&gt;"Após a entrega"),"Falta a identificação e a segregação",IF(AND(K30="Aceitar sob concessão",M30=""),"Falta a concessão do cliente",IF(AND(I30="Após a entrega",M30=""),"Falta informar o cliente",IF(AND(K30="Retrabalhar",N30=""),"Falta a reverificação",IF(AND(N30="Não conforme",O30&lt;&gt;""),"Encerrado com reverificação não conforme",IF(AND(S30&gt;=3,COUNTIFS($F$7:$F$66,F30,$Q$7:$Q$66,"?*")=0),"Defeito repetido: avaliar ação corretiva","OK")))))))))))</f>
        <v/>
      </c>
    </row>
    <row r="31" customFormat="false" ht="30" hidden="false" customHeight="true" outlineLevel="0" collapsed="false">
      <c r="B31" s="9" t="n">
        <v>25</v>
      </c>
      <c r="C31" s="11"/>
      <c r="D31" s="20"/>
      <c r="E31" s="5"/>
      <c r="F31" s="5"/>
      <c r="G31" s="5"/>
      <c r="H31" s="11"/>
      <c r="I31" s="11"/>
      <c r="J31" s="5"/>
      <c r="K31" s="11"/>
      <c r="L31" s="5"/>
      <c r="M31" s="5"/>
      <c r="N31" s="11"/>
      <c r="O31" s="20"/>
      <c r="P31" s="24"/>
      <c r="Q31" s="5"/>
      <c r="R31" s="22" t="str">
        <f aca="false">IF(F31="","",IF(K31="","Aberto",IF(O31="","Em tratamento","Encerrado")))</f>
        <v/>
      </c>
      <c r="S31" s="25" t="str">
        <f aca="false">IF(F31="","",COUNTIF($F$7:$F$66,F31))</f>
        <v/>
      </c>
      <c r="T31" s="12" t="str">
        <f aca="false">IF(F31="",IF(COUNTA(C31:E31,G31:Q31)&gt;0,"Falta o defeito",""),IF(D31="","Falta a data",IF(I31="","Falta onde foi visto",IF(K31="","Falta a disposição",IF(L31="","Falta quem decidiu",IF(AND(J31="",I31&lt;&gt;"Após a entrega"),"Falta a identificação e a segregação",IF(AND(K31="Aceitar sob concessão",M31=""),"Falta a concessão do cliente",IF(AND(I31="Após a entrega",M31=""),"Falta informar o cliente",IF(AND(K31="Retrabalhar",N31=""),"Falta a reverificação",IF(AND(N31="Não conforme",O31&lt;&gt;""),"Encerrado com reverificação não conforme",IF(AND(S31&gt;=3,COUNTIFS($F$7:$F$66,F31,$Q$7:$Q$66,"?*")=0),"Defeito repetido: avaliar ação corretiva","OK")))))))))))</f>
        <v/>
      </c>
    </row>
    <row r="32" customFormat="false" ht="30" hidden="false" customHeight="true" outlineLevel="0" collapsed="false">
      <c r="B32" s="9" t="n">
        <v>26</v>
      </c>
      <c r="C32" s="11"/>
      <c r="D32" s="20"/>
      <c r="E32" s="5"/>
      <c r="F32" s="5"/>
      <c r="G32" s="5"/>
      <c r="H32" s="11"/>
      <c r="I32" s="11"/>
      <c r="J32" s="5"/>
      <c r="K32" s="11"/>
      <c r="L32" s="5"/>
      <c r="M32" s="5"/>
      <c r="N32" s="11"/>
      <c r="O32" s="20"/>
      <c r="P32" s="24"/>
      <c r="Q32" s="5"/>
      <c r="R32" s="22" t="str">
        <f aca="false">IF(F32="","",IF(K32="","Aberto",IF(O32="","Em tratamento","Encerrado")))</f>
        <v/>
      </c>
      <c r="S32" s="25" t="str">
        <f aca="false">IF(F32="","",COUNTIF($F$7:$F$66,F32))</f>
        <v/>
      </c>
      <c r="T32" s="12" t="str">
        <f aca="false">IF(F32="",IF(COUNTA(C32:E32,G32:Q32)&gt;0,"Falta o defeito",""),IF(D32="","Falta a data",IF(I32="","Falta onde foi visto",IF(K32="","Falta a disposição",IF(L32="","Falta quem decidiu",IF(AND(J32="",I32&lt;&gt;"Após a entrega"),"Falta a identificação e a segregação",IF(AND(K32="Aceitar sob concessão",M32=""),"Falta a concessão do cliente",IF(AND(I32="Após a entrega",M32=""),"Falta informar o cliente",IF(AND(K32="Retrabalhar",N32=""),"Falta a reverificação",IF(AND(N32="Não conforme",O32&lt;&gt;""),"Encerrado com reverificação não conforme",IF(AND(S32&gt;=3,COUNTIFS($F$7:$F$66,F32,$Q$7:$Q$66,"?*")=0),"Defeito repetido: avaliar ação corretiva","OK")))))))))))</f>
        <v/>
      </c>
    </row>
    <row r="33" customFormat="false" ht="30" hidden="false" customHeight="true" outlineLevel="0" collapsed="false">
      <c r="B33" s="9" t="n">
        <v>27</v>
      </c>
      <c r="C33" s="11"/>
      <c r="D33" s="20"/>
      <c r="E33" s="5"/>
      <c r="F33" s="5"/>
      <c r="G33" s="5"/>
      <c r="H33" s="11"/>
      <c r="I33" s="11"/>
      <c r="J33" s="5"/>
      <c r="K33" s="11"/>
      <c r="L33" s="5"/>
      <c r="M33" s="5"/>
      <c r="N33" s="11"/>
      <c r="O33" s="20"/>
      <c r="P33" s="24"/>
      <c r="Q33" s="5"/>
      <c r="R33" s="22" t="str">
        <f aca="false">IF(F33="","",IF(K33="","Aberto",IF(O33="","Em tratamento","Encerrado")))</f>
        <v/>
      </c>
      <c r="S33" s="25" t="str">
        <f aca="false">IF(F33="","",COUNTIF($F$7:$F$66,F33))</f>
        <v/>
      </c>
      <c r="T33" s="12" t="str">
        <f aca="false">IF(F33="",IF(COUNTA(C33:E33,G33:Q33)&gt;0,"Falta o defeito",""),IF(D33="","Falta a data",IF(I33="","Falta onde foi visto",IF(K33="","Falta a disposição",IF(L33="","Falta quem decidiu",IF(AND(J33="",I33&lt;&gt;"Após a entrega"),"Falta a identificação e a segregação",IF(AND(K33="Aceitar sob concessão",M33=""),"Falta a concessão do cliente",IF(AND(I33="Após a entrega",M33=""),"Falta informar o cliente",IF(AND(K33="Retrabalhar",N33=""),"Falta a reverificação",IF(AND(N33="Não conforme",O33&lt;&gt;""),"Encerrado com reverificação não conforme",IF(AND(S33&gt;=3,COUNTIFS($F$7:$F$66,F33,$Q$7:$Q$66,"?*")=0),"Defeito repetido: avaliar ação corretiva","OK")))))))))))</f>
        <v/>
      </c>
    </row>
    <row r="34" customFormat="false" ht="30" hidden="false" customHeight="true" outlineLevel="0" collapsed="false">
      <c r="B34" s="9" t="n">
        <v>28</v>
      </c>
      <c r="C34" s="11"/>
      <c r="D34" s="20"/>
      <c r="E34" s="5"/>
      <c r="F34" s="5"/>
      <c r="G34" s="5"/>
      <c r="H34" s="11"/>
      <c r="I34" s="11"/>
      <c r="J34" s="5"/>
      <c r="K34" s="11"/>
      <c r="L34" s="5"/>
      <c r="M34" s="5"/>
      <c r="N34" s="11"/>
      <c r="O34" s="20"/>
      <c r="P34" s="24"/>
      <c r="Q34" s="5"/>
      <c r="R34" s="22" t="str">
        <f aca="false">IF(F34="","",IF(K34="","Aberto",IF(O34="","Em tratamento","Encerrado")))</f>
        <v/>
      </c>
      <c r="S34" s="25" t="str">
        <f aca="false">IF(F34="","",COUNTIF($F$7:$F$66,F34))</f>
        <v/>
      </c>
      <c r="T34" s="12" t="str">
        <f aca="false">IF(F34="",IF(COUNTA(C34:E34,G34:Q34)&gt;0,"Falta o defeito",""),IF(D34="","Falta a data",IF(I34="","Falta onde foi visto",IF(K34="","Falta a disposição",IF(L34="","Falta quem decidiu",IF(AND(J34="",I34&lt;&gt;"Após a entrega"),"Falta a identificação e a segregação",IF(AND(K34="Aceitar sob concessão",M34=""),"Falta a concessão do cliente",IF(AND(I34="Após a entrega",M34=""),"Falta informar o cliente",IF(AND(K34="Retrabalhar",N34=""),"Falta a reverificação",IF(AND(N34="Não conforme",O34&lt;&gt;""),"Encerrado com reverificação não conforme",IF(AND(S34&gt;=3,COUNTIFS($F$7:$F$66,F34,$Q$7:$Q$66,"?*")=0),"Defeito repetido: avaliar ação corretiva","OK")))))))))))</f>
        <v/>
      </c>
    </row>
    <row r="35" customFormat="false" ht="30" hidden="false" customHeight="true" outlineLevel="0" collapsed="false">
      <c r="B35" s="9" t="n">
        <v>29</v>
      </c>
      <c r="C35" s="11"/>
      <c r="D35" s="20"/>
      <c r="E35" s="5"/>
      <c r="F35" s="5"/>
      <c r="G35" s="5"/>
      <c r="H35" s="11"/>
      <c r="I35" s="11"/>
      <c r="J35" s="5"/>
      <c r="K35" s="11"/>
      <c r="L35" s="5"/>
      <c r="M35" s="5"/>
      <c r="N35" s="11"/>
      <c r="O35" s="20"/>
      <c r="P35" s="24"/>
      <c r="Q35" s="5"/>
      <c r="R35" s="22" t="str">
        <f aca="false">IF(F35="","",IF(K35="","Aberto",IF(O35="","Em tratamento","Encerrado")))</f>
        <v/>
      </c>
      <c r="S35" s="25" t="str">
        <f aca="false">IF(F35="","",COUNTIF($F$7:$F$66,F35))</f>
        <v/>
      </c>
      <c r="T35" s="12" t="str">
        <f aca="false">IF(F35="",IF(COUNTA(C35:E35,G35:Q35)&gt;0,"Falta o defeito",""),IF(D35="","Falta a data",IF(I35="","Falta onde foi visto",IF(K35="","Falta a disposição",IF(L35="","Falta quem decidiu",IF(AND(J35="",I35&lt;&gt;"Após a entrega"),"Falta a identificação e a segregação",IF(AND(K35="Aceitar sob concessão",M35=""),"Falta a concessão do cliente",IF(AND(I35="Após a entrega",M35=""),"Falta informar o cliente",IF(AND(K35="Retrabalhar",N35=""),"Falta a reverificação",IF(AND(N35="Não conforme",O35&lt;&gt;""),"Encerrado com reverificação não conforme",IF(AND(S35&gt;=3,COUNTIFS($F$7:$F$66,F35,$Q$7:$Q$66,"?*")=0),"Defeito repetido: avaliar ação corretiva","OK")))))))))))</f>
        <v/>
      </c>
    </row>
    <row r="36" customFormat="false" ht="30" hidden="false" customHeight="true" outlineLevel="0" collapsed="false">
      <c r="B36" s="9" t="n">
        <v>30</v>
      </c>
      <c r="C36" s="11"/>
      <c r="D36" s="20"/>
      <c r="E36" s="5"/>
      <c r="F36" s="5"/>
      <c r="G36" s="5"/>
      <c r="H36" s="11"/>
      <c r="I36" s="11"/>
      <c r="J36" s="5"/>
      <c r="K36" s="11"/>
      <c r="L36" s="5"/>
      <c r="M36" s="5"/>
      <c r="N36" s="11"/>
      <c r="O36" s="20"/>
      <c r="P36" s="24"/>
      <c r="Q36" s="5"/>
      <c r="R36" s="22" t="str">
        <f aca="false">IF(F36="","",IF(K36="","Aberto",IF(O36="","Em tratamento","Encerrado")))</f>
        <v/>
      </c>
      <c r="S36" s="25" t="str">
        <f aca="false">IF(F36="","",COUNTIF($F$7:$F$66,F36))</f>
        <v/>
      </c>
      <c r="T36" s="12" t="str">
        <f aca="false">IF(F36="",IF(COUNTA(C36:E36,G36:Q36)&gt;0,"Falta o defeito",""),IF(D36="","Falta a data",IF(I36="","Falta onde foi visto",IF(K36="","Falta a disposição",IF(L36="","Falta quem decidiu",IF(AND(J36="",I36&lt;&gt;"Após a entrega"),"Falta a identificação e a segregação",IF(AND(K36="Aceitar sob concessão",M36=""),"Falta a concessão do cliente",IF(AND(I36="Após a entrega",M36=""),"Falta informar o cliente",IF(AND(K36="Retrabalhar",N36=""),"Falta a reverificação",IF(AND(N36="Não conforme",O36&lt;&gt;""),"Encerrado com reverificação não conforme",IF(AND(S36&gt;=3,COUNTIFS($F$7:$F$66,F36,$Q$7:$Q$66,"?*")=0),"Defeito repetido: avaliar ação corretiva","OK")))))))))))</f>
        <v/>
      </c>
    </row>
    <row r="37" customFormat="false" ht="30" hidden="false" customHeight="true" outlineLevel="0" collapsed="false">
      <c r="B37" s="9" t="n">
        <v>31</v>
      </c>
      <c r="C37" s="11"/>
      <c r="D37" s="20"/>
      <c r="E37" s="5"/>
      <c r="F37" s="5"/>
      <c r="G37" s="5"/>
      <c r="H37" s="11"/>
      <c r="I37" s="11"/>
      <c r="J37" s="5"/>
      <c r="K37" s="11"/>
      <c r="L37" s="5"/>
      <c r="M37" s="5"/>
      <c r="N37" s="11"/>
      <c r="O37" s="20"/>
      <c r="P37" s="24"/>
      <c r="Q37" s="5"/>
      <c r="R37" s="22" t="str">
        <f aca="false">IF(F37="","",IF(K37="","Aberto",IF(O37="","Em tratamento","Encerrado")))</f>
        <v/>
      </c>
      <c r="S37" s="25" t="str">
        <f aca="false">IF(F37="","",COUNTIF($F$7:$F$66,F37))</f>
        <v/>
      </c>
      <c r="T37" s="12" t="str">
        <f aca="false">IF(F37="",IF(COUNTA(C37:E37,G37:Q37)&gt;0,"Falta o defeito",""),IF(D37="","Falta a data",IF(I37="","Falta onde foi visto",IF(K37="","Falta a disposição",IF(L37="","Falta quem decidiu",IF(AND(J37="",I37&lt;&gt;"Após a entrega"),"Falta a identificação e a segregação",IF(AND(K37="Aceitar sob concessão",M37=""),"Falta a concessão do cliente",IF(AND(I37="Após a entrega",M37=""),"Falta informar o cliente",IF(AND(K37="Retrabalhar",N37=""),"Falta a reverificação",IF(AND(N37="Não conforme",O37&lt;&gt;""),"Encerrado com reverificação não conforme",IF(AND(S37&gt;=3,COUNTIFS($F$7:$F$66,F37,$Q$7:$Q$66,"?*")=0),"Defeito repetido: avaliar ação corretiva","OK")))))))))))</f>
        <v/>
      </c>
    </row>
    <row r="38" customFormat="false" ht="30" hidden="false" customHeight="true" outlineLevel="0" collapsed="false">
      <c r="B38" s="9" t="n">
        <v>32</v>
      </c>
      <c r="C38" s="11"/>
      <c r="D38" s="20"/>
      <c r="E38" s="5"/>
      <c r="F38" s="5"/>
      <c r="G38" s="5"/>
      <c r="H38" s="11"/>
      <c r="I38" s="11"/>
      <c r="J38" s="5"/>
      <c r="K38" s="11"/>
      <c r="L38" s="5"/>
      <c r="M38" s="5"/>
      <c r="N38" s="11"/>
      <c r="O38" s="20"/>
      <c r="P38" s="24"/>
      <c r="Q38" s="5"/>
      <c r="R38" s="22" t="str">
        <f aca="false">IF(F38="","",IF(K38="","Aberto",IF(O38="","Em tratamento","Encerrado")))</f>
        <v/>
      </c>
      <c r="S38" s="25" t="str">
        <f aca="false">IF(F38="","",COUNTIF($F$7:$F$66,F38))</f>
        <v/>
      </c>
      <c r="T38" s="12" t="str">
        <f aca="false">IF(F38="",IF(COUNTA(C38:E38,G38:Q38)&gt;0,"Falta o defeito",""),IF(D38="","Falta a data",IF(I38="","Falta onde foi visto",IF(K38="","Falta a disposição",IF(L38="","Falta quem decidiu",IF(AND(J38="",I38&lt;&gt;"Após a entrega"),"Falta a identificação e a segregação",IF(AND(K38="Aceitar sob concessão",M38=""),"Falta a concessão do cliente",IF(AND(I38="Após a entrega",M38=""),"Falta informar o cliente",IF(AND(K38="Retrabalhar",N38=""),"Falta a reverificação",IF(AND(N38="Não conforme",O38&lt;&gt;""),"Encerrado com reverificação não conforme",IF(AND(S38&gt;=3,COUNTIFS($F$7:$F$66,F38,$Q$7:$Q$66,"?*")=0),"Defeito repetido: avaliar ação corretiva","OK")))))))))))</f>
        <v/>
      </c>
    </row>
    <row r="39" customFormat="false" ht="30" hidden="false" customHeight="true" outlineLevel="0" collapsed="false">
      <c r="B39" s="9" t="n">
        <v>33</v>
      </c>
      <c r="C39" s="11"/>
      <c r="D39" s="20"/>
      <c r="E39" s="5"/>
      <c r="F39" s="5"/>
      <c r="G39" s="5"/>
      <c r="H39" s="11"/>
      <c r="I39" s="11"/>
      <c r="J39" s="5"/>
      <c r="K39" s="11"/>
      <c r="L39" s="5"/>
      <c r="M39" s="5"/>
      <c r="N39" s="11"/>
      <c r="O39" s="20"/>
      <c r="P39" s="24"/>
      <c r="Q39" s="5"/>
      <c r="R39" s="22" t="str">
        <f aca="false">IF(F39="","",IF(K39="","Aberto",IF(O39="","Em tratamento","Encerrado")))</f>
        <v/>
      </c>
      <c r="S39" s="25" t="str">
        <f aca="false">IF(F39="","",COUNTIF($F$7:$F$66,F39))</f>
        <v/>
      </c>
      <c r="T39" s="12" t="str">
        <f aca="false">IF(F39="",IF(COUNTA(C39:E39,G39:Q39)&gt;0,"Falta o defeito",""),IF(D39="","Falta a data",IF(I39="","Falta onde foi visto",IF(K39="","Falta a disposição",IF(L39="","Falta quem decidiu",IF(AND(J39="",I39&lt;&gt;"Após a entrega"),"Falta a identificação e a segregação",IF(AND(K39="Aceitar sob concessão",M39=""),"Falta a concessão do cliente",IF(AND(I39="Após a entrega",M39=""),"Falta informar o cliente",IF(AND(K39="Retrabalhar",N39=""),"Falta a reverificação",IF(AND(N39="Não conforme",O39&lt;&gt;""),"Encerrado com reverificação não conforme",IF(AND(S39&gt;=3,COUNTIFS($F$7:$F$66,F39,$Q$7:$Q$66,"?*")=0),"Defeito repetido: avaliar ação corretiva","OK")))))))))))</f>
        <v/>
      </c>
    </row>
    <row r="40" customFormat="false" ht="30" hidden="false" customHeight="true" outlineLevel="0" collapsed="false">
      <c r="B40" s="9" t="n">
        <v>34</v>
      </c>
      <c r="C40" s="11"/>
      <c r="D40" s="20"/>
      <c r="E40" s="5"/>
      <c r="F40" s="5"/>
      <c r="G40" s="5"/>
      <c r="H40" s="11"/>
      <c r="I40" s="11"/>
      <c r="J40" s="5"/>
      <c r="K40" s="11"/>
      <c r="L40" s="5"/>
      <c r="M40" s="5"/>
      <c r="N40" s="11"/>
      <c r="O40" s="20"/>
      <c r="P40" s="24"/>
      <c r="Q40" s="5"/>
      <c r="R40" s="22" t="str">
        <f aca="false">IF(F40="","",IF(K40="","Aberto",IF(O40="","Em tratamento","Encerrado")))</f>
        <v/>
      </c>
      <c r="S40" s="25" t="str">
        <f aca="false">IF(F40="","",COUNTIF($F$7:$F$66,F40))</f>
        <v/>
      </c>
      <c r="T40" s="12" t="str">
        <f aca="false">IF(F40="",IF(COUNTA(C40:E40,G40:Q40)&gt;0,"Falta o defeito",""),IF(D40="","Falta a data",IF(I40="","Falta onde foi visto",IF(K40="","Falta a disposição",IF(L40="","Falta quem decidiu",IF(AND(J40="",I40&lt;&gt;"Após a entrega"),"Falta a identificação e a segregação",IF(AND(K40="Aceitar sob concessão",M40=""),"Falta a concessão do cliente",IF(AND(I40="Após a entrega",M40=""),"Falta informar o cliente",IF(AND(K40="Retrabalhar",N40=""),"Falta a reverificação",IF(AND(N40="Não conforme",O40&lt;&gt;""),"Encerrado com reverificação não conforme",IF(AND(S40&gt;=3,COUNTIFS($F$7:$F$66,F40,$Q$7:$Q$66,"?*")=0),"Defeito repetido: avaliar ação corretiva","OK")))))))))))</f>
        <v/>
      </c>
    </row>
    <row r="41" customFormat="false" ht="30" hidden="false" customHeight="true" outlineLevel="0" collapsed="false">
      <c r="B41" s="9" t="n">
        <v>35</v>
      </c>
      <c r="C41" s="11"/>
      <c r="D41" s="20"/>
      <c r="E41" s="5"/>
      <c r="F41" s="5"/>
      <c r="G41" s="5"/>
      <c r="H41" s="11"/>
      <c r="I41" s="11"/>
      <c r="J41" s="5"/>
      <c r="K41" s="11"/>
      <c r="L41" s="5"/>
      <c r="M41" s="5"/>
      <c r="N41" s="11"/>
      <c r="O41" s="20"/>
      <c r="P41" s="24"/>
      <c r="Q41" s="5"/>
      <c r="R41" s="22" t="str">
        <f aca="false">IF(F41="","",IF(K41="","Aberto",IF(O41="","Em tratamento","Encerrado")))</f>
        <v/>
      </c>
      <c r="S41" s="25" t="str">
        <f aca="false">IF(F41="","",COUNTIF($F$7:$F$66,F41))</f>
        <v/>
      </c>
      <c r="T41" s="12" t="str">
        <f aca="false">IF(F41="",IF(COUNTA(C41:E41,G41:Q41)&gt;0,"Falta o defeito",""),IF(D41="","Falta a data",IF(I41="","Falta onde foi visto",IF(K41="","Falta a disposição",IF(L41="","Falta quem decidiu",IF(AND(J41="",I41&lt;&gt;"Após a entrega"),"Falta a identificação e a segregação",IF(AND(K41="Aceitar sob concessão",M41=""),"Falta a concessão do cliente",IF(AND(I41="Após a entrega",M41=""),"Falta informar o cliente",IF(AND(K41="Retrabalhar",N41=""),"Falta a reverificação",IF(AND(N41="Não conforme",O41&lt;&gt;""),"Encerrado com reverificação não conforme",IF(AND(S41&gt;=3,COUNTIFS($F$7:$F$66,F41,$Q$7:$Q$66,"?*")=0),"Defeito repetido: avaliar ação corretiva","OK")))))))))))</f>
        <v/>
      </c>
    </row>
    <row r="42" customFormat="false" ht="30" hidden="false" customHeight="true" outlineLevel="0" collapsed="false">
      <c r="B42" s="9" t="n">
        <v>36</v>
      </c>
      <c r="C42" s="11"/>
      <c r="D42" s="20"/>
      <c r="E42" s="5"/>
      <c r="F42" s="5"/>
      <c r="G42" s="5"/>
      <c r="H42" s="11"/>
      <c r="I42" s="11"/>
      <c r="J42" s="5"/>
      <c r="K42" s="11"/>
      <c r="L42" s="5"/>
      <c r="M42" s="5"/>
      <c r="N42" s="11"/>
      <c r="O42" s="20"/>
      <c r="P42" s="24"/>
      <c r="Q42" s="5"/>
      <c r="R42" s="22" t="str">
        <f aca="false">IF(F42="","",IF(K42="","Aberto",IF(O42="","Em tratamento","Encerrado")))</f>
        <v/>
      </c>
      <c r="S42" s="25" t="str">
        <f aca="false">IF(F42="","",COUNTIF($F$7:$F$66,F42))</f>
        <v/>
      </c>
      <c r="T42" s="12" t="str">
        <f aca="false">IF(F42="",IF(COUNTA(C42:E42,G42:Q42)&gt;0,"Falta o defeito",""),IF(D42="","Falta a data",IF(I42="","Falta onde foi visto",IF(K42="","Falta a disposição",IF(L42="","Falta quem decidiu",IF(AND(J42="",I42&lt;&gt;"Após a entrega"),"Falta a identificação e a segregação",IF(AND(K42="Aceitar sob concessão",M42=""),"Falta a concessão do cliente",IF(AND(I42="Após a entrega",M42=""),"Falta informar o cliente",IF(AND(K42="Retrabalhar",N42=""),"Falta a reverificação",IF(AND(N42="Não conforme",O42&lt;&gt;""),"Encerrado com reverificação não conforme",IF(AND(S42&gt;=3,COUNTIFS($F$7:$F$66,F42,$Q$7:$Q$66,"?*")=0),"Defeito repetido: avaliar ação corretiva","OK")))))))))))</f>
        <v/>
      </c>
    </row>
    <row r="43" customFormat="false" ht="30" hidden="false" customHeight="true" outlineLevel="0" collapsed="false">
      <c r="B43" s="9" t="n">
        <v>37</v>
      </c>
      <c r="C43" s="11"/>
      <c r="D43" s="20"/>
      <c r="E43" s="5"/>
      <c r="F43" s="5"/>
      <c r="G43" s="5"/>
      <c r="H43" s="11"/>
      <c r="I43" s="11"/>
      <c r="J43" s="5"/>
      <c r="K43" s="11"/>
      <c r="L43" s="5"/>
      <c r="M43" s="5"/>
      <c r="N43" s="11"/>
      <c r="O43" s="20"/>
      <c r="P43" s="24"/>
      <c r="Q43" s="5"/>
      <c r="R43" s="22" t="str">
        <f aca="false">IF(F43="","",IF(K43="","Aberto",IF(O43="","Em tratamento","Encerrado")))</f>
        <v/>
      </c>
      <c r="S43" s="25" t="str">
        <f aca="false">IF(F43="","",COUNTIF($F$7:$F$66,F43))</f>
        <v/>
      </c>
      <c r="T43" s="12" t="str">
        <f aca="false">IF(F43="",IF(COUNTA(C43:E43,G43:Q43)&gt;0,"Falta o defeito",""),IF(D43="","Falta a data",IF(I43="","Falta onde foi visto",IF(K43="","Falta a disposição",IF(L43="","Falta quem decidiu",IF(AND(J43="",I43&lt;&gt;"Após a entrega"),"Falta a identificação e a segregação",IF(AND(K43="Aceitar sob concessão",M43=""),"Falta a concessão do cliente",IF(AND(I43="Após a entrega",M43=""),"Falta informar o cliente",IF(AND(K43="Retrabalhar",N43=""),"Falta a reverificação",IF(AND(N43="Não conforme",O43&lt;&gt;""),"Encerrado com reverificação não conforme",IF(AND(S43&gt;=3,COUNTIFS($F$7:$F$66,F43,$Q$7:$Q$66,"?*")=0),"Defeito repetido: avaliar ação corretiva","OK")))))))))))</f>
        <v/>
      </c>
    </row>
    <row r="44" customFormat="false" ht="30" hidden="false" customHeight="true" outlineLevel="0" collapsed="false">
      <c r="B44" s="9" t="n">
        <v>38</v>
      </c>
      <c r="C44" s="11"/>
      <c r="D44" s="20"/>
      <c r="E44" s="5"/>
      <c r="F44" s="5"/>
      <c r="G44" s="5"/>
      <c r="H44" s="11"/>
      <c r="I44" s="11"/>
      <c r="J44" s="5"/>
      <c r="K44" s="11"/>
      <c r="L44" s="5"/>
      <c r="M44" s="5"/>
      <c r="N44" s="11"/>
      <c r="O44" s="20"/>
      <c r="P44" s="24"/>
      <c r="Q44" s="5"/>
      <c r="R44" s="22" t="str">
        <f aca="false">IF(F44="","",IF(K44="","Aberto",IF(O44="","Em tratamento","Encerrado")))</f>
        <v/>
      </c>
      <c r="S44" s="25" t="str">
        <f aca="false">IF(F44="","",COUNTIF($F$7:$F$66,F44))</f>
        <v/>
      </c>
      <c r="T44" s="12" t="str">
        <f aca="false">IF(F44="",IF(COUNTA(C44:E44,G44:Q44)&gt;0,"Falta o defeito",""),IF(D44="","Falta a data",IF(I44="","Falta onde foi visto",IF(K44="","Falta a disposição",IF(L44="","Falta quem decidiu",IF(AND(J44="",I44&lt;&gt;"Após a entrega"),"Falta a identificação e a segregação",IF(AND(K44="Aceitar sob concessão",M44=""),"Falta a concessão do cliente",IF(AND(I44="Após a entrega",M44=""),"Falta informar o cliente",IF(AND(K44="Retrabalhar",N44=""),"Falta a reverificação",IF(AND(N44="Não conforme",O44&lt;&gt;""),"Encerrado com reverificação não conforme",IF(AND(S44&gt;=3,COUNTIFS($F$7:$F$66,F44,$Q$7:$Q$66,"?*")=0),"Defeito repetido: avaliar ação corretiva","OK")))))))))))</f>
        <v/>
      </c>
    </row>
    <row r="45" customFormat="false" ht="30" hidden="false" customHeight="true" outlineLevel="0" collapsed="false">
      <c r="B45" s="9" t="n">
        <v>39</v>
      </c>
      <c r="C45" s="11"/>
      <c r="D45" s="20"/>
      <c r="E45" s="5"/>
      <c r="F45" s="5"/>
      <c r="G45" s="5"/>
      <c r="H45" s="11"/>
      <c r="I45" s="11"/>
      <c r="J45" s="5"/>
      <c r="K45" s="11"/>
      <c r="L45" s="5"/>
      <c r="M45" s="5"/>
      <c r="N45" s="11"/>
      <c r="O45" s="20"/>
      <c r="P45" s="24"/>
      <c r="Q45" s="5"/>
      <c r="R45" s="22" t="str">
        <f aca="false">IF(F45="","",IF(K45="","Aberto",IF(O45="","Em tratamento","Encerrado")))</f>
        <v/>
      </c>
      <c r="S45" s="25" t="str">
        <f aca="false">IF(F45="","",COUNTIF($F$7:$F$66,F45))</f>
        <v/>
      </c>
      <c r="T45" s="12" t="str">
        <f aca="false">IF(F45="",IF(COUNTA(C45:E45,G45:Q45)&gt;0,"Falta o defeito",""),IF(D45="","Falta a data",IF(I45="","Falta onde foi visto",IF(K45="","Falta a disposição",IF(L45="","Falta quem decidiu",IF(AND(J45="",I45&lt;&gt;"Após a entrega"),"Falta a identificação e a segregação",IF(AND(K45="Aceitar sob concessão",M45=""),"Falta a concessão do cliente",IF(AND(I45="Após a entrega",M45=""),"Falta informar o cliente",IF(AND(K45="Retrabalhar",N45=""),"Falta a reverificação",IF(AND(N45="Não conforme",O45&lt;&gt;""),"Encerrado com reverificação não conforme",IF(AND(S45&gt;=3,COUNTIFS($F$7:$F$66,F45,$Q$7:$Q$66,"?*")=0),"Defeito repetido: avaliar ação corretiva","OK")))))))))))</f>
        <v/>
      </c>
    </row>
    <row r="46" customFormat="false" ht="30" hidden="false" customHeight="true" outlineLevel="0" collapsed="false">
      <c r="B46" s="9" t="n">
        <v>40</v>
      </c>
      <c r="C46" s="11"/>
      <c r="D46" s="20"/>
      <c r="E46" s="5"/>
      <c r="F46" s="5"/>
      <c r="G46" s="5"/>
      <c r="H46" s="11"/>
      <c r="I46" s="11"/>
      <c r="J46" s="5"/>
      <c r="K46" s="11"/>
      <c r="L46" s="5"/>
      <c r="M46" s="5"/>
      <c r="N46" s="11"/>
      <c r="O46" s="20"/>
      <c r="P46" s="24"/>
      <c r="Q46" s="5"/>
      <c r="R46" s="22" t="str">
        <f aca="false">IF(F46="","",IF(K46="","Aberto",IF(O46="","Em tratamento","Encerrado")))</f>
        <v/>
      </c>
      <c r="S46" s="25" t="str">
        <f aca="false">IF(F46="","",COUNTIF($F$7:$F$66,F46))</f>
        <v/>
      </c>
      <c r="T46" s="12" t="str">
        <f aca="false">IF(F46="",IF(COUNTA(C46:E46,G46:Q46)&gt;0,"Falta o defeito",""),IF(D46="","Falta a data",IF(I46="","Falta onde foi visto",IF(K46="","Falta a disposição",IF(L46="","Falta quem decidiu",IF(AND(J46="",I46&lt;&gt;"Após a entrega"),"Falta a identificação e a segregação",IF(AND(K46="Aceitar sob concessão",M46=""),"Falta a concessão do cliente",IF(AND(I46="Após a entrega",M46=""),"Falta informar o cliente",IF(AND(K46="Retrabalhar",N46=""),"Falta a reverificação",IF(AND(N46="Não conforme",O46&lt;&gt;""),"Encerrado com reverificação não conforme",IF(AND(S46&gt;=3,COUNTIFS($F$7:$F$66,F46,$Q$7:$Q$66,"?*")=0),"Defeito repetido: avaliar ação corretiva","OK")))))))))))</f>
        <v/>
      </c>
    </row>
    <row r="47" customFormat="false" ht="30" hidden="false" customHeight="true" outlineLevel="0" collapsed="false">
      <c r="B47" s="9" t="n">
        <v>41</v>
      </c>
      <c r="C47" s="11"/>
      <c r="D47" s="20"/>
      <c r="E47" s="5"/>
      <c r="F47" s="5"/>
      <c r="G47" s="5"/>
      <c r="H47" s="11"/>
      <c r="I47" s="11"/>
      <c r="J47" s="5"/>
      <c r="K47" s="11"/>
      <c r="L47" s="5"/>
      <c r="M47" s="5"/>
      <c r="N47" s="11"/>
      <c r="O47" s="20"/>
      <c r="P47" s="24"/>
      <c r="Q47" s="5"/>
      <c r="R47" s="22" t="str">
        <f aca="false">IF(F47="","",IF(K47="","Aberto",IF(O47="","Em tratamento","Encerrado")))</f>
        <v/>
      </c>
      <c r="S47" s="25" t="str">
        <f aca="false">IF(F47="","",COUNTIF($F$7:$F$66,F47))</f>
        <v/>
      </c>
      <c r="T47" s="12" t="str">
        <f aca="false">IF(F47="",IF(COUNTA(C47:E47,G47:Q47)&gt;0,"Falta o defeito",""),IF(D47="","Falta a data",IF(I47="","Falta onde foi visto",IF(K47="","Falta a disposição",IF(L47="","Falta quem decidiu",IF(AND(J47="",I47&lt;&gt;"Após a entrega"),"Falta a identificação e a segregação",IF(AND(K47="Aceitar sob concessão",M47=""),"Falta a concessão do cliente",IF(AND(I47="Após a entrega",M47=""),"Falta informar o cliente",IF(AND(K47="Retrabalhar",N47=""),"Falta a reverificação",IF(AND(N47="Não conforme",O47&lt;&gt;""),"Encerrado com reverificação não conforme",IF(AND(S47&gt;=3,COUNTIFS($F$7:$F$66,F47,$Q$7:$Q$66,"?*")=0),"Defeito repetido: avaliar ação corretiva","OK")))))))))))</f>
        <v/>
      </c>
    </row>
    <row r="48" customFormat="false" ht="30" hidden="false" customHeight="true" outlineLevel="0" collapsed="false">
      <c r="B48" s="9" t="n">
        <v>42</v>
      </c>
      <c r="C48" s="11"/>
      <c r="D48" s="20"/>
      <c r="E48" s="5"/>
      <c r="F48" s="5"/>
      <c r="G48" s="5"/>
      <c r="H48" s="11"/>
      <c r="I48" s="11"/>
      <c r="J48" s="5"/>
      <c r="K48" s="11"/>
      <c r="L48" s="5"/>
      <c r="M48" s="5"/>
      <c r="N48" s="11"/>
      <c r="O48" s="20"/>
      <c r="P48" s="24"/>
      <c r="Q48" s="5"/>
      <c r="R48" s="22" t="str">
        <f aca="false">IF(F48="","",IF(K48="","Aberto",IF(O48="","Em tratamento","Encerrado")))</f>
        <v/>
      </c>
      <c r="S48" s="25" t="str">
        <f aca="false">IF(F48="","",COUNTIF($F$7:$F$66,F48))</f>
        <v/>
      </c>
      <c r="T48" s="12" t="str">
        <f aca="false">IF(F48="",IF(COUNTA(C48:E48,G48:Q48)&gt;0,"Falta o defeito",""),IF(D48="","Falta a data",IF(I48="","Falta onde foi visto",IF(K48="","Falta a disposição",IF(L48="","Falta quem decidiu",IF(AND(J48="",I48&lt;&gt;"Após a entrega"),"Falta a identificação e a segregação",IF(AND(K48="Aceitar sob concessão",M48=""),"Falta a concessão do cliente",IF(AND(I48="Após a entrega",M48=""),"Falta informar o cliente",IF(AND(K48="Retrabalhar",N48=""),"Falta a reverificação",IF(AND(N48="Não conforme",O48&lt;&gt;""),"Encerrado com reverificação não conforme",IF(AND(S48&gt;=3,COUNTIFS($F$7:$F$66,F48,$Q$7:$Q$66,"?*")=0),"Defeito repetido: avaliar ação corretiva","OK")))))))))))</f>
        <v/>
      </c>
    </row>
    <row r="49" customFormat="false" ht="30" hidden="false" customHeight="true" outlineLevel="0" collapsed="false">
      <c r="B49" s="9" t="n">
        <v>43</v>
      </c>
      <c r="C49" s="11"/>
      <c r="D49" s="20"/>
      <c r="E49" s="5"/>
      <c r="F49" s="5"/>
      <c r="G49" s="5"/>
      <c r="H49" s="11"/>
      <c r="I49" s="11"/>
      <c r="J49" s="5"/>
      <c r="K49" s="11"/>
      <c r="L49" s="5"/>
      <c r="M49" s="5"/>
      <c r="N49" s="11"/>
      <c r="O49" s="20"/>
      <c r="P49" s="24"/>
      <c r="Q49" s="5"/>
      <c r="R49" s="22" t="str">
        <f aca="false">IF(F49="","",IF(K49="","Aberto",IF(O49="","Em tratamento","Encerrado")))</f>
        <v/>
      </c>
      <c r="S49" s="25" t="str">
        <f aca="false">IF(F49="","",COUNTIF($F$7:$F$66,F49))</f>
        <v/>
      </c>
      <c r="T49" s="12" t="str">
        <f aca="false">IF(F49="",IF(COUNTA(C49:E49,G49:Q49)&gt;0,"Falta o defeito",""),IF(D49="","Falta a data",IF(I49="","Falta onde foi visto",IF(K49="","Falta a disposição",IF(L49="","Falta quem decidiu",IF(AND(J49="",I49&lt;&gt;"Após a entrega"),"Falta a identificação e a segregação",IF(AND(K49="Aceitar sob concessão",M49=""),"Falta a concessão do cliente",IF(AND(I49="Após a entrega",M49=""),"Falta informar o cliente",IF(AND(K49="Retrabalhar",N49=""),"Falta a reverificação",IF(AND(N49="Não conforme",O49&lt;&gt;""),"Encerrado com reverificação não conforme",IF(AND(S49&gt;=3,COUNTIFS($F$7:$F$66,F49,$Q$7:$Q$66,"?*")=0),"Defeito repetido: avaliar ação corretiva","OK")))))))))))</f>
        <v/>
      </c>
    </row>
    <row r="50" customFormat="false" ht="30" hidden="false" customHeight="true" outlineLevel="0" collapsed="false">
      <c r="B50" s="9" t="n">
        <v>44</v>
      </c>
      <c r="C50" s="11"/>
      <c r="D50" s="20"/>
      <c r="E50" s="5"/>
      <c r="F50" s="5"/>
      <c r="G50" s="5"/>
      <c r="H50" s="11"/>
      <c r="I50" s="11"/>
      <c r="J50" s="5"/>
      <c r="K50" s="11"/>
      <c r="L50" s="5"/>
      <c r="M50" s="5"/>
      <c r="N50" s="11"/>
      <c r="O50" s="20"/>
      <c r="P50" s="24"/>
      <c r="Q50" s="5"/>
      <c r="R50" s="22" t="str">
        <f aca="false">IF(F50="","",IF(K50="","Aberto",IF(O50="","Em tratamento","Encerrado")))</f>
        <v/>
      </c>
      <c r="S50" s="25" t="str">
        <f aca="false">IF(F50="","",COUNTIF($F$7:$F$66,F50))</f>
        <v/>
      </c>
      <c r="T50" s="12" t="str">
        <f aca="false">IF(F50="",IF(COUNTA(C50:E50,G50:Q50)&gt;0,"Falta o defeito",""),IF(D50="","Falta a data",IF(I50="","Falta onde foi visto",IF(K50="","Falta a disposição",IF(L50="","Falta quem decidiu",IF(AND(J50="",I50&lt;&gt;"Após a entrega"),"Falta a identificação e a segregação",IF(AND(K50="Aceitar sob concessão",M50=""),"Falta a concessão do cliente",IF(AND(I50="Após a entrega",M50=""),"Falta informar o cliente",IF(AND(K50="Retrabalhar",N50=""),"Falta a reverificação",IF(AND(N50="Não conforme",O50&lt;&gt;""),"Encerrado com reverificação não conforme",IF(AND(S50&gt;=3,COUNTIFS($F$7:$F$66,F50,$Q$7:$Q$66,"?*")=0),"Defeito repetido: avaliar ação corretiva","OK")))))))))))</f>
        <v/>
      </c>
    </row>
    <row r="51" customFormat="false" ht="30" hidden="false" customHeight="true" outlineLevel="0" collapsed="false">
      <c r="B51" s="9" t="n">
        <v>45</v>
      </c>
      <c r="C51" s="11"/>
      <c r="D51" s="20"/>
      <c r="E51" s="5"/>
      <c r="F51" s="5"/>
      <c r="G51" s="5"/>
      <c r="H51" s="11"/>
      <c r="I51" s="11"/>
      <c r="J51" s="5"/>
      <c r="K51" s="11"/>
      <c r="L51" s="5"/>
      <c r="M51" s="5"/>
      <c r="N51" s="11"/>
      <c r="O51" s="20"/>
      <c r="P51" s="24"/>
      <c r="Q51" s="5"/>
      <c r="R51" s="22" t="str">
        <f aca="false">IF(F51="","",IF(K51="","Aberto",IF(O51="","Em tratamento","Encerrado")))</f>
        <v/>
      </c>
      <c r="S51" s="25" t="str">
        <f aca="false">IF(F51="","",COUNTIF($F$7:$F$66,F51))</f>
        <v/>
      </c>
      <c r="T51" s="12" t="str">
        <f aca="false">IF(F51="",IF(COUNTA(C51:E51,G51:Q51)&gt;0,"Falta o defeito",""),IF(D51="","Falta a data",IF(I51="","Falta onde foi visto",IF(K51="","Falta a disposição",IF(L51="","Falta quem decidiu",IF(AND(J51="",I51&lt;&gt;"Após a entrega"),"Falta a identificação e a segregação",IF(AND(K51="Aceitar sob concessão",M51=""),"Falta a concessão do cliente",IF(AND(I51="Após a entrega",M51=""),"Falta informar o cliente",IF(AND(K51="Retrabalhar",N51=""),"Falta a reverificação",IF(AND(N51="Não conforme",O51&lt;&gt;""),"Encerrado com reverificação não conforme",IF(AND(S51&gt;=3,COUNTIFS($F$7:$F$66,F51,$Q$7:$Q$66,"?*")=0),"Defeito repetido: avaliar ação corretiva","OK")))))))))))</f>
        <v/>
      </c>
    </row>
    <row r="52" customFormat="false" ht="30" hidden="false" customHeight="true" outlineLevel="0" collapsed="false">
      <c r="B52" s="9" t="n">
        <v>46</v>
      </c>
      <c r="C52" s="11"/>
      <c r="D52" s="20"/>
      <c r="E52" s="5"/>
      <c r="F52" s="5"/>
      <c r="G52" s="5"/>
      <c r="H52" s="11"/>
      <c r="I52" s="11"/>
      <c r="J52" s="5"/>
      <c r="K52" s="11"/>
      <c r="L52" s="5"/>
      <c r="M52" s="5"/>
      <c r="N52" s="11"/>
      <c r="O52" s="20"/>
      <c r="P52" s="24"/>
      <c r="Q52" s="5"/>
      <c r="R52" s="22" t="str">
        <f aca="false">IF(F52="","",IF(K52="","Aberto",IF(O52="","Em tratamento","Encerrado")))</f>
        <v/>
      </c>
      <c r="S52" s="25" t="str">
        <f aca="false">IF(F52="","",COUNTIF($F$7:$F$66,F52))</f>
        <v/>
      </c>
      <c r="T52" s="12" t="str">
        <f aca="false">IF(F52="",IF(COUNTA(C52:E52,G52:Q52)&gt;0,"Falta o defeito",""),IF(D52="","Falta a data",IF(I52="","Falta onde foi visto",IF(K52="","Falta a disposição",IF(L52="","Falta quem decidiu",IF(AND(J52="",I52&lt;&gt;"Após a entrega"),"Falta a identificação e a segregação",IF(AND(K52="Aceitar sob concessão",M52=""),"Falta a concessão do cliente",IF(AND(I52="Após a entrega",M52=""),"Falta informar o cliente",IF(AND(K52="Retrabalhar",N52=""),"Falta a reverificação",IF(AND(N52="Não conforme",O52&lt;&gt;""),"Encerrado com reverificação não conforme",IF(AND(S52&gt;=3,COUNTIFS($F$7:$F$66,F52,$Q$7:$Q$66,"?*")=0),"Defeito repetido: avaliar ação corretiva","OK")))))))))))</f>
        <v/>
      </c>
    </row>
    <row r="53" customFormat="false" ht="30" hidden="false" customHeight="true" outlineLevel="0" collapsed="false">
      <c r="B53" s="9" t="n">
        <v>47</v>
      </c>
      <c r="C53" s="11"/>
      <c r="D53" s="20"/>
      <c r="E53" s="5"/>
      <c r="F53" s="5"/>
      <c r="G53" s="5"/>
      <c r="H53" s="11"/>
      <c r="I53" s="11"/>
      <c r="J53" s="5"/>
      <c r="K53" s="11"/>
      <c r="L53" s="5"/>
      <c r="M53" s="5"/>
      <c r="N53" s="11"/>
      <c r="O53" s="20"/>
      <c r="P53" s="24"/>
      <c r="Q53" s="5"/>
      <c r="R53" s="22" t="str">
        <f aca="false">IF(F53="","",IF(K53="","Aberto",IF(O53="","Em tratamento","Encerrado")))</f>
        <v/>
      </c>
      <c r="S53" s="25" t="str">
        <f aca="false">IF(F53="","",COUNTIF($F$7:$F$66,F53))</f>
        <v/>
      </c>
      <c r="T53" s="12" t="str">
        <f aca="false">IF(F53="",IF(COUNTA(C53:E53,G53:Q53)&gt;0,"Falta o defeito",""),IF(D53="","Falta a data",IF(I53="","Falta onde foi visto",IF(K53="","Falta a disposição",IF(L53="","Falta quem decidiu",IF(AND(J53="",I53&lt;&gt;"Após a entrega"),"Falta a identificação e a segregação",IF(AND(K53="Aceitar sob concessão",M53=""),"Falta a concessão do cliente",IF(AND(I53="Após a entrega",M53=""),"Falta informar o cliente",IF(AND(K53="Retrabalhar",N53=""),"Falta a reverificação",IF(AND(N53="Não conforme",O53&lt;&gt;""),"Encerrado com reverificação não conforme",IF(AND(S53&gt;=3,COUNTIFS($F$7:$F$66,F53,$Q$7:$Q$66,"?*")=0),"Defeito repetido: avaliar ação corretiva","OK")))))))))))</f>
        <v/>
      </c>
    </row>
    <row r="54" customFormat="false" ht="30" hidden="false" customHeight="true" outlineLevel="0" collapsed="false">
      <c r="B54" s="9" t="n">
        <v>48</v>
      </c>
      <c r="C54" s="11"/>
      <c r="D54" s="20"/>
      <c r="E54" s="5"/>
      <c r="F54" s="5"/>
      <c r="G54" s="5"/>
      <c r="H54" s="11"/>
      <c r="I54" s="11"/>
      <c r="J54" s="5"/>
      <c r="K54" s="11"/>
      <c r="L54" s="5"/>
      <c r="M54" s="5"/>
      <c r="N54" s="11"/>
      <c r="O54" s="20"/>
      <c r="P54" s="24"/>
      <c r="Q54" s="5"/>
      <c r="R54" s="22" t="str">
        <f aca="false">IF(F54="","",IF(K54="","Aberto",IF(O54="","Em tratamento","Encerrado")))</f>
        <v/>
      </c>
      <c r="S54" s="25" t="str">
        <f aca="false">IF(F54="","",COUNTIF($F$7:$F$66,F54))</f>
        <v/>
      </c>
      <c r="T54" s="12" t="str">
        <f aca="false">IF(F54="",IF(COUNTA(C54:E54,G54:Q54)&gt;0,"Falta o defeito",""),IF(D54="","Falta a data",IF(I54="","Falta onde foi visto",IF(K54="","Falta a disposição",IF(L54="","Falta quem decidiu",IF(AND(J54="",I54&lt;&gt;"Após a entrega"),"Falta a identificação e a segregação",IF(AND(K54="Aceitar sob concessão",M54=""),"Falta a concessão do cliente",IF(AND(I54="Após a entrega",M54=""),"Falta informar o cliente",IF(AND(K54="Retrabalhar",N54=""),"Falta a reverificação",IF(AND(N54="Não conforme",O54&lt;&gt;""),"Encerrado com reverificação não conforme",IF(AND(S54&gt;=3,COUNTIFS($F$7:$F$66,F54,$Q$7:$Q$66,"?*")=0),"Defeito repetido: avaliar ação corretiva","OK")))))))))))</f>
        <v/>
      </c>
    </row>
    <row r="55" customFormat="false" ht="30" hidden="false" customHeight="true" outlineLevel="0" collapsed="false">
      <c r="B55" s="9" t="n">
        <v>49</v>
      </c>
      <c r="C55" s="11"/>
      <c r="D55" s="20"/>
      <c r="E55" s="5"/>
      <c r="F55" s="5"/>
      <c r="G55" s="5"/>
      <c r="H55" s="11"/>
      <c r="I55" s="11"/>
      <c r="J55" s="5"/>
      <c r="K55" s="11"/>
      <c r="L55" s="5"/>
      <c r="M55" s="5"/>
      <c r="N55" s="11"/>
      <c r="O55" s="20"/>
      <c r="P55" s="24"/>
      <c r="Q55" s="5"/>
      <c r="R55" s="22" t="str">
        <f aca="false">IF(F55="","",IF(K55="","Aberto",IF(O55="","Em tratamento","Encerrado")))</f>
        <v/>
      </c>
      <c r="S55" s="25" t="str">
        <f aca="false">IF(F55="","",COUNTIF($F$7:$F$66,F55))</f>
        <v/>
      </c>
      <c r="T55" s="12" t="str">
        <f aca="false">IF(F55="",IF(COUNTA(C55:E55,G55:Q55)&gt;0,"Falta o defeito",""),IF(D55="","Falta a data",IF(I55="","Falta onde foi visto",IF(K55="","Falta a disposição",IF(L55="","Falta quem decidiu",IF(AND(J55="",I55&lt;&gt;"Após a entrega"),"Falta a identificação e a segregação",IF(AND(K55="Aceitar sob concessão",M55=""),"Falta a concessão do cliente",IF(AND(I55="Após a entrega",M55=""),"Falta informar o cliente",IF(AND(K55="Retrabalhar",N55=""),"Falta a reverificação",IF(AND(N55="Não conforme",O55&lt;&gt;""),"Encerrado com reverificação não conforme",IF(AND(S55&gt;=3,COUNTIFS($F$7:$F$66,F55,$Q$7:$Q$66,"?*")=0),"Defeito repetido: avaliar ação corretiva","OK")))))))))))</f>
        <v/>
      </c>
    </row>
    <row r="56" customFormat="false" ht="30" hidden="false" customHeight="true" outlineLevel="0" collapsed="false">
      <c r="B56" s="9" t="n">
        <v>50</v>
      </c>
      <c r="C56" s="11"/>
      <c r="D56" s="20"/>
      <c r="E56" s="5"/>
      <c r="F56" s="5"/>
      <c r="G56" s="5"/>
      <c r="H56" s="11"/>
      <c r="I56" s="11"/>
      <c r="J56" s="5"/>
      <c r="K56" s="11"/>
      <c r="L56" s="5"/>
      <c r="M56" s="5"/>
      <c r="N56" s="11"/>
      <c r="O56" s="20"/>
      <c r="P56" s="24"/>
      <c r="Q56" s="5"/>
      <c r="R56" s="22" t="str">
        <f aca="false">IF(F56="","",IF(K56="","Aberto",IF(O56="","Em tratamento","Encerrado")))</f>
        <v/>
      </c>
      <c r="S56" s="25" t="str">
        <f aca="false">IF(F56="","",COUNTIF($F$7:$F$66,F56))</f>
        <v/>
      </c>
      <c r="T56" s="12" t="str">
        <f aca="false">IF(F56="",IF(COUNTA(C56:E56,G56:Q56)&gt;0,"Falta o defeito",""),IF(D56="","Falta a data",IF(I56="","Falta onde foi visto",IF(K56="","Falta a disposição",IF(L56="","Falta quem decidiu",IF(AND(J56="",I56&lt;&gt;"Após a entrega"),"Falta a identificação e a segregação",IF(AND(K56="Aceitar sob concessão",M56=""),"Falta a concessão do cliente",IF(AND(I56="Após a entrega",M56=""),"Falta informar o cliente",IF(AND(K56="Retrabalhar",N56=""),"Falta a reverificação",IF(AND(N56="Não conforme",O56&lt;&gt;""),"Encerrado com reverificação não conforme",IF(AND(S56&gt;=3,COUNTIFS($F$7:$F$66,F56,$Q$7:$Q$66,"?*")=0),"Defeito repetido: avaliar ação corretiva","OK")))))))))))</f>
        <v/>
      </c>
    </row>
    <row r="57" customFormat="false" ht="30" hidden="false" customHeight="true" outlineLevel="0" collapsed="false">
      <c r="B57" s="9" t="n">
        <v>51</v>
      </c>
      <c r="C57" s="11"/>
      <c r="D57" s="20"/>
      <c r="E57" s="5"/>
      <c r="F57" s="5"/>
      <c r="G57" s="5"/>
      <c r="H57" s="11"/>
      <c r="I57" s="11"/>
      <c r="J57" s="5"/>
      <c r="K57" s="11"/>
      <c r="L57" s="5"/>
      <c r="M57" s="5"/>
      <c r="N57" s="11"/>
      <c r="O57" s="20"/>
      <c r="P57" s="24"/>
      <c r="Q57" s="5"/>
      <c r="R57" s="22" t="str">
        <f aca="false">IF(F57="","",IF(K57="","Aberto",IF(O57="","Em tratamento","Encerrado")))</f>
        <v/>
      </c>
      <c r="S57" s="25" t="str">
        <f aca="false">IF(F57="","",COUNTIF($F$7:$F$66,F57))</f>
        <v/>
      </c>
      <c r="T57" s="12" t="str">
        <f aca="false">IF(F57="",IF(COUNTA(C57:E57,G57:Q57)&gt;0,"Falta o defeito",""),IF(D57="","Falta a data",IF(I57="","Falta onde foi visto",IF(K57="","Falta a disposição",IF(L57="","Falta quem decidiu",IF(AND(J57="",I57&lt;&gt;"Após a entrega"),"Falta a identificação e a segregação",IF(AND(K57="Aceitar sob concessão",M57=""),"Falta a concessão do cliente",IF(AND(I57="Após a entrega",M57=""),"Falta informar o cliente",IF(AND(K57="Retrabalhar",N57=""),"Falta a reverificação",IF(AND(N57="Não conforme",O57&lt;&gt;""),"Encerrado com reverificação não conforme",IF(AND(S57&gt;=3,COUNTIFS($F$7:$F$66,F57,$Q$7:$Q$66,"?*")=0),"Defeito repetido: avaliar ação corretiva","OK")))))))))))</f>
        <v/>
      </c>
    </row>
    <row r="58" customFormat="false" ht="30" hidden="false" customHeight="true" outlineLevel="0" collapsed="false">
      <c r="B58" s="9" t="n">
        <v>52</v>
      </c>
      <c r="C58" s="11"/>
      <c r="D58" s="20"/>
      <c r="E58" s="5"/>
      <c r="F58" s="5"/>
      <c r="G58" s="5"/>
      <c r="H58" s="11"/>
      <c r="I58" s="11"/>
      <c r="J58" s="5"/>
      <c r="K58" s="11"/>
      <c r="L58" s="5"/>
      <c r="M58" s="5"/>
      <c r="N58" s="11"/>
      <c r="O58" s="20"/>
      <c r="P58" s="24"/>
      <c r="Q58" s="5"/>
      <c r="R58" s="22" t="str">
        <f aca="false">IF(F58="","",IF(K58="","Aberto",IF(O58="","Em tratamento","Encerrado")))</f>
        <v/>
      </c>
      <c r="S58" s="25" t="str">
        <f aca="false">IF(F58="","",COUNTIF($F$7:$F$66,F58))</f>
        <v/>
      </c>
      <c r="T58" s="12" t="str">
        <f aca="false">IF(F58="",IF(COUNTA(C58:E58,G58:Q58)&gt;0,"Falta o defeito",""),IF(D58="","Falta a data",IF(I58="","Falta onde foi visto",IF(K58="","Falta a disposição",IF(L58="","Falta quem decidiu",IF(AND(J58="",I58&lt;&gt;"Após a entrega"),"Falta a identificação e a segregação",IF(AND(K58="Aceitar sob concessão",M58=""),"Falta a concessão do cliente",IF(AND(I58="Após a entrega",M58=""),"Falta informar o cliente",IF(AND(K58="Retrabalhar",N58=""),"Falta a reverificação",IF(AND(N58="Não conforme",O58&lt;&gt;""),"Encerrado com reverificação não conforme",IF(AND(S58&gt;=3,COUNTIFS($F$7:$F$66,F58,$Q$7:$Q$66,"?*")=0),"Defeito repetido: avaliar ação corretiva","OK")))))))))))</f>
        <v/>
      </c>
    </row>
    <row r="59" customFormat="false" ht="30" hidden="false" customHeight="true" outlineLevel="0" collapsed="false">
      <c r="B59" s="9" t="n">
        <v>53</v>
      </c>
      <c r="C59" s="11"/>
      <c r="D59" s="20"/>
      <c r="E59" s="5"/>
      <c r="F59" s="5"/>
      <c r="G59" s="5"/>
      <c r="H59" s="11"/>
      <c r="I59" s="11"/>
      <c r="J59" s="5"/>
      <c r="K59" s="11"/>
      <c r="L59" s="5"/>
      <c r="M59" s="5"/>
      <c r="N59" s="11"/>
      <c r="O59" s="20"/>
      <c r="P59" s="24"/>
      <c r="Q59" s="5"/>
      <c r="R59" s="22" t="str">
        <f aca="false">IF(F59="","",IF(K59="","Aberto",IF(O59="","Em tratamento","Encerrado")))</f>
        <v/>
      </c>
      <c r="S59" s="25" t="str">
        <f aca="false">IF(F59="","",COUNTIF($F$7:$F$66,F59))</f>
        <v/>
      </c>
      <c r="T59" s="12" t="str">
        <f aca="false">IF(F59="",IF(COUNTA(C59:E59,G59:Q59)&gt;0,"Falta o defeito",""),IF(D59="","Falta a data",IF(I59="","Falta onde foi visto",IF(K59="","Falta a disposição",IF(L59="","Falta quem decidiu",IF(AND(J59="",I59&lt;&gt;"Após a entrega"),"Falta a identificação e a segregação",IF(AND(K59="Aceitar sob concessão",M59=""),"Falta a concessão do cliente",IF(AND(I59="Após a entrega",M59=""),"Falta informar o cliente",IF(AND(K59="Retrabalhar",N59=""),"Falta a reverificação",IF(AND(N59="Não conforme",O59&lt;&gt;""),"Encerrado com reverificação não conforme",IF(AND(S59&gt;=3,COUNTIFS($F$7:$F$66,F59,$Q$7:$Q$66,"?*")=0),"Defeito repetido: avaliar ação corretiva","OK")))))))))))</f>
        <v/>
      </c>
    </row>
    <row r="60" customFormat="false" ht="30" hidden="false" customHeight="true" outlineLevel="0" collapsed="false">
      <c r="B60" s="9" t="n">
        <v>54</v>
      </c>
      <c r="C60" s="11"/>
      <c r="D60" s="20"/>
      <c r="E60" s="5"/>
      <c r="F60" s="5"/>
      <c r="G60" s="5"/>
      <c r="H60" s="11"/>
      <c r="I60" s="11"/>
      <c r="J60" s="5"/>
      <c r="K60" s="11"/>
      <c r="L60" s="5"/>
      <c r="M60" s="5"/>
      <c r="N60" s="11"/>
      <c r="O60" s="20"/>
      <c r="P60" s="24"/>
      <c r="Q60" s="5"/>
      <c r="R60" s="22" t="str">
        <f aca="false">IF(F60="","",IF(K60="","Aberto",IF(O60="","Em tratamento","Encerrado")))</f>
        <v/>
      </c>
      <c r="S60" s="25" t="str">
        <f aca="false">IF(F60="","",COUNTIF($F$7:$F$66,F60))</f>
        <v/>
      </c>
      <c r="T60" s="12" t="str">
        <f aca="false">IF(F60="",IF(COUNTA(C60:E60,G60:Q60)&gt;0,"Falta o defeito",""),IF(D60="","Falta a data",IF(I60="","Falta onde foi visto",IF(K60="","Falta a disposição",IF(L60="","Falta quem decidiu",IF(AND(J60="",I60&lt;&gt;"Após a entrega"),"Falta a identificação e a segregação",IF(AND(K60="Aceitar sob concessão",M60=""),"Falta a concessão do cliente",IF(AND(I60="Após a entrega",M60=""),"Falta informar o cliente",IF(AND(K60="Retrabalhar",N60=""),"Falta a reverificação",IF(AND(N60="Não conforme",O60&lt;&gt;""),"Encerrado com reverificação não conforme",IF(AND(S60&gt;=3,COUNTIFS($F$7:$F$66,F60,$Q$7:$Q$66,"?*")=0),"Defeito repetido: avaliar ação corretiva","OK")))))))))))</f>
        <v/>
      </c>
    </row>
    <row r="61" customFormat="false" ht="30" hidden="false" customHeight="true" outlineLevel="0" collapsed="false">
      <c r="B61" s="9" t="n">
        <v>55</v>
      </c>
      <c r="C61" s="11"/>
      <c r="D61" s="20"/>
      <c r="E61" s="5"/>
      <c r="F61" s="5"/>
      <c r="G61" s="5"/>
      <c r="H61" s="11"/>
      <c r="I61" s="11"/>
      <c r="J61" s="5"/>
      <c r="K61" s="11"/>
      <c r="L61" s="5"/>
      <c r="M61" s="5"/>
      <c r="N61" s="11"/>
      <c r="O61" s="20"/>
      <c r="P61" s="24"/>
      <c r="Q61" s="5"/>
      <c r="R61" s="22" t="str">
        <f aca="false">IF(F61="","",IF(K61="","Aberto",IF(O61="","Em tratamento","Encerrado")))</f>
        <v/>
      </c>
      <c r="S61" s="25" t="str">
        <f aca="false">IF(F61="","",COUNTIF($F$7:$F$66,F61))</f>
        <v/>
      </c>
      <c r="T61" s="12" t="str">
        <f aca="false">IF(F61="",IF(COUNTA(C61:E61,G61:Q61)&gt;0,"Falta o defeito",""),IF(D61="","Falta a data",IF(I61="","Falta onde foi visto",IF(K61="","Falta a disposição",IF(L61="","Falta quem decidiu",IF(AND(J61="",I61&lt;&gt;"Após a entrega"),"Falta a identificação e a segregação",IF(AND(K61="Aceitar sob concessão",M61=""),"Falta a concessão do cliente",IF(AND(I61="Após a entrega",M61=""),"Falta informar o cliente",IF(AND(K61="Retrabalhar",N61=""),"Falta a reverificação",IF(AND(N61="Não conforme",O61&lt;&gt;""),"Encerrado com reverificação não conforme",IF(AND(S61&gt;=3,COUNTIFS($F$7:$F$66,F61,$Q$7:$Q$66,"?*")=0),"Defeito repetido: avaliar ação corretiva","OK")))))))))))</f>
        <v/>
      </c>
    </row>
    <row r="62" customFormat="false" ht="30" hidden="false" customHeight="true" outlineLevel="0" collapsed="false">
      <c r="B62" s="9" t="n">
        <v>56</v>
      </c>
      <c r="C62" s="11"/>
      <c r="D62" s="20"/>
      <c r="E62" s="5"/>
      <c r="F62" s="5"/>
      <c r="G62" s="5"/>
      <c r="H62" s="11"/>
      <c r="I62" s="11"/>
      <c r="J62" s="5"/>
      <c r="K62" s="11"/>
      <c r="L62" s="5"/>
      <c r="M62" s="5"/>
      <c r="N62" s="11"/>
      <c r="O62" s="20"/>
      <c r="P62" s="24"/>
      <c r="Q62" s="5"/>
      <c r="R62" s="22" t="str">
        <f aca="false">IF(F62="","",IF(K62="","Aberto",IF(O62="","Em tratamento","Encerrado")))</f>
        <v/>
      </c>
      <c r="S62" s="25" t="str">
        <f aca="false">IF(F62="","",COUNTIF($F$7:$F$66,F62))</f>
        <v/>
      </c>
      <c r="T62" s="12" t="str">
        <f aca="false">IF(F62="",IF(COUNTA(C62:E62,G62:Q62)&gt;0,"Falta o defeito",""),IF(D62="","Falta a data",IF(I62="","Falta onde foi visto",IF(K62="","Falta a disposição",IF(L62="","Falta quem decidiu",IF(AND(J62="",I62&lt;&gt;"Após a entrega"),"Falta a identificação e a segregação",IF(AND(K62="Aceitar sob concessão",M62=""),"Falta a concessão do cliente",IF(AND(I62="Após a entrega",M62=""),"Falta informar o cliente",IF(AND(K62="Retrabalhar",N62=""),"Falta a reverificação",IF(AND(N62="Não conforme",O62&lt;&gt;""),"Encerrado com reverificação não conforme",IF(AND(S62&gt;=3,COUNTIFS($F$7:$F$66,F62,$Q$7:$Q$66,"?*")=0),"Defeito repetido: avaliar ação corretiva","OK")))))))))))</f>
        <v/>
      </c>
    </row>
    <row r="63" customFormat="false" ht="30" hidden="false" customHeight="true" outlineLevel="0" collapsed="false">
      <c r="B63" s="9" t="n">
        <v>57</v>
      </c>
      <c r="C63" s="11"/>
      <c r="D63" s="20"/>
      <c r="E63" s="5"/>
      <c r="F63" s="5"/>
      <c r="G63" s="5"/>
      <c r="H63" s="11"/>
      <c r="I63" s="11"/>
      <c r="J63" s="5"/>
      <c r="K63" s="11"/>
      <c r="L63" s="5"/>
      <c r="M63" s="5"/>
      <c r="N63" s="11"/>
      <c r="O63" s="20"/>
      <c r="P63" s="24"/>
      <c r="Q63" s="5"/>
      <c r="R63" s="22" t="str">
        <f aca="false">IF(F63="","",IF(K63="","Aberto",IF(O63="","Em tratamento","Encerrado")))</f>
        <v/>
      </c>
      <c r="S63" s="25" t="str">
        <f aca="false">IF(F63="","",COUNTIF($F$7:$F$66,F63))</f>
        <v/>
      </c>
      <c r="T63" s="12" t="str">
        <f aca="false">IF(F63="",IF(COUNTA(C63:E63,G63:Q63)&gt;0,"Falta o defeito",""),IF(D63="","Falta a data",IF(I63="","Falta onde foi visto",IF(K63="","Falta a disposição",IF(L63="","Falta quem decidiu",IF(AND(J63="",I63&lt;&gt;"Após a entrega"),"Falta a identificação e a segregação",IF(AND(K63="Aceitar sob concessão",M63=""),"Falta a concessão do cliente",IF(AND(I63="Após a entrega",M63=""),"Falta informar o cliente",IF(AND(K63="Retrabalhar",N63=""),"Falta a reverificação",IF(AND(N63="Não conforme",O63&lt;&gt;""),"Encerrado com reverificação não conforme",IF(AND(S63&gt;=3,COUNTIFS($F$7:$F$66,F63,$Q$7:$Q$66,"?*")=0),"Defeito repetido: avaliar ação corretiva","OK")))))))))))</f>
        <v/>
      </c>
    </row>
    <row r="64" customFormat="false" ht="30" hidden="false" customHeight="true" outlineLevel="0" collapsed="false">
      <c r="B64" s="9" t="n">
        <v>58</v>
      </c>
      <c r="C64" s="11"/>
      <c r="D64" s="20"/>
      <c r="E64" s="5"/>
      <c r="F64" s="5"/>
      <c r="G64" s="5"/>
      <c r="H64" s="11"/>
      <c r="I64" s="11"/>
      <c r="J64" s="5"/>
      <c r="K64" s="11"/>
      <c r="L64" s="5"/>
      <c r="M64" s="5"/>
      <c r="N64" s="11"/>
      <c r="O64" s="20"/>
      <c r="P64" s="24"/>
      <c r="Q64" s="5"/>
      <c r="R64" s="22" t="str">
        <f aca="false">IF(F64="","",IF(K64="","Aberto",IF(O64="","Em tratamento","Encerrado")))</f>
        <v/>
      </c>
      <c r="S64" s="25" t="str">
        <f aca="false">IF(F64="","",COUNTIF($F$7:$F$66,F64))</f>
        <v/>
      </c>
      <c r="T64" s="12" t="str">
        <f aca="false">IF(F64="",IF(COUNTA(C64:E64,G64:Q64)&gt;0,"Falta o defeito",""),IF(D64="","Falta a data",IF(I64="","Falta onde foi visto",IF(K64="","Falta a disposição",IF(L64="","Falta quem decidiu",IF(AND(J64="",I64&lt;&gt;"Após a entrega"),"Falta a identificação e a segregação",IF(AND(K64="Aceitar sob concessão",M64=""),"Falta a concessão do cliente",IF(AND(I64="Após a entrega",M64=""),"Falta informar o cliente",IF(AND(K64="Retrabalhar",N64=""),"Falta a reverificação",IF(AND(N64="Não conforme",O64&lt;&gt;""),"Encerrado com reverificação não conforme",IF(AND(S64&gt;=3,COUNTIFS($F$7:$F$66,F64,$Q$7:$Q$66,"?*")=0),"Defeito repetido: avaliar ação corretiva","OK")))))))))))</f>
        <v/>
      </c>
    </row>
    <row r="65" customFormat="false" ht="30" hidden="false" customHeight="true" outlineLevel="0" collapsed="false">
      <c r="B65" s="9" t="n">
        <v>59</v>
      </c>
      <c r="C65" s="11"/>
      <c r="D65" s="20"/>
      <c r="E65" s="5"/>
      <c r="F65" s="5"/>
      <c r="G65" s="5"/>
      <c r="H65" s="11"/>
      <c r="I65" s="11"/>
      <c r="J65" s="5"/>
      <c r="K65" s="11"/>
      <c r="L65" s="5"/>
      <c r="M65" s="5"/>
      <c r="N65" s="11"/>
      <c r="O65" s="20"/>
      <c r="P65" s="24"/>
      <c r="Q65" s="5"/>
      <c r="R65" s="22" t="str">
        <f aca="false">IF(F65="","",IF(K65="","Aberto",IF(O65="","Em tratamento","Encerrado")))</f>
        <v/>
      </c>
      <c r="S65" s="25" t="str">
        <f aca="false">IF(F65="","",COUNTIF($F$7:$F$66,F65))</f>
        <v/>
      </c>
      <c r="T65" s="12" t="str">
        <f aca="false">IF(F65="",IF(COUNTA(C65:E65,G65:Q65)&gt;0,"Falta o defeito",""),IF(D65="","Falta a data",IF(I65="","Falta onde foi visto",IF(K65="","Falta a disposição",IF(L65="","Falta quem decidiu",IF(AND(J65="",I65&lt;&gt;"Após a entrega"),"Falta a identificação e a segregação",IF(AND(K65="Aceitar sob concessão",M65=""),"Falta a concessão do cliente",IF(AND(I65="Após a entrega",M65=""),"Falta informar o cliente",IF(AND(K65="Retrabalhar",N65=""),"Falta a reverificação",IF(AND(N65="Não conforme",O65&lt;&gt;""),"Encerrado com reverificação não conforme",IF(AND(S65&gt;=3,COUNTIFS($F$7:$F$66,F65,$Q$7:$Q$66,"?*")=0),"Defeito repetido: avaliar ação corretiva","OK")))))))))))</f>
        <v/>
      </c>
    </row>
    <row r="66" customFormat="false" ht="30" hidden="false" customHeight="true" outlineLevel="0" collapsed="false">
      <c r="B66" s="9" t="n">
        <v>60</v>
      </c>
      <c r="C66" s="11"/>
      <c r="D66" s="20"/>
      <c r="E66" s="5"/>
      <c r="F66" s="5"/>
      <c r="G66" s="5"/>
      <c r="H66" s="11"/>
      <c r="I66" s="11"/>
      <c r="J66" s="5"/>
      <c r="K66" s="11"/>
      <c r="L66" s="5"/>
      <c r="M66" s="5"/>
      <c r="N66" s="11"/>
      <c r="O66" s="20"/>
      <c r="P66" s="24"/>
      <c r="Q66" s="5"/>
      <c r="R66" s="22" t="str">
        <f aca="false">IF(F66="","",IF(K66="","Aberto",IF(O66="","Em tratamento","Encerrado")))</f>
        <v/>
      </c>
      <c r="S66" s="25" t="str">
        <f aca="false">IF(F66="","",COUNTIF($F$7:$F$66,F66))</f>
        <v/>
      </c>
      <c r="T66" s="12" t="str">
        <f aca="false">IF(F66="",IF(COUNTA(C66:E66,G66:Q66)&gt;0,"Falta o defeito",""),IF(D66="","Falta a data",IF(I66="","Falta onde foi visto",IF(K66="","Falta a disposição",IF(L66="","Falta quem decidiu",IF(AND(J66="",I66&lt;&gt;"Após a entrega"),"Falta a identificação e a segregação",IF(AND(K66="Aceitar sob concessão",M66=""),"Falta a concessão do cliente",IF(AND(I66="Após a entrega",M66=""),"Falta informar o cliente",IF(AND(K66="Retrabalhar",N66=""),"Falta a reverificação",IF(AND(N66="Não conforme",O66&lt;&gt;""),"Encerrado com reverificação não conforme",IF(AND(S66&gt;=3,COUNTIFS($F$7:$F$66,F66,$Q$7:$Q$66,"?*")=0),"Defeito repetido: avaliar ação corretiva","OK")))))))))))</f>
        <v/>
      </c>
    </row>
    <row r="68" customFormat="false" ht="21.75" hidden="false" customHeight="true" outlineLevel="0" collapsed="false">
      <c r="B68" s="13" t="s">
        <v>91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customFormat="false" ht="21.75" hidden="false" customHeight="true" outlineLevel="0" collapsed="false">
      <c r="B69" s="14" t="s">
        <v>160</v>
      </c>
      <c r="C69" s="14"/>
      <c r="D69" s="14"/>
      <c r="E69" s="15" t="n">
        <f aca="false">COUNTA(F7:F66)</f>
        <v>0</v>
      </c>
      <c r="F69" s="15"/>
      <c r="G69" s="15"/>
      <c r="H69" s="15"/>
      <c r="I69" s="15"/>
      <c r="J69" s="15"/>
    </row>
    <row r="70" customFormat="false" ht="21.75" hidden="false" customHeight="true" outlineLevel="0" collapsed="false">
      <c r="B70" s="14" t="s">
        <v>161</v>
      </c>
      <c r="C70" s="14"/>
      <c r="D70" s="14"/>
      <c r="E70" s="15" t="str">
        <f aca="false">IF(E69=0,"",COUNTIF(R7:R66,"Aberto")&amp;" abertos, "&amp;COUNTIF(R7:R66,"Em tratamento")&amp;" em tratamento, "&amp;COUNTIF(R7:R66,"Encerrado")&amp;" encerrados")</f>
        <v/>
      </c>
      <c r="F70" s="15"/>
      <c r="G70" s="15"/>
      <c r="H70" s="15"/>
      <c r="I70" s="15"/>
      <c r="J70" s="15"/>
    </row>
    <row r="71" customFormat="false" ht="21.75" hidden="false" customHeight="true" outlineLevel="0" collapsed="false">
      <c r="B71" s="14" t="s">
        <v>61</v>
      </c>
      <c r="C71" s="14"/>
      <c r="D71" s="14"/>
      <c r="E71" s="26" t="n">
        <f aca="false">SUM(P7:P66)</f>
        <v>0</v>
      </c>
      <c r="F71" s="26"/>
      <c r="G71" s="26"/>
      <c r="H71" s="26"/>
      <c r="I71" s="26"/>
      <c r="J71" s="26"/>
    </row>
    <row r="72" customFormat="false" ht="21.75" hidden="false" customHeight="true" outlineLevel="0" collapsed="false">
      <c r="B72" s="14" t="s">
        <v>93</v>
      </c>
      <c r="C72" s="14"/>
      <c r="D72" s="14"/>
      <c r="E72" s="16" t="str">
        <f aca="false">IF(E69=0,"Registre os casos de produto não conforme",IF(COUNTIF(T7:T66,"Falta informar o cliente")&gt;0,"Há defeito visto depois da entrega sem o cliente informado",IF(COUNTIF(R7:R66,"Aberto")&gt;0,"Há registro sem disposição",IF(COUNTIF(T7:T66,"Defeito repetido: avaliar ação corretiva")&gt;0,"Há defeito repetido sem ação corretiva",IF(SUMPRODUCT((T7:T66&lt;&gt;"")*(T7:T66&lt;&gt;"OK"))&gt;0,"Há registro a completar: veja a coluna Conferência","OK")))))</f>
        <v>Registre os casos de produto não conforme</v>
      </c>
      <c r="F72" s="16"/>
      <c r="G72" s="16"/>
      <c r="H72" s="16"/>
      <c r="I72" s="16"/>
      <c r="J72" s="16"/>
    </row>
  </sheetData>
  <mergeCells count="11">
    <mergeCell ref="B1:T1"/>
    <mergeCell ref="B2:T2"/>
    <mergeCell ref="B68:T68"/>
    <mergeCell ref="B69:D69"/>
    <mergeCell ref="E69:J69"/>
    <mergeCell ref="B70:D70"/>
    <mergeCell ref="E70:J70"/>
    <mergeCell ref="B71:D71"/>
    <mergeCell ref="E71:J71"/>
    <mergeCell ref="B72:D72"/>
    <mergeCell ref="E72:J72"/>
  </mergeCells>
  <conditionalFormatting sqref="R7:R66">
    <cfRule type="expression" priority="2" aboveAverage="0" equalAverage="0" bottom="0" percent="0" rank="0" text="" dxfId="0">
      <formula>R7="Encerrado"</formula>
    </cfRule>
    <cfRule type="expression" priority="3" aboveAverage="0" equalAverage="0" bottom="0" percent="0" rank="0" text="" dxfId="2">
      <formula>R7="Em tratamento"</formula>
    </cfRule>
    <cfRule type="expression" priority="4" aboveAverage="0" equalAverage="0" bottom="0" percent="0" rank="0" text="" dxfId="3">
      <formula>R7="Aberto"</formula>
    </cfRule>
  </conditionalFormatting>
  <conditionalFormatting sqref="T7:T66">
    <cfRule type="expression" priority="5" aboveAverage="0" equalAverage="0" bottom="0" percent="0" rank="0" text="" dxfId="0">
      <formula>T7="OK"</formula>
    </cfRule>
    <cfRule type="expression" priority="6" aboveAverage="0" equalAverage="0" bottom="0" percent="0" rank="0" text="" dxfId="4">
      <formula>T7="Falta informar o cliente"</formula>
    </cfRule>
    <cfRule type="expression" priority="7" aboveAverage="0" equalAverage="0" bottom="0" percent="0" rank="0" text="" dxfId="4">
      <formula>T7="Defeito repetido: avaliar ação corretiva"</formula>
    </cfRule>
    <cfRule type="expression" priority="8" aboveAverage="0" equalAverage="0" bottom="0" percent="0" rank="0" text="" dxfId="1">
      <formula>LEN(T7)&gt;0</formula>
    </cfRule>
  </conditionalFormatting>
  <conditionalFormatting sqref="E72:J72">
    <cfRule type="expression" priority="9" aboveAverage="0" equalAverage="0" bottom="0" percent="0" rank="0" text="" dxfId="0">
      <formula>OR(E72="OK")</formula>
    </cfRule>
    <cfRule type="expression" priority="10" aboveAverage="0" equalAverage="0" bottom="0" percent="0" rank="0" text="" dxfId="1">
      <formula>AND(LEN(E72)&gt;0,NOT(OR(E72="OK")))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7:D66 O7:O6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P7:P66" type="decimal">
      <formula1>-1000000000</formula1>
      <formula2>1000000000</formula2>
    </dataValidation>
    <dataValidation allowBlank="true" error="Escolha uma das opções da lista." errorStyle="stop" errorTitle="Valor inválido" operator="between" prompt="Onde o defeito foi visto" promptTitle="Opções" showDropDown="false" showErrorMessage="true" showInputMessage="true" sqref="I7:I66" type="list">
      <formula1>"Recebimento,Processo,Inspeção final,Após a entrega"</formula1>
      <formula2>0</formula2>
    </dataValidation>
    <dataValidation allowBlank="true" error="Escolha uma das opções da lista." errorStyle="stop" errorTitle="Valor inválido" operator="between" prompt="O destino decidido para o produto" promptTitle="Opções" showDropDown="false" showErrorMessage="true" showInputMessage="true" sqref="K7:K66" type="list">
      <formula1>"Retrabalhar,Reclassificar,Aceitar sob concessão,Refugar,Devolver ao fornecedor,Recolher ou substituir"</formula1>
      <formula2>0</formula2>
    </dataValidation>
    <dataValidation allowBlank="true" error="Escolha uma das opções da lista." errorStyle="stop" errorTitle="Valor inválido" operator="between" prompt="Resultado da nova verificação, depois da correção" promptTitle="Opções" showDropDown="false" showErrorMessage="true" showInputMessage="true" sqref="N7:N66" type="list">
      <formula1>"Conforme,Não conforme"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162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163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8" t="s">
        <v>164</v>
      </c>
      <c r="C4" s="8" t="s">
        <v>165</v>
      </c>
      <c r="D4" s="8" t="s">
        <v>166</v>
      </c>
      <c r="E4" s="8"/>
      <c r="F4" s="8"/>
      <c r="G4" s="8"/>
    </row>
    <row r="5" customFormat="false" ht="21.75" hidden="false" customHeight="true" outlineLevel="0" collapsed="false">
      <c r="B5" s="4" t="s">
        <v>123</v>
      </c>
      <c r="C5" s="27" t="n">
        <f aca="false">COUNTA(Liberação!D7:D66)</f>
        <v>0</v>
      </c>
      <c r="D5" s="10" t="s">
        <v>167</v>
      </c>
      <c r="E5" s="10"/>
      <c r="F5" s="10"/>
      <c r="G5" s="10"/>
    </row>
    <row r="6" customFormat="false" ht="21.75" hidden="false" customHeight="true" outlineLevel="0" collapsed="false">
      <c r="B6" s="4" t="s">
        <v>168</v>
      </c>
      <c r="C6" s="27" t="n">
        <f aca="false">COUNTIFS(Liberação!J7:J66,"Liberado",Liberação!I7:I66,"Conforme")</f>
        <v>0</v>
      </c>
      <c r="D6" s="10" t="s">
        <v>169</v>
      </c>
      <c r="E6" s="10"/>
      <c r="F6" s="10"/>
      <c r="G6" s="10"/>
    </row>
    <row r="7" customFormat="false" ht="21.75" hidden="false" customHeight="true" outlineLevel="0" collapsed="false">
      <c r="B7" s="4" t="s">
        <v>170</v>
      </c>
      <c r="C7" s="27" t="n">
        <f aca="false">COUNTIF(Liberação!J7:J66,"Liberado com autorização")</f>
        <v>0</v>
      </c>
      <c r="D7" s="10" t="s">
        <v>171</v>
      </c>
      <c r="E7" s="10"/>
      <c r="F7" s="10"/>
      <c r="G7" s="10"/>
    </row>
    <row r="8" customFormat="false" ht="21.75" hidden="false" customHeight="true" outlineLevel="0" collapsed="false">
      <c r="B8" s="4" t="s">
        <v>172</v>
      </c>
      <c r="C8" s="27" t="n">
        <f aca="false">COUNTIF(Liberação!J7:J66,"Retido")</f>
        <v>0</v>
      </c>
      <c r="D8" s="10" t="s">
        <v>173</v>
      </c>
      <c r="E8" s="10"/>
      <c r="F8" s="10"/>
      <c r="G8" s="10"/>
    </row>
    <row r="9" customFormat="false" ht="21.75" hidden="false" customHeight="true" outlineLevel="0" collapsed="false">
      <c r="B9" s="4" t="s">
        <v>125</v>
      </c>
      <c r="C9" s="27" t="n">
        <f aca="false">SUMPRODUCT((Liberação!O7:O66&lt;&gt;"")*(Liberação!O7:O66&lt;&gt;"OK"))</f>
        <v>0</v>
      </c>
      <c r="D9" s="10" t="s">
        <v>174</v>
      </c>
      <c r="E9" s="10"/>
      <c r="F9" s="10"/>
      <c r="G9" s="10"/>
    </row>
    <row r="10" customFormat="false" ht="21.75" hidden="false" customHeight="true" outlineLevel="0" collapsed="false">
      <c r="B10" s="4" t="s">
        <v>175</v>
      </c>
      <c r="C10" s="27" t="n">
        <f aca="false">COUNTA('Produto não conforme'!F7:F66)</f>
        <v>0</v>
      </c>
      <c r="D10" s="10" t="s">
        <v>176</v>
      </c>
      <c r="E10" s="10"/>
      <c r="F10" s="10"/>
      <c r="G10" s="10"/>
    </row>
    <row r="11" customFormat="false" ht="21.75" hidden="false" customHeight="true" outlineLevel="0" collapsed="false">
      <c r="B11" s="4" t="s">
        <v>177</v>
      </c>
      <c r="C11" s="27" t="n">
        <f aca="false">COUNTIF('Produto não conforme'!R7:R66,"Aberto")</f>
        <v>0</v>
      </c>
      <c r="D11" s="10" t="s">
        <v>178</v>
      </c>
      <c r="E11" s="10"/>
      <c r="F11" s="10"/>
      <c r="G11" s="10"/>
    </row>
    <row r="12" customFormat="false" ht="21.75" hidden="false" customHeight="true" outlineLevel="0" collapsed="false">
      <c r="B12" s="4" t="s">
        <v>179</v>
      </c>
      <c r="C12" s="27" t="n">
        <f aca="false">COUNTIF('Produto não conforme'!R7:R66,"Em tratamento")</f>
        <v>0</v>
      </c>
      <c r="D12" s="10" t="s">
        <v>180</v>
      </c>
      <c r="E12" s="10"/>
      <c r="F12" s="10"/>
      <c r="G12" s="10"/>
    </row>
    <row r="13" customFormat="false" ht="21.75" hidden="false" customHeight="true" outlineLevel="0" collapsed="false">
      <c r="B13" s="4" t="s">
        <v>181</v>
      </c>
      <c r="C13" s="27" t="n">
        <f aca="false">COUNTIF('Produto não conforme'!I7:I66,"Após a entrega")</f>
        <v>0</v>
      </c>
      <c r="D13" s="10" t="s">
        <v>182</v>
      </c>
      <c r="E13" s="10"/>
      <c r="F13" s="10"/>
      <c r="G13" s="10"/>
    </row>
    <row r="14" customFormat="false" ht="21.75" hidden="false" customHeight="true" outlineLevel="0" collapsed="false">
      <c r="B14" s="4" t="s">
        <v>183</v>
      </c>
      <c r="C14" s="28" t="n">
        <f aca="false">SUM('Produto não conforme'!P7:P66)</f>
        <v>0</v>
      </c>
      <c r="D14" s="10" t="s">
        <v>184</v>
      </c>
      <c r="E14" s="10"/>
      <c r="F14" s="10"/>
      <c r="G14" s="10"/>
    </row>
    <row r="15" customFormat="false" ht="21.75" hidden="false" customHeight="true" outlineLevel="0" collapsed="false">
      <c r="B15" s="4" t="s">
        <v>185</v>
      </c>
      <c r="C15" s="27" t="n">
        <f aca="false">SUMPRODUCT(('Produto não conforme'!T7:T66&lt;&gt;"")*('Produto não conforme'!T7:T66&lt;&gt;"OK"))</f>
        <v>0</v>
      </c>
      <c r="D15" s="10" t="s">
        <v>186</v>
      </c>
      <c r="E15" s="10"/>
      <c r="F15" s="10"/>
      <c r="G15" s="10"/>
    </row>
    <row r="16" customFormat="false" ht="21.75" hidden="false" customHeight="true" outlineLevel="0" collapsed="false">
      <c r="B16" s="4" t="s">
        <v>187</v>
      </c>
      <c r="C16" s="27" t="n">
        <f aca="false">COUNTIF('Produto não conforme'!T7:T66,"Defeito repetido: avaliar ação corretiva")</f>
        <v>0</v>
      </c>
      <c r="D16" s="10" t="s">
        <v>188</v>
      </c>
      <c r="E16" s="10"/>
      <c r="F16" s="10"/>
      <c r="G16" s="10"/>
    </row>
    <row r="18" customFormat="false" ht="21.75" hidden="false" customHeight="true" outlineLevel="0" collapsed="false">
      <c r="B18" s="13" t="s">
        <v>189</v>
      </c>
      <c r="C18" s="13"/>
      <c r="D18" s="13"/>
      <c r="E18" s="13"/>
      <c r="F18" s="13"/>
      <c r="G18" s="13"/>
    </row>
    <row r="19" customFormat="false" ht="30" hidden="false" customHeight="true" outlineLevel="0" collapsed="false">
      <c r="B19" s="8" t="s">
        <v>190</v>
      </c>
      <c r="C19" s="8" t="s">
        <v>160</v>
      </c>
      <c r="D19" s="8" t="s">
        <v>61</v>
      </c>
      <c r="E19" s="8" t="s">
        <v>191</v>
      </c>
      <c r="F19" s="8" t="s">
        <v>192</v>
      </c>
      <c r="G19" s="8" t="s">
        <v>102</v>
      </c>
    </row>
    <row r="20" customFormat="false" ht="21.75" hidden="false" customHeight="true" outlineLevel="0" collapsed="false">
      <c r="B20" s="4" t="s">
        <v>193</v>
      </c>
      <c r="C20" s="25" t="n">
        <f aca="false">COUNTIF('Produto não conforme'!I7:I66,B20)</f>
        <v>0</v>
      </c>
      <c r="D20" s="29" t="n">
        <f aca="false">SUMIF('Produto não conforme'!I7:I66,B20,'Produto não conforme'!P7:P66)</f>
        <v>0</v>
      </c>
      <c r="E20" s="28" t="n">
        <f aca="false">IF(C20=0,0,D20/C20)</f>
        <v>0</v>
      </c>
      <c r="F20" s="30" t="str">
        <f aca="false">IF(SUM(D$20:D$23)=0,"",D20/SUM(D$20:D$23))</f>
        <v/>
      </c>
      <c r="G20" s="10" t="s">
        <v>194</v>
      </c>
    </row>
    <row r="21" customFormat="false" ht="21.75" hidden="false" customHeight="true" outlineLevel="0" collapsed="false">
      <c r="B21" s="4" t="s">
        <v>195</v>
      </c>
      <c r="C21" s="25" t="n">
        <f aca="false">COUNTIF('Produto não conforme'!I7:I66,B21)</f>
        <v>0</v>
      </c>
      <c r="D21" s="29" t="n">
        <f aca="false">SUMIF('Produto não conforme'!I7:I66,B21,'Produto não conforme'!P7:P66)</f>
        <v>0</v>
      </c>
      <c r="E21" s="28" t="n">
        <f aca="false">IF(C21=0,0,D21/C21)</f>
        <v>0</v>
      </c>
      <c r="F21" s="30" t="str">
        <f aca="false">IF(SUM(D$20:D$23)=0,"",D21/SUM(D$20:D$23))</f>
        <v/>
      </c>
      <c r="G21" s="10" t="s">
        <v>196</v>
      </c>
    </row>
    <row r="22" customFormat="false" ht="21.75" hidden="false" customHeight="true" outlineLevel="0" collapsed="false">
      <c r="B22" s="4" t="s">
        <v>155</v>
      </c>
      <c r="C22" s="25" t="n">
        <f aca="false">COUNTIF('Produto não conforme'!I7:I66,B22)</f>
        <v>0</v>
      </c>
      <c r="D22" s="29" t="n">
        <f aca="false">SUMIF('Produto não conforme'!I7:I66,B22,'Produto não conforme'!P7:P66)</f>
        <v>0</v>
      </c>
      <c r="E22" s="28" t="n">
        <f aca="false">IF(C22=0,0,D22/C22)</f>
        <v>0</v>
      </c>
      <c r="F22" s="30" t="str">
        <f aca="false">IF(SUM(D$20:D$23)=0,"",D22/SUM(D$20:D$23))</f>
        <v/>
      </c>
      <c r="G22" s="10" t="s">
        <v>197</v>
      </c>
    </row>
    <row r="23" customFormat="false" ht="21.75" hidden="false" customHeight="true" outlineLevel="0" collapsed="false">
      <c r="B23" s="4" t="s">
        <v>198</v>
      </c>
      <c r="C23" s="25" t="n">
        <f aca="false">COUNTIF('Produto não conforme'!I7:I66,B23)</f>
        <v>0</v>
      </c>
      <c r="D23" s="29" t="n">
        <f aca="false">SUMIF('Produto não conforme'!I7:I66,B23,'Produto não conforme'!P7:P66)</f>
        <v>0</v>
      </c>
      <c r="E23" s="28" t="n">
        <f aca="false">IF(C23=0,0,D23/C23)</f>
        <v>0</v>
      </c>
      <c r="F23" s="30" t="str">
        <f aca="false">IF(SUM(D$20:D$23)=0,"",D23/SUM(D$20:D$23))</f>
        <v/>
      </c>
      <c r="G23" s="10" t="s">
        <v>199</v>
      </c>
    </row>
    <row r="25" customFormat="false" ht="21.75" hidden="false" customHeight="true" outlineLevel="0" collapsed="false">
      <c r="B25" s="13" t="s">
        <v>200</v>
      </c>
      <c r="C25" s="13"/>
      <c r="D25" s="13"/>
      <c r="E25" s="13"/>
      <c r="F25" s="13"/>
      <c r="G25" s="13"/>
    </row>
    <row r="26" customFormat="false" ht="30" hidden="false" customHeight="true" outlineLevel="0" collapsed="false">
      <c r="B26" s="8" t="s">
        <v>134</v>
      </c>
      <c r="C26" s="8" t="s">
        <v>160</v>
      </c>
      <c r="D26" s="8" t="s">
        <v>61</v>
      </c>
      <c r="E26" s="8" t="s">
        <v>191</v>
      </c>
      <c r="F26" s="8" t="s">
        <v>192</v>
      </c>
      <c r="G26" s="8" t="s">
        <v>201</v>
      </c>
    </row>
    <row r="27" customFormat="false" ht="24" hidden="false" customHeight="true" outlineLevel="0" collapsed="false">
      <c r="B27" s="4" t="s">
        <v>79</v>
      </c>
      <c r="C27" s="25" t="n">
        <f aca="false">COUNTIF('Produto não conforme'!K7:K66,B27)</f>
        <v>0</v>
      </c>
      <c r="D27" s="29" t="n">
        <f aca="false">SUMIF('Produto não conforme'!K7:K66,B27,'Produto não conforme'!P7:P66)</f>
        <v>0</v>
      </c>
      <c r="E27" s="29" t="str">
        <f aca="false">IF(C27=0,"",D27/C27)</f>
        <v/>
      </c>
      <c r="F27" s="30" t="str">
        <f aca="false">IF(SUM(D$27:D$32)=0,"",D27/SUM(D$27:D$32))</f>
        <v/>
      </c>
      <c r="G27" s="10" t="s">
        <v>202</v>
      </c>
    </row>
    <row r="28" customFormat="false" ht="24" hidden="false" customHeight="true" outlineLevel="0" collapsed="false">
      <c r="B28" s="4" t="s">
        <v>81</v>
      </c>
      <c r="C28" s="25" t="n">
        <f aca="false">COUNTIF('Produto não conforme'!K7:K66,B28)</f>
        <v>0</v>
      </c>
      <c r="D28" s="29" t="n">
        <f aca="false">SUMIF('Produto não conforme'!K7:K66,B28,'Produto não conforme'!P7:P66)</f>
        <v>0</v>
      </c>
      <c r="E28" s="29" t="str">
        <f aca="false">IF(C28=0,"",D28/C28)</f>
        <v/>
      </c>
      <c r="F28" s="30" t="str">
        <f aca="false">IF(SUM(D$27:D$32)=0,"",D28/SUM(D$27:D$32))</f>
        <v/>
      </c>
      <c r="G28" s="10" t="s">
        <v>203</v>
      </c>
    </row>
    <row r="29" customFormat="false" ht="24" hidden="false" customHeight="true" outlineLevel="0" collapsed="false">
      <c r="B29" s="4" t="s">
        <v>83</v>
      </c>
      <c r="C29" s="25" t="n">
        <f aca="false">COUNTIF('Produto não conforme'!K7:K66,B29)</f>
        <v>0</v>
      </c>
      <c r="D29" s="29" t="n">
        <f aca="false">SUMIF('Produto não conforme'!K7:K66,B29,'Produto não conforme'!P7:P66)</f>
        <v>0</v>
      </c>
      <c r="E29" s="29" t="str">
        <f aca="false">IF(C29=0,"",D29/C29)</f>
        <v/>
      </c>
      <c r="F29" s="30" t="str">
        <f aca="false">IF(SUM(D$27:D$32)=0,"",D29/SUM(D$27:D$32))</f>
        <v/>
      </c>
      <c r="G29" s="10" t="s">
        <v>204</v>
      </c>
    </row>
    <row r="30" customFormat="false" ht="24" hidden="false" customHeight="true" outlineLevel="0" collapsed="false">
      <c r="B30" s="4" t="s">
        <v>85</v>
      </c>
      <c r="C30" s="25" t="n">
        <f aca="false">COUNTIF('Produto não conforme'!K7:K66,B30)</f>
        <v>0</v>
      </c>
      <c r="D30" s="29" t="n">
        <f aca="false">SUMIF('Produto não conforme'!K7:K66,B30,'Produto não conforme'!P7:P66)</f>
        <v>0</v>
      </c>
      <c r="E30" s="29" t="str">
        <f aca="false">IF(C30=0,"",D30/C30)</f>
        <v/>
      </c>
      <c r="F30" s="30" t="str">
        <f aca="false">IF(SUM(D$27:D$32)=0,"",D30/SUM(D$27:D$32))</f>
        <v/>
      </c>
      <c r="G30" s="10" t="s">
        <v>205</v>
      </c>
    </row>
    <row r="31" customFormat="false" ht="24" hidden="false" customHeight="true" outlineLevel="0" collapsed="false">
      <c r="B31" s="4" t="s">
        <v>87</v>
      </c>
      <c r="C31" s="25" t="n">
        <f aca="false">COUNTIF('Produto não conforme'!K7:K66,B31)</f>
        <v>0</v>
      </c>
      <c r="D31" s="29" t="n">
        <f aca="false">SUMIF('Produto não conforme'!K7:K66,B31,'Produto não conforme'!P7:P66)</f>
        <v>0</v>
      </c>
      <c r="E31" s="29" t="str">
        <f aca="false">IF(C31=0,"",D31/C31)</f>
        <v/>
      </c>
      <c r="F31" s="30" t="str">
        <f aca="false">IF(SUM(D$27:D$32)=0,"",D31/SUM(D$27:D$32))</f>
        <v/>
      </c>
      <c r="G31" s="10" t="s">
        <v>206</v>
      </c>
    </row>
    <row r="32" customFormat="false" ht="24" hidden="false" customHeight="true" outlineLevel="0" collapsed="false">
      <c r="B32" s="4" t="s">
        <v>89</v>
      </c>
      <c r="C32" s="25" t="n">
        <f aca="false">COUNTIF('Produto não conforme'!K7:K66,B32)</f>
        <v>0</v>
      </c>
      <c r="D32" s="29" t="n">
        <f aca="false">SUMIF('Produto não conforme'!K7:K66,B32,'Produto não conforme'!P7:P66)</f>
        <v>0</v>
      </c>
      <c r="E32" s="29" t="str">
        <f aca="false">IF(C32=0,"",D32/C32)</f>
        <v/>
      </c>
      <c r="F32" s="30" t="str">
        <f aca="false">IF(SUM(D$27:D$32)=0,"",D32/SUM(D$27:D$32))</f>
        <v/>
      </c>
      <c r="G32" s="10" t="s">
        <v>207</v>
      </c>
    </row>
    <row r="34" customFormat="false" ht="21.75" hidden="false" customHeight="true" outlineLevel="0" collapsed="false">
      <c r="B34" s="13" t="s">
        <v>91</v>
      </c>
      <c r="C34" s="13"/>
      <c r="D34" s="13"/>
      <c r="E34" s="13"/>
      <c r="F34" s="13"/>
      <c r="G34" s="13"/>
    </row>
    <row r="35" customFormat="false" ht="21.75" hidden="false" customHeight="true" outlineLevel="0" collapsed="false">
      <c r="B35" s="4" t="s">
        <v>93</v>
      </c>
      <c r="C35" s="16" t="str">
        <f aca="false">IF(AND(C5=0,C10=0),"Registre as liberações e os casos de produto não conforme",IF(COUNTIF('Produto não conforme'!T7:T66,"Falta informar o cliente")&gt;0,"Há defeito visto depois da entrega sem o cliente informado",IF(COUNTIF(Liberação!O7:O66,"Liberado com verificação pendente")&gt;0,"Há lote liberado com verificação pendente, sem autorização",IF(C11&gt;0,"Há registro sem disposição",IF(C16&gt;0,"Há defeito repetido sem ação corretiva",IF(C9+C15&gt;0,"Há liberação ou registro a completar","OK"))))))</f>
        <v>Registre as liberações e os casos de produto não conforme</v>
      </c>
      <c r="D35" s="16"/>
      <c r="E35" s="16"/>
      <c r="F35" s="16"/>
      <c r="G35" s="16"/>
    </row>
  </sheetData>
  <mergeCells count="19">
    <mergeCell ref="B1:G1"/>
    <mergeCell ref="B2:G2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B18:G18"/>
    <mergeCell ref="B25:G25"/>
    <mergeCell ref="B34:G34"/>
    <mergeCell ref="C35:G35"/>
  </mergeCells>
  <conditionalFormatting sqref="C35:G35">
    <cfRule type="expression" priority="2" aboveAverage="0" equalAverage="0" bottom="0" percent="0" rank="0" text="" dxfId="0">
      <formula>OR(C35="OK")</formula>
    </cfRule>
    <cfRule type="expression" priority="3" aboveAverage="0" equalAverage="0" bottom="0" percent="0" rank="0" text="" dxfId="1">
      <formula>AND(LEN(C35)&gt;0,NOT(OR(C35="OK")))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208</v>
      </c>
      <c r="C1" s="1"/>
      <c r="D1" s="1"/>
      <c r="E1" s="1"/>
    </row>
    <row r="2" customFormat="false" ht="19.5" hidden="false" customHeight="true" outlineLevel="0" collapsed="false">
      <c r="B2" s="2" t="s">
        <v>209</v>
      </c>
      <c r="C2" s="2"/>
      <c r="D2" s="2"/>
      <c r="E2" s="2"/>
    </row>
    <row r="4" customFormat="false" ht="21.75" hidden="false" customHeight="true" outlineLevel="0" collapsed="false">
      <c r="B4" s="8" t="s">
        <v>68</v>
      </c>
      <c r="C4" s="8" t="s">
        <v>210</v>
      </c>
      <c r="D4" s="8" t="s">
        <v>211</v>
      </c>
      <c r="E4" s="8" t="s">
        <v>212</v>
      </c>
    </row>
    <row r="5" customFormat="false" ht="30" hidden="false" customHeight="true" outlineLevel="0" collapsed="false">
      <c r="B5" s="9" t="n">
        <v>1</v>
      </c>
      <c r="C5" s="6" t="s">
        <v>213</v>
      </c>
      <c r="D5" s="11"/>
      <c r="E5" s="5"/>
    </row>
    <row r="6" customFormat="false" ht="30" hidden="false" customHeight="true" outlineLevel="0" collapsed="false">
      <c r="B6" s="9" t="n">
        <v>2</v>
      </c>
      <c r="C6" s="6" t="s">
        <v>214</v>
      </c>
      <c r="D6" s="11"/>
      <c r="E6" s="5"/>
    </row>
    <row r="7" customFormat="false" ht="30" hidden="false" customHeight="true" outlineLevel="0" collapsed="false">
      <c r="B7" s="9" t="n">
        <v>3</v>
      </c>
      <c r="C7" s="6" t="s">
        <v>215</v>
      </c>
      <c r="D7" s="11"/>
      <c r="E7" s="5"/>
    </row>
    <row r="8" customFormat="false" ht="30" hidden="false" customHeight="true" outlineLevel="0" collapsed="false">
      <c r="B8" s="9" t="n">
        <v>4</v>
      </c>
      <c r="C8" s="6" t="s">
        <v>216</v>
      </c>
      <c r="D8" s="11"/>
      <c r="E8" s="5"/>
    </row>
    <row r="9" customFormat="false" ht="30" hidden="false" customHeight="true" outlineLevel="0" collapsed="false">
      <c r="B9" s="9" t="n">
        <v>5</v>
      </c>
      <c r="C9" s="6" t="s">
        <v>217</v>
      </c>
      <c r="D9" s="11"/>
      <c r="E9" s="5"/>
    </row>
    <row r="10" customFormat="false" ht="30" hidden="false" customHeight="true" outlineLevel="0" collapsed="false">
      <c r="B10" s="9" t="n">
        <v>6</v>
      </c>
      <c r="C10" s="6" t="s">
        <v>218</v>
      </c>
      <c r="D10" s="11"/>
      <c r="E10" s="5"/>
    </row>
    <row r="11" customFormat="false" ht="30" hidden="false" customHeight="true" outlineLevel="0" collapsed="false">
      <c r="B11" s="9" t="n">
        <v>7</v>
      </c>
      <c r="C11" s="6" t="s">
        <v>219</v>
      </c>
      <c r="D11" s="11"/>
      <c r="E11" s="5"/>
    </row>
    <row r="12" customFormat="false" ht="30" hidden="false" customHeight="true" outlineLevel="0" collapsed="false">
      <c r="B12" s="9" t="n">
        <v>8</v>
      </c>
      <c r="C12" s="6" t="s">
        <v>220</v>
      </c>
      <c r="D12" s="11"/>
      <c r="E12" s="5"/>
    </row>
    <row r="13" customFormat="false" ht="30" hidden="false" customHeight="true" outlineLevel="0" collapsed="false">
      <c r="B13" s="9" t="n">
        <v>9</v>
      </c>
      <c r="C13" s="6" t="s">
        <v>221</v>
      </c>
      <c r="D13" s="11"/>
      <c r="E13" s="5"/>
    </row>
    <row r="14" customFormat="false" ht="30" hidden="false" customHeight="true" outlineLevel="0" collapsed="false">
      <c r="B14" s="9" t="n">
        <v>10</v>
      </c>
      <c r="C14" s="6" t="s">
        <v>222</v>
      </c>
      <c r="D14" s="11"/>
      <c r="E14" s="5"/>
    </row>
    <row r="15" customFormat="false" ht="30" hidden="false" customHeight="true" outlineLevel="0" collapsed="false">
      <c r="B15" s="9" t="n">
        <v>11</v>
      </c>
      <c r="C15" s="6" t="s">
        <v>223</v>
      </c>
      <c r="D15" s="11"/>
      <c r="E15" s="5"/>
    </row>
    <row r="16" customFormat="false" ht="30" hidden="false" customHeight="true" outlineLevel="0" collapsed="false">
      <c r="B16" s="9" t="n">
        <v>12</v>
      </c>
      <c r="C16" s="6" t="s">
        <v>224</v>
      </c>
      <c r="D16" s="11"/>
      <c r="E16" s="5"/>
    </row>
    <row r="18" customFormat="false" ht="21.75" hidden="false" customHeight="true" outlineLevel="0" collapsed="false">
      <c r="B18" s="13" t="s">
        <v>91</v>
      </c>
      <c r="C18" s="13"/>
      <c r="D18" s="13"/>
      <c r="E18" s="13"/>
    </row>
    <row r="19" customFormat="false" ht="19.5" hidden="false" customHeight="true" outlineLevel="0" collapsed="false">
      <c r="B19" s="14" t="s">
        <v>225</v>
      </c>
      <c r="C19" s="14"/>
      <c r="D19" s="27" t="n">
        <f aca="false">COUNTIF(D5:D16,"Sim")</f>
        <v>0</v>
      </c>
    </row>
    <row r="20" customFormat="false" ht="19.5" hidden="false" customHeight="true" outlineLevel="0" collapsed="false">
      <c r="B20" s="14" t="s">
        <v>226</v>
      </c>
      <c r="C20" s="14"/>
      <c r="D20" s="27" t="n">
        <f aca="false">COUNTIF(D5:D16,"Parcial")</f>
        <v>0</v>
      </c>
    </row>
    <row r="21" customFormat="false" ht="19.5" hidden="false" customHeight="true" outlineLevel="0" collapsed="false">
      <c r="B21" s="14" t="s">
        <v>227</v>
      </c>
      <c r="C21" s="14"/>
      <c r="D21" s="27" t="n">
        <f aca="false">COUNTIF(D5:D16,"Não")</f>
        <v>0</v>
      </c>
    </row>
    <row r="22" customFormat="false" ht="19.5" hidden="false" customHeight="true" outlineLevel="0" collapsed="false">
      <c r="B22" s="14" t="s">
        <v>228</v>
      </c>
      <c r="C22" s="14"/>
      <c r="D22" s="27" t="n">
        <f aca="false">COUNTBLANK(D5:D16)</f>
        <v>12</v>
      </c>
    </row>
    <row r="23" customFormat="false" ht="19.5" hidden="false" customHeight="true" outlineLevel="0" collapsed="false">
      <c r="B23" s="14" t="s">
        <v>229</v>
      </c>
      <c r="C23" s="14"/>
      <c r="D23" s="31" t="n">
        <f aca="false">D19/ROWS(D5:D16)</f>
        <v>0</v>
      </c>
    </row>
    <row r="24" customFormat="false" ht="19.5" hidden="false" customHeight="true" outlineLevel="0" collapsed="false">
      <c r="B24" s="14" t="s">
        <v>140</v>
      </c>
      <c r="C24" s="14"/>
      <c r="D24" s="27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4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232</v>
      </c>
      <c r="C4" s="4"/>
      <c r="D4" s="4"/>
      <c r="E4" s="32" t="s">
        <v>233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customFormat="false" ht="19.5" hidden="false" customHeight="true" outlineLevel="0" collapsed="false">
      <c r="B5" s="4" t="s">
        <v>195</v>
      </c>
      <c r="C5" s="4"/>
      <c r="D5" s="4"/>
      <c r="E5" s="32" t="s">
        <v>234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customFormat="false" ht="19.5" hidden="false" customHeight="true" outlineLevel="0" collapsed="false">
      <c r="B6" s="4" t="s">
        <v>235</v>
      </c>
      <c r="C6" s="4"/>
      <c r="D6" s="4"/>
      <c r="E6" s="32" t="s">
        <v>236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customFormat="false" ht="19.5" hidden="false" customHeight="true" outlineLevel="0" collapsed="false">
      <c r="B7" s="4" t="s">
        <v>237</v>
      </c>
      <c r="C7" s="4"/>
      <c r="D7" s="4"/>
      <c r="E7" s="32" t="s">
        <v>238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customFormat="false" ht="19.5" hidden="false" customHeight="true" outlineLevel="0" collapsed="false">
      <c r="B8" s="4" t="s">
        <v>239</v>
      </c>
      <c r="C8" s="4"/>
      <c r="D8" s="4"/>
      <c r="E8" s="32" t="s">
        <v>240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customFormat="false" ht="19.5" hidden="false" customHeight="true" outlineLevel="0" collapsed="false">
      <c r="B9" s="4" t="s">
        <v>160</v>
      </c>
      <c r="C9" s="4"/>
      <c r="D9" s="4"/>
      <c r="E9" s="32" t="s">
        <v>241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customFormat="false" ht="19.5" hidden="false" customHeight="true" outlineLevel="0" collapsed="false">
      <c r="B10" s="4" t="s">
        <v>242</v>
      </c>
      <c r="C10" s="4"/>
      <c r="D10" s="4"/>
      <c r="E10" s="32" t="s">
        <v>243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2" customFormat="false" ht="21.75" hidden="false" customHeight="true" outlineLevel="0" collapsed="false">
      <c r="B12" s="33" t="s">
        <v>244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customFormat="false" ht="30" hidden="false" customHeight="true" outlineLevel="0" collapsed="false">
      <c r="B13" s="27" t="s">
        <v>96</v>
      </c>
      <c r="C13" s="27" t="s">
        <v>245</v>
      </c>
      <c r="D13" s="27" t="s">
        <v>98</v>
      </c>
      <c r="E13" s="27" t="s">
        <v>99</v>
      </c>
      <c r="F13" s="27" t="s">
        <v>246</v>
      </c>
      <c r="G13" s="27" t="s">
        <v>247</v>
      </c>
      <c r="H13" s="27" t="s">
        <v>102</v>
      </c>
      <c r="I13" s="27" t="s">
        <v>69</v>
      </c>
      <c r="J13" s="27" t="s">
        <v>103</v>
      </c>
      <c r="K13" s="34" t="s">
        <v>104</v>
      </c>
      <c r="L13" s="34"/>
      <c r="M13" s="27" t="s">
        <v>248</v>
      </c>
      <c r="N13" s="34" t="s">
        <v>106</v>
      </c>
      <c r="O13" s="34"/>
      <c r="P13" s="34"/>
      <c r="Q13" s="27" t="s">
        <v>74</v>
      </c>
    </row>
    <row r="14" customFormat="false" ht="21.75" hidden="false" customHeight="true" outlineLevel="0" collapsed="false">
      <c r="B14" s="35" t="n">
        <v>46461</v>
      </c>
      <c r="C14" s="36" t="s">
        <v>249</v>
      </c>
      <c r="D14" s="7" t="s">
        <v>250</v>
      </c>
      <c r="E14" s="37" t="n">
        <v>8</v>
      </c>
      <c r="F14" s="37" t="n">
        <v>8</v>
      </c>
      <c r="G14" s="37" t="n">
        <v>0</v>
      </c>
      <c r="H14" s="22" t="str">
        <f aca="false">IF(C14="","",IF(OR(E14="",F14=""),"Falta o número de verificações",IF(F14&gt;E14,"Feitas acima das previstas",IF(F14&lt;E14,"Verificação pendente",IF(N(G14)&gt;0,"Com desvio","Conforme")))))</f>
        <v>Conforme</v>
      </c>
      <c r="I14" s="37" t="s">
        <v>251</v>
      </c>
      <c r="J14" s="7" t="s">
        <v>252</v>
      </c>
      <c r="K14" s="7"/>
      <c r="L14" s="7"/>
      <c r="M14" s="37"/>
      <c r="N14" s="7"/>
      <c r="O14" s="7"/>
      <c r="P14" s="7"/>
      <c r="Q14" s="12" t="str">
        <f aca="false">IF(C14="","",IF(I14="","Falta a decisão",IF(OR(LEFT(H14,5)="Falta",LEFT(H14,5)="Feita"),H14,IF(AND(F14&lt;E14,I14="Liberado"),"Liberado com verificação pendente",IF(AND(I14="Liberado com autorização",K14=""),"Falta quem autorizou",IF(AND(N(G14)&gt;0,M14=""),"Desvio sem registro de não conforme",IF(AND(I14="Retido",M14=""),"Retido sem registro de não conforme",IF(AND(I14&lt;&gt;"Retido",J14=""),"Falta quem liberou","OK"))))))))</f>
        <v>OK</v>
      </c>
    </row>
    <row r="15" customFormat="false" ht="21.75" hidden="false" customHeight="true" outlineLevel="0" collapsed="false">
      <c r="B15" s="35" t="n">
        <v>46462</v>
      </c>
      <c r="C15" s="36" t="s">
        <v>253</v>
      </c>
      <c r="D15" s="7" t="s">
        <v>254</v>
      </c>
      <c r="E15" s="37" t="n">
        <v>8</v>
      </c>
      <c r="F15" s="37" t="n">
        <v>8</v>
      </c>
      <c r="G15" s="37" t="n">
        <v>1</v>
      </c>
      <c r="H15" s="22" t="str">
        <f aca="false">IF(C15="","",IF(OR(E15="",F15=""),"Falta o número de verificações",IF(F15&gt;E15,"Feitas acima das previstas",IF(F15&lt;E15,"Verificação pendente",IF(N(G15)&gt;0,"Com desvio","Conforme")))))</f>
        <v>Com desvio</v>
      </c>
      <c r="I15" s="37" t="s">
        <v>251</v>
      </c>
      <c r="J15" s="7" t="s">
        <v>252</v>
      </c>
      <c r="K15" s="7"/>
      <c r="L15" s="7"/>
      <c r="M15" s="37" t="s">
        <v>255</v>
      </c>
      <c r="N15" s="7"/>
      <c r="O15" s="7"/>
      <c r="P15" s="7"/>
      <c r="Q15" s="12" t="str">
        <f aca="false">IF(C15="","",IF(I15="","Falta a decisão",IF(OR(LEFT(H15,5)="Falta",LEFT(H15,5)="Feita"),H15,IF(AND(F15&lt;E15,I15="Liberado"),"Liberado com verificação pendente",IF(AND(I15="Liberado com autorização",K15=""),"Falta quem autorizou",IF(AND(N(G15)&gt;0,M15=""),"Desvio sem registro de não conforme",IF(AND(I15="Retido",M15=""),"Retido sem registro de não conforme",IF(AND(I15&lt;&gt;"Retido",J15=""),"Falta quem liberou","OK"))))))))</f>
        <v>OK</v>
      </c>
    </row>
    <row r="16" customFormat="false" ht="21.75" hidden="false" customHeight="true" outlineLevel="0" collapsed="false">
      <c r="B16" s="35" t="n">
        <v>46463</v>
      </c>
      <c r="C16" s="36" t="s">
        <v>256</v>
      </c>
      <c r="D16" s="7" t="s">
        <v>257</v>
      </c>
      <c r="E16" s="37" t="n">
        <v>8</v>
      </c>
      <c r="F16" s="37" t="n">
        <v>8</v>
      </c>
      <c r="G16" s="37" t="n">
        <v>0</v>
      </c>
      <c r="H16" s="22" t="str">
        <f aca="false">IF(C16="","",IF(OR(E16="",F16=""),"Falta o número de verificações",IF(F16&gt;E16,"Feitas acima das previstas",IF(F16&lt;E16,"Verificação pendente",IF(N(G16)&gt;0,"Com desvio","Conforme")))))</f>
        <v>Conforme</v>
      </c>
      <c r="I16" s="37" t="s">
        <v>251</v>
      </c>
      <c r="J16" s="7" t="s">
        <v>252</v>
      </c>
      <c r="K16" s="7"/>
      <c r="L16" s="7"/>
      <c r="M16" s="37"/>
      <c r="N16" s="7"/>
      <c r="O16" s="7"/>
      <c r="P16" s="7"/>
      <c r="Q16" s="12" t="str">
        <f aca="false">IF(C16="","",IF(I16="","Falta a decisão",IF(OR(LEFT(H16,5)="Falta",LEFT(H16,5)="Feita"),H16,IF(AND(F16&lt;E16,I16="Liberado"),"Liberado com verificação pendente",IF(AND(I16="Liberado com autorização",K16=""),"Falta quem autorizou",IF(AND(N(G16)&gt;0,M16=""),"Desvio sem registro de não conforme",IF(AND(I16="Retido",M16=""),"Retido sem registro de não conforme",IF(AND(I16&lt;&gt;"Retido",J16=""),"Falta quem liberou","OK"))))))))</f>
        <v>OK</v>
      </c>
    </row>
    <row r="17" customFormat="false" ht="21.75" hidden="false" customHeight="true" outlineLevel="0" collapsed="false">
      <c r="B17" s="35" t="n">
        <v>46464</v>
      </c>
      <c r="C17" s="36" t="s">
        <v>258</v>
      </c>
      <c r="D17" s="7" t="s">
        <v>259</v>
      </c>
      <c r="E17" s="37" t="n">
        <v>8</v>
      </c>
      <c r="F17" s="37" t="n">
        <v>8</v>
      </c>
      <c r="G17" s="37" t="n">
        <v>1</v>
      </c>
      <c r="H17" s="22" t="str">
        <f aca="false">IF(C17="","",IF(OR(E17="",F17=""),"Falta o número de verificações",IF(F17&gt;E17,"Feitas acima das previstas",IF(F17&lt;E17,"Verificação pendente",IF(N(G17)&gt;0,"Com desvio","Conforme")))))</f>
        <v>Com desvio</v>
      </c>
      <c r="I17" s="37" t="s">
        <v>251</v>
      </c>
      <c r="J17" s="7" t="s">
        <v>252</v>
      </c>
      <c r="K17" s="7"/>
      <c r="L17" s="7"/>
      <c r="M17" s="37" t="s">
        <v>260</v>
      </c>
      <c r="N17" s="7"/>
      <c r="O17" s="7"/>
      <c r="P17" s="7"/>
      <c r="Q17" s="12" t="str">
        <f aca="false">IF(C17="","",IF(I17="","Falta a decisão",IF(OR(LEFT(H17,5)="Falta",LEFT(H17,5)="Feita"),H17,IF(AND(F17&lt;E17,I17="Liberado"),"Liberado com verificação pendente",IF(AND(I17="Liberado com autorização",K17=""),"Falta quem autorizou",IF(AND(N(G17)&gt;0,M17=""),"Desvio sem registro de não conforme",IF(AND(I17="Retido",M17=""),"Retido sem registro de não conforme",IF(AND(I17&lt;&gt;"Retido",J17=""),"Falta quem liberou","OK"))))))))</f>
        <v>OK</v>
      </c>
    </row>
    <row r="18" customFormat="false" ht="30.75" hidden="false" customHeight="true" outlineLevel="0" collapsed="false">
      <c r="B18" s="35" t="n">
        <v>46465</v>
      </c>
      <c r="C18" s="36" t="s">
        <v>261</v>
      </c>
      <c r="D18" s="7" t="s">
        <v>262</v>
      </c>
      <c r="E18" s="37" t="n">
        <v>8</v>
      </c>
      <c r="F18" s="37" t="n">
        <v>8</v>
      </c>
      <c r="G18" s="37" t="n">
        <v>2</v>
      </c>
      <c r="H18" s="22" t="str">
        <f aca="false">IF(C18="","",IF(OR(E18="",F18=""),"Falta o número de verificações",IF(F18&gt;E18,"Feitas acima das previstas",IF(F18&lt;E18,"Verificação pendente",IF(N(G18)&gt;0,"Com desvio","Conforme")))))</f>
        <v>Com desvio</v>
      </c>
      <c r="I18" s="37" t="s">
        <v>251</v>
      </c>
      <c r="J18" s="7" t="s">
        <v>252</v>
      </c>
      <c r="K18" s="7"/>
      <c r="L18" s="7"/>
      <c r="M18" s="37" t="s">
        <v>263</v>
      </c>
      <c r="N18" s="7"/>
      <c r="O18" s="7"/>
      <c r="P18" s="7"/>
      <c r="Q18" s="12" t="str">
        <f aca="false">IF(C18="","",IF(I18="","Falta a decisão",IF(OR(LEFT(H18,5)="Falta",LEFT(H18,5)="Feita"),H18,IF(AND(F18&lt;E18,I18="Liberado"),"Liberado com verificação pendente",IF(AND(I18="Liberado com autorização",K18=""),"Falta quem autorizou",IF(AND(N(G18)&gt;0,M18=""),"Desvio sem registro de não conforme",IF(AND(I18="Retido",M18=""),"Retido sem registro de não conforme",IF(AND(I18&lt;&gt;"Retido",J18=""),"Falta quem liberou","OK"))))))))</f>
        <v>OK</v>
      </c>
    </row>
    <row r="19" customFormat="false" ht="30.75" hidden="false" customHeight="true" outlineLevel="0" collapsed="false">
      <c r="B19" s="35" t="n">
        <v>46466</v>
      </c>
      <c r="C19" s="36" t="s">
        <v>264</v>
      </c>
      <c r="D19" s="7" t="s">
        <v>265</v>
      </c>
      <c r="E19" s="37" t="n">
        <v>8</v>
      </c>
      <c r="F19" s="37" t="n">
        <v>7</v>
      </c>
      <c r="G19" s="37" t="n">
        <v>1</v>
      </c>
      <c r="H19" s="22" t="str">
        <f aca="false">IF(C19="","",IF(OR(E19="",F19=""),"Falta o número de verificações",IF(F19&gt;E19,"Feitas acima das previstas",IF(F19&lt;E19,"Verificação pendente",IF(N(G19)&gt;0,"Com desvio","Conforme")))))</f>
        <v>Verificação pendente</v>
      </c>
      <c r="I19" s="37" t="s">
        <v>251</v>
      </c>
      <c r="J19" s="7" t="s">
        <v>252</v>
      </c>
      <c r="K19" s="7"/>
      <c r="L19" s="7"/>
      <c r="M19" s="37" t="s">
        <v>150</v>
      </c>
      <c r="N19" s="7" t="s">
        <v>266</v>
      </c>
      <c r="O19" s="7"/>
      <c r="P19" s="7"/>
      <c r="Q19" s="12" t="str">
        <f aca="false">IF(C19="","",IF(I19="","Falta a decisão",IF(OR(LEFT(H19,5)="Falta",LEFT(H19,5)="Feita"),H19,IF(AND(F19&lt;E19,I19="Liberado"),"Liberado com verificação pendente",IF(AND(I19="Liberado com autorização",K19=""),"Falta quem autorizou",IF(AND(N(G19)&gt;0,M19=""),"Desvio sem registro de não conforme",IF(AND(I19="Retido",M19=""),"Retido sem registro de não conforme",IF(AND(I19&lt;&gt;"Retido",J19=""),"Falta quem liberou","OK"))))))))</f>
        <v>Liberado com verificação pendente</v>
      </c>
    </row>
    <row r="20" customFormat="false" ht="21.75" hidden="false" customHeight="true" outlineLevel="0" collapsed="false">
      <c r="B20" s="35" t="n">
        <v>46467</v>
      </c>
      <c r="C20" s="36" t="s">
        <v>267</v>
      </c>
      <c r="D20" s="7" t="s">
        <v>268</v>
      </c>
      <c r="E20" s="37" t="n">
        <v>8</v>
      </c>
      <c r="F20" s="37" t="n">
        <v>8</v>
      </c>
      <c r="G20" s="37" t="n">
        <v>0</v>
      </c>
      <c r="H20" s="22" t="str">
        <f aca="false">IF(C20="","",IF(OR(E20="",F20=""),"Falta o número de verificações",IF(F20&gt;E20,"Feitas acima das previstas",IF(F20&lt;E20,"Verificação pendente",IF(N(G20)&gt;0,"Com desvio","Conforme")))))</f>
        <v>Conforme</v>
      </c>
      <c r="I20" s="37" t="s">
        <v>251</v>
      </c>
      <c r="J20" s="7" t="s">
        <v>252</v>
      </c>
      <c r="K20" s="7"/>
      <c r="L20" s="7"/>
      <c r="M20" s="37"/>
      <c r="N20" s="7"/>
      <c r="O20" s="7"/>
      <c r="P20" s="7"/>
      <c r="Q20" s="12" t="str">
        <f aca="false">IF(C20="","",IF(I20="","Falta a decisão",IF(OR(LEFT(H20,5)="Falta",LEFT(H20,5)="Feita"),H20,IF(AND(F20&lt;E20,I20="Liberado"),"Liberado com verificação pendente",IF(AND(I20="Liberado com autorização",K20=""),"Falta quem autorizou",IF(AND(N(G20)&gt;0,M20=""),"Desvio sem registro de não conforme",IF(AND(I20="Retido",M20=""),"Retido sem registro de não conforme",IF(AND(I20&lt;&gt;"Retido",J20=""),"Falta quem liberou","OK"))))))))</f>
        <v>OK</v>
      </c>
    </row>
    <row r="22" customFormat="false" ht="21.75" hidden="false" customHeight="true" outlineLevel="0" collapsed="false">
      <c r="B22" s="38" t="s">
        <v>46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customFormat="false" ht="30" hidden="false" customHeight="true" outlineLevel="0" collapsed="false">
      <c r="B23" s="27" t="s">
        <v>269</v>
      </c>
      <c r="C23" s="27" t="s">
        <v>96</v>
      </c>
      <c r="D23" s="27" t="s">
        <v>97</v>
      </c>
      <c r="E23" s="27" t="s">
        <v>129</v>
      </c>
      <c r="F23" s="27" t="s">
        <v>131</v>
      </c>
      <c r="G23" s="27" t="s">
        <v>132</v>
      </c>
      <c r="H23" s="27" t="s">
        <v>133</v>
      </c>
      <c r="I23" s="27" t="s">
        <v>134</v>
      </c>
      <c r="J23" s="27" t="s">
        <v>135</v>
      </c>
      <c r="K23" s="27" t="s">
        <v>270</v>
      </c>
      <c r="L23" s="27" t="s">
        <v>137</v>
      </c>
      <c r="M23" s="27" t="s">
        <v>138</v>
      </c>
      <c r="N23" s="27" t="s">
        <v>61</v>
      </c>
      <c r="O23" s="27" t="s">
        <v>139</v>
      </c>
      <c r="P23" s="27" t="s">
        <v>140</v>
      </c>
      <c r="Q23" s="27" t="s">
        <v>74</v>
      </c>
    </row>
    <row r="24" customFormat="false" ht="30.75" hidden="false" customHeight="true" outlineLevel="0" collapsed="false">
      <c r="B24" s="39" t="s">
        <v>271</v>
      </c>
      <c r="C24" s="35" t="n">
        <v>46461</v>
      </c>
      <c r="D24" s="7" t="s">
        <v>272</v>
      </c>
      <c r="E24" s="36" t="s">
        <v>273</v>
      </c>
      <c r="F24" s="37" t="s">
        <v>274</v>
      </c>
      <c r="G24" s="37" t="s">
        <v>155</v>
      </c>
      <c r="H24" s="7"/>
      <c r="I24" s="37"/>
      <c r="J24" s="7"/>
      <c r="K24" s="7"/>
      <c r="L24" s="37"/>
      <c r="M24" s="35"/>
      <c r="N24" s="40"/>
      <c r="O24" s="7"/>
      <c r="P24" s="22" t="str">
        <f aca="false">IF(E24="","",IF(I24="","Aberto",IF(M24="","Em tratamento","Encerrado")))</f>
        <v>Aberto</v>
      </c>
      <c r="Q24" s="12" t="str">
        <f aca="false">IF(E24="",IF(1&gt;0,"Falta o defeito",""),IF(C24="","Falta a data",IF(G24="","Falta onde foi visto",IF(I24="","Falta a disposição",IF(J24="","Falta quem decidiu",IF(AND(H24="",G24&lt;&gt;"Após a entrega"),"Falta a identificação e a segregação",IF(AND(I24="Aceitar sob concessão",K24=""),"Falta a concessão do cliente",IF(AND(G24="Após a entrega",K24=""),"Falta informar o cliente",IF(AND(I24="Retrabalhar",L24=""),"Falta a reverificação",IF(AND(L24="Não conforme",M24&lt;&gt;""),"Encerrado com reverificação não conforme",IF(AND(COUNTIF($E$24:$E$31,E24)&gt;=3,COUNTIFS($E$24:$E$31,E24,$O$24:$O$31,"?*")=0),"Defeito repetido: avaliar ação corretiva","OK")))))))))))</f>
        <v>Falta a disposição</v>
      </c>
    </row>
    <row r="25" customFormat="false" ht="30.75" hidden="false" customHeight="true" outlineLevel="0" collapsed="false">
      <c r="B25" s="39" t="s">
        <v>255</v>
      </c>
      <c r="C25" s="35" t="n">
        <v>46462</v>
      </c>
      <c r="D25" s="7" t="s">
        <v>275</v>
      </c>
      <c r="E25" s="36" t="s">
        <v>276</v>
      </c>
      <c r="F25" s="37" t="s">
        <v>274</v>
      </c>
      <c r="G25" s="37" t="s">
        <v>155</v>
      </c>
      <c r="H25" s="7" t="s">
        <v>277</v>
      </c>
      <c r="I25" s="37" t="s">
        <v>85</v>
      </c>
      <c r="J25" s="7" t="s">
        <v>278</v>
      </c>
      <c r="K25" s="7"/>
      <c r="L25" s="37"/>
      <c r="M25" s="35" t="n">
        <v>46462</v>
      </c>
      <c r="N25" s="40" t="n">
        <v>28</v>
      </c>
      <c r="O25" s="7"/>
      <c r="P25" s="22" t="str">
        <f aca="false">IF(E25="","",IF(I25="","Aberto",IF(M25="","Em tratamento","Encerrado")))</f>
        <v>Encerrado</v>
      </c>
      <c r="Q25" s="12" t="str">
        <f aca="false">IF(E25="",IF(1&gt;0,"Falta o defeito",""),IF(C25="","Falta a data",IF(G25="","Falta onde foi visto",IF(I25="","Falta a disposição",IF(J25="","Falta quem decidiu",IF(AND(H25="",G25&lt;&gt;"Após a entrega"),"Falta a identificação e a segregação",IF(AND(I25="Aceitar sob concessão",K25=""),"Falta a concessão do cliente",IF(AND(G25="Após a entrega",K25=""),"Falta informar o cliente",IF(AND(I25="Retrabalhar",L25=""),"Falta a reverificação",IF(AND(L25="Não conforme",M25&lt;&gt;""),"Encerrado com reverificação não conforme",IF(AND(COUNTIF($E$24:$E$31,E25)&gt;=3,COUNTIFS($E$24:$E$31,E25,$O$24:$O$31,"?*")=0),"Defeito repetido: avaliar ação corretiva","OK")))))))))))</f>
        <v>OK</v>
      </c>
    </row>
    <row r="26" customFormat="false" ht="66.75" hidden="false" customHeight="true" outlineLevel="0" collapsed="false">
      <c r="B26" s="39" t="s">
        <v>279</v>
      </c>
      <c r="C26" s="35" t="n">
        <v>46463</v>
      </c>
      <c r="D26" s="7" t="s">
        <v>280</v>
      </c>
      <c r="E26" s="36" t="s">
        <v>281</v>
      </c>
      <c r="F26" s="37" t="s">
        <v>282</v>
      </c>
      <c r="G26" s="37" t="s">
        <v>193</v>
      </c>
      <c r="H26" s="7" t="s">
        <v>283</v>
      </c>
      <c r="I26" s="37" t="s">
        <v>87</v>
      </c>
      <c r="J26" s="7" t="s">
        <v>284</v>
      </c>
      <c r="K26" s="7"/>
      <c r="L26" s="37"/>
      <c r="M26" s="35" t="n">
        <v>46463</v>
      </c>
      <c r="N26" s="40" t="n">
        <v>0</v>
      </c>
      <c r="O26" s="7"/>
      <c r="P26" s="22" t="str">
        <f aca="false">IF(E26="","",IF(I26="","Aberto",IF(M26="","Em tratamento","Encerrado")))</f>
        <v>Encerrado</v>
      </c>
      <c r="Q26" s="12" t="str">
        <f aca="false">IF(E26="",IF(1&gt;0,"Falta o defeito",""),IF(C26="","Falta a data",IF(G26="","Falta onde foi visto",IF(I26="","Falta a disposição",IF(J26="","Falta quem decidiu",IF(AND(H26="",G26&lt;&gt;"Após a entrega"),"Falta a identificação e a segregação",IF(AND(I26="Aceitar sob concessão",K26=""),"Falta a concessão do cliente",IF(AND(G26="Após a entrega",K26=""),"Falta informar o cliente",IF(AND(I26="Retrabalhar",L26=""),"Falta a reverificação",IF(AND(L26="Não conforme",M26&lt;&gt;""),"Encerrado com reverificação não conforme",IF(AND(COUNTIF($E$24:$E$31,E26)&gt;=3,COUNTIFS($E$24:$E$31,E26,$O$24:$O$31,"?*")=0),"Defeito repetido: avaliar ação corretiva","OK")))))))))))</f>
        <v>OK</v>
      </c>
    </row>
    <row r="27" customFormat="false" ht="30.75" hidden="false" customHeight="true" outlineLevel="0" collapsed="false">
      <c r="B27" s="39" t="s">
        <v>260</v>
      </c>
      <c r="C27" s="35" t="n">
        <v>46464</v>
      </c>
      <c r="D27" s="7" t="s">
        <v>285</v>
      </c>
      <c r="E27" s="36" t="s">
        <v>286</v>
      </c>
      <c r="F27" s="37" t="s">
        <v>287</v>
      </c>
      <c r="G27" s="37" t="s">
        <v>195</v>
      </c>
      <c r="H27" s="7" t="s">
        <v>288</v>
      </c>
      <c r="I27" s="37" t="s">
        <v>79</v>
      </c>
      <c r="J27" s="7" t="s">
        <v>278</v>
      </c>
      <c r="K27" s="7"/>
      <c r="L27" s="37" t="s">
        <v>14</v>
      </c>
      <c r="M27" s="35" t="n">
        <v>46464</v>
      </c>
      <c r="N27" s="40" t="n">
        <v>0</v>
      </c>
      <c r="O27" s="7"/>
      <c r="P27" s="22" t="str">
        <f aca="false">IF(E27="","",IF(I27="","Aberto",IF(M27="","Em tratamento","Encerrado")))</f>
        <v>Encerrado</v>
      </c>
      <c r="Q27" s="12" t="str">
        <f aca="false">IF(E27="",IF(1&gt;0,"Falta o defeito",""),IF(C27="","Falta a data",IF(G27="","Falta onde foi visto",IF(I27="","Falta a disposição",IF(J27="","Falta quem decidiu",IF(AND(H27="",G27&lt;&gt;"Após a entrega"),"Falta a identificação e a segregação",IF(AND(I27="Aceitar sob concessão",K27=""),"Falta a concessão do cliente",IF(AND(G27="Após a entrega",K27=""),"Falta informar o cliente",IF(AND(I27="Retrabalhar",L27=""),"Falta a reverificação",IF(AND(L27="Não conforme",M27&lt;&gt;""),"Encerrado com reverificação não conforme",IF(AND(COUNTIF($E$24:$E$31,E27)&gt;=3,COUNTIFS($E$24:$E$31,E27,$O$24:$O$31,"?*")=0),"Defeito repetido: avaliar ação corretiva","OK")))))))))))</f>
        <v>OK</v>
      </c>
    </row>
    <row r="28" customFormat="false" ht="42.75" hidden="false" customHeight="true" outlineLevel="0" collapsed="false">
      <c r="B28" s="39" t="s">
        <v>289</v>
      </c>
      <c r="C28" s="35" t="n">
        <v>46465</v>
      </c>
      <c r="D28" s="7" t="s">
        <v>290</v>
      </c>
      <c r="E28" s="36" t="s">
        <v>291</v>
      </c>
      <c r="F28" s="37" t="s">
        <v>274</v>
      </c>
      <c r="G28" s="37" t="s">
        <v>155</v>
      </c>
      <c r="H28" s="7" t="s">
        <v>292</v>
      </c>
      <c r="I28" s="37" t="s">
        <v>83</v>
      </c>
      <c r="J28" s="7" t="s">
        <v>284</v>
      </c>
      <c r="K28" s="7" t="s">
        <v>293</v>
      </c>
      <c r="L28" s="37"/>
      <c r="M28" s="35" t="n">
        <v>46465</v>
      </c>
      <c r="N28" s="40" t="n">
        <v>11</v>
      </c>
      <c r="O28" s="7"/>
      <c r="P28" s="22" t="str">
        <f aca="false">IF(E28="","",IF(I28="","Aberto",IF(M28="","Em tratamento","Encerrado")))</f>
        <v>Encerrado</v>
      </c>
      <c r="Q28" s="12" t="str">
        <f aca="false">IF(E28="",IF(1&gt;0,"Falta o defeito",""),IF(C28="","Falta a data",IF(G28="","Falta onde foi visto",IF(I28="","Falta a disposição",IF(J28="","Falta quem decidiu",IF(AND(H28="",G28&lt;&gt;"Após a entrega"),"Falta a identificação e a segregação",IF(AND(I28="Aceitar sob concessão",K28=""),"Falta a concessão do cliente",IF(AND(G28="Após a entrega",K28=""),"Falta informar o cliente",IF(AND(I28="Retrabalhar",L28=""),"Falta a reverificação",IF(AND(L28="Não conforme",M28&lt;&gt;""),"Encerrado com reverificação não conforme",IF(AND(COUNTIF($E$24:$E$31,E28)&gt;=3,COUNTIFS($E$24:$E$31,E28,$O$24:$O$31,"?*")=0),"Defeito repetido: avaliar ação corretiva","OK")))))))))))</f>
        <v>OK</v>
      </c>
    </row>
    <row r="29" customFormat="false" ht="42.75" hidden="false" customHeight="true" outlineLevel="0" collapsed="false">
      <c r="B29" s="39" t="s">
        <v>294</v>
      </c>
      <c r="C29" s="35" t="n">
        <v>46465</v>
      </c>
      <c r="D29" s="7" t="s">
        <v>295</v>
      </c>
      <c r="E29" s="36" t="s">
        <v>273</v>
      </c>
      <c r="F29" s="37" t="s">
        <v>274</v>
      </c>
      <c r="G29" s="37" t="s">
        <v>155</v>
      </c>
      <c r="H29" s="7" t="s">
        <v>296</v>
      </c>
      <c r="I29" s="37" t="s">
        <v>79</v>
      </c>
      <c r="J29" s="7" t="s">
        <v>252</v>
      </c>
      <c r="K29" s="7"/>
      <c r="L29" s="37" t="s">
        <v>14</v>
      </c>
      <c r="M29" s="35" t="n">
        <v>46465</v>
      </c>
      <c r="N29" s="40" t="n">
        <v>0</v>
      </c>
      <c r="O29" s="7"/>
      <c r="P29" s="22" t="str">
        <f aca="false">IF(E29="","",IF(I29="","Aberto",IF(M29="","Em tratamento","Encerrado")))</f>
        <v>Encerrado</v>
      </c>
      <c r="Q29" s="12" t="str">
        <f aca="false">IF(E29="",IF(1&gt;0,"Falta o defeito",""),IF(C29="","Falta a data",IF(G29="","Falta onde foi visto",IF(I29="","Falta a disposição",IF(J29="","Falta quem decidiu",IF(AND(H29="",G29&lt;&gt;"Após a entrega"),"Falta a identificação e a segregação",IF(AND(I29="Aceitar sob concessão",K29=""),"Falta a concessão do cliente",IF(AND(G29="Após a entrega",K29=""),"Falta informar o cliente",IF(AND(I29="Retrabalhar",L29=""),"Falta a reverificação",IF(AND(L29="Não conforme",M29&lt;&gt;""),"Encerrado com reverificação não conforme",IF(AND(COUNTIF($E$24:$E$31,E29)&gt;=3,COUNTIFS($E$24:$E$31,E29,$O$24:$O$31,"?*")=0),"Defeito repetido: avaliar ação corretiva","OK")))))))))))</f>
        <v>OK</v>
      </c>
    </row>
    <row r="30" customFormat="false" ht="42.75" hidden="false" customHeight="true" outlineLevel="0" collapsed="false">
      <c r="B30" s="39" t="s">
        <v>297</v>
      </c>
      <c r="C30" s="35" t="n">
        <v>46466</v>
      </c>
      <c r="D30" s="7" t="s">
        <v>298</v>
      </c>
      <c r="E30" s="36" t="s">
        <v>276</v>
      </c>
      <c r="F30" s="37" t="s">
        <v>274</v>
      </c>
      <c r="G30" s="37" t="s">
        <v>198</v>
      </c>
      <c r="H30" s="7"/>
      <c r="I30" s="37" t="s">
        <v>89</v>
      </c>
      <c r="J30" s="7" t="s">
        <v>284</v>
      </c>
      <c r="K30" s="7" t="s">
        <v>299</v>
      </c>
      <c r="L30" s="37"/>
      <c r="M30" s="35" t="n">
        <v>46466</v>
      </c>
      <c r="N30" s="40" t="n">
        <v>46</v>
      </c>
      <c r="O30" s="7"/>
      <c r="P30" s="22" t="str">
        <f aca="false">IF(E30="","",IF(I30="","Aberto",IF(M30="","Em tratamento","Encerrado")))</f>
        <v>Encerrado</v>
      </c>
      <c r="Q30" s="12" t="str">
        <f aca="false">IF(E30="",IF(1&gt;0,"Falta o defeito",""),IF(C30="","Falta a data",IF(G30="","Falta onde foi visto",IF(I30="","Falta a disposição",IF(J30="","Falta quem decidiu",IF(AND(H30="",G30&lt;&gt;"Após a entrega"),"Falta a identificação e a segregação",IF(AND(I30="Aceitar sob concessão",K30=""),"Falta a concessão do cliente",IF(AND(G30="Após a entrega",K30=""),"Falta informar o cliente",IF(AND(I30="Retrabalhar",L30=""),"Falta a reverificação",IF(AND(L30="Não conforme",M30&lt;&gt;""),"Encerrado com reverificação não conforme",IF(AND(COUNTIF($E$24:$E$31,E30)&gt;=3,COUNTIFS($E$24:$E$31,E30,$O$24:$O$31,"?*")=0),"Defeito repetido: avaliar ação corretiva","OK")))))))))))</f>
        <v>OK</v>
      </c>
    </row>
    <row r="31" customFormat="false" ht="30.75" hidden="false" customHeight="true" outlineLevel="0" collapsed="false">
      <c r="B31" s="39" t="s">
        <v>150</v>
      </c>
      <c r="C31" s="35" t="n">
        <v>46466</v>
      </c>
      <c r="D31" s="7" t="s">
        <v>300</v>
      </c>
      <c r="E31" s="36" t="s">
        <v>276</v>
      </c>
      <c r="F31" s="37" t="s">
        <v>274</v>
      </c>
      <c r="G31" s="37" t="s">
        <v>155</v>
      </c>
      <c r="H31" s="7" t="s">
        <v>277</v>
      </c>
      <c r="I31" s="37" t="s">
        <v>85</v>
      </c>
      <c r="J31" s="7" t="s">
        <v>278</v>
      </c>
      <c r="K31" s="7"/>
      <c r="L31" s="37"/>
      <c r="M31" s="35" t="n">
        <v>46466</v>
      </c>
      <c r="N31" s="40" t="n">
        <v>28</v>
      </c>
      <c r="O31" s="7" t="s">
        <v>301</v>
      </c>
      <c r="P31" s="22" t="str">
        <f aca="false">IF(E31="","",IF(I31="","Aberto",IF(M31="","Em tratamento","Encerrado")))</f>
        <v>Encerrado</v>
      </c>
      <c r="Q31" s="12" t="str">
        <f aca="false">IF(E31="",IF(1&gt;0,"Falta o defeito",""),IF(C31="","Falta a data",IF(G31="","Falta onde foi visto",IF(I31="","Falta a disposição",IF(J31="","Falta quem decidiu",IF(AND(H31="",G31&lt;&gt;"Após a entrega"),"Falta a identificação e a segregação",IF(AND(I31="Aceitar sob concessão",K31=""),"Falta a concessão do cliente",IF(AND(G31="Após a entrega",K31=""),"Falta informar o cliente",IF(AND(I31="Retrabalhar",L31=""),"Falta a reverificação",IF(AND(L31="Não conforme",M31&lt;&gt;""),"Encerrado com reverificação não conforme",IF(AND(COUNTIF($E$24:$E$31,E31)&gt;=3,COUNTIFS($E$24:$E$31,E31,$O$24:$O$31,"?*")=0),"Defeito repetido: avaliar ação corretiva","OK")))))))))))</f>
        <v>OK</v>
      </c>
    </row>
    <row r="33" customFormat="false" ht="21.75" hidden="false" customHeight="true" outlineLevel="0" collapsed="false">
      <c r="B33" s="41" t="s">
        <v>189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customFormat="false" ht="30" hidden="false" customHeight="true" outlineLevel="0" collapsed="false">
      <c r="B34" s="34" t="s">
        <v>190</v>
      </c>
      <c r="C34" s="34"/>
      <c r="D34" s="34"/>
      <c r="E34" s="27" t="s">
        <v>160</v>
      </c>
      <c r="F34" s="34" t="s">
        <v>61</v>
      </c>
      <c r="G34" s="34"/>
      <c r="H34" s="27" t="s">
        <v>191</v>
      </c>
      <c r="I34" s="27" t="s">
        <v>192</v>
      </c>
    </row>
    <row r="35" customFormat="false" ht="21.75" hidden="false" customHeight="true" outlineLevel="0" collapsed="false">
      <c r="B35" s="4" t="s">
        <v>193</v>
      </c>
      <c r="C35" s="4"/>
      <c r="D35" s="4"/>
      <c r="E35" s="25" t="n">
        <f aca="false">COUNTIF(G24:G31,B35)</f>
        <v>1</v>
      </c>
      <c r="F35" s="29" t="n">
        <f aca="false">SUMIF(G24:G31,B35,N24:N31)</f>
        <v>0</v>
      </c>
      <c r="G35" s="29"/>
      <c r="H35" s="28" t="n">
        <f aca="false">IF(E35=0,"",F35/E35)</f>
        <v>0</v>
      </c>
      <c r="I35" s="30" t="n">
        <f aca="false">IF(SUM(F$35:F$38)=0,"",F35/SUM(F$35:F$38))</f>
        <v>0</v>
      </c>
    </row>
    <row r="36" customFormat="false" ht="21.75" hidden="false" customHeight="true" outlineLevel="0" collapsed="false">
      <c r="B36" s="4" t="s">
        <v>195</v>
      </c>
      <c r="C36" s="4"/>
      <c r="D36" s="4"/>
      <c r="E36" s="25" t="n">
        <f aca="false">COUNTIF(G24:G31,B36)</f>
        <v>1</v>
      </c>
      <c r="F36" s="29" t="n">
        <f aca="false">SUMIF(G24:G31,B36,N24:N31)</f>
        <v>0</v>
      </c>
      <c r="G36" s="29"/>
      <c r="H36" s="28" t="n">
        <f aca="false">IF(E36=0,"",F36/E36)</f>
        <v>0</v>
      </c>
      <c r="I36" s="30" t="n">
        <f aca="false">IF(SUM(F$35:F$38)=0,"",F36/SUM(F$35:F$38))</f>
        <v>0</v>
      </c>
    </row>
    <row r="37" customFormat="false" ht="21.75" hidden="false" customHeight="true" outlineLevel="0" collapsed="false">
      <c r="B37" s="4" t="s">
        <v>155</v>
      </c>
      <c r="C37" s="4"/>
      <c r="D37" s="4"/>
      <c r="E37" s="25" t="n">
        <f aca="false">COUNTIF(G24:G31,B37)</f>
        <v>5</v>
      </c>
      <c r="F37" s="29" t="n">
        <f aca="false">SUMIF(G24:G31,B37,N24:N31)</f>
        <v>67</v>
      </c>
      <c r="G37" s="29"/>
      <c r="H37" s="28" t="n">
        <f aca="false">IF(E37=0,"",F37/E37)</f>
        <v>13.4</v>
      </c>
      <c r="I37" s="30" t="n">
        <f aca="false">IF(SUM(F$35:F$38)=0,"",F37/SUM(F$35:F$38))</f>
        <v>0.592920353982301</v>
      </c>
    </row>
    <row r="38" customFormat="false" ht="21.75" hidden="false" customHeight="true" outlineLevel="0" collapsed="false">
      <c r="B38" s="4" t="s">
        <v>198</v>
      </c>
      <c r="C38" s="4"/>
      <c r="D38" s="4"/>
      <c r="E38" s="25" t="n">
        <f aca="false">COUNTIF(G24:G31,B38)</f>
        <v>1</v>
      </c>
      <c r="F38" s="29" t="n">
        <f aca="false">SUMIF(G24:G31,B38,N24:N31)</f>
        <v>46</v>
      </c>
      <c r="G38" s="29"/>
      <c r="H38" s="28" t="n">
        <f aca="false">IF(E38=0,"",F38/E38)</f>
        <v>46</v>
      </c>
      <c r="I38" s="30" t="n">
        <f aca="false">IF(SUM(F$35:F$38)=0,"",F38/SUM(F$35:F$38))</f>
        <v>0.407079646017699</v>
      </c>
    </row>
    <row r="40" customFormat="false" ht="21.75" hidden="false" customHeight="true" outlineLevel="0" collapsed="false">
      <c r="B40" s="13" t="s">
        <v>91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customFormat="false" ht="21.75" hidden="false" customHeight="true" outlineLevel="0" collapsed="false">
      <c r="B41" s="14" t="s">
        <v>302</v>
      </c>
      <c r="C41" s="14"/>
      <c r="D41" s="14"/>
      <c r="E41" s="14"/>
      <c r="F41" s="14"/>
      <c r="G41" s="15" t="str">
        <f aca="false">COUNTA(C14:C20)&amp;" registradas, "&amp;SUMPRODUCT((Q14:Q20&lt;&gt;"OK")*1)&amp;" a rever"</f>
        <v>7 registradas, 1 a rever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Format="false" ht="21.75" hidden="false" customHeight="true" outlineLevel="0" collapsed="false">
      <c r="B42" s="14" t="s">
        <v>303</v>
      </c>
      <c r="C42" s="14"/>
      <c r="D42" s="14"/>
      <c r="E42" s="14"/>
      <c r="F42" s="14"/>
      <c r="G42" s="15" t="str">
        <f aca="false">COUNTIF(P24:P31,"Aberto")&amp;" abertos, "&amp;COUNTIF(P24:P31,"Em tratamento")&amp;" em tratamento, "&amp;COUNTIF(P24:P31,"Encerrado")&amp;" encerrados"</f>
        <v>1 abertos, 0 em tratamento, 7 encerrados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Format="false" ht="21.75" hidden="false" customHeight="true" outlineLevel="0" collapsed="false">
      <c r="B43" s="14" t="s">
        <v>185</v>
      </c>
      <c r="C43" s="14"/>
      <c r="D43" s="14"/>
      <c r="E43" s="14"/>
      <c r="F43" s="14"/>
      <c r="G43" s="15" t="n">
        <f aca="false">SUMPRODUCT((Q24:Q31&lt;&gt;"OK")*1)</f>
        <v>1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21.75" hidden="false" customHeight="true" outlineLevel="0" collapsed="false">
      <c r="B44" s="14" t="s">
        <v>183</v>
      </c>
      <c r="C44" s="14"/>
      <c r="D44" s="14"/>
      <c r="E44" s="14"/>
      <c r="F44" s="14"/>
      <c r="G44" s="26" t="n">
        <f aca="false">SUM(N24:N31)</f>
        <v>113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 customFormat="false" ht="21.75" hidden="false" customHeight="true" outlineLevel="0" collapsed="false">
      <c r="B45" s="14" t="s">
        <v>304</v>
      </c>
      <c r="C45" s="14"/>
      <c r="D45" s="14"/>
      <c r="E45" s="14"/>
      <c r="F45" s="14"/>
      <c r="G45" s="26" t="n">
        <f aca="false">SUMIF(G24:G31,"Após a entrega",N24:N31)</f>
        <v>46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</row>
  </sheetData>
  <mergeCells count="56">
    <mergeCell ref="B1:Q1"/>
    <mergeCell ref="B2:Q2"/>
    <mergeCell ref="B4:D4"/>
    <mergeCell ref="E4:Q4"/>
    <mergeCell ref="B5:D5"/>
    <mergeCell ref="E5:Q5"/>
    <mergeCell ref="B6:D6"/>
    <mergeCell ref="E6:Q6"/>
    <mergeCell ref="B7:D7"/>
    <mergeCell ref="E7:Q7"/>
    <mergeCell ref="B8:D8"/>
    <mergeCell ref="E8:Q8"/>
    <mergeCell ref="B9:D9"/>
    <mergeCell ref="E9:Q9"/>
    <mergeCell ref="B10:D10"/>
    <mergeCell ref="E10:Q10"/>
    <mergeCell ref="B12:Q12"/>
    <mergeCell ref="K13:L13"/>
    <mergeCell ref="N13:P13"/>
    <mergeCell ref="K14:L14"/>
    <mergeCell ref="N14:P14"/>
    <mergeCell ref="K15:L15"/>
    <mergeCell ref="N15:P15"/>
    <mergeCell ref="K16:L16"/>
    <mergeCell ref="N16:P16"/>
    <mergeCell ref="K17:L17"/>
    <mergeCell ref="N17:P17"/>
    <mergeCell ref="K18:L18"/>
    <mergeCell ref="N18:P18"/>
    <mergeCell ref="K19:L19"/>
    <mergeCell ref="N19:P19"/>
    <mergeCell ref="K20:L20"/>
    <mergeCell ref="N20:P20"/>
    <mergeCell ref="B22:Q22"/>
    <mergeCell ref="B33:Q33"/>
    <mergeCell ref="B34:D34"/>
    <mergeCell ref="F34:G34"/>
    <mergeCell ref="B35:D35"/>
    <mergeCell ref="F35:G35"/>
    <mergeCell ref="B36:D36"/>
    <mergeCell ref="F36:G36"/>
    <mergeCell ref="B37:D37"/>
    <mergeCell ref="F37:G37"/>
    <mergeCell ref="B38:D38"/>
    <mergeCell ref="F38:G38"/>
    <mergeCell ref="B40:Q40"/>
    <mergeCell ref="B41:F41"/>
    <mergeCell ref="G41:Q41"/>
    <mergeCell ref="B42:F42"/>
    <mergeCell ref="G42:Q42"/>
    <mergeCell ref="B43:F43"/>
    <mergeCell ref="G43:Q43"/>
    <mergeCell ref="B44:F44"/>
    <mergeCell ref="G44:Q44"/>
    <mergeCell ref="B45:F45"/>
    <mergeCell ref="G45:Q45"/>
  </mergeCells>
  <conditionalFormatting sqref="H14:H20">
    <cfRule type="expression" priority="2" aboveAverage="0" equalAverage="0" bottom="0" percent="0" rank="0" text="" dxfId="0">
      <formula>H14="Conforme"</formula>
    </cfRule>
    <cfRule type="expression" priority="3" aboveAverage="0" equalAverage="0" bottom="0" percent="0" rank="0" text="" dxfId="2">
      <formula>H14="Verificação pendente"</formula>
    </cfRule>
    <cfRule type="expression" priority="4" aboveAverage="0" equalAverage="0" bottom="0" percent="0" rank="0" text="" dxfId="3">
      <formula>H14="Com desvio"</formula>
    </cfRule>
  </conditionalFormatting>
  <conditionalFormatting sqref="I14:I20">
    <cfRule type="expression" priority="5" aboveAverage="0" equalAverage="0" bottom="0" percent="0" rank="0" text="" dxfId="0">
      <formula>I14="Liberado"</formula>
    </cfRule>
    <cfRule type="expression" priority="6" aboveAverage="0" equalAverage="0" bottom="0" percent="0" rank="0" text="" dxfId="2">
      <formula>I14="Liberado com autorização"</formula>
    </cfRule>
    <cfRule type="expression" priority="7" aboveAverage="0" equalAverage="0" bottom="0" percent="0" rank="0" text="" dxfId="3">
      <formula>I14="Retido"</formula>
    </cfRule>
  </conditionalFormatting>
  <conditionalFormatting sqref="Q14:Q20">
    <cfRule type="expression" priority="8" aboveAverage="0" equalAverage="0" bottom="0" percent="0" rank="0" text="" dxfId="0">
      <formula>OR(Q14="OK")</formula>
    </cfRule>
    <cfRule type="expression" priority="9" aboveAverage="0" equalAverage="0" bottom="0" percent="0" rank="0" text="" dxfId="1">
      <formula>AND(LEN(Q14)&gt;0,NOT(OR(Q14="OK")))</formula>
    </cfRule>
  </conditionalFormatting>
  <conditionalFormatting sqref="P24:P31">
    <cfRule type="expression" priority="10" aboveAverage="0" equalAverage="0" bottom="0" percent="0" rank="0" text="" dxfId="0">
      <formula>P24="Encerrado"</formula>
    </cfRule>
    <cfRule type="expression" priority="11" aboveAverage="0" equalAverage="0" bottom="0" percent="0" rank="0" text="" dxfId="2">
      <formula>P24="Em tratamento"</formula>
    </cfRule>
    <cfRule type="expression" priority="12" aboveAverage="0" equalAverage="0" bottom="0" percent="0" rank="0" text="" dxfId="3">
      <formula>P24="Aberto"</formula>
    </cfRule>
  </conditionalFormatting>
  <conditionalFormatting sqref="Q24:Q31">
    <cfRule type="expression" priority="13" aboveAverage="0" equalAverage="0" bottom="0" percent="0" rank="0" text="" dxfId="0">
      <formula>Q24="OK"</formula>
    </cfRule>
    <cfRule type="expression" priority="14" aboveAverage="0" equalAverage="0" bottom="0" percent="0" rank="0" text="" dxfId="4">
      <formula>Q24="Falta informar o cliente"</formula>
    </cfRule>
    <cfRule type="expression" priority="15" aboveAverage="0" equalAverage="0" bottom="0" percent="0" rank="0" text="" dxfId="4">
      <formula>Q24="Defeito repetido: avaliar ação corretiva"</formula>
    </cfRule>
    <cfRule type="expression" priority="16" aboveAverage="0" equalAverage="0" bottom="0" percent="0" rank="0" text="" dxfId="1">
      <formula>LEN(Q24)&gt;0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1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232</v>
      </c>
      <c r="C4" s="4"/>
      <c r="D4" s="4"/>
      <c r="E4" s="32" t="s">
        <v>305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customFormat="false" ht="19.5" hidden="false" customHeight="true" outlineLevel="0" collapsed="false">
      <c r="B5" s="4" t="s">
        <v>195</v>
      </c>
      <c r="C5" s="4"/>
      <c r="D5" s="4"/>
      <c r="E5" s="32" t="s">
        <v>306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customFormat="false" ht="19.5" hidden="false" customHeight="true" outlineLevel="0" collapsed="false">
      <c r="B6" s="4" t="s">
        <v>235</v>
      </c>
      <c r="C6" s="4"/>
      <c r="D6" s="4"/>
      <c r="E6" s="32" t="s">
        <v>307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customFormat="false" ht="19.5" hidden="false" customHeight="true" outlineLevel="0" collapsed="false">
      <c r="B7" s="4" t="s">
        <v>237</v>
      </c>
      <c r="C7" s="4"/>
      <c r="D7" s="4"/>
      <c r="E7" s="32" t="s">
        <v>308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customFormat="false" ht="30.75" hidden="false" customHeight="true" outlineLevel="0" collapsed="false">
      <c r="B8" s="4" t="s">
        <v>239</v>
      </c>
      <c r="C8" s="4"/>
      <c r="D8" s="4"/>
      <c r="E8" s="32" t="s">
        <v>309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customFormat="false" ht="19.5" hidden="false" customHeight="true" outlineLevel="0" collapsed="false">
      <c r="B9" s="4" t="s">
        <v>160</v>
      </c>
      <c r="C9" s="4"/>
      <c r="D9" s="4"/>
      <c r="E9" s="32" t="s">
        <v>310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customFormat="false" ht="19.5" hidden="false" customHeight="true" outlineLevel="0" collapsed="false">
      <c r="B10" s="4" t="s">
        <v>242</v>
      </c>
      <c r="C10" s="4"/>
      <c r="D10" s="4"/>
      <c r="E10" s="32" t="s">
        <v>311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2" customFormat="false" ht="21.75" hidden="false" customHeight="true" outlineLevel="0" collapsed="false">
      <c r="B12" s="33" t="s">
        <v>244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customFormat="false" ht="30" hidden="false" customHeight="true" outlineLevel="0" collapsed="false">
      <c r="B13" s="27" t="s">
        <v>96</v>
      </c>
      <c r="C13" s="27" t="s">
        <v>245</v>
      </c>
      <c r="D13" s="27" t="s">
        <v>98</v>
      </c>
      <c r="E13" s="27" t="s">
        <v>99</v>
      </c>
      <c r="F13" s="27" t="s">
        <v>246</v>
      </c>
      <c r="G13" s="27" t="s">
        <v>247</v>
      </c>
      <c r="H13" s="27" t="s">
        <v>102</v>
      </c>
      <c r="I13" s="27" t="s">
        <v>69</v>
      </c>
      <c r="J13" s="27" t="s">
        <v>103</v>
      </c>
      <c r="K13" s="34" t="s">
        <v>104</v>
      </c>
      <c r="L13" s="34"/>
      <c r="M13" s="27" t="s">
        <v>248</v>
      </c>
      <c r="N13" s="34" t="s">
        <v>106</v>
      </c>
      <c r="O13" s="34"/>
      <c r="P13" s="34"/>
      <c r="Q13" s="27" t="s">
        <v>74</v>
      </c>
    </row>
    <row r="14" customFormat="false" ht="30.75" hidden="false" customHeight="true" outlineLevel="0" collapsed="false">
      <c r="B14" s="35" t="n">
        <v>46524</v>
      </c>
      <c r="C14" s="36" t="s">
        <v>312</v>
      </c>
      <c r="D14" s="7" t="s">
        <v>313</v>
      </c>
      <c r="E14" s="37" t="n">
        <v>12</v>
      </c>
      <c r="F14" s="37" t="n">
        <v>12</v>
      </c>
      <c r="G14" s="37" t="n">
        <v>0</v>
      </c>
      <c r="H14" s="22" t="str">
        <f aca="false">IF(C14="","",IF(OR(E14="",F14=""),"Falta o número de verificações",IF(F14&gt;E14,"Feitas acima das previstas",IF(F14&lt;E14,"Verificação pendente",IF(N(G14)&gt;0,"Com desvio","Conforme")))))</f>
        <v>Conforme</v>
      </c>
      <c r="I14" s="37" t="s">
        <v>251</v>
      </c>
      <c r="J14" s="7" t="s">
        <v>119</v>
      </c>
      <c r="K14" s="7"/>
      <c r="L14" s="7"/>
      <c r="M14" s="37"/>
      <c r="N14" s="7"/>
      <c r="O14" s="7"/>
      <c r="P14" s="7"/>
      <c r="Q14" s="12" t="str">
        <f aca="false">IF(C14="","",IF(I14="","Falta a decisão",IF(OR(LEFT(H14,5)="Falta",LEFT(H14,5)="Feita"),H14,IF(AND(F14&lt;E14,I14="Liberado"),"Liberado com verificação pendente",IF(AND(I14="Liberado com autorização",K14=""),"Falta quem autorizou",IF(AND(N(G14)&gt;0,M14=""),"Desvio sem registro de não conforme",IF(AND(I14="Retido",M14=""),"Retido sem registro de não conforme",IF(AND(I14&lt;&gt;"Retido",J14=""),"Falta quem liberou","OK"))))))))</f>
        <v>OK</v>
      </c>
    </row>
    <row r="15" customFormat="false" ht="30.75" hidden="false" customHeight="true" outlineLevel="0" collapsed="false">
      <c r="B15" s="35" t="n">
        <v>46525</v>
      </c>
      <c r="C15" s="36" t="s">
        <v>314</v>
      </c>
      <c r="D15" s="7" t="s">
        <v>315</v>
      </c>
      <c r="E15" s="37" t="n">
        <v>12</v>
      </c>
      <c r="F15" s="37" t="n">
        <v>12</v>
      </c>
      <c r="G15" s="37" t="n">
        <v>1</v>
      </c>
      <c r="H15" s="22" t="str">
        <f aca="false">IF(C15="","",IF(OR(E15="",F15=""),"Falta o número de verificações",IF(F15&gt;E15,"Feitas acima das previstas",IF(F15&lt;E15,"Verificação pendente",IF(N(G15)&gt;0,"Com desvio","Conforme")))))</f>
        <v>Com desvio</v>
      </c>
      <c r="I15" s="37" t="s">
        <v>251</v>
      </c>
      <c r="J15" s="7" t="s">
        <v>119</v>
      </c>
      <c r="K15" s="7"/>
      <c r="L15" s="7"/>
      <c r="M15" s="37" t="s">
        <v>297</v>
      </c>
      <c r="N15" s="7" t="s">
        <v>316</v>
      </c>
      <c r="O15" s="7"/>
      <c r="P15" s="7"/>
      <c r="Q15" s="12" t="str">
        <f aca="false">IF(C15="","",IF(I15="","Falta a decisão",IF(OR(LEFT(H15,5)="Falta",LEFT(H15,5)="Feita"),H15,IF(AND(F15&lt;E15,I15="Liberado"),"Liberado com verificação pendente",IF(AND(I15="Liberado com autorização",K15=""),"Falta quem autorizou",IF(AND(N(G15)&gt;0,M15=""),"Desvio sem registro de não conforme",IF(AND(I15="Retido",M15=""),"Retido sem registro de não conforme",IF(AND(I15&lt;&gt;"Retido",J15=""),"Falta quem liberou","OK"))))))))</f>
        <v>OK</v>
      </c>
    </row>
    <row r="16" customFormat="false" ht="30.75" hidden="false" customHeight="true" outlineLevel="0" collapsed="false">
      <c r="B16" s="35" t="n">
        <v>46526</v>
      </c>
      <c r="C16" s="36" t="s">
        <v>317</v>
      </c>
      <c r="D16" s="7" t="s">
        <v>318</v>
      </c>
      <c r="E16" s="37" t="n">
        <v>12</v>
      </c>
      <c r="F16" s="37" t="n">
        <v>12</v>
      </c>
      <c r="G16" s="37" t="n">
        <v>0</v>
      </c>
      <c r="H16" s="22" t="str">
        <f aca="false">IF(C16="","",IF(OR(E16="",F16=""),"Falta o número de verificações",IF(F16&gt;E16,"Feitas acima das previstas",IF(F16&lt;E16,"Verificação pendente",IF(N(G16)&gt;0,"Com desvio","Conforme")))))</f>
        <v>Conforme</v>
      </c>
      <c r="I16" s="37" t="s">
        <v>251</v>
      </c>
      <c r="J16" s="7" t="s">
        <v>119</v>
      </c>
      <c r="K16" s="7"/>
      <c r="L16" s="7"/>
      <c r="M16" s="37"/>
      <c r="N16" s="7"/>
      <c r="O16" s="7"/>
      <c r="P16" s="7"/>
      <c r="Q16" s="12" t="str">
        <f aca="false">IF(C16="","",IF(I16="","Falta a decisão",IF(OR(LEFT(H16,5)="Falta",LEFT(H16,5)="Feita"),H16,IF(AND(F16&lt;E16,I16="Liberado"),"Liberado com verificação pendente",IF(AND(I16="Liberado com autorização",K16=""),"Falta quem autorizou",IF(AND(N(G16)&gt;0,M16=""),"Desvio sem registro de não conforme",IF(AND(I16="Retido",M16=""),"Retido sem registro de não conforme",IF(AND(I16&lt;&gt;"Retido",J16=""),"Falta quem liberou","OK"))))))))</f>
        <v>OK</v>
      </c>
    </row>
    <row r="17" customFormat="false" ht="30.75" hidden="false" customHeight="true" outlineLevel="0" collapsed="false">
      <c r="B17" s="35" t="n">
        <v>46527</v>
      </c>
      <c r="C17" s="36" t="s">
        <v>116</v>
      </c>
      <c r="D17" s="7" t="s">
        <v>117</v>
      </c>
      <c r="E17" s="37" t="n">
        <v>12</v>
      </c>
      <c r="F17" s="37" t="n">
        <v>11</v>
      </c>
      <c r="G17" s="37" t="n">
        <v>0</v>
      </c>
      <c r="H17" s="22" t="str">
        <f aca="false">IF(C17="","",IF(OR(E17="",F17=""),"Falta o número de verificações",IF(F17&gt;E17,"Feitas acima das previstas",IF(F17&lt;E17,"Verificação pendente",IF(N(G17)&gt;0,"Com desvio","Conforme")))))</f>
        <v>Verificação pendente</v>
      </c>
      <c r="I17" s="37" t="s">
        <v>118</v>
      </c>
      <c r="J17" s="7" t="s">
        <v>119</v>
      </c>
      <c r="K17" s="7" t="s">
        <v>319</v>
      </c>
      <c r="L17" s="7"/>
      <c r="M17" s="37"/>
      <c r="N17" s="7" t="s">
        <v>320</v>
      </c>
      <c r="O17" s="7"/>
      <c r="P17" s="7"/>
      <c r="Q17" s="12" t="str">
        <f aca="false">IF(C17="","",IF(I17="","Falta a decisão",IF(OR(LEFT(H17,5)="Falta",LEFT(H17,5)="Feita"),H17,IF(AND(F17&lt;E17,I17="Liberado"),"Liberado com verificação pendente",IF(AND(I17="Liberado com autorização",K17=""),"Falta quem autorizou",IF(AND(N(G17)&gt;0,M17=""),"Desvio sem registro de não conforme",IF(AND(I17="Retido",M17=""),"Retido sem registro de não conforme",IF(AND(I17&lt;&gt;"Retido",J17=""),"Falta quem liberou","OK"))))))))</f>
        <v>OK</v>
      </c>
    </row>
    <row r="18" customFormat="false" ht="42.75" hidden="false" customHeight="true" outlineLevel="0" collapsed="false">
      <c r="B18" s="35" t="n">
        <v>46527</v>
      </c>
      <c r="C18" s="36" t="s">
        <v>151</v>
      </c>
      <c r="D18" s="7" t="s">
        <v>321</v>
      </c>
      <c r="E18" s="37" t="n">
        <v>12</v>
      </c>
      <c r="F18" s="37" t="n">
        <v>12</v>
      </c>
      <c r="G18" s="37" t="n">
        <v>2</v>
      </c>
      <c r="H18" s="22" t="str">
        <f aca="false">IF(C18="","",IF(OR(E18="",F18=""),"Falta o número de verificações",IF(F18&gt;E18,"Feitas acima das previstas",IF(F18&lt;E18,"Verificação pendente",IF(N(G18)&gt;0,"Com desvio","Conforme")))))</f>
        <v>Com desvio</v>
      </c>
      <c r="I18" s="37" t="s">
        <v>322</v>
      </c>
      <c r="J18" s="7" t="s">
        <v>119</v>
      </c>
      <c r="K18" s="7"/>
      <c r="L18" s="7"/>
      <c r="M18" s="37" t="s">
        <v>150</v>
      </c>
      <c r="N18" s="7" t="s">
        <v>323</v>
      </c>
      <c r="O18" s="7"/>
      <c r="P18" s="7"/>
      <c r="Q18" s="12" t="str">
        <f aca="false">IF(C18="","",IF(I18="","Falta a decisão",IF(OR(LEFT(H18,5)="Falta",LEFT(H18,5)="Feita"),H18,IF(AND(F18&lt;E18,I18="Liberado"),"Liberado com verificação pendente",IF(AND(I18="Liberado com autorização",K18=""),"Falta quem autorizou",IF(AND(N(G18)&gt;0,M18=""),"Desvio sem registro de não conforme",IF(AND(I18="Retido",M18=""),"Retido sem registro de não conforme",IF(AND(I18&lt;&gt;"Retido",J18=""),"Falta quem liberou","OK"))))))))</f>
        <v>OK</v>
      </c>
    </row>
    <row r="19" customFormat="false" ht="30.75" hidden="false" customHeight="true" outlineLevel="0" collapsed="false">
      <c r="B19" s="35" t="n">
        <v>46528</v>
      </c>
      <c r="C19" s="36" t="s">
        <v>324</v>
      </c>
      <c r="D19" s="7" t="s">
        <v>325</v>
      </c>
      <c r="E19" s="37" t="n">
        <v>12</v>
      </c>
      <c r="F19" s="37" t="n">
        <v>12</v>
      </c>
      <c r="G19" s="37" t="n">
        <v>0</v>
      </c>
      <c r="H19" s="22" t="str">
        <f aca="false">IF(C19="","",IF(OR(E19="",F19=""),"Falta o número de verificações",IF(F19&gt;E19,"Feitas acima das previstas",IF(F19&lt;E19,"Verificação pendente",IF(N(G19)&gt;0,"Com desvio","Conforme")))))</f>
        <v>Conforme</v>
      </c>
      <c r="I19" s="37" t="s">
        <v>251</v>
      </c>
      <c r="J19" s="7" t="s">
        <v>119</v>
      </c>
      <c r="K19" s="7"/>
      <c r="L19" s="7"/>
      <c r="M19" s="37"/>
      <c r="N19" s="7"/>
      <c r="O19" s="7"/>
      <c r="P19" s="7"/>
      <c r="Q19" s="12" t="str">
        <f aca="false">IF(C19="","",IF(I19="","Falta a decisão",IF(OR(LEFT(H19,5)="Falta",LEFT(H19,5)="Feita"),H19,IF(AND(F19&lt;E19,I19="Liberado"),"Liberado com verificação pendente",IF(AND(I19="Liberado com autorização",K19=""),"Falta quem autorizou",IF(AND(N(G19)&gt;0,M19=""),"Desvio sem registro de não conforme",IF(AND(I19="Retido",M19=""),"Retido sem registro de não conforme",IF(AND(I19&lt;&gt;"Retido",J19=""),"Falta quem liberou","OK"))))))))</f>
        <v>OK</v>
      </c>
    </row>
    <row r="20" customFormat="false" ht="30.75" hidden="false" customHeight="true" outlineLevel="0" collapsed="false">
      <c r="B20" s="35" t="n">
        <v>46531</v>
      </c>
      <c r="C20" s="36" t="s">
        <v>326</v>
      </c>
      <c r="D20" s="7" t="s">
        <v>327</v>
      </c>
      <c r="E20" s="37" t="n">
        <v>12</v>
      </c>
      <c r="F20" s="37" t="n">
        <v>11</v>
      </c>
      <c r="G20" s="37" t="n">
        <v>0</v>
      </c>
      <c r="H20" s="22" t="str">
        <f aca="false">IF(C20="","",IF(OR(E20="",F20=""),"Falta o número de verificações",IF(F20&gt;E20,"Feitas acima das previstas",IF(F20&lt;E20,"Verificação pendente",IF(N(G20)&gt;0,"Com desvio","Conforme")))))</f>
        <v>Verificação pendente</v>
      </c>
      <c r="I20" s="37" t="s">
        <v>251</v>
      </c>
      <c r="J20" s="7" t="s">
        <v>119</v>
      </c>
      <c r="K20" s="7"/>
      <c r="L20" s="7"/>
      <c r="M20" s="37"/>
      <c r="N20" s="7" t="s">
        <v>328</v>
      </c>
      <c r="O20" s="7"/>
      <c r="P20" s="7"/>
      <c r="Q20" s="12" t="str">
        <f aca="false">IF(C20="","",IF(I20="","Falta a decisão",IF(OR(LEFT(H20,5)="Falta",LEFT(H20,5)="Feita"),H20,IF(AND(F20&lt;E20,I20="Liberado"),"Liberado com verificação pendente",IF(AND(I20="Liberado com autorização",K20=""),"Falta quem autorizou",IF(AND(N(G20)&gt;0,M20=""),"Desvio sem registro de não conforme",IF(AND(I20="Retido",M20=""),"Retido sem registro de não conforme",IF(AND(I20&lt;&gt;"Retido",J20=""),"Falta quem liberou","OK"))))))))</f>
        <v>Liberado com verificação pendente</v>
      </c>
    </row>
    <row r="21" customFormat="false" ht="30.75" hidden="false" customHeight="true" outlineLevel="0" collapsed="false">
      <c r="B21" s="35" t="n">
        <v>46533</v>
      </c>
      <c r="C21" s="36" t="s">
        <v>329</v>
      </c>
      <c r="D21" s="7" t="s">
        <v>330</v>
      </c>
      <c r="E21" s="37" t="n">
        <v>12</v>
      </c>
      <c r="F21" s="37" t="n">
        <v>12</v>
      </c>
      <c r="G21" s="37" t="n">
        <v>1</v>
      </c>
      <c r="H21" s="22" t="str">
        <f aca="false">IF(C21="","",IF(OR(E21="",F21=""),"Falta o número de verificações",IF(F21&gt;E21,"Feitas acima das previstas",IF(F21&lt;E21,"Verificação pendente",IF(N(G21)&gt;0,"Com desvio","Conforme")))))</f>
        <v>Com desvio</v>
      </c>
      <c r="I21" s="37" t="s">
        <v>251</v>
      </c>
      <c r="J21" s="7" t="s">
        <v>119</v>
      </c>
      <c r="K21" s="7"/>
      <c r="L21" s="7"/>
      <c r="M21" s="37" t="s">
        <v>331</v>
      </c>
      <c r="N21" s="7" t="s">
        <v>332</v>
      </c>
      <c r="O21" s="7"/>
      <c r="P21" s="7"/>
      <c r="Q21" s="12" t="str">
        <f aca="false">IF(C21="","",IF(I21="","Falta a decisão",IF(OR(LEFT(H21,5)="Falta",LEFT(H21,5)="Feita"),H21,IF(AND(F21&lt;E21,I21="Liberado"),"Liberado com verificação pendente",IF(AND(I21="Liberado com autorização",K21=""),"Falta quem autorizou",IF(AND(N(G21)&gt;0,M21=""),"Desvio sem registro de não conforme",IF(AND(I21="Retido",M21=""),"Retido sem registro de não conforme",IF(AND(I21&lt;&gt;"Retido",J21=""),"Falta quem liberou","OK"))))))))</f>
        <v>OK</v>
      </c>
    </row>
    <row r="23" customFormat="false" ht="21.75" hidden="false" customHeight="true" outlineLevel="0" collapsed="false">
      <c r="B23" s="38" t="s">
        <v>46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 customFormat="false" ht="30" hidden="false" customHeight="true" outlineLevel="0" collapsed="false">
      <c r="B24" s="27" t="s">
        <v>269</v>
      </c>
      <c r="C24" s="27" t="s">
        <v>96</v>
      </c>
      <c r="D24" s="27" t="s">
        <v>97</v>
      </c>
      <c r="E24" s="27" t="s">
        <v>129</v>
      </c>
      <c r="F24" s="27" t="s">
        <v>131</v>
      </c>
      <c r="G24" s="27" t="s">
        <v>132</v>
      </c>
      <c r="H24" s="27" t="s">
        <v>133</v>
      </c>
      <c r="I24" s="27" t="s">
        <v>134</v>
      </c>
      <c r="J24" s="27" t="s">
        <v>135</v>
      </c>
      <c r="K24" s="27" t="s">
        <v>270</v>
      </c>
      <c r="L24" s="27" t="s">
        <v>137</v>
      </c>
      <c r="M24" s="27" t="s">
        <v>138</v>
      </c>
      <c r="N24" s="27" t="s">
        <v>61</v>
      </c>
      <c r="O24" s="27" t="s">
        <v>139</v>
      </c>
      <c r="P24" s="27" t="s">
        <v>140</v>
      </c>
      <c r="Q24" s="27" t="s">
        <v>74</v>
      </c>
    </row>
    <row r="25" customFormat="false" ht="42.75" hidden="false" customHeight="true" outlineLevel="0" collapsed="false">
      <c r="B25" s="39" t="s">
        <v>260</v>
      </c>
      <c r="C25" s="35" t="n">
        <v>46518</v>
      </c>
      <c r="D25" s="7" t="s">
        <v>333</v>
      </c>
      <c r="E25" s="36" t="s">
        <v>334</v>
      </c>
      <c r="F25" s="37" t="s">
        <v>335</v>
      </c>
      <c r="G25" s="37" t="s">
        <v>195</v>
      </c>
      <c r="H25" s="7" t="s">
        <v>336</v>
      </c>
      <c r="I25" s="37" t="s">
        <v>85</v>
      </c>
      <c r="J25" s="7" t="s">
        <v>157</v>
      </c>
      <c r="K25" s="7"/>
      <c r="L25" s="37"/>
      <c r="M25" s="35" t="n">
        <v>46519</v>
      </c>
      <c r="N25" s="40" t="n">
        <v>580</v>
      </c>
      <c r="O25" s="7"/>
      <c r="P25" s="22" t="str">
        <f aca="false">IF(E25="","",IF(I25="","Aberto",IF(M25="","Em tratamento","Encerrado")))</f>
        <v>Encerrado</v>
      </c>
      <c r="Q25" s="12" t="str">
        <f aca="false">IF(E25="",IF(1&gt;0,"Falta o defeito",""),IF(C25="","Falta a data",IF(G25="","Falta onde foi visto",IF(I25="","Falta a disposição",IF(J25="","Falta quem decidiu",IF(AND(H25="",G25&lt;&gt;"Após a entrega"),"Falta a identificação e a segregação",IF(AND(I25="Aceitar sob concessão",K25=""),"Falta a concessão do cliente",IF(AND(G25="Após a entrega",K25=""),"Falta informar o cliente",IF(AND(I25="Retrabalhar",L25=""),"Falta a reverificação",IF(AND(L25="Não conforme",M25&lt;&gt;""),"Encerrado com reverificação não conforme",IF(AND(COUNTIF($E$25:$E$33,E25)&gt;=3,COUNTIFS($E$25:$E$33,E25,$O$25:$O$33,"?*")=0),"Defeito repetido: avaliar ação corretiva","OK")))))))))))</f>
        <v>OK</v>
      </c>
    </row>
    <row r="26" customFormat="false" ht="42.75" hidden="false" customHeight="true" outlineLevel="0" collapsed="false">
      <c r="B26" s="39" t="s">
        <v>289</v>
      </c>
      <c r="C26" s="35" t="n">
        <v>46519</v>
      </c>
      <c r="D26" s="7" t="s">
        <v>337</v>
      </c>
      <c r="E26" s="36" t="s">
        <v>152</v>
      </c>
      <c r="F26" s="37" t="s">
        <v>338</v>
      </c>
      <c r="G26" s="37" t="s">
        <v>195</v>
      </c>
      <c r="H26" s="7" t="s">
        <v>336</v>
      </c>
      <c r="I26" s="37" t="s">
        <v>81</v>
      </c>
      <c r="J26" s="7" t="s">
        <v>157</v>
      </c>
      <c r="K26" s="7"/>
      <c r="L26" s="37"/>
      <c r="M26" s="35" t="n">
        <v>46521</v>
      </c>
      <c r="N26" s="40" t="n">
        <v>620</v>
      </c>
      <c r="O26" s="7" t="s">
        <v>339</v>
      </c>
      <c r="P26" s="22" t="str">
        <f aca="false">IF(E26="","",IF(I26="","Aberto",IF(M26="","Em tratamento","Encerrado")))</f>
        <v>Encerrado</v>
      </c>
      <c r="Q26" s="12" t="str">
        <f aca="false">IF(E26="",IF(1&gt;0,"Falta o defeito",""),IF(C26="","Falta a data",IF(G26="","Falta onde foi visto",IF(I26="","Falta a disposição",IF(J26="","Falta quem decidiu",IF(AND(H26="",G26&lt;&gt;"Após a entrega"),"Falta a identificação e a segregação",IF(AND(I26="Aceitar sob concessão",K26=""),"Falta a concessão do cliente",IF(AND(G26="Após a entrega",K26=""),"Falta informar o cliente",IF(AND(I26="Retrabalhar",L26=""),"Falta a reverificação",IF(AND(L26="Não conforme",M26&lt;&gt;""),"Encerrado com reverificação não conforme",IF(AND(COUNTIF($E$25:$E$33,E26)&gt;=3,COUNTIFS($E$25:$E$33,E26,$O$25:$O$33,"?*")=0),"Defeito repetido: avaliar ação corretiva","OK")))))))))))</f>
        <v>OK</v>
      </c>
    </row>
    <row r="27" customFormat="false" ht="42.75" hidden="false" customHeight="true" outlineLevel="0" collapsed="false">
      <c r="B27" s="39" t="s">
        <v>294</v>
      </c>
      <c r="C27" s="35" t="n">
        <v>46521</v>
      </c>
      <c r="D27" s="7" t="s">
        <v>340</v>
      </c>
      <c r="E27" s="36" t="s">
        <v>152</v>
      </c>
      <c r="F27" s="37" t="s">
        <v>341</v>
      </c>
      <c r="G27" s="37" t="s">
        <v>195</v>
      </c>
      <c r="H27" s="7" t="s">
        <v>336</v>
      </c>
      <c r="I27" s="37" t="s">
        <v>85</v>
      </c>
      <c r="J27" s="7" t="s">
        <v>157</v>
      </c>
      <c r="K27" s="7"/>
      <c r="L27" s="37"/>
      <c r="M27" s="35" t="n">
        <v>46524</v>
      </c>
      <c r="N27" s="40" t="n">
        <v>610</v>
      </c>
      <c r="O27" s="7"/>
      <c r="P27" s="22" t="str">
        <f aca="false">IF(E27="","",IF(I27="","Aberto",IF(M27="","Em tratamento","Encerrado")))</f>
        <v>Encerrado</v>
      </c>
      <c r="Q27" s="12" t="str">
        <f aca="false">IF(E27="",IF(1&gt;0,"Falta o defeito",""),IF(C27="","Falta a data",IF(G27="","Falta onde foi visto",IF(I27="","Falta a disposição",IF(J27="","Falta quem decidiu",IF(AND(H27="",G27&lt;&gt;"Após a entrega"),"Falta a identificação e a segregação",IF(AND(I27="Aceitar sob concessão",K27=""),"Falta a concessão do cliente",IF(AND(G27="Após a entrega",K27=""),"Falta informar o cliente",IF(AND(I27="Retrabalhar",L27=""),"Falta a reverificação",IF(AND(L27="Não conforme",M27&lt;&gt;""),"Encerrado com reverificação não conforme",IF(AND(COUNTIF($E$25:$E$33,E27)&gt;=3,COUNTIFS($E$25:$E$33,E27,$O$25:$O$33,"?*")=0),"Defeito repetido: avaliar ação corretiva","OK")))))))))))</f>
        <v>OK</v>
      </c>
    </row>
    <row r="28" customFormat="false" ht="42.75" hidden="false" customHeight="true" outlineLevel="0" collapsed="false">
      <c r="B28" s="39" t="s">
        <v>297</v>
      </c>
      <c r="C28" s="35" t="n">
        <v>46525</v>
      </c>
      <c r="D28" s="7" t="s">
        <v>342</v>
      </c>
      <c r="E28" s="36" t="s">
        <v>334</v>
      </c>
      <c r="F28" s="37" t="s">
        <v>343</v>
      </c>
      <c r="G28" s="37" t="s">
        <v>195</v>
      </c>
      <c r="H28" s="7" t="s">
        <v>336</v>
      </c>
      <c r="I28" s="37" t="s">
        <v>85</v>
      </c>
      <c r="J28" s="7" t="s">
        <v>157</v>
      </c>
      <c r="K28" s="7"/>
      <c r="L28" s="37"/>
      <c r="M28" s="35" t="n">
        <v>46526</v>
      </c>
      <c r="N28" s="40" t="n">
        <v>560</v>
      </c>
      <c r="O28" s="7"/>
      <c r="P28" s="22" t="str">
        <f aca="false">IF(E28="","",IF(I28="","Aberto",IF(M28="","Em tratamento","Encerrado")))</f>
        <v>Encerrado</v>
      </c>
      <c r="Q28" s="12" t="str">
        <f aca="false">IF(E28="",IF(1&gt;0,"Falta o defeito",""),IF(C28="","Falta a data",IF(G28="","Falta onde foi visto",IF(I28="","Falta a disposição",IF(J28="","Falta quem decidiu",IF(AND(H28="",G28&lt;&gt;"Após a entrega"),"Falta a identificação e a segregação",IF(AND(I28="Aceitar sob concessão",K28=""),"Falta a concessão do cliente",IF(AND(G28="Após a entrega",K28=""),"Falta informar o cliente",IF(AND(I28="Retrabalhar",L28=""),"Falta a reverificação",IF(AND(L28="Não conforme",M28&lt;&gt;""),"Encerrado com reverificação não conforme",IF(AND(COUNTIF($E$25:$E$33,E28)&gt;=3,COUNTIFS($E$25:$E$33,E28,$O$25:$O$33,"?*")=0),"Defeito repetido: avaliar ação corretiva","OK")))))))))))</f>
        <v>OK</v>
      </c>
    </row>
    <row r="29" customFormat="false" ht="54.75" hidden="false" customHeight="true" outlineLevel="0" collapsed="false">
      <c r="B29" s="39" t="s">
        <v>150</v>
      </c>
      <c r="C29" s="35" t="n">
        <v>46527</v>
      </c>
      <c r="D29" s="7" t="s">
        <v>344</v>
      </c>
      <c r="E29" s="36" t="s">
        <v>152</v>
      </c>
      <c r="F29" s="37" t="s">
        <v>154</v>
      </c>
      <c r="G29" s="37" t="s">
        <v>155</v>
      </c>
      <c r="H29" s="7" t="s">
        <v>345</v>
      </c>
      <c r="I29" s="37" t="s">
        <v>83</v>
      </c>
      <c r="J29" s="7" t="s">
        <v>157</v>
      </c>
      <c r="K29" s="7" t="s">
        <v>346</v>
      </c>
      <c r="L29" s="37"/>
      <c r="M29" s="35" t="n">
        <v>46528</v>
      </c>
      <c r="N29" s="40" t="n">
        <v>1350</v>
      </c>
      <c r="O29" s="7"/>
      <c r="P29" s="22" t="str">
        <f aca="false">IF(E29="","",IF(I29="","Aberto",IF(M29="","Em tratamento","Encerrado")))</f>
        <v>Encerrado</v>
      </c>
      <c r="Q29" s="12" t="str">
        <f aca="false">IF(E29="",IF(1&gt;0,"Falta o defeito",""),IF(C29="","Falta a data",IF(G29="","Falta onde foi visto",IF(I29="","Falta a disposição",IF(J29="","Falta quem decidiu",IF(AND(H29="",G29&lt;&gt;"Após a entrega"),"Falta a identificação e a segregação",IF(AND(I29="Aceitar sob concessão",K29=""),"Falta a concessão do cliente",IF(AND(G29="Após a entrega",K29=""),"Falta informar o cliente",IF(AND(I29="Retrabalhar",L29=""),"Falta a reverificação",IF(AND(L29="Não conforme",M29&lt;&gt;""),"Encerrado com reverificação não conforme",IF(AND(COUNTIF($E$25:$E$33,E29)&gt;=3,COUNTIFS($E$25:$E$33,E29,$O$25:$O$33,"?*")=0),"Defeito repetido: avaliar ação corretiva","OK")))))))))))</f>
        <v>OK</v>
      </c>
    </row>
    <row r="30" customFormat="false" ht="42.75" hidden="false" customHeight="true" outlineLevel="0" collapsed="false">
      <c r="B30" s="39" t="s">
        <v>347</v>
      </c>
      <c r="C30" s="35" t="n">
        <v>46531</v>
      </c>
      <c r="D30" s="7" t="s">
        <v>348</v>
      </c>
      <c r="E30" s="36" t="s">
        <v>152</v>
      </c>
      <c r="F30" s="37" t="s">
        <v>349</v>
      </c>
      <c r="G30" s="37" t="s">
        <v>198</v>
      </c>
      <c r="H30" s="7"/>
      <c r="I30" s="37" t="s">
        <v>89</v>
      </c>
      <c r="J30" s="7" t="s">
        <v>350</v>
      </c>
      <c r="K30" s="7" t="s">
        <v>351</v>
      </c>
      <c r="L30" s="37"/>
      <c r="M30" s="35"/>
      <c r="N30" s="40" t="n">
        <v>2900</v>
      </c>
      <c r="O30" s="7"/>
      <c r="P30" s="22" t="str">
        <f aca="false">IF(E30="","",IF(I30="","Aberto",IF(M30="","Em tratamento","Encerrado")))</f>
        <v>Em tratamento</v>
      </c>
      <c r="Q30" s="12" t="str">
        <f aca="false">IF(E30="",IF(1&gt;0,"Falta o defeito",""),IF(C30="","Falta a data",IF(G30="","Falta onde foi visto",IF(I30="","Falta a disposição",IF(J30="","Falta quem decidiu",IF(AND(H30="",G30&lt;&gt;"Após a entrega"),"Falta a identificação e a segregação",IF(AND(I30="Aceitar sob concessão",K30=""),"Falta a concessão do cliente",IF(AND(G30="Após a entrega",K30=""),"Falta informar o cliente",IF(AND(I30="Retrabalhar",L30=""),"Falta a reverificação",IF(AND(L30="Não conforme",M30&lt;&gt;""),"Encerrado com reverificação não conforme",IF(AND(COUNTIF($E$25:$E$33,E30)&gt;=3,COUNTIFS($E$25:$E$33,E30,$O$25:$O$33,"?*")=0),"Defeito repetido: avaliar ação corretiva","OK")))))))))))</f>
        <v>OK</v>
      </c>
    </row>
    <row r="31" customFormat="false" ht="54.75" hidden="false" customHeight="true" outlineLevel="0" collapsed="false">
      <c r="B31" s="39" t="s">
        <v>352</v>
      </c>
      <c r="C31" s="35" t="n">
        <v>46532</v>
      </c>
      <c r="D31" s="7" t="s">
        <v>353</v>
      </c>
      <c r="E31" s="36" t="s">
        <v>354</v>
      </c>
      <c r="F31" s="37" t="s">
        <v>355</v>
      </c>
      <c r="G31" s="37" t="s">
        <v>193</v>
      </c>
      <c r="H31" s="7" t="s">
        <v>356</v>
      </c>
      <c r="I31" s="37" t="s">
        <v>87</v>
      </c>
      <c r="J31" s="7" t="s">
        <v>357</v>
      </c>
      <c r="K31" s="7"/>
      <c r="L31" s="37"/>
      <c r="M31" s="35" t="n">
        <v>46534</v>
      </c>
      <c r="N31" s="40" t="n">
        <v>0</v>
      </c>
      <c r="O31" s="7"/>
      <c r="P31" s="22" t="str">
        <f aca="false">IF(E31="","",IF(I31="","Aberto",IF(M31="","Em tratamento","Encerrado")))</f>
        <v>Encerrado</v>
      </c>
      <c r="Q31" s="12" t="str">
        <f aca="false">IF(E31="",IF(1&gt;0,"Falta o defeito",""),IF(C31="","Falta a data",IF(G31="","Falta onde foi visto",IF(I31="","Falta a disposição",IF(J31="","Falta quem decidiu",IF(AND(H31="",G31&lt;&gt;"Após a entrega"),"Falta a identificação e a segregação",IF(AND(I31="Aceitar sob concessão",K31=""),"Falta a concessão do cliente",IF(AND(G31="Após a entrega",K31=""),"Falta informar o cliente",IF(AND(I31="Retrabalhar",L31=""),"Falta a reverificação",IF(AND(L31="Não conforme",M31&lt;&gt;""),"Encerrado com reverificação não conforme",IF(AND(COUNTIF($E$25:$E$33,E31)&gt;=3,COUNTIFS($E$25:$E$33,E31,$O$25:$O$33,"?*")=0),"Defeito repetido: avaliar ação corretiva","OK")))))))))))</f>
        <v>OK</v>
      </c>
    </row>
    <row r="32" customFormat="false" ht="42.75" hidden="false" customHeight="true" outlineLevel="0" collapsed="false">
      <c r="B32" s="39" t="s">
        <v>331</v>
      </c>
      <c r="C32" s="35" t="n">
        <v>46533</v>
      </c>
      <c r="D32" s="7" t="s">
        <v>358</v>
      </c>
      <c r="E32" s="36" t="s">
        <v>359</v>
      </c>
      <c r="F32" s="37" t="s">
        <v>349</v>
      </c>
      <c r="G32" s="37" t="s">
        <v>195</v>
      </c>
      <c r="H32" s="7" t="s">
        <v>360</v>
      </c>
      <c r="I32" s="37" t="s">
        <v>79</v>
      </c>
      <c r="J32" s="7" t="s">
        <v>361</v>
      </c>
      <c r="K32" s="7"/>
      <c r="L32" s="37"/>
      <c r="M32" s="35"/>
      <c r="N32" s="40" t="n">
        <v>150</v>
      </c>
      <c r="O32" s="7"/>
      <c r="P32" s="22" t="str">
        <f aca="false">IF(E32="","",IF(I32="","Aberto",IF(M32="","Em tratamento","Encerrado")))</f>
        <v>Em tratamento</v>
      </c>
      <c r="Q32" s="12" t="str">
        <f aca="false">IF(E32="",IF(1&gt;0,"Falta o defeito",""),IF(C32="","Falta a data",IF(G32="","Falta onde foi visto",IF(I32="","Falta a disposição",IF(J32="","Falta quem decidiu",IF(AND(H32="",G32&lt;&gt;"Após a entrega"),"Falta a identificação e a segregação",IF(AND(I32="Aceitar sob concessão",K32=""),"Falta a concessão do cliente",IF(AND(G32="Após a entrega",K32=""),"Falta informar o cliente",IF(AND(I32="Retrabalhar",L32=""),"Falta a reverificação",IF(AND(L32="Não conforme",M32&lt;&gt;""),"Encerrado com reverificação não conforme",IF(AND(COUNTIF($E$25:$E$33,E32)&gt;=3,COUNTIFS($E$25:$E$33,E32,$O$25:$O$33,"?*")=0),"Defeito repetido: avaliar ação corretiva","OK")))))))))))</f>
        <v>Falta a reverificação</v>
      </c>
    </row>
    <row r="33" customFormat="false" ht="42.75" hidden="false" customHeight="true" outlineLevel="0" collapsed="false">
      <c r="B33" s="39" t="s">
        <v>362</v>
      </c>
      <c r="C33" s="35" t="n">
        <v>46533</v>
      </c>
      <c r="D33" s="7" t="s">
        <v>326</v>
      </c>
      <c r="E33" s="36" t="s">
        <v>363</v>
      </c>
      <c r="F33" s="37" t="s">
        <v>364</v>
      </c>
      <c r="G33" s="37" t="s">
        <v>198</v>
      </c>
      <c r="H33" s="7"/>
      <c r="I33" s="37" t="s">
        <v>89</v>
      </c>
      <c r="J33" s="7" t="s">
        <v>350</v>
      </c>
      <c r="K33" s="7"/>
      <c r="L33" s="37"/>
      <c r="M33" s="35"/>
      <c r="N33" s="40" t="n">
        <v>3400</v>
      </c>
      <c r="O33" s="7"/>
      <c r="P33" s="22" t="str">
        <f aca="false">IF(E33="","",IF(I33="","Aberto",IF(M33="","Em tratamento","Encerrado")))</f>
        <v>Em tratamento</v>
      </c>
      <c r="Q33" s="12" t="str">
        <f aca="false">IF(E33="",IF(1&gt;0,"Falta o defeito",""),IF(C33="","Falta a data",IF(G33="","Falta onde foi visto",IF(I33="","Falta a disposição",IF(J33="","Falta quem decidiu",IF(AND(H33="",G33&lt;&gt;"Após a entrega"),"Falta a identificação e a segregação",IF(AND(I33="Aceitar sob concessão",K33=""),"Falta a concessão do cliente",IF(AND(G33="Após a entrega",K33=""),"Falta informar o cliente",IF(AND(I33="Retrabalhar",L33=""),"Falta a reverificação",IF(AND(L33="Não conforme",M33&lt;&gt;""),"Encerrado com reverificação não conforme",IF(AND(COUNTIF($E$25:$E$33,E33)&gt;=3,COUNTIFS($E$25:$E$33,E33,$O$25:$O$33,"?*")=0),"Defeito repetido: avaliar ação corretiva","OK")))))))))))</f>
        <v>Falta informar o cliente</v>
      </c>
    </row>
    <row r="35" customFormat="false" ht="21.75" hidden="false" customHeight="true" outlineLevel="0" collapsed="false">
      <c r="B35" s="41" t="s">
        <v>189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customFormat="false" ht="30" hidden="false" customHeight="true" outlineLevel="0" collapsed="false">
      <c r="B36" s="34" t="s">
        <v>190</v>
      </c>
      <c r="C36" s="34"/>
      <c r="D36" s="34"/>
      <c r="E36" s="27" t="s">
        <v>160</v>
      </c>
      <c r="F36" s="34" t="s">
        <v>61</v>
      </c>
      <c r="G36" s="34"/>
      <c r="H36" s="27" t="s">
        <v>191</v>
      </c>
      <c r="I36" s="27" t="s">
        <v>192</v>
      </c>
    </row>
    <row r="37" customFormat="false" ht="21.75" hidden="false" customHeight="true" outlineLevel="0" collapsed="false">
      <c r="B37" s="4" t="s">
        <v>193</v>
      </c>
      <c r="C37" s="4"/>
      <c r="D37" s="4"/>
      <c r="E37" s="25" t="n">
        <f aca="false">COUNTIF(G25:G33,B37)</f>
        <v>1</v>
      </c>
      <c r="F37" s="29" t="n">
        <f aca="false">SUMIF(G25:G33,B37,N25:N33)</f>
        <v>0</v>
      </c>
      <c r="G37" s="29"/>
      <c r="H37" s="28" t="n">
        <f aca="false">IF(E37=0,"",F37/E37)</f>
        <v>0</v>
      </c>
      <c r="I37" s="30" t="n">
        <f aca="false">IF(SUM(F$37:F$40)=0,"",F37/SUM(F$37:F$40))</f>
        <v>0</v>
      </c>
    </row>
    <row r="38" customFormat="false" ht="21.75" hidden="false" customHeight="true" outlineLevel="0" collapsed="false">
      <c r="B38" s="4" t="s">
        <v>195</v>
      </c>
      <c r="C38" s="4"/>
      <c r="D38" s="4"/>
      <c r="E38" s="25" t="n">
        <f aca="false">COUNTIF(G25:G33,B38)</f>
        <v>5</v>
      </c>
      <c r="F38" s="29" t="n">
        <f aca="false">SUMIF(G25:G33,B38,N25:N33)</f>
        <v>2520</v>
      </c>
      <c r="G38" s="29"/>
      <c r="H38" s="28" t="n">
        <f aca="false">IF(E38=0,"",F38/E38)</f>
        <v>504</v>
      </c>
      <c r="I38" s="30" t="n">
        <f aca="false">IF(SUM(F$37:F$40)=0,"",F38/SUM(F$37:F$40))</f>
        <v>0.247787610619469</v>
      </c>
    </row>
    <row r="39" customFormat="false" ht="21.75" hidden="false" customHeight="true" outlineLevel="0" collapsed="false">
      <c r="B39" s="4" t="s">
        <v>155</v>
      </c>
      <c r="C39" s="4"/>
      <c r="D39" s="4"/>
      <c r="E39" s="25" t="n">
        <f aca="false">COUNTIF(G25:G33,B39)</f>
        <v>1</v>
      </c>
      <c r="F39" s="29" t="n">
        <f aca="false">SUMIF(G25:G33,B39,N25:N33)</f>
        <v>1350</v>
      </c>
      <c r="G39" s="29"/>
      <c r="H39" s="28" t="n">
        <f aca="false">IF(E39=0,"",F39/E39)</f>
        <v>1350</v>
      </c>
      <c r="I39" s="30" t="n">
        <f aca="false">IF(SUM(F$37:F$40)=0,"",F39/SUM(F$37:F$40))</f>
        <v>0.132743362831858</v>
      </c>
    </row>
    <row r="40" customFormat="false" ht="21.75" hidden="false" customHeight="true" outlineLevel="0" collapsed="false">
      <c r="B40" s="4" t="s">
        <v>198</v>
      </c>
      <c r="C40" s="4"/>
      <c r="D40" s="4"/>
      <c r="E40" s="25" t="n">
        <f aca="false">COUNTIF(G25:G33,B40)</f>
        <v>2</v>
      </c>
      <c r="F40" s="29" t="n">
        <f aca="false">SUMIF(G25:G33,B40,N25:N33)</f>
        <v>6300</v>
      </c>
      <c r="G40" s="29"/>
      <c r="H40" s="28" t="n">
        <f aca="false">IF(E40=0,"",F40/E40)</f>
        <v>3150</v>
      </c>
      <c r="I40" s="30" t="n">
        <f aca="false">IF(SUM(F$37:F$40)=0,"",F40/SUM(F$37:F$40))</f>
        <v>0.619469026548673</v>
      </c>
    </row>
    <row r="42" customFormat="false" ht="21.75" hidden="false" customHeight="true" outlineLevel="0" collapsed="false">
      <c r="B42" s="13" t="s">
        <v>91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customFormat="false" ht="21.75" hidden="false" customHeight="true" outlineLevel="0" collapsed="false">
      <c r="B43" s="14" t="s">
        <v>302</v>
      </c>
      <c r="C43" s="14"/>
      <c r="D43" s="14"/>
      <c r="E43" s="14"/>
      <c r="F43" s="14"/>
      <c r="G43" s="15" t="str">
        <f aca="false">COUNTA(C14:C21)&amp;" registradas, "&amp;SUMPRODUCT((Q14:Q21&lt;&gt;"OK")*1)&amp;" a rever"</f>
        <v>8 registradas, 1 a rever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21.75" hidden="false" customHeight="true" outlineLevel="0" collapsed="false">
      <c r="B44" s="14" t="s">
        <v>303</v>
      </c>
      <c r="C44" s="14"/>
      <c r="D44" s="14"/>
      <c r="E44" s="14"/>
      <c r="F44" s="14"/>
      <c r="G44" s="15" t="str">
        <f aca="false">COUNTIF(P25:P33,"Aberto")&amp;" abertos, "&amp;COUNTIF(P25:P33,"Em tratamento")&amp;" em tratamento, "&amp;COUNTIF(P25:P33,"Encerrado")&amp;" encerrados"</f>
        <v>0 abertos, 3 em tratamento, 6 encerrados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Format="false" ht="21.75" hidden="false" customHeight="true" outlineLevel="0" collapsed="false">
      <c r="B45" s="14" t="s">
        <v>185</v>
      </c>
      <c r="C45" s="14"/>
      <c r="D45" s="14"/>
      <c r="E45" s="14"/>
      <c r="F45" s="14"/>
      <c r="G45" s="15" t="n">
        <f aca="false">SUMPRODUCT((Q25:Q33&lt;&gt;"OK")*1)</f>
        <v>2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Format="false" ht="21.75" hidden="false" customHeight="true" outlineLevel="0" collapsed="false">
      <c r="B46" s="14" t="s">
        <v>183</v>
      </c>
      <c r="C46" s="14"/>
      <c r="D46" s="14"/>
      <c r="E46" s="14"/>
      <c r="F46" s="14"/>
      <c r="G46" s="26" t="n">
        <f aca="false">SUM(N25:N33)</f>
        <v>10170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 customFormat="false" ht="21.75" hidden="false" customHeight="true" outlineLevel="0" collapsed="false">
      <c r="B47" s="14" t="s">
        <v>304</v>
      </c>
      <c r="C47" s="14"/>
      <c r="D47" s="14"/>
      <c r="E47" s="14"/>
      <c r="F47" s="14"/>
      <c r="G47" s="26" t="n">
        <f aca="false">SUMIF(G25:G33,"Após a entrega",N25:N33)</f>
        <v>6300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</row>
  </sheetData>
  <mergeCells count="58">
    <mergeCell ref="B1:Q1"/>
    <mergeCell ref="B2:Q2"/>
    <mergeCell ref="B4:D4"/>
    <mergeCell ref="E4:Q4"/>
    <mergeCell ref="B5:D5"/>
    <mergeCell ref="E5:Q5"/>
    <mergeCell ref="B6:D6"/>
    <mergeCell ref="E6:Q6"/>
    <mergeCell ref="B7:D7"/>
    <mergeCell ref="E7:Q7"/>
    <mergeCell ref="B8:D8"/>
    <mergeCell ref="E8:Q8"/>
    <mergeCell ref="B9:D9"/>
    <mergeCell ref="E9:Q9"/>
    <mergeCell ref="B10:D10"/>
    <mergeCell ref="E10:Q10"/>
    <mergeCell ref="B12:Q12"/>
    <mergeCell ref="K13:L13"/>
    <mergeCell ref="N13:P13"/>
    <mergeCell ref="K14:L14"/>
    <mergeCell ref="N14:P14"/>
    <mergeCell ref="K15:L15"/>
    <mergeCell ref="N15:P15"/>
    <mergeCell ref="K16:L16"/>
    <mergeCell ref="N16:P16"/>
    <mergeCell ref="K17:L17"/>
    <mergeCell ref="N17:P17"/>
    <mergeCell ref="K18:L18"/>
    <mergeCell ref="N18:P18"/>
    <mergeCell ref="K19:L19"/>
    <mergeCell ref="N19:P19"/>
    <mergeCell ref="K20:L20"/>
    <mergeCell ref="N20:P20"/>
    <mergeCell ref="K21:L21"/>
    <mergeCell ref="N21:P21"/>
    <mergeCell ref="B23:Q23"/>
    <mergeCell ref="B35:Q35"/>
    <mergeCell ref="B36:D36"/>
    <mergeCell ref="F36:G36"/>
    <mergeCell ref="B37:D37"/>
    <mergeCell ref="F37:G37"/>
    <mergeCell ref="B38:D38"/>
    <mergeCell ref="F38:G38"/>
    <mergeCell ref="B39:D39"/>
    <mergeCell ref="F39:G39"/>
    <mergeCell ref="B40:D40"/>
    <mergeCell ref="F40:G40"/>
    <mergeCell ref="B42:Q42"/>
    <mergeCell ref="B43:F43"/>
    <mergeCell ref="G43:Q43"/>
    <mergeCell ref="B44:F44"/>
    <mergeCell ref="G44:Q44"/>
    <mergeCell ref="B45:F45"/>
    <mergeCell ref="G45:Q45"/>
    <mergeCell ref="B46:F46"/>
    <mergeCell ref="G46:Q46"/>
    <mergeCell ref="B47:F47"/>
    <mergeCell ref="G47:Q47"/>
  </mergeCells>
  <conditionalFormatting sqref="H14:H21">
    <cfRule type="expression" priority="2" aboveAverage="0" equalAverage="0" bottom="0" percent="0" rank="0" text="" dxfId="0">
      <formula>H14="Conforme"</formula>
    </cfRule>
    <cfRule type="expression" priority="3" aboveAverage="0" equalAverage="0" bottom="0" percent="0" rank="0" text="" dxfId="2">
      <formula>H14="Verificação pendente"</formula>
    </cfRule>
    <cfRule type="expression" priority="4" aboveAverage="0" equalAverage="0" bottom="0" percent="0" rank="0" text="" dxfId="3">
      <formula>H14="Com desvio"</formula>
    </cfRule>
  </conditionalFormatting>
  <conditionalFormatting sqref="I14:I21">
    <cfRule type="expression" priority="5" aboveAverage="0" equalAverage="0" bottom="0" percent="0" rank="0" text="" dxfId="0">
      <formula>I14="Liberado"</formula>
    </cfRule>
    <cfRule type="expression" priority="6" aboveAverage="0" equalAverage="0" bottom="0" percent="0" rank="0" text="" dxfId="2">
      <formula>I14="Liberado com autorização"</formula>
    </cfRule>
    <cfRule type="expression" priority="7" aboveAverage="0" equalAverage="0" bottom="0" percent="0" rank="0" text="" dxfId="3">
      <formula>I14="Retido"</formula>
    </cfRule>
  </conditionalFormatting>
  <conditionalFormatting sqref="Q14:Q21">
    <cfRule type="expression" priority="8" aboveAverage="0" equalAverage="0" bottom="0" percent="0" rank="0" text="" dxfId="0">
      <formula>OR(Q14="OK")</formula>
    </cfRule>
    <cfRule type="expression" priority="9" aboveAverage="0" equalAverage="0" bottom="0" percent="0" rank="0" text="" dxfId="1">
      <formula>AND(LEN(Q14)&gt;0,NOT(OR(Q14="OK")))</formula>
    </cfRule>
  </conditionalFormatting>
  <conditionalFormatting sqref="P25:P33">
    <cfRule type="expression" priority="10" aboveAverage="0" equalAverage="0" bottom="0" percent="0" rank="0" text="" dxfId="0">
      <formula>P25="Encerrado"</formula>
    </cfRule>
    <cfRule type="expression" priority="11" aboveAverage="0" equalAverage="0" bottom="0" percent="0" rank="0" text="" dxfId="2">
      <formula>P25="Em tratamento"</formula>
    </cfRule>
    <cfRule type="expression" priority="12" aboveAverage="0" equalAverage="0" bottom="0" percent="0" rank="0" text="" dxfId="3">
      <formula>P25="Aberto"</formula>
    </cfRule>
  </conditionalFormatting>
  <conditionalFormatting sqref="Q25:Q33">
    <cfRule type="expression" priority="13" aboveAverage="0" equalAverage="0" bottom="0" percent="0" rank="0" text="" dxfId="0">
      <formula>Q25="OK"</formula>
    </cfRule>
    <cfRule type="expression" priority="14" aboveAverage="0" equalAverage="0" bottom="0" percent="0" rank="0" text="" dxfId="4">
      <formula>Q25="Falta informar o cliente"</formula>
    </cfRule>
    <cfRule type="expression" priority="15" aboveAverage="0" equalAverage="0" bottom="0" percent="0" rank="0" text="" dxfId="4">
      <formula>Q25="Defeito repetido: avaliar ação corretiva"</formula>
    </cfRule>
    <cfRule type="expression" priority="16" aboveAverage="0" equalAverage="0" bottom="0" percent="0" rank="0" text="" dxfId="1">
      <formula>LEN(Q25)&gt;0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2026-10-05T12:05:36Z</dcterms:created>
  <dc:creator>Modelo Liberação</dc:creator>
  <dc:description/>
  <dc:language>pt-BR</dc:language>
  <cp:lastModifiedBy/>
  <dcterms:modified xsi:type="dcterms:W3CDTF">2026-10-05T12:05:36Z</dcterms:modified>
  <cp:revision>0</cp:revision>
  <dc:subject/>
  <dc:title>Liberação e produto não conforme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