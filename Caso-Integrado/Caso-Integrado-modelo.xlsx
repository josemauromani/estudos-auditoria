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astro" sheetId="2" state="visible" r:id="rId4"/>
    <sheet name="Calendário" sheetId="3" state="visible" r:id="rId5"/>
    <sheet name="Estudo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2" name="_xlnm.Print_Area" vbProcedure="false">Calendário!$B$1:$Z$55</definedName>
    <definedName function="false" hidden="false" localSheetId="5" name="_xlnm.Print_Area" vbProcedure="false">Checklist!$B$1:$E$24</definedName>
    <definedName function="false" hidden="false" localSheetId="3" name="_xlnm.Print_Area" vbProcedure="false">Estudos!$B$1:$G$38</definedName>
    <definedName function="false" hidden="false" localSheetId="6" name="_xlnm.Print_Area" vbProcedure="false">'Exemplo 1 - Pizzaria'!$B$1:$Z$48</definedName>
    <definedName function="false" hidden="false" localSheetId="7" name="_xlnm.Print_Area" vbProcedure="false">'Exemplo 2 - Indústria'!$B$1:$Z$46</definedName>
    <definedName function="false" hidden="false" localSheetId="0" name="_xlnm.Print_Area" vbProcedure="false">Instruções!$B$1:$C$43</definedName>
    <definedName function="false" hidden="false" localSheetId="4" name="_xlnm.Print_Area" vbProcedure="false">Painel!$B$1:$F$41</definedName>
    <definedName function="false" hidden="false" localSheetId="1" name="_xlnm.Print_Area" vbProcedure="false">Rastro!$B$1:$J$42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6" authorId="0">
      <text>
        <r>
          <rPr>
            <sz val="10"/>
            <rFont val="Arial"/>
            <family val="2"/>
          </rPr>
          <t xml:space="preserve">O registro que prova o passo, com o número: RNC 2027-22, ata de 18/02/2027, folha de verificação. É ele que o auditor pede.</t>
        </r>
      </text>
    </comment>
    <comment ref="H6" authorId="0">
      <text>
        <r>
          <rPr>
            <sz val="10"/>
            <rFont val="Arial"/>
            <family val="2"/>
          </rPr>
          <t xml:space="preserve">O estudo que recebeu a saída. Precisa ser o estudo da linha seguinte; se não for, o fio pulou um passo.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8" authorId="0">
      <text>
        <r>
          <rPr>
            <sz val="10"/>
            <rFont val="Arial"/>
            <family val="2"/>
          </rPr>
          <t xml:space="preserve">O primeiro mês em que a atividade acontece no ano. Uma atividade semestral com início em 2 acontece em fevereiro e em agosto.</t>
        </r>
      </text>
    </comment>
    <comment ref="I8" authorId="0">
      <text>
        <r>
          <rPr>
            <sz val="10"/>
            <rFont val="Arial"/>
            <family val="2"/>
          </rPr>
          <t xml:space="preserve">Marque com X, ou com a data, o mês em que a atividade foi feita. As cores mostram o que estava previsto.</t>
        </r>
      </text>
    </comment>
  </commentList>
</comments>
</file>

<file path=xl/sharedStrings.xml><?xml version="1.0" encoding="utf-8"?>
<sst xmlns="http://schemas.openxmlformats.org/spreadsheetml/2006/main" count="814" uniqueCount="404">
  <si>
    <t xml:space="preserve">Caso integrado — Como usar esta planilha</t>
  </si>
  <si>
    <t xml:space="preserve">Modelo para seguir o fio de um problema pelos registros e para manter o calendário anual do sistema.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</si>
  <si>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</si>
  <si>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</si>
  <si>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</si>
  <si>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</si>
  <si>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(dias, previstas, feitas, atrasadas, situações,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</si>
  <si>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</si>
  <si>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</si>
  <si>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</si>
  <si>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Estudo, próximo estudo, frequência e checklist aceitam apenas as opções da lista. Os estudos vêm da aba Estudos.</t>
  </si>
  <si>
    <t xml:space="preserve">Cores do calendário</t>
  </si>
  <si>
    <t xml:space="preserve">Azul-claro: feita. Vermelho: prevista e não feita até o mês da leitura. Cinza: prevista para depois. Amarelo: feita fora do plano.</t>
  </si>
  <si>
    <t xml:space="preserve">As regras de cálculo</t>
  </si>
  <si>
    <t xml:space="preserve">Dias</t>
  </si>
  <si>
    <t xml:space="preserve">A data do passo menos a data do passo da linha de cima.</t>
  </si>
  <si>
    <t xml:space="preserve">Conferência do rastro</t>
  </si>
  <si>
    <t xml:space="preserve">Cada passo, menos o último, precisa da saída e do próximo estudo, e o próximo estudo precisa ser o estudo da linha seguinte.</t>
  </si>
  <si>
    <t xml:space="preserve">Meses previstos</t>
  </si>
  <si>
    <t xml:space="preserve">Do mês de início até dezembro, a cada 1, 2, 3, 6 ou 12 meses, conforme a frequência.</t>
  </si>
  <si>
    <t xml:space="preserve">Previstas e feitas</t>
  </si>
  <si>
    <t xml:space="preserve">As vezes previstas até o mês da leitura, e quantas delas têm marca no mês.</t>
  </si>
  <si>
    <t xml:space="preserve">Em dia</t>
  </si>
  <si>
    <t xml:space="preserve">Todas as previstas até o mês da leitura foram feitas.</t>
  </si>
  <si>
    <t xml:space="preserve">Com atraso</t>
  </si>
  <si>
    <t xml:space="preserve">Ao menos uma prevista até o mês da leitura não foi feita.</t>
  </si>
  <si>
    <t xml:space="preserve">Ainda não começou</t>
  </si>
  <si>
    <t xml:space="preserve">O primeiro mês previsto é depois do mês da leitura.</t>
  </si>
  <si>
    <t xml:space="preserve">Fora do plano</t>
  </si>
  <si>
    <t xml:space="preserve">Marca num mês em que a atividade não estava prevista. Não entra nas feitas.</t>
  </si>
  <si>
    <t xml:space="preserve">Ordem recomendada de preenchimento</t>
  </si>
  <si>
    <t xml:space="preserve">Passo 1</t>
  </si>
  <si>
    <t xml:space="preserve">Aba Rastro: dê um nome ao fio e registre os passos do mais antigo ao mais recente, um por linha, sem linhas em branco no meio.</t>
  </si>
  <si>
    <t xml:space="preserve">Passo 2</t>
  </si>
  <si>
    <t xml:space="preserve">Aba Rastro: para cada passo, o que saiu e o próximo estudo. Leia a coluna Conferência.</t>
  </si>
  <si>
    <t xml:space="preserve">Passo 3</t>
  </si>
  <si>
    <t xml:space="preserve">Aba Calendário: informe o ano e o mês da leitura.</t>
  </si>
  <si>
    <t xml:space="preserve">Passo 4</t>
  </si>
  <si>
    <t xml:space="preserve">Aba Calendário: liste as atividades periódicas, com estudo, requisito, responsável, frequência e mês de início.</t>
  </si>
  <si>
    <t xml:space="preserve">Passo 5</t>
  </si>
  <si>
    <t xml:space="preserve">Aba Calendário: marque com X os meses em que cada atividade foi feita.</t>
  </si>
  <si>
    <t xml:space="preserve">Passo 6</t>
  </si>
  <si>
    <t xml:space="preserve">Aba Painel: leia os avisos. Depois, valide na aba Checklist.</t>
  </si>
  <si>
    <t xml:space="preserve">Abas da planilha</t>
  </si>
  <si>
    <t xml:space="preserve">Rastro</t>
  </si>
  <si>
    <t xml:space="preserve">O nome do fio e até 30 passos. Calcula os dias entre os passos e a conferência.</t>
  </si>
  <si>
    <t xml:space="preserve">Calendário</t>
  </si>
  <si>
    <t xml:space="preserve">O ano, o mês da leitura e até 40 atividades. Calcula as previstas, as feitas, as atrasadas, a situação e a conferência.</t>
  </si>
  <si>
    <t xml:space="preserve">Estudos</t>
  </si>
  <si>
    <t xml:space="preserve">Os 34 estudos da série, com o grupo e o ritmo recomendado. Alimenta as listas suspensas.</t>
  </si>
  <si>
    <t xml:space="preserve">Painel</t>
  </si>
  <si>
    <t xml:space="preserve">Os números do fio e do calendário, o gráfico e o aviso.</t>
  </si>
  <si>
    <t xml:space="preserve">Checklist</t>
  </si>
  <si>
    <t xml:space="preserve">Doze verificações do sistema integrado, com percentual de conclusão.</t>
  </si>
  <si>
    <t xml:space="preserve">Exemplo 1 - Pizzaria</t>
  </si>
  <si>
    <t xml:space="preserve">Os atrasos das noites de pico, e o calendário de 2027 lido em junho.</t>
  </si>
  <si>
    <t xml:space="preserve">Exemplo 2 - Indústria</t>
  </si>
  <si>
    <t xml:space="preserve">O filme fino da extrusora 3, e o calendário de 2027 lido em setembro.</t>
  </si>
  <si>
    <t xml:space="preserve">Regras e premissas do modelo</t>
  </si>
  <si>
    <t xml:space="preserve">A lista traz os estudos desta série. Para usar outro nome, acrescente uma linha no fim da aba Estudos.</t>
  </si>
  <si>
    <t xml:space="preserve">Marca do mês</t>
  </si>
  <si>
    <t xml:space="preserve">Qualquer texto vale como feito. Use X, ou a data em que foi feito.</t>
  </si>
  <si>
    <t xml:space="preserve">Frequências</t>
  </si>
  <si>
    <t xml:space="preserve">Mensal, bimestral, trimestral, semestral ou anual. O que é contínuo fica fora do calendário.</t>
  </si>
  <si>
    <t xml:space="preserve">Exemplos</t>
  </si>
  <si>
    <t xml:space="preserve">Os dados das abas de exemplo são ilustrativos, criados para este material.</t>
  </si>
  <si>
    <t xml:space="preserve">Rastro de um fio</t>
  </si>
  <si>
    <t xml:space="preserve">Um passo por linha, do mais antigo ao mais recente. Cada passo diz o que saiu e para qual estudo foi.</t>
  </si>
  <si>
    <t xml:space="preserve">Fio</t>
  </si>
  <si>
    <t xml:space="preserve">O problema que está sendo seguido. Ex.: reclamação de filme fino do cliente A.</t>
  </si>
  <si>
    <t xml:space="preserve">Passo</t>
  </si>
  <si>
    <t xml:space="preserve">Data</t>
  </si>
  <si>
    <t xml:space="preserve">Estudo</t>
  </si>
  <si>
    <t xml:space="preserve">O que aconteceu</t>
  </si>
  <si>
    <t xml:space="preserve">Registro</t>
  </si>
  <si>
    <t xml:space="preserve">O que seguiu</t>
  </si>
  <si>
    <t xml:space="preserve">Próximo estudo</t>
  </si>
  <si>
    <t xml:space="preserve">Conferência</t>
  </si>
  <si>
    <t xml:space="preserve">Lista</t>
  </si>
  <si>
    <t xml:space="preserve">A decisão ou a ação</t>
  </si>
  <si>
    <t xml:space="preserve">RNC, ata, folha</t>
  </si>
  <si>
    <t xml:space="preserve">A saída deste passo</t>
  </si>
  <si>
    <t xml:space="preserve">Calculado</t>
  </si>
  <si>
    <t xml:space="preserve">Calculada</t>
  </si>
  <si>
    <t xml:space="preserve">Resumo automático</t>
  </si>
  <si>
    <t xml:space="preserve">Passos</t>
  </si>
  <si>
    <t xml:space="preserve">Duração</t>
  </si>
  <si>
    <t xml:space="preserve">Aviso</t>
  </si>
  <si>
    <t xml:space="preserve">Calendário do sistema</t>
  </si>
  <si>
    <t xml:space="preserve">Uma atividade periódica por linha. Marque com X os meses em que foi feita.</t>
  </si>
  <si>
    <t xml:space="preserve">Ano</t>
  </si>
  <si>
    <t xml:space="preserve">O ano do calendário.</t>
  </si>
  <si>
    <t xml:space="preserve">Mês da leitura (1 a 12)</t>
  </si>
  <si>
    <t xml:space="preserve">As previstas e as atrasadas contam até este mês, inclusive.</t>
  </si>
  <si>
    <t xml:space="preserve">#</t>
  </si>
  <si>
    <t xml:space="preserve">Atividade</t>
  </si>
  <si>
    <t xml:space="preserve">Requisito</t>
  </si>
  <si>
    <t xml:space="preserve">Responsável</t>
  </si>
  <si>
    <t xml:space="preserve">Frequência</t>
  </si>
  <si>
    <t xml:space="preserve">Mês de início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</si>
  <si>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</si>
  <si>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</si>
  <si>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</si>
  <si>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</si>
  <si>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</si>
  <si>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</si>
  <si>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</si>
  <si>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</si>
  <si>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</si>
  <si>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</si>
  <si>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</si>
  <si>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</si>
  <si>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Previstas</t>
  </si>
  <si>
    <t xml:space="preserve">Feitas</t>
  </si>
  <si>
    <t xml:space="preserve">Atrasadas</t>
  </si>
  <si>
    <t xml:space="preserve">Situação</t>
  </si>
  <si>
    <t xml:space="preserve">A cada</t>
  </si>
  <si>
    <t xml:space="preserve">Ex.: 9.2</t>
  </si>
  <si>
    <t xml:space="preserve">1 a 12</t>
  </si>
  <si>
    <t xml:space="preserve">Meses</t>
  </si>
  <si>
    <t xml:space="preserve">Atividades</t>
  </si>
  <si>
    <t xml:space="preserve">Até o mês da leitura</t>
  </si>
  <si>
    <t xml:space="preserve">Por situação</t>
  </si>
  <si>
    <t xml:space="preserve">Os estudos da série</t>
  </si>
  <si>
    <t xml:space="preserve">A lista usada nas listas suspensas, com o ritmo recomendado por este material.</t>
  </si>
  <si>
    <t xml:space="preserve">Título</t>
  </si>
  <si>
    <t xml:space="preserve">Grupo</t>
  </si>
  <si>
    <t xml:space="preserve">Ritmo</t>
  </si>
  <si>
    <t xml:space="preserve">O que se faz</t>
  </si>
  <si>
    <t xml:space="preserve">ISO 9001</t>
  </si>
  <si>
    <t xml:space="preserve">ISO 9001 requisito a requisito</t>
  </si>
  <si>
    <t xml:space="preserve">Conhecer a norma e montar o sistema</t>
  </si>
  <si>
    <t xml:space="preserve">Anual</t>
  </si>
  <si>
    <t xml:space="preserve">Diagnóstico requisito a requisito, uma vez por ano.</t>
  </si>
  <si>
    <t xml:space="preserve">ISO 9001:2026</t>
  </si>
  <si>
    <t xml:space="preserve">ISO 9001:2026: o que muda</t>
  </si>
  <si>
    <t xml:space="preserve">Quando necessário</t>
  </si>
  <si>
    <t xml:space="preserve">Uma vez, na transição, com o plano lido no calendário.</t>
  </si>
  <si>
    <t xml:space="preserve">Escopo e liderança</t>
  </si>
  <si>
    <t xml:space="preserve">Revisão do escopo e dos compromissos da direção.</t>
  </si>
  <si>
    <t xml:space="preserve">Informação documentada</t>
  </si>
  <si>
    <t xml:space="preserve">Revisão da lista mestra e da retenção.</t>
  </si>
  <si>
    <t xml:space="preserve">Matriz de competências</t>
  </si>
  <si>
    <t xml:space="preserve">Matriz de competências e treinamento</t>
  </si>
  <si>
    <t xml:space="preserve">Semestral</t>
  </si>
  <si>
    <t xml:space="preserve">Matriz atualizada e plano de treinamento.</t>
  </si>
  <si>
    <t xml:space="preserve">Calibração</t>
  </si>
  <si>
    <t xml:space="preserve">Calibração e recursos de medição</t>
  </si>
  <si>
    <t xml:space="preserve">Mensal</t>
  </si>
  <si>
    <t xml:space="preserve">Leitura dos vencimentos e ronda metrológica.</t>
  </si>
  <si>
    <t xml:space="preserve">Recursos e infraestrutura</t>
  </si>
  <si>
    <t xml:space="preserve">Recursos, infraestrutura e ambiente</t>
  </si>
  <si>
    <t xml:space="preserve">Ronda dos recursos: escala, preventivas, ambiente.</t>
  </si>
  <si>
    <t xml:space="preserve">Conhecimento e pós-entrega</t>
  </si>
  <si>
    <t xml:space="preserve">Conhecimento organizacional e pós-entrega</t>
  </si>
  <si>
    <t xml:space="preserve">Ronda do aprendizado: lições e atendimentos.</t>
  </si>
  <si>
    <t xml:space="preserve">Partes interessadas</t>
  </si>
  <si>
    <t xml:space="preserve">Conhecer a organização e planejar</t>
  </si>
  <si>
    <t xml:space="preserve">Revisão das partes e dos requisitos.</t>
  </si>
  <si>
    <t xml:space="preserve">Matriz SWOT</t>
  </si>
  <si>
    <t xml:space="preserve">Diagnóstico estratégico, antes do planejamento do ano.</t>
  </si>
  <si>
    <t xml:space="preserve">Objetivos da qualidade</t>
  </si>
  <si>
    <t xml:space="preserve">Trimestral</t>
  </si>
  <si>
    <t xml:space="preserve">Acompanhamento dos objetivos e dos planos.</t>
  </si>
  <si>
    <t xml:space="preserve">Requisitos do cliente</t>
  </si>
  <si>
    <t xml:space="preserve">Requisitos do cliente e análise de pedidos</t>
  </si>
  <si>
    <t xml:space="preserve">Contínuo</t>
  </si>
  <si>
    <t xml:space="preserve">A cada pedido, com leitura mensal dos registros.</t>
  </si>
  <si>
    <t xml:space="preserve">Projeto e desenvolvimento</t>
  </si>
  <si>
    <t xml:space="preserve">A cada produto ou serviço novo.</t>
  </si>
  <si>
    <t xml:space="preserve">Mapa de processos</t>
  </si>
  <si>
    <t xml:space="preserve">Mapa de processos e diagrama de tartaruga</t>
  </si>
  <si>
    <t xml:space="preserve">Revisão anual, ou quando um processo muda.</t>
  </si>
  <si>
    <t xml:space="preserve">SIPOC</t>
  </si>
  <si>
    <t xml:space="preserve">Revisão anual, ou quando o processo muda.</t>
  </si>
  <si>
    <t xml:space="preserve">Matriz RACI</t>
  </si>
  <si>
    <t xml:space="preserve">Revisão anual, ou quando a equipe muda.</t>
  </si>
  <si>
    <t xml:space="preserve">Matriz de riscos</t>
  </si>
  <si>
    <t xml:space="preserve">Revisão dos riscos e das ações.</t>
  </si>
  <si>
    <t xml:space="preserve">Controle de produção</t>
  </si>
  <si>
    <t xml:space="preserve">Controle de produção e de serviço</t>
  </si>
  <si>
    <t xml:space="preserve">Plano de controle todo dia, com leitura mensal.</t>
  </si>
  <si>
    <t xml:space="preserve">Liberação e produto não conforme</t>
  </si>
  <si>
    <t xml:space="preserve">A cada lote, com leitura mensal dos registros.</t>
  </si>
  <si>
    <t xml:space="preserve">Matriz GUT</t>
  </si>
  <si>
    <t xml:space="preserve">Resolver problemas e melhorar</t>
  </si>
  <si>
    <t xml:space="preserve">Escolha dos problemas do trimestre.</t>
  </si>
  <si>
    <t xml:space="preserve">Pareto</t>
  </si>
  <si>
    <t xml:space="preserve">Pareto e folha de verificação</t>
  </si>
  <si>
    <t xml:space="preserve">A cada problema escolhido.</t>
  </si>
  <si>
    <t xml:space="preserve">Histograma e CEP</t>
  </si>
  <si>
    <t xml:space="preserve">A cada subgrupo medido, com leitura mensal dos sinais.</t>
  </si>
  <si>
    <t xml:space="preserve">Ishikawa</t>
  </si>
  <si>
    <t xml:space="preserve">Diagrama de Ishikawa</t>
  </si>
  <si>
    <t xml:space="preserve">5W2H</t>
  </si>
  <si>
    <t xml:space="preserve">A cada plano de ação.</t>
  </si>
  <si>
    <t xml:space="preserve">PDCA</t>
  </si>
  <si>
    <t xml:space="preserve">A cada problema escolhido, do começo ao fim.</t>
  </si>
  <si>
    <t xml:space="preserve">Indicadores</t>
  </si>
  <si>
    <t xml:space="preserve">Indicadores de desempenho</t>
  </si>
  <si>
    <t xml:space="preserve">Verificar e corrigir o sistema</t>
  </si>
  <si>
    <t xml:space="preserve">Reunião mensal de indicadores.</t>
  </si>
  <si>
    <t xml:space="preserve">Auditoria interna</t>
  </si>
  <si>
    <t xml:space="preserve">Programa com auditorias a cada semestre.</t>
  </si>
  <si>
    <t xml:space="preserve">Técnica de auditoria</t>
  </si>
  <si>
    <t xml:space="preserve">A cada auditoria interna, com a avaliação dos auditores.</t>
  </si>
  <si>
    <t xml:space="preserve">Não conformidade</t>
  </si>
  <si>
    <t xml:space="preserve">Não conformidade e ação corretiva</t>
  </si>
  <si>
    <t xml:space="preserve">A cada desvio, com leitura mensal dos registros.</t>
  </si>
  <si>
    <t xml:space="preserve">Análise crítica</t>
  </si>
  <si>
    <t xml:space="preserve">Análise crítica pela direção</t>
  </si>
  <si>
    <t xml:space="preserve">Reunião da direção a cada semestre.</t>
  </si>
  <si>
    <t xml:space="preserve">Avaliação de fornecedores</t>
  </si>
  <si>
    <t xml:space="preserve">Avaliação dos fornecedores críticos.</t>
  </si>
  <si>
    <t xml:space="preserve">Satisfação do cliente</t>
  </si>
  <si>
    <t xml:space="preserve">Reclamações todo dia, pesquisa a cada trimestre.</t>
  </si>
  <si>
    <t xml:space="preserve">Processo de certificação</t>
  </si>
  <si>
    <t xml:space="preserve">Auditoria do organismo a cada ano, com a preparação.</t>
  </si>
  <si>
    <t xml:space="preserve">Caso integrado</t>
  </si>
  <si>
    <t xml:space="preserve">Leitura mensal do calendário e dos fios abertos.</t>
  </si>
  <si>
    <t xml:space="preserve">Painel do sistema integrado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</si>
  <si>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</si>
  <si>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</si>
  <si>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</si>
  <si>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</si>
  <si>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O FIO</t>
  </si>
  <si>
    <t xml:space="preserve">Da aba Rastro.</t>
  </si>
  <si>
    <t xml:space="preserve">Estudos diferentes</t>
  </si>
  <si>
    <t xml:space="preserve">Por quantos estudos o problema passou.</t>
  </si>
  <si>
    <t xml:space="preserve">Dias do primeiro ao último passo</t>
  </si>
  <si>
    <t xml:space="preserve">A duração do fio.</t>
  </si>
  <si>
    <t xml:space="preserve">Maior intervalo entre passos</t>
  </si>
  <si>
    <t xml:space="preserve">Onde o fio esperou mais.</t>
  </si>
  <si>
    <t xml:space="preserve">Passos a completar</t>
  </si>
  <si>
    <t xml:space="preserve">Conferências diferentes de OK.</t>
  </si>
  <si>
    <t xml:space="preserve">O CALENDÁRIO</t>
  </si>
  <si>
    <t xml:space="preserve">Mês da leitura</t>
  </si>
  <si>
    <t xml:space="preserve">Da aba Calendário.</t>
  </si>
  <si>
    <t xml:space="preserve">Atividades periódicas do sistema.</t>
  </si>
  <si>
    <t xml:space="preserve">Previstas até o mês</t>
  </si>
  <si>
    <t xml:space="preserve">Vezes previstas até o mês da leitura.</t>
  </si>
  <si>
    <t xml:space="preserve">Das previstas, as que têm marca.</t>
  </si>
  <si>
    <t xml:space="preserve">Cumprimento</t>
  </si>
  <si>
    <t xml:space="preserve">Feitas ÷ previstas.</t>
  </si>
  <si>
    <t xml:space="preserve">Previstas e não feitas.</t>
  </si>
  <si>
    <t xml:space="preserve">Atividades com atraso</t>
  </si>
  <si>
    <t xml:space="preserve">Levar à reunião mensal.</t>
  </si>
  <si>
    <t xml:space="preserve">Feitas fora do plano</t>
  </si>
  <si>
    <t xml:space="preserve">Recuperação de atraso, ou plano a rever.</t>
  </si>
  <si>
    <t xml:space="preserve">Atividades a completar</t>
  </si>
  <si>
    <t xml:space="preserve">Atividades por situação</t>
  </si>
  <si>
    <t xml:space="preserve">Checklist do sistema integrado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</si>
  <si>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</si>
  <si>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</si>
  <si>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</si>
  <si>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</si>
  <si>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Cada estudo usado na organização tem dono e frequência definidos.</t>
  </si>
  <si>
    <t xml:space="preserve">Existe um calendário anual com as atividades do sistema, os meses e os responsáveis.</t>
  </si>
  <si>
    <t xml:space="preserve">O calendário é lido todo mês, e as atividades atrasadas ganham data nova.</t>
  </si>
  <si>
    <t xml:space="preserve">As saídas de cada processo do sistema têm destino conhecido.</t>
  </si>
  <si>
    <t xml:space="preserve">É possível seguir um problema importante do primeiro registro à decisão final.</t>
  </si>
  <si>
    <t xml:space="preserve">Os registros citam uns aos outros: o RNC cita a reclamação, a ata cita o RNC.</t>
  </si>
  <si>
    <t xml:space="preserve">Os intervalos longos entre um passo e o seguinte são percebidos e discutidos.</t>
  </si>
  <si>
    <t xml:space="preserve">A análise crítica recebe o que os estudos produziram, e não só os indicadores.</t>
  </si>
  <si>
    <t xml:space="preserve">As decisões da análise crítica voltam aos objetivos, aos recursos e aos riscos.</t>
  </si>
  <si>
    <t xml:space="preserve">O que se aprende no fio vira lição incorporada.</t>
  </si>
  <si>
    <t xml:space="preserve">A implantação seguiu uma ordem: base, planejamento, operação, verificação.</t>
  </si>
  <si>
    <t xml:space="preserve">A equipe sabe explicar como o seu trabalho entra no sistema.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</si>
  <si>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</si>
  <si>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</si>
  <si>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</si>
  <si>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</si>
  <si>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</si>
  <si>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as abas Rastro e Calendário para a sua organização.</t>
  </si>
  <si>
    <t xml:space="preserve">Organização</t>
  </si>
  <si>
    <t xml:space="preserve">Pizzaria (loja com salão e delivery)</t>
  </si>
  <si>
    <t xml:space="preserve">Os atrasos das noites de sexta e de sábado</t>
  </si>
  <si>
    <t xml:space="preserve">Origem</t>
  </si>
  <si>
    <t xml:space="preserve">18% das entregas chegavam depois de 40 minutos em junho de 2026.</t>
  </si>
  <si>
    <t xml:space="preserve">Responsável pelo calendário</t>
  </si>
  <si>
    <t xml:space="preserve">Gerente da loja</t>
  </si>
  <si>
    <t xml:space="preserve">Ano e mês da leitura</t>
  </si>
  <si>
    <t xml:space="preserve">Rastro do fio</t>
  </si>
  <si>
    <t xml:space="preserve">Ciclo aberto: 18% das entregas depois de 40 minutos. Meta de 95% em 12 semanas.</t>
  </si>
  <si>
    <t xml:space="preserve">Ciclo PDCA dos atrasos</t>
  </si>
  <si>
    <t xml:space="preserve">O problema medido, para estratificar</t>
  </si>
  <si>
    <t xml:space="preserve">Folha de verificação: em 46% dos atrasos, a pizza pronta esperou entregador, nas sextas e nos sábados.</t>
  </si>
  <si>
    <t xml:space="preserve">Folha de verificação de 15/06 a 09/07</t>
  </si>
  <si>
    <t xml:space="preserve">Os dois motivos principais</t>
  </si>
  <si>
    <t xml:space="preserve">Cinco causas confirmadas; quatro vão para o plano: escala igual todos os dias, pedidos sem agrupamento por bairro, endereço sem complemento e tempo medido só pela média do dia. A fila do forno fica para depois.</t>
  </si>
  <si>
    <t xml:space="preserve">Diagrama de 17/07/2026</t>
  </si>
  <si>
    <t xml:space="preserve">Quatro causas para o plano</t>
  </si>
  <si>
    <t xml:space="preserve">Seis ações, de A1 a A6: reforçar a escala no pico, tornar o complemento obrigatório, treinar a expedição, agrupar os pedidos por bairro, medir o tempo por faixa de horário e atualizar a instrução da expedição.</t>
  </si>
  <si>
    <t xml:space="preserve">Plano de ação de 24/07/2026</t>
  </si>
  <si>
    <t xml:space="preserve">Ações com dono e prazo</t>
  </si>
  <si>
    <t xml:space="preserve">Média de 95,5% nas semanas 9 a 12. Meta atingida, e a escala do pico vira padrão.</t>
  </si>
  <si>
    <t xml:space="preserve">Ciclo PDCA, etapa de padronização</t>
  </si>
  <si>
    <t xml:space="preserve">O segundo motivo, a fila do forno, fica para depois</t>
  </si>
  <si>
    <t xml:space="preserve">O forno único no limite do pico entra na lista dos problemas do trimestre.</t>
  </si>
  <si>
    <t xml:space="preserve">Matriz GUT de 29/09/2026</t>
  </si>
  <si>
    <t xml:space="preserve">Os problemas do trimestre, para acompanhar</t>
  </si>
  <si>
    <t xml:space="preserve">Entregas em até 40 minutos: 95% em setembro, com o padrão mantido.</t>
  </si>
  <si>
    <t xml:space="preserve">Painel de indicadores, P1</t>
  </si>
  <si>
    <t xml:space="preserve">O indicador estável e o forno no limite</t>
  </si>
  <si>
    <t xml:space="preserve">Decisões: atendente de salão nas noites de pico, e um segundo pizzaiolo treinado no forno.</t>
  </si>
  <si>
    <t xml:space="preserve">Ata da análise crítica de 14/12/2026</t>
  </si>
  <si>
    <t xml:space="preserve">Objetivos e metas para 2027</t>
  </si>
  <si>
    <t xml:space="preserve">Objetivo O1: 96% das entregas em até 40 minutos. Ações: rever a escala com os condomínios novos e estudar o segundo forno.</t>
  </si>
  <si>
    <t xml:space="preserve">Objetivos de 2027, O1</t>
  </si>
  <si>
    <t xml:space="preserve">A escala revista em março</t>
  </si>
  <si>
    <t xml:space="preserve">Na sexta, pico de 29 entregas por hora para 8 entregadores: faltam 2, mesmo com os extras de março. Falta também um forneiro.</t>
  </si>
  <si>
    <t xml:space="preserve">Dimensionamento das pessoas no pico</t>
  </si>
  <si>
    <t xml:space="preserve">O forno e a escala como gargalos da sexta</t>
  </si>
  <si>
    <t xml:space="preserve">A regulagem do forno está só na cabeça do pizzaiolo líder, que sai em agosto. Transferência planejada até 30/06.</t>
  </si>
  <si>
    <t xml:space="preserve">Mapa do conhecimento, K-01</t>
  </si>
  <si>
    <t xml:space="preserve">O risco do forno, com prazo</t>
  </si>
  <si>
    <t xml:space="preserve">Entradas: o objetivo O1, a falta de gente no pico e a saída do pizzaiolo líder. Decisões: segundo forno e escala nova da sexta.</t>
  </si>
  <si>
    <t xml:space="preserve">Ata da análise crítica de 14/06/2027</t>
  </si>
  <si>
    <t xml:space="preserve">Início</t>
  </si>
  <si>
    <t xml:space="preserve">Fora</t>
  </si>
  <si>
    <t xml:space="preserve">Reunião de indicadores</t>
  </si>
  <si>
    <t xml:space="preserve">9.1.3</t>
  </si>
  <si>
    <t xml:space="preserve">X</t>
  </si>
  <si>
    <t xml:space="preserve">Verificação dos termômetros e da balança</t>
  </si>
  <si>
    <t xml:space="preserve">7.1.5</t>
  </si>
  <si>
    <t xml:space="preserve">Pizzaiolo líder</t>
  </si>
  <si>
    <t xml:space="preserve">Revisão do forno e das motos</t>
  </si>
  <si>
    <t xml:space="preserve">7.1.3</t>
  </si>
  <si>
    <t xml:space="preserve">Revisão da câmara fria</t>
  </si>
  <si>
    <t xml:space="preserve">Ronda do aprendizado</t>
  </si>
  <si>
    <t xml:space="preserve">7.1.6 · 8.5.5</t>
  </si>
  <si>
    <t xml:space="preserve">Pesquisa de satisfação</t>
  </si>
  <si>
    <t xml:space="preserve">9.1.2</t>
  </si>
  <si>
    <t xml:space="preserve">Atendente líder</t>
  </si>
  <si>
    <t xml:space="preserve">Acompanhamento dos objetivos</t>
  </si>
  <si>
    <t xml:space="preserve">6.2</t>
  </si>
  <si>
    <t xml:space="preserve">Escolha dos problemas do trimestre</t>
  </si>
  <si>
    <t xml:space="preserve">10.1</t>
  </si>
  <si>
    <t xml:space="preserve">Avaliação dos fornecedores</t>
  </si>
  <si>
    <t xml:space="preserve">8.4</t>
  </si>
  <si>
    <t xml:space="preserve">Revisão da matriz de riscos</t>
  </si>
  <si>
    <t xml:space="preserve">6.1</t>
  </si>
  <si>
    <t xml:space="preserve">9.2</t>
  </si>
  <si>
    <t xml:space="preserve">7.2</t>
  </si>
  <si>
    <t xml:space="preserve">9.3</t>
  </si>
  <si>
    <t xml:space="preserve">Dono da loja</t>
  </si>
  <si>
    <t xml:space="preserve">Revisão da lista mestra de documentos</t>
  </si>
  <si>
    <t xml:space="preserve">7.5</t>
  </si>
  <si>
    <t xml:space="preserve">SWOT e partes interessadas</t>
  </si>
  <si>
    <t xml:space="preserve">4.1 · 4.2</t>
  </si>
  <si>
    <t xml:space="preserve">Linhas a completar</t>
  </si>
  <si>
    <t xml:space="preserve">Indústria de embalagens plásticas</t>
  </si>
  <si>
    <t xml:space="preserve">O filme fino da extrusora 3</t>
  </si>
  <si>
    <t xml:space="preserve">Sétima reclamação do cliente A em 2026, a quinta por espessura.</t>
  </si>
  <si>
    <t xml:space="preserve">Coordenador da Qualidade</t>
  </si>
  <si>
    <t xml:space="preserve">Cliente A reclama de espessura fora: a sétima reclamação do ano, a quinta pelo mesmo motivo.</t>
  </si>
  <si>
    <t xml:space="preserve">Registro de reclamação de 14/09/2026</t>
  </si>
  <si>
    <t xml:space="preserve">A reclamação, para análise de causa</t>
  </si>
  <si>
    <t xml:space="preserve">Causa: variação de espessura na extrusora 3, sem medidor em linha. Inspeção de 100% das bobinas do cliente A.</t>
  </si>
  <si>
    <t xml:space="preserve">RNC 2026-32</t>
  </si>
  <si>
    <t xml:space="preserve">A proposta dos dois medidores de espessura em linha</t>
  </si>
  <si>
    <t xml:space="preserve">Aprova os dois medidores em linha e cobra a homologação do segundo fornecedor de resina, ação da matriz de riscos.</t>
  </si>
  <si>
    <t xml:space="preserve">Ata da análise crítica de 18/02/2027</t>
  </si>
  <si>
    <t xml:space="preserve">A homologação, com prazo</t>
  </si>
  <si>
    <t xml:space="preserve">Segundo fornecedor de resina homologado.</t>
  </si>
  <si>
    <t xml:space="preserve">Registro de homologação de 29/03/2027</t>
  </si>
  <si>
    <t xml:space="preserve">A resina nova liberada para uso</t>
  </si>
  <si>
    <t xml:space="preserve">Mudança registrada: resina do segundo fornecedor na extrusora 3, depois do lote piloto 127, de duas bobinas; o lote 135 é o primeiro da produção regular.</t>
  </si>
  <si>
    <t xml:space="preserve">Registro de mudança de 14/05/2027</t>
  </si>
  <si>
    <t xml:space="preserve">O lote 135, para liberar</t>
  </si>
  <si>
    <t xml:space="preserve">Bobina 1 com 37,4 µm, segregada. Bobina 2 com 39,1 µm, liberada e embarcada em 17/05.</t>
  </si>
  <si>
    <t xml:space="preserve">Registro de produto não conforme 2027-19</t>
  </si>
  <si>
    <t xml:space="preserve">A bobina 2, no cliente A</t>
  </si>
  <si>
    <t xml:space="preserve">Cliente A reclama de filme fino no lote 135. Bobina recolhida e reposta em 26/05.</t>
  </si>
  <si>
    <t xml:space="preserve">Registro de produto não conforme 2027-22</t>
  </si>
  <si>
    <t xml:space="preserve">A dúvida sobre a medição</t>
  </si>
  <si>
    <t xml:space="preserve">O micrômetro marca 1,6 µm a mais. Medições corrigidas desde 10/01: 6 bobinas abaixo de 38 µm, 2 entregues. Clientes informados em 14/06.</t>
  </si>
  <si>
    <t xml:space="preserve">Registro de verificação FV-12</t>
  </si>
  <si>
    <t xml:space="preserve">A lição sobre reclamação de espessura</t>
  </si>
  <si>
    <t xml:space="preserve">Lição incorporada: reclamação de espessura dispara a verificação do micrômetro do posto.</t>
  </si>
  <si>
    <t xml:space="preserve">Lição I-01, procedimento PQ-08</t>
  </si>
  <si>
    <t xml:space="preserve">A extrusora 3 sob atenção</t>
  </si>
  <si>
    <t xml:space="preserve">Três quebras da extrusora 3 em julho, 40 horas paradas, com a preventiva adiada desde junho.</t>
  </si>
  <si>
    <t xml:space="preserve">Registro de manutenções de julho</t>
  </si>
  <si>
    <t xml:space="preserve">A disponibilidade abaixo da meta</t>
  </si>
  <si>
    <t xml:space="preserve">Entradas: o lote 135, o micrômetro reprovado e as quebras de julho. Decisões: antecipar o medidor em linha e planejar a passagem do conhecimento do operador sênior.</t>
  </si>
  <si>
    <t xml:space="preserve">Ata da análise crítica de 19/08/2027</t>
  </si>
  <si>
    <t xml:space="preserve">A passagem do conhecimento, com prazo</t>
  </si>
  <si>
    <t xml:space="preserve">Mapa do conhecimento: a regulagem da extrusora 3 e a medição da rosca estão críticas, com transferência planejada.</t>
  </si>
  <si>
    <t xml:space="preserve">Mapa do conhecimento, C-01 e C-03</t>
  </si>
  <si>
    <t xml:space="preserve">Programa de calibração</t>
  </si>
  <si>
    <t xml:space="preserve">Analista da Qualidade</t>
  </si>
  <si>
    <t xml:space="preserve">Preventiva das extrusoras</t>
  </si>
  <si>
    <t xml:space="preserve">Supervisor de manutenção</t>
  </si>
  <si>
    <t xml:space="preserve">Mapa do conhecimento</t>
  </si>
  <si>
    <t xml:space="preserve">7.1.6</t>
  </si>
  <si>
    <t xml:space="preserve">Gerente industrial</t>
  </si>
  <si>
    <t xml:space="preserve">Gerente de RH</t>
  </si>
  <si>
    <t xml:space="preserve">Diretor geral</t>
  </si>
  <si>
    <t xml:space="preserve">Avaliação dos fornecedores críticos</t>
  </si>
  <si>
    <t xml:space="preserve">Comprador sênior</t>
  </si>
  <si>
    <t xml:space="preserve">Gerente de Suprimentos</t>
  </si>
  <si>
    <t xml:space="preserve">Revisão dos documentos</t>
  </si>
  <si>
    <t xml:space="preserve">Gerente comercial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</si>
</sst>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16242E"/>
      <name val="Arial"/>
      <family val="0"/>
      <charset val="1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  <dxf>
      <fill>
        <patternFill>
          <bgColor rgb="FFDCE8F3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"Atividades"</c:f>
              <c:strCache>
                <c:ptCount val="1"/>
                <c:pt idx="0">
                  <c:v>Atividades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Painel!$B$27:$B$29</c:f>
              <c:strCache>
                <c:ptCount val="3"/>
                <c:pt idx="0">
                  <c:v>Em dia</c:v>
                </c:pt>
                <c:pt idx="1">
                  <c:v>Com atraso</c:v>
                </c:pt>
                <c:pt idx="2">
                  <c:v>Ainda não começou</c:v>
                </c:pt>
              </c:strCache>
            </c:strRef>
          </c:cat>
          <c:val>
            <c:numRef>
              <c:f>Painel!$C$27:$C$29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70"/>
        <c:overlap val="0"/>
        <c:axId val="86139810"/>
        <c:axId val="40389438"/>
      </c:barChart>
      <c:catAx>
        <c:axId val="86139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9438"/>
        <c:crosses val="autoZero"/>
        <c:auto val="1"/>
        <c:lblAlgn val="ctr"/>
        <c:lblOffset val="100"/>
        <c:noMultiLvlLbl val="0"/>
      </c:catAx>
      <c:valAx>
        <c:axId val="403894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3981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25</xdr:row>
      <xdr:rowOff>0</xdr:rowOff>
    </xdr:from>
    <xdr:to>
      <xdr:col>5</xdr:col>
      <xdr:colOff>2346120</xdr:colOff>
      <xdr:row>38</xdr:row>
      <xdr:rowOff>42840</xdr:rowOff>
    </xdr:to>
    <xdr:graphicFrame>
      <xdr:nvGraphicFramePr>
        <xdr:cNvPr id="0" name="Chart 1"/>
        <xdr:cNvGraphicFramePr/>
      </xdr:nvGraphicFramePr>
      <xdr:xfrm>
        <a:off x="3806280" y="66578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19" customFormat="false" ht="19.5" hidden="false" customHeight="true" outlineLevel="0" collapsed="false">
      <c r="B19" s="4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8" customFormat="false" ht="21.75" hidden="false" customHeight="true" outlineLevel="0" collapsed="false">
      <c r="B38" s="3" t="s">
        <v>58</v>
      </c>
      <c r="C38" s="3"/>
    </row>
    <row r="39" customFormat="false" ht="31.5" hidden="false" customHeight="true" outlineLevel="0" collapsed="false">
      <c r="B39" s="4" t="s">
        <v>48</v>
      </c>
      <c r="C39" s="7" t="s">
        <v>59</v>
      </c>
    </row>
    <row r="40" customFormat="false" ht="19.5" hidden="false" customHeight="true" outlineLevel="0" collapsed="false">
      <c r="B40" s="4" t="s">
        <v>60</v>
      </c>
      <c r="C40" s="7" t="s">
        <v>61</v>
      </c>
    </row>
    <row r="41" customFormat="false" ht="19.5" hidden="false" customHeight="true" outlineLevel="0" collapsed="false">
      <c r="B41" s="4" t="s">
        <v>62</v>
      </c>
      <c r="C41" s="7" t="s">
        <v>63</v>
      </c>
    </row>
    <row r="42" customFormat="false" ht="19.5" hidden="false" customHeight="true" outlineLevel="0" collapsed="false">
      <c r="B42" s="4" t="s">
        <v>64</v>
      </c>
      <c r="C42" s="7" t="s">
        <v>65</v>
      </c>
    </row>
  </sheetData>
  <mergeCells count="7">
    <mergeCell ref="B1:C1"/>
    <mergeCell ref="B2:C2"/>
    <mergeCell ref="B4:C4"/>
    <mergeCell ref="B11:C11"/>
    <mergeCell ref="B21:C21"/>
    <mergeCell ref="B29:C29"/>
    <mergeCell ref="B38:C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3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66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67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4" t="s">
        <v>68</v>
      </c>
      <c r="C4" s="4"/>
      <c r="D4" s="5"/>
      <c r="E4" s="5"/>
      <c r="F4" s="5"/>
      <c r="G4" s="5"/>
      <c r="H4" s="5"/>
      <c r="I4" s="5"/>
      <c r="J4" s="5"/>
    </row>
    <row r="5" customFormat="false" ht="15" hidden="false" customHeight="true" outlineLevel="0" collapsed="false">
      <c r="B5" s="8" t="s">
        <v>69</v>
      </c>
      <c r="C5" s="8"/>
      <c r="D5" s="8"/>
      <c r="E5" s="8"/>
      <c r="F5" s="8"/>
      <c r="G5" s="8"/>
      <c r="H5" s="8"/>
      <c r="I5" s="8"/>
      <c r="J5" s="8"/>
    </row>
    <row r="6" customFormat="false" ht="33" hidden="false" customHeight="true" outlineLevel="0" collapsed="false">
      <c r="B6" s="9" t="s">
        <v>70</v>
      </c>
      <c r="C6" s="9" t="s">
        <v>71</v>
      </c>
      <c r="D6" s="9" t="s">
        <v>72</v>
      </c>
      <c r="E6" s="9" t="s">
        <v>73</v>
      </c>
      <c r="F6" s="9" t="s">
        <v>74</v>
      </c>
      <c r="G6" s="9" t="s">
        <v>75</v>
      </c>
      <c r="H6" s="9" t="s">
        <v>76</v>
      </c>
      <c r="I6" s="9" t="s">
        <v>14</v>
      </c>
      <c r="J6" s="9" t="s">
        <v>77</v>
      </c>
    </row>
    <row r="7" customFormat="false" ht="30" hidden="false" customHeight="true" outlineLevel="0" collapsed="false">
      <c r="B7" s="10"/>
      <c r="C7" s="10" t="s">
        <v>71</v>
      </c>
      <c r="D7" s="10" t="s">
        <v>78</v>
      </c>
      <c r="E7" s="10" t="s">
        <v>79</v>
      </c>
      <c r="F7" s="10" t="s">
        <v>80</v>
      </c>
      <c r="G7" s="10" t="s">
        <v>81</v>
      </c>
      <c r="H7" s="10" t="s">
        <v>78</v>
      </c>
      <c r="I7" s="10" t="s">
        <v>82</v>
      </c>
      <c r="J7" s="10" t="s">
        <v>83</v>
      </c>
    </row>
    <row r="8" customFormat="false" ht="30" hidden="false" customHeight="true" outlineLevel="0" collapsed="false">
      <c r="B8" s="11" t="n">
        <v>1</v>
      </c>
      <c r="C8" s="12"/>
      <c r="D8" s="5"/>
      <c r="E8" s="5"/>
      <c r="F8" s="5"/>
      <c r="G8" s="5"/>
      <c r="H8" s="5"/>
      <c r="I8" s="13" t="str">
        <f aca="false">""</f>
        <v/>
      </c>
      <c r="J8" s="14" t="str">
        <f aca="false">IF(COUNTA(C8:H8)=0,"",IF(C8="","Falta a data",IF(D8="","Falta o estudo",IF(E8="","Falta o que aconteceu",IF(F8="","Falta o registro",IF(AND(ISNUMBER(I8),I8&lt;0),"Data antes do passo anterior",IF(COUNTA(C9:H9)=0,"OK",IF(G8="","Falta a saída",IF(H8="","Falta o próximo estudo",IF(H8&lt;&gt;D9,"O passo seguinte é de outro estudo","OK"))))))))))</f>
        <v/>
      </c>
    </row>
    <row r="9" customFormat="false" ht="30" hidden="false" customHeight="true" outlineLevel="0" collapsed="false">
      <c r="B9" s="11" t="n">
        <v>2</v>
      </c>
      <c r="C9" s="12"/>
      <c r="D9" s="5"/>
      <c r="E9" s="5"/>
      <c r="F9" s="5"/>
      <c r="G9" s="5"/>
      <c r="H9" s="5"/>
      <c r="I9" s="13" t="str">
        <f aca="false">IF(OR(C9="",C8=""),"",C9-C8)</f>
        <v/>
      </c>
      <c r="J9" s="14" t="str">
        <f aca="false">IF(COUNTA(C9:H9)=0,"",IF(C9="","Falta a data",IF(D9="","Falta o estudo",IF(E9="","Falta o que aconteceu",IF(F9="","Falta o registro",IF(AND(ISNUMBER(I9),I9&lt;0),"Data antes do passo anterior",IF(COUNTA(C10:H10)=0,"OK",IF(G9="","Falta a saída",IF(H9="","Falta o próximo estudo",IF(H9&lt;&gt;D10,"O passo seguinte é de outro estudo","OK"))))))))))</f>
        <v/>
      </c>
    </row>
    <row r="10" customFormat="false" ht="30" hidden="false" customHeight="true" outlineLevel="0" collapsed="false">
      <c r="B10" s="11" t="n">
        <v>3</v>
      </c>
      <c r="C10" s="12"/>
      <c r="D10" s="5"/>
      <c r="E10" s="5"/>
      <c r="F10" s="5"/>
      <c r="G10" s="5"/>
      <c r="H10" s="5"/>
      <c r="I10" s="13" t="str">
        <f aca="false">IF(OR(C10="",C9=""),"",C10-C9)</f>
        <v/>
      </c>
      <c r="J10" s="14" t="str">
        <f aca="false">IF(COUNTA(C10:H10)=0,"",IF(C10="","Falta a data",IF(D10="","Falta o estudo",IF(E10="","Falta o que aconteceu",IF(F10="","Falta o registro",IF(AND(ISNUMBER(I10),I10&lt;0),"Data antes do passo anterior",IF(COUNTA(C11:H11)=0,"OK",IF(G10="","Falta a saída",IF(H10="","Falta o próximo estudo",IF(H10&lt;&gt;D11,"O passo seguinte é de outro estudo","OK"))))))))))</f>
        <v/>
      </c>
    </row>
    <row r="11" customFormat="false" ht="30" hidden="false" customHeight="true" outlineLevel="0" collapsed="false">
      <c r="B11" s="11" t="n">
        <v>4</v>
      </c>
      <c r="C11" s="12"/>
      <c r="D11" s="5"/>
      <c r="E11" s="5"/>
      <c r="F11" s="5"/>
      <c r="G11" s="5"/>
      <c r="H11" s="5"/>
      <c r="I11" s="13" t="str">
        <f aca="false">IF(OR(C11="",C10=""),"",C11-C10)</f>
        <v/>
      </c>
      <c r="J11" s="14" t="str">
        <f aca="false">IF(COUNTA(C11:H11)=0,"",IF(C11="","Falta a data",IF(D11="","Falta o estudo",IF(E11="","Falta o que aconteceu",IF(F11="","Falta o registro",IF(AND(ISNUMBER(I11),I11&lt;0),"Data antes do passo anterior",IF(COUNTA(C12:H12)=0,"OK",IF(G11="","Falta a saída",IF(H11="","Falta o próximo estudo",IF(H11&lt;&gt;D12,"O passo seguinte é de outro estudo","OK"))))))))))</f>
        <v/>
      </c>
    </row>
    <row r="12" customFormat="false" ht="30" hidden="false" customHeight="true" outlineLevel="0" collapsed="false">
      <c r="B12" s="11" t="n">
        <v>5</v>
      </c>
      <c r="C12" s="12"/>
      <c r="D12" s="5"/>
      <c r="E12" s="5"/>
      <c r="F12" s="5"/>
      <c r="G12" s="5"/>
      <c r="H12" s="5"/>
      <c r="I12" s="13" t="str">
        <f aca="false">IF(OR(C12="",C11=""),"",C12-C11)</f>
        <v/>
      </c>
      <c r="J12" s="14" t="str">
        <f aca="false">IF(COUNTA(C12:H12)=0,"",IF(C12="","Falta a data",IF(D12="","Falta o estudo",IF(E12="","Falta o que aconteceu",IF(F12="","Falta o registro",IF(AND(ISNUMBER(I12),I12&lt;0),"Data antes do passo anterior",IF(COUNTA(C13:H13)=0,"OK",IF(G12="","Falta a saída",IF(H12="","Falta o próximo estudo",IF(H12&lt;&gt;D13,"O passo seguinte é de outro estudo","OK"))))))))))</f>
        <v/>
      </c>
    </row>
    <row r="13" customFormat="false" ht="30" hidden="false" customHeight="true" outlineLevel="0" collapsed="false">
      <c r="B13" s="11" t="n">
        <v>6</v>
      </c>
      <c r="C13" s="12"/>
      <c r="D13" s="5"/>
      <c r="E13" s="5"/>
      <c r="F13" s="5"/>
      <c r="G13" s="5"/>
      <c r="H13" s="5"/>
      <c r="I13" s="13" t="str">
        <f aca="false">IF(OR(C13="",C12=""),"",C13-C12)</f>
        <v/>
      </c>
      <c r="J13" s="14" t="str">
        <f aca="false">IF(COUNTA(C13:H13)=0,"",IF(C13="","Falta a data",IF(D13="","Falta o estudo",IF(E13="","Falta o que aconteceu",IF(F13="","Falta o registro",IF(AND(ISNUMBER(I13),I13&lt;0),"Data antes do passo anterior",IF(COUNTA(C14:H14)=0,"OK",IF(G13="","Falta a saída",IF(H13="","Falta o próximo estudo",IF(H13&lt;&gt;D14,"O passo seguinte é de outro estudo","OK"))))))))))</f>
        <v/>
      </c>
    </row>
    <row r="14" customFormat="false" ht="30" hidden="false" customHeight="true" outlineLevel="0" collapsed="false">
      <c r="B14" s="11" t="n">
        <v>7</v>
      </c>
      <c r="C14" s="12"/>
      <c r="D14" s="5"/>
      <c r="E14" s="5"/>
      <c r="F14" s="5"/>
      <c r="G14" s="5"/>
      <c r="H14" s="5"/>
      <c r="I14" s="13" t="str">
        <f aca="false">IF(OR(C14="",C13=""),"",C14-C13)</f>
        <v/>
      </c>
      <c r="J14" s="14" t="str">
        <f aca="false">IF(COUNTA(C14:H14)=0,"",IF(C14="","Falta a data",IF(D14="","Falta o estudo",IF(E14="","Falta o que aconteceu",IF(F14="","Falta o registro",IF(AND(ISNUMBER(I14),I14&lt;0),"Data antes do passo anterior",IF(COUNTA(C15:H15)=0,"OK",IF(G14="","Falta a saída",IF(H14="","Falta o próximo estudo",IF(H14&lt;&gt;D15,"O passo seguinte é de outro estudo","OK"))))))))))</f>
        <v/>
      </c>
    </row>
    <row r="15" customFormat="false" ht="30" hidden="false" customHeight="true" outlineLevel="0" collapsed="false">
      <c r="B15" s="11" t="n">
        <v>8</v>
      </c>
      <c r="C15" s="12"/>
      <c r="D15" s="5"/>
      <c r="E15" s="5"/>
      <c r="F15" s="5"/>
      <c r="G15" s="5"/>
      <c r="H15" s="5"/>
      <c r="I15" s="13" t="str">
        <f aca="false">IF(OR(C15="",C14=""),"",C15-C14)</f>
        <v/>
      </c>
      <c r="J15" s="14" t="str">
        <f aca="false">IF(COUNTA(C15:H15)=0,"",IF(C15="","Falta a data",IF(D15="","Falta o estudo",IF(E15="","Falta o que aconteceu",IF(F15="","Falta o registro",IF(AND(ISNUMBER(I15),I15&lt;0),"Data antes do passo anterior",IF(COUNTA(C16:H16)=0,"OK",IF(G15="","Falta a saída",IF(H15="","Falta o próximo estudo",IF(H15&lt;&gt;D16,"O passo seguinte é de outro estudo","OK"))))))))))</f>
        <v/>
      </c>
    </row>
    <row r="16" customFormat="false" ht="30" hidden="false" customHeight="true" outlineLevel="0" collapsed="false">
      <c r="B16" s="11" t="n">
        <v>9</v>
      </c>
      <c r="C16" s="12"/>
      <c r="D16" s="5"/>
      <c r="E16" s="5"/>
      <c r="F16" s="5"/>
      <c r="G16" s="5"/>
      <c r="H16" s="5"/>
      <c r="I16" s="13" t="str">
        <f aca="false">IF(OR(C16="",C15=""),"",C16-C15)</f>
        <v/>
      </c>
      <c r="J16" s="14" t="str">
        <f aca="false">IF(COUNTA(C16:H16)=0,"",IF(C16="","Falta a data",IF(D16="","Falta o estudo",IF(E16="","Falta o que aconteceu",IF(F16="","Falta o registro",IF(AND(ISNUMBER(I16),I16&lt;0),"Data antes do passo anterior",IF(COUNTA(C17:H17)=0,"OK",IF(G16="","Falta a saída",IF(H16="","Falta o próximo estudo",IF(H16&lt;&gt;D17,"O passo seguinte é de outro estudo","OK"))))))))))</f>
        <v/>
      </c>
    </row>
    <row r="17" customFormat="false" ht="30" hidden="false" customHeight="true" outlineLevel="0" collapsed="false">
      <c r="B17" s="11" t="n">
        <v>10</v>
      </c>
      <c r="C17" s="12"/>
      <c r="D17" s="5"/>
      <c r="E17" s="5"/>
      <c r="F17" s="5"/>
      <c r="G17" s="5"/>
      <c r="H17" s="5"/>
      <c r="I17" s="13" t="str">
        <f aca="false">IF(OR(C17="",C16=""),"",C17-C16)</f>
        <v/>
      </c>
      <c r="J17" s="14" t="str">
        <f aca="false">IF(COUNTA(C17:H17)=0,"",IF(C17="","Falta a data",IF(D17="","Falta o estudo",IF(E17="","Falta o que aconteceu",IF(F17="","Falta o registro",IF(AND(ISNUMBER(I17),I17&lt;0),"Data antes do passo anterior",IF(COUNTA(C18:H18)=0,"OK",IF(G17="","Falta a saída",IF(H17="","Falta o próximo estudo",IF(H17&lt;&gt;D18,"O passo seguinte é de outro estudo","OK"))))))))))</f>
        <v/>
      </c>
    </row>
    <row r="18" customFormat="false" ht="30" hidden="false" customHeight="true" outlineLevel="0" collapsed="false">
      <c r="B18" s="11" t="n">
        <v>11</v>
      </c>
      <c r="C18" s="12"/>
      <c r="D18" s="5"/>
      <c r="E18" s="5"/>
      <c r="F18" s="5"/>
      <c r="G18" s="5"/>
      <c r="H18" s="5"/>
      <c r="I18" s="13" t="str">
        <f aca="false">IF(OR(C18="",C17=""),"",C18-C17)</f>
        <v/>
      </c>
      <c r="J18" s="14" t="str">
        <f aca="false">IF(COUNTA(C18:H18)=0,"",IF(C18="","Falta a data",IF(D18="","Falta o estudo",IF(E18="","Falta o que aconteceu",IF(F18="","Falta o registro",IF(AND(ISNUMBER(I18),I18&lt;0),"Data antes do passo anterior",IF(COUNTA(C19:H19)=0,"OK",IF(G18="","Falta a saída",IF(H18="","Falta o próximo estudo",IF(H18&lt;&gt;D19,"O passo seguinte é de outro estudo","OK"))))))))))</f>
        <v/>
      </c>
    </row>
    <row r="19" customFormat="false" ht="30" hidden="false" customHeight="true" outlineLevel="0" collapsed="false">
      <c r="B19" s="11" t="n">
        <v>12</v>
      </c>
      <c r="C19" s="12"/>
      <c r="D19" s="5"/>
      <c r="E19" s="5"/>
      <c r="F19" s="5"/>
      <c r="G19" s="5"/>
      <c r="H19" s="5"/>
      <c r="I19" s="13" t="str">
        <f aca="false">IF(OR(C19="",C18=""),"",C19-C18)</f>
        <v/>
      </c>
      <c r="J19" s="14" t="str">
        <f aca="false">IF(COUNTA(C19:H19)=0,"",IF(C19="","Falta a data",IF(D19="","Falta o estudo",IF(E19="","Falta o que aconteceu",IF(F19="","Falta o registro",IF(AND(ISNUMBER(I19),I19&lt;0),"Data antes do passo anterior",IF(COUNTA(C20:H20)=0,"OK",IF(G19="","Falta a saída",IF(H19="","Falta o próximo estudo",IF(H19&lt;&gt;D20,"O passo seguinte é de outro estudo","OK"))))))))))</f>
        <v/>
      </c>
    </row>
    <row r="20" customFormat="false" ht="30" hidden="false" customHeight="true" outlineLevel="0" collapsed="false">
      <c r="B20" s="11" t="n">
        <v>13</v>
      </c>
      <c r="C20" s="12"/>
      <c r="D20" s="5"/>
      <c r="E20" s="5"/>
      <c r="F20" s="5"/>
      <c r="G20" s="5"/>
      <c r="H20" s="5"/>
      <c r="I20" s="13" t="str">
        <f aca="false">IF(OR(C20="",C19=""),"",C20-C19)</f>
        <v/>
      </c>
      <c r="J20" s="14" t="str">
        <f aca="false">IF(COUNTA(C20:H20)=0,"",IF(C20="","Falta a data",IF(D20="","Falta o estudo",IF(E20="","Falta o que aconteceu",IF(F20="","Falta o registro",IF(AND(ISNUMBER(I20),I20&lt;0),"Data antes do passo anterior",IF(COUNTA(C21:H21)=0,"OK",IF(G20="","Falta a saída",IF(H20="","Falta o próximo estudo",IF(H20&lt;&gt;D21,"O passo seguinte é de outro estudo","OK"))))))))))</f>
        <v/>
      </c>
    </row>
    <row r="21" customFormat="false" ht="30" hidden="false" customHeight="true" outlineLevel="0" collapsed="false">
      <c r="B21" s="11" t="n">
        <v>14</v>
      </c>
      <c r="C21" s="12"/>
      <c r="D21" s="5"/>
      <c r="E21" s="5"/>
      <c r="F21" s="5"/>
      <c r="G21" s="5"/>
      <c r="H21" s="5"/>
      <c r="I21" s="13" t="str">
        <f aca="false">IF(OR(C21="",C20=""),"",C21-C20)</f>
        <v/>
      </c>
      <c r="J21" s="14" t="str">
        <f aca="false">IF(COUNTA(C21:H21)=0,"",IF(C21="","Falta a data",IF(D21="","Falta o estudo",IF(E21="","Falta o que aconteceu",IF(F21="","Falta o registro",IF(AND(ISNUMBER(I21),I21&lt;0),"Data antes do passo anterior",IF(COUNTA(C22:H22)=0,"OK",IF(G21="","Falta a saída",IF(H21="","Falta o próximo estudo",IF(H21&lt;&gt;D22,"O passo seguinte é de outro estudo","OK"))))))))))</f>
        <v/>
      </c>
    </row>
    <row r="22" customFormat="false" ht="30" hidden="false" customHeight="true" outlineLevel="0" collapsed="false">
      <c r="B22" s="11" t="n">
        <v>15</v>
      </c>
      <c r="C22" s="12"/>
      <c r="D22" s="5"/>
      <c r="E22" s="5"/>
      <c r="F22" s="5"/>
      <c r="G22" s="5"/>
      <c r="H22" s="5"/>
      <c r="I22" s="13" t="str">
        <f aca="false">IF(OR(C22="",C21=""),"",C22-C21)</f>
        <v/>
      </c>
      <c r="J22" s="14" t="str">
        <f aca="false">IF(COUNTA(C22:H22)=0,"",IF(C22="","Falta a data",IF(D22="","Falta o estudo",IF(E22="","Falta o que aconteceu",IF(F22="","Falta o registro",IF(AND(ISNUMBER(I22),I22&lt;0),"Data antes do passo anterior",IF(COUNTA(C23:H23)=0,"OK",IF(G22="","Falta a saída",IF(H22="","Falta o próximo estudo",IF(H22&lt;&gt;D23,"O passo seguinte é de outro estudo","OK"))))))))))</f>
        <v/>
      </c>
    </row>
    <row r="23" customFormat="false" ht="30" hidden="false" customHeight="true" outlineLevel="0" collapsed="false">
      <c r="B23" s="11" t="n">
        <v>16</v>
      </c>
      <c r="C23" s="12"/>
      <c r="D23" s="5"/>
      <c r="E23" s="5"/>
      <c r="F23" s="5"/>
      <c r="G23" s="5"/>
      <c r="H23" s="5"/>
      <c r="I23" s="13" t="str">
        <f aca="false">IF(OR(C23="",C22=""),"",C23-C22)</f>
        <v/>
      </c>
      <c r="J23" s="14" t="str">
        <f aca="false">IF(COUNTA(C23:H23)=0,"",IF(C23="","Falta a data",IF(D23="","Falta o estudo",IF(E23="","Falta o que aconteceu",IF(F23="","Falta o registro",IF(AND(ISNUMBER(I23),I23&lt;0),"Data antes do passo anterior",IF(COUNTA(C24:H24)=0,"OK",IF(G23="","Falta a saída",IF(H23="","Falta o próximo estudo",IF(H23&lt;&gt;D24,"O passo seguinte é de outro estudo","OK"))))))))))</f>
        <v/>
      </c>
    </row>
    <row r="24" customFormat="false" ht="30" hidden="false" customHeight="true" outlineLevel="0" collapsed="false">
      <c r="B24" s="11" t="n">
        <v>17</v>
      </c>
      <c r="C24" s="12"/>
      <c r="D24" s="5"/>
      <c r="E24" s="5"/>
      <c r="F24" s="5"/>
      <c r="G24" s="5"/>
      <c r="H24" s="5"/>
      <c r="I24" s="13" t="str">
        <f aca="false">IF(OR(C24="",C23=""),"",C24-C23)</f>
        <v/>
      </c>
      <c r="J24" s="14" t="str">
        <f aca="false">IF(COUNTA(C24:H24)=0,"",IF(C24="","Falta a data",IF(D24="","Falta o estudo",IF(E24="","Falta o que aconteceu",IF(F24="","Falta o registro",IF(AND(ISNUMBER(I24),I24&lt;0),"Data antes do passo anterior",IF(COUNTA(C25:H25)=0,"OK",IF(G24="","Falta a saída",IF(H24="","Falta o próximo estudo",IF(H24&lt;&gt;D25,"O passo seguinte é de outro estudo","OK"))))))))))</f>
        <v/>
      </c>
    </row>
    <row r="25" customFormat="false" ht="30" hidden="false" customHeight="true" outlineLevel="0" collapsed="false">
      <c r="B25" s="11" t="n">
        <v>18</v>
      </c>
      <c r="C25" s="12"/>
      <c r="D25" s="5"/>
      <c r="E25" s="5"/>
      <c r="F25" s="5"/>
      <c r="G25" s="5"/>
      <c r="H25" s="5"/>
      <c r="I25" s="13" t="str">
        <f aca="false">IF(OR(C25="",C24=""),"",C25-C24)</f>
        <v/>
      </c>
      <c r="J25" s="14" t="str">
        <f aca="false">IF(COUNTA(C25:H25)=0,"",IF(C25="","Falta a data",IF(D25="","Falta o estudo",IF(E25="","Falta o que aconteceu",IF(F25="","Falta o registro",IF(AND(ISNUMBER(I25),I25&lt;0),"Data antes do passo anterior",IF(COUNTA(C26:H26)=0,"OK",IF(G25="","Falta a saída",IF(H25="","Falta o próximo estudo",IF(H25&lt;&gt;D26,"O passo seguinte é de outro estudo","OK"))))))))))</f>
        <v/>
      </c>
    </row>
    <row r="26" customFormat="false" ht="30" hidden="false" customHeight="true" outlineLevel="0" collapsed="false">
      <c r="B26" s="11" t="n">
        <v>19</v>
      </c>
      <c r="C26" s="12"/>
      <c r="D26" s="5"/>
      <c r="E26" s="5"/>
      <c r="F26" s="5"/>
      <c r="G26" s="5"/>
      <c r="H26" s="5"/>
      <c r="I26" s="13" t="str">
        <f aca="false">IF(OR(C26="",C25=""),"",C26-C25)</f>
        <v/>
      </c>
      <c r="J26" s="14" t="str">
        <f aca="false">IF(COUNTA(C26:H26)=0,"",IF(C26="","Falta a data",IF(D26="","Falta o estudo",IF(E26="","Falta o que aconteceu",IF(F26="","Falta o registro",IF(AND(ISNUMBER(I26),I26&lt;0),"Data antes do passo anterior",IF(COUNTA(C27:H27)=0,"OK",IF(G26="","Falta a saída",IF(H26="","Falta o próximo estudo",IF(H26&lt;&gt;D27,"O passo seguinte é de outro estudo","OK"))))))))))</f>
        <v/>
      </c>
    </row>
    <row r="27" customFormat="false" ht="30" hidden="false" customHeight="true" outlineLevel="0" collapsed="false">
      <c r="B27" s="11" t="n">
        <v>20</v>
      </c>
      <c r="C27" s="12"/>
      <c r="D27" s="5"/>
      <c r="E27" s="5"/>
      <c r="F27" s="5"/>
      <c r="G27" s="5"/>
      <c r="H27" s="5"/>
      <c r="I27" s="13" t="str">
        <f aca="false">IF(OR(C27="",C26=""),"",C27-C26)</f>
        <v/>
      </c>
      <c r="J27" s="14" t="str">
        <f aca="false">IF(COUNTA(C27:H27)=0,"",IF(C27="","Falta a data",IF(D27="","Falta o estudo",IF(E27="","Falta o que aconteceu",IF(F27="","Falta o registro",IF(AND(ISNUMBER(I27),I27&lt;0),"Data antes do passo anterior",IF(COUNTA(C28:H28)=0,"OK",IF(G27="","Falta a saída",IF(H27="","Falta o próximo estudo",IF(H27&lt;&gt;D28,"O passo seguinte é de outro estudo","OK"))))))))))</f>
        <v/>
      </c>
    </row>
    <row r="28" customFormat="false" ht="30" hidden="false" customHeight="true" outlineLevel="0" collapsed="false">
      <c r="B28" s="11" t="n">
        <v>21</v>
      </c>
      <c r="C28" s="12"/>
      <c r="D28" s="5"/>
      <c r="E28" s="5"/>
      <c r="F28" s="5"/>
      <c r="G28" s="5"/>
      <c r="H28" s="5"/>
      <c r="I28" s="13" t="str">
        <f aca="false">IF(OR(C28="",C27=""),"",C28-C27)</f>
        <v/>
      </c>
      <c r="J28" s="14" t="str">
        <f aca="false">IF(COUNTA(C28:H28)=0,"",IF(C28="","Falta a data",IF(D28="","Falta o estudo",IF(E28="","Falta o que aconteceu",IF(F28="","Falta o registro",IF(AND(ISNUMBER(I28),I28&lt;0),"Data antes do passo anterior",IF(COUNTA(C29:H29)=0,"OK",IF(G28="","Falta a saída",IF(H28="","Falta o próximo estudo",IF(H28&lt;&gt;D29,"O passo seguinte é de outro estudo","OK"))))))))))</f>
        <v/>
      </c>
    </row>
    <row r="29" customFormat="false" ht="30" hidden="false" customHeight="true" outlineLevel="0" collapsed="false">
      <c r="B29" s="11" t="n">
        <v>22</v>
      </c>
      <c r="C29" s="12"/>
      <c r="D29" s="5"/>
      <c r="E29" s="5"/>
      <c r="F29" s="5"/>
      <c r="G29" s="5"/>
      <c r="H29" s="5"/>
      <c r="I29" s="13" t="str">
        <f aca="false">IF(OR(C29="",C28=""),"",C29-C28)</f>
        <v/>
      </c>
      <c r="J29" s="14" t="str">
        <f aca="false">IF(COUNTA(C29:H29)=0,"",IF(C29="","Falta a data",IF(D29="","Falta o estudo",IF(E29="","Falta o que aconteceu",IF(F29="","Falta o registro",IF(AND(ISNUMBER(I29),I29&lt;0),"Data antes do passo anterior",IF(COUNTA(C30:H30)=0,"OK",IF(G29="","Falta a saída",IF(H29="","Falta o próximo estudo",IF(H29&lt;&gt;D30,"O passo seguinte é de outro estudo","OK"))))))))))</f>
        <v/>
      </c>
    </row>
    <row r="30" customFormat="false" ht="30" hidden="false" customHeight="true" outlineLevel="0" collapsed="false">
      <c r="B30" s="11" t="n">
        <v>23</v>
      </c>
      <c r="C30" s="12"/>
      <c r="D30" s="5"/>
      <c r="E30" s="5"/>
      <c r="F30" s="5"/>
      <c r="G30" s="5"/>
      <c r="H30" s="5"/>
      <c r="I30" s="13" t="str">
        <f aca="false">IF(OR(C30="",C29=""),"",C30-C29)</f>
        <v/>
      </c>
      <c r="J30" s="14" t="str">
        <f aca="false">IF(COUNTA(C30:H30)=0,"",IF(C30="","Falta a data",IF(D30="","Falta o estudo",IF(E30="","Falta o que aconteceu",IF(F30="","Falta o registro",IF(AND(ISNUMBER(I30),I30&lt;0),"Data antes do passo anterior",IF(COUNTA(C31:H31)=0,"OK",IF(G30="","Falta a saída",IF(H30="","Falta o próximo estudo",IF(H30&lt;&gt;D31,"O passo seguinte é de outro estudo","OK"))))))))))</f>
        <v/>
      </c>
    </row>
    <row r="31" customFormat="false" ht="30" hidden="false" customHeight="true" outlineLevel="0" collapsed="false">
      <c r="B31" s="11" t="n">
        <v>24</v>
      </c>
      <c r="C31" s="12"/>
      <c r="D31" s="5"/>
      <c r="E31" s="5"/>
      <c r="F31" s="5"/>
      <c r="G31" s="5"/>
      <c r="H31" s="5"/>
      <c r="I31" s="13" t="str">
        <f aca="false">IF(OR(C31="",C30=""),"",C31-C30)</f>
        <v/>
      </c>
      <c r="J31" s="14" t="str">
        <f aca="false">IF(COUNTA(C31:H31)=0,"",IF(C31="","Falta a data",IF(D31="","Falta o estudo",IF(E31="","Falta o que aconteceu",IF(F31="","Falta o registro",IF(AND(ISNUMBER(I31),I31&lt;0),"Data antes do passo anterior",IF(COUNTA(C32:H32)=0,"OK",IF(G31="","Falta a saída",IF(H31="","Falta o próximo estudo",IF(H31&lt;&gt;D32,"O passo seguinte é de outro estudo","OK"))))))))))</f>
        <v/>
      </c>
    </row>
    <row r="32" customFormat="false" ht="30" hidden="false" customHeight="true" outlineLevel="0" collapsed="false">
      <c r="B32" s="11" t="n">
        <v>25</v>
      </c>
      <c r="C32" s="12"/>
      <c r="D32" s="5"/>
      <c r="E32" s="5"/>
      <c r="F32" s="5"/>
      <c r="G32" s="5"/>
      <c r="H32" s="5"/>
      <c r="I32" s="13" t="str">
        <f aca="false">IF(OR(C32="",C31=""),"",C32-C31)</f>
        <v/>
      </c>
      <c r="J32" s="14" t="str">
        <f aca="false">IF(COUNTA(C32:H32)=0,"",IF(C32="","Falta a data",IF(D32="","Falta o estudo",IF(E32="","Falta o que aconteceu",IF(F32="","Falta o registro",IF(AND(ISNUMBER(I32),I32&lt;0),"Data antes do passo anterior",IF(COUNTA(C33:H33)=0,"OK",IF(G32="","Falta a saída",IF(H32="","Falta o próximo estudo",IF(H32&lt;&gt;D33,"O passo seguinte é de outro estudo","OK"))))))))))</f>
        <v/>
      </c>
    </row>
    <row r="33" customFormat="false" ht="30" hidden="false" customHeight="true" outlineLevel="0" collapsed="false">
      <c r="B33" s="11" t="n">
        <v>26</v>
      </c>
      <c r="C33" s="12"/>
      <c r="D33" s="5"/>
      <c r="E33" s="5"/>
      <c r="F33" s="5"/>
      <c r="G33" s="5"/>
      <c r="H33" s="5"/>
      <c r="I33" s="13" t="str">
        <f aca="false">IF(OR(C33="",C32=""),"",C33-C32)</f>
        <v/>
      </c>
      <c r="J33" s="14" t="str">
        <f aca="false">IF(COUNTA(C33:H33)=0,"",IF(C33="","Falta a data",IF(D33="","Falta o estudo",IF(E33="","Falta o que aconteceu",IF(F33="","Falta o registro",IF(AND(ISNUMBER(I33),I33&lt;0),"Data antes do passo anterior",IF(COUNTA(C34:H34)=0,"OK",IF(G33="","Falta a saída",IF(H33="","Falta o próximo estudo",IF(H33&lt;&gt;D34,"O passo seguinte é de outro estudo","OK"))))))))))</f>
        <v/>
      </c>
    </row>
    <row r="34" customFormat="false" ht="30" hidden="false" customHeight="true" outlineLevel="0" collapsed="false">
      <c r="B34" s="11" t="n">
        <v>27</v>
      </c>
      <c r="C34" s="12"/>
      <c r="D34" s="5"/>
      <c r="E34" s="5"/>
      <c r="F34" s="5"/>
      <c r="G34" s="5"/>
      <c r="H34" s="5"/>
      <c r="I34" s="13" t="str">
        <f aca="false">IF(OR(C34="",C33=""),"",C34-C33)</f>
        <v/>
      </c>
      <c r="J34" s="14" t="str">
        <f aca="false">IF(COUNTA(C34:H34)=0,"",IF(C34="","Falta a data",IF(D34="","Falta o estudo",IF(E34="","Falta o que aconteceu",IF(F34="","Falta o registro",IF(AND(ISNUMBER(I34),I34&lt;0),"Data antes do passo anterior",IF(COUNTA(C35:H35)=0,"OK",IF(G34="","Falta a saída",IF(H34="","Falta o próximo estudo",IF(H34&lt;&gt;D35,"O passo seguinte é de outro estudo","OK"))))))))))</f>
        <v/>
      </c>
    </row>
    <row r="35" customFormat="false" ht="30" hidden="false" customHeight="true" outlineLevel="0" collapsed="false">
      <c r="B35" s="11" t="n">
        <v>28</v>
      </c>
      <c r="C35" s="12"/>
      <c r="D35" s="5"/>
      <c r="E35" s="5"/>
      <c r="F35" s="5"/>
      <c r="G35" s="5"/>
      <c r="H35" s="5"/>
      <c r="I35" s="13" t="str">
        <f aca="false">IF(OR(C35="",C34=""),"",C35-C34)</f>
        <v/>
      </c>
      <c r="J35" s="14" t="str">
        <f aca="false">IF(COUNTA(C35:H35)=0,"",IF(C35="","Falta a data",IF(D35="","Falta o estudo",IF(E35="","Falta o que aconteceu",IF(F35="","Falta o registro",IF(AND(ISNUMBER(I35),I35&lt;0),"Data antes do passo anterior",IF(COUNTA(C36:H36)=0,"OK",IF(G35="","Falta a saída",IF(H35="","Falta o próximo estudo",IF(H35&lt;&gt;D36,"O passo seguinte é de outro estudo","OK"))))))))))</f>
        <v/>
      </c>
    </row>
    <row r="36" customFormat="false" ht="30" hidden="false" customHeight="true" outlineLevel="0" collapsed="false">
      <c r="B36" s="11" t="n">
        <v>29</v>
      </c>
      <c r="C36" s="12"/>
      <c r="D36" s="5"/>
      <c r="E36" s="5"/>
      <c r="F36" s="5"/>
      <c r="G36" s="5"/>
      <c r="H36" s="5"/>
      <c r="I36" s="13" t="str">
        <f aca="false">IF(OR(C36="",C35=""),"",C36-C35)</f>
        <v/>
      </c>
      <c r="J36" s="14" t="str">
        <f aca="false">IF(COUNTA(C36:H36)=0,"",IF(C36="","Falta a data",IF(D36="","Falta o estudo",IF(E36="","Falta o que aconteceu",IF(F36="","Falta o registro",IF(AND(ISNUMBER(I36),I36&lt;0),"Data antes do passo anterior",IF(COUNTA(C37:H37)=0,"OK",IF(G36="","Falta a saída",IF(H36="","Falta o próximo estudo",IF(H36&lt;&gt;D37,"O passo seguinte é de outro estudo","OK"))))))))))</f>
        <v/>
      </c>
    </row>
    <row r="37" customFormat="false" ht="30" hidden="false" customHeight="true" outlineLevel="0" collapsed="false">
      <c r="B37" s="11" t="n">
        <v>30</v>
      </c>
      <c r="C37" s="12"/>
      <c r="D37" s="5"/>
      <c r="E37" s="5"/>
      <c r="F37" s="5"/>
      <c r="G37" s="5"/>
      <c r="H37" s="5"/>
      <c r="I37" s="13" t="str">
        <f aca="false">IF(OR(C37="",C36=""),"",C37-C36)</f>
        <v/>
      </c>
      <c r="J37" s="14" t="str">
        <f aca="false">IF(COUNTA(C37:H37)=0,"",IF(C37="","Falta a data",IF(D37="","Falta o estudo",IF(E37="","Falta o que aconteceu",IF(F37="","Falta o registro",IF(AND(ISNUMBER(I37),I37&lt;0),"Data antes do passo anterior",IF(COUNTA(C38:H38)=0,"OK",IF(G37="","Falta a saída",IF(H37="","Falta o próximo estudo",IF(H37&lt;&gt;D38,"O passo seguinte é de outro estudo","OK"))))))))))</f>
        <v/>
      </c>
    </row>
    <row r="39" customFormat="false" ht="21.75" hidden="false" customHeight="true" outlineLevel="0" collapsed="false">
      <c r="B39" s="15" t="s">
        <v>84</v>
      </c>
      <c r="C39" s="15"/>
      <c r="D39" s="15"/>
      <c r="E39" s="15"/>
      <c r="F39" s="15"/>
      <c r="G39" s="15"/>
      <c r="H39" s="15"/>
      <c r="I39" s="15"/>
      <c r="J39" s="15"/>
    </row>
    <row r="40" customFormat="false" ht="21.75" hidden="false" customHeight="true" outlineLevel="0" collapsed="false">
      <c r="B40" s="16" t="s">
        <v>85</v>
      </c>
      <c r="C40" s="16"/>
      <c r="D40" s="16"/>
      <c r="E40" s="17" t="str">
        <f aca="false">COUNTA(D8:D37)&amp;" passos, "&amp;IF(COUNTA(D8:D37)=0,0,SUMPRODUCT((D8:D37&lt;&gt;"")/COUNTIF(D8:D37,D8:D37&amp;"")))&amp;" estudos"</f>
        <v>0 passos, 0 estudos</v>
      </c>
      <c r="F40" s="17"/>
      <c r="G40" s="17"/>
      <c r="H40" s="17"/>
      <c r="I40" s="17"/>
      <c r="J40" s="17"/>
    </row>
    <row r="41" customFormat="false" ht="21.75" hidden="false" customHeight="true" outlineLevel="0" collapsed="false">
      <c r="B41" s="16" t="s">
        <v>86</v>
      </c>
      <c r="C41" s="16"/>
      <c r="D41" s="16"/>
      <c r="E41" s="17" t="str">
        <f aca="false">IF(COUNT(C8:C37)=0,"",MAX(C8:C37)-MIN(C8:C37)&amp;" dias do primeiro ao último passo; maior intervalo de "&amp;MAX(I8:I37)&amp;" dias")</f>
        <v/>
      </c>
      <c r="F41" s="17"/>
      <c r="G41" s="17"/>
      <c r="H41" s="17"/>
      <c r="I41" s="17"/>
      <c r="J41" s="17"/>
    </row>
    <row r="42" customFormat="false" ht="21.75" hidden="false" customHeight="true" outlineLevel="0" collapsed="false">
      <c r="B42" s="16" t="s">
        <v>87</v>
      </c>
      <c r="C42" s="16"/>
      <c r="D42" s="16"/>
      <c r="E42" s="18" t="str">
        <f aca="false">IF(COUNTA(D8:D37)=0,"Registre os passos do fio",IF(COUNTIF(J8:J37,"O passo seguinte é de outro estudo")&gt;0,"O fio pulou um passo: veja a coluna Conferência",IF(SUMPRODUCT((J8:J37&lt;&gt;"")*(J8:J37&lt;&gt;"OK"))&gt;0,"Há passo a completar: veja a coluna Conferência","OK")))</f>
        <v>Registre os passos do fio</v>
      </c>
      <c r="F42" s="18"/>
      <c r="G42" s="18"/>
      <c r="H42" s="18"/>
      <c r="I42" s="18"/>
      <c r="J42" s="18"/>
    </row>
  </sheetData>
  <mergeCells count="12">
    <mergeCell ref="B1:J1"/>
    <mergeCell ref="B2:J2"/>
    <mergeCell ref="B4:C4"/>
    <mergeCell ref="D4:J4"/>
    <mergeCell ref="B5:J5"/>
    <mergeCell ref="B39:J39"/>
    <mergeCell ref="B40:D40"/>
    <mergeCell ref="E40:J40"/>
    <mergeCell ref="B41:D41"/>
    <mergeCell ref="E41:J41"/>
    <mergeCell ref="B42:D42"/>
    <mergeCell ref="E42:J42"/>
  </mergeCells>
  <conditionalFormatting sqref="J8:J37">
    <cfRule type="expression" priority="2" aboveAverage="0" equalAverage="0" bottom="0" percent="0" rank="0" text="" dxfId="0">
      <formula>J8="OK"</formula>
    </cfRule>
    <cfRule type="expression" priority="3" aboveAverage="0" equalAverage="0" bottom="0" percent="0" rank="0" text="" dxfId="1">
      <formula>J8="O passo seguinte é de outro estudo"</formula>
    </cfRule>
    <cfRule type="expression" priority="4" aboveAverage="0" equalAverage="0" bottom="0" percent="0" rank="0" text="" dxfId="2">
      <formula>LEN(J8)&gt;0</formula>
    </cfRule>
  </conditionalFormatting>
  <conditionalFormatting sqref="E42:J42">
    <cfRule type="expression" priority="5" aboveAverage="0" equalAverage="0" bottom="0" percent="0" rank="0" text="" dxfId="0">
      <formula>OR(E42="OK")</formula>
    </cfRule>
    <cfRule type="expression" priority="6" aboveAverage="0" equalAverage="0" bottom="0" percent="0" rank="0" text="" dxfId="2">
      <formula>AND(LEN(E42)&gt;0,NOT(OR(E42="OK")))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8:C37" type="date">
      <formula1>36526</formula1>
      <formula2>0</formula2>
    </dataValidation>
    <dataValidation allowBlank="true" errorStyle="stop" operator="between" prompt="Estudo da série em que o passo aconteceu" promptTitle="Opções" showDropDown="false" showErrorMessage="false" showInputMessage="true" sqref="D8:D37" type="list">
      <formula1>Estudos!$C$5:$C$38</formula1>
      <formula2>0</formula2>
    </dataValidation>
    <dataValidation allowBlank="true" errorStyle="stop" operator="between" prompt="Estudo que recebeu a saída deste passo" promptTitle="Opções" showDropDown="false" showErrorMessage="false" showInputMessage="true" sqref="H8:H37" type="list">
      <formula1>Estudos!$C$5:$C$38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AA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20" min="9" style="0" width="5.51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7"/>
    <col collapsed="false" customWidth="true" hidden="false" outlineLevel="0" max="25" min="25" style="0" width="15"/>
    <col collapsed="false" customWidth="true" hidden="false" outlineLevel="0" max="26" min="26" style="0" width="26"/>
    <col collapsed="false" customWidth="true" hidden="false" outlineLevel="0" max="27" min="27" style="0" width="7"/>
    <col collapsed="false" customWidth="true" hidden="false" outlineLevel="0" max="28" min="28" style="0" width="2"/>
  </cols>
  <sheetData>
    <row r="1" customFormat="false" ht="31.5" hidden="false" customHeight="true" outlineLevel="0" collapsed="false">
      <c r="B1" s="1" t="s">
        <v>88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2" t="s">
        <v>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4" t="s">
        <v>90</v>
      </c>
      <c r="C4" s="4"/>
      <c r="D4" s="4"/>
      <c r="E4" s="19"/>
      <c r="F4" s="8" t="s">
        <v>91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" hidden="false" customHeight="true" outlineLevel="0" collapsed="false">
      <c r="B5" s="4" t="s">
        <v>92</v>
      </c>
      <c r="C5" s="4"/>
      <c r="D5" s="4"/>
      <c r="E5" s="19"/>
      <c r="F5" s="8" t="s">
        <v>93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8" customFormat="false" ht="33" hidden="false" customHeight="true" outlineLevel="0" collapsed="false">
      <c r="B8" s="9" t="s">
        <v>94</v>
      </c>
      <c r="C8" s="9" t="s">
        <v>95</v>
      </c>
      <c r="D8" s="9" t="s">
        <v>72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100</v>
      </c>
      <c r="J8" s="9" t="s">
        <v>101</v>
      </c>
      <c r="K8" s="9" t="s">
        <v>102</v>
      </c>
      <c r="L8" s="9" t="s">
        <v>103</v>
      </c>
      <c r="M8" s="9" t="s">
        <v>104</v>
      </c>
      <c r="N8" s="9" t="s">
        <v>105</v>
      </c>
      <c r="O8" s="9" t="s">
        <v>106</v>
      </c>
      <c r="P8" s="9" t="s">
        <v>107</v>
      </c>
      <c r="Q8" s="9" t="s">
        <v>108</v>
      </c>
      <c r="R8" s="9" t="s">
        <v>109</v>
      </c>
      <c r="S8" s="9" t="s">
        <v>110</v>
      </c>
      <c r="T8" s="9" t="s">
        <v>111</v>
      </c>
      <c r="U8" s="9" t="s">
        <v>112</v>
      </c>
      <c r="V8" s="9" t="s">
        <v>113</v>
      </c>
      <c r="W8" s="9" t="s">
        <v>114</v>
      </c>
      <c r="X8" s="9" t="s">
        <v>28</v>
      </c>
      <c r="Y8" s="9" t="s">
        <v>115</v>
      </c>
      <c r="Z8" s="9" t="s">
        <v>77</v>
      </c>
      <c r="AA8" s="9" t="s">
        <v>116</v>
      </c>
    </row>
    <row r="9" customFormat="false" ht="30" hidden="false" customHeight="true" outlineLevel="0" collapsed="false">
      <c r="B9" s="10"/>
      <c r="C9" s="10"/>
      <c r="D9" s="10" t="s">
        <v>78</v>
      </c>
      <c r="E9" s="10" t="s">
        <v>117</v>
      </c>
      <c r="F9" s="10"/>
      <c r="G9" s="10" t="s">
        <v>78</v>
      </c>
      <c r="H9" s="10" t="s">
        <v>118</v>
      </c>
      <c r="I9" s="10" t="n">
        <v>1</v>
      </c>
      <c r="J9" s="10" t="n">
        <v>2</v>
      </c>
      <c r="K9" s="10" t="n">
        <v>3</v>
      </c>
      <c r="L9" s="10" t="n">
        <v>4</v>
      </c>
      <c r="M9" s="10" t="n">
        <v>5</v>
      </c>
      <c r="N9" s="10" t="n">
        <v>6</v>
      </c>
      <c r="O9" s="10" t="n">
        <v>7</v>
      </c>
      <c r="P9" s="10" t="n">
        <v>8</v>
      </c>
      <c r="Q9" s="10" t="n">
        <v>9</v>
      </c>
      <c r="R9" s="10" t="n">
        <v>10</v>
      </c>
      <c r="S9" s="10" t="n">
        <v>11</v>
      </c>
      <c r="T9" s="10" t="n">
        <v>12</v>
      </c>
      <c r="U9" s="10" t="s">
        <v>82</v>
      </c>
      <c r="V9" s="10" t="s">
        <v>82</v>
      </c>
      <c r="W9" s="10" t="s">
        <v>82</v>
      </c>
      <c r="X9" s="10" t="s">
        <v>82</v>
      </c>
      <c r="Y9" s="10" t="s">
        <v>83</v>
      </c>
      <c r="Z9" s="10" t="s">
        <v>83</v>
      </c>
      <c r="AA9" s="10" t="s">
        <v>119</v>
      </c>
    </row>
    <row r="10" customFormat="false" ht="21.75" hidden="false" customHeight="true" outlineLevel="0" collapsed="false">
      <c r="B10" s="11" t="n">
        <v>1</v>
      </c>
      <c r="C10" s="5"/>
      <c r="D10" s="5"/>
      <c r="E10" s="5"/>
      <c r="F10" s="5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3" t="str">
        <f aca="false">IF(OR(C10="",AA10="",H10="",$E$5=""),"",IF(OR(H10&lt;1,H10&gt;12),"",SUMPRODUCT(($I$9:$T$9&gt;=$H10)*(MOD($I$9:$T$9-$H10,$AA10)=0)*($I$9:$T$9&lt;=$E$5))))</f>
        <v/>
      </c>
      <c r="V10" s="13" t="str">
        <f aca="false">IF(U10="","",SUMPRODUCT(($I$9:$T$9&gt;=$H10)*(MOD($I$9:$T$9-$H10,$AA10)=0)*($I$9:$T$9&lt;=$E$5)*(I10:T10&lt;&gt;"")))</f>
        <v/>
      </c>
      <c r="W10" s="13" t="str">
        <f aca="false">IF(U10="","",U10-V10)</f>
        <v/>
      </c>
      <c r="X10" s="20" t="str">
        <f aca="false">IF(U10="","",SUMPRODUCT((1-($I$9:$T$9&gt;=$H10)*(MOD($I$9:$T$9-$H10,$AA10)=0))*(I10:T10&lt;&gt;"")))</f>
        <v/>
      </c>
      <c r="Y10" s="21" t="str">
        <f aca="false">IF(U10="","",IF(U10=0,"Ainda não começou",IF(W10&gt;0,"Com atraso","Em dia")))</f>
        <v/>
      </c>
      <c r="Z10" s="14" t="str">
        <f aca="false">IF(C10="","",IF(D10="","Falta o estudo",IF(F10="","Falta o responsável",IF(G10="","Falta a frequência",IF(H10="","Falta o mês de início",IF(OR(H10&lt;1,H10&gt;12),"Mês de início fora de 1 a 12","OK"))))))</f>
        <v/>
      </c>
      <c r="AA10" s="22" t="str">
        <f aca="false">IF(G10="","",IFERROR(CHOOSE(MATCH(G10,{"Mensal","Bimestral","Trimestral","Semestral","Anual"},0),1,2,3,6,12),""))</f>
        <v/>
      </c>
    </row>
    <row r="11" customFormat="false" ht="21.75" hidden="false" customHeight="true" outlineLevel="0" collapsed="false">
      <c r="B11" s="11" t="n">
        <v>2</v>
      </c>
      <c r="C11" s="5"/>
      <c r="D11" s="5"/>
      <c r="E11" s="5"/>
      <c r="F11" s="5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3" t="str">
        <f aca="false">IF(OR(C11="",AA11="",H11="",$E$5=""),"",IF(OR(H11&lt;1,H11&gt;12),"",SUMPRODUCT(($I$9:$T$9&gt;=$H11)*(MOD($I$9:$T$9-$H11,$AA11)=0)*($I$9:$T$9&lt;=$E$5))))</f>
        <v/>
      </c>
      <c r="V11" s="13" t="str">
        <f aca="false">IF(U11="","",SUMPRODUCT(($I$9:$T$9&gt;=$H11)*(MOD($I$9:$T$9-$H11,$AA11)=0)*($I$9:$T$9&lt;=$E$5)*(I11:T11&lt;&gt;"")))</f>
        <v/>
      </c>
      <c r="W11" s="13" t="str">
        <f aca="false">IF(U11="","",U11-V11)</f>
        <v/>
      </c>
      <c r="X11" s="20" t="str">
        <f aca="false">IF(U11="","",SUMPRODUCT((1-($I$9:$T$9&gt;=$H11)*(MOD($I$9:$T$9-$H11,$AA11)=0))*(I11:T11&lt;&gt;"")))</f>
        <v/>
      </c>
      <c r="Y11" s="21" t="str">
        <f aca="false">IF(U11="","",IF(U11=0,"Ainda não começou",IF(W11&gt;0,"Com atraso","Em dia")))</f>
        <v/>
      </c>
      <c r="Z11" s="14" t="str">
        <f aca="false">IF(C11="","",IF(D11="","Falta o estudo",IF(F11="","Falta o responsável",IF(G11="","Falta a frequência",IF(H11="","Falta o mês de início",IF(OR(H11&lt;1,H11&gt;12),"Mês de início fora de 1 a 12","OK"))))))</f>
        <v/>
      </c>
      <c r="AA11" s="22" t="str">
        <f aca="false">IF(G11="","",IFERROR(CHOOSE(MATCH(G11,{"Mensal","Bimestral","Trimestral","Semestral","Anual"},0),1,2,3,6,12),""))</f>
        <v/>
      </c>
    </row>
    <row r="12" customFormat="false" ht="21.75" hidden="false" customHeight="true" outlineLevel="0" collapsed="false">
      <c r="B12" s="11" t="n">
        <v>3</v>
      </c>
      <c r="C12" s="5"/>
      <c r="D12" s="5"/>
      <c r="E12" s="5"/>
      <c r="F12" s="5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3" t="str">
        <f aca="false">IF(OR(C12="",AA12="",H12="",$E$5=""),"",IF(OR(H12&lt;1,H12&gt;12),"",SUMPRODUCT(($I$9:$T$9&gt;=$H12)*(MOD($I$9:$T$9-$H12,$AA12)=0)*($I$9:$T$9&lt;=$E$5))))</f>
        <v/>
      </c>
      <c r="V12" s="13" t="str">
        <f aca="false">IF(U12="","",SUMPRODUCT(($I$9:$T$9&gt;=$H12)*(MOD($I$9:$T$9-$H12,$AA12)=0)*($I$9:$T$9&lt;=$E$5)*(I12:T12&lt;&gt;"")))</f>
        <v/>
      </c>
      <c r="W12" s="13" t="str">
        <f aca="false">IF(U12="","",U12-V12)</f>
        <v/>
      </c>
      <c r="X12" s="20" t="str">
        <f aca="false">IF(U12="","",SUMPRODUCT((1-($I$9:$T$9&gt;=$H12)*(MOD($I$9:$T$9-$H12,$AA12)=0))*(I12:T12&lt;&gt;"")))</f>
        <v/>
      </c>
      <c r="Y12" s="21" t="str">
        <f aca="false">IF(U12="","",IF(U12=0,"Ainda não começou",IF(W12&gt;0,"Com atraso","Em dia")))</f>
        <v/>
      </c>
      <c r="Z12" s="14" t="str">
        <f aca="false">IF(C12="","",IF(D12="","Falta o estudo",IF(F12="","Falta o responsável",IF(G12="","Falta a frequência",IF(H12="","Falta o mês de início",IF(OR(H12&lt;1,H12&gt;12),"Mês de início fora de 1 a 12","OK"))))))</f>
        <v/>
      </c>
      <c r="AA12" s="22" t="str">
        <f aca="false">IF(G12="","",IFERROR(CHOOSE(MATCH(G12,{"Mensal","Bimestral","Trimestral","Semestral","Anual"},0),1,2,3,6,12),""))</f>
        <v/>
      </c>
    </row>
    <row r="13" customFormat="false" ht="21.75" hidden="false" customHeight="true" outlineLevel="0" collapsed="false">
      <c r="B13" s="11" t="n">
        <v>4</v>
      </c>
      <c r="C13" s="5"/>
      <c r="D13" s="5"/>
      <c r="E13" s="5"/>
      <c r="F13" s="5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3" t="str">
        <f aca="false">IF(OR(C13="",AA13="",H13="",$E$5=""),"",IF(OR(H13&lt;1,H13&gt;12),"",SUMPRODUCT(($I$9:$T$9&gt;=$H13)*(MOD($I$9:$T$9-$H13,$AA13)=0)*($I$9:$T$9&lt;=$E$5))))</f>
        <v/>
      </c>
      <c r="V13" s="13" t="str">
        <f aca="false">IF(U13="","",SUMPRODUCT(($I$9:$T$9&gt;=$H13)*(MOD($I$9:$T$9-$H13,$AA13)=0)*($I$9:$T$9&lt;=$E$5)*(I13:T13&lt;&gt;"")))</f>
        <v/>
      </c>
      <c r="W13" s="13" t="str">
        <f aca="false">IF(U13="","",U13-V13)</f>
        <v/>
      </c>
      <c r="X13" s="20" t="str">
        <f aca="false">IF(U13="","",SUMPRODUCT((1-($I$9:$T$9&gt;=$H13)*(MOD($I$9:$T$9-$H13,$AA13)=0))*(I13:T13&lt;&gt;"")))</f>
        <v/>
      </c>
      <c r="Y13" s="21" t="str">
        <f aca="false">IF(U13="","",IF(U13=0,"Ainda não começou",IF(W13&gt;0,"Com atraso","Em dia")))</f>
        <v/>
      </c>
      <c r="Z13" s="14" t="str">
        <f aca="false">IF(C13="","",IF(D13="","Falta o estudo",IF(F13="","Falta o responsável",IF(G13="","Falta a frequência",IF(H13="","Falta o mês de início",IF(OR(H13&lt;1,H13&gt;12),"Mês de início fora de 1 a 12","OK"))))))</f>
        <v/>
      </c>
      <c r="AA13" s="22" t="str">
        <f aca="false">IF(G13="","",IFERROR(CHOOSE(MATCH(G13,{"Mensal","Bimestral","Trimestral","Semestral","Anual"},0),1,2,3,6,12),""))</f>
        <v/>
      </c>
    </row>
    <row r="14" customFormat="false" ht="21.75" hidden="false" customHeight="true" outlineLevel="0" collapsed="false">
      <c r="B14" s="11" t="n">
        <v>5</v>
      </c>
      <c r="C14" s="5"/>
      <c r="D14" s="5"/>
      <c r="E14" s="5"/>
      <c r="F14" s="5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3" t="str">
        <f aca="false">IF(OR(C14="",AA14="",H14="",$E$5=""),"",IF(OR(H14&lt;1,H14&gt;12),"",SUMPRODUCT(($I$9:$T$9&gt;=$H14)*(MOD($I$9:$T$9-$H14,$AA14)=0)*($I$9:$T$9&lt;=$E$5))))</f>
        <v/>
      </c>
      <c r="V14" s="13" t="str">
        <f aca="false">IF(U14="","",SUMPRODUCT(($I$9:$T$9&gt;=$H14)*(MOD($I$9:$T$9-$H14,$AA14)=0)*($I$9:$T$9&lt;=$E$5)*(I14:T14&lt;&gt;"")))</f>
        <v/>
      </c>
      <c r="W14" s="13" t="str">
        <f aca="false">IF(U14="","",U14-V14)</f>
        <v/>
      </c>
      <c r="X14" s="20" t="str">
        <f aca="false">IF(U14="","",SUMPRODUCT((1-($I$9:$T$9&gt;=$H14)*(MOD($I$9:$T$9-$H14,$AA14)=0))*(I14:T14&lt;&gt;"")))</f>
        <v/>
      </c>
      <c r="Y14" s="21" t="str">
        <f aca="false">IF(U14="","",IF(U14=0,"Ainda não começou",IF(W14&gt;0,"Com atraso","Em dia")))</f>
        <v/>
      </c>
      <c r="Z14" s="14" t="str">
        <f aca="false">IF(C14="","",IF(D14="","Falta o estudo",IF(F14="","Falta o responsável",IF(G14="","Falta a frequência",IF(H14="","Falta o mês de início",IF(OR(H14&lt;1,H14&gt;12),"Mês de início fora de 1 a 12","OK"))))))</f>
        <v/>
      </c>
      <c r="AA14" s="22" t="str">
        <f aca="false">IF(G14="","",IFERROR(CHOOSE(MATCH(G14,{"Mensal","Bimestral","Trimestral","Semestral","Anual"},0),1,2,3,6,12),""))</f>
        <v/>
      </c>
    </row>
    <row r="15" customFormat="false" ht="21.75" hidden="false" customHeight="true" outlineLevel="0" collapsed="false">
      <c r="B15" s="11" t="n">
        <v>6</v>
      </c>
      <c r="C15" s="5"/>
      <c r="D15" s="5"/>
      <c r="E15" s="5"/>
      <c r="F15" s="5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3" t="str">
        <f aca="false">IF(OR(C15="",AA15="",H15="",$E$5=""),"",IF(OR(H15&lt;1,H15&gt;12),"",SUMPRODUCT(($I$9:$T$9&gt;=$H15)*(MOD($I$9:$T$9-$H15,$AA15)=0)*($I$9:$T$9&lt;=$E$5))))</f>
        <v/>
      </c>
      <c r="V15" s="13" t="str">
        <f aca="false">IF(U15="","",SUMPRODUCT(($I$9:$T$9&gt;=$H15)*(MOD($I$9:$T$9-$H15,$AA15)=0)*($I$9:$T$9&lt;=$E$5)*(I15:T15&lt;&gt;"")))</f>
        <v/>
      </c>
      <c r="W15" s="13" t="str">
        <f aca="false">IF(U15="","",U15-V15)</f>
        <v/>
      </c>
      <c r="X15" s="20" t="str">
        <f aca="false">IF(U15="","",SUMPRODUCT((1-($I$9:$T$9&gt;=$H15)*(MOD($I$9:$T$9-$H15,$AA15)=0))*(I15:T15&lt;&gt;"")))</f>
        <v/>
      </c>
      <c r="Y15" s="21" t="str">
        <f aca="false">IF(U15="","",IF(U15=0,"Ainda não começou",IF(W15&gt;0,"Com atraso","Em dia")))</f>
        <v/>
      </c>
      <c r="Z15" s="14" t="str">
        <f aca="false">IF(C15="","",IF(D15="","Falta o estudo",IF(F15="","Falta o responsável",IF(G15="","Falta a frequência",IF(H15="","Falta o mês de início",IF(OR(H15&lt;1,H15&gt;12),"Mês de início fora de 1 a 12","OK"))))))</f>
        <v/>
      </c>
      <c r="AA15" s="22" t="str">
        <f aca="false">IF(G15="","",IFERROR(CHOOSE(MATCH(G15,{"Mensal","Bimestral","Trimestral","Semestral","Anual"},0),1,2,3,6,12),""))</f>
        <v/>
      </c>
    </row>
    <row r="16" customFormat="false" ht="21.75" hidden="false" customHeight="true" outlineLevel="0" collapsed="false">
      <c r="B16" s="11" t="n">
        <v>7</v>
      </c>
      <c r="C16" s="5"/>
      <c r="D16" s="5"/>
      <c r="E16" s="5"/>
      <c r="F16" s="5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3" t="str">
        <f aca="false">IF(OR(C16="",AA16="",H16="",$E$5=""),"",IF(OR(H16&lt;1,H16&gt;12),"",SUMPRODUCT(($I$9:$T$9&gt;=$H16)*(MOD($I$9:$T$9-$H16,$AA16)=0)*($I$9:$T$9&lt;=$E$5))))</f>
        <v/>
      </c>
      <c r="V16" s="13" t="str">
        <f aca="false">IF(U16="","",SUMPRODUCT(($I$9:$T$9&gt;=$H16)*(MOD($I$9:$T$9-$H16,$AA16)=0)*($I$9:$T$9&lt;=$E$5)*(I16:T16&lt;&gt;"")))</f>
        <v/>
      </c>
      <c r="W16" s="13" t="str">
        <f aca="false">IF(U16="","",U16-V16)</f>
        <v/>
      </c>
      <c r="X16" s="20" t="str">
        <f aca="false">IF(U16="","",SUMPRODUCT((1-($I$9:$T$9&gt;=$H16)*(MOD($I$9:$T$9-$H16,$AA16)=0))*(I16:T16&lt;&gt;"")))</f>
        <v/>
      </c>
      <c r="Y16" s="21" t="str">
        <f aca="false">IF(U16="","",IF(U16=0,"Ainda não começou",IF(W16&gt;0,"Com atraso","Em dia")))</f>
        <v/>
      </c>
      <c r="Z16" s="14" t="str">
        <f aca="false">IF(C16="","",IF(D16="","Falta o estudo",IF(F16="","Falta o responsável",IF(G16="","Falta a frequência",IF(H16="","Falta o mês de início",IF(OR(H16&lt;1,H16&gt;12),"Mês de início fora de 1 a 12","OK"))))))</f>
        <v/>
      </c>
      <c r="AA16" s="22" t="str">
        <f aca="false">IF(G16="","",IFERROR(CHOOSE(MATCH(G16,{"Mensal","Bimestral","Trimestral","Semestral","Anual"},0),1,2,3,6,12),""))</f>
        <v/>
      </c>
    </row>
    <row r="17" customFormat="false" ht="21.75" hidden="false" customHeight="true" outlineLevel="0" collapsed="false">
      <c r="B17" s="11" t="n">
        <v>8</v>
      </c>
      <c r="C17" s="5"/>
      <c r="D17" s="5"/>
      <c r="E17" s="5"/>
      <c r="F17" s="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3" t="str">
        <f aca="false">IF(OR(C17="",AA17="",H17="",$E$5=""),"",IF(OR(H17&lt;1,H17&gt;12),"",SUMPRODUCT(($I$9:$T$9&gt;=$H17)*(MOD($I$9:$T$9-$H17,$AA17)=0)*($I$9:$T$9&lt;=$E$5))))</f>
        <v/>
      </c>
      <c r="V17" s="13" t="str">
        <f aca="false">IF(U17="","",SUMPRODUCT(($I$9:$T$9&gt;=$H17)*(MOD($I$9:$T$9-$H17,$AA17)=0)*($I$9:$T$9&lt;=$E$5)*(I17:T17&lt;&gt;"")))</f>
        <v/>
      </c>
      <c r="W17" s="13" t="str">
        <f aca="false">IF(U17="","",U17-V17)</f>
        <v/>
      </c>
      <c r="X17" s="20" t="str">
        <f aca="false">IF(U17="","",SUMPRODUCT((1-($I$9:$T$9&gt;=$H17)*(MOD($I$9:$T$9-$H17,$AA17)=0))*(I17:T17&lt;&gt;"")))</f>
        <v/>
      </c>
      <c r="Y17" s="21" t="str">
        <f aca="false">IF(U17="","",IF(U17=0,"Ainda não começou",IF(W17&gt;0,"Com atraso","Em dia")))</f>
        <v/>
      </c>
      <c r="Z17" s="14" t="str">
        <f aca="false">IF(C17="","",IF(D17="","Falta o estudo",IF(F17="","Falta o responsável",IF(G17="","Falta a frequência",IF(H17="","Falta o mês de início",IF(OR(H17&lt;1,H17&gt;12),"Mês de início fora de 1 a 12","OK"))))))</f>
        <v/>
      </c>
      <c r="AA17" s="22" t="str">
        <f aca="false">IF(G17="","",IFERROR(CHOOSE(MATCH(G17,{"Mensal","Bimestral","Trimestral","Semestral","Anual"},0),1,2,3,6,12),""))</f>
        <v/>
      </c>
    </row>
    <row r="18" customFormat="false" ht="21.75" hidden="false" customHeight="true" outlineLevel="0" collapsed="false">
      <c r="B18" s="11" t="n">
        <v>9</v>
      </c>
      <c r="C18" s="5"/>
      <c r="D18" s="5"/>
      <c r="E18" s="5"/>
      <c r="F18" s="5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3" t="str">
        <f aca="false">IF(OR(C18="",AA18="",H18="",$E$5=""),"",IF(OR(H18&lt;1,H18&gt;12),"",SUMPRODUCT(($I$9:$T$9&gt;=$H18)*(MOD($I$9:$T$9-$H18,$AA18)=0)*($I$9:$T$9&lt;=$E$5))))</f>
        <v/>
      </c>
      <c r="V18" s="13" t="str">
        <f aca="false">IF(U18="","",SUMPRODUCT(($I$9:$T$9&gt;=$H18)*(MOD($I$9:$T$9-$H18,$AA18)=0)*($I$9:$T$9&lt;=$E$5)*(I18:T18&lt;&gt;"")))</f>
        <v/>
      </c>
      <c r="W18" s="13" t="str">
        <f aca="false">IF(U18="","",U18-V18)</f>
        <v/>
      </c>
      <c r="X18" s="20" t="str">
        <f aca="false">IF(U18="","",SUMPRODUCT((1-($I$9:$T$9&gt;=$H18)*(MOD($I$9:$T$9-$H18,$AA18)=0))*(I18:T18&lt;&gt;"")))</f>
        <v/>
      </c>
      <c r="Y18" s="21" t="str">
        <f aca="false">IF(U18="","",IF(U18=0,"Ainda não começou",IF(W18&gt;0,"Com atraso","Em dia")))</f>
        <v/>
      </c>
      <c r="Z18" s="14" t="str">
        <f aca="false">IF(C18="","",IF(D18="","Falta o estudo",IF(F18="","Falta o responsável",IF(G18="","Falta a frequência",IF(H18="","Falta o mês de início",IF(OR(H18&lt;1,H18&gt;12),"Mês de início fora de 1 a 12","OK"))))))</f>
        <v/>
      </c>
      <c r="AA18" s="22" t="str">
        <f aca="false">IF(G18="","",IFERROR(CHOOSE(MATCH(G18,{"Mensal","Bimestral","Trimestral","Semestral","Anual"},0),1,2,3,6,12),""))</f>
        <v/>
      </c>
    </row>
    <row r="19" customFormat="false" ht="21.75" hidden="false" customHeight="true" outlineLevel="0" collapsed="false">
      <c r="B19" s="11" t="n">
        <v>10</v>
      </c>
      <c r="C19" s="5"/>
      <c r="D19" s="5"/>
      <c r="E19" s="5"/>
      <c r="F19" s="5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3" t="str">
        <f aca="false">IF(OR(C19="",AA19="",H19="",$E$5=""),"",IF(OR(H19&lt;1,H19&gt;12),"",SUMPRODUCT(($I$9:$T$9&gt;=$H19)*(MOD($I$9:$T$9-$H19,$AA19)=0)*($I$9:$T$9&lt;=$E$5))))</f>
        <v/>
      </c>
      <c r="V19" s="13" t="str">
        <f aca="false">IF(U19="","",SUMPRODUCT(($I$9:$T$9&gt;=$H19)*(MOD($I$9:$T$9-$H19,$AA19)=0)*($I$9:$T$9&lt;=$E$5)*(I19:T19&lt;&gt;"")))</f>
        <v/>
      </c>
      <c r="W19" s="13" t="str">
        <f aca="false">IF(U19="","",U19-V19)</f>
        <v/>
      </c>
      <c r="X19" s="20" t="str">
        <f aca="false">IF(U19="","",SUMPRODUCT((1-($I$9:$T$9&gt;=$H19)*(MOD($I$9:$T$9-$H19,$AA19)=0))*(I19:T19&lt;&gt;"")))</f>
        <v/>
      </c>
      <c r="Y19" s="21" t="str">
        <f aca="false">IF(U19="","",IF(U19=0,"Ainda não começou",IF(W19&gt;0,"Com atraso","Em dia")))</f>
        <v/>
      </c>
      <c r="Z19" s="14" t="str">
        <f aca="false">IF(C19="","",IF(D19="","Falta o estudo",IF(F19="","Falta o responsável",IF(G19="","Falta a frequência",IF(H19="","Falta o mês de início",IF(OR(H19&lt;1,H19&gt;12),"Mês de início fora de 1 a 12","OK"))))))</f>
        <v/>
      </c>
      <c r="AA19" s="22" t="str">
        <f aca="false">IF(G19="","",IFERROR(CHOOSE(MATCH(G19,{"Mensal","Bimestral","Trimestral","Semestral","Anual"},0),1,2,3,6,12),""))</f>
        <v/>
      </c>
    </row>
    <row r="20" customFormat="false" ht="21.75" hidden="false" customHeight="true" outlineLevel="0" collapsed="false">
      <c r="B20" s="11" t="n">
        <v>11</v>
      </c>
      <c r="C20" s="5"/>
      <c r="D20" s="5"/>
      <c r="E20" s="5"/>
      <c r="F20" s="5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3" t="str">
        <f aca="false">IF(OR(C20="",AA20="",H20="",$E$5=""),"",IF(OR(H20&lt;1,H20&gt;12),"",SUMPRODUCT(($I$9:$T$9&gt;=$H20)*(MOD($I$9:$T$9-$H20,$AA20)=0)*($I$9:$T$9&lt;=$E$5))))</f>
        <v/>
      </c>
      <c r="V20" s="13" t="str">
        <f aca="false">IF(U20="","",SUMPRODUCT(($I$9:$T$9&gt;=$H20)*(MOD($I$9:$T$9-$H20,$AA20)=0)*($I$9:$T$9&lt;=$E$5)*(I20:T20&lt;&gt;"")))</f>
        <v/>
      </c>
      <c r="W20" s="13" t="str">
        <f aca="false">IF(U20="","",U20-V20)</f>
        <v/>
      </c>
      <c r="X20" s="20" t="str">
        <f aca="false">IF(U20="","",SUMPRODUCT((1-($I$9:$T$9&gt;=$H20)*(MOD($I$9:$T$9-$H20,$AA20)=0))*(I20:T20&lt;&gt;"")))</f>
        <v/>
      </c>
      <c r="Y20" s="21" t="str">
        <f aca="false">IF(U20="","",IF(U20=0,"Ainda não começou",IF(W20&gt;0,"Com atraso","Em dia")))</f>
        <v/>
      </c>
      <c r="Z20" s="14" t="str">
        <f aca="false">IF(C20="","",IF(D20="","Falta o estudo",IF(F20="","Falta o responsável",IF(G20="","Falta a frequência",IF(H20="","Falta o mês de início",IF(OR(H20&lt;1,H20&gt;12),"Mês de início fora de 1 a 12","OK"))))))</f>
        <v/>
      </c>
      <c r="AA20" s="22" t="str">
        <f aca="false">IF(G20="","",IFERROR(CHOOSE(MATCH(G20,{"Mensal","Bimestral","Trimestral","Semestral","Anual"},0),1,2,3,6,12),""))</f>
        <v/>
      </c>
    </row>
    <row r="21" customFormat="false" ht="21.75" hidden="false" customHeight="true" outlineLevel="0" collapsed="false">
      <c r="B21" s="11" t="n">
        <v>12</v>
      </c>
      <c r="C21" s="5"/>
      <c r="D21" s="5"/>
      <c r="E21" s="5"/>
      <c r="F21" s="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3" t="str">
        <f aca="false">IF(OR(C21="",AA21="",H21="",$E$5=""),"",IF(OR(H21&lt;1,H21&gt;12),"",SUMPRODUCT(($I$9:$T$9&gt;=$H21)*(MOD($I$9:$T$9-$H21,$AA21)=0)*($I$9:$T$9&lt;=$E$5))))</f>
        <v/>
      </c>
      <c r="V21" s="13" t="str">
        <f aca="false">IF(U21="","",SUMPRODUCT(($I$9:$T$9&gt;=$H21)*(MOD($I$9:$T$9-$H21,$AA21)=0)*($I$9:$T$9&lt;=$E$5)*(I21:T21&lt;&gt;"")))</f>
        <v/>
      </c>
      <c r="W21" s="13" t="str">
        <f aca="false">IF(U21="","",U21-V21)</f>
        <v/>
      </c>
      <c r="X21" s="20" t="str">
        <f aca="false">IF(U21="","",SUMPRODUCT((1-($I$9:$T$9&gt;=$H21)*(MOD($I$9:$T$9-$H21,$AA21)=0))*(I21:T21&lt;&gt;"")))</f>
        <v/>
      </c>
      <c r="Y21" s="21" t="str">
        <f aca="false">IF(U21="","",IF(U21=0,"Ainda não começou",IF(W21&gt;0,"Com atraso","Em dia")))</f>
        <v/>
      </c>
      <c r="Z21" s="14" t="str">
        <f aca="false">IF(C21="","",IF(D21="","Falta o estudo",IF(F21="","Falta o responsável",IF(G21="","Falta a frequência",IF(H21="","Falta o mês de início",IF(OR(H21&lt;1,H21&gt;12),"Mês de início fora de 1 a 12","OK"))))))</f>
        <v/>
      </c>
      <c r="AA21" s="22" t="str">
        <f aca="false">IF(G21="","",IFERROR(CHOOSE(MATCH(G21,{"Mensal","Bimestral","Trimestral","Semestral","Anual"},0),1,2,3,6,12),""))</f>
        <v/>
      </c>
    </row>
    <row r="22" customFormat="false" ht="21.75" hidden="false" customHeight="true" outlineLevel="0" collapsed="false">
      <c r="B22" s="11" t="n">
        <v>13</v>
      </c>
      <c r="C22" s="5"/>
      <c r="D22" s="5"/>
      <c r="E22" s="5"/>
      <c r="F22" s="5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3" t="str">
        <f aca="false">IF(OR(C22="",AA22="",H22="",$E$5=""),"",IF(OR(H22&lt;1,H22&gt;12),"",SUMPRODUCT(($I$9:$T$9&gt;=$H22)*(MOD($I$9:$T$9-$H22,$AA22)=0)*($I$9:$T$9&lt;=$E$5))))</f>
        <v/>
      </c>
      <c r="V22" s="13" t="str">
        <f aca="false">IF(U22="","",SUMPRODUCT(($I$9:$T$9&gt;=$H22)*(MOD($I$9:$T$9-$H22,$AA22)=0)*($I$9:$T$9&lt;=$E$5)*(I22:T22&lt;&gt;"")))</f>
        <v/>
      </c>
      <c r="W22" s="13" t="str">
        <f aca="false">IF(U22="","",U22-V22)</f>
        <v/>
      </c>
      <c r="X22" s="20" t="str">
        <f aca="false">IF(U22="","",SUMPRODUCT((1-($I$9:$T$9&gt;=$H22)*(MOD($I$9:$T$9-$H22,$AA22)=0))*(I22:T22&lt;&gt;"")))</f>
        <v/>
      </c>
      <c r="Y22" s="21" t="str">
        <f aca="false">IF(U22="","",IF(U22=0,"Ainda não começou",IF(W22&gt;0,"Com atraso","Em dia")))</f>
        <v/>
      </c>
      <c r="Z22" s="14" t="str">
        <f aca="false">IF(C22="","",IF(D22="","Falta o estudo",IF(F22="","Falta o responsável",IF(G22="","Falta a frequência",IF(H22="","Falta o mês de início",IF(OR(H22&lt;1,H22&gt;12),"Mês de início fora de 1 a 12","OK"))))))</f>
        <v/>
      </c>
      <c r="AA22" s="22" t="str">
        <f aca="false">IF(G22="","",IFERROR(CHOOSE(MATCH(G22,{"Mensal","Bimestral","Trimestral","Semestral","Anual"},0),1,2,3,6,12),""))</f>
        <v/>
      </c>
    </row>
    <row r="23" customFormat="false" ht="21.75" hidden="false" customHeight="true" outlineLevel="0" collapsed="false">
      <c r="B23" s="11" t="n">
        <v>14</v>
      </c>
      <c r="C23" s="5"/>
      <c r="D23" s="5"/>
      <c r="E23" s="5"/>
      <c r="F23" s="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3" t="str">
        <f aca="false">IF(OR(C23="",AA23="",H23="",$E$5=""),"",IF(OR(H23&lt;1,H23&gt;12),"",SUMPRODUCT(($I$9:$T$9&gt;=$H23)*(MOD($I$9:$T$9-$H23,$AA23)=0)*($I$9:$T$9&lt;=$E$5))))</f>
        <v/>
      </c>
      <c r="V23" s="13" t="str">
        <f aca="false">IF(U23="","",SUMPRODUCT(($I$9:$T$9&gt;=$H23)*(MOD($I$9:$T$9-$H23,$AA23)=0)*($I$9:$T$9&lt;=$E$5)*(I23:T23&lt;&gt;"")))</f>
        <v/>
      </c>
      <c r="W23" s="13" t="str">
        <f aca="false">IF(U23="","",U23-V23)</f>
        <v/>
      </c>
      <c r="X23" s="20" t="str">
        <f aca="false">IF(U23="","",SUMPRODUCT((1-($I$9:$T$9&gt;=$H23)*(MOD($I$9:$T$9-$H23,$AA23)=0))*(I23:T23&lt;&gt;"")))</f>
        <v/>
      </c>
      <c r="Y23" s="21" t="str">
        <f aca="false">IF(U23="","",IF(U23=0,"Ainda não começou",IF(W23&gt;0,"Com atraso","Em dia")))</f>
        <v/>
      </c>
      <c r="Z23" s="14" t="str">
        <f aca="false">IF(C23="","",IF(D23="","Falta o estudo",IF(F23="","Falta o responsável",IF(G23="","Falta a frequência",IF(H23="","Falta o mês de início",IF(OR(H23&lt;1,H23&gt;12),"Mês de início fora de 1 a 12","OK"))))))</f>
        <v/>
      </c>
      <c r="AA23" s="22" t="str">
        <f aca="false">IF(G23="","",IFERROR(CHOOSE(MATCH(G23,{"Mensal","Bimestral","Trimestral","Semestral","Anual"},0),1,2,3,6,12),""))</f>
        <v/>
      </c>
    </row>
    <row r="24" customFormat="false" ht="21.75" hidden="false" customHeight="true" outlineLevel="0" collapsed="false">
      <c r="B24" s="11" t="n">
        <v>15</v>
      </c>
      <c r="C24" s="5"/>
      <c r="D24" s="5"/>
      <c r="E24" s="5"/>
      <c r="F24" s="5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3" t="str">
        <f aca="false">IF(OR(C24="",AA24="",H24="",$E$5=""),"",IF(OR(H24&lt;1,H24&gt;12),"",SUMPRODUCT(($I$9:$T$9&gt;=$H24)*(MOD($I$9:$T$9-$H24,$AA24)=0)*($I$9:$T$9&lt;=$E$5))))</f>
        <v/>
      </c>
      <c r="V24" s="13" t="str">
        <f aca="false">IF(U24="","",SUMPRODUCT(($I$9:$T$9&gt;=$H24)*(MOD($I$9:$T$9-$H24,$AA24)=0)*($I$9:$T$9&lt;=$E$5)*(I24:T24&lt;&gt;"")))</f>
        <v/>
      </c>
      <c r="W24" s="13" t="str">
        <f aca="false">IF(U24="","",U24-V24)</f>
        <v/>
      </c>
      <c r="X24" s="20" t="str">
        <f aca="false">IF(U24="","",SUMPRODUCT((1-($I$9:$T$9&gt;=$H24)*(MOD($I$9:$T$9-$H24,$AA24)=0))*(I24:T24&lt;&gt;"")))</f>
        <v/>
      </c>
      <c r="Y24" s="21" t="str">
        <f aca="false">IF(U24="","",IF(U24=0,"Ainda não começou",IF(W24&gt;0,"Com atraso","Em dia")))</f>
        <v/>
      </c>
      <c r="Z24" s="14" t="str">
        <f aca="false">IF(C24="","",IF(D24="","Falta o estudo",IF(F24="","Falta o responsável",IF(G24="","Falta a frequência",IF(H24="","Falta o mês de início",IF(OR(H24&lt;1,H24&gt;12),"Mês de início fora de 1 a 12","OK"))))))</f>
        <v/>
      </c>
      <c r="AA24" s="22" t="str">
        <f aca="false">IF(G24="","",IFERROR(CHOOSE(MATCH(G24,{"Mensal","Bimestral","Trimestral","Semestral","Anual"},0),1,2,3,6,12),""))</f>
        <v/>
      </c>
    </row>
    <row r="25" customFormat="false" ht="21.75" hidden="false" customHeight="true" outlineLevel="0" collapsed="false">
      <c r="B25" s="11" t="n">
        <v>16</v>
      </c>
      <c r="C25" s="5"/>
      <c r="D25" s="5"/>
      <c r="E25" s="5"/>
      <c r="F25" s="5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3" t="str">
        <f aca="false">IF(OR(C25="",AA25="",H25="",$E$5=""),"",IF(OR(H25&lt;1,H25&gt;12),"",SUMPRODUCT(($I$9:$T$9&gt;=$H25)*(MOD($I$9:$T$9-$H25,$AA25)=0)*($I$9:$T$9&lt;=$E$5))))</f>
        <v/>
      </c>
      <c r="V25" s="13" t="str">
        <f aca="false">IF(U25="","",SUMPRODUCT(($I$9:$T$9&gt;=$H25)*(MOD($I$9:$T$9-$H25,$AA25)=0)*($I$9:$T$9&lt;=$E$5)*(I25:T25&lt;&gt;"")))</f>
        <v/>
      </c>
      <c r="W25" s="13" t="str">
        <f aca="false">IF(U25="","",U25-V25)</f>
        <v/>
      </c>
      <c r="X25" s="20" t="str">
        <f aca="false">IF(U25="","",SUMPRODUCT((1-($I$9:$T$9&gt;=$H25)*(MOD($I$9:$T$9-$H25,$AA25)=0))*(I25:T25&lt;&gt;"")))</f>
        <v/>
      </c>
      <c r="Y25" s="21" t="str">
        <f aca="false">IF(U25="","",IF(U25=0,"Ainda não começou",IF(W25&gt;0,"Com atraso","Em dia")))</f>
        <v/>
      </c>
      <c r="Z25" s="14" t="str">
        <f aca="false">IF(C25="","",IF(D25="","Falta o estudo",IF(F25="","Falta o responsável",IF(G25="","Falta a frequência",IF(H25="","Falta o mês de início",IF(OR(H25&lt;1,H25&gt;12),"Mês de início fora de 1 a 12","OK"))))))</f>
        <v/>
      </c>
      <c r="AA25" s="22" t="str">
        <f aca="false">IF(G25="","",IFERROR(CHOOSE(MATCH(G25,{"Mensal","Bimestral","Trimestral","Semestral","Anual"},0),1,2,3,6,12),""))</f>
        <v/>
      </c>
    </row>
    <row r="26" customFormat="false" ht="21.75" hidden="false" customHeight="true" outlineLevel="0" collapsed="false">
      <c r="B26" s="11" t="n">
        <v>17</v>
      </c>
      <c r="C26" s="5"/>
      <c r="D26" s="5"/>
      <c r="E26" s="5"/>
      <c r="F26" s="5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3" t="str">
        <f aca="false">IF(OR(C26="",AA26="",H26="",$E$5=""),"",IF(OR(H26&lt;1,H26&gt;12),"",SUMPRODUCT(($I$9:$T$9&gt;=$H26)*(MOD($I$9:$T$9-$H26,$AA26)=0)*($I$9:$T$9&lt;=$E$5))))</f>
        <v/>
      </c>
      <c r="V26" s="13" t="str">
        <f aca="false">IF(U26="","",SUMPRODUCT(($I$9:$T$9&gt;=$H26)*(MOD($I$9:$T$9-$H26,$AA26)=0)*($I$9:$T$9&lt;=$E$5)*(I26:T26&lt;&gt;"")))</f>
        <v/>
      </c>
      <c r="W26" s="13" t="str">
        <f aca="false">IF(U26="","",U26-V26)</f>
        <v/>
      </c>
      <c r="X26" s="20" t="str">
        <f aca="false">IF(U26="","",SUMPRODUCT((1-($I$9:$T$9&gt;=$H26)*(MOD($I$9:$T$9-$H26,$AA26)=0))*(I26:T26&lt;&gt;"")))</f>
        <v/>
      </c>
      <c r="Y26" s="21" t="str">
        <f aca="false">IF(U26="","",IF(U26=0,"Ainda não começou",IF(W26&gt;0,"Com atraso","Em dia")))</f>
        <v/>
      </c>
      <c r="Z26" s="14" t="str">
        <f aca="false">IF(C26="","",IF(D26="","Falta o estudo",IF(F26="","Falta o responsável",IF(G26="","Falta a frequência",IF(H26="","Falta o mês de início",IF(OR(H26&lt;1,H26&gt;12),"Mês de início fora de 1 a 12","OK"))))))</f>
        <v/>
      </c>
      <c r="AA26" s="22" t="str">
        <f aca="false">IF(G26="","",IFERROR(CHOOSE(MATCH(G26,{"Mensal","Bimestral","Trimestral","Semestral","Anual"},0),1,2,3,6,12),""))</f>
        <v/>
      </c>
    </row>
    <row r="27" customFormat="false" ht="21.75" hidden="false" customHeight="true" outlineLevel="0" collapsed="false">
      <c r="B27" s="11" t="n">
        <v>18</v>
      </c>
      <c r="C27" s="5"/>
      <c r="D27" s="5"/>
      <c r="E27" s="5"/>
      <c r="F27" s="5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3" t="str">
        <f aca="false">IF(OR(C27="",AA27="",H27="",$E$5=""),"",IF(OR(H27&lt;1,H27&gt;12),"",SUMPRODUCT(($I$9:$T$9&gt;=$H27)*(MOD($I$9:$T$9-$H27,$AA27)=0)*($I$9:$T$9&lt;=$E$5))))</f>
        <v/>
      </c>
      <c r="V27" s="13" t="str">
        <f aca="false">IF(U27="","",SUMPRODUCT(($I$9:$T$9&gt;=$H27)*(MOD($I$9:$T$9-$H27,$AA27)=0)*($I$9:$T$9&lt;=$E$5)*(I27:T27&lt;&gt;"")))</f>
        <v/>
      </c>
      <c r="W27" s="13" t="str">
        <f aca="false">IF(U27="","",U27-V27)</f>
        <v/>
      </c>
      <c r="X27" s="20" t="str">
        <f aca="false">IF(U27="","",SUMPRODUCT((1-($I$9:$T$9&gt;=$H27)*(MOD($I$9:$T$9-$H27,$AA27)=0))*(I27:T27&lt;&gt;"")))</f>
        <v/>
      </c>
      <c r="Y27" s="21" t="str">
        <f aca="false">IF(U27="","",IF(U27=0,"Ainda não começou",IF(W27&gt;0,"Com atraso","Em dia")))</f>
        <v/>
      </c>
      <c r="Z27" s="14" t="str">
        <f aca="false">IF(C27="","",IF(D27="","Falta o estudo",IF(F27="","Falta o responsável",IF(G27="","Falta a frequência",IF(H27="","Falta o mês de início",IF(OR(H27&lt;1,H27&gt;12),"Mês de início fora de 1 a 12","OK"))))))</f>
        <v/>
      </c>
      <c r="AA27" s="22" t="str">
        <f aca="false">IF(G27="","",IFERROR(CHOOSE(MATCH(G27,{"Mensal","Bimestral","Trimestral","Semestral","Anual"},0),1,2,3,6,12),""))</f>
        <v/>
      </c>
    </row>
    <row r="28" customFormat="false" ht="21.75" hidden="false" customHeight="true" outlineLevel="0" collapsed="false">
      <c r="B28" s="11" t="n">
        <v>19</v>
      </c>
      <c r="C28" s="5"/>
      <c r="D28" s="5"/>
      <c r="E28" s="5"/>
      <c r="F28" s="5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3" t="str">
        <f aca="false">IF(OR(C28="",AA28="",H28="",$E$5=""),"",IF(OR(H28&lt;1,H28&gt;12),"",SUMPRODUCT(($I$9:$T$9&gt;=$H28)*(MOD($I$9:$T$9-$H28,$AA28)=0)*($I$9:$T$9&lt;=$E$5))))</f>
        <v/>
      </c>
      <c r="V28" s="13" t="str">
        <f aca="false">IF(U28="","",SUMPRODUCT(($I$9:$T$9&gt;=$H28)*(MOD($I$9:$T$9-$H28,$AA28)=0)*($I$9:$T$9&lt;=$E$5)*(I28:T28&lt;&gt;"")))</f>
        <v/>
      </c>
      <c r="W28" s="13" t="str">
        <f aca="false">IF(U28="","",U28-V28)</f>
        <v/>
      </c>
      <c r="X28" s="20" t="str">
        <f aca="false">IF(U28="","",SUMPRODUCT((1-($I$9:$T$9&gt;=$H28)*(MOD($I$9:$T$9-$H28,$AA28)=0))*(I28:T28&lt;&gt;"")))</f>
        <v/>
      </c>
      <c r="Y28" s="21" t="str">
        <f aca="false">IF(U28="","",IF(U28=0,"Ainda não começou",IF(W28&gt;0,"Com atraso","Em dia")))</f>
        <v/>
      </c>
      <c r="Z28" s="14" t="str">
        <f aca="false">IF(C28="","",IF(D28="","Falta o estudo",IF(F28="","Falta o responsável",IF(G28="","Falta a frequência",IF(H28="","Falta o mês de início",IF(OR(H28&lt;1,H28&gt;12),"Mês de início fora de 1 a 12","OK"))))))</f>
        <v/>
      </c>
      <c r="AA28" s="22" t="str">
        <f aca="false">IF(G28="","",IFERROR(CHOOSE(MATCH(G28,{"Mensal","Bimestral","Trimestral","Semestral","Anual"},0),1,2,3,6,12),""))</f>
        <v/>
      </c>
    </row>
    <row r="29" customFormat="false" ht="21.75" hidden="false" customHeight="true" outlineLevel="0" collapsed="false">
      <c r="B29" s="11" t="n">
        <v>20</v>
      </c>
      <c r="C29" s="5"/>
      <c r="D29" s="5"/>
      <c r="E29" s="5"/>
      <c r="F29" s="5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3" t="str">
        <f aca="false">IF(OR(C29="",AA29="",H29="",$E$5=""),"",IF(OR(H29&lt;1,H29&gt;12),"",SUMPRODUCT(($I$9:$T$9&gt;=$H29)*(MOD($I$9:$T$9-$H29,$AA29)=0)*($I$9:$T$9&lt;=$E$5))))</f>
        <v/>
      </c>
      <c r="V29" s="13" t="str">
        <f aca="false">IF(U29="","",SUMPRODUCT(($I$9:$T$9&gt;=$H29)*(MOD($I$9:$T$9-$H29,$AA29)=0)*($I$9:$T$9&lt;=$E$5)*(I29:T29&lt;&gt;"")))</f>
        <v/>
      </c>
      <c r="W29" s="13" t="str">
        <f aca="false">IF(U29="","",U29-V29)</f>
        <v/>
      </c>
      <c r="X29" s="20" t="str">
        <f aca="false">IF(U29="","",SUMPRODUCT((1-($I$9:$T$9&gt;=$H29)*(MOD($I$9:$T$9-$H29,$AA29)=0))*(I29:T29&lt;&gt;"")))</f>
        <v/>
      </c>
      <c r="Y29" s="21" t="str">
        <f aca="false">IF(U29="","",IF(U29=0,"Ainda não começou",IF(W29&gt;0,"Com atraso","Em dia")))</f>
        <v/>
      </c>
      <c r="Z29" s="14" t="str">
        <f aca="false">IF(C29="","",IF(D29="","Falta o estudo",IF(F29="","Falta o responsável",IF(G29="","Falta a frequência",IF(H29="","Falta o mês de início",IF(OR(H29&lt;1,H29&gt;12),"Mês de início fora de 1 a 12","OK"))))))</f>
        <v/>
      </c>
      <c r="AA29" s="22" t="str">
        <f aca="false">IF(G29="","",IFERROR(CHOOSE(MATCH(G29,{"Mensal","Bimestral","Trimestral","Semestral","Anual"},0),1,2,3,6,12),""))</f>
        <v/>
      </c>
    </row>
    <row r="30" customFormat="false" ht="21.75" hidden="false" customHeight="true" outlineLevel="0" collapsed="false">
      <c r="B30" s="11" t="n">
        <v>21</v>
      </c>
      <c r="C30" s="5"/>
      <c r="D30" s="5"/>
      <c r="E30" s="5"/>
      <c r="F30" s="5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3" t="str">
        <f aca="false">IF(OR(C30="",AA30="",H30="",$E$5=""),"",IF(OR(H30&lt;1,H30&gt;12),"",SUMPRODUCT(($I$9:$T$9&gt;=$H30)*(MOD($I$9:$T$9-$H30,$AA30)=0)*($I$9:$T$9&lt;=$E$5))))</f>
        <v/>
      </c>
      <c r="V30" s="13" t="str">
        <f aca="false">IF(U30="","",SUMPRODUCT(($I$9:$T$9&gt;=$H30)*(MOD($I$9:$T$9-$H30,$AA30)=0)*($I$9:$T$9&lt;=$E$5)*(I30:T30&lt;&gt;"")))</f>
        <v/>
      </c>
      <c r="W30" s="13" t="str">
        <f aca="false">IF(U30="","",U30-V30)</f>
        <v/>
      </c>
      <c r="X30" s="20" t="str">
        <f aca="false">IF(U30="","",SUMPRODUCT((1-($I$9:$T$9&gt;=$H30)*(MOD($I$9:$T$9-$H30,$AA30)=0))*(I30:T30&lt;&gt;"")))</f>
        <v/>
      </c>
      <c r="Y30" s="21" t="str">
        <f aca="false">IF(U30="","",IF(U30=0,"Ainda não começou",IF(W30&gt;0,"Com atraso","Em dia")))</f>
        <v/>
      </c>
      <c r="Z30" s="14" t="str">
        <f aca="false">IF(C30="","",IF(D30="","Falta o estudo",IF(F30="","Falta o responsável",IF(G30="","Falta a frequência",IF(H30="","Falta o mês de início",IF(OR(H30&lt;1,H30&gt;12),"Mês de início fora de 1 a 12","OK"))))))</f>
        <v/>
      </c>
      <c r="AA30" s="22" t="str">
        <f aca="false">IF(G30="","",IFERROR(CHOOSE(MATCH(G30,{"Mensal","Bimestral","Trimestral","Semestral","Anual"},0),1,2,3,6,12),""))</f>
        <v/>
      </c>
    </row>
    <row r="31" customFormat="false" ht="21.75" hidden="false" customHeight="true" outlineLevel="0" collapsed="false">
      <c r="B31" s="11" t="n">
        <v>22</v>
      </c>
      <c r="C31" s="5"/>
      <c r="D31" s="5"/>
      <c r="E31" s="5"/>
      <c r="F31" s="5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3" t="str">
        <f aca="false">IF(OR(C31="",AA31="",H31="",$E$5=""),"",IF(OR(H31&lt;1,H31&gt;12),"",SUMPRODUCT(($I$9:$T$9&gt;=$H31)*(MOD($I$9:$T$9-$H31,$AA31)=0)*($I$9:$T$9&lt;=$E$5))))</f>
        <v/>
      </c>
      <c r="V31" s="13" t="str">
        <f aca="false">IF(U31="","",SUMPRODUCT(($I$9:$T$9&gt;=$H31)*(MOD($I$9:$T$9-$H31,$AA31)=0)*($I$9:$T$9&lt;=$E$5)*(I31:T31&lt;&gt;"")))</f>
        <v/>
      </c>
      <c r="W31" s="13" t="str">
        <f aca="false">IF(U31="","",U31-V31)</f>
        <v/>
      </c>
      <c r="X31" s="20" t="str">
        <f aca="false">IF(U31="","",SUMPRODUCT((1-($I$9:$T$9&gt;=$H31)*(MOD($I$9:$T$9-$H31,$AA31)=0))*(I31:T31&lt;&gt;"")))</f>
        <v/>
      </c>
      <c r="Y31" s="21" t="str">
        <f aca="false">IF(U31="","",IF(U31=0,"Ainda não começou",IF(W31&gt;0,"Com atraso","Em dia")))</f>
        <v/>
      </c>
      <c r="Z31" s="14" t="str">
        <f aca="false">IF(C31="","",IF(D31="","Falta o estudo",IF(F31="","Falta o responsável",IF(G31="","Falta a frequência",IF(H31="","Falta o mês de início",IF(OR(H31&lt;1,H31&gt;12),"Mês de início fora de 1 a 12","OK"))))))</f>
        <v/>
      </c>
      <c r="AA31" s="22" t="str">
        <f aca="false">IF(G31="","",IFERROR(CHOOSE(MATCH(G31,{"Mensal","Bimestral","Trimestral","Semestral","Anual"},0),1,2,3,6,12),""))</f>
        <v/>
      </c>
    </row>
    <row r="32" customFormat="false" ht="21.75" hidden="false" customHeight="true" outlineLevel="0" collapsed="false">
      <c r="B32" s="11" t="n">
        <v>23</v>
      </c>
      <c r="C32" s="5"/>
      <c r="D32" s="5"/>
      <c r="E32" s="5"/>
      <c r="F32" s="5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3" t="str">
        <f aca="false">IF(OR(C32="",AA32="",H32="",$E$5=""),"",IF(OR(H32&lt;1,H32&gt;12),"",SUMPRODUCT(($I$9:$T$9&gt;=$H32)*(MOD($I$9:$T$9-$H32,$AA32)=0)*($I$9:$T$9&lt;=$E$5))))</f>
        <v/>
      </c>
      <c r="V32" s="13" t="str">
        <f aca="false">IF(U32="","",SUMPRODUCT(($I$9:$T$9&gt;=$H32)*(MOD($I$9:$T$9-$H32,$AA32)=0)*($I$9:$T$9&lt;=$E$5)*(I32:T32&lt;&gt;"")))</f>
        <v/>
      </c>
      <c r="W32" s="13" t="str">
        <f aca="false">IF(U32="","",U32-V32)</f>
        <v/>
      </c>
      <c r="X32" s="20" t="str">
        <f aca="false">IF(U32="","",SUMPRODUCT((1-($I$9:$T$9&gt;=$H32)*(MOD($I$9:$T$9-$H32,$AA32)=0))*(I32:T32&lt;&gt;"")))</f>
        <v/>
      </c>
      <c r="Y32" s="21" t="str">
        <f aca="false">IF(U32="","",IF(U32=0,"Ainda não começou",IF(W32&gt;0,"Com atraso","Em dia")))</f>
        <v/>
      </c>
      <c r="Z32" s="14" t="str">
        <f aca="false">IF(C32="","",IF(D32="","Falta o estudo",IF(F32="","Falta o responsável",IF(G32="","Falta a frequência",IF(H32="","Falta o mês de início",IF(OR(H32&lt;1,H32&gt;12),"Mês de início fora de 1 a 12","OK"))))))</f>
        <v/>
      </c>
      <c r="AA32" s="22" t="str">
        <f aca="false">IF(G32="","",IFERROR(CHOOSE(MATCH(G32,{"Mensal","Bimestral","Trimestral","Semestral","Anual"},0),1,2,3,6,12),""))</f>
        <v/>
      </c>
    </row>
    <row r="33" customFormat="false" ht="21.75" hidden="false" customHeight="true" outlineLevel="0" collapsed="false">
      <c r="B33" s="11" t="n">
        <v>24</v>
      </c>
      <c r="C33" s="5"/>
      <c r="D33" s="5"/>
      <c r="E33" s="5"/>
      <c r="F33" s="5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3" t="str">
        <f aca="false">IF(OR(C33="",AA33="",H33="",$E$5=""),"",IF(OR(H33&lt;1,H33&gt;12),"",SUMPRODUCT(($I$9:$T$9&gt;=$H33)*(MOD($I$9:$T$9-$H33,$AA33)=0)*($I$9:$T$9&lt;=$E$5))))</f>
        <v/>
      </c>
      <c r="V33" s="13" t="str">
        <f aca="false">IF(U33="","",SUMPRODUCT(($I$9:$T$9&gt;=$H33)*(MOD($I$9:$T$9-$H33,$AA33)=0)*($I$9:$T$9&lt;=$E$5)*(I33:T33&lt;&gt;"")))</f>
        <v/>
      </c>
      <c r="W33" s="13" t="str">
        <f aca="false">IF(U33="","",U33-V33)</f>
        <v/>
      </c>
      <c r="X33" s="20" t="str">
        <f aca="false">IF(U33="","",SUMPRODUCT((1-($I$9:$T$9&gt;=$H33)*(MOD($I$9:$T$9-$H33,$AA33)=0))*(I33:T33&lt;&gt;"")))</f>
        <v/>
      </c>
      <c r="Y33" s="21" t="str">
        <f aca="false">IF(U33="","",IF(U33=0,"Ainda não começou",IF(W33&gt;0,"Com atraso","Em dia")))</f>
        <v/>
      </c>
      <c r="Z33" s="14" t="str">
        <f aca="false">IF(C33="","",IF(D33="","Falta o estudo",IF(F33="","Falta o responsável",IF(G33="","Falta a frequência",IF(H33="","Falta o mês de início",IF(OR(H33&lt;1,H33&gt;12),"Mês de início fora de 1 a 12","OK"))))))</f>
        <v/>
      </c>
      <c r="AA33" s="22" t="str">
        <f aca="false">IF(G33="","",IFERROR(CHOOSE(MATCH(G33,{"Mensal","Bimestral","Trimestral","Semestral","Anual"},0),1,2,3,6,12),""))</f>
        <v/>
      </c>
    </row>
    <row r="34" customFormat="false" ht="21.75" hidden="false" customHeight="true" outlineLevel="0" collapsed="false">
      <c r="B34" s="11" t="n">
        <v>25</v>
      </c>
      <c r="C34" s="5"/>
      <c r="D34" s="5"/>
      <c r="E34" s="5"/>
      <c r="F34" s="5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3" t="str">
        <f aca="false">IF(OR(C34="",AA34="",H34="",$E$5=""),"",IF(OR(H34&lt;1,H34&gt;12),"",SUMPRODUCT(($I$9:$T$9&gt;=$H34)*(MOD($I$9:$T$9-$H34,$AA34)=0)*($I$9:$T$9&lt;=$E$5))))</f>
        <v/>
      </c>
      <c r="V34" s="13" t="str">
        <f aca="false">IF(U34="","",SUMPRODUCT(($I$9:$T$9&gt;=$H34)*(MOD($I$9:$T$9-$H34,$AA34)=0)*($I$9:$T$9&lt;=$E$5)*(I34:T34&lt;&gt;"")))</f>
        <v/>
      </c>
      <c r="W34" s="13" t="str">
        <f aca="false">IF(U34="","",U34-V34)</f>
        <v/>
      </c>
      <c r="X34" s="20" t="str">
        <f aca="false">IF(U34="","",SUMPRODUCT((1-($I$9:$T$9&gt;=$H34)*(MOD($I$9:$T$9-$H34,$AA34)=0))*(I34:T34&lt;&gt;"")))</f>
        <v/>
      </c>
      <c r="Y34" s="21" t="str">
        <f aca="false">IF(U34="","",IF(U34=0,"Ainda não começou",IF(W34&gt;0,"Com atraso","Em dia")))</f>
        <v/>
      </c>
      <c r="Z34" s="14" t="str">
        <f aca="false">IF(C34="","",IF(D34="","Falta o estudo",IF(F34="","Falta o responsável",IF(G34="","Falta a frequência",IF(H34="","Falta o mês de início",IF(OR(H34&lt;1,H34&gt;12),"Mês de início fora de 1 a 12","OK"))))))</f>
        <v/>
      </c>
      <c r="AA34" s="22" t="str">
        <f aca="false">IF(G34="","",IFERROR(CHOOSE(MATCH(G34,{"Mensal","Bimestral","Trimestral","Semestral","Anual"},0),1,2,3,6,12),""))</f>
        <v/>
      </c>
    </row>
    <row r="35" customFormat="false" ht="21.75" hidden="false" customHeight="true" outlineLevel="0" collapsed="false">
      <c r="B35" s="11" t="n">
        <v>26</v>
      </c>
      <c r="C35" s="5"/>
      <c r="D35" s="5"/>
      <c r="E35" s="5"/>
      <c r="F35" s="5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3" t="str">
        <f aca="false">IF(OR(C35="",AA35="",H35="",$E$5=""),"",IF(OR(H35&lt;1,H35&gt;12),"",SUMPRODUCT(($I$9:$T$9&gt;=$H35)*(MOD($I$9:$T$9-$H35,$AA35)=0)*($I$9:$T$9&lt;=$E$5))))</f>
        <v/>
      </c>
      <c r="V35" s="13" t="str">
        <f aca="false">IF(U35="","",SUMPRODUCT(($I$9:$T$9&gt;=$H35)*(MOD($I$9:$T$9-$H35,$AA35)=0)*($I$9:$T$9&lt;=$E$5)*(I35:T35&lt;&gt;"")))</f>
        <v/>
      </c>
      <c r="W35" s="13" t="str">
        <f aca="false">IF(U35="","",U35-V35)</f>
        <v/>
      </c>
      <c r="X35" s="20" t="str">
        <f aca="false">IF(U35="","",SUMPRODUCT((1-($I$9:$T$9&gt;=$H35)*(MOD($I$9:$T$9-$H35,$AA35)=0))*(I35:T35&lt;&gt;"")))</f>
        <v/>
      </c>
      <c r="Y35" s="21" t="str">
        <f aca="false">IF(U35="","",IF(U35=0,"Ainda não começou",IF(W35&gt;0,"Com atraso","Em dia")))</f>
        <v/>
      </c>
      <c r="Z35" s="14" t="str">
        <f aca="false">IF(C35="","",IF(D35="","Falta o estudo",IF(F35="","Falta o responsável",IF(G35="","Falta a frequência",IF(H35="","Falta o mês de início",IF(OR(H35&lt;1,H35&gt;12),"Mês de início fora de 1 a 12","OK"))))))</f>
        <v/>
      </c>
      <c r="AA35" s="22" t="str">
        <f aca="false">IF(G35="","",IFERROR(CHOOSE(MATCH(G35,{"Mensal","Bimestral","Trimestral","Semestral","Anual"},0),1,2,3,6,12),""))</f>
        <v/>
      </c>
    </row>
    <row r="36" customFormat="false" ht="21.75" hidden="false" customHeight="true" outlineLevel="0" collapsed="false">
      <c r="B36" s="11" t="n">
        <v>27</v>
      </c>
      <c r="C36" s="5"/>
      <c r="D36" s="5"/>
      <c r="E36" s="5"/>
      <c r="F36" s="5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3" t="str">
        <f aca="false">IF(OR(C36="",AA36="",H36="",$E$5=""),"",IF(OR(H36&lt;1,H36&gt;12),"",SUMPRODUCT(($I$9:$T$9&gt;=$H36)*(MOD($I$9:$T$9-$H36,$AA36)=0)*($I$9:$T$9&lt;=$E$5))))</f>
        <v/>
      </c>
      <c r="V36" s="13" t="str">
        <f aca="false">IF(U36="","",SUMPRODUCT(($I$9:$T$9&gt;=$H36)*(MOD($I$9:$T$9-$H36,$AA36)=0)*($I$9:$T$9&lt;=$E$5)*(I36:T36&lt;&gt;"")))</f>
        <v/>
      </c>
      <c r="W36" s="13" t="str">
        <f aca="false">IF(U36="","",U36-V36)</f>
        <v/>
      </c>
      <c r="X36" s="20" t="str">
        <f aca="false">IF(U36="","",SUMPRODUCT((1-($I$9:$T$9&gt;=$H36)*(MOD($I$9:$T$9-$H36,$AA36)=0))*(I36:T36&lt;&gt;"")))</f>
        <v/>
      </c>
      <c r="Y36" s="21" t="str">
        <f aca="false">IF(U36="","",IF(U36=0,"Ainda não começou",IF(W36&gt;0,"Com atraso","Em dia")))</f>
        <v/>
      </c>
      <c r="Z36" s="14" t="str">
        <f aca="false">IF(C36="","",IF(D36="","Falta o estudo",IF(F36="","Falta o responsável",IF(G36="","Falta a frequência",IF(H36="","Falta o mês de início",IF(OR(H36&lt;1,H36&gt;12),"Mês de início fora de 1 a 12","OK"))))))</f>
        <v/>
      </c>
      <c r="AA36" s="22" t="str">
        <f aca="false">IF(G36="","",IFERROR(CHOOSE(MATCH(G36,{"Mensal","Bimestral","Trimestral","Semestral","Anual"},0),1,2,3,6,12),""))</f>
        <v/>
      </c>
    </row>
    <row r="37" customFormat="false" ht="21.75" hidden="false" customHeight="true" outlineLevel="0" collapsed="false">
      <c r="B37" s="11" t="n">
        <v>28</v>
      </c>
      <c r="C37" s="5"/>
      <c r="D37" s="5"/>
      <c r="E37" s="5"/>
      <c r="F37" s="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3" t="str">
        <f aca="false">IF(OR(C37="",AA37="",H37="",$E$5=""),"",IF(OR(H37&lt;1,H37&gt;12),"",SUMPRODUCT(($I$9:$T$9&gt;=$H37)*(MOD($I$9:$T$9-$H37,$AA37)=0)*($I$9:$T$9&lt;=$E$5))))</f>
        <v/>
      </c>
      <c r="V37" s="13" t="str">
        <f aca="false">IF(U37="","",SUMPRODUCT(($I$9:$T$9&gt;=$H37)*(MOD($I$9:$T$9-$H37,$AA37)=0)*($I$9:$T$9&lt;=$E$5)*(I37:T37&lt;&gt;"")))</f>
        <v/>
      </c>
      <c r="W37" s="13" t="str">
        <f aca="false">IF(U37="","",U37-V37)</f>
        <v/>
      </c>
      <c r="X37" s="20" t="str">
        <f aca="false">IF(U37="","",SUMPRODUCT((1-($I$9:$T$9&gt;=$H37)*(MOD($I$9:$T$9-$H37,$AA37)=0))*(I37:T37&lt;&gt;"")))</f>
        <v/>
      </c>
      <c r="Y37" s="21" t="str">
        <f aca="false">IF(U37="","",IF(U37=0,"Ainda não começou",IF(W37&gt;0,"Com atraso","Em dia")))</f>
        <v/>
      </c>
      <c r="Z37" s="14" t="str">
        <f aca="false">IF(C37="","",IF(D37="","Falta o estudo",IF(F37="","Falta o responsável",IF(G37="","Falta a frequência",IF(H37="","Falta o mês de início",IF(OR(H37&lt;1,H37&gt;12),"Mês de início fora de 1 a 12","OK"))))))</f>
        <v/>
      </c>
      <c r="AA37" s="22" t="str">
        <f aca="false">IF(G37="","",IFERROR(CHOOSE(MATCH(G37,{"Mensal","Bimestral","Trimestral","Semestral","Anual"},0),1,2,3,6,12),""))</f>
        <v/>
      </c>
    </row>
    <row r="38" customFormat="false" ht="21.75" hidden="false" customHeight="true" outlineLevel="0" collapsed="false">
      <c r="B38" s="11" t="n">
        <v>29</v>
      </c>
      <c r="C38" s="5"/>
      <c r="D38" s="5"/>
      <c r="E38" s="5"/>
      <c r="F38" s="5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3" t="str">
        <f aca="false">IF(OR(C38="",AA38="",H38="",$E$5=""),"",IF(OR(H38&lt;1,H38&gt;12),"",SUMPRODUCT(($I$9:$T$9&gt;=$H38)*(MOD($I$9:$T$9-$H38,$AA38)=0)*($I$9:$T$9&lt;=$E$5))))</f>
        <v/>
      </c>
      <c r="V38" s="13" t="str">
        <f aca="false">IF(U38="","",SUMPRODUCT(($I$9:$T$9&gt;=$H38)*(MOD($I$9:$T$9-$H38,$AA38)=0)*($I$9:$T$9&lt;=$E$5)*(I38:T38&lt;&gt;"")))</f>
        <v/>
      </c>
      <c r="W38" s="13" t="str">
        <f aca="false">IF(U38="","",U38-V38)</f>
        <v/>
      </c>
      <c r="X38" s="20" t="str">
        <f aca="false">IF(U38="","",SUMPRODUCT((1-($I$9:$T$9&gt;=$H38)*(MOD($I$9:$T$9-$H38,$AA38)=0))*(I38:T38&lt;&gt;"")))</f>
        <v/>
      </c>
      <c r="Y38" s="21" t="str">
        <f aca="false">IF(U38="","",IF(U38=0,"Ainda não começou",IF(W38&gt;0,"Com atraso","Em dia")))</f>
        <v/>
      </c>
      <c r="Z38" s="14" t="str">
        <f aca="false">IF(C38="","",IF(D38="","Falta o estudo",IF(F38="","Falta o responsável",IF(G38="","Falta a frequência",IF(H38="","Falta o mês de início",IF(OR(H38&lt;1,H38&gt;12),"Mês de início fora de 1 a 12","OK"))))))</f>
        <v/>
      </c>
      <c r="AA38" s="22" t="str">
        <f aca="false">IF(G38="","",IFERROR(CHOOSE(MATCH(G38,{"Mensal","Bimestral","Trimestral","Semestral","Anual"},0),1,2,3,6,12),""))</f>
        <v/>
      </c>
    </row>
    <row r="39" customFormat="false" ht="21.75" hidden="false" customHeight="true" outlineLevel="0" collapsed="false">
      <c r="B39" s="11" t="n">
        <v>30</v>
      </c>
      <c r="C39" s="5"/>
      <c r="D39" s="5"/>
      <c r="E39" s="5"/>
      <c r="F39" s="5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3" t="str">
        <f aca="false">IF(OR(C39="",AA39="",H39="",$E$5=""),"",IF(OR(H39&lt;1,H39&gt;12),"",SUMPRODUCT(($I$9:$T$9&gt;=$H39)*(MOD($I$9:$T$9-$H39,$AA39)=0)*($I$9:$T$9&lt;=$E$5))))</f>
        <v/>
      </c>
      <c r="V39" s="13" t="str">
        <f aca="false">IF(U39="","",SUMPRODUCT(($I$9:$T$9&gt;=$H39)*(MOD($I$9:$T$9-$H39,$AA39)=0)*($I$9:$T$9&lt;=$E$5)*(I39:T39&lt;&gt;"")))</f>
        <v/>
      </c>
      <c r="W39" s="13" t="str">
        <f aca="false">IF(U39="","",U39-V39)</f>
        <v/>
      </c>
      <c r="X39" s="20" t="str">
        <f aca="false">IF(U39="","",SUMPRODUCT((1-($I$9:$T$9&gt;=$H39)*(MOD($I$9:$T$9-$H39,$AA39)=0))*(I39:T39&lt;&gt;"")))</f>
        <v/>
      </c>
      <c r="Y39" s="21" t="str">
        <f aca="false">IF(U39="","",IF(U39=0,"Ainda não começou",IF(W39&gt;0,"Com atraso","Em dia")))</f>
        <v/>
      </c>
      <c r="Z39" s="14" t="str">
        <f aca="false">IF(C39="","",IF(D39="","Falta o estudo",IF(F39="","Falta o responsável",IF(G39="","Falta a frequência",IF(H39="","Falta o mês de início",IF(OR(H39&lt;1,H39&gt;12),"Mês de início fora de 1 a 12","OK"))))))</f>
        <v/>
      </c>
      <c r="AA39" s="22" t="str">
        <f aca="false">IF(G39="","",IFERROR(CHOOSE(MATCH(G39,{"Mensal","Bimestral","Trimestral","Semestral","Anual"},0),1,2,3,6,12),""))</f>
        <v/>
      </c>
    </row>
    <row r="40" customFormat="false" ht="21.75" hidden="false" customHeight="true" outlineLevel="0" collapsed="false">
      <c r="B40" s="11" t="n">
        <v>31</v>
      </c>
      <c r="C40" s="5"/>
      <c r="D40" s="5"/>
      <c r="E40" s="5"/>
      <c r="F40" s="5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3" t="str">
        <f aca="false">IF(OR(C40="",AA40="",H40="",$E$5=""),"",IF(OR(H40&lt;1,H40&gt;12),"",SUMPRODUCT(($I$9:$T$9&gt;=$H40)*(MOD($I$9:$T$9-$H40,$AA40)=0)*($I$9:$T$9&lt;=$E$5))))</f>
        <v/>
      </c>
      <c r="V40" s="13" t="str">
        <f aca="false">IF(U40="","",SUMPRODUCT(($I$9:$T$9&gt;=$H40)*(MOD($I$9:$T$9-$H40,$AA40)=0)*($I$9:$T$9&lt;=$E$5)*(I40:T40&lt;&gt;"")))</f>
        <v/>
      </c>
      <c r="W40" s="13" t="str">
        <f aca="false">IF(U40="","",U40-V40)</f>
        <v/>
      </c>
      <c r="X40" s="20" t="str">
        <f aca="false">IF(U40="","",SUMPRODUCT((1-($I$9:$T$9&gt;=$H40)*(MOD($I$9:$T$9-$H40,$AA40)=0))*(I40:T40&lt;&gt;"")))</f>
        <v/>
      </c>
      <c r="Y40" s="21" t="str">
        <f aca="false">IF(U40="","",IF(U40=0,"Ainda não começou",IF(W40&gt;0,"Com atraso","Em dia")))</f>
        <v/>
      </c>
      <c r="Z40" s="14" t="str">
        <f aca="false">IF(C40="","",IF(D40="","Falta o estudo",IF(F40="","Falta o responsável",IF(G40="","Falta a frequência",IF(H40="","Falta o mês de início",IF(OR(H40&lt;1,H40&gt;12),"Mês de início fora de 1 a 12","OK"))))))</f>
        <v/>
      </c>
      <c r="AA40" s="22" t="str">
        <f aca="false">IF(G40="","",IFERROR(CHOOSE(MATCH(G40,{"Mensal","Bimestral","Trimestral","Semestral","Anual"},0),1,2,3,6,12),""))</f>
        <v/>
      </c>
    </row>
    <row r="41" customFormat="false" ht="21.75" hidden="false" customHeight="true" outlineLevel="0" collapsed="false">
      <c r="B41" s="11" t="n">
        <v>32</v>
      </c>
      <c r="C41" s="5"/>
      <c r="D41" s="5"/>
      <c r="E41" s="5"/>
      <c r="F41" s="5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3" t="str">
        <f aca="false">IF(OR(C41="",AA41="",H41="",$E$5=""),"",IF(OR(H41&lt;1,H41&gt;12),"",SUMPRODUCT(($I$9:$T$9&gt;=$H41)*(MOD($I$9:$T$9-$H41,$AA41)=0)*($I$9:$T$9&lt;=$E$5))))</f>
        <v/>
      </c>
      <c r="V41" s="13" t="str">
        <f aca="false">IF(U41="","",SUMPRODUCT(($I$9:$T$9&gt;=$H41)*(MOD($I$9:$T$9-$H41,$AA41)=0)*($I$9:$T$9&lt;=$E$5)*(I41:T41&lt;&gt;"")))</f>
        <v/>
      </c>
      <c r="W41" s="13" t="str">
        <f aca="false">IF(U41="","",U41-V41)</f>
        <v/>
      </c>
      <c r="X41" s="20" t="str">
        <f aca="false">IF(U41="","",SUMPRODUCT((1-($I$9:$T$9&gt;=$H41)*(MOD($I$9:$T$9-$H41,$AA41)=0))*(I41:T41&lt;&gt;"")))</f>
        <v/>
      </c>
      <c r="Y41" s="21" t="str">
        <f aca="false">IF(U41="","",IF(U41=0,"Ainda não começou",IF(W41&gt;0,"Com atraso","Em dia")))</f>
        <v/>
      </c>
      <c r="Z41" s="14" t="str">
        <f aca="false">IF(C41="","",IF(D41="","Falta o estudo",IF(F41="","Falta o responsável",IF(G41="","Falta a frequência",IF(H41="","Falta o mês de início",IF(OR(H41&lt;1,H41&gt;12),"Mês de início fora de 1 a 12","OK"))))))</f>
        <v/>
      </c>
      <c r="AA41" s="22" t="str">
        <f aca="false">IF(G41="","",IFERROR(CHOOSE(MATCH(G41,{"Mensal","Bimestral","Trimestral","Semestral","Anual"},0),1,2,3,6,12),""))</f>
        <v/>
      </c>
    </row>
    <row r="42" customFormat="false" ht="21.75" hidden="false" customHeight="true" outlineLevel="0" collapsed="false">
      <c r="B42" s="11" t="n">
        <v>33</v>
      </c>
      <c r="C42" s="5"/>
      <c r="D42" s="5"/>
      <c r="E42" s="5"/>
      <c r="F42" s="5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3" t="str">
        <f aca="false">IF(OR(C42="",AA42="",H42="",$E$5=""),"",IF(OR(H42&lt;1,H42&gt;12),"",SUMPRODUCT(($I$9:$T$9&gt;=$H42)*(MOD($I$9:$T$9-$H42,$AA42)=0)*($I$9:$T$9&lt;=$E$5))))</f>
        <v/>
      </c>
      <c r="V42" s="13" t="str">
        <f aca="false">IF(U42="","",SUMPRODUCT(($I$9:$T$9&gt;=$H42)*(MOD($I$9:$T$9-$H42,$AA42)=0)*($I$9:$T$9&lt;=$E$5)*(I42:T42&lt;&gt;"")))</f>
        <v/>
      </c>
      <c r="W42" s="13" t="str">
        <f aca="false">IF(U42="","",U42-V42)</f>
        <v/>
      </c>
      <c r="X42" s="20" t="str">
        <f aca="false">IF(U42="","",SUMPRODUCT((1-($I$9:$T$9&gt;=$H42)*(MOD($I$9:$T$9-$H42,$AA42)=0))*(I42:T42&lt;&gt;"")))</f>
        <v/>
      </c>
      <c r="Y42" s="21" t="str">
        <f aca="false">IF(U42="","",IF(U42=0,"Ainda não começou",IF(W42&gt;0,"Com atraso","Em dia")))</f>
        <v/>
      </c>
      <c r="Z42" s="14" t="str">
        <f aca="false">IF(C42="","",IF(D42="","Falta o estudo",IF(F42="","Falta o responsável",IF(G42="","Falta a frequência",IF(H42="","Falta o mês de início",IF(OR(H42&lt;1,H42&gt;12),"Mês de início fora de 1 a 12","OK"))))))</f>
        <v/>
      </c>
      <c r="AA42" s="22" t="str">
        <f aca="false">IF(G42="","",IFERROR(CHOOSE(MATCH(G42,{"Mensal","Bimestral","Trimestral","Semestral","Anual"},0),1,2,3,6,12),""))</f>
        <v/>
      </c>
    </row>
    <row r="43" customFormat="false" ht="21.75" hidden="false" customHeight="true" outlineLevel="0" collapsed="false">
      <c r="B43" s="11" t="n">
        <v>34</v>
      </c>
      <c r="C43" s="5"/>
      <c r="D43" s="5"/>
      <c r="E43" s="5"/>
      <c r="F43" s="5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3" t="str">
        <f aca="false">IF(OR(C43="",AA43="",H43="",$E$5=""),"",IF(OR(H43&lt;1,H43&gt;12),"",SUMPRODUCT(($I$9:$T$9&gt;=$H43)*(MOD($I$9:$T$9-$H43,$AA43)=0)*($I$9:$T$9&lt;=$E$5))))</f>
        <v/>
      </c>
      <c r="V43" s="13" t="str">
        <f aca="false">IF(U43="","",SUMPRODUCT(($I$9:$T$9&gt;=$H43)*(MOD($I$9:$T$9-$H43,$AA43)=0)*($I$9:$T$9&lt;=$E$5)*(I43:T43&lt;&gt;"")))</f>
        <v/>
      </c>
      <c r="W43" s="13" t="str">
        <f aca="false">IF(U43="","",U43-V43)</f>
        <v/>
      </c>
      <c r="X43" s="20" t="str">
        <f aca="false">IF(U43="","",SUMPRODUCT((1-($I$9:$T$9&gt;=$H43)*(MOD($I$9:$T$9-$H43,$AA43)=0))*(I43:T43&lt;&gt;"")))</f>
        <v/>
      </c>
      <c r="Y43" s="21" t="str">
        <f aca="false">IF(U43="","",IF(U43=0,"Ainda não começou",IF(W43&gt;0,"Com atraso","Em dia")))</f>
        <v/>
      </c>
      <c r="Z43" s="14" t="str">
        <f aca="false">IF(C43="","",IF(D43="","Falta o estudo",IF(F43="","Falta o responsável",IF(G43="","Falta a frequência",IF(H43="","Falta o mês de início",IF(OR(H43&lt;1,H43&gt;12),"Mês de início fora de 1 a 12","OK"))))))</f>
        <v/>
      </c>
      <c r="AA43" s="22" t="str">
        <f aca="false">IF(G43="","",IFERROR(CHOOSE(MATCH(G43,{"Mensal","Bimestral","Trimestral","Semestral","Anual"},0),1,2,3,6,12),""))</f>
        <v/>
      </c>
    </row>
    <row r="44" customFormat="false" ht="21.75" hidden="false" customHeight="true" outlineLevel="0" collapsed="false">
      <c r="B44" s="11" t="n">
        <v>35</v>
      </c>
      <c r="C44" s="5"/>
      <c r="D44" s="5"/>
      <c r="E44" s="5"/>
      <c r="F44" s="5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3" t="str">
        <f aca="false">IF(OR(C44="",AA44="",H44="",$E$5=""),"",IF(OR(H44&lt;1,H44&gt;12),"",SUMPRODUCT(($I$9:$T$9&gt;=$H44)*(MOD($I$9:$T$9-$H44,$AA44)=0)*($I$9:$T$9&lt;=$E$5))))</f>
        <v/>
      </c>
      <c r="V44" s="13" t="str">
        <f aca="false">IF(U44="","",SUMPRODUCT(($I$9:$T$9&gt;=$H44)*(MOD($I$9:$T$9-$H44,$AA44)=0)*($I$9:$T$9&lt;=$E$5)*(I44:T44&lt;&gt;"")))</f>
        <v/>
      </c>
      <c r="W44" s="13" t="str">
        <f aca="false">IF(U44="","",U44-V44)</f>
        <v/>
      </c>
      <c r="X44" s="20" t="str">
        <f aca="false">IF(U44="","",SUMPRODUCT((1-($I$9:$T$9&gt;=$H44)*(MOD($I$9:$T$9-$H44,$AA44)=0))*(I44:T44&lt;&gt;"")))</f>
        <v/>
      </c>
      <c r="Y44" s="21" t="str">
        <f aca="false">IF(U44="","",IF(U44=0,"Ainda não começou",IF(W44&gt;0,"Com atraso","Em dia")))</f>
        <v/>
      </c>
      <c r="Z44" s="14" t="str">
        <f aca="false">IF(C44="","",IF(D44="","Falta o estudo",IF(F44="","Falta o responsável",IF(G44="","Falta a frequência",IF(H44="","Falta o mês de início",IF(OR(H44&lt;1,H44&gt;12),"Mês de início fora de 1 a 12","OK"))))))</f>
        <v/>
      </c>
      <c r="AA44" s="22" t="str">
        <f aca="false">IF(G44="","",IFERROR(CHOOSE(MATCH(G44,{"Mensal","Bimestral","Trimestral","Semestral","Anual"},0),1,2,3,6,12),""))</f>
        <v/>
      </c>
    </row>
    <row r="45" customFormat="false" ht="21.75" hidden="false" customHeight="true" outlineLevel="0" collapsed="false">
      <c r="B45" s="11" t="n">
        <v>36</v>
      </c>
      <c r="C45" s="5"/>
      <c r="D45" s="5"/>
      <c r="E45" s="5"/>
      <c r="F45" s="5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3" t="str">
        <f aca="false">IF(OR(C45="",AA45="",H45="",$E$5=""),"",IF(OR(H45&lt;1,H45&gt;12),"",SUMPRODUCT(($I$9:$T$9&gt;=$H45)*(MOD($I$9:$T$9-$H45,$AA45)=0)*($I$9:$T$9&lt;=$E$5))))</f>
        <v/>
      </c>
      <c r="V45" s="13" t="str">
        <f aca="false">IF(U45="","",SUMPRODUCT(($I$9:$T$9&gt;=$H45)*(MOD($I$9:$T$9-$H45,$AA45)=0)*($I$9:$T$9&lt;=$E$5)*(I45:T45&lt;&gt;"")))</f>
        <v/>
      </c>
      <c r="W45" s="13" t="str">
        <f aca="false">IF(U45="","",U45-V45)</f>
        <v/>
      </c>
      <c r="X45" s="20" t="str">
        <f aca="false">IF(U45="","",SUMPRODUCT((1-($I$9:$T$9&gt;=$H45)*(MOD($I$9:$T$9-$H45,$AA45)=0))*(I45:T45&lt;&gt;"")))</f>
        <v/>
      </c>
      <c r="Y45" s="21" t="str">
        <f aca="false">IF(U45="","",IF(U45=0,"Ainda não começou",IF(W45&gt;0,"Com atraso","Em dia")))</f>
        <v/>
      </c>
      <c r="Z45" s="14" t="str">
        <f aca="false">IF(C45="","",IF(D45="","Falta o estudo",IF(F45="","Falta o responsável",IF(G45="","Falta a frequência",IF(H45="","Falta o mês de início",IF(OR(H45&lt;1,H45&gt;12),"Mês de início fora de 1 a 12","OK"))))))</f>
        <v/>
      </c>
      <c r="AA45" s="22" t="str">
        <f aca="false">IF(G45="","",IFERROR(CHOOSE(MATCH(G45,{"Mensal","Bimestral","Trimestral","Semestral","Anual"},0),1,2,3,6,12),""))</f>
        <v/>
      </c>
    </row>
    <row r="46" customFormat="false" ht="21.75" hidden="false" customHeight="true" outlineLevel="0" collapsed="false">
      <c r="B46" s="11" t="n">
        <v>37</v>
      </c>
      <c r="C46" s="5"/>
      <c r="D46" s="5"/>
      <c r="E46" s="5"/>
      <c r="F46" s="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3" t="str">
        <f aca="false">IF(OR(C46="",AA46="",H46="",$E$5=""),"",IF(OR(H46&lt;1,H46&gt;12),"",SUMPRODUCT(($I$9:$T$9&gt;=$H46)*(MOD($I$9:$T$9-$H46,$AA46)=0)*($I$9:$T$9&lt;=$E$5))))</f>
        <v/>
      </c>
      <c r="V46" s="13" t="str">
        <f aca="false">IF(U46="","",SUMPRODUCT(($I$9:$T$9&gt;=$H46)*(MOD($I$9:$T$9-$H46,$AA46)=0)*($I$9:$T$9&lt;=$E$5)*(I46:T46&lt;&gt;"")))</f>
        <v/>
      </c>
      <c r="W46" s="13" t="str">
        <f aca="false">IF(U46="","",U46-V46)</f>
        <v/>
      </c>
      <c r="X46" s="20" t="str">
        <f aca="false">IF(U46="","",SUMPRODUCT((1-($I$9:$T$9&gt;=$H46)*(MOD($I$9:$T$9-$H46,$AA46)=0))*(I46:T46&lt;&gt;"")))</f>
        <v/>
      </c>
      <c r="Y46" s="21" t="str">
        <f aca="false">IF(U46="","",IF(U46=0,"Ainda não começou",IF(W46&gt;0,"Com atraso","Em dia")))</f>
        <v/>
      </c>
      <c r="Z46" s="14" t="str">
        <f aca="false">IF(C46="","",IF(D46="","Falta o estudo",IF(F46="","Falta o responsável",IF(G46="","Falta a frequência",IF(H46="","Falta o mês de início",IF(OR(H46&lt;1,H46&gt;12),"Mês de início fora de 1 a 12","OK"))))))</f>
        <v/>
      </c>
      <c r="AA46" s="22" t="str">
        <f aca="false">IF(G46="","",IFERROR(CHOOSE(MATCH(G46,{"Mensal","Bimestral","Trimestral","Semestral","Anual"},0),1,2,3,6,12),""))</f>
        <v/>
      </c>
    </row>
    <row r="47" customFormat="false" ht="21.75" hidden="false" customHeight="true" outlineLevel="0" collapsed="false">
      <c r="B47" s="11" t="n">
        <v>38</v>
      </c>
      <c r="C47" s="5"/>
      <c r="D47" s="5"/>
      <c r="E47" s="5"/>
      <c r="F47" s="5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3" t="str">
        <f aca="false">IF(OR(C47="",AA47="",H47="",$E$5=""),"",IF(OR(H47&lt;1,H47&gt;12),"",SUMPRODUCT(($I$9:$T$9&gt;=$H47)*(MOD($I$9:$T$9-$H47,$AA47)=0)*($I$9:$T$9&lt;=$E$5))))</f>
        <v/>
      </c>
      <c r="V47" s="13" t="str">
        <f aca="false">IF(U47="","",SUMPRODUCT(($I$9:$T$9&gt;=$H47)*(MOD($I$9:$T$9-$H47,$AA47)=0)*($I$9:$T$9&lt;=$E$5)*(I47:T47&lt;&gt;"")))</f>
        <v/>
      </c>
      <c r="W47" s="13" t="str">
        <f aca="false">IF(U47="","",U47-V47)</f>
        <v/>
      </c>
      <c r="X47" s="20" t="str">
        <f aca="false">IF(U47="","",SUMPRODUCT((1-($I$9:$T$9&gt;=$H47)*(MOD($I$9:$T$9-$H47,$AA47)=0))*(I47:T47&lt;&gt;"")))</f>
        <v/>
      </c>
      <c r="Y47" s="21" t="str">
        <f aca="false">IF(U47="","",IF(U47=0,"Ainda não começou",IF(W47&gt;0,"Com atraso","Em dia")))</f>
        <v/>
      </c>
      <c r="Z47" s="14" t="str">
        <f aca="false">IF(C47="","",IF(D47="","Falta o estudo",IF(F47="","Falta o responsável",IF(G47="","Falta a frequência",IF(H47="","Falta o mês de início",IF(OR(H47&lt;1,H47&gt;12),"Mês de início fora de 1 a 12","OK"))))))</f>
        <v/>
      </c>
      <c r="AA47" s="22" t="str">
        <f aca="false">IF(G47="","",IFERROR(CHOOSE(MATCH(G47,{"Mensal","Bimestral","Trimestral","Semestral","Anual"},0),1,2,3,6,12),""))</f>
        <v/>
      </c>
    </row>
    <row r="48" customFormat="false" ht="21.75" hidden="false" customHeight="true" outlineLevel="0" collapsed="false">
      <c r="B48" s="11" t="n">
        <v>39</v>
      </c>
      <c r="C48" s="5"/>
      <c r="D48" s="5"/>
      <c r="E48" s="5"/>
      <c r="F48" s="5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3" t="str">
        <f aca="false">IF(OR(C48="",AA48="",H48="",$E$5=""),"",IF(OR(H48&lt;1,H48&gt;12),"",SUMPRODUCT(($I$9:$T$9&gt;=$H48)*(MOD($I$9:$T$9-$H48,$AA48)=0)*($I$9:$T$9&lt;=$E$5))))</f>
        <v/>
      </c>
      <c r="V48" s="13" t="str">
        <f aca="false">IF(U48="","",SUMPRODUCT(($I$9:$T$9&gt;=$H48)*(MOD($I$9:$T$9-$H48,$AA48)=0)*($I$9:$T$9&lt;=$E$5)*(I48:T48&lt;&gt;"")))</f>
        <v/>
      </c>
      <c r="W48" s="13" t="str">
        <f aca="false">IF(U48="","",U48-V48)</f>
        <v/>
      </c>
      <c r="X48" s="20" t="str">
        <f aca="false">IF(U48="","",SUMPRODUCT((1-($I$9:$T$9&gt;=$H48)*(MOD($I$9:$T$9-$H48,$AA48)=0))*(I48:T48&lt;&gt;"")))</f>
        <v/>
      </c>
      <c r="Y48" s="21" t="str">
        <f aca="false">IF(U48="","",IF(U48=0,"Ainda não começou",IF(W48&gt;0,"Com atraso","Em dia")))</f>
        <v/>
      </c>
      <c r="Z48" s="14" t="str">
        <f aca="false">IF(C48="","",IF(D48="","Falta o estudo",IF(F48="","Falta o responsável",IF(G48="","Falta a frequência",IF(H48="","Falta o mês de início",IF(OR(H48&lt;1,H48&gt;12),"Mês de início fora de 1 a 12","OK"))))))</f>
        <v/>
      </c>
      <c r="AA48" s="22" t="str">
        <f aca="false">IF(G48="","",IFERROR(CHOOSE(MATCH(G48,{"Mensal","Bimestral","Trimestral","Semestral","Anual"},0),1,2,3,6,12),""))</f>
        <v/>
      </c>
    </row>
    <row r="49" customFormat="false" ht="21.75" hidden="false" customHeight="true" outlineLevel="0" collapsed="false">
      <c r="B49" s="11" t="n">
        <v>40</v>
      </c>
      <c r="C49" s="5"/>
      <c r="D49" s="5"/>
      <c r="E49" s="5"/>
      <c r="F49" s="5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3" t="str">
        <f aca="false">IF(OR(C49="",AA49="",H49="",$E$5=""),"",IF(OR(H49&lt;1,H49&gt;12),"",SUMPRODUCT(($I$9:$T$9&gt;=$H49)*(MOD($I$9:$T$9-$H49,$AA49)=0)*($I$9:$T$9&lt;=$E$5))))</f>
        <v/>
      </c>
      <c r="V49" s="13" t="str">
        <f aca="false">IF(U49="","",SUMPRODUCT(($I$9:$T$9&gt;=$H49)*(MOD($I$9:$T$9-$H49,$AA49)=0)*($I$9:$T$9&lt;=$E$5)*(I49:T49&lt;&gt;"")))</f>
        <v/>
      </c>
      <c r="W49" s="13" t="str">
        <f aca="false">IF(U49="","",U49-V49)</f>
        <v/>
      </c>
      <c r="X49" s="20" t="str">
        <f aca="false">IF(U49="","",SUMPRODUCT((1-($I$9:$T$9&gt;=$H49)*(MOD($I$9:$T$9-$H49,$AA49)=0))*(I49:T49&lt;&gt;"")))</f>
        <v/>
      </c>
      <c r="Y49" s="21" t="str">
        <f aca="false">IF(U49="","",IF(U49=0,"Ainda não começou",IF(W49&gt;0,"Com atraso","Em dia")))</f>
        <v/>
      </c>
      <c r="Z49" s="14" t="str">
        <f aca="false">IF(C49="","",IF(D49="","Falta o estudo",IF(F49="","Falta o responsável",IF(G49="","Falta a frequência",IF(H49="","Falta o mês de início",IF(OR(H49&lt;1,H49&gt;12),"Mês de início fora de 1 a 12","OK"))))))</f>
        <v/>
      </c>
      <c r="AA49" s="22" t="str">
        <f aca="false">IF(G49="","",IFERROR(CHOOSE(MATCH(G49,{"Mensal","Bimestral","Trimestral","Semestral","Anual"},0),1,2,3,6,12),""))</f>
        <v/>
      </c>
    </row>
    <row r="51" customFormat="false" ht="21.75" hidden="false" customHeight="true" outlineLevel="0" collapsed="false">
      <c r="B51" s="15" t="s">
        <v>84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21.75" hidden="false" customHeight="true" outlineLevel="0" collapsed="false">
      <c r="B52" s="16" t="s">
        <v>120</v>
      </c>
      <c r="C52" s="16"/>
      <c r="D52" s="16"/>
      <c r="E52" s="17" t="n">
        <f aca="false">COUNTA(C10:C49)</f>
        <v>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customFormat="false" ht="21.75" hidden="false" customHeight="true" outlineLevel="0" collapsed="false">
      <c r="B53" s="16" t="s">
        <v>121</v>
      </c>
      <c r="C53" s="16"/>
      <c r="D53" s="16"/>
      <c r="E53" s="17" t="str">
        <f aca="false">IF(SUM(U10:U49)=0,"",SUM(V10:V49)&amp;" de "&amp;SUM(U10:U49)&amp;" feitas, "&amp;SUM(W10:W49)&amp;" atrasadas, "&amp;SUM(X10:X49)&amp;" fora do plano")</f>
        <v/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customFormat="false" ht="21.75" hidden="false" customHeight="true" outlineLevel="0" collapsed="false">
      <c r="B54" s="16" t="s">
        <v>122</v>
      </c>
      <c r="C54" s="16"/>
      <c r="D54" s="16"/>
      <c r="E54" s="17" t="str">
        <f aca="false">COUNTIF(Y10:Y49,"Em dia")&amp;" em dia"&amp;", "&amp;COUNTIF(Y10:Y49,"Com atraso")&amp;" com atraso"&amp;", "&amp;COUNTIF(Y10:Y49,"Ainda não começou")&amp;" ainda não começou"</f>
        <v>0 em dia, 0 com atraso, 0 ainda não começou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customFormat="false" ht="21.75" hidden="false" customHeight="true" outlineLevel="0" collapsed="false">
      <c r="B55" s="16" t="s">
        <v>87</v>
      </c>
      <c r="C55" s="16"/>
      <c r="D55" s="16"/>
      <c r="E55" s="18" t="str">
        <f aca="false">IF(E52=0,"Liste as atividades do calendário",IF(E5="","Informe o mês da leitura",IF(COUNTIF(Y10:Y49,"Com atraso")&gt;0,"Há atividade atrasada: marque a data nova",IF(SUMPRODUCT((Z10:Z49&lt;&gt;"")*(Z10:Z49&lt;&gt;"OK"))&gt;0,"Há atividade a completar: veja a coluna Conferência","OK"))))</f>
        <v>Liste as atividades do calendário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</sheetData>
  <mergeCells count="15">
    <mergeCell ref="B1:Z1"/>
    <mergeCell ref="B2:Z2"/>
    <mergeCell ref="B4:D4"/>
    <mergeCell ref="F4:Z4"/>
    <mergeCell ref="B5:D5"/>
    <mergeCell ref="F5:Z5"/>
    <mergeCell ref="B51:Z51"/>
    <mergeCell ref="B52:D52"/>
    <mergeCell ref="E52:Z52"/>
    <mergeCell ref="B53:D53"/>
    <mergeCell ref="E53:Z53"/>
    <mergeCell ref="B54:D54"/>
    <mergeCell ref="E54:Z54"/>
    <mergeCell ref="B55:D55"/>
    <mergeCell ref="E55:Z55"/>
  </mergeCells>
  <conditionalFormatting sqref="I10:T49">
    <cfRule type="expression" priority="2" aboveAverage="0" equalAverage="0" bottom="0" percent="0" rank="0" text="" dxfId="3">
      <formula>AND(AND(ISNUMBER($AA10),ISNUMBER($H10),I$9&gt;=$H10,MOD(I$9-$H10,$AA10)=0),I10&lt;&gt;"")</formula>
    </cfRule>
    <cfRule type="expression" priority="3" aboveAverage="0" equalAverage="0" bottom="0" percent="0" rank="0" text="" dxfId="1">
      <formula>AND(AND(ISNUMBER($AA10),ISNUMBER($H10),I$9&gt;=$H10,MOD(I$9-$H10,$AA10)=0),I10="",ISNUMBER($E$5),I$9&lt;=$E$5)</formula>
    </cfRule>
    <cfRule type="expression" priority="4" aboveAverage="0" equalAverage="0" bottom="0" percent="0" rank="0" text="" dxfId="4">
      <formula>AND(ISNUMBER($AA10),ISNUMBER($H10),I$9&gt;=$H10,MOD(I$9-$H10,$AA10)=0)</formula>
    </cfRule>
    <cfRule type="expression" priority="5" aboveAverage="0" equalAverage="0" bottom="0" percent="0" rank="0" text="" dxfId="2">
      <formula>AND(NOT(AND(ISNUMBER($AA10),ISNUMBER($H10),I$9&gt;=$H10,MOD(I$9-$H10,$AA10)=0)),I10&lt;&gt;"")</formula>
    </cfRule>
  </conditionalFormatting>
  <conditionalFormatting sqref="Y10:Y49">
    <cfRule type="expression" priority="6" aboveAverage="0" equalAverage="0" bottom="0" percent="0" rank="0" text="" dxfId="0">
      <formula>Y10="Em dia"</formula>
    </cfRule>
    <cfRule type="expression" priority="7" aboveAverage="0" equalAverage="0" bottom="0" percent="0" rank="0" text="" dxfId="1">
      <formula>Y10="Com atraso"</formula>
    </cfRule>
    <cfRule type="expression" priority="8" aboveAverage="0" equalAverage="0" bottom="0" percent="0" rank="0" text="" dxfId="4">
      <formula>Y10="Ainda não começou"</formula>
    </cfRule>
  </conditionalFormatting>
  <conditionalFormatting sqref="Z10:Z49">
    <cfRule type="expression" priority="9" aboveAverage="0" equalAverage="0" bottom="0" percent="0" rank="0" text="" dxfId="0">
      <formula>OR(Z10="OK")</formula>
    </cfRule>
    <cfRule type="expression" priority="10" aboveAverage="0" equalAverage="0" bottom="0" percent="0" rank="0" text="" dxfId="2">
      <formula>AND(LEN(Z10)&gt;0,NOT(OR(Z10="OK")))</formula>
    </cfRule>
  </conditionalFormatting>
  <conditionalFormatting sqref="E55:Z55">
    <cfRule type="expression" priority="11" aboveAverage="0" equalAverage="0" bottom="0" percent="0" rank="0" text="" dxfId="0">
      <formula>OR(E55="OK")</formula>
    </cfRule>
    <cfRule type="expression" priority="12" aboveAverage="0" equalAverage="0" bottom="0" percent="0" rank="0" text="" dxfId="2">
      <formula>AND(LEN(E55)&gt;0,NOT(OR(E55="OK")))</formula>
    </cfRule>
  </conditionalFormatting>
  <dataValidations count="3">
    <dataValidation allowBlank="true" error="Digite o número do mês, de 1 a 12." errorStyle="stop" errorTitle="Mês inválido" operator="between" showDropDown="false" showErrorMessage="true" showInputMessage="false" sqref="E5 H10:H49" type="whole">
      <formula1>1</formula1>
      <formula2>12</formula2>
    </dataValidation>
    <dataValidation allowBlank="true" errorStyle="stop" operator="between" prompt="Estudo da série a que a atividade pertence" promptTitle="Opções" showDropDown="false" showErrorMessage="false" showInputMessage="true" sqref="D10:D49" type="list">
      <formula1>Estudos!$C$5:$C$38</formula1>
      <formula2>0</formula2>
    </dataValidation>
    <dataValidation allowBlank="true" error="Escolha uma das opções da lista." errorStyle="stop" errorTitle="Valor inválido" operator="between" prompt="Mensal, bimestral, trimestral, semestral ou anual" promptTitle="Opções" showDropDown="false" showErrorMessage="true" showInputMessage="true" sqref="G10:G49" type="list">
      <formula1>"Mensal,Bimestral,Trimestral,Semestral,Anual"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5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123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124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9" t="s">
        <v>94</v>
      </c>
      <c r="C4" s="9" t="s">
        <v>72</v>
      </c>
      <c r="D4" s="9" t="s">
        <v>125</v>
      </c>
      <c r="E4" s="9" t="s">
        <v>126</v>
      </c>
      <c r="F4" s="9" t="s">
        <v>127</v>
      </c>
      <c r="G4" s="9" t="s">
        <v>128</v>
      </c>
    </row>
    <row r="5" customFormat="false" ht="21.75" hidden="false" customHeight="true" outlineLevel="0" collapsed="false">
      <c r="B5" s="11" t="n">
        <v>1</v>
      </c>
      <c r="C5" s="4" t="s">
        <v>129</v>
      </c>
      <c r="D5" s="23" t="s">
        <v>130</v>
      </c>
      <c r="E5" s="23" t="s">
        <v>131</v>
      </c>
      <c r="F5" s="23" t="s">
        <v>132</v>
      </c>
      <c r="G5" s="23" t="s">
        <v>133</v>
      </c>
    </row>
    <row r="6" customFormat="false" ht="21.75" hidden="false" customHeight="true" outlineLevel="0" collapsed="false">
      <c r="B6" s="11" t="n">
        <v>2</v>
      </c>
      <c r="C6" s="4" t="s">
        <v>134</v>
      </c>
      <c r="D6" s="23" t="s">
        <v>135</v>
      </c>
      <c r="E6" s="23" t="s">
        <v>131</v>
      </c>
      <c r="F6" s="23" t="s">
        <v>136</v>
      </c>
      <c r="G6" s="23" t="s">
        <v>137</v>
      </c>
    </row>
    <row r="7" customFormat="false" ht="21.75" hidden="false" customHeight="true" outlineLevel="0" collapsed="false">
      <c r="B7" s="11" t="n">
        <v>3</v>
      </c>
      <c r="C7" s="4" t="s">
        <v>138</v>
      </c>
      <c r="D7" s="23" t="s">
        <v>138</v>
      </c>
      <c r="E7" s="23" t="s">
        <v>131</v>
      </c>
      <c r="F7" s="23" t="s">
        <v>132</v>
      </c>
      <c r="G7" s="23" t="s">
        <v>139</v>
      </c>
    </row>
    <row r="8" customFormat="false" ht="21.75" hidden="false" customHeight="true" outlineLevel="0" collapsed="false">
      <c r="B8" s="11" t="n">
        <v>4</v>
      </c>
      <c r="C8" s="4" t="s">
        <v>140</v>
      </c>
      <c r="D8" s="23" t="s">
        <v>140</v>
      </c>
      <c r="E8" s="23" t="s">
        <v>131</v>
      </c>
      <c r="F8" s="23" t="s">
        <v>132</v>
      </c>
      <c r="G8" s="23" t="s">
        <v>141</v>
      </c>
    </row>
    <row r="9" customFormat="false" ht="21.75" hidden="false" customHeight="true" outlineLevel="0" collapsed="false">
      <c r="B9" s="11" t="n">
        <v>5</v>
      </c>
      <c r="C9" s="4" t="s">
        <v>142</v>
      </c>
      <c r="D9" s="23" t="s">
        <v>143</v>
      </c>
      <c r="E9" s="23" t="s">
        <v>131</v>
      </c>
      <c r="F9" s="23" t="s">
        <v>144</v>
      </c>
      <c r="G9" s="23" t="s">
        <v>145</v>
      </c>
    </row>
    <row r="10" customFormat="false" ht="21.75" hidden="false" customHeight="true" outlineLevel="0" collapsed="false">
      <c r="B10" s="11" t="n">
        <v>6</v>
      </c>
      <c r="C10" s="4" t="s">
        <v>146</v>
      </c>
      <c r="D10" s="23" t="s">
        <v>147</v>
      </c>
      <c r="E10" s="23" t="s">
        <v>131</v>
      </c>
      <c r="F10" s="23" t="s">
        <v>148</v>
      </c>
      <c r="G10" s="23" t="s">
        <v>149</v>
      </c>
    </row>
    <row r="11" customFormat="false" ht="21.75" hidden="false" customHeight="true" outlineLevel="0" collapsed="false">
      <c r="B11" s="11" t="n">
        <v>7</v>
      </c>
      <c r="C11" s="4" t="s">
        <v>150</v>
      </c>
      <c r="D11" s="23" t="s">
        <v>151</v>
      </c>
      <c r="E11" s="23" t="s">
        <v>131</v>
      </c>
      <c r="F11" s="23" t="s">
        <v>148</v>
      </c>
      <c r="G11" s="23" t="s">
        <v>152</v>
      </c>
    </row>
    <row r="12" customFormat="false" ht="21.75" hidden="false" customHeight="true" outlineLevel="0" collapsed="false">
      <c r="B12" s="11" t="n">
        <v>8</v>
      </c>
      <c r="C12" s="4" t="s">
        <v>153</v>
      </c>
      <c r="D12" s="23" t="s">
        <v>154</v>
      </c>
      <c r="E12" s="23" t="s">
        <v>131</v>
      </c>
      <c r="F12" s="23" t="s">
        <v>148</v>
      </c>
      <c r="G12" s="23" t="s">
        <v>155</v>
      </c>
    </row>
    <row r="13" customFormat="false" ht="21.75" hidden="false" customHeight="true" outlineLevel="0" collapsed="false">
      <c r="B13" s="11" t="n">
        <v>9</v>
      </c>
      <c r="C13" s="4" t="s">
        <v>156</v>
      </c>
      <c r="D13" s="23" t="s">
        <v>156</v>
      </c>
      <c r="E13" s="23" t="s">
        <v>157</v>
      </c>
      <c r="F13" s="23" t="s">
        <v>132</v>
      </c>
      <c r="G13" s="23" t="s">
        <v>158</v>
      </c>
    </row>
    <row r="14" customFormat="false" ht="21.75" hidden="false" customHeight="true" outlineLevel="0" collapsed="false">
      <c r="B14" s="11" t="n">
        <v>10</v>
      </c>
      <c r="C14" s="4" t="s">
        <v>159</v>
      </c>
      <c r="D14" s="23" t="s">
        <v>159</v>
      </c>
      <c r="E14" s="23" t="s">
        <v>157</v>
      </c>
      <c r="F14" s="23" t="s">
        <v>132</v>
      </c>
      <c r="G14" s="23" t="s">
        <v>160</v>
      </c>
    </row>
    <row r="15" customFormat="false" ht="21.75" hidden="false" customHeight="true" outlineLevel="0" collapsed="false">
      <c r="B15" s="11" t="n">
        <v>11</v>
      </c>
      <c r="C15" s="4" t="s">
        <v>161</v>
      </c>
      <c r="D15" s="23" t="s">
        <v>161</v>
      </c>
      <c r="E15" s="23" t="s">
        <v>157</v>
      </c>
      <c r="F15" s="23" t="s">
        <v>162</v>
      </c>
      <c r="G15" s="23" t="s">
        <v>163</v>
      </c>
    </row>
    <row r="16" customFormat="false" ht="21.75" hidden="false" customHeight="true" outlineLevel="0" collapsed="false">
      <c r="B16" s="11" t="n">
        <v>12</v>
      </c>
      <c r="C16" s="4" t="s">
        <v>164</v>
      </c>
      <c r="D16" s="23" t="s">
        <v>165</v>
      </c>
      <c r="E16" s="23" t="s">
        <v>157</v>
      </c>
      <c r="F16" s="23" t="s">
        <v>166</v>
      </c>
      <c r="G16" s="23" t="s">
        <v>167</v>
      </c>
    </row>
    <row r="17" customFormat="false" ht="21.75" hidden="false" customHeight="true" outlineLevel="0" collapsed="false">
      <c r="B17" s="11" t="n">
        <v>13</v>
      </c>
      <c r="C17" s="4" t="s">
        <v>168</v>
      </c>
      <c r="D17" s="23" t="s">
        <v>168</v>
      </c>
      <c r="E17" s="23" t="s">
        <v>157</v>
      </c>
      <c r="F17" s="23" t="s">
        <v>136</v>
      </c>
      <c r="G17" s="23" t="s">
        <v>169</v>
      </c>
    </row>
    <row r="18" customFormat="false" ht="21.75" hidden="false" customHeight="true" outlineLevel="0" collapsed="false">
      <c r="B18" s="11" t="n">
        <v>14</v>
      </c>
      <c r="C18" s="4" t="s">
        <v>170</v>
      </c>
      <c r="D18" s="23" t="s">
        <v>171</v>
      </c>
      <c r="E18" s="23" t="s">
        <v>157</v>
      </c>
      <c r="F18" s="23" t="s">
        <v>132</v>
      </c>
      <c r="G18" s="23" t="s">
        <v>172</v>
      </c>
    </row>
    <row r="19" customFormat="false" ht="21.75" hidden="false" customHeight="true" outlineLevel="0" collapsed="false">
      <c r="B19" s="11" t="n">
        <v>15</v>
      </c>
      <c r="C19" s="4" t="s">
        <v>173</v>
      </c>
      <c r="D19" s="23" t="s">
        <v>173</v>
      </c>
      <c r="E19" s="23" t="s">
        <v>157</v>
      </c>
      <c r="F19" s="23" t="s">
        <v>132</v>
      </c>
      <c r="G19" s="23" t="s">
        <v>174</v>
      </c>
    </row>
    <row r="20" customFormat="false" ht="21.75" hidden="false" customHeight="true" outlineLevel="0" collapsed="false">
      <c r="B20" s="11" t="n">
        <v>16</v>
      </c>
      <c r="C20" s="4" t="s">
        <v>175</v>
      </c>
      <c r="D20" s="23" t="s">
        <v>175</v>
      </c>
      <c r="E20" s="23" t="s">
        <v>157</v>
      </c>
      <c r="F20" s="23" t="s">
        <v>132</v>
      </c>
      <c r="G20" s="23" t="s">
        <v>176</v>
      </c>
    </row>
    <row r="21" customFormat="false" ht="21.75" hidden="false" customHeight="true" outlineLevel="0" collapsed="false">
      <c r="B21" s="11" t="n">
        <v>17</v>
      </c>
      <c r="C21" s="4" t="s">
        <v>177</v>
      </c>
      <c r="D21" s="23" t="s">
        <v>177</v>
      </c>
      <c r="E21" s="23" t="s">
        <v>157</v>
      </c>
      <c r="F21" s="23" t="s">
        <v>144</v>
      </c>
      <c r="G21" s="23" t="s">
        <v>178</v>
      </c>
    </row>
    <row r="22" customFormat="false" ht="21.75" hidden="false" customHeight="true" outlineLevel="0" collapsed="false">
      <c r="B22" s="11" t="n">
        <v>18</v>
      </c>
      <c r="C22" s="4" t="s">
        <v>179</v>
      </c>
      <c r="D22" s="23" t="s">
        <v>180</v>
      </c>
      <c r="E22" s="23" t="s">
        <v>157</v>
      </c>
      <c r="F22" s="23" t="s">
        <v>166</v>
      </c>
      <c r="G22" s="23" t="s">
        <v>181</v>
      </c>
    </row>
    <row r="23" customFormat="false" ht="21.75" hidden="false" customHeight="true" outlineLevel="0" collapsed="false">
      <c r="B23" s="11" t="n">
        <v>19</v>
      </c>
      <c r="C23" s="4" t="s">
        <v>182</v>
      </c>
      <c r="D23" s="23" t="s">
        <v>182</v>
      </c>
      <c r="E23" s="23" t="s">
        <v>157</v>
      </c>
      <c r="F23" s="23" t="s">
        <v>166</v>
      </c>
      <c r="G23" s="23" t="s">
        <v>183</v>
      </c>
    </row>
    <row r="24" customFormat="false" ht="21.75" hidden="false" customHeight="true" outlineLevel="0" collapsed="false">
      <c r="B24" s="11" t="n">
        <v>20</v>
      </c>
      <c r="C24" s="4" t="s">
        <v>184</v>
      </c>
      <c r="D24" s="23" t="s">
        <v>184</v>
      </c>
      <c r="E24" s="23" t="s">
        <v>185</v>
      </c>
      <c r="F24" s="23" t="s">
        <v>162</v>
      </c>
      <c r="G24" s="23" t="s">
        <v>186</v>
      </c>
    </row>
    <row r="25" customFormat="false" ht="21.75" hidden="false" customHeight="true" outlineLevel="0" collapsed="false">
      <c r="B25" s="11" t="n">
        <v>21</v>
      </c>
      <c r="C25" s="4" t="s">
        <v>187</v>
      </c>
      <c r="D25" s="23" t="s">
        <v>188</v>
      </c>
      <c r="E25" s="23" t="s">
        <v>185</v>
      </c>
      <c r="F25" s="23" t="s">
        <v>136</v>
      </c>
      <c r="G25" s="23" t="s">
        <v>189</v>
      </c>
    </row>
    <row r="26" customFormat="false" ht="21.75" hidden="false" customHeight="true" outlineLevel="0" collapsed="false">
      <c r="B26" s="11" t="n">
        <v>22</v>
      </c>
      <c r="C26" s="4" t="s">
        <v>190</v>
      </c>
      <c r="D26" s="23" t="s">
        <v>190</v>
      </c>
      <c r="E26" s="23" t="s">
        <v>185</v>
      </c>
      <c r="F26" s="23" t="s">
        <v>166</v>
      </c>
      <c r="G26" s="23" t="s">
        <v>191</v>
      </c>
    </row>
    <row r="27" customFormat="false" ht="21.75" hidden="false" customHeight="true" outlineLevel="0" collapsed="false">
      <c r="B27" s="11" t="n">
        <v>23</v>
      </c>
      <c r="C27" s="4" t="s">
        <v>192</v>
      </c>
      <c r="D27" s="23" t="s">
        <v>193</v>
      </c>
      <c r="E27" s="23" t="s">
        <v>185</v>
      </c>
      <c r="F27" s="23" t="s">
        <v>136</v>
      </c>
      <c r="G27" s="23" t="s">
        <v>189</v>
      </c>
    </row>
    <row r="28" customFormat="false" ht="21.75" hidden="false" customHeight="true" outlineLevel="0" collapsed="false">
      <c r="B28" s="11" t="n">
        <v>24</v>
      </c>
      <c r="C28" s="4" t="s">
        <v>194</v>
      </c>
      <c r="D28" s="23" t="s">
        <v>194</v>
      </c>
      <c r="E28" s="23" t="s">
        <v>185</v>
      </c>
      <c r="F28" s="23" t="s">
        <v>136</v>
      </c>
      <c r="G28" s="23" t="s">
        <v>195</v>
      </c>
    </row>
    <row r="29" customFormat="false" ht="21.75" hidden="false" customHeight="true" outlineLevel="0" collapsed="false">
      <c r="B29" s="11" t="n">
        <v>25</v>
      </c>
      <c r="C29" s="4" t="s">
        <v>196</v>
      </c>
      <c r="D29" s="23" t="s">
        <v>196</v>
      </c>
      <c r="E29" s="23" t="s">
        <v>185</v>
      </c>
      <c r="F29" s="23" t="s">
        <v>136</v>
      </c>
      <c r="G29" s="23" t="s">
        <v>197</v>
      </c>
    </row>
    <row r="30" customFormat="false" ht="21.75" hidden="false" customHeight="true" outlineLevel="0" collapsed="false">
      <c r="B30" s="11" t="n">
        <v>26</v>
      </c>
      <c r="C30" s="4" t="s">
        <v>198</v>
      </c>
      <c r="D30" s="23" t="s">
        <v>199</v>
      </c>
      <c r="E30" s="23" t="s">
        <v>200</v>
      </c>
      <c r="F30" s="23" t="s">
        <v>148</v>
      </c>
      <c r="G30" s="23" t="s">
        <v>201</v>
      </c>
    </row>
    <row r="31" customFormat="false" ht="21.75" hidden="false" customHeight="true" outlineLevel="0" collapsed="false">
      <c r="B31" s="11" t="n">
        <v>27</v>
      </c>
      <c r="C31" s="4" t="s">
        <v>202</v>
      </c>
      <c r="D31" s="23" t="s">
        <v>202</v>
      </c>
      <c r="E31" s="23" t="s">
        <v>200</v>
      </c>
      <c r="F31" s="23" t="s">
        <v>144</v>
      </c>
      <c r="G31" s="23" t="s">
        <v>203</v>
      </c>
    </row>
    <row r="32" customFormat="false" ht="21.75" hidden="false" customHeight="true" outlineLevel="0" collapsed="false">
      <c r="B32" s="11" t="n">
        <v>28</v>
      </c>
      <c r="C32" s="4" t="s">
        <v>204</v>
      </c>
      <c r="D32" s="23" t="s">
        <v>204</v>
      </c>
      <c r="E32" s="23" t="s">
        <v>200</v>
      </c>
      <c r="F32" s="23" t="s">
        <v>144</v>
      </c>
      <c r="G32" s="23" t="s">
        <v>205</v>
      </c>
    </row>
    <row r="33" customFormat="false" ht="21.75" hidden="false" customHeight="true" outlineLevel="0" collapsed="false">
      <c r="B33" s="11" t="n">
        <v>29</v>
      </c>
      <c r="C33" s="4" t="s">
        <v>206</v>
      </c>
      <c r="D33" s="23" t="s">
        <v>207</v>
      </c>
      <c r="E33" s="23" t="s">
        <v>200</v>
      </c>
      <c r="F33" s="23" t="s">
        <v>166</v>
      </c>
      <c r="G33" s="23" t="s">
        <v>208</v>
      </c>
    </row>
    <row r="34" customFormat="false" ht="21.75" hidden="false" customHeight="true" outlineLevel="0" collapsed="false">
      <c r="B34" s="11" t="n">
        <v>30</v>
      </c>
      <c r="C34" s="4" t="s">
        <v>209</v>
      </c>
      <c r="D34" s="23" t="s">
        <v>210</v>
      </c>
      <c r="E34" s="23" t="s">
        <v>200</v>
      </c>
      <c r="F34" s="23" t="s">
        <v>144</v>
      </c>
      <c r="G34" s="23" t="s">
        <v>211</v>
      </c>
    </row>
    <row r="35" customFormat="false" ht="21.75" hidden="false" customHeight="true" outlineLevel="0" collapsed="false">
      <c r="B35" s="11" t="n">
        <v>31</v>
      </c>
      <c r="C35" s="4" t="s">
        <v>212</v>
      </c>
      <c r="D35" s="23" t="s">
        <v>212</v>
      </c>
      <c r="E35" s="23" t="s">
        <v>200</v>
      </c>
      <c r="F35" s="23" t="s">
        <v>144</v>
      </c>
      <c r="G35" s="23" t="s">
        <v>213</v>
      </c>
    </row>
    <row r="36" customFormat="false" ht="21.75" hidden="false" customHeight="true" outlineLevel="0" collapsed="false">
      <c r="B36" s="11" t="n">
        <v>32</v>
      </c>
      <c r="C36" s="4" t="s">
        <v>214</v>
      </c>
      <c r="D36" s="23" t="s">
        <v>214</v>
      </c>
      <c r="E36" s="23" t="s">
        <v>200</v>
      </c>
      <c r="F36" s="23" t="s">
        <v>162</v>
      </c>
      <c r="G36" s="23" t="s">
        <v>215</v>
      </c>
    </row>
    <row r="37" customFormat="false" ht="21.75" hidden="false" customHeight="true" outlineLevel="0" collapsed="false">
      <c r="B37" s="11" t="n">
        <v>33</v>
      </c>
      <c r="C37" s="4" t="s">
        <v>216</v>
      </c>
      <c r="D37" s="23" t="s">
        <v>216</v>
      </c>
      <c r="E37" s="23" t="s">
        <v>200</v>
      </c>
      <c r="F37" s="23" t="s">
        <v>132</v>
      </c>
      <c r="G37" s="23" t="s">
        <v>217</v>
      </c>
    </row>
    <row r="38" customFormat="false" ht="21.75" hidden="false" customHeight="true" outlineLevel="0" collapsed="false">
      <c r="B38" s="11" t="n">
        <v>34</v>
      </c>
      <c r="C38" s="4" t="s">
        <v>218</v>
      </c>
      <c r="D38" s="23" t="s">
        <v>218</v>
      </c>
      <c r="E38" s="23" t="s">
        <v>200</v>
      </c>
      <c r="F38" s="23" t="s">
        <v>148</v>
      </c>
      <c r="G38" s="23" t="s">
        <v>219</v>
      </c>
    </row>
  </sheetData>
  <mergeCells count="2">
    <mergeCell ref="B1:G1"/>
    <mergeCell ref="B2:G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220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221</v>
      </c>
      <c r="C2" s="2"/>
      <c r="D2" s="2"/>
      <c r="E2" s="2"/>
      <c r="F2" s="2"/>
    </row>
    <row r="3" customFormat="false" ht="15" hidden="false" customHeight="false" outlineLevel="0" collapsed="false">
      <c r="B3" s="4" t="s">
        <v>68</v>
      </c>
      <c r="C3" s="4" t="str">
        <f aca="false">IF(Rastro!D4="","",Rastro!D4)</f>
        <v/>
      </c>
      <c r="D3" s="4"/>
      <c r="E3" s="4"/>
      <c r="F3" s="4"/>
    </row>
    <row r="5" customFormat="false" ht="21.75" hidden="false" customHeight="true" outlineLevel="0" collapsed="false">
      <c r="B5" s="9" t="s">
        <v>222</v>
      </c>
      <c r="C5" s="9" t="s">
        <v>223</v>
      </c>
      <c r="D5" s="9" t="s">
        <v>224</v>
      </c>
      <c r="E5" s="9"/>
      <c r="F5" s="9"/>
    </row>
    <row r="6" customFormat="false" ht="21.75" hidden="false" customHeight="true" outlineLevel="0" collapsed="false">
      <c r="B6" s="24" t="s">
        <v>225</v>
      </c>
      <c r="C6" s="24"/>
      <c r="D6" s="24"/>
      <c r="E6" s="24"/>
      <c r="F6" s="24"/>
    </row>
    <row r="7" customFormat="false" ht="21.75" hidden="false" customHeight="true" outlineLevel="0" collapsed="false">
      <c r="B7" s="4" t="s">
        <v>85</v>
      </c>
      <c r="C7" s="13" t="n">
        <f aca="false">COUNTA(Rastro!D8:D37)</f>
        <v>0</v>
      </c>
      <c r="D7" s="25" t="s">
        <v>226</v>
      </c>
      <c r="E7" s="25"/>
      <c r="F7" s="25"/>
    </row>
    <row r="8" customFormat="false" ht="21.75" hidden="false" customHeight="true" outlineLevel="0" collapsed="false">
      <c r="B8" s="4" t="s">
        <v>227</v>
      </c>
      <c r="C8" s="13" t="n">
        <f aca="false">IF(COUNTA(Rastro!D8:D37)=0,0,SUMPRODUCT((Rastro!D8:D37&lt;&gt;"")/COUNTIF(Rastro!D8:D37,Rastro!D8:D37&amp;"")))</f>
        <v>0</v>
      </c>
      <c r="D8" s="25" t="s">
        <v>228</v>
      </c>
      <c r="E8" s="25"/>
      <c r="F8" s="25"/>
    </row>
    <row r="9" customFormat="false" ht="21.75" hidden="false" customHeight="true" outlineLevel="0" collapsed="false">
      <c r="B9" s="4" t="s">
        <v>229</v>
      </c>
      <c r="C9" s="13" t="str">
        <f aca="false">IF(COUNT(Rastro!C8:C37)=0,"",MAX(Rastro!C8:C37)-MIN(Rastro!C8:C37))</f>
        <v/>
      </c>
      <c r="D9" s="25" t="s">
        <v>230</v>
      </c>
      <c r="E9" s="25"/>
      <c r="F9" s="25"/>
    </row>
    <row r="10" customFormat="false" ht="21.75" hidden="false" customHeight="true" outlineLevel="0" collapsed="false">
      <c r="B10" s="4" t="s">
        <v>231</v>
      </c>
      <c r="C10" s="13" t="str">
        <f aca="false">IF(COUNT(Rastro!I8:I37)=0,"",MAX(Rastro!I8:I37))</f>
        <v/>
      </c>
      <c r="D10" s="25" t="s">
        <v>232</v>
      </c>
      <c r="E10" s="25"/>
      <c r="F10" s="25"/>
    </row>
    <row r="11" customFormat="false" ht="21.75" hidden="false" customHeight="true" outlineLevel="0" collapsed="false">
      <c r="B11" s="4" t="s">
        <v>233</v>
      </c>
      <c r="C11" s="13" t="n">
        <f aca="false">SUMPRODUCT((Rastro!J8:J37&lt;&gt;"")*(Rastro!J8:J37&lt;&gt;"OK"))</f>
        <v>0</v>
      </c>
      <c r="D11" s="25" t="s">
        <v>234</v>
      </c>
      <c r="E11" s="25"/>
      <c r="F11" s="25"/>
    </row>
    <row r="12" customFormat="false" ht="21.75" hidden="false" customHeight="true" outlineLevel="0" collapsed="false">
      <c r="B12" s="24" t="s">
        <v>235</v>
      </c>
      <c r="C12" s="24"/>
      <c r="D12" s="24"/>
      <c r="E12" s="24"/>
      <c r="F12" s="24"/>
    </row>
    <row r="13" customFormat="false" ht="21.75" hidden="false" customHeight="true" outlineLevel="0" collapsed="false">
      <c r="B13" s="4" t="s">
        <v>236</v>
      </c>
      <c r="C13" s="13" t="str">
        <f aca="false">IF(Calendário!E5="","",Calendário!E5)</f>
        <v/>
      </c>
      <c r="D13" s="25" t="s">
        <v>237</v>
      </c>
      <c r="E13" s="25"/>
      <c r="F13" s="25"/>
    </row>
    <row r="14" customFormat="false" ht="21.75" hidden="false" customHeight="true" outlineLevel="0" collapsed="false">
      <c r="B14" s="4" t="s">
        <v>120</v>
      </c>
      <c r="C14" s="13" t="n">
        <f aca="false">COUNTA(Calendário!C10:C49)</f>
        <v>0</v>
      </c>
      <c r="D14" s="25" t="s">
        <v>238</v>
      </c>
      <c r="E14" s="25"/>
      <c r="F14" s="25"/>
    </row>
    <row r="15" customFormat="false" ht="21.75" hidden="false" customHeight="true" outlineLevel="0" collapsed="false">
      <c r="B15" s="4" t="s">
        <v>239</v>
      </c>
      <c r="C15" s="13" t="n">
        <f aca="false">SUM(Calendário!U10:U49)</f>
        <v>0</v>
      </c>
      <c r="D15" s="25" t="s">
        <v>240</v>
      </c>
      <c r="E15" s="25"/>
      <c r="F15" s="25"/>
    </row>
    <row r="16" customFormat="false" ht="21.75" hidden="false" customHeight="true" outlineLevel="0" collapsed="false">
      <c r="B16" s="4" t="s">
        <v>113</v>
      </c>
      <c r="C16" s="13" t="n">
        <f aca="false">SUM(Calendário!V10:V49)</f>
        <v>0</v>
      </c>
      <c r="D16" s="25" t="s">
        <v>241</v>
      </c>
      <c r="E16" s="25"/>
      <c r="F16" s="25"/>
    </row>
    <row r="17" customFormat="false" ht="21.75" hidden="false" customHeight="true" outlineLevel="0" collapsed="false">
      <c r="B17" s="4" t="s">
        <v>242</v>
      </c>
      <c r="C17" s="26" t="str">
        <f aca="false">IFERROR(SUM(Calendário!V10:V49)/SUM(Calendário!U10:U49),"")</f>
        <v/>
      </c>
      <c r="D17" s="25" t="s">
        <v>243</v>
      </c>
      <c r="E17" s="25"/>
      <c r="F17" s="25"/>
    </row>
    <row r="18" customFormat="false" ht="21.75" hidden="false" customHeight="true" outlineLevel="0" collapsed="false">
      <c r="B18" s="4" t="s">
        <v>114</v>
      </c>
      <c r="C18" s="13" t="n">
        <f aca="false">SUM(Calendário!W10:W49)</f>
        <v>0</v>
      </c>
      <c r="D18" s="25" t="s">
        <v>244</v>
      </c>
      <c r="E18" s="25"/>
      <c r="F18" s="25"/>
    </row>
    <row r="19" customFormat="false" ht="21.75" hidden="false" customHeight="true" outlineLevel="0" collapsed="false">
      <c r="B19" s="4" t="s">
        <v>245</v>
      </c>
      <c r="C19" s="13" t="n">
        <f aca="false">COUNTIF(Calendário!Y10:Y49,"Com atraso")</f>
        <v>0</v>
      </c>
      <c r="D19" s="25" t="s">
        <v>246</v>
      </c>
      <c r="E19" s="25"/>
      <c r="F19" s="25"/>
    </row>
    <row r="20" customFormat="false" ht="21.75" hidden="false" customHeight="true" outlineLevel="0" collapsed="false">
      <c r="B20" s="4" t="s">
        <v>247</v>
      </c>
      <c r="C20" s="13" t="n">
        <f aca="false">SUM(Calendário!X10:X49)</f>
        <v>0</v>
      </c>
      <c r="D20" s="25" t="s">
        <v>248</v>
      </c>
      <c r="E20" s="25"/>
      <c r="F20" s="25"/>
    </row>
    <row r="21" customFormat="false" ht="21.75" hidden="false" customHeight="true" outlineLevel="0" collapsed="false">
      <c r="B21" s="4" t="s">
        <v>249</v>
      </c>
      <c r="C21" s="13" t="n">
        <f aca="false">SUMPRODUCT((Calendário!Z10:Z49&lt;&gt;"")*(Calendário!Z10:Z49&lt;&gt;"OK"))</f>
        <v>0</v>
      </c>
      <c r="D21" s="25" t="s">
        <v>234</v>
      </c>
      <c r="E21" s="25"/>
      <c r="F21" s="25"/>
    </row>
    <row r="23" customFormat="false" ht="21.75" hidden="false" customHeight="true" outlineLevel="0" collapsed="false">
      <c r="B23" s="15" t="s">
        <v>84</v>
      </c>
      <c r="C23" s="15"/>
      <c r="D23" s="15"/>
      <c r="E23" s="15"/>
      <c r="F23" s="15"/>
    </row>
    <row r="24" customFormat="false" ht="21.75" hidden="false" customHeight="true" outlineLevel="0" collapsed="false">
      <c r="B24" s="4" t="s">
        <v>87</v>
      </c>
      <c r="C24" s="18" t="str">
        <f aca="false">IF(C7+C14=0,"Preencha as abas Rastro e Calendário",IF(C19&gt;0,"Há atividade atrasada no calendário",IF(COUNTIF(Rastro!J8:J37,"O passo seguinte é de outro estudo")&gt;0,"O fio pulou um passo: veja a aba Rastro",IF(C11&gt;0,"Há passo do fio a completar",IF(C21&gt;0,"Há atividade do calendário a completar","OK")))))</f>
        <v>Preencha as abas Rastro e Calendário</v>
      </c>
      <c r="D24" s="18"/>
      <c r="E24" s="18"/>
      <c r="F24" s="18"/>
    </row>
    <row r="26" customFormat="false" ht="15" hidden="false" customHeight="false" outlineLevel="0" collapsed="false">
      <c r="B26" s="27" t="s">
        <v>250</v>
      </c>
    </row>
    <row r="27" customFormat="false" ht="15" hidden="false" customHeight="false" outlineLevel="0" collapsed="false">
      <c r="B27" s="23" t="s">
        <v>22</v>
      </c>
      <c r="C27" s="20" t="n">
        <f aca="false">COUNTIF(Calendário!Y10:Y49,B27)</f>
        <v>0</v>
      </c>
    </row>
    <row r="28" customFormat="false" ht="15" hidden="false" customHeight="false" outlineLevel="0" collapsed="false">
      <c r="B28" s="23" t="s">
        <v>24</v>
      </c>
      <c r="C28" s="20" t="n">
        <f aca="false">COUNTIF(Calendário!Y10:Y49,B28)</f>
        <v>0</v>
      </c>
    </row>
    <row r="29" customFormat="false" ht="15" hidden="false" customHeight="false" outlineLevel="0" collapsed="false">
      <c r="B29" s="23" t="s">
        <v>26</v>
      </c>
      <c r="C29" s="20" t="n">
        <f aca="false">COUNTIF(Calendário!Y10:Y49,B29)</f>
        <v>0</v>
      </c>
    </row>
  </sheetData>
  <mergeCells count="22">
    <mergeCell ref="B1:F1"/>
    <mergeCell ref="B2:F2"/>
    <mergeCell ref="C3:F3"/>
    <mergeCell ref="D5:F5"/>
    <mergeCell ref="B6:F6"/>
    <mergeCell ref="D7:F7"/>
    <mergeCell ref="D8:F8"/>
    <mergeCell ref="D9:F9"/>
    <mergeCell ref="D10:F10"/>
    <mergeCell ref="D11:F11"/>
    <mergeCell ref="B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B23:F23"/>
    <mergeCell ref="C24:F24"/>
  </mergeCells>
  <conditionalFormatting sqref="C24:F24">
    <cfRule type="expression" priority="2" aboveAverage="0" equalAverage="0" bottom="0" percent="0" rank="0" text="" dxfId="0">
      <formula>OR(C24="OK")</formula>
    </cfRule>
    <cfRule type="expression" priority="3" aboveAverage="0" equalAverage="0" bottom="0" percent="0" rank="0" text="" dxfId="2">
      <formula>AND(LEN(C24)&gt;0,NOT(OR(C24="OK")))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251</v>
      </c>
      <c r="C1" s="1"/>
      <c r="D1" s="1"/>
      <c r="E1" s="1"/>
    </row>
    <row r="2" customFormat="false" ht="19.5" hidden="false" customHeight="true" outlineLevel="0" collapsed="false">
      <c r="B2" s="2" t="s">
        <v>252</v>
      </c>
      <c r="C2" s="2"/>
      <c r="D2" s="2"/>
      <c r="E2" s="2"/>
    </row>
    <row r="4" customFormat="false" ht="21.75" hidden="false" customHeight="true" outlineLevel="0" collapsed="false">
      <c r="B4" s="9" t="s">
        <v>94</v>
      </c>
      <c r="C4" s="9" t="s">
        <v>253</v>
      </c>
      <c r="D4" s="9" t="s">
        <v>254</v>
      </c>
      <c r="E4" s="9" t="s">
        <v>255</v>
      </c>
    </row>
    <row r="5" customFormat="false" ht="30" hidden="false" customHeight="true" outlineLevel="0" collapsed="false">
      <c r="B5" s="11" t="n">
        <v>1</v>
      </c>
      <c r="C5" s="6" t="s">
        <v>256</v>
      </c>
      <c r="D5" s="19"/>
      <c r="E5" s="5"/>
    </row>
    <row r="6" customFormat="false" ht="30" hidden="false" customHeight="true" outlineLevel="0" collapsed="false">
      <c r="B6" s="11" t="n">
        <v>2</v>
      </c>
      <c r="C6" s="6" t="s">
        <v>257</v>
      </c>
      <c r="D6" s="19"/>
      <c r="E6" s="5"/>
    </row>
    <row r="7" customFormat="false" ht="30" hidden="false" customHeight="true" outlineLevel="0" collapsed="false">
      <c r="B7" s="11" t="n">
        <v>3</v>
      </c>
      <c r="C7" s="6" t="s">
        <v>258</v>
      </c>
      <c r="D7" s="19"/>
      <c r="E7" s="5"/>
    </row>
    <row r="8" customFormat="false" ht="30" hidden="false" customHeight="true" outlineLevel="0" collapsed="false">
      <c r="B8" s="11" t="n">
        <v>4</v>
      </c>
      <c r="C8" s="6" t="s">
        <v>259</v>
      </c>
      <c r="D8" s="19"/>
      <c r="E8" s="5"/>
    </row>
    <row r="9" customFormat="false" ht="30" hidden="false" customHeight="true" outlineLevel="0" collapsed="false">
      <c r="B9" s="11" t="n">
        <v>5</v>
      </c>
      <c r="C9" s="6" t="s">
        <v>260</v>
      </c>
      <c r="D9" s="19"/>
      <c r="E9" s="5"/>
    </row>
    <row r="10" customFormat="false" ht="30" hidden="false" customHeight="true" outlineLevel="0" collapsed="false">
      <c r="B10" s="11" t="n">
        <v>6</v>
      </c>
      <c r="C10" s="6" t="s">
        <v>261</v>
      </c>
      <c r="D10" s="19"/>
      <c r="E10" s="5"/>
    </row>
    <row r="11" customFormat="false" ht="30" hidden="false" customHeight="true" outlineLevel="0" collapsed="false">
      <c r="B11" s="11" t="n">
        <v>7</v>
      </c>
      <c r="C11" s="6" t="s">
        <v>262</v>
      </c>
      <c r="D11" s="19"/>
      <c r="E11" s="5"/>
    </row>
    <row r="12" customFormat="false" ht="30" hidden="false" customHeight="true" outlineLevel="0" collapsed="false">
      <c r="B12" s="11" t="n">
        <v>8</v>
      </c>
      <c r="C12" s="6" t="s">
        <v>263</v>
      </c>
      <c r="D12" s="19"/>
      <c r="E12" s="5"/>
    </row>
    <row r="13" customFormat="false" ht="30" hidden="false" customHeight="true" outlineLevel="0" collapsed="false">
      <c r="B13" s="11" t="n">
        <v>9</v>
      </c>
      <c r="C13" s="6" t="s">
        <v>264</v>
      </c>
      <c r="D13" s="19"/>
      <c r="E13" s="5"/>
    </row>
    <row r="14" customFormat="false" ht="30" hidden="false" customHeight="true" outlineLevel="0" collapsed="false">
      <c r="B14" s="11" t="n">
        <v>10</v>
      </c>
      <c r="C14" s="6" t="s">
        <v>265</v>
      </c>
      <c r="D14" s="19"/>
      <c r="E14" s="5"/>
    </row>
    <row r="15" customFormat="false" ht="30" hidden="false" customHeight="true" outlineLevel="0" collapsed="false">
      <c r="B15" s="11" t="n">
        <v>11</v>
      </c>
      <c r="C15" s="6" t="s">
        <v>266</v>
      </c>
      <c r="D15" s="19"/>
      <c r="E15" s="5"/>
    </row>
    <row r="16" customFormat="false" ht="30" hidden="false" customHeight="true" outlineLevel="0" collapsed="false">
      <c r="B16" s="11" t="n">
        <v>12</v>
      </c>
      <c r="C16" s="6" t="s">
        <v>267</v>
      </c>
      <c r="D16" s="19"/>
      <c r="E16" s="5"/>
    </row>
    <row r="18" customFormat="false" ht="21.75" hidden="false" customHeight="true" outlineLevel="0" collapsed="false">
      <c r="B18" s="15" t="s">
        <v>84</v>
      </c>
      <c r="C18" s="15"/>
      <c r="D18" s="15"/>
      <c r="E18" s="15"/>
    </row>
    <row r="19" customFormat="false" ht="19.5" hidden="false" customHeight="true" outlineLevel="0" collapsed="false">
      <c r="B19" s="16" t="s">
        <v>268</v>
      </c>
      <c r="C19" s="16"/>
      <c r="D19" s="13" t="n">
        <f aca="false">COUNTIF(D5:D16,"Sim")</f>
        <v>0</v>
      </c>
    </row>
    <row r="20" customFormat="false" ht="19.5" hidden="false" customHeight="true" outlineLevel="0" collapsed="false">
      <c r="B20" s="16" t="s">
        <v>269</v>
      </c>
      <c r="C20" s="16"/>
      <c r="D20" s="13" t="n">
        <f aca="false">COUNTIF(D5:D16,"Parcial")</f>
        <v>0</v>
      </c>
    </row>
    <row r="21" customFormat="false" ht="19.5" hidden="false" customHeight="true" outlineLevel="0" collapsed="false">
      <c r="B21" s="16" t="s">
        <v>270</v>
      </c>
      <c r="C21" s="16"/>
      <c r="D21" s="13" t="n">
        <f aca="false">COUNTIF(D5:D16,"Não")</f>
        <v>0</v>
      </c>
    </row>
    <row r="22" customFormat="false" ht="19.5" hidden="false" customHeight="true" outlineLevel="0" collapsed="false">
      <c r="B22" s="16" t="s">
        <v>271</v>
      </c>
      <c r="C22" s="16"/>
      <c r="D22" s="13" t="n">
        <f aca="false">COUNTBLANK(D5:D16)</f>
        <v>12</v>
      </c>
    </row>
    <row r="23" customFormat="false" ht="19.5" hidden="false" customHeight="true" outlineLevel="0" collapsed="false">
      <c r="B23" s="16" t="s">
        <v>272</v>
      </c>
      <c r="C23" s="16"/>
      <c r="D23" s="26" t="n">
        <f aca="false">D19/ROWS(D5:D16)</f>
        <v>0</v>
      </c>
    </row>
    <row r="24" customFormat="false" ht="19.5" hidden="false" customHeight="true" outlineLevel="0" collapsed="false">
      <c r="B24" s="16" t="s">
        <v>115</v>
      </c>
      <c r="C24" s="16"/>
      <c r="D24" s="13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1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AA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8" min="6" style="0" width="22"/>
    <col collapsed="false" customWidth="true" hidden="false" outlineLevel="0" max="20" min="9" style="0" width="5.51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7"/>
    <col collapsed="false" customWidth="true" hidden="false" outlineLevel="0" max="25" min="25" style="0" width="15"/>
    <col collapsed="false" customWidth="true" hidden="false" outlineLevel="0" max="26" min="26" style="0" width="26"/>
    <col collapsed="false" customWidth="true" hidden="false" outlineLevel="0" max="27" min="27" style="0" width="7"/>
    <col collapsed="false" customWidth="true" hidden="false" outlineLevel="0" max="28" min="28" style="0" width="2"/>
  </cols>
  <sheetData>
    <row r="1" customFormat="false" ht="31.5" hidden="false" customHeight="true" outlineLevel="0" collapsed="false">
      <c r="B1" s="1" t="s">
        <v>218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2" t="s">
        <v>273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9.5" hidden="false" customHeight="true" outlineLevel="0" collapsed="false">
      <c r="B4" s="4" t="s">
        <v>274</v>
      </c>
      <c r="C4" s="4"/>
      <c r="D4" s="28" t="s">
        <v>275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9.5" hidden="false" customHeight="true" outlineLevel="0" collapsed="false">
      <c r="B5" s="4" t="s">
        <v>68</v>
      </c>
      <c r="C5" s="4"/>
      <c r="D5" s="28" t="s">
        <v>276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9.5" hidden="false" customHeight="true" outlineLevel="0" collapsed="false">
      <c r="B6" s="4" t="s">
        <v>277</v>
      </c>
      <c r="C6" s="4"/>
      <c r="D6" s="28" t="s">
        <v>278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9.5" hidden="false" customHeight="true" outlineLevel="0" collapsed="false">
      <c r="B7" s="4" t="s">
        <v>279</v>
      </c>
      <c r="C7" s="4"/>
      <c r="D7" s="28" t="s">
        <v>280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5" hidden="false" customHeight="true" outlineLevel="0" collapsed="false">
      <c r="B8" s="4" t="s">
        <v>281</v>
      </c>
      <c r="C8" s="4"/>
      <c r="D8" s="29" t="n">
        <v>2027</v>
      </c>
      <c r="E8" s="29" t="n">
        <v>6</v>
      </c>
    </row>
    <row r="10" customFormat="false" ht="21.75" hidden="false" customHeight="true" outlineLevel="0" collapsed="false">
      <c r="B10" s="30" t="s">
        <v>282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customFormat="false" ht="30" hidden="false" customHeight="true" outlineLevel="0" collapsed="false">
      <c r="B11" s="13" t="s">
        <v>70</v>
      </c>
      <c r="C11" s="13" t="s">
        <v>71</v>
      </c>
      <c r="D11" s="13" t="s">
        <v>72</v>
      </c>
      <c r="E11" s="13" t="s">
        <v>73</v>
      </c>
      <c r="F11" s="13" t="s">
        <v>74</v>
      </c>
      <c r="G11" s="13" t="s">
        <v>75</v>
      </c>
      <c r="H11" s="13" t="s">
        <v>76</v>
      </c>
      <c r="I11" s="13" t="s">
        <v>14</v>
      </c>
      <c r="J11" s="31" t="s">
        <v>77</v>
      </c>
      <c r="K11" s="31"/>
      <c r="L11" s="31"/>
      <c r="M11" s="31"/>
      <c r="N11" s="31"/>
    </row>
    <row r="12" customFormat="false" ht="30.75" hidden="false" customHeight="true" outlineLevel="0" collapsed="false">
      <c r="B12" s="11" t="n">
        <v>1</v>
      </c>
      <c r="C12" s="32" t="n">
        <v>46188</v>
      </c>
      <c r="D12" s="33" t="s">
        <v>196</v>
      </c>
      <c r="E12" s="34" t="s">
        <v>283</v>
      </c>
      <c r="F12" s="34" t="s">
        <v>284</v>
      </c>
      <c r="G12" s="34" t="s">
        <v>285</v>
      </c>
      <c r="H12" s="34" t="s">
        <v>187</v>
      </c>
      <c r="I12" s="13" t="str">
        <f aca="false">""</f>
        <v/>
      </c>
      <c r="J12" s="14" t="str">
        <f aca="false">IF(COUNTA(C12:H12)=0,"",IF(C12="","Falta a data",IF(D12="","Falta o estudo",IF(E12="","Falta o que aconteceu",IF(F12="","Falta o registro",IF(AND(ISNUMBER(I12),I12&lt;0),"Data antes do passo anterior",IF(COUNTA(C13:H13)=0,"OK",IF(G12="","Falta a saída",IF(H12="","Falta o próximo estudo",IF(H12&lt;&gt;D13,"O passo seguinte é de outro estudo","OK"))))))))))</f>
        <v>OK</v>
      </c>
      <c r="K12" s="14"/>
      <c r="L12" s="14"/>
      <c r="M12" s="14"/>
      <c r="N12" s="14"/>
    </row>
    <row r="13" customFormat="false" ht="42.75" hidden="false" customHeight="true" outlineLevel="0" collapsed="false">
      <c r="B13" s="11" t="n">
        <v>2</v>
      </c>
      <c r="C13" s="32" t="n">
        <v>46213</v>
      </c>
      <c r="D13" s="33" t="s">
        <v>187</v>
      </c>
      <c r="E13" s="34" t="s">
        <v>286</v>
      </c>
      <c r="F13" s="34" t="s">
        <v>287</v>
      </c>
      <c r="G13" s="34" t="s">
        <v>288</v>
      </c>
      <c r="H13" s="34" t="s">
        <v>192</v>
      </c>
      <c r="I13" s="13" t="n">
        <f aca="false">IF(OR(C13="",C12=""),"",C13-C12)</f>
        <v>25</v>
      </c>
      <c r="J13" s="14" t="str">
        <f aca="false">IF(COUNTA(C13:H13)=0,"",IF(C13="","Falta a data",IF(D13="","Falta o estudo",IF(E13="","Falta o que aconteceu",IF(F13="","Falta o registro",IF(AND(ISNUMBER(I13),I13&lt;0),"Data antes do passo anterior",IF(COUNTA(C14:H14)=0,"OK",IF(G13="","Falta a saída",IF(H13="","Falta o próximo estudo",IF(H13&lt;&gt;D14,"O passo seguinte é de outro estudo","OK"))))))))))</f>
        <v>OK</v>
      </c>
      <c r="K13" s="14"/>
      <c r="L13" s="14"/>
      <c r="M13" s="14"/>
      <c r="N13" s="14"/>
    </row>
    <row r="14" customFormat="false" ht="66.75" hidden="false" customHeight="true" outlineLevel="0" collapsed="false">
      <c r="B14" s="11" t="n">
        <v>3</v>
      </c>
      <c r="C14" s="32" t="n">
        <v>46220</v>
      </c>
      <c r="D14" s="33" t="s">
        <v>192</v>
      </c>
      <c r="E14" s="34" t="s">
        <v>289</v>
      </c>
      <c r="F14" s="34" t="s">
        <v>290</v>
      </c>
      <c r="G14" s="34" t="s">
        <v>291</v>
      </c>
      <c r="H14" s="34" t="s">
        <v>194</v>
      </c>
      <c r="I14" s="13" t="n">
        <f aca="false">IF(OR(C14="",C13=""),"",C14-C13)</f>
        <v>7</v>
      </c>
      <c r="J14" s="14" t="str">
        <f aca="false">IF(COUNTA(C14:H14)=0,"",IF(C14="","Falta a data",IF(D14="","Falta o estudo",IF(E14="","Falta o que aconteceu",IF(F14="","Falta o registro",IF(AND(ISNUMBER(I14),I14&lt;0),"Data antes do passo anterior",IF(COUNTA(C15:H15)=0,"OK",IF(G14="","Falta a saída",IF(H14="","Falta o próximo estudo",IF(H14&lt;&gt;D15,"O passo seguinte é de outro estudo","OK"))))))))))</f>
        <v>OK</v>
      </c>
      <c r="K14" s="14"/>
      <c r="L14" s="14"/>
      <c r="M14" s="14"/>
      <c r="N14" s="14"/>
    </row>
    <row r="15" customFormat="false" ht="66.75" hidden="false" customHeight="true" outlineLevel="0" collapsed="false">
      <c r="B15" s="11" t="n">
        <v>4</v>
      </c>
      <c r="C15" s="32" t="n">
        <v>46227</v>
      </c>
      <c r="D15" s="33" t="s">
        <v>194</v>
      </c>
      <c r="E15" s="34" t="s">
        <v>292</v>
      </c>
      <c r="F15" s="34" t="s">
        <v>293</v>
      </c>
      <c r="G15" s="34" t="s">
        <v>294</v>
      </c>
      <c r="H15" s="34" t="s">
        <v>196</v>
      </c>
      <c r="I15" s="13" t="n">
        <f aca="false">IF(OR(C15="",C14=""),"",C15-C14)</f>
        <v>7</v>
      </c>
      <c r="J15" s="14" t="str">
        <f aca="false">IF(COUNTA(C15:H15)=0,"",IF(C15="","Falta a data",IF(D15="","Falta o estudo",IF(E15="","Falta o que aconteceu",IF(F15="","Falta o registro",IF(AND(ISNUMBER(I15),I15&lt;0),"Data antes do passo anterior",IF(COUNTA(C16:H16)=0,"OK",IF(G15="","Falta a saída",IF(H15="","Falta o próximo estudo",IF(H15&lt;&gt;D16,"O passo seguinte é de outro estudo","OK"))))))))))</f>
        <v>OK</v>
      </c>
      <c r="K15" s="14"/>
      <c r="L15" s="14"/>
      <c r="M15" s="14"/>
      <c r="N15" s="14"/>
    </row>
    <row r="16" customFormat="false" ht="42.75" hidden="false" customHeight="true" outlineLevel="0" collapsed="false">
      <c r="B16" s="11" t="n">
        <v>5</v>
      </c>
      <c r="C16" s="32" t="n">
        <v>46271</v>
      </c>
      <c r="D16" s="33" t="s">
        <v>196</v>
      </c>
      <c r="E16" s="34" t="s">
        <v>295</v>
      </c>
      <c r="F16" s="34" t="s">
        <v>296</v>
      </c>
      <c r="G16" s="34" t="s">
        <v>297</v>
      </c>
      <c r="H16" s="34" t="s">
        <v>184</v>
      </c>
      <c r="I16" s="13" t="n">
        <f aca="false">IF(OR(C16="",C15=""),"",C16-C15)</f>
        <v>44</v>
      </c>
      <c r="J16" s="14" t="str">
        <f aca="false">IF(COUNTA(C16:H16)=0,"",IF(C16="","Falta a data",IF(D16="","Falta o estudo",IF(E16="","Falta o que aconteceu",IF(F16="","Falta o registro",IF(AND(ISNUMBER(I16),I16&lt;0),"Data antes do passo anterior",IF(COUNTA(C17:H17)=0,"OK",IF(G16="","Falta a saída",IF(H16="","Falta o próximo estudo",IF(H16&lt;&gt;D17,"O passo seguinte é de outro estudo","OK"))))))))))</f>
        <v>OK</v>
      </c>
      <c r="K16" s="14"/>
      <c r="L16" s="14"/>
      <c r="M16" s="14"/>
      <c r="N16" s="14"/>
    </row>
    <row r="17" customFormat="false" ht="30.75" hidden="false" customHeight="true" outlineLevel="0" collapsed="false">
      <c r="B17" s="11" t="n">
        <v>6</v>
      </c>
      <c r="C17" s="32" t="n">
        <v>46294</v>
      </c>
      <c r="D17" s="33" t="s">
        <v>184</v>
      </c>
      <c r="E17" s="34" t="s">
        <v>298</v>
      </c>
      <c r="F17" s="34" t="s">
        <v>299</v>
      </c>
      <c r="G17" s="34" t="s">
        <v>300</v>
      </c>
      <c r="H17" s="34" t="s">
        <v>198</v>
      </c>
      <c r="I17" s="13" t="n">
        <f aca="false">IF(OR(C17="",C16=""),"",C17-C16)</f>
        <v>23</v>
      </c>
      <c r="J17" s="14" t="str">
        <f aca="false">IF(COUNTA(C17:H17)=0,"",IF(C17="","Falta a data",IF(D17="","Falta o estudo",IF(E17="","Falta o que aconteceu",IF(F17="","Falta o registro",IF(AND(ISNUMBER(I17),I17&lt;0),"Data antes do passo anterior",IF(COUNTA(C18:H18)=0,"OK",IF(G17="","Falta a saída",IF(H17="","Falta o próximo estudo",IF(H17&lt;&gt;D18,"O passo seguinte é de outro estudo","OK"))))))))))</f>
        <v>OK</v>
      </c>
      <c r="K17" s="14"/>
      <c r="L17" s="14"/>
      <c r="M17" s="14"/>
      <c r="N17" s="14"/>
    </row>
    <row r="18" customFormat="false" ht="30.75" hidden="false" customHeight="true" outlineLevel="0" collapsed="false">
      <c r="B18" s="11" t="n">
        <v>7</v>
      </c>
      <c r="C18" s="32" t="n">
        <v>46301</v>
      </c>
      <c r="D18" s="33" t="s">
        <v>198</v>
      </c>
      <c r="E18" s="34" t="s">
        <v>301</v>
      </c>
      <c r="F18" s="34" t="s">
        <v>302</v>
      </c>
      <c r="G18" s="34" t="s">
        <v>303</v>
      </c>
      <c r="H18" s="34" t="s">
        <v>209</v>
      </c>
      <c r="I18" s="13" t="n">
        <f aca="false">IF(OR(C18="",C17=""),"",C18-C17)</f>
        <v>7</v>
      </c>
      <c r="J18" s="14" t="str">
        <f aca="false">IF(COUNTA(C18:H18)=0,"",IF(C18="","Falta a data",IF(D18="","Falta o estudo",IF(E18="","Falta o que aconteceu",IF(F18="","Falta o registro",IF(AND(ISNUMBER(I18),I18&lt;0),"Data antes do passo anterior",IF(COUNTA(C19:H19)=0,"OK",IF(G18="","Falta a saída",IF(H18="","Falta o próximo estudo",IF(H18&lt;&gt;D19,"O passo seguinte é de outro estudo","OK"))))))))))</f>
        <v>OK</v>
      </c>
      <c r="K18" s="14"/>
      <c r="L18" s="14"/>
      <c r="M18" s="14"/>
      <c r="N18" s="14"/>
    </row>
    <row r="19" customFormat="false" ht="42.75" hidden="false" customHeight="true" outlineLevel="0" collapsed="false">
      <c r="B19" s="11" t="n">
        <v>8</v>
      </c>
      <c r="C19" s="32" t="n">
        <v>46370</v>
      </c>
      <c r="D19" s="33" t="s">
        <v>209</v>
      </c>
      <c r="E19" s="34" t="s">
        <v>304</v>
      </c>
      <c r="F19" s="34" t="s">
        <v>305</v>
      </c>
      <c r="G19" s="34" t="s">
        <v>306</v>
      </c>
      <c r="H19" s="34" t="s">
        <v>161</v>
      </c>
      <c r="I19" s="13" t="n">
        <f aca="false">IF(OR(C19="",C18=""),"",C19-C18)</f>
        <v>69</v>
      </c>
      <c r="J19" s="14" t="str">
        <f aca="false">IF(COUNTA(C19:H19)=0,"",IF(C19="","Falta a data",IF(D19="","Falta o estudo",IF(E19="","Falta o que aconteceu",IF(F19="","Falta o registro",IF(AND(ISNUMBER(I19),I19&lt;0),"Data antes do passo anterior",IF(COUNTA(C20:H20)=0,"OK",IF(G19="","Falta a saída",IF(H19="","Falta o próximo estudo",IF(H19&lt;&gt;D20,"O passo seguinte é de outro estudo","OK"))))))))))</f>
        <v>OK</v>
      </c>
      <c r="K19" s="14"/>
      <c r="L19" s="14"/>
      <c r="M19" s="14"/>
      <c r="N19" s="14"/>
    </row>
    <row r="20" customFormat="false" ht="42.75" hidden="false" customHeight="true" outlineLevel="0" collapsed="false">
      <c r="B20" s="11" t="n">
        <v>9</v>
      </c>
      <c r="C20" s="32" t="n">
        <v>46437</v>
      </c>
      <c r="D20" s="33" t="s">
        <v>161</v>
      </c>
      <c r="E20" s="34" t="s">
        <v>307</v>
      </c>
      <c r="F20" s="34" t="s">
        <v>308</v>
      </c>
      <c r="G20" s="34" t="s">
        <v>309</v>
      </c>
      <c r="H20" s="34" t="s">
        <v>150</v>
      </c>
      <c r="I20" s="13" t="n">
        <f aca="false">IF(OR(C20="",C19=""),"",C20-C19)</f>
        <v>67</v>
      </c>
      <c r="J20" s="14" t="str">
        <f aca="false">IF(COUNTA(C20:H20)=0,"",IF(C20="","Falta a data",IF(D20="","Falta o estudo",IF(E20="","Falta o que aconteceu",IF(F20="","Falta o registro",IF(AND(ISNUMBER(I20),I20&lt;0),"Data antes do passo anterior",IF(COUNTA(C21:H21)=0,"OK",IF(G20="","Falta a saída",IF(H20="","Falta o próximo estudo",IF(H20&lt;&gt;D21,"O passo seguinte é de outro estudo","OK"))))))))))</f>
        <v>OK</v>
      </c>
      <c r="K20" s="14"/>
      <c r="L20" s="14"/>
      <c r="M20" s="14"/>
      <c r="N20" s="14"/>
    </row>
    <row r="21" customFormat="false" ht="42.75" hidden="false" customHeight="true" outlineLevel="0" collapsed="false">
      <c r="B21" s="11" t="n">
        <v>10</v>
      </c>
      <c r="C21" s="32" t="n">
        <v>46493</v>
      </c>
      <c r="D21" s="33" t="s">
        <v>150</v>
      </c>
      <c r="E21" s="34" t="s">
        <v>310</v>
      </c>
      <c r="F21" s="34" t="s">
        <v>311</v>
      </c>
      <c r="G21" s="34" t="s">
        <v>312</v>
      </c>
      <c r="H21" s="34" t="s">
        <v>153</v>
      </c>
      <c r="I21" s="13" t="n">
        <f aca="false">IF(OR(C21="",C20=""),"",C21-C20)</f>
        <v>56</v>
      </c>
      <c r="J21" s="14" t="str">
        <f aca="false">IF(COUNTA(C21:H21)=0,"",IF(C21="","Falta a data",IF(D21="","Falta o estudo",IF(E21="","Falta o que aconteceu",IF(F21="","Falta o registro",IF(AND(ISNUMBER(I21),I21&lt;0),"Data antes do passo anterior",IF(COUNTA(C22:H22)=0,"OK",IF(G21="","Falta a saída",IF(H21="","Falta o próximo estudo",IF(H21&lt;&gt;D22,"O passo seguinte é de outro estudo","OK"))))))))))</f>
        <v>OK</v>
      </c>
      <c r="K21" s="14"/>
      <c r="L21" s="14"/>
      <c r="M21" s="14"/>
      <c r="N21" s="14"/>
    </row>
    <row r="22" customFormat="false" ht="42.75" hidden="false" customHeight="true" outlineLevel="0" collapsed="false">
      <c r="B22" s="11" t="n">
        <v>11</v>
      </c>
      <c r="C22" s="32" t="n">
        <v>46538</v>
      </c>
      <c r="D22" s="33" t="s">
        <v>153</v>
      </c>
      <c r="E22" s="34" t="s">
        <v>313</v>
      </c>
      <c r="F22" s="34" t="s">
        <v>314</v>
      </c>
      <c r="G22" s="34" t="s">
        <v>315</v>
      </c>
      <c r="H22" s="34" t="s">
        <v>209</v>
      </c>
      <c r="I22" s="13" t="n">
        <f aca="false">IF(OR(C22="",C21=""),"",C22-C21)</f>
        <v>45</v>
      </c>
      <c r="J22" s="14" t="str">
        <f aca="false">IF(COUNTA(C22:H22)=0,"",IF(C22="","Falta a data",IF(D22="","Falta o estudo",IF(E22="","Falta o que aconteceu",IF(F22="","Falta o registro",IF(AND(ISNUMBER(I22),I22&lt;0),"Data antes do passo anterior",IF(COUNTA(C23:H23)=0,"OK",IF(G22="","Falta a saída",IF(H22="","Falta o próximo estudo",IF(H22&lt;&gt;D23,"O passo seguinte é de outro estudo","OK"))))))))))</f>
        <v>OK</v>
      </c>
      <c r="K22" s="14"/>
      <c r="L22" s="14"/>
      <c r="M22" s="14"/>
      <c r="N22" s="14"/>
    </row>
    <row r="23" customFormat="false" ht="42.75" hidden="false" customHeight="true" outlineLevel="0" collapsed="false">
      <c r="B23" s="11" t="n">
        <v>12</v>
      </c>
      <c r="C23" s="32" t="n">
        <v>46552</v>
      </c>
      <c r="D23" s="33" t="s">
        <v>209</v>
      </c>
      <c r="E23" s="34" t="s">
        <v>316</v>
      </c>
      <c r="F23" s="34" t="s">
        <v>317</v>
      </c>
      <c r="G23" s="34"/>
      <c r="H23" s="34"/>
      <c r="I23" s="13" t="n">
        <f aca="false">IF(OR(C23="",C22=""),"",C23-C22)</f>
        <v>14</v>
      </c>
      <c r="J23" s="14" t="str">
        <f aca="false">IF(COUNTA(C23:H23)=0,"",IF(C23="","Falta a data",IF(D23="","Falta o estudo",IF(E23="","Falta o que aconteceu",IF(F23="","Falta o registro",IF(AND(ISNUMBER(I23),I23&lt;0),"Data antes do passo anterior",IF(COUNTA(C24:H24)=0,"OK",IF(G23="","Falta a saída",IF(H23="","Falta o próximo estudo",IF(H23&lt;&gt;D24,"O passo seguinte é de outro estudo","OK"))))))))))</f>
        <v>OK</v>
      </c>
      <c r="K23" s="14"/>
      <c r="L23" s="14"/>
      <c r="M23" s="14"/>
      <c r="N23" s="14"/>
    </row>
    <row r="25" customFormat="false" ht="21.75" hidden="false" customHeight="true" outlineLevel="0" collapsed="false">
      <c r="B25" s="35" t="s">
        <v>88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30" hidden="false" customHeight="true" outlineLevel="0" collapsed="false">
      <c r="B26" s="13" t="s">
        <v>94</v>
      </c>
      <c r="C26" s="13" t="s">
        <v>95</v>
      </c>
      <c r="D26" s="13" t="s">
        <v>72</v>
      </c>
      <c r="E26" s="13" t="s">
        <v>96</v>
      </c>
      <c r="F26" s="13" t="s">
        <v>97</v>
      </c>
      <c r="G26" s="13" t="s">
        <v>98</v>
      </c>
      <c r="H26" s="13" t="s">
        <v>318</v>
      </c>
      <c r="I26" s="13" t="s">
        <v>100</v>
      </c>
      <c r="J26" s="13" t="s">
        <v>101</v>
      </c>
      <c r="K26" s="13" t="s">
        <v>102</v>
      </c>
      <c r="L26" s="13" t="s">
        <v>103</v>
      </c>
      <c r="M26" s="13" t="s">
        <v>104</v>
      </c>
      <c r="N26" s="13" t="s">
        <v>105</v>
      </c>
      <c r="O26" s="13" t="s">
        <v>106</v>
      </c>
      <c r="P26" s="13" t="s">
        <v>107</v>
      </c>
      <c r="Q26" s="13" t="s">
        <v>108</v>
      </c>
      <c r="R26" s="13" t="s">
        <v>109</v>
      </c>
      <c r="S26" s="13" t="s">
        <v>110</v>
      </c>
      <c r="T26" s="13" t="s">
        <v>111</v>
      </c>
      <c r="U26" s="13" t="s">
        <v>112</v>
      </c>
      <c r="V26" s="13" t="s">
        <v>113</v>
      </c>
      <c r="W26" s="13" t="s">
        <v>114</v>
      </c>
      <c r="X26" s="13" t="s">
        <v>319</v>
      </c>
      <c r="Y26" s="13" t="s">
        <v>115</v>
      </c>
      <c r="Z26" s="13" t="s">
        <v>77</v>
      </c>
      <c r="AA26" s="13" t="s">
        <v>116</v>
      </c>
    </row>
    <row r="27" customFormat="false" ht="15" hidden="false" customHeight="false" outlineLevel="0" collapsed="false">
      <c r="I27" s="10" t="n">
        <v>1</v>
      </c>
      <c r="J27" s="10" t="n">
        <v>2</v>
      </c>
      <c r="K27" s="10" t="n">
        <v>3</v>
      </c>
      <c r="L27" s="10" t="n">
        <v>4</v>
      </c>
      <c r="M27" s="10" t="n">
        <v>5</v>
      </c>
      <c r="N27" s="10" t="n">
        <v>6</v>
      </c>
      <c r="O27" s="10" t="n">
        <v>7</v>
      </c>
      <c r="P27" s="10" t="n">
        <v>8</v>
      </c>
      <c r="Q27" s="10" t="n">
        <v>9</v>
      </c>
      <c r="R27" s="10" t="n">
        <v>10</v>
      </c>
      <c r="S27" s="10" t="n">
        <v>11</v>
      </c>
      <c r="T27" s="10" t="n">
        <v>12</v>
      </c>
    </row>
    <row r="28" customFormat="false" ht="21.75" hidden="false" customHeight="true" outlineLevel="0" collapsed="false">
      <c r="B28" s="11" t="n">
        <v>1</v>
      </c>
      <c r="C28" s="33" t="s">
        <v>320</v>
      </c>
      <c r="D28" s="34" t="s">
        <v>198</v>
      </c>
      <c r="E28" s="36" t="s">
        <v>321</v>
      </c>
      <c r="F28" s="34" t="s">
        <v>280</v>
      </c>
      <c r="G28" s="36" t="s">
        <v>148</v>
      </c>
      <c r="H28" s="37" t="n">
        <v>1</v>
      </c>
      <c r="I28" s="37" t="s">
        <v>322</v>
      </c>
      <c r="J28" s="37" t="s">
        <v>322</v>
      </c>
      <c r="K28" s="37" t="s">
        <v>322</v>
      </c>
      <c r="L28" s="37"/>
      <c r="M28" s="37" t="s">
        <v>322</v>
      </c>
      <c r="N28" s="37" t="s">
        <v>322</v>
      </c>
      <c r="O28" s="37"/>
      <c r="P28" s="37"/>
      <c r="Q28" s="37"/>
      <c r="R28" s="37"/>
      <c r="S28" s="37"/>
      <c r="T28" s="37"/>
      <c r="U28" s="13" t="n">
        <f aca="false">IF(OR(C28="",AA28="",H28="",$E$8=""),"",IF(OR(H28&lt;1,H28&gt;12),"",SUMPRODUCT(($I$27:$T$27&gt;=$H28)*(MOD($I$27:$T$27-$H28,$AA28)=0)*($I$27:$T$27&lt;=$E$8))))</f>
        <v>6</v>
      </c>
      <c r="V28" s="13" t="n">
        <f aca="false">IF(U28="","",SUMPRODUCT(($I$27:$T$27&gt;=$H28)*(MOD($I$27:$T$27-$H28,$AA28)=0)*($I$27:$T$27&lt;=$E$8)*(I28:T28&lt;&gt;"")))</f>
        <v>5</v>
      </c>
      <c r="W28" s="13" t="n">
        <f aca="false">IF(U28="","",U28-V28)</f>
        <v>1</v>
      </c>
      <c r="X28" s="20" t="n">
        <f aca="false">IF(U28="","",SUMPRODUCT((1-($I$27:$T$27&gt;=$H28)*(MOD($I$27:$T$27-$H28,$AA28)=0))*(I28:T28&lt;&gt;"")))</f>
        <v>0</v>
      </c>
      <c r="Y28" s="38" t="str">
        <f aca="false">IF(U28="","",IF(U28=0,"Ainda não começou",IF(W28&gt;0,"Com atraso","Em dia")))</f>
        <v>Com atraso</v>
      </c>
      <c r="Z28" s="14" t="str">
        <f aca="false">IF(C28="","",IF(D28="","Falta o estudo",IF(F28="","Falta o responsável",IF(G28="","Falta a frequência",IF(H28="","Falta o mês de início",IF(OR(H28&lt;1,H28&gt;12),"Mês de início fora de 1 a 12","OK"))))))</f>
        <v>OK</v>
      </c>
      <c r="AA28" s="22" t="n">
        <f aca="false">IF(G28="","",IFERROR(CHOOSE(MATCH(G28,{"Mensal","Bimestral","Trimestral","Semestral","Anual"},0),1,2,3,6,12),""))</f>
        <v>1</v>
      </c>
    </row>
    <row r="29" customFormat="false" ht="30.75" hidden="false" customHeight="true" outlineLevel="0" collapsed="false">
      <c r="B29" s="11" t="n">
        <v>2</v>
      </c>
      <c r="C29" s="33" t="s">
        <v>323</v>
      </c>
      <c r="D29" s="34" t="s">
        <v>146</v>
      </c>
      <c r="E29" s="36" t="s">
        <v>324</v>
      </c>
      <c r="F29" s="34" t="s">
        <v>325</v>
      </c>
      <c r="G29" s="36" t="s">
        <v>148</v>
      </c>
      <c r="H29" s="37" t="n">
        <v>1</v>
      </c>
      <c r="I29" s="37" t="s">
        <v>322</v>
      </c>
      <c r="J29" s="37" t="s">
        <v>322</v>
      </c>
      <c r="K29" s="37" t="s">
        <v>322</v>
      </c>
      <c r="L29" s="37" t="s">
        <v>322</v>
      </c>
      <c r="M29" s="37" t="s">
        <v>322</v>
      </c>
      <c r="N29" s="37" t="s">
        <v>322</v>
      </c>
      <c r="O29" s="37"/>
      <c r="P29" s="37"/>
      <c r="Q29" s="37"/>
      <c r="R29" s="37"/>
      <c r="S29" s="37"/>
      <c r="T29" s="37"/>
      <c r="U29" s="13" t="n">
        <f aca="false">IF(OR(C29="",AA29="",H29="",$E$8=""),"",IF(OR(H29&lt;1,H29&gt;12),"",SUMPRODUCT(($I$27:$T$27&gt;=$H29)*(MOD($I$27:$T$27-$H29,$AA29)=0)*($I$27:$T$27&lt;=$E$8))))</f>
        <v>6</v>
      </c>
      <c r="V29" s="13" t="n">
        <f aca="false">IF(U29="","",SUMPRODUCT(($I$27:$T$27&gt;=$H29)*(MOD($I$27:$T$27-$H29,$AA29)=0)*($I$27:$T$27&lt;=$E$8)*(I29:T29&lt;&gt;"")))</f>
        <v>6</v>
      </c>
      <c r="W29" s="13" t="n">
        <f aca="false">IF(U29="","",U29-V29)</f>
        <v>0</v>
      </c>
      <c r="X29" s="20" t="n">
        <f aca="false">IF(U29="","",SUMPRODUCT((1-($I$27:$T$27&gt;=$H29)*(MOD($I$27:$T$27-$H29,$AA29)=0))*(I29:T29&lt;&gt;"")))</f>
        <v>0</v>
      </c>
      <c r="Y29" s="38" t="str">
        <f aca="false">IF(U29="","",IF(U29=0,"Ainda não começou",IF(W29&gt;0,"Com atraso","Em dia")))</f>
        <v>Em dia</v>
      </c>
      <c r="Z29" s="14" t="str">
        <f aca="false">IF(C29="","",IF(D29="","Falta o estudo",IF(F29="","Falta o responsável",IF(G29="","Falta a frequência",IF(H29="","Falta o mês de início",IF(OR(H29&lt;1,H29&gt;12),"Mês de início fora de 1 a 12","OK"))))))</f>
        <v>OK</v>
      </c>
      <c r="AA29" s="22" t="n">
        <f aca="false">IF(G29="","",IFERROR(CHOOSE(MATCH(G29,{"Mensal","Bimestral","Trimestral","Semestral","Anual"},0),1,2,3,6,12),""))</f>
        <v>1</v>
      </c>
    </row>
    <row r="30" customFormat="false" ht="30.75" hidden="false" customHeight="true" outlineLevel="0" collapsed="false">
      <c r="B30" s="11" t="n">
        <v>3</v>
      </c>
      <c r="C30" s="33" t="s">
        <v>326</v>
      </c>
      <c r="D30" s="34" t="s">
        <v>150</v>
      </c>
      <c r="E30" s="36" t="s">
        <v>327</v>
      </c>
      <c r="F30" s="34" t="s">
        <v>280</v>
      </c>
      <c r="G30" s="36" t="s">
        <v>148</v>
      </c>
      <c r="H30" s="37" t="n">
        <v>1</v>
      </c>
      <c r="I30" s="37" t="s">
        <v>322</v>
      </c>
      <c r="J30" s="37" t="s">
        <v>322</v>
      </c>
      <c r="K30" s="37" t="s">
        <v>322</v>
      </c>
      <c r="L30" s="37" t="s">
        <v>322</v>
      </c>
      <c r="M30" s="37" t="s">
        <v>322</v>
      </c>
      <c r="N30" s="37" t="s">
        <v>322</v>
      </c>
      <c r="O30" s="37"/>
      <c r="P30" s="37"/>
      <c r="Q30" s="37"/>
      <c r="R30" s="37"/>
      <c r="S30" s="37"/>
      <c r="T30" s="37"/>
      <c r="U30" s="13" t="n">
        <f aca="false">IF(OR(C30="",AA30="",H30="",$E$8=""),"",IF(OR(H30&lt;1,H30&gt;12),"",SUMPRODUCT(($I$27:$T$27&gt;=$H30)*(MOD($I$27:$T$27-$H30,$AA30)=0)*($I$27:$T$27&lt;=$E$8))))</f>
        <v>6</v>
      </c>
      <c r="V30" s="13" t="n">
        <f aca="false">IF(U30="","",SUMPRODUCT(($I$27:$T$27&gt;=$H30)*(MOD($I$27:$T$27-$H30,$AA30)=0)*($I$27:$T$27&lt;=$E$8)*(I30:T30&lt;&gt;"")))</f>
        <v>6</v>
      </c>
      <c r="W30" s="13" t="n">
        <f aca="false">IF(U30="","",U30-V30)</f>
        <v>0</v>
      </c>
      <c r="X30" s="20" t="n">
        <f aca="false">IF(U30="","",SUMPRODUCT((1-($I$27:$T$27&gt;=$H30)*(MOD($I$27:$T$27-$H30,$AA30)=0))*(I30:T30&lt;&gt;"")))</f>
        <v>0</v>
      </c>
      <c r="Y30" s="38" t="str">
        <f aca="false">IF(U30="","",IF(U30=0,"Ainda não começou",IF(W30&gt;0,"Com atraso","Em dia")))</f>
        <v>Em dia</v>
      </c>
      <c r="Z30" s="14" t="str">
        <f aca="false">IF(C30="","",IF(D30="","Falta o estudo",IF(F30="","Falta o responsável",IF(G30="","Falta a frequência",IF(H30="","Falta o mês de início",IF(OR(H30&lt;1,H30&gt;12),"Mês de início fora de 1 a 12","OK"))))))</f>
        <v>OK</v>
      </c>
      <c r="AA30" s="22" t="n">
        <f aca="false">IF(G30="","",IFERROR(CHOOSE(MATCH(G30,{"Mensal","Bimestral","Trimestral","Semestral","Anual"},0),1,2,3,6,12),""))</f>
        <v>1</v>
      </c>
    </row>
    <row r="31" customFormat="false" ht="30.75" hidden="false" customHeight="true" outlineLevel="0" collapsed="false">
      <c r="B31" s="11" t="n">
        <v>4</v>
      </c>
      <c r="C31" s="33" t="s">
        <v>328</v>
      </c>
      <c r="D31" s="34" t="s">
        <v>150</v>
      </c>
      <c r="E31" s="36" t="s">
        <v>327</v>
      </c>
      <c r="F31" s="34" t="s">
        <v>325</v>
      </c>
      <c r="G31" s="36" t="s">
        <v>162</v>
      </c>
      <c r="H31" s="37" t="n">
        <v>1</v>
      </c>
      <c r="I31" s="37" t="s">
        <v>322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13" t="n">
        <f aca="false">IF(OR(C31="",AA31="",H31="",$E$8=""),"",IF(OR(H31&lt;1,H31&gt;12),"",SUMPRODUCT(($I$27:$T$27&gt;=$H31)*(MOD($I$27:$T$27-$H31,$AA31)=0)*($I$27:$T$27&lt;=$E$8))))</f>
        <v>2</v>
      </c>
      <c r="V31" s="13" t="n">
        <f aca="false">IF(U31="","",SUMPRODUCT(($I$27:$T$27&gt;=$H31)*(MOD($I$27:$T$27-$H31,$AA31)=0)*($I$27:$T$27&lt;=$E$8)*(I31:T31&lt;&gt;"")))</f>
        <v>1</v>
      </c>
      <c r="W31" s="13" t="n">
        <f aca="false">IF(U31="","",U31-V31)</f>
        <v>1</v>
      </c>
      <c r="X31" s="20" t="n">
        <f aca="false">IF(U31="","",SUMPRODUCT((1-($I$27:$T$27&gt;=$H31)*(MOD($I$27:$T$27-$H31,$AA31)=0))*(I31:T31&lt;&gt;"")))</f>
        <v>0</v>
      </c>
      <c r="Y31" s="38" t="str">
        <f aca="false">IF(U31="","",IF(U31=0,"Ainda não começou",IF(W31&gt;0,"Com atraso","Em dia")))</f>
        <v>Com atraso</v>
      </c>
      <c r="Z31" s="14" t="str">
        <f aca="false">IF(C31="","",IF(D31="","Falta o estudo",IF(F31="","Falta o responsável",IF(G31="","Falta a frequência",IF(H31="","Falta o mês de início",IF(OR(H31&lt;1,H31&gt;12),"Mês de início fora de 1 a 12","OK"))))))</f>
        <v>OK</v>
      </c>
      <c r="AA31" s="22" t="n">
        <f aca="false">IF(G31="","",IFERROR(CHOOSE(MATCH(G31,{"Mensal","Bimestral","Trimestral","Semestral","Anual"},0),1,2,3,6,12),""))</f>
        <v>3</v>
      </c>
    </row>
    <row r="32" customFormat="false" ht="30.75" hidden="false" customHeight="true" outlineLevel="0" collapsed="false">
      <c r="B32" s="11" t="n">
        <v>5</v>
      </c>
      <c r="C32" s="33" t="s">
        <v>329</v>
      </c>
      <c r="D32" s="34" t="s">
        <v>153</v>
      </c>
      <c r="E32" s="36" t="s">
        <v>330</v>
      </c>
      <c r="F32" s="34" t="s">
        <v>280</v>
      </c>
      <c r="G32" s="36" t="s">
        <v>148</v>
      </c>
      <c r="H32" s="37" t="n">
        <v>5</v>
      </c>
      <c r="I32" s="37"/>
      <c r="J32" s="37"/>
      <c r="K32" s="37"/>
      <c r="L32" s="37"/>
      <c r="M32" s="37" t="s">
        <v>322</v>
      </c>
      <c r="N32" s="37" t="s">
        <v>322</v>
      </c>
      <c r="O32" s="37"/>
      <c r="P32" s="37"/>
      <c r="Q32" s="37"/>
      <c r="R32" s="37"/>
      <c r="S32" s="37"/>
      <c r="T32" s="37"/>
      <c r="U32" s="13" t="n">
        <f aca="false">IF(OR(C32="",AA32="",H32="",$E$8=""),"",IF(OR(H32&lt;1,H32&gt;12),"",SUMPRODUCT(($I$27:$T$27&gt;=$H32)*(MOD($I$27:$T$27-$H32,$AA32)=0)*($I$27:$T$27&lt;=$E$8))))</f>
        <v>2</v>
      </c>
      <c r="V32" s="13" t="n">
        <f aca="false">IF(U32="","",SUMPRODUCT(($I$27:$T$27&gt;=$H32)*(MOD($I$27:$T$27-$H32,$AA32)=0)*($I$27:$T$27&lt;=$E$8)*(I32:T32&lt;&gt;"")))</f>
        <v>2</v>
      </c>
      <c r="W32" s="13" t="n">
        <f aca="false">IF(U32="","",U32-V32)</f>
        <v>0</v>
      </c>
      <c r="X32" s="20" t="n">
        <f aca="false">IF(U32="","",SUMPRODUCT((1-($I$27:$T$27&gt;=$H32)*(MOD($I$27:$T$27-$H32,$AA32)=0))*(I32:T32&lt;&gt;"")))</f>
        <v>0</v>
      </c>
      <c r="Y32" s="38" t="str">
        <f aca="false">IF(U32="","",IF(U32=0,"Ainda não começou",IF(W32&gt;0,"Com atraso","Em dia")))</f>
        <v>Em dia</v>
      </c>
      <c r="Z32" s="14" t="str">
        <f aca="false">IF(C32="","",IF(D32="","Falta o estudo",IF(F32="","Falta o responsável",IF(G32="","Falta a frequência",IF(H32="","Falta o mês de início",IF(OR(H32&lt;1,H32&gt;12),"Mês de início fora de 1 a 12","OK"))))))</f>
        <v>OK</v>
      </c>
      <c r="AA32" s="22" t="n">
        <f aca="false">IF(G32="","",IFERROR(CHOOSE(MATCH(G32,{"Mensal","Bimestral","Trimestral","Semestral","Anual"},0),1,2,3,6,12),""))</f>
        <v>1</v>
      </c>
    </row>
    <row r="33" customFormat="false" ht="21.75" hidden="false" customHeight="true" outlineLevel="0" collapsed="false">
      <c r="B33" s="11" t="n">
        <v>6</v>
      </c>
      <c r="C33" s="33" t="s">
        <v>331</v>
      </c>
      <c r="D33" s="34" t="s">
        <v>214</v>
      </c>
      <c r="E33" s="36" t="s">
        <v>332</v>
      </c>
      <c r="F33" s="34" t="s">
        <v>333</v>
      </c>
      <c r="G33" s="36" t="s">
        <v>162</v>
      </c>
      <c r="H33" s="37" t="n">
        <v>2</v>
      </c>
      <c r="I33" s="37"/>
      <c r="J33" s="37" t="s">
        <v>322</v>
      </c>
      <c r="K33" s="37"/>
      <c r="L33" s="37"/>
      <c r="M33" s="37" t="s">
        <v>322</v>
      </c>
      <c r="N33" s="37"/>
      <c r="O33" s="37"/>
      <c r="P33" s="37"/>
      <c r="Q33" s="37"/>
      <c r="R33" s="37"/>
      <c r="S33" s="37"/>
      <c r="T33" s="37"/>
      <c r="U33" s="13" t="n">
        <f aca="false">IF(OR(C33="",AA33="",H33="",$E$8=""),"",IF(OR(H33&lt;1,H33&gt;12),"",SUMPRODUCT(($I$27:$T$27&gt;=$H33)*(MOD($I$27:$T$27-$H33,$AA33)=0)*($I$27:$T$27&lt;=$E$8))))</f>
        <v>2</v>
      </c>
      <c r="V33" s="13" t="n">
        <f aca="false">IF(U33="","",SUMPRODUCT(($I$27:$T$27&gt;=$H33)*(MOD($I$27:$T$27-$H33,$AA33)=0)*($I$27:$T$27&lt;=$E$8)*(I33:T33&lt;&gt;"")))</f>
        <v>2</v>
      </c>
      <c r="W33" s="13" t="n">
        <f aca="false">IF(U33="","",U33-V33)</f>
        <v>0</v>
      </c>
      <c r="X33" s="20" t="n">
        <f aca="false">IF(U33="","",SUMPRODUCT((1-($I$27:$T$27&gt;=$H33)*(MOD($I$27:$T$27-$H33,$AA33)=0))*(I33:T33&lt;&gt;"")))</f>
        <v>0</v>
      </c>
      <c r="Y33" s="38" t="str">
        <f aca="false">IF(U33="","",IF(U33=0,"Ainda não começou",IF(W33&gt;0,"Com atraso","Em dia")))</f>
        <v>Em dia</v>
      </c>
      <c r="Z33" s="14" t="str">
        <f aca="false">IF(C33="","",IF(D33="","Falta o estudo",IF(F33="","Falta o responsável",IF(G33="","Falta a frequência",IF(H33="","Falta o mês de início",IF(OR(H33&lt;1,H33&gt;12),"Mês de início fora de 1 a 12","OK"))))))</f>
        <v>OK</v>
      </c>
      <c r="AA33" s="22" t="n">
        <f aca="false">IF(G33="","",IFERROR(CHOOSE(MATCH(G33,{"Mensal","Bimestral","Trimestral","Semestral","Anual"},0),1,2,3,6,12),""))</f>
        <v>3</v>
      </c>
    </row>
    <row r="34" customFormat="false" ht="21.75" hidden="false" customHeight="true" outlineLevel="0" collapsed="false">
      <c r="B34" s="11" t="n">
        <v>7</v>
      </c>
      <c r="C34" s="33" t="s">
        <v>334</v>
      </c>
      <c r="D34" s="34" t="s">
        <v>161</v>
      </c>
      <c r="E34" s="36" t="s">
        <v>335</v>
      </c>
      <c r="F34" s="34" t="s">
        <v>280</v>
      </c>
      <c r="G34" s="36" t="s">
        <v>162</v>
      </c>
      <c r="H34" s="37" t="n">
        <v>2</v>
      </c>
      <c r="I34" s="37"/>
      <c r="J34" s="37" t="s">
        <v>322</v>
      </c>
      <c r="K34" s="37"/>
      <c r="L34" s="37"/>
      <c r="M34" s="37" t="s">
        <v>322</v>
      </c>
      <c r="N34" s="37"/>
      <c r="O34" s="37"/>
      <c r="P34" s="37"/>
      <c r="Q34" s="37"/>
      <c r="R34" s="37"/>
      <c r="S34" s="37"/>
      <c r="T34" s="37"/>
      <c r="U34" s="13" t="n">
        <f aca="false">IF(OR(C34="",AA34="",H34="",$E$8=""),"",IF(OR(H34&lt;1,H34&gt;12),"",SUMPRODUCT(($I$27:$T$27&gt;=$H34)*(MOD($I$27:$T$27-$H34,$AA34)=0)*($I$27:$T$27&lt;=$E$8))))</f>
        <v>2</v>
      </c>
      <c r="V34" s="13" t="n">
        <f aca="false">IF(U34="","",SUMPRODUCT(($I$27:$T$27&gt;=$H34)*(MOD($I$27:$T$27-$H34,$AA34)=0)*($I$27:$T$27&lt;=$E$8)*(I34:T34&lt;&gt;"")))</f>
        <v>2</v>
      </c>
      <c r="W34" s="13" t="n">
        <f aca="false">IF(U34="","",U34-V34)</f>
        <v>0</v>
      </c>
      <c r="X34" s="20" t="n">
        <f aca="false">IF(U34="","",SUMPRODUCT((1-($I$27:$T$27&gt;=$H34)*(MOD($I$27:$T$27-$H34,$AA34)=0))*(I34:T34&lt;&gt;"")))</f>
        <v>0</v>
      </c>
      <c r="Y34" s="38" t="str">
        <f aca="false">IF(U34="","",IF(U34=0,"Ainda não começou",IF(W34&gt;0,"Com atraso","Em dia")))</f>
        <v>Em dia</v>
      </c>
      <c r="Z34" s="14" t="str">
        <f aca="false">IF(C34="","",IF(D34="","Falta o estudo",IF(F34="","Falta o responsável",IF(G34="","Falta a frequência",IF(H34="","Falta o mês de início",IF(OR(H34&lt;1,H34&gt;12),"Mês de início fora de 1 a 12","OK"))))))</f>
        <v>OK</v>
      </c>
      <c r="AA34" s="22" t="n">
        <f aca="false">IF(G34="","",IFERROR(CHOOSE(MATCH(G34,{"Mensal","Bimestral","Trimestral","Semestral","Anual"},0),1,2,3,6,12),""))</f>
        <v>3</v>
      </c>
    </row>
    <row r="35" customFormat="false" ht="21.75" hidden="false" customHeight="true" outlineLevel="0" collapsed="false">
      <c r="B35" s="11" t="n">
        <v>8</v>
      </c>
      <c r="C35" s="33" t="s">
        <v>336</v>
      </c>
      <c r="D35" s="34" t="s">
        <v>184</v>
      </c>
      <c r="E35" s="36" t="s">
        <v>337</v>
      </c>
      <c r="F35" s="34" t="s">
        <v>280</v>
      </c>
      <c r="G35" s="36" t="s">
        <v>162</v>
      </c>
      <c r="H35" s="37" t="n">
        <v>1</v>
      </c>
      <c r="I35" s="37" t="s">
        <v>322</v>
      </c>
      <c r="J35" s="37"/>
      <c r="K35" s="37"/>
      <c r="L35" s="37" t="s">
        <v>322</v>
      </c>
      <c r="M35" s="37"/>
      <c r="N35" s="37"/>
      <c r="O35" s="37"/>
      <c r="P35" s="37"/>
      <c r="Q35" s="37"/>
      <c r="R35" s="37"/>
      <c r="S35" s="37"/>
      <c r="T35" s="37"/>
      <c r="U35" s="13" t="n">
        <f aca="false">IF(OR(C35="",AA35="",H35="",$E$8=""),"",IF(OR(H35&lt;1,H35&gt;12),"",SUMPRODUCT(($I$27:$T$27&gt;=$H35)*(MOD($I$27:$T$27-$H35,$AA35)=0)*($I$27:$T$27&lt;=$E$8))))</f>
        <v>2</v>
      </c>
      <c r="V35" s="13" t="n">
        <f aca="false">IF(U35="","",SUMPRODUCT(($I$27:$T$27&gt;=$H35)*(MOD($I$27:$T$27-$H35,$AA35)=0)*($I$27:$T$27&lt;=$E$8)*(I35:T35&lt;&gt;"")))</f>
        <v>2</v>
      </c>
      <c r="W35" s="13" t="n">
        <f aca="false">IF(U35="","",U35-V35)</f>
        <v>0</v>
      </c>
      <c r="X35" s="20" t="n">
        <f aca="false">IF(U35="","",SUMPRODUCT((1-($I$27:$T$27&gt;=$H35)*(MOD($I$27:$T$27-$H35,$AA35)=0))*(I35:T35&lt;&gt;"")))</f>
        <v>0</v>
      </c>
      <c r="Y35" s="38" t="str">
        <f aca="false">IF(U35="","",IF(U35=0,"Ainda não começou",IF(W35&gt;0,"Com atraso","Em dia")))</f>
        <v>Em dia</v>
      </c>
      <c r="Z35" s="14" t="str">
        <f aca="false">IF(C35="","",IF(D35="","Falta o estudo",IF(F35="","Falta o responsável",IF(G35="","Falta a frequência",IF(H35="","Falta o mês de início",IF(OR(H35&lt;1,H35&gt;12),"Mês de início fora de 1 a 12","OK"))))))</f>
        <v>OK</v>
      </c>
      <c r="AA35" s="22" t="n">
        <f aca="false">IF(G35="","",IFERROR(CHOOSE(MATCH(G35,{"Mensal","Bimestral","Trimestral","Semestral","Anual"},0),1,2,3,6,12),""))</f>
        <v>3</v>
      </c>
    </row>
    <row r="36" customFormat="false" ht="30.75" hidden="false" customHeight="true" outlineLevel="0" collapsed="false">
      <c r="B36" s="11" t="n">
        <v>9</v>
      </c>
      <c r="C36" s="33" t="s">
        <v>338</v>
      </c>
      <c r="D36" s="34" t="s">
        <v>212</v>
      </c>
      <c r="E36" s="36" t="s">
        <v>339</v>
      </c>
      <c r="F36" s="34" t="s">
        <v>280</v>
      </c>
      <c r="G36" s="36" t="s">
        <v>144</v>
      </c>
      <c r="H36" s="37" t="n">
        <v>2</v>
      </c>
      <c r="I36" s="37"/>
      <c r="J36" s="37" t="s">
        <v>322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13" t="n">
        <f aca="false">IF(OR(C36="",AA36="",H36="",$E$8=""),"",IF(OR(H36&lt;1,H36&gt;12),"",SUMPRODUCT(($I$27:$T$27&gt;=$H36)*(MOD($I$27:$T$27-$H36,$AA36)=0)*($I$27:$T$27&lt;=$E$8))))</f>
        <v>1</v>
      </c>
      <c r="V36" s="13" t="n">
        <f aca="false">IF(U36="","",SUMPRODUCT(($I$27:$T$27&gt;=$H36)*(MOD($I$27:$T$27-$H36,$AA36)=0)*($I$27:$T$27&lt;=$E$8)*(I36:T36&lt;&gt;"")))</f>
        <v>1</v>
      </c>
      <c r="W36" s="13" t="n">
        <f aca="false">IF(U36="","",U36-V36)</f>
        <v>0</v>
      </c>
      <c r="X36" s="20" t="n">
        <f aca="false">IF(U36="","",SUMPRODUCT((1-($I$27:$T$27&gt;=$H36)*(MOD($I$27:$T$27-$H36,$AA36)=0))*(I36:T36&lt;&gt;"")))</f>
        <v>0</v>
      </c>
      <c r="Y36" s="38" t="str">
        <f aca="false">IF(U36="","",IF(U36=0,"Ainda não começou",IF(W36&gt;0,"Com atraso","Em dia")))</f>
        <v>Em dia</v>
      </c>
      <c r="Z36" s="14" t="str">
        <f aca="false">IF(C36="","",IF(D36="","Falta o estudo",IF(F36="","Falta o responsável",IF(G36="","Falta a frequência",IF(H36="","Falta o mês de início",IF(OR(H36&lt;1,H36&gt;12),"Mês de início fora de 1 a 12","OK"))))))</f>
        <v>OK</v>
      </c>
      <c r="AA36" s="22" t="n">
        <f aca="false">IF(G36="","",IFERROR(CHOOSE(MATCH(G36,{"Mensal","Bimestral","Trimestral","Semestral","Anual"},0),1,2,3,6,12),""))</f>
        <v>6</v>
      </c>
    </row>
    <row r="37" customFormat="false" ht="21.75" hidden="false" customHeight="true" outlineLevel="0" collapsed="false">
      <c r="B37" s="11" t="n">
        <v>10</v>
      </c>
      <c r="C37" s="33" t="s">
        <v>340</v>
      </c>
      <c r="D37" s="34" t="s">
        <v>177</v>
      </c>
      <c r="E37" s="36" t="s">
        <v>341</v>
      </c>
      <c r="F37" s="34" t="s">
        <v>280</v>
      </c>
      <c r="G37" s="36" t="s">
        <v>144</v>
      </c>
      <c r="H37" s="37" t="n">
        <v>4</v>
      </c>
      <c r="I37" s="37"/>
      <c r="J37" s="37"/>
      <c r="K37" s="37"/>
      <c r="L37" s="37" t="s">
        <v>322</v>
      </c>
      <c r="M37" s="37"/>
      <c r="N37" s="37"/>
      <c r="O37" s="37"/>
      <c r="P37" s="37"/>
      <c r="Q37" s="37"/>
      <c r="R37" s="37"/>
      <c r="S37" s="37"/>
      <c r="T37" s="37"/>
      <c r="U37" s="13" t="n">
        <f aca="false">IF(OR(C37="",AA37="",H37="",$E$8=""),"",IF(OR(H37&lt;1,H37&gt;12),"",SUMPRODUCT(($I$27:$T$27&gt;=$H37)*(MOD($I$27:$T$27-$H37,$AA37)=0)*($I$27:$T$27&lt;=$E$8))))</f>
        <v>1</v>
      </c>
      <c r="V37" s="13" t="n">
        <f aca="false">IF(U37="","",SUMPRODUCT(($I$27:$T$27&gt;=$H37)*(MOD($I$27:$T$27-$H37,$AA37)=0)*($I$27:$T$27&lt;=$E$8)*(I37:T37&lt;&gt;"")))</f>
        <v>1</v>
      </c>
      <c r="W37" s="13" t="n">
        <f aca="false">IF(U37="","",U37-V37)</f>
        <v>0</v>
      </c>
      <c r="X37" s="20" t="n">
        <f aca="false">IF(U37="","",SUMPRODUCT((1-($I$27:$T$27&gt;=$H37)*(MOD($I$27:$T$27-$H37,$AA37)=0))*(I37:T37&lt;&gt;"")))</f>
        <v>0</v>
      </c>
      <c r="Y37" s="38" t="str">
        <f aca="false">IF(U37="","",IF(U37=0,"Ainda não começou",IF(W37&gt;0,"Com atraso","Em dia")))</f>
        <v>Em dia</v>
      </c>
      <c r="Z37" s="14" t="str">
        <f aca="false">IF(C37="","",IF(D37="","Falta o estudo",IF(F37="","Falta o responsável",IF(G37="","Falta a frequência",IF(H37="","Falta o mês de início",IF(OR(H37&lt;1,H37&gt;12),"Mês de início fora de 1 a 12","OK"))))))</f>
        <v>OK</v>
      </c>
      <c r="AA37" s="22" t="n">
        <f aca="false">IF(G37="","",IFERROR(CHOOSE(MATCH(G37,{"Mensal","Bimestral","Trimestral","Semestral","Anual"},0),1,2,3,6,12),""))</f>
        <v>6</v>
      </c>
    </row>
    <row r="38" customFormat="false" ht="21.75" hidden="false" customHeight="true" outlineLevel="0" collapsed="false">
      <c r="B38" s="11" t="n">
        <v>11</v>
      </c>
      <c r="C38" s="33" t="s">
        <v>202</v>
      </c>
      <c r="D38" s="34" t="s">
        <v>202</v>
      </c>
      <c r="E38" s="36" t="s">
        <v>342</v>
      </c>
      <c r="F38" s="34" t="s">
        <v>333</v>
      </c>
      <c r="G38" s="36" t="s">
        <v>144</v>
      </c>
      <c r="H38" s="37" t="n">
        <v>3</v>
      </c>
      <c r="I38" s="37"/>
      <c r="J38" s="37"/>
      <c r="K38" s="37" t="s">
        <v>322</v>
      </c>
      <c r="L38" s="37"/>
      <c r="M38" s="37"/>
      <c r="N38" s="37"/>
      <c r="O38" s="37"/>
      <c r="P38" s="37"/>
      <c r="Q38" s="37"/>
      <c r="R38" s="37"/>
      <c r="S38" s="37"/>
      <c r="T38" s="37"/>
      <c r="U38" s="13" t="n">
        <f aca="false">IF(OR(C38="",AA38="",H38="",$E$8=""),"",IF(OR(H38&lt;1,H38&gt;12),"",SUMPRODUCT(($I$27:$T$27&gt;=$H38)*(MOD($I$27:$T$27-$H38,$AA38)=0)*($I$27:$T$27&lt;=$E$8))))</f>
        <v>1</v>
      </c>
      <c r="V38" s="13" t="n">
        <f aca="false">IF(U38="","",SUMPRODUCT(($I$27:$T$27&gt;=$H38)*(MOD($I$27:$T$27-$H38,$AA38)=0)*($I$27:$T$27&lt;=$E$8)*(I38:T38&lt;&gt;"")))</f>
        <v>1</v>
      </c>
      <c r="W38" s="13" t="n">
        <f aca="false">IF(U38="","",U38-V38)</f>
        <v>0</v>
      </c>
      <c r="X38" s="20" t="n">
        <f aca="false">IF(U38="","",SUMPRODUCT((1-($I$27:$T$27&gt;=$H38)*(MOD($I$27:$T$27-$H38,$AA38)=0))*(I38:T38&lt;&gt;"")))</f>
        <v>0</v>
      </c>
      <c r="Y38" s="38" t="str">
        <f aca="false">IF(U38="","",IF(U38=0,"Ainda não começou",IF(W38&gt;0,"Com atraso","Em dia")))</f>
        <v>Em dia</v>
      </c>
      <c r="Z38" s="14" t="str">
        <f aca="false">IF(C38="","",IF(D38="","Falta o estudo",IF(F38="","Falta o responsável",IF(G38="","Falta a frequência",IF(H38="","Falta o mês de início",IF(OR(H38&lt;1,H38&gt;12),"Mês de início fora de 1 a 12","OK"))))))</f>
        <v>OK</v>
      </c>
      <c r="AA38" s="22" t="n">
        <f aca="false">IF(G38="","",IFERROR(CHOOSE(MATCH(G38,{"Mensal","Bimestral","Trimestral","Semestral","Anual"},0),1,2,3,6,12),""))</f>
        <v>6</v>
      </c>
    </row>
    <row r="39" customFormat="false" ht="30.75" hidden="false" customHeight="true" outlineLevel="0" collapsed="false">
      <c r="B39" s="11" t="n">
        <v>12</v>
      </c>
      <c r="C39" s="33" t="s">
        <v>143</v>
      </c>
      <c r="D39" s="34" t="s">
        <v>142</v>
      </c>
      <c r="E39" s="36" t="s">
        <v>343</v>
      </c>
      <c r="F39" s="34" t="s">
        <v>280</v>
      </c>
      <c r="G39" s="36" t="s">
        <v>144</v>
      </c>
      <c r="H39" s="37" t="n">
        <v>1</v>
      </c>
      <c r="I39" s="37" t="s">
        <v>322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13" t="n">
        <f aca="false">IF(OR(C39="",AA39="",H39="",$E$8=""),"",IF(OR(H39&lt;1,H39&gt;12),"",SUMPRODUCT(($I$27:$T$27&gt;=$H39)*(MOD($I$27:$T$27-$H39,$AA39)=0)*($I$27:$T$27&lt;=$E$8))))</f>
        <v>1</v>
      </c>
      <c r="V39" s="13" t="n">
        <f aca="false">IF(U39="","",SUMPRODUCT(($I$27:$T$27&gt;=$H39)*(MOD($I$27:$T$27-$H39,$AA39)=0)*($I$27:$T$27&lt;=$E$8)*(I39:T39&lt;&gt;"")))</f>
        <v>1</v>
      </c>
      <c r="W39" s="13" t="n">
        <f aca="false">IF(U39="","",U39-V39)</f>
        <v>0</v>
      </c>
      <c r="X39" s="20" t="n">
        <f aca="false">IF(U39="","",SUMPRODUCT((1-($I$27:$T$27&gt;=$H39)*(MOD($I$27:$T$27-$H39,$AA39)=0))*(I39:T39&lt;&gt;"")))</f>
        <v>0</v>
      </c>
      <c r="Y39" s="38" t="str">
        <f aca="false">IF(U39="","",IF(U39=0,"Ainda não começou",IF(W39&gt;0,"Com atraso","Em dia")))</f>
        <v>Em dia</v>
      </c>
      <c r="Z39" s="14" t="str">
        <f aca="false">IF(C39="","",IF(D39="","Falta o estudo",IF(F39="","Falta o responsável",IF(G39="","Falta a frequência",IF(H39="","Falta o mês de início",IF(OR(H39&lt;1,H39&gt;12),"Mês de início fora de 1 a 12","OK"))))))</f>
        <v>OK</v>
      </c>
      <c r="AA39" s="22" t="n">
        <f aca="false">IF(G39="","",IFERROR(CHOOSE(MATCH(G39,{"Mensal","Bimestral","Trimestral","Semestral","Anual"},0),1,2,3,6,12),""))</f>
        <v>6</v>
      </c>
    </row>
    <row r="40" customFormat="false" ht="21.75" hidden="false" customHeight="true" outlineLevel="0" collapsed="false">
      <c r="B40" s="11" t="n">
        <v>13</v>
      </c>
      <c r="C40" s="33" t="s">
        <v>210</v>
      </c>
      <c r="D40" s="34" t="s">
        <v>209</v>
      </c>
      <c r="E40" s="36" t="s">
        <v>344</v>
      </c>
      <c r="F40" s="34" t="s">
        <v>345</v>
      </c>
      <c r="G40" s="36" t="s">
        <v>144</v>
      </c>
      <c r="H40" s="37" t="n">
        <v>6</v>
      </c>
      <c r="I40" s="37"/>
      <c r="J40" s="37"/>
      <c r="K40" s="37"/>
      <c r="L40" s="37"/>
      <c r="M40" s="37"/>
      <c r="N40" s="37" t="s">
        <v>322</v>
      </c>
      <c r="O40" s="37"/>
      <c r="P40" s="37"/>
      <c r="Q40" s="37"/>
      <c r="R40" s="37"/>
      <c r="S40" s="37"/>
      <c r="T40" s="37"/>
      <c r="U40" s="13" t="n">
        <f aca="false">IF(OR(C40="",AA40="",H40="",$E$8=""),"",IF(OR(H40&lt;1,H40&gt;12),"",SUMPRODUCT(($I$27:$T$27&gt;=$H40)*(MOD($I$27:$T$27-$H40,$AA40)=0)*($I$27:$T$27&lt;=$E$8))))</f>
        <v>1</v>
      </c>
      <c r="V40" s="13" t="n">
        <f aca="false">IF(U40="","",SUMPRODUCT(($I$27:$T$27&gt;=$H40)*(MOD($I$27:$T$27-$H40,$AA40)=0)*($I$27:$T$27&lt;=$E$8)*(I40:T40&lt;&gt;"")))</f>
        <v>1</v>
      </c>
      <c r="W40" s="13" t="n">
        <f aca="false">IF(U40="","",U40-V40)</f>
        <v>0</v>
      </c>
      <c r="X40" s="20" t="n">
        <f aca="false">IF(U40="","",SUMPRODUCT((1-($I$27:$T$27&gt;=$H40)*(MOD($I$27:$T$27-$H40,$AA40)=0))*(I40:T40&lt;&gt;"")))</f>
        <v>0</v>
      </c>
      <c r="Y40" s="38" t="str">
        <f aca="false">IF(U40="","",IF(U40=0,"Ainda não começou",IF(W40&gt;0,"Com atraso","Em dia")))</f>
        <v>Em dia</v>
      </c>
      <c r="Z40" s="14" t="str">
        <f aca="false">IF(C40="","",IF(D40="","Falta o estudo",IF(F40="","Falta o responsável",IF(G40="","Falta a frequência",IF(H40="","Falta o mês de início",IF(OR(H40&lt;1,H40&gt;12),"Mês de início fora de 1 a 12","OK"))))))</f>
        <v>OK</v>
      </c>
      <c r="AA40" s="22" t="n">
        <f aca="false">IF(G40="","",IFERROR(CHOOSE(MATCH(G40,{"Mensal","Bimestral","Trimestral","Semestral","Anual"},0),1,2,3,6,12),""))</f>
        <v>6</v>
      </c>
    </row>
    <row r="41" customFormat="false" ht="30.75" hidden="false" customHeight="true" outlineLevel="0" collapsed="false">
      <c r="B41" s="11" t="n">
        <v>14</v>
      </c>
      <c r="C41" s="33" t="s">
        <v>346</v>
      </c>
      <c r="D41" s="34" t="s">
        <v>140</v>
      </c>
      <c r="E41" s="36" t="s">
        <v>347</v>
      </c>
      <c r="F41" s="34" t="s">
        <v>280</v>
      </c>
      <c r="G41" s="36" t="s">
        <v>132</v>
      </c>
      <c r="H41" s="37" t="n">
        <v>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13" t="n">
        <f aca="false">IF(OR(C41="",AA41="",H41="",$E$8=""),"",IF(OR(H41&lt;1,H41&gt;12),"",SUMPRODUCT(($I$27:$T$27&gt;=$H41)*(MOD($I$27:$T$27-$H41,$AA41)=0)*($I$27:$T$27&lt;=$E$8))))</f>
        <v>1</v>
      </c>
      <c r="V41" s="13" t="n">
        <f aca="false">IF(U41="","",SUMPRODUCT(($I$27:$T$27&gt;=$H41)*(MOD($I$27:$T$27-$H41,$AA41)=0)*($I$27:$T$27&lt;=$E$8)*(I41:T41&lt;&gt;"")))</f>
        <v>0</v>
      </c>
      <c r="W41" s="13" t="n">
        <f aca="false">IF(U41="","",U41-V41)</f>
        <v>1</v>
      </c>
      <c r="X41" s="20" t="n">
        <f aca="false">IF(U41="","",SUMPRODUCT((1-($I$27:$T$27&gt;=$H41)*(MOD($I$27:$T$27-$H41,$AA41)=0))*(I41:T41&lt;&gt;"")))</f>
        <v>0</v>
      </c>
      <c r="Y41" s="38" t="str">
        <f aca="false">IF(U41="","",IF(U41=0,"Ainda não começou",IF(W41&gt;0,"Com atraso","Em dia")))</f>
        <v>Com atraso</v>
      </c>
      <c r="Z41" s="14" t="str">
        <f aca="false">IF(C41="","",IF(D41="","Falta o estudo",IF(F41="","Falta o responsável",IF(G41="","Falta a frequência",IF(H41="","Falta o mês de início",IF(OR(H41&lt;1,H41&gt;12),"Mês de início fora de 1 a 12","OK"))))))</f>
        <v>OK</v>
      </c>
      <c r="AA41" s="22" t="n">
        <f aca="false">IF(G41="","",IFERROR(CHOOSE(MATCH(G41,{"Mensal","Bimestral","Trimestral","Semestral","Anual"},0),1,2,3,6,12),""))</f>
        <v>12</v>
      </c>
    </row>
    <row r="42" customFormat="false" ht="21.75" hidden="false" customHeight="true" outlineLevel="0" collapsed="false">
      <c r="B42" s="11" t="n">
        <v>15</v>
      </c>
      <c r="C42" s="33" t="s">
        <v>348</v>
      </c>
      <c r="D42" s="34" t="s">
        <v>159</v>
      </c>
      <c r="E42" s="36" t="s">
        <v>349</v>
      </c>
      <c r="F42" s="34" t="s">
        <v>345</v>
      </c>
      <c r="G42" s="36" t="s">
        <v>132</v>
      </c>
      <c r="H42" s="37" t="n">
        <v>9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13" t="n">
        <f aca="false">IF(OR(C42="",AA42="",H42="",$E$8=""),"",IF(OR(H42&lt;1,H42&gt;12),"",SUMPRODUCT(($I$27:$T$27&gt;=$H42)*(MOD($I$27:$T$27-$H42,$AA42)=0)*($I$27:$T$27&lt;=$E$8))))</f>
        <v>0</v>
      </c>
      <c r="V42" s="13" t="n">
        <f aca="false">IF(U42="","",SUMPRODUCT(($I$27:$T$27&gt;=$H42)*(MOD($I$27:$T$27-$H42,$AA42)=0)*($I$27:$T$27&lt;=$E$8)*(I42:T42&lt;&gt;"")))</f>
        <v>0</v>
      </c>
      <c r="W42" s="13" t="n">
        <f aca="false">IF(U42="","",U42-V42)</f>
        <v>0</v>
      </c>
      <c r="X42" s="20" t="n">
        <f aca="false">IF(U42="","",SUMPRODUCT((1-($I$27:$T$27&gt;=$H42)*(MOD($I$27:$T$27-$H42,$AA42)=0))*(I42:T42&lt;&gt;"")))</f>
        <v>0</v>
      </c>
      <c r="Y42" s="38" t="str">
        <f aca="false">IF(U42="","",IF(U42=0,"Ainda não começou",IF(W42&gt;0,"Com atraso","Em dia")))</f>
        <v>Ainda não começou</v>
      </c>
      <c r="Z42" s="14" t="str">
        <f aca="false">IF(C42="","",IF(D42="","Falta o estudo",IF(F42="","Falta o responsável",IF(G42="","Falta a frequência",IF(H42="","Falta o mês de início",IF(OR(H42&lt;1,H42&gt;12),"Mês de início fora de 1 a 12","OK"))))))</f>
        <v>OK</v>
      </c>
      <c r="AA42" s="22" t="n">
        <f aca="false">IF(G42="","",IFERROR(CHOOSE(MATCH(G42,{"Mensal","Bimestral","Trimestral","Semestral","Anual"},0),1,2,3,6,12),""))</f>
        <v>12</v>
      </c>
    </row>
    <row r="44" customFormat="false" ht="21.75" hidden="false" customHeight="true" outlineLevel="0" collapsed="false">
      <c r="B44" s="15" t="s">
        <v>84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21.75" hidden="false" customHeight="true" outlineLevel="0" collapsed="false">
      <c r="B45" s="16" t="s">
        <v>68</v>
      </c>
      <c r="C45" s="16"/>
      <c r="D45" s="16"/>
      <c r="E45" s="17" t="str">
        <f aca="false">COUNTA(D12:D23)&amp;" passos, "&amp;SUMPRODUCT((D12:D23&lt;&gt;"")/COUNTIF(D12:D23,D12:D23&amp;""))&amp;" estudos, "&amp;(MAX(C12:C23)-MIN(C12:C23))&amp;" dias; maior intervalo de "&amp;MAX(I12:I23)&amp;" dias"</f>
        <v>12 passos, 10 estudos, 364 dias; maior intervalo de 69 dias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customFormat="false" ht="21.75" hidden="false" customHeight="true" outlineLevel="0" collapsed="false">
      <c r="B46" s="16" t="s">
        <v>46</v>
      </c>
      <c r="C46" s="16"/>
      <c r="D46" s="16"/>
      <c r="E46" s="17" t="str">
        <f aca="false">SUM(V28:V42)&amp;" de "&amp;SUM(U28:U42)&amp;" feitas até o mês da leitura, "&amp;SUM(W28:W42)&amp;" atrasadas, "&amp;SUM(X28:X42)&amp;" fora do plano"</f>
        <v>31 de 34 feitas até o mês da leitura, 3 atrasadas, 0 fora do plano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customFormat="false" ht="21.75" hidden="false" customHeight="true" outlineLevel="0" collapsed="false">
      <c r="B47" s="16" t="s">
        <v>122</v>
      </c>
      <c r="C47" s="16"/>
      <c r="D47" s="16"/>
      <c r="E47" s="17" t="str">
        <f aca="false">COUNTIF(Y28:Y42,"Em dia")&amp;" em dia"&amp;", "&amp;COUNTIF(Y28:Y42,"Com atraso")&amp;" com atraso"&amp;", "&amp;COUNTIF(Y28:Y42,"Ainda não começou")&amp;" ainda não começou"</f>
        <v>11 em dia, 3 com atraso, 1 ainda não começou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customFormat="false" ht="21.75" hidden="false" customHeight="true" outlineLevel="0" collapsed="false">
      <c r="B48" s="16" t="s">
        <v>350</v>
      </c>
      <c r="C48" s="16"/>
      <c r="D48" s="16"/>
      <c r="E48" s="17" t="n">
        <f aca="false">SUMPRODUCT((J12:J23&lt;&gt;"OK")*1)+SUMPRODUCT((Z28:Z42&lt;&gt;"OK")*1)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</sheetData>
  <mergeCells count="35">
    <mergeCell ref="B1:Z1"/>
    <mergeCell ref="B2:Z2"/>
    <mergeCell ref="B4:C4"/>
    <mergeCell ref="D4:Z4"/>
    <mergeCell ref="B5:C5"/>
    <mergeCell ref="D5:Z5"/>
    <mergeCell ref="B6:C6"/>
    <mergeCell ref="D6:Z6"/>
    <mergeCell ref="B7:C7"/>
    <mergeCell ref="D7:Z7"/>
    <mergeCell ref="B8:C8"/>
    <mergeCell ref="B10:Z10"/>
    <mergeCell ref="J11:N11"/>
    <mergeCell ref="J12:N12"/>
    <mergeCell ref="J13:N13"/>
    <mergeCell ref="J14:N14"/>
    <mergeCell ref="J15:N15"/>
    <mergeCell ref="J16:N16"/>
    <mergeCell ref="J17:N17"/>
    <mergeCell ref="J18:N18"/>
    <mergeCell ref="J19:N19"/>
    <mergeCell ref="J20:N20"/>
    <mergeCell ref="J21:N21"/>
    <mergeCell ref="J22:N22"/>
    <mergeCell ref="J23:N23"/>
    <mergeCell ref="B25:Z25"/>
    <mergeCell ref="B44:Z44"/>
    <mergeCell ref="B45:D45"/>
    <mergeCell ref="E45:Z45"/>
    <mergeCell ref="B46:D46"/>
    <mergeCell ref="E46:Z46"/>
    <mergeCell ref="B47:D47"/>
    <mergeCell ref="E47:Z47"/>
    <mergeCell ref="B48:D48"/>
    <mergeCell ref="E48:Z48"/>
  </mergeCells>
  <conditionalFormatting sqref="J12:N23">
    <cfRule type="expression" priority="2" aboveAverage="0" equalAverage="0" bottom="0" percent="0" rank="0" text="" dxfId="0">
      <formula>$J12="OK"</formula>
    </cfRule>
    <cfRule type="expression" priority="3" aboveAverage="0" equalAverage="0" bottom="0" percent="0" rank="0" text="" dxfId="1">
      <formula>$J12="O passo seguinte é de outro estudo"</formula>
    </cfRule>
    <cfRule type="expression" priority="4" aboveAverage="0" equalAverage="0" bottom="0" percent="0" rank="0" text="" dxfId="2">
      <formula>LEN($J12)&gt;0</formula>
    </cfRule>
  </conditionalFormatting>
  <conditionalFormatting sqref="I28:T42">
    <cfRule type="expression" priority="5" aboveAverage="0" equalAverage="0" bottom="0" percent="0" rank="0" text="" dxfId="3">
      <formula>AND(AND(ISNUMBER($AA28),ISNUMBER($H28),I$27&gt;=$H28,MOD(I$27-$H28,$AA28)=0),I28&lt;&gt;"")</formula>
    </cfRule>
    <cfRule type="expression" priority="6" aboveAverage="0" equalAverage="0" bottom="0" percent="0" rank="0" text="" dxfId="1">
      <formula>AND(AND(ISNUMBER($AA28),ISNUMBER($H28),I$27&gt;=$H28,MOD(I$27-$H28,$AA28)=0),I28="",ISNUMBER($E$8),I$27&lt;=$E$8)</formula>
    </cfRule>
    <cfRule type="expression" priority="7" aboveAverage="0" equalAverage="0" bottom="0" percent="0" rank="0" text="" dxfId="4">
      <formula>AND(ISNUMBER($AA28),ISNUMBER($H28),I$27&gt;=$H28,MOD(I$27-$H28,$AA28)=0)</formula>
    </cfRule>
    <cfRule type="expression" priority="8" aboveAverage="0" equalAverage="0" bottom="0" percent="0" rank="0" text="" dxfId="2">
      <formula>AND(NOT(AND(ISNUMBER($AA28),ISNUMBER($H28),I$27&gt;=$H28,MOD(I$27-$H28,$AA28)=0)),I28&lt;&gt;"")</formula>
    </cfRule>
  </conditionalFormatting>
  <conditionalFormatting sqref="Y28:Y42">
    <cfRule type="expression" priority="9" aboveAverage="0" equalAverage="0" bottom="0" percent="0" rank="0" text="" dxfId="0">
      <formula>Y28="Em dia"</formula>
    </cfRule>
    <cfRule type="expression" priority="10" aboveAverage="0" equalAverage="0" bottom="0" percent="0" rank="0" text="" dxfId="1">
      <formula>Y28="Com atraso"</formula>
    </cfRule>
    <cfRule type="expression" priority="11" aboveAverage="0" equalAverage="0" bottom="0" percent="0" rank="0" text="" dxfId="4">
      <formula>Y28="Ainda não começou"</formula>
    </cfRule>
  </conditionalFormatting>
  <conditionalFormatting sqref="Z28:Z42">
    <cfRule type="expression" priority="12" aboveAverage="0" equalAverage="0" bottom="0" percent="0" rank="0" text="" dxfId="0">
      <formula>OR(Z28="OK")</formula>
    </cfRule>
    <cfRule type="expression" priority="13" aboveAverage="0" equalAverage="0" bottom="0" percent="0" rank="0" text="" dxfId="2">
      <formula>AND(LEN(Z28)&gt;0,NOT(OR(Z28="OK")))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AA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8" min="6" style="0" width="22"/>
    <col collapsed="false" customWidth="true" hidden="false" outlineLevel="0" max="20" min="9" style="0" width="5.51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7"/>
    <col collapsed="false" customWidth="true" hidden="false" outlineLevel="0" max="25" min="25" style="0" width="15"/>
    <col collapsed="false" customWidth="true" hidden="false" outlineLevel="0" max="26" min="26" style="0" width="26"/>
    <col collapsed="false" customWidth="true" hidden="false" outlineLevel="0" max="27" min="27" style="0" width="7"/>
    <col collapsed="false" customWidth="true" hidden="false" outlineLevel="0" max="28" min="28" style="0" width="2"/>
  </cols>
  <sheetData>
    <row r="1" customFormat="false" ht="31.5" hidden="false" customHeight="true" outlineLevel="0" collapsed="false">
      <c r="B1" s="1" t="s">
        <v>218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2" t="s">
        <v>273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9.5" hidden="false" customHeight="true" outlineLevel="0" collapsed="false">
      <c r="B4" s="4" t="s">
        <v>274</v>
      </c>
      <c r="C4" s="4"/>
      <c r="D4" s="28" t="s">
        <v>351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9.5" hidden="false" customHeight="true" outlineLevel="0" collapsed="false">
      <c r="B5" s="4" t="s">
        <v>68</v>
      </c>
      <c r="C5" s="4"/>
      <c r="D5" s="28" t="s">
        <v>352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9.5" hidden="false" customHeight="true" outlineLevel="0" collapsed="false">
      <c r="B6" s="4" t="s">
        <v>277</v>
      </c>
      <c r="C6" s="4"/>
      <c r="D6" s="28" t="s">
        <v>353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9.5" hidden="false" customHeight="true" outlineLevel="0" collapsed="false">
      <c r="B7" s="4" t="s">
        <v>279</v>
      </c>
      <c r="C7" s="4"/>
      <c r="D7" s="28" t="s">
        <v>354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5" hidden="false" customHeight="true" outlineLevel="0" collapsed="false">
      <c r="B8" s="4" t="s">
        <v>281</v>
      </c>
      <c r="C8" s="4"/>
      <c r="D8" s="29" t="n">
        <v>2027</v>
      </c>
      <c r="E8" s="29" t="n">
        <v>9</v>
      </c>
    </row>
    <row r="10" customFormat="false" ht="21.75" hidden="false" customHeight="true" outlineLevel="0" collapsed="false">
      <c r="B10" s="30" t="s">
        <v>282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customFormat="false" ht="30" hidden="false" customHeight="true" outlineLevel="0" collapsed="false">
      <c r="B11" s="13" t="s">
        <v>70</v>
      </c>
      <c r="C11" s="13" t="s">
        <v>71</v>
      </c>
      <c r="D11" s="13" t="s">
        <v>72</v>
      </c>
      <c r="E11" s="13" t="s">
        <v>73</v>
      </c>
      <c r="F11" s="13" t="s">
        <v>74</v>
      </c>
      <c r="G11" s="13" t="s">
        <v>75</v>
      </c>
      <c r="H11" s="13" t="s">
        <v>76</v>
      </c>
      <c r="I11" s="13" t="s">
        <v>14</v>
      </c>
      <c r="J11" s="31" t="s">
        <v>77</v>
      </c>
      <c r="K11" s="31"/>
      <c r="L11" s="31"/>
      <c r="M11" s="31"/>
      <c r="N11" s="31"/>
    </row>
    <row r="12" customFormat="false" ht="42.75" hidden="false" customHeight="true" outlineLevel="0" collapsed="false">
      <c r="B12" s="11" t="n">
        <v>1</v>
      </c>
      <c r="C12" s="32" t="n">
        <v>46279</v>
      </c>
      <c r="D12" s="33" t="s">
        <v>214</v>
      </c>
      <c r="E12" s="34" t="s">
        <v>355</v>
      </c>
      <c r="F12" s="34" t="s">
        <v>356</v>
      </c>
      <c r="G12" s="34" t="s">
        <v>357</v>
      </c>
      <c r="H12" s="34" t="s">
        <v>206</v>
      </c>
      <c r="I12" s="13" t="str">
        <f aca="false">""</f>
        <v/>
      </c>
      <c r="J12" s="14" t="str">
        <f aca="false">IF(COUNTA(C12:H12)=0,"",IF(C12="","Falta a data",IF(D12="","Falta o estudo",IF(E12="","Falta o que aconteceu",IF(F12="","Falta o registro",IF(AND(ISNUMBER(I12),I12&lt;0),"Data antes do passo anterior",IF(COUNTA(C13:H13)=0,"OK",IF(G12="","Falta a saída",IF(H12="","Falta o próximo estudo",IF(H12&lt;&gt;D13,"O passo seguinte é de outro estudo","OK"))))))))))</f>
        <v>OK</v>
      </c>
      <c r="K12" s="14"/>
      <c r="L12" s="14"/>
      <c r="M12" s="14"/>
      <c r="N12" s="14"/>
    </row>
    <row r="13" customFormat="false" ht="42.75" hidden="false" customHeight="true" outlineLevel="0" collapsed="false">
      <c r="B13" s="11" t="n">
        <v>2</v>
      </c>
      <c r="C13" s="32" t="n">
        <v>46288</v>
      </c>
      <c r="D13" s="33" t="s">
        <v>206</v>
      </c>
      <c r="E13" s="34" t="s">
        <v>358</v>
      </c>
      <c r="F13" s="34" t="s">
        <v>359</v>
      </c>
      <c r="G13" s="34" t="s">
        <v>360</v>
      </c>
      <c r="H13" s="34" t="s">
        <v>209</v>
      </c>
      <c r="I13" s="13" t="n">
        <f aca="false">IF(OR(C13="",C12=""),"",C13-C12)</f>
        <v>9</v>
      </c>
      <c r="J13" s="14" t="str">
        <f aca="false">IF(COUNTA(C13:H13)=0,"",IF(C13="","Falta a data",IF(D13="","Falta o estudo",IF(E13="","Falta o que aconteceu",IF(F13="","Falta o registro",IF(AND(ISNUMBER(I13),I13&lt;0),"Data antes do passo anterior",IF(COUNTA(C14:H14)=0,"OK",IF(G13="","Falta a saída",IF(H13="","Falta o próximo estudo",IF(H13&lt;&gt;D14,"O passo seguinte é de outro estudo","OK"))))))))))</f>
        <v>OK</v>
      </c>
      <c r="K13" s="14"/>
      <c r="L13" s="14"/>
      <c r="M13" s="14"/>
      <c r="N13" s="14"/>
    </row>
    <row r="14" customFormat="false" ht="42.75" hidden="false" customHeight="true" outlineLevel="0" collapsed="false">
      <c r="B14" s="11" t="n">
        <v>3</v>
      </c>
      <c r="C14" s="32" t="n">
        <v>46436</v>
      </c>
      <c r="D14" s="33" t="s">
        <v>209</v>
      </c>
      <c r="E14" s="34" t="s">
        <v>361</v>
      </c>
      <c r="F14" s="34" t="s">
        <v>362</v>
      </c>
      <c r="G14" s="34" t="s">
        <v>363</v>
      </c>
      <c r="H14" s="34" t="s">
        <v>212</v>
      </c>
      <c r="I14" s="13" t="n">
        <f aca="false">IF(OR(C14="",C13=""),"",C14-C13)</f>
        <v>148</v>
      </c>
      <c r="J14" s="14" t="str">
        <f aca="false">IF(COUNTA(C14:H14)=0,"",IF(C14="","Falta a data",IF(D14="","Falta o estudo",IF(E14="","Falta o que aconteceu",IF(F14="","Falta o registro",IF(AND(ISNUMBER(I14),I14&lt;0),"Data antes do passo anterior",IF(COUNTA(C15:H15)=0,"OK",IF(G14="","Falta a saída",IF(H14="","Falta o próximo estudo",IF(H14&lt;&gt;D15,"O passo seguinte é de outro estudo","OK"))))))))))</f>
        <v>OK</v>
      </c>
      <c r="K14" s="14"/>
      <c r="L14" s="14"/>
      <c r="M14" s="14"/>
      <c r="N14" s="14"/>
    </row>
    <row r="15" customFormat="false" ht="30.75" hidden="false" customHeight="true" outlineLevel="0" collapsed="false">
      <c r="B15" s="11" t="n">
        <v>4</v>
      </c>
      <c r="C15" s="32" t="n">
        <v>46475</v>
      </c>
      <c r="D15" s="33" t="s">
        <v>212</v>
      </c>
      <c r="E15" s="34" t="s">
        <v>364</v>
      </c>
      <c r="F15" s="34" t="s">
        <v>365</v>
      </c>
      <c r="G15" s="34" t="s">
        <v>366</v>
      </c>
      <c r="H15" s="34" t="s">
        <v>179</v>
      </c>
      <c r="I15" s="13" t="n">
        <f aca="false">IF(OR(C15="",C14=""),"",C15-C14)</f>
        <v>39</v>
      </c>
      <c r="J15" s="14" t="str">
        <f aca="false">IF(COUNTA(C15:H15)=0,"",IF(C15="","Falta a data",IF(D15="","Falta o estudo",IF(E15="","Falta o que aconteceu",IF(F15="","Falta o registro",IF(AND(ISNUMBER(I15),I15&lt;0),"Data antes do passo anterior",IF(COUNTA(C16:H16)=0,"OK",IF(G15="","Falta a saída",IF(H15="","Falta o próximo estudo",IF(H15&lt;&gt;D16,"O passo seguinte é de outro estudo","OK"))))))))))</f>
        <v>OK</v>
      </c>
      <c r="K15" s="14"/>
      <c r="L15" s="14"/>
      <c r="M15" s="14"/>
      <c r="N15" s="14"/>
    </row>
    <row r="16" customFormat="false" ht="54.75" hidden="false" customHeight="true" outlineLevel="0" collapsed="false">
      <c r="B16" s="11" t="n">
        <v>5</v>
      </c>
      <c r="C16" s="32" t="n">
        <v>46521</v>
      </c>
      <c r="D16" s="33" t="s">
        <v>179</v>
      </c>
      <c r="E16" s="34" t="s">
        <v>367</v>
      </c>
      <c r="F16" s="34" t="s">
        <v>368</v>
      </c>
      <c r="G16" s="34" t="s">
        <v>369</v>
      </c>
      <c r="H16" s="34" t="s">
        <v>182</v>
      </c>
      <c r="I16" s="13" t="n">
        <f aca="false">IF(OR(C16="",C15=""),"",C16-C15)</f>
        <v>46</v>
      </c>
      <c r="J16" s="14" t="str">
        <f aca="false">IF(COUNTA(C16:H16)=0,"",IF(C16="","Falta a data",IF(D16="","Falta o estudo",IF(E16="","Falta o que aconteceu",IF(F16="","Falta o registro",IF(AND(ISNUMBER(I16),I16&lt;0),"Data antes do passo anterior",IF(COUNTA(C17:H17)=0,"OK",IF(G16="","Falta a saída",IF(H16="","Falta o próximo estudo",IF(H16&lt;&gt;D17,"O passo seguinte é de outro estudo","OK"))))))))))</f>
        <v>OK</v>
      </c>
      <c r="K16" s="14"/>
      <c r="L16" s="14"/>
      <c r="M16" s="14"/>
      <c r="N16" s="14"/>
    </row>
    <row r="17" customFormat="false" ht="30.75" hidden="false" customHeight="true" outlineLevel="0" collapsed="false">
      <c r="B17" s="11" t="n">
        <v>6</v>
      </c>
      <c r="C17" s="32" t="n">
        <v>46521</v>
      </c>
      <c r="D17" s="33" t="s">
        <v>182</v>
      </c>
      <c r="E17" s="34" t="s">
        <v>370</v>
      </c>
      <c r="F17" s="34" t="s">
        <v>371</v>
      </c>
      <c r="G17" s="34" t="s">
        <v>372</v>
      </c>
      <c r="H17" s="34" t="s">
        <v>214</v>
      </c>
      <c r="I17" s="13" t="n">
        <f aca="false">IF(OR(C17="",C16=""),"",C17-C16)</f>
        <v>0</v>
      </c>
      <c r="J17" s="14" t="str">
        <f aca="false">IF(COUNTA(C17:H17)=0,"",IF(C17="","Falta a data",IF(D17="","Falta o estudo",IF(E17="","Falta o que aconteceu",IF(F17="","Falta o registro",IF(AND(ISNUMBER(I17),I17&lt;0),"Data antes do passo anterior",IF(COUNTA(C18:H18)=0,"OK",IF(G17="","Falta a saída",IF(H17="","Falta o próximo estudo",IF(H17&lt;&gt;D18,"O passo seguinte é de outro estudo","OK"))))))))))</f>
        <v>OK</v>
      </c>
      <c r="K17" s="14"/>
      <c r="L17" s="14"/>
      <c r="M17" s="14"/>
      <c r="N17" s="14"/>
    </row>
    <row r="18" customFormat="false" ht="30.75" hidden="false" customHeight="true" outlineLevel="0" collapsed="false">
      <c r="B18" s="11" t="n">
        <v>7</v>
      </c>
      <c r="C18" s="32" t="n">
        <v>46531</v>
      </c>
      <c r="D18" s="33" t="s">
        <v>214</v>
      </c>
      <c r="E18" s="34" t="s">
        <v>373</v>
      </c>
      <c r="F18" s="34" t="s">
        <v>374</v>
      </c>
      <c r="G18" s="34" t="s">
        <v>375</v>
      </c>
      <c r="H18" s="34" t="s">
        <v>146</v>
      </c>
      <c r="I18" s="13" t="n">
        <f aca="false">IF(OR(C18="",C17=""),"",C18-C17)</f>
        <v>10</v>
      </c>
      <c r="J18" s="14" t="str">
        <f aca="false">IF(COUNTA(C18:H18)=0,"",IF(C18="","Falta a data",IF(D18="","Falta o estudo",IF(E18="","Falta o que aconteceu",IF(F18="","Falta o registro",IF(AND(ISNUMBER(I18),I18&lt;0),"Data antes do passo anterior",IF(COUNTA(C19:H19)=0,"OK",IF(G18="","Falta a saída",IF(H18="","Falta o próximo estudo",IF(H18&lt;&gt;D19,"O passo seguinte é de outro estudo","OK"))))))))))</f>
        <v>OK</v>
      </c>
      <c r="K18" s="14"/>
      <c r="L18" s="14"/>
      <c r="M18" s="14"/>
      <c r="N18" s="14"/>
    </row>
    <row r="19" customFormat="false" ht="54.75" hidden="false" customHeight="true" outlineLevel="0" collapsed="false">
      <c r="B19" s="11" t="n">
        <v>8</v>
      </c>
      <c r="C19" s="32" t="n">
        <v>46550</v>
      </c>
      <c r="D19" s="33" t="s">
        <v>146</v>
      </c>
      <c r="E19" s="34" t="s">
        <v>376</v>
      </c>
      <c r="F19" s="34" t="s">
        <v>377</v>
      </c>
      <c r="G19" s="34" t="s">
        <v>378</v>
      </c>
      <c r="H19" s="34" t="s">
        <v>153</v>
      </c>
      <c r="I19" s="13" t="n">
        <f aca="false">IF(OR(C19="",C18=""),"",C19-C18)</f>
        <v>19</v>
      </c>
      <c r="J19" s="14" t="str">
        <f aca="false">IF(COUNTA(C19:H19)=0,"",IF(C19="","Falta a data",IF(D19="","Falta o estudo",IF(E19="","Falta o que aconteceu",IF(F19="","Falta o registro",IF(AND(ISNUMBER(I19),I19&lt;0),"Data antes do passo anterior",IF(COUNTA(C20:H20)=0,"OK",IF(G19="","Falta a saída",IF(H19="","Falta o próximo estudo",IF(H19&lt;&gt;D20,"O passo seguinte é de outro estudo","OK"))))))))))</f>
        <v>OK</v>
      </c>
      <c r="K19" s="14"/>
      <c r="L19" s="14"/>
      <c r="M19" s="14"/>
      <c r="N19" s="14"/>
    </row>
    <row r="20" customFormat="false" ht="30.75" hidden="false" customHeight="true" outlineLevel="0" collapsed="false">
      <c r="B20" s="11" t="n">
        <v>9</v>
      </c>
      <c r="C20" s="32" t="n">
        <v>46558</v>
      </c>
      <c r="D20" s="33" t="s">
        <v>153</v>
      </c>
      <c r="E20" s="34" t="s">
        <v>379</v>
      </c>
      <c r="F20" s="34" t="s">
        <v>380</v>
      </c>
      <c r="G20" s="34" t="s">
        <v>381</v>
      </c>
      <c r="H20" s="34" t="s">
        <v>150</v>
      </c>
      <c r="I20" s="13" t="n">
        <f aca="false">IF(OR(C20="",C19=""),"",C20-C19)</f>
        <v>8</v>
      </c>
      <c r="J20" s="14" t="str">
        <f aca="false">IF(COUNTA(C20:H20)=0,"",IF(C20="","Falta a data",IF(D20="","Falta o estudo",IF(E20="","Falta o que aconteceu",IF(F20="","Falta o registro",IF(AND(ISNUMBER(I20),I20&lt;0),"Data antes do passo anterior",IF(COUNTA(C21:H21)=0,"OK",IF(G20="","Falta a saída",IF(H20="","Falta o próximo estudo",IF(H20&lt;&gt;D21,"O passo seguinte é de outro estudo","OK"))))))))))</f>
        <v>OK</v>
      </c>
      <c r="K20" s="14"/>
      <c r="L20" s="14"/>
      <c r="M20" s="14"/>
      <c r="N20" s="14"/>
    </row>
    <row r="21" customFormat="false" ht="42.75" hidden="false" customHeight="true" outlineLevel="0" collapsed="false">
      <c r="B21" s="11" t="n">
        <v>10</v>
      </c>
      <c r="C21" s="32" t="n">
        <v>46599</v>
      </c>
      <c r="D21" s="33" t="s">
        <v>150</v>
      </c>
      <c r="E21" s="34" t="s">
        <v>382</v>
      </c>
      <c r="F21" s="34" t="s">
        <v>383</v>
      </c>
      <c r="G21" s="34" t="s">
        <v>384</v>
      </c>
      <c r="H21" s="34" t="s">
        <v>209</v>
      </c>
      <c r="I21" s="13" t="n">
        <f aca="false">IF(OR(C21="",C20=""),"",C21-C20)</f>
        <v>41</v>
      </c>
      <c r="J21" s="14" t="str">
        <f aca="false">IF(COUNTA(C21:H21)=0,"",IF(C21="","Falta a data",IF(D21="","Falta o estudo",IF(E21="","Falta o que aconteceu",IF(F21="","Falta o registro",IF(AND(ISNUMBER(I21),I21&lt;0),"Data antes do passo anterior",IF(COUNTA(C22:H22)=0,"OK",IF(G21="","Falta a saída",IF(H21="","Falta o próximo estudo",IF(H21&lt;&gt;D22,"O passo seguinte é de outro estudo","OK"))))))))))</f>
        <v>OK</v>
      </c>
      <c r="K21" s="14"/>
      <c r="L21" s="14"/>
      <c r="M21" s="14"/>
      <c r="N21" s="14"/>
    </row>
    <row r="22" customFormat="false" ht="54.75" hidden="false" customHeight="true" outlineLevel="0" collapsed="false">
      <c r="B22" s="11" t="n">
        <v>11</v>
      </c>
      <c r="C22" s="32" t="n">
        <v>46618</v>
      </c>
      <c r="D22" s="33" t="s">
        <v>209</v>
      </c>
      <c r="E22" s="34" t="s">
        <v>385</v>
      </c>
      <c r="F22" s="34" t="s">
        <v>386</v>
      </c>
      <c r="G22" s="34" t="s">
        <v>387</v>
      </c>
      <c r="H22" s="34" t="s">
        <v>153</v>
      </c>
      <c r="I22" s="13" t="n">
        <f aca="false">IF(OR(C22="",C21=""),"",C22-C21)</f>
        <v>19</v>
      </c>
      <c r="J22" s="14" t="str">
        <f aca="false">IF(COUNTA(C22:H22)=0,"",IF(C22="","Falta a data",IF(D22="","Falta o estudo",IF(E22="","Falta o que aconteceu",IF(F22="","Falta o registro",IF(AND(ISNUMBER(I22),I22&lt;0),"Data antes do passo anterior",IF(COUNTA(C23:H23)=0,"OK",IF(G22="","Falta a saída",IF(H22="","Falta o próximo estudo",IF(H22&lt;&gt;D23,"O passo seguinte é de outro estudo","OK"))))))))))</f>
        <v>OK</v>
      </c>
      <c r="K22" s="14"/>
      <c r="L22" s="14"/>
      <c r="M22" s="14"/>
      <c r="N22" s="14"/>
    </row>
    <row r="23" customFormat="false" ht="42.75" hidden="false" customHeight="true" outlineLevel="0" collapsed="false">
      <c r="B23" s="11" t="n">
        <v>12</v>
      </c>
      <c r="C23" s="32" t="n">
        <v>46660</v>
      </c>
      <c r="D23" s="33" t="s">
        <v>153</v>
      </c>
      <c r="E23" s="34" t="s">
        <v>388</v>
      </c>
      <c r="F23" s="34" t="s">
        <v>389</v>
      </c>
      <c r="G23" s="34"/>
      <c r="H23" s="34"/>
      <c r="I23" s="13" t="n">
        <f aca="false">IF(OR(C23="",C22=""),"",C23-C22)</f>
        <v>42</v>
      </c>
      <c r="J23" s="14" t="str">
        <f aca="false">IF(COUNTA(C23:H23)=0,"",IF(C23="","Falta a data",IF(D23="","Falta o estudo",IF(E23="","Falta o que aconteceu",IF(F23="","Falta o registro",IF(AND(ISNUMBER(I23),I23&lt;0),"Data antes do passo anterior",IF(COUNTA(C24:H24)=0,"OK",IF(G23="","Falta a saída",IF(H23="","Falta o próximo estudo",IF(H23&lt;&gt;D24,"O passo seguinte é de outro estudo","OK"))))))))))</f>
        <v>OK</v>
      </c>
      <c r="K23" s="14"/>
      <c r="L23" s="14"/>
      <c r="M23" s="14"/>
      <c r="N23" s="14"/>
    </row>
    <row r="25" customFormat="false" ht="21.75" hidden="false" customHeight="true" outlineLevel="0" collapsed="false">
      <c r="B25" s="35" t="s">
        <v>88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30" hidden="false" customHeight="true" outlineLevel="0" collapsed="false">
      <c r="B26" s="13" t="s">
        <v>94</v>
      </c>
      <c r="C26" s="13" t="s">
        <v>95</v>
      </c>
      <c r="D26" s="13" t="s">
        <v>72</v>
      </c>
      <c r="E26" s="13" t="s">
        <v>96</v>
      </c>
      <c r="F26" s="13" t="s">
        <v>97</v>
      </c>
      <c r="G26" s="13" t="s">
        <v>98</v>
      </c>
      <c r="H26" s="13" t="s">
        <v>318</v>
      </c>
      <c r="I26" s="13" t="s">
        <v>100</v>
      </c>
      <c r="J26" s="13" t="s">
        <v>101</v>
      </c>
      <c r="K26" s="13" t="s">
        <v>102</v>
      </c>
      <c r="L26" s="13" t="s">
        <v>103</v>
      </c>
      <c r="M26" s="13" t="s">
        <v>104</v>
      </c>
      <c r="N26" s="13" t="s">
        <v>105</v>
      </c>
      <c r="O26" s="13" t="s">
        <v>106</v>
      </c>
      <c r="P26" s="13" t="s">
        <v>107</v>
      </c>
      <c r="Q26" s="13" t="s">
        <v>108</v>
      </c>
      <c r="R26" s="13" t="s">
        <v>109</v>
      </c>
      <c r="S26" s="13" t="s">
        <v>110</v>
      </c>
      <c r="T26" s="13" t="s">
        <v>111</v>
      </c>
      <c r="U26" s="13" t="s">
        <v>112</v>
      </c>
      <c r="V26" s="13" t="s">
        <v>113</v>
      </c>
      <c r="W26" s="13" t="s">
        <v>114</v>
      </c>
      <c r="X26" s="13" t="s">
        <v>319</v>
      </c>
      <c r="Y26" s="13" t="s">
        <v>115</v>
      </c>
      <c r="Z26" s="13" t="s">
        <v>77</v>
      </c>
      <c r="AA26" s="13" t="s">
        <v>116</v>
      </c>
    </row>
    <row r="27" customFormat="false" ht="15" hidden="false" customHeight="false" outlineLevel="0" collapsed="false">
      <c r="I27" s="10" t="n">
        <v>1</v>
      </c>
      <c r="J27" s="10" t="n">
        <v>2</v>
      </c>
      <c r="K27" s="10" t="n">
        <v>3</v>
      </c>
      <c r="L27" s="10" t="n">
        <v>4</v>
      </c>
      <c r="M27" s="10" t="n">
        <v>5</v>
      </c>
      <c r="N27" s="10" t="n">
        <v>6</v>
      </c>
      <c r="O27" s="10" t="n">
        <v>7</v>
      </c>
      <c r="P27" s="10" t="n">
        <v>8</v>
      </c>
      <c r="Q27" s="10" t="n">
        <v>9</v>
      </c>
      <c r="R27" s="10" t="n">
        <v>10</v>
      </c>
      <c r="S27" s="10" t="n">
        <v>11</v>
      </c>
      <c r="T27" s="10" t="n">
        <v>12</v>
      </c>
    </row>
    <row r="28" customFormat="false" ht="30.75" hidden="false" customHeight="true" outlineLevel="0" collapsed="false">
      <c r="B28" s="11" t="n">
        <v>1</v>
      </c>
      <c r="C28" s="33" t="s">
        <v>320</v>
      </c>
      <c r="D28" s="34" t="s">
        <v>198</v>
      </c>
      <c r="E28" s="36" t="s">
        <v>321</v>
      </c>
      <c r="F28" s="34" t="s">
        <v>354</v>
      </c>
      <c r="G28" s="36" t="s">
        <v>148</v>
      </c>
      <c r="H28" s="37" t="n">
        <v>1</v>
      </c>
      <c r="I28" s="37" t="s">
        <v>322</v>
      </c>
      <c r="J28" s="37" t="s">
        <v>322</v>
      </c>
      <c r="K28" s="37" t="s">
        <v>322</v>
      </c>
      <c r="L28" s="37" t="s">
        <v>322</v>
      </c>
      <c r="M28" s="37" t="s">
        <v>322</v>
      </c>
      <c r="N28" s="37" t="s">
        <v>322</v>
      </c>
      <c r="O28" s="37"/>
      <c r="P28" s="37" t="s">
        <v>322</v>
      </c>
      <c r="Q28" s="37" t="s">
        <v>322</v>
      </c>
      <c r="R28" s="37"/>
      <c r="S28" s="37"/>
      <c r="T28" s="37"/>
      <c r="U28" s="13" t="n">
        <f aca="false">IF(OR(C28="",AA28="",H28="",$E$8=""),"",IF(OR(H28&lt;1,H28&gt;12),"",SUMPRODUCT(($I$27:$T$27&gt;=$H28)*(MOD($I$27:$T$27-$H28,$AA28)=0)*($I$27:$T$27&lt;=$E$8))))</f>
        <v>9</v>
      </c>
      <c r="V28" s="13" t="n">
        <f aca="false">IF(U28="","",SUMPRODUCT(($I$27:$T$27&gt;=$H28)*(MOD($I$27:$T$27-$H28,$AA28)=0)*($I$27:$T$27&lt;=$E$8)*(I28:T28&lt;&gt;"")))</f>
        <v>8</v>
      </c>
      <c r="W28" s="13" t="n">
        <f aca="false">IF(U28="","",U28-V28)</f>
        <v>1</v>
      </c>
      <c r="X28" s="20" t="n">
        <f aca="false">IF(U28="","",SUMPRODUCT((1-($I$27:$T$27&gt;=$H28)*(MOD($I$27:$T$27-$H28,$AA28)=0))*(I28:T28&lt;&gt;"")))</f>
        <v>0</v>
      </c>
      <c r="Y28" s="38" t="str">
        <f aca="false">IF(U28="","",IF(U28=0,"Ainda não começou",IF(W28&gt;0,"Com atraso","Em dia")))</f>
        <v>Com atraso</v>
      </c>
      <c r="Z28" s="14" t="str">
        <f aca="false">IF(C28="","",IF(D28="","Falta o estudo",IF(F28="","Falta o responsável",IF(G28="","Falta a frequência",IF(H28="","Falta o mês de início",IF(OR(H28&lt;1,H28&gt;12),"Mês de início fora de 1 a 12","OK"))))))</f>
        <v>OK</v>
      </c>
      <c r="AA28" s="22" t="n">
        <f aca="false">IF(G28="","",IFERROR(CHOOSE(MATCH(G28,{"Mensal","Bimestral","Trimestral","Semestral","Anual"},0),1,2,3,6,12),""))</f>
        <v>1</v>
      </c>
    </row>
    <row r="29" customFormat="false" ht="21.75" hidden="false" customHeight="true" outlineLevel="0" collapsed="false">
      <c r="B29" s="11" t="n">
        <v>2</v>
      </c>
      <c r="C29" s="33" t="s">
        <v>390</v>
      </c>
      <c r="D29" s="34" t="s">
        <v>146</v>
      </c>
      <c r="E29" s="36" t="s">
        <v>324</v>
      </c>
      <c r="F29" s="34" t="s">
        <v>391</v>
      </c>
      <c r="G29" s="36" t="s">
        <v>148</v>
      </c>
      <c r="H29" s="37" t="n">
        <v>1</v>
      </c>
      <c r="I29" s="37" t="s">
        <v>322</v>
      </c>
      <c r="J29" s="37" t="s">
        <v>322</v>
      </c>
      <c r="K29" s="37" t="s">
        <v>322</v>
      </c>
      <c r="L29" s="37"/>
      <c r="M29" s="37" t="s">
        <v>322</v>
      </c>
      <c r="N29" s="37" t="s">
        <v>322</v>
      </c>
      <c r="O29" s="37" t="s">
        <v>322</v>
      </c>
      <c r="P29" s="37" t="s">
        <v>322</v>
      </c>
      <c r="Q29" s="37" t="s">
        <v>322</v>
      </c>
      <c r="R29" s="37"/>
      <c r="S29" s="37"/>
      <c r="T29" s="37"/>
      <c r="U29" s="13" t="n">
        <f aca="false">IF(OR(C29="",AA29="",H29="",$E$8=""),"",IF(OR(H29&lt;1,H29&gt;12),"",SUMPRODUCT(($I$27:$T$27&gt;=$H29)*(MOD($I$27:$T$27-$H29,$AA29)=0)*($I$27:$T$27&lt;=$E$8))))</f>
        <v>9</v>
      </c>
      <c r="V29" s="13" t="n">
        <f aca="false">IF(U29="","",SUMPRODUCT(($I$27:$T$27&gt;=$H29)*(MOD($I$27:$T$27-$H29,$AA29)=0)*($I$27:$T$27&lt;=$E$8)*(I29:T29&lt;&gt;"")))</f>
        <v>8</v>
      </c>
      <c r="W29" s="13" t="n">
        <f aca="false">IF(U29="","",U29-V29)</f>
        <v>1</v>
      </c>
      <c r="X29" s="20" t="n">
        <f aca="false">IF(U29="","",SUMPRODUCT((1-($I$27:$T$27&gt;=$H29)*(MOD($I$27:$T$27-$H29,$AA29)=0))*(I29:T29&lt;&gt;"")))</f>
        <v>0</v>
      </c>
      <c r="Y29" s="38" t="str">
        <f aca="false">IF(U29="","",IF(U29=0,"Ainda não começou",IF(W29&gt;0,"Com atraso","Em dia")))</f>
        <v>Com atraso</v>
      </c>
      <c r="Z29" s="14" t="str">
        <f aca="false">IF(C29="","",IF(D29="","Falta o estudo",IF(F29="","Falta o responsável",IF(G29="","Falta a frequência",IF(H29="","Falta o mês de início",IF(OR(H29&lt;1,H29&gt;12),"Mês de início fora de 1 a 12","OK"))))))</f>
        <v>OK</v>
      </c>
      <c r="AA29" s="22" t="n">
        <f aca="false">IF(G29="","",IFERROR(CHOOSE(MATCH(G29,{"Mensal","Bimestral","Trimestral","Semestral","Anual"},0),1,2,3,6,12),""))</f>
        <v>1</v>
      </c>
    </row>
    <row r="30" customFormat="false" ht="30.75" hidden="false" customHeight="true" outlineLevel="0" collapsed="false">
      <c r="B30" s="11" t="n">
        <v>3</v>
      </c>
      <c r="C30" s="33" t="s">
        <v>392</v>
      </c>
      <c r="D30" s="34" t="s">
        <v>150</v>
      </c>
      <c r="E30" s="36" t="s">
        <v>327</v>
      </c>
      <c r="F30" s="34" t="s">
        <v>393</v>
      </c>
      <c r="G30" s="36" t="s">
        <v>162</v>
      </c>
      <c r="H30" s="37" t="n">
        <v>3</v>
      </c>
      <c r="I30" s="37"/>
      <c r="J30" s="37"/>
      <c r="K30" s="37" t="s">
        <v>322</v>
      </c>
      <c r="L30" s="37"/>
      <c r="M30" s="37"/>
      <c r="N30" s="37"/>
      <c r="O30" s="37"/>
      <c r="P30" s="37" t="s">
        <v>322</v>
      </c>
      <c r="Q30" s="37" t="s">
        <v>322</v>
      </c>
      <c r="R30" s="37"/>
      <c r="S30" s="37"/>
      <c r="T30" s="37"/>
      <c r="U30" s="13" t="n">
        <f aca="false">IF(OR(C30="",AA30="",H30="",$E$8=""),"",IF(OR(H30&lt;1,H30&gt;12),"",SUMPRODUCT(($I$27:$T$27&gt;=$H30)*(MOD($I$27:$T$27-$H30,$AA30)=0)*($I$27:$T$27&lt;=$E$8))))</f>
        <v>3</v>
      </c>
      <c r="V30" s="13" t="n">
        <f aca="false">IF(U30="","",SUMPRODUCT(($I$27:$T$27&gt;=$H30)*(MOD($I$27:$T$27-$H30,$AA30)=0)*($I$27:$T$27&lt;=$E$8)*(I30:T30&lt;&gt;"")))</f>
        <v>2</v>
      </c>
      <c r="W30" s="13" t="n">
        <f aca="false">IF(U30="","",U30-V30)</f>
        <v>1</v>
      </c>
      <c r="X30" s="20" t="n">
        <f aca="false">IF(U30="","",SUMPRODUCT((1-($I$27:$T$27&gt;=$H30)*(MOD($I$27:$T$27-$H30,$AA30)=0))*(I30:T30&lt;&gt;"")))</f>
        <v>1</v>
      </c>
      <c r="Y30" s="38" t="str">
        <f aca="false">IF(U30="","",IF(U30=0,"Ainda não começou",IF(W30&gt;0,"Com atraso","Em dia")))</f>
        <v>Com atraso</v>
      </c>
      <c r="Z30" s="14" t="str">
        <f aca="false">IF(C30="","",IF(D30="","Falta o estudo",IF(F30="","Falta o responsável",IF(G30="","Falta a frequência",IF(H30="","Falta o mês de início",IF(OR(H30&lt;1,H30&gt;12),"Mês de início fora de 1 a 12","OK"))))))</f>
        <v>OK</v>
      </c>
      <c r="AA30" s="22" t="n">
        <f aca="false">IF(G30="","",IFERROR(CHOOSE(MATCH(G30,{"Mensal","Bimestral","Trimestral","Semestral","Anual"},0),1,2,3,6,12),""))</f>
        <v>3</v>
      </c>
    </row>
    <row r="31" customFormat="false" ht="30.75" hidden="false" customHeight="true" outlineLevel="0" collapsed="false">
      <c r="B31" s="11" t="n">
        <v>4</v>
      </c>
      <c r="C31" s="33" t="s">
        <v>329</v>
      </c>
      <c r="D31" s="34" t="s">
        <v>153</v>
      </c>
      <c r="E31" s="36" t="s">
        <v>330</v>
      </c>
      <c r="F31" s="34" t="s">
        <v>391</v>
      </c>
      <c r="G31" s="36" t="s">
        <v>148</v>
      </c>
      <c r="H31" s="37" t="n">
        <v>6</v>
      </c>
      <c r="I31" s="37"/>
      <c r="J31" s="37"/>
      <c r="K31" s="37"/>
      <c r="L31" s="37"/>
      <c r="M31" s="37"/>
      <c r="N31" s="37" t="s">
        <v>322</v>
      </c>
      <c r="O31" s="37" t="s">
        <v>322</v>
      </c>
      <c r="P31" s="37"/>
      <c r="Q31" s="37" t="s">
        <v>322</v>
      </c>
      <c r="R31" s="37"/>
      <c r="S31" s="37"/>
      <c r="T31" s="37"/>
      <c r="U31" s="13" t="n">
        <f aca="false">IF(OR(C31="",AA31="",H31="",$E$8=""),"",IF(OR(H31&lt;1,H31&gt;12),"",SUMPRODUCT(($I$27:$T$27&gt;=$H31)*(MOD($I$27:$T$27-$H31,$AA31)=0)*($I$27:$T$27&lt;=$E$8))))</f>
        <v>4</v>
      </c>
      <c r="V31" s="13" t="n">
        <f aca="false">IF(U31="","",SUMPRODUCT(($I$27:$T$27&gt;=$H31)*(MOD($I$27:$T$27-$H31,$AA31)=0)*($I$27:$T$27&lt;=$E$8)*(I31:T31&lt;&gt;"")))</f>
        <v>3</v>
      </c>
      <c r="W31" s="13" t="n">
        <f aca="false">IF(U31="","",U31-V31)</f>
        <v>1</v>
      </c>
      <c r="X31" s="20" t="n">
        <f aca="false">IF(U31="","",SUMPRODUCT((1-($I$27:$T$27&gt;=$H31)*(MOD($I$27:$T$27-$H31,$AA31)=0))*(I31:T31&lt;&gt;"")))</f>
        <v>0</v>
      </c>
      <c r="Y31" s="38" t="str">
        <f aca="false">IF(U31="","",IF(U31=0,"Ainda não começou",IF(W31&gt;0,"Com atraso","Em dia")))</f>
        <v>Com atraso</v>
      </c>
      <c r="Z31" s="14" t="str">
        <f aca="false">IF(C31="","",IF(D31="","Falta o estudo",IF(F31="","Falta o responsável",IF(G31="","Falta a frequência",IF(H31="","Falta o mês de início",IF(OR(H31&lt;1,H31&gt;12),"Mês de início fora de 1 a 12","OK"))))))</f>
        <v>OK</v>
      </c>
      <c r="AA31" s="22" t="n">
        <f aca="false">IF(G31="","",IFERROR(CHOOSE(MATCH(G31,{"Mensal","Bimestral","Trimestral","Semestral","Anual"},0),1,2,3,6,12),""))</f>
        <v>1</v>
      </c>
    </row>
    <row r="32" customFormat="false" ht="30.75" hidden="false" customHeight="true" outlineLevel="0" collapsed="false">
      <c r="B32" s="11" t="n">
        <v>5</v>
      </c>
      <c r="C32" s="33" t="s">
        <v>394</v>
      </c>
      <c r="D32" s="34" t="s">
        <v>153</v>
      </c>
      <c r="E32" s="36" t="s">
        <v>395</v>
      </c>
      <c r="F32" s="34" t="s">
        <v>396</v>
      </c>
      <c r="G32" s="36" t="s">
        <v>132</v>
      </c>
      <c r="H32" s="37" t="n">
        <v>9</v>
      </c>
      <c r="I32" s="37"/>
      <c r="J32" s="37"/>
      <c r="K32" s="37"/>
      <c r="L32" s="37"/>
      <c r="M32" s="37"/>
      <c r="N32" s="37"/>
      <c r="O32" s="37"/>
      <c r="P32" s="37"/>
      <c r="Q32" s="37" t="s">
        <v>322</v>
      </c>
      <c r="R32" s="37"/>
      <c r="S32" s="37"/>
      <c r="T32" s="37"/>
      <c r="U32" s="13" t="n">
        <f aca="false">IF(OR(C32="",AA32="",H32="",$E$8=""),"",IF(OR(H32&lt;1,H32&gt;12),"",SUMPRODUCT(($I$27:$T$27&gt;=$H32)*(MOD($I$27:$T$27-$H32,$AA32)=0)*($I$27:$T$27&lt;=$E$8))))</f>
        <v>1</v>
      </c>
      <c r="V32" s="13" t="n">
        <f aca="false">IF(U32="","",SUMPRODUCT(($I$27:$T$27&gt;=$H32)*(MOD($I$27:$T$27-$H32,$AA32)=0)*($I$27:$T$27&lt;=$E$8)*(I32:T32&lt;&gt;"")))</f>
        <v>1</v>
      </c>
      <c r="W32" s="13" t="n">
        <f aca="false">IF(U32="","",U32-V32)</f>
        <v>0</v>
      </c>
      <c r="X32" s="20" t="n">
        <f aca="false">IF(U32="","",SUMPRODUCT((1-($I$27:$T$27&gt;=$H32)*(MOD($I$27:$T$27-$H32,$AA32)=0))*(I32:T32&lt;&gt;"")))</f>
        <v>0</v>
      </c>
      <c r="Y32" s="38" t="str">
        <f aca="false">IF(U32="","",IF(U32=0,"Ainda não começou",IF(W32&gt;0,"Com atraso","Em dia")))</f>
        <v>Em dia</v>
      </c>
      <c r="Z32" s="14" t="str">
        <f aca="false">IF(C32="","",IF(D32="","Falta o estudo",IF(F32="","Falta o responsável",IF(G32="","Falta a frequência",IF(H32="","Falta o mês de início",IF(OR(H32&lt;1,H32&gt;12),"Mês de início fora de 1 a 12","OK"))))))</f>
        <v>OK</v>
      </c>
      <c r="AA32" s="22" t="n">
        <f aca="false">IF(G32="","",IFERROR(CHOOSE(MATCH(G32,{"Mensal","Bimestral","Trimestral","Semestral","Anual"},0),1,2,3,6,12),""))</f>
        <v>12</v>
      </c>
    </row>
    <row r="33" customFormat="false" ht="30.75" hidden="false" customHeight="true" outlineLevel="0" collapsed="false">
      <c r="B33" s="11" t="n">
        <v>6</v>
      </c>
      <c r="C33" s="33" t="s">
        <v>143</v>
      </c>
      <c r="D33" s="34" t="s">
        <v>142</v>
      </c>
      <c r="E33" s="36" t="s">
        <v>343</v>
      </c>
      <c r="F33" s="34" t="s">
        <v>397</v>
      </c>
      <c r="G33" s="36" t="s">
        <v>162</v>
      </c>
      <c r="H33" s="37" t="n">
        <v>1</v>
      </c>
      <c r="I33" s="37" t="s">
        <v>322</v>
      </c>
      <c r="J33" s="37"/>
      <c r="K33" s="37"/>
      <c r="L33" s="37" t="s">
        <v>322</v>
      </c>
      <c r="M33" s="37"/>
      <c r="N33" s="37"/>
      <c r="O33" s="37" t="s">
        <v>322</v>
      </c>
      <c r="P33" s="37"/>
      <c r="Q33" s="37"/>
      <c r="R33" s="37"/>
      <c r="S33" s="37"/>
      <c r="T33" s="37"/>
      <c r="U33" s="13" t="n">
        <f aca="false">IF(OR(C33="",AA33="",H33="",$E$8=""),"",IF(OR(H33&lt;1,H33&gt;12),"",SUMPRODUCT(($I$27:$T$27&gt;=$H33)*(MOD($I$27:$T$27-$H33,$AA33)=0)*($I$27:$T$27&lt;=$E$8))))</f>
        <v>3</v>
      </c>
      <c r="V33" s="13" t="n">
        <f aca="false">IF(U33="","",SUMPRODUCT(($I$27:$T$27&gt;=$H33)*(MOD($I$27:$T$27-$H33,$AA33)=0)*($I$27:$T$27&lt;=$E$8)*(I33:T33&lt;&gt;"")))</f>
        <v>3</v>
      </c>
      <c r="W33" s="13" t="n">
        <f aca="false">IF(U33="","",U33-V33)</f>
        <v>0</v>
      </c>
      <c r="X33" s="20" t="n">
        <f aca="false">IF(U33="","",SUMPRODUCT((1-($I$27:$T$27&gt;=$H33)*(MOD($I$27:$T$27-$H33,$AA33)=0))*(I33:T33&lt;&gt;"")))</f>
        <v>0</v>
      </c>
      <c r="Y33" s="38" t="str">
        <f aca="false">IF(U33="","",IF(U33=0,"Ainda não começou",IF(W33&gt;0,"Com atraso","Em dia")))</f>
        <v>Em dia</v>
      </c>
      <c r="Z33" s="14" t="str">
        <f aca="false">IF(C33="","",IF(D33="","Falta o estudo",IF(F33="","Falta o responsável",IF(G33="","Falta a frequência",IF(H33="","Falta o mês de início",IF(OR(H33&lt;1,H33&gt;12),"Mês de início fora de 1 a 12","OK"))))))</f>
        <v>OK</v>
      </c>
      <c r="AA33" s="22" t="n">
        <f aca="false">IF(G33="","",IFERROR(CHOOSE(MATCH(G33,{"Mensal","Bimestral","Trimestral","Semestral","Anual"},0),1,2,3,6,12),""))</f>
        <v>3</v>
      </c>
    </row>
    <row r="34" customFormat="false" ht="21.75" hidden="false" customHeight="true" outlineLevel="0" collapsed="false">
      <c r="B34" s="11" t="n">
        <v>7</v>
      </c>
      <c r="C34" s="33" t="s">
        <v>334</v>
      </c>
      <c r="D34" s="34" t="s">
        <v>161</v>
      </c>
      <c r="E34" s="36" t="s">
        <v>335</v>
      </c>
      <c r="F34" s="34" t="s">
        <v>398</v>
      </c>
      <c r="G34" s="36" t="s">
        <v>162</v>
      </c>
      <c r="H34" s="37" t="n">
        <v>1</v>
      </c>
      <c r="I34" s="37" t="s">
        <v>322</v>
      </c>
      <c r="J34" s="37"/>
      <c r="K34" s="37"/>
      <c r="L34" s="37" t="s">
        <v>322</v>
      </c>
      <c r="M34" s="37"/>
      <c r="N34" s="37"/>
      <c r="O34" s="37" t="s">
        <v>322</v>
      </c>
      <c r="P34" s="37"/>
      <c r="Q34" s="37"/>
      <c r="R34" s="37"/>
      <c r="S34" s="37"/>
      <c r="T34" s="37"/>
      <c r="U34" s="13" t="n">
        <f aca="false">IF(OR(C34="",AA34="",H34="",$E$8=""),"",IF(OR(H34&lt;1,H34&gt;12),"",SUMPRODUCT(($I$27:$T$27&gt;=$H34)*(MOD($I$27:$T$27-$H34,$AA34)=0)*($I$27:$T$27&lt;=$E$8))))</f>
        <v>3</v>
      </c>
      <c r="V34" s="13" t="n">
        <f aca="false">IF(U34="","",SUMPRODUCT(($I$27:$T$27&gt;=$H34)*(MOD($I$27:$T$27-$H34,$AA34)=0)*($I$27:$T$27&lt;=$E$8)*(I34:T34&lt;&gt;"")))</f>
        <v>3</v>
      </c>
      <c r="W34" s="13" t="n">
        <f aca="false">IF(U34="","",U34-V34)</f>
        <v>0</v>
      </c>
      <c r="X34" s="20" t="n">
        <f aca="false">IF(U34="","",SUMPRODUCT((1-($I$27:$T$27&gt;=$H34)*(MOD($I$27:$T$27-$H34,$AA34)=0))*(I34:T34&lt;&gt;"")))</f>
        <v>0</v>
      </c>
      <c r="Y34" s="38" t="str">
        <f aca="false">IF(U34="","",IF(U34=0,"Ainda não começou",IF(W34&gt;0,"Com atraso","Em dia")))</f>
        <v>Em dia</v>
      </c>
      <c r="Z34" s="14" t="str">
        <f aca="false">IF(C34="","",IF(D34="","Falta o estudo",IF(F34="","Falta o responsável",IF(G34="","Falta a frequência",IF(H34="","Falta o mês de início",IF(OR(H34&lt;1,H34&gt;12),"Mês de início fora de 1 a 12","OK"))))))</f>
        <v>OK</v>
      </c>
      <c r="AA34" s="22" t="n">
        <f aca="false">IF(G34="","",IFERROR(CHOOSE(MATCH(G34,{"Mensal","Bimestral","Trimestral","Semestral","Anual"},0),1,2,3,6,12),""))</f>
        <v>3</v>
      </c>
    </row>
    <row r="35" customFormat="false" ht="30.75" hidden="false" customHeight="true" outlineLevel="0" collapsed="false">
      <c r="B35" s="11" t="n">
        <v>8</v>
      </c>
      <c r="C35" s="33" t="s">
        <v>399</v>
      </c>
      <c r="D35" s="34" t="s">
        <v>212</v>
      </c>
      <c r="E35" s="36" t="s">
        <v>339</v>
      </c>
      <c r="F35" s="34" t="s">
        <v>400</v>
      </c>
      <c r="G35" s="36" t="s">
        <v>144</v>
      </c>
      <c r="H35" s="37" t="n">
        <v>6</v>
      </c>
      <c r="I35" s="37"/>
      <c r="J35" s="37"/>
      <c r="K35" s="37"/>
      <c r="L35" s="37"/>
      <c r="M35" s="37"/>
      <c r="N35" s="37" t="s">
        <v>322</v>
      </c>
      <c r="O35" s="37"/>
      <c r="P35" s="37"/>
      <c r="Q35" s="37"/>
      <c r="R35" s="37"/>
      <c r="S35" s="37"/>
      <c r="T35" s="37"/>
      <c r="U35" s="13" t="n">
        <f aca="false">IF(OR(C35="",AA35="",H35="",$E$8=""),"",IF(OR(H35&lt;1,H35&gt;12),"",SUMPRODUCT(($I$27:$T$27&gt;=$H35)*(MOD($I$27:$T$27-$H35,$AA35)=0)*($I$27:$T$27&lt;=$E$8))))</f>
        <v>1</v>
      </c>
      <c r="V35" s="13" t="n">
        <f aca="false">IF(U35="","",SUMPRODUCT(($I$27:$T$27&gt;=$H35)*(MOD($I$27:$T$27-$H35,$AA35)=0)*($I$27:$T$27&lt;=$E$8)*(I35:T35&lt;&gt;"")))</f>
        <v>1</v>
      </c>
      <c r="W35" s="13" t="n">
        <f aca="false">IF(U35="","",U35-V35)</f>
        <v>0</v>
      </c>
      <c r="X35" s="20" t="n">
        <f aca="false">IF(U35="","",SUMPRODUCT((1-($I$27:$T$27&gt;=$H35)*(MOD($I$27:$T$27-$H35,$AA35)=0))*(I35:T35&lt;&gt;"")))</f>
        <v>0</v>
      </c>
      <c r="Y35" s="38" t="str">
        <f aca="false">IF(U35="","",IF(U35=0,"Ainda não começou",IF(W35&gt;0,"Com atraso","Em dia")))</f>
        <v>Em dia</v>
      </c>
      <c r="Z35" s="14" t="str">
        <f aca="false">IF(C35="","",IF(D35="","Falta o estudo",IF(F35="","Falta o responsável",IF(G35="","Falta a frequência",IF(H35="","Falta o mês de início",IF(OR(H35&lt;1,H35&gt;12),"Mês de início fora de 1 a 12","OK"))))))</f>
        <v>OK</v>
      </c>
      <c r="AA35" s="22" t="n">
        <f aca="false">IF(G35="","",IFERROR(CHOOSE(MATCH(G35,{"Mensal","Bimestral","Trimestral","Semestral","Anual"},0),1,2,3,6,12),""))</f>
        <v>6</v>
      </c>
    </row>
    <row r="36" customFormat="false" ht="21.75" hidden="false" customHeight="true" outlineLevel="0" collapsed="false">
      <c r="B36" s="11" t="n">
        <v>9</v>
      </c>
      <c r="C36" s="33" t="s">
        <v>340</v>
      </c>
      <c r="D36" s="34" t="s">
        <v>177</v>
      </c>
      <c r="E36" s="36" t="s">
        <v>341</v>
      </c>
      <c r="F36" s="34" t="s">
        <v>401</v>
      </c>
      <c r="G36" s="36" t="s">
        <v>144</v>
      </c>
      <c r="H36" s="37" t="n">
        <v>4</v>
      </c>
      <c r="I36" s="37"/>
      <c r="J36" s="37"/>
      <c r="K36" s="37"/>
      <c r="L36" s="37" t="s">
        <v>322</v>
      </c>
      <c r="M36" s="37"/>
      <c r="N36" s="37"/>
      <c r="O36" s="37"/>
      <c r="P36" s="37"/>
      <c r="Q36" s="37"/>
      <c r="R36" s="37"/>
      <c r="S36" s="37"/>
      <c r="T36" s="37"/>
      <c r="U36" s="13" t="n">
        <f aca="false">IF(OR(C36="",AA36="",H36="",$E$8=""),"",IF(OR(H36&lt;1,H36&gt;12),"",SUMPRODUCT(($I$27:$T$27&gt;=$H36)*(MOD($I$27:$T$27-$H36,$AA36)=0)*($I$27:$T$27&lt;=$E$8))))</f>
        <v>1</v>
      </c>
      <c r="V36" s="13" t="n">
        <f aca="false">IF(U36="","",SUMPRODUCT(($I$27:$T$27&gt;=$H36)*(MOD($I$27:$T$27-$H36,$AA36)=0)*($I$27:$T$27&lt;=$E$8)*(I36:T36&lt;&gt;"")))</f>
        <v>1</v>
      </c>
      <c r="W36" s="13" t="n">
        <f aca="false">IF(U36="","",U36-V36)</f>
        <v>0</v>
      </c>
      <c r="X36" s="20" t="n">
        <f aca="false">IF(U36="","",SUMPRODUCT((1-($I$27:$T$27&gt;=$H36)*(MOD($I$27:$T$27-$H36,$AA36)=0))*(I36:T36&lt;&gt;"")))</f>
        <v>0</v>
      </c>
      <c r="Y36" s="38" t="str">
        <f aca="false">IF(U36="","",IF(U36=0,"Ainda não começou",IF(W36&gt;0,"Com atraso","Em dia")))</f>
        <v>Em dia</v>
      </c>
      <c r="Z36" s="14" t="str">
        <f aca="false">IF(C36="","",IF(D36="","Falta o estudo",IF(F36="","Falta o responsável",IF(G36="","Falta a frequência",IF(H36="","Falta o mês de início",IF(OR(H36&lt;1,H36&gt;12),"Mês de início fora de 1 a 12","OK"))))))</f>
        <v>OK</v>
      </c>
      <c r="AA36" s="22" t="n">
        <f aca="false">IF(G36="","",IFERROR(CHOOSE(MATCH(G36,{"Mensal","Bimestral","Trimestral","Semestral","Anual"},0),1,2,3,6,12),""))</f>
        <v>6</v>
      </c>
    </row>
    <row r="37" customFormat="false" ht="30.75" hidden="false" customHeight="true" outlineLevel="0" collapsed="false">
      <c r="B37" s="11" t="n">
        <v>10</v>
      </c>
      <c r="C37" s="33" t="s">
        <v>202</v>
      </c>
      <c r="D37" s="34" t="s">
        <v>202</v>
      </c>
      <c r="E37" s="36" t="s">
        <v>342</v>
      </c>
      <c r="F37" s="34" t="s">
        <v>354</v>
      </c>
      <c r="G37" s="36" t="s">
        <v>144</v>
      </c>
      <c r="H37" s="37" t="n">
        <v>3</v>
      </c>
      <c r="I37" s="37"/>
      <c r="J37" s="37"/>
      <c r="K37" s="37" t="s">
        <v>322</v>
      </c>
      <c r="L37" s="37"/>
      <c r="M37" s="37"/>
      <c r="N37" s="37"/>
      <c r="O37" s="37"/>
      <c r="P37" s="37"/>
      <c r="Q37" s="37" t="s">
        <v>322</v>
      </c>
      <c r="R37" s="37"/>
      <c r="S37" s="37"/>
      <c r="T37" s="37"/>
      <c r="U37" s="13" t="n">
        <f aca="false">IF(OR(C37="",AA37="",H37="",$E$8=""),"",IF(OR(H37&lt;1,H37&gt;12),"",SUMPRODUCT(($I$27:$T$27&gt;=$H37)*(MOD($I$27:$T$27-$H37,$AA37)=0)*($I$27:$T$27&lt;=$E$8))))</f>
        <v>2</v>
      </c>
      <c r="V37" s="13" t="n">
        <f aca="false">IF(U37="","",SUMPRODUCT(($I$27:$T$27&gt;=$H37)*(MOD($I$27:$T$27-$H37,$AA37)=0)*($I$27:$T$27&lt;=$E$8)*(I37:T37&lt;&gt;"")))</f>
        <v>2</v>
      </c>
      <c r="W37" s="13" t="n">
        <f aca="false">IF(U37="","",U37-V37)</f>
        <v>0</v>
      </c>
      <c r="X37" s="20" t="n">
        <f aca="false">IF(U37="","",SUMPRODUCT((1-($I$27:$T$27&gt;=$H37)*(MOD($I$27:$T$27-$H37,$AA37)=0))*(I37:T37&lt;&gt;"")))</f>
        <v>0</v>
      </c>
      <c r="Y37" s="38" t="str">
        <f aca="false">IF(U37="","",IF(U37=0,"Ainda não começou",IF(W37&gt;0,"Com atraso","Em dia")))</f>
        <v>Em dia</v>
      </c>
      <c r="Z37" s="14" t="str">
        <f aca="false">IF(C37="","",IF(D37="","Falta o estudo",IF(F37="","Falta o responsável",IF(G37="","Falta a frequência",IF(H37="","Falta o mês de início",IF(OR(H37&lt;1,H37&gt;12),"Mês de início fora de 1 a 12","OK"))))))</f>
        <v>OK</v>
      </c>
      <c r="AA37" s="22" t="n">
        <f aca="false">IF(G37="","",IFERROR(CHOOSE(MATCH(G37,{"Mensal","Bimestral","Trimestral","Semestral","Anual"},0),1,2,3,6,12),""))</f>
        <v>6</v>
      </c>
    </row>
    <row r="38" customFormat="false" ht="21.75" hidden="false" customHeight="true" outlineLevel="0" collapsed="false">
      <c r="B38" s="11" t="n">
        <v>11</v>
      </c>
      <c r="C38" s="33" t="s">
        <v>210</v>
      </c>
      <c r="D38" s="34" t="s">
        <v>209</v>
      </c>
      <c r="E38" s="36" t="s">
        <v>344</v>
      </c>
      <c r="F38" s="34" t="s">
        <v>398</v>
      </c>
      <c r="G38" s="36" t="s">
        <v>144</v>
      </c>
      <c r="H38" s="37" t="n">
        <v>2</v>
      </c>
      <c r="I38" s="37"/>
      <c r="J38" s="37" t="s">
        <v>322</v>
      </c>
      <c r="K38" s="37"/>
      <c r="L38" s="37"/>
      <c r="M38" s="37"/>
      <c r="N38" s="37"/>
      <c r="O38" s="37"/>
      <c r="P38" s="37" t="s">
        <v>322</v>
      </c>
      <c r="Q38" s="37"/>
      <c r="R38" s="37"/>
      <c r="S38" s="37"/>
      <c r="T38" s="37"/>
      <c r="U38" s="13" t="n">
        <f aca="false">IF(OR(C38="",AA38="",H38="",$E$8=""),"",IF(OR(H38&lt;1,H38&gt;12),"",SUMPRODUCT(($I$27:$T$27&gt;=$H38)*(MOD($I$27:$T$27-$H38,$AA38)=0)*($I$27:$T$27&lt;=$E$8))))</f>
        <v>2</v>
      </c>
      <c r="V38" s="13" t="n">
        <f aca="false">IF(U38="","",SUMPRODUCT(($I$27:$T$27&gt;=$H38)*(MOD($I$27:$T$27-$H38,$AA38)=0)*($I$27:$T$27&lt;=$E$8)*(I38:T38&lt;&gt;"")))</f>
        <v>2</v>
      </c>
      <c r="W38" s="13" t="n">
        <f aca="false">IF(U38="","",U38-V38)</f>
        <v>0</v>
      </c>
      <c r="X38" s="20" t="n">
        <f aca="false">IF(U38="","",SUMPRODUCT((1-($I$27:$T$27&gt;=$H38)*(MOD($I$27:$T$27-$H38,$AA38)=0))*(I38:T38&lt;&gt;"")))</f>
        <v>0</v>
      </c>
      <c r="Y38" s="38" t="str">
        <f aca="false">IF(U38="","",IF(U38=0,"Ainda não começou",IF(W38&gt;0,"Com atraso","Em dia")))</f>
        <v>Em dia</v>
      </c>
      <c r="Z38" s="14" t="str">
        <f aca="false">IF(C38="","",IF(D38="","Falta o estudo",IF(F38="","Falta o responsável",IF(G38="","Falta a frequência",IF(H38="","Falta o mês de início",IF(OR(H38&lt;1,H38&gt;12),"Mês de início fora de 1 a 12","OK"))))))</f>
        <v>OK</v>
      </c>
      <c r="AA38" s="22" t="n">
        <f aca="false">IF(G38="","",IFERROR(CHOOSE(MATCH(G38,{"Mensal","Bimestral","Trimestral","Semestral","Anual"},0),1,2,3,6,12),""))</f>
        <v>6</v>
      </c>
    </row>
    <row r="39" customFormat="false" ht="30.75" hidden="false" customHeight="true" outlineLevel="0" collapsed="false">
      <c r="B39" s="11" t="n">
        <v>12</v>
      </c>
      <c r="C39" s="33" t="s">
        <v>402</v>
      </c>
      <c r="D39" s="34" t="s">
        <v>140</v>
      </c>
      <c r="E39" s="36" t="s">
        <v>347</v>
      </c>
      <c r="F39" s="34" t="s">
        <v>354</v>
      </c>
      <c r="G39" s="36" t="s">
        <v>144</v>
      </c>
      <c r="H39" s="37" t="n">
        <v>1</v>
      </c>
      <c r="I39" s="37" t="s">
        <v>322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13" t="n">
        <f aca="false">IF(OR(C39="",AA39="",H39="",$E$8=""),"",IF(OR(H39&lt;1,H39&gt;12),"",SUMPRODUCT(($I$27:$T$27&gt;=$H39)*(MOD($I$27:$T$27-$H39,$AA39)=0)*($I$27:$T$27&lt;=$E$8))))</f>
        <v>2</v>
      </c>
      <c r="V39" s="13" t="n">
        <f aca="false">IF(U39="","",SUMPRODUCT(($I$27:$T$27&gt;=$H39)*(MOD($I$27:$T$27-$H39,$AA39)=0)*($I$27:$T$27&lt;=$E$8)*(I39:T39&lt;&gt;"")))</f>
        <v>1</v>
      </c>
      <c r="W39" s="13" t="n">
        <f aca="false">IF(U39="","",U39-V39)</f>
        <v>1</v>
      </c>
      <c r="X39" s="20" t="n">
        <f aca="false">IF(U39="","",SUMPRODUCT((1-($I$27:$T$27&gt;=$H39)*(MOD($I$27:$T$27-$H39,$AA39)=0))*(I39:T39&lt;&gt;"")))</f>
        <v>0</v>
      </c>
      <c r="Y39" s="38" t="str">
        <f aca="false">IF(U39="","",IF(U39=0,"Ainda não começou",IF(W39&gt;0,"Com atraso","Em dia")))</f>
        <v>Com atraso</v>
      </c>
      <c r="Z39" s="14" t="str">
        <f aca="false">IF(C39="","",IF(D39="","Falta o estudo",IF(F39="","Falta o responsável",IF(G39="","Falta a frequência",IF(H39="","Falta o mês de início",IF(OR(H39&lt;1,H39&gt;12),"Mês de início fora de 1 a 12","OK"))))))</f>
        <v>OK</v>
      </c>
      <c r="AA39" s="22" t="n">
        <f aca="false">IF(G39="","",IFERROR(CHOOSE(MATCH(G39,{"Mensal","Bimestral","Trimestral","Semestral","Anual"},0),1,2,3,6,12),""))</f>
        <v>6</v>
      </c>
    </row>
    <row r="40" customFormat="false" ht="21.75" hidden="false" customHeight="true" outlineLevel="0" collapsed="false">
      <c r="B40" s="11" t="n">
        <v>13</v>
      </c>
      <c r="C40" s="33" t="s">
        <v>331</v>
      </c>
      <c r="D40" s="34" t="s">
        <v>214</v>
      </c>
      <c r="E40" s="36" t="s">
        <v>332</v>
      </c>
      <c r="F40" s="34" t="s">
        <v>403</v>
      </c>
      <c r="G40" s="36" t="s">
        <v>132</v>
      </c>
      <c r="H40" s="37" t="n">
        <v>11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13" t="n">
        <f aca="false">IF(OR(C40="",AA40="",H40="",$E$8=""),"",IF(OR(H40&lt;1,H40&gt;12),"",SUMPRODUCT(($I$27:$T$27&gt;=$H40)*(MOD($I$27:$T$27-$H40,$AA40)=0)*($I$27:$T$27&lt;=$E$8))))</f>
        <v>0</v>
      </c>
      <c r="V40" s="13" t="n">
        <f aca="false">IF(U40="","",SUMPRODUCT(($I$27:$T$27&gt;=$H40)*(MOD($I$27:$T$27-$H40,$AA40)=0)*($I$27:$T$27&lt;=$E$8)*(I40:T40&lt;&gt;"")))</f>
        <v>0</v>
      </c>
      <c r="W40" s="13" t="n">
        <f aca="false">IF(U40="","",U40-V40)</f>
        <v>0</v>
      </c>
      <c r="X40" s="20" t="n">
        <f aca="false">IF(U40="","",SUMPRODUCT((1-($I$27:$T$27&gt;=$H40)*(MOD($I$27:$T$27-$H40,$AA40)=0))*(I40:T40&lt;&gt;"")))</f>
        <v>0</v>
      </c>
      <c r="Y40" s="38" t="str">
        <f aca="false">IF(U40="","",IF(U40=0,"Ainda não começou",IF(W40&gt;0,"Com atraso","Em dia")))</f>
        <v>Ainda não começou</v>
      </c>
      <c r="Z40" s="14" t="str">
        <f aca="false">IF(C40="","",IF(D40="","Falta o estudo",IF(F40="","Falta o responsável",IF(G40="","Falta a frequência",IF(H40="","Falta o mês de início",IF(OR(H40&lt;1,H40&gt;12),"Mês de início fora de 1 a 12","OK"))))))</f>
        <v>OK</v>
      </c>
      <c r="AA40" s="22" t="n">
        <f aca="false">IF(G40="","",IFERROR(CHOOSE(MATCH(G40,{"Mensal","Bimestral","Trimestral","Semestral","Anual"},0),1,2,3,6,12),""))</f>
        <v>12</v>
      </c>
    </row>
    <row r="42" customFormat="false" ht="21.75" hidden="false" customHeight="true" outlineLevel="0" collapsed="false">
      <c r="B42" s="15" t="s">
        <v>84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21.75" hidden="false" customHeight="true" outlineLevel="0" collapsed="false">
      <c r="B43" s="16" t="s">
        <v>68</v>
      </c>
      <c r="C43" s="16"/>
      <c r="D43" s="16"/>
      <c r="E43" s="17" t="str">
        <f aca="false">COUNTA(D12:D23)&amp;" passos, "&amp;SUMPRODUCT((D12:D23&lt;&gt;"")/COUNTIF(D12:D23,D12:D23&amp;""))&amp;" estudos, "&amp;(MAX(C12:C23)-MIN(C12:C23))&amp;" dias; maior intervalo de "&amp;MAX(I12:I23)&amp;" dias"</f>
        <v>12 passos, 9 estudos, 381 dias; maior intervalo de 148 dias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customFormat="false" ht="21.75" hidden="false" customHeight="true" outlineLevel="0" collapsed="false">
      <c r="B44" s="16" t="s">
        <v>46</v>
      </c>
      <c r="C44" s="16"/>
      <c r="D44" s="16"/>
      <c r="E44" s="17" t="str">
        <f aca="false">SUM(V28:V40)&amp;" de "&amp;SUM(U28:U40)&amp;" feitas até o mês da leitura, "&amp;SUM(W28:W40)&amp;" atrasadas, "&amp;SUM(X28:X40)&amp;" fora do plano"</f>
        <v>35 de 40 feitas até o mês da leitura, 5 atrasadas, 1 fora do plano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customFormat="false" ht="21.75" hidden="false" customHeight="true" outlineLevel="0" collapsed="false">
      <c r="B45" s="16" t="s">
        <v>122</v>
      </c>
      <c r="C45" s="16"/>
      <c r="D45" s="16"/>
      <c r="E45" s="17" t="str">
        <f aca="false">COUNTIF(Y28:Y40,"Em dia")&amp;" em dia"&amp;", "&amp;COUNTIF(Y28:Y40,"Com atraso")&amp;" com atraso"&amp;", "&amp;COUNTIF(Y28:Y40,"Ainda não começou")&amp;" ainda não começou"</f>
        <v>7 em dia, 5 com atraso, 1 ainda não começou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customFormat="false" ht="21.75" hidden="false" customHeight="true" outlineLevel="0" collapsed="false">
      <c r="B46" s="16" t="s">
        <v>350</v>
      </c>
      <c r="C46" s="16"/>
      <c r="D46" s="16"/>
      <c r="E46" s="17" t="n">
        <f aca="false">SUMPRODUCT((J12:J23&lt;&gt;"OK")*1)+SUMPRODUCT((Z28:Z40&lt;&gt;"OK")*1)</f>
        <v>0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</sheetData>
  <mergeCells count="35">
    <mergeCell ref="B1:Z1"/>
    <mergeCell ref="B2:Z2"/>
    <mergeCell ref="B4:C4"/>
    <mergeCell ref="D4:Z4"/>
    <mergeCell ref="B5:C5"/>
    <mergeCell ref="D5:Z5"/>
    <mergeCell ref="B6:C6"/>
    <mergeCell ref="D6:Z6"/>
    <mergeCell ref="B7:C7"/>
    <mergeCell ref="D7:Z7"/>
    <mergeCell ref="B8:C8"/>
    <mergeCell ref="B10:Z10"/>
    <mergeCell ref="J11:N11"/>
    <mergeCell ref="J12:N12"/>
    <mergeCell ref="J13:N13"/>
    <mergeCell ref="J14:N14"/>
    <mergeCell ref="J15:N15"/>
    <mergeCell ref="J16:N16"/>
    <mergeCell ref="J17:N17"/>
    <mergeCell ref="J18:N18"/>
    <mergeCell ref="J19:N19"/>
    <mergeCell ref="J20:N20"/>
    <mergeCell ref="J21:N21"/>
    <mergeCell ref="J22:N22"/>
    <mergeCell ref="J23:N23"/>
    <mergeCell ref="B25:Z25"/>
    <mergeCell ref="B42:Z42"/>
    <mergeCell ref="B43:D43"/>
    <mergeCell ref="E43:Z43"/>
    <mergeCell ref="B44:D44"/>
    <mergeCell ref="E44:Z44"/>
    <mergeCell ref="B45:D45"/>
    <mergeCell ref="E45:Z45"/>
    <mergeCell ref="B46:D46"/>
    <mergeCell ref="E46:Z46"/>
  </mergeCells>
  <conditionalFormatting sqref="J12:N23">
    <cfRule type="expression" priority="2" aboveAverage="0" equalAverage="0" bottom="0" percent="0" rank="0" text="" dxfId="0">
      <formula>$J12="OK"</formula>
    </cfRule>
    <cfRule type="expression" priority="3" aboveAverage="0" equalAverage="0" bottom="0" percent="0" rank="0" text="" dxfId="1">
      <formula>$J12="O passo seguinte é de outro estudo"</formula>
    </cfRule>
    <cfRule type="expression" priority="4" aboveAverage="0" equalAverage="0" bottom="0" percent="0" rank="0" text="" dxfId="2">
      <formula>LEN($J12)&gt;0</formula>
    </cfRule>
  </conditionalFormatting>
  <conditionalFormatting sqref="I28:T40">
    <cfRule type="expression" priority="5" aboveAverage="0" equalAverage="0" bottom="0" percent="0" rank="0" text="" dxfId="3">
      <formula>AND(AND(ISNUMBER($AA28),ISNUMBER($H28),I$27&gt;=$H28,MOD(I$27-$H28,$AA28)=0),I28&lt;&gt;"")</formula>
    </cfRule>
    <cfRule type="expression" priority="6" aboveAverage="0" equalAverage="0" bottom="0" percent="0" rank="0" text="" dxfId="1">
      <formula>AND(AND(ISNUMBER($AA28),ISNUMBER($H28),I$27&gt;=$H28,MOD(I$27-$H28,$AA28)=0),I28="",ISNUMBER($E$8),I$27&lt;=$E$8)</formula>
    </cfRule>
    <cfRule type="expression" priority="7" aboveAverage="0" equalAverage="0" bottom="0" percent="0" rank="0" text="" dxfId="4">
      <formula>AND(ISNUMBER($AA28),ISNUMBER($H28),I$27&gt;=$H28,MOD(I$27-$H28,$AA28)=0)</formula>
    </cfRule>
    <cfRule type="expression" priority="8" aboveAverage="0" equalAverage="0" bottom="0" percent="0" rank="0" text="" dxfId="2">
      <formula>AND(NOT(AND(ISNUMBER($AA28),ISNUMBER($H28),I$27&gt;=$H28,MOD(I$27-$H28,$AA28)=0)),I28&lt;&gt;"")</formula>
    </cfRule>
  </conditionalFormatting>
  <conditionalFormatting sqref="Y28:Y40">
    <cfRule type="expression" priority="9" aboveAverage="0" equalAverage="0" bottom="0" percent="0" rank="0" text="" dxfId="0">
      <formula>Y28="Em dia"</formula>
    </cfRule>
    <cfRule type="expression" priority="10" aboveAverage="0" equalAverage="0" bottom="0" percent="0" rank="0" text="" dxfId="1">
      <formula>Y28="Com atraso"</formula>
    </cfRule>
    <cfRule type="expression" priority="11" aboveAverage="0" equalAverage="0" bottom="0" percent="0" rank="0" text="" dxfId="4">
      <formula>Y28="Ainda não começou"</formula>
    </cfRule>
  </conditionalFormatting>
  <conditionalFormatting sqref="Z28:Z40">
    <cfRule type="expression" priority="12" aboveAverage="0" equalAverage="0" bottom="0" percent="0" rank="0" text="" dxfId="0">
      <formula>OR(Z28="OK")</formula>
    </cfRule>
    <cfRule type="expression" priority="13" aboveAverage="0" equalAverage="0" bottom="0" percent="0" rank="0" text="" dxfId="2">
      <formula>AND(LEN(Z28)&gt;0,NOT(OR(Z28="OK")))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2026-10-04T16:49:41Z</dcterms:created>
  <dc:creator>Modelo Caso integrado</dc:creator>
  <dc:description/>
  <dc:language>pt-BR</dc:language>
  <cp:lastModifiedBy/>
  <dcterms:modified xsi:type="dcterms:W3CDTF">2026-10-04T16:49:41Z</dcterms:modified>
  <cp:revision>0</cp:revision>
  <dc:subject/>
  <dc:title>Caso integrado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